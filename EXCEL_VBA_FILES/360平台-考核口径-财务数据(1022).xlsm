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OneDrive\国寿养老工作\财务部工作\财务分析\财务收入分析\"/>
    </mc:Choice>
  </mc:AlternateContent>
  <bookViews>
    <workbookView xWindow="0" yWindow="0" windowWidth="23040" windowHeight="8520" firstSheet="4" activeTab="6"/>
  </bookViews>
  <sheets>
    <sheet name="管理费收入总表" sheetId="8" r:id="rId1"/>
    <sheet name="管理费拆分汇总" sheetId="11" r:id="rId2"/>
    <sheet name="可提费用汇总" sheetId="1" r:id="rId3"/>
    <sheet name="单一受托" sheetId="2" r:id="rId4"/>
    <sheet name="单一投管" sheetId="3" r:id="rId5"/>
    <sheet name="单一账管" sheetId="4" r:id="rId6"/>
    <sheet name="集合计划" sheetId="5" r:id="rId7"/>
    <sheet name="养老金产品" sheetId="6" r:id="rId8"/>
    <sheet name="职业年金受托管理费" sheetId="12" r:id="rId9"/>
    <sheet name="职业年金投资管理费" sheetId="13" r:id="rId10"/>
    <sheet name="养老保障" sheetId="7" r:id="rId11"/>
    <sheet name="管理费收入分月表" sheetId="10" r:id="rId12"/>
  </sheets>
  <functionGroups builtInGroupCount="18"/>
  <definedNames>
    <definedName name="_xlnm._FilterDatabase" localSheetId="3" hidden="1">单一受托!$A$1:$T$386</definedName>
    <definedName name="_xlnm._FilterDatabase" localSheetId="4" hidden="1">单一投管!$A$1:$Y$354</definedName>
    <definedName name="_xlnm._FilterDatabase" localSheetId="5" hidden="1">单一账管!$A$1:$H$58</definedName>
    <definedName name="_xlnm._FilterDatabase" localSheetId="6" hidden="1">集合计划!$A$1:$H$270</definedName>
    <definedName name="_xlnm._FilterDatabase" localSheetId="2" hidden="1">可提费用汇总!$A$1:$AF$42</definedName>
    <definedName name="_xlnm._FilterDatabase" localSheetId="10" hidden="1">养老保障!$A$1:$F$31</definedName>
    <definedName name="_xlnm._FilterDatabase" localSheetId="7" hidden="1">养老金产品!$A$1:$F$31</definedName>
    <definedName name="_xlnm._FilterDatabase" localSheetId="8" hidden="1">职业年金受托管理费!$A$1:$T$249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7" i="4" l="1"/>
  <c r="H88" i="4"/>
  <c r="H90" i="4"/>
  <c r="H89" i="4"/>
  <c r="AF46" i="1"/>
  <c r="AF48" i="1"/>
  <c r="H91" i="4"/>
  <c r="H92" i="4"/>
  <c r="H93" i="4"/>
  <c r="H94" i="4"/>
  <c r="H387" i="5"/>
  <c r="H403" i="5"/>
  <c r="H406" i="5"/>
  <c r="H400" i="5"/>
  <c r="H401" i="5"/>
  <c r="H410" i="5"/>
  <c r="H415" i="5"/>
  <c r="H405" i="5"/>
  <c r="H393" i="5"/>
  <c r="H412" i="5"/>
  <c r="H411" i="5"/>
  <c r="H399" i="5"/>
  <c r="H396" i="5"/>
  <c r="H413" i="5"/>
  <c r="H409" i="5"/>
  <c r="H391" i="5"/>
  <c r="H389" i="5"/>
  <c r="H388" i="5"/>
  <c r="H404" i="5"/>
  <c r="H390" i="5"/>
  <c r="H407" i="5"/>
  <c r="H408" i="5"/>
  <c r="H395" i="5"/>
  <c r="H392" i="5"/>
  <c r="H398" i="5"/>
  <c r="H414" i="5"/>
  <c r="H394" i="5"/>
  <c r="H397" i="5"/>
  <c r="H402" i="5"/>
  <c r="H416" i="5"/>
  <c r="E36" i="8" l="1"/>
  <c r="F36" i="8"/>
  <c r="F36" i="10" s="1"/>
  <c r="G36" i="8"/>
  <c r="G36" i="10" s="1"/>
  <c r="H36" i="8"/>
  <c r="H36" i="10" s="1"/>
  <c r="I36" i="8"/>
  <c r="J36" i="8"/>
  <c r="K36" i="8"/>
  <c r="L36" i="8"/>
  <c r="M36" i="8"/>
  <c r="N36" i="8"/>
  <c r="O36" i="8"/>
  <c r="D36" i="8"/>
  <c r="D36" i="10" s="1"/>
  <c r="E35" i="8"/>
  <c r="F35" i="8"/>
  <c r="G35" i="8"/>
  <c r="H35" i="8"/>
  <c r="I35" i="8"/>
  <c r="J35" i="8"/>
  <c r="J35" i="10" s="1"/>
  <c r="K35" i="8"/>
  <c r="L35" i="8"/>
  <c r="L35" i="10" s="1"/>
  <c r="M35" i="8"/>
  <c r="N35" i="8"/>
  <c r="N35" i="10" s="1"/>
  <c r="O35" i="8"/>
  <c r="D35" i="8"/>
  <c r="D35" i="10" s="1"/>
  <c r="L36" i="10" l="1"/>
  <c r="N36" i="10"/>
  <c r="J36" i="10"/>
  <c r="G35" i="10"/>
  <c r="O36" i="10"/>
  <c r="K36" i="10"/>
  <c r="M36" i="10"/>
  <c r="I36" i="10"/>
  <c r="E36" i="10"/>
  <c r="O35" i="10"/>
  <c r="K37" i="8"/>
  <c r="K35" i="10"/>
  <c r="F37" i="8"/>
  <c r="F35" i="10"/>
  <c r="H37" i="8"/>
  <c r="H35" i="10"/>
  <c r="M35" i="10"/>
  <c r="I37" i="8"/>
  <c r="I35" i="10"/>
  <c r="E37" i="8"/>
  <c r="E35" i="10"/>
  <c r="O37" i="8"/>
  <c r="G37" i="8"/>
  <c r="N37" i="8"/>
  <c r="J37" i="8"/>
  <c r="M37" i="8"/>
  <c r="L37" i="8"/>
  <c r="L37" i="10" s="1"/>
  <c r="D37" i="8"/>
  <c r="D37" i="10" s="1"/>
  <c r="AF45" i="1"/>
  <c r="AF44" i="1"/>
  <c r="H86" i="4"/>
  <c r="H384" i="5"/>
  <c r="H380" i="5"/>
  <c r="H376" i="5"/>
  <c r="H372" i="5"/>
  <c r="H368" i="5"/>
  <c r="H364" i="5"/>
  <c r="H371" i="5"/>
  <c r="H363" i="5"/>
  <c r="H381" i="5"/>
  <c r="H365" i="5"/>
  <c r="H383" i="5"/>
  <c r="H379" i="5"/>
  <c r="H375" i="5"/>
  <c r="H367" i="5"/>
  <c r="H373" i="5"/>
  <c r="H386" i="5"/>
  <c r="H382" i="5"/>
  <c r="H378" i="5"/>
  <c r="H374" i="5"/>
  <c r="H370" i="5"/>
  <c r="H366" i="5"/>
  <c r="H377" i="5"/>
  <c r="H385" i="5"/>
  <c r="H369" i="5"/>
  <c r="O37" i="10" l="1"/>
  <c r="J37" i="10"/>
  <c r="G37" i="10"/>
  <c r="F37" i="10"/>
  <c r="N37" i="10"/>
  <c r="E37" i="10"/>
  <c r="H37" i="10"/>
  <c r="K37" i="10"/>
  <c r="M37" i="10"/>
  <c r="I37" i="10"/>
  <c r="L15" i="11"/>
  <c r="L16" i="11"/>
  <c r="L17" i="11"/>
  <c r="L13" i="11"/>
  <c r="AF43" i="1"/>
  <c r="AF41" i="1"/>
  <c r="AF40" i="1"/>
  <c r="AF39" i="1"/>
  <c r="AF38" i="1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361" i="5"/>
  <c r="H357" i="5"/>
  <c r="H353" i="5"/>
  <c r="H349" i="5"/>
  <c r="H345" i="5"/>
  <c r="H341" i="5"/>
  <c r="H337" i="5"/>
  <c r="H333" i="5"/>
  <c r="H329" i="5"/>
  <c r="H325" i="5"/>
  <c r="H321" i="5"/>
  <c r="H317" i="5"/>
  <c r="H313" i="5"/>
  <c r="H309" i="5"/>
  <c r="H305" i="5"/>
  <c r="H301" i="5"/>
  <c r="H297" i="5"/>
  <c r="H293" i="5"/>
  <c r="H289" i="5"/>
  <c r="H285" i="5"/>
  <c r="H281" i="5"/>
  <c r="H277" i="5"/>
  <c r="H273" i="5"/>
  <c r="H271" i="5"/>
  <c r="H360" i="5"/>
  <c r="H356" i="5"/>
  <c r="H352" i="5"/>
  <c r="H348" i="5"/>
  <c r="H344" i="5"/>
  <c r="H340" i="5"/>
  <c r="H336" i="5"/>
  <c r="H332" i="5"/>
  <c r="H328" i="5"/>
  <c r="H324" i="5"/>
  <c r="H320" i="5"/>
  <c r="H316" i="5"/>
  <c r="H312" i="5"/>
  <c r="H308" i="5"/>
  <c r="H304" i="5"/>
  <c r="H300" i="5"/>
  <c r="H296" i="5"/>
  <c r="H292" i="5"/>
  <c r="H288" i="5"/>
  <c r="H284" i="5"/>
  <c r="H280" i="5"/>
  <c r="H276" i="5"/>
  <c r="H272" i="5"/>
  <c r="H359" i="5"/>
  <c r="H355" i="5"/>
  <c r="H351" i="5"/>
  <c r="H347" i="5"/>
  <c r="H343" i="5"/>
  <c r="H339" i="5"/>
  <c r="H335" i="5"/>
  <c r="H331" i="5"/>
  <c r="H327" i="5"/>
  <c r="H323" i="5"/>
  <c r="H319" i="5"/>
  <c r="H315" i="5"/>
  <c r="H311" i="5"/>
  <c r="H307" i="5"/>
  <c r="H303" i="5"/>
  <c r="H299" i="5"/>
  <c r="H295" i="5"/>
  <c r="H291" i="5"/>
  <c r="H287" i="5"/>
  <c r="H283" i="5"/>
  <c r="H279" i="5"/>
  <c r="H275" i="5"/>
  <c r="H362" i="5"/>
  <c r="H358" i="5"/>
  <c r="H354" i="5"/>
  <c r="H350" i="5"/>
  <c r="H346" i="5"/>
  <c r="H342" i="5"/>
  <c r="H338" i="5"/>
  <c r="H334" i="5"/>
  <c r="H330" i="5"/>
  <c r="H326" i="5"/>
  <c r="H322" i="5"/>
  <c r="H318" i="5"/>
  <c r="H314" i="5"/>
  <c r="H310" i="5"/>
  <c r="H306" i="5"/>
  <c r="H302" i="5"/>
  <c r="H298" i="5"/>
  <c r="H294" i="5"/>
  <c r="H290" i="5"/>
  <c r="H286" i="5"/>
  <c r="H282" i="5"/>
  <c r="H278" i="5"/>
  <c r="H274" i="5"/>
  <c r="A1" i="8" l="1"/>
  <c r="H267" i="5"/>
  <c r="H263" i="5"/>
  <c r="H259" i="5"/>
  <c r="H262" i="5"/>
  <c r="H265" i="5"/>
  <c r="H257" i="5"/>
  <c r="H260" i="5"/>
  <c r="H270" i="5"/>
  <c r="H266" i="5"/>
  <c r="H258" i="5"/>
  <c r="H261" i="5"/>
  <c r="H268" i="5"/>
  <c r="H264" i="5"/>
  <c r="H256" i="5"/>
  <c r="H269" i="5"/>
  <c r="O23" i="8" l="1"/>
  <c r="K23" i="8"/>
  <c r="G23" i="8"/>
  <c r="O22" i="8"/>
  <c r="K22" i="8"/>
  <c r="G22" i="8"/>
  <c r="H23" i="8"/>
  <c r="D22" i="8"/>
  <c r="N23" i="8"/>
  <c r="J23" i="8"/>
  <c r="F23" i="8"/>
  <c r="N22" i="8"/>
  <c r="J22" i="8"/>
  <c r="F22" i="8"/>
  <c r="L23" i="8"/>
  <c r="L22" i="8"/>
  <c r="M23" i="8"/>
  <c r="I23" i="8"/>
  <c r="E23" i="8"/>
  <c r="M22" i="8"/>
  <c r="I22" i="8"/>
  <c r="E22" i="8"/>
  <c r="D23" i="8"/>
  <c r="D23" i="10" s="1"/>
  <c r="H22" i="8"/>
  <c r="K3" i="11"/>
  <c r="J3" i="11"/>
  <c r="H253" i="5"/>
  <c r="H249" i="5"/>
  <c r="H245" i="5"/>
  <c r="H244" i="5"/>
  <c r="H250" i="5"/>
  <c r="H252" i="5"/>
  <c r="H248" i="5"/>
  <c r="H243" i="5"/>
  <c r="H246" i="5"/>
  <c r="H255" i="5"/>
  <c r="H251" i="5"/>
  <c r="H247" i="5"/>
  <c r="H254" i="5"/>
  <c r="H242" i="5"/>
  <c r="L23" i="10" l="1"/>
  <c r="H23" i="10"/>
  <c r="I23" i="10"/>
  <c r="M23" i="10"/>
  <c r="L24" i="8"/>
  <c r="L22" i="10"/>
  <c r="P22" i="10"/>
  <c r="O24" i="8"/>
  <c r="O22" i="10"/>
  <c r="E23" i="10"/>
  <c r="F23" i="10"/>
  <c r="G23" i="10"/>
  <c r="H24" i="8"/>
  <c r="H22" i="10"/>
  <c r="D22" i="10"/>
  <c r="D24" i="8"/>
  <c r="D24" i="10" s="1"/>
  <c r="E22" i="10"/>
  <c r="E24" i="8"/>
  <c r="F22" i="10"/>
  <c r="F24" i="8"/>
  <c r="J23" i="10"/>
  <c r="G22" i="10"/>
  <c r="G24" i="8"/>
  <c r="K23" i="10"/>
  <c r="M24" i="8"/>
  <c r="M22" i="10"/>
  <c r="N24" i="8"/>
  <c r="N22" i="10"/>
  <c r="I22" i="10"/>
  <c r="I24" i="8"/>
  <c r="J24" i="8"/>
  <c r="J22" i="10"/>
  <c r="N23" i="10"/>
  <c r="K24" i="8"/>
  <c r="K22" i="10"/>
  <c r="O23" i="10"/>
  <c r="P23" i="10"/>
  <c r="J5" i="11"/>
  <c r="AF42" i="1"/>
  <c r="AF37" i="1"/>
  <c r="AF36" i="1"/>
  <c r="AF35" i="1"/>
  <c r="AF34" i="1"/>
  <c r="AF33" i="1"/>
  <c r="AF32" i="1"/>
  <c r="AF31" i="1"/>
  <c r="AF30" i="1"/>
  <c r="AF28" i="1"/>
  <c r="AF27" i="1"/>
  <c r="AF26" i="1"/>
  <c r="H58" i="4"/>
  <c r="H57" i="4"/>
  <c r="H56" i="4"/>
  <c r="H55" i="4"/>
  <c r="H54" i="4"/>
  <c r="H53" i="4"/>
  <c r="H52" i="4"/>
  <c r="H239" i="5"/>
  <c r="H235" i="5"/>
  <c r="H231" i="5"/>
  <c r="H227" i="5"/>
  <c r="H223" i="5"/>
  <c r="H219" i="5"/>
  <c r="H224" i="5"/>
  <c r="H238" i="5"/>
  <c r="H234" i="5"/>
  <c r="H230" i="5"/>
  <c r="H226" i="5"/>
  <c r="H222" i="5"/>
  <c r="H218" i="5"/>
  <c r="H236" i="5"/>
  <c r="H228" i="5"/>
  <c r="H220" i="5"/>
  <c r="H241" i="5"/>
  <c r="H237" i="5"/>
  <c r="H233" i="5"/>
  <c r="H229" i="5"/>
  <c r="H225" i="5"/>
  <c r="H221" i="5"/>
  <c r="H217" i="5"/>
  <c r="H240" i="5"/>
  <c r="H232" i="5"/>
  <c r="M24" i="10" l="1"/>
  <c r="J24" i="10"/>
  <c r="H24" i="10"/>
  <c r="L24" i="10"/>
  <c r="F24" i="10"/>
  <c r="O24" i="10"/>
  <c r="P24" i="10"/>
  <c r="G24" i="10"/>
  <c r="N24" i="10"/>
  <c r="K24" i="10"/>
  <c r="I24" i="10"/>
  <c r="E24" i="10"/>
  <c r="K5" i="11"/>
  <c r="J6" i="11"/>
  <c r="K6" i="11"/>
  <c r="J7" i="11"/>
  <c r="K7" i="11"/>
  <c r="J8" i="11"/>
  <c r="K8" i="11"/>
  <c r="K4" i="11"/>
  <c r="J4" i="11"/>
  <c r="AF13" i="1"/>
  <c r="AF12" i="1"/>
  <c r="AF11" i="1"/>
  <c r="L4" i="11" l="1"/>
  <c r="L5" i="11"/>
  <c r="L6" i="11"/>
  <c r="L7" i="11"/>
  <c r="L8" i="11"/>
  <c r="F10" i="7" l="1"/>
  <c r="F9" i="7"/>
  <c r="F8" i="7"/>
  <c r="F7" i="7"/>
  <c r="F6" i="7"/>
  <c r="F5" i="7"/>
  <c r="F4" i="7"/>
  <c r="F3" i="7"/>
  <c r="F2" i="7"/>
  <c r="F10" i="6"/>
  <c r="F9" i="6"/>
  <c r="F8" i="6"/>
  <c r="F7" i="6"/>
  <c r="F6" i="6"/>
  <c r="F5" i="6"/>
  <c r="F4" i="6"/>
  <c r="F3" i="6"/>
  <c r="F2" i="6"/>
  <c r="AB217" i="3"/>
  <c r="AA217" i="3"/>
  <c r="AB216" i="3"/>
  <c r="AA216" i="3"/>
  <c r="AB215" i="3"/>
  <c r="AA215" i="3"/>
  <c r="AB214" i="3"/>
  <c r="AA214" i="3"/>
  <c r="AB213" i="3"/>
  <c r="AA213" i="3"/>
  <c r="AB212" i="3"/>
  <c r="AA212" i="3"/>
  <c r="AB211" i="3"/>
  <c r="AA211" i="3"/>
  <c r="AB210" i="3"/>
  <c r="AA210" i="3"/>
  <c r="AB209" i="3"/>
  <c r="AA209" i="3"/>
  <c r="AB208" i="3"/>
  <c r="AA208" i="3"/>
  <c r="AB207" i="3"/>
  <c r="AA207" i="3"/>
  <c r="AB206" i="3"/>
  <c r="AA206" i="3"/>
  <c r="AB205" i="3"/>
  <c r="AA205" i="3"/>
  <c r="AB204" i="3"/>
  <c r="AA204" i="3"/>
  <c r="AB203" i="3"/>
  <c r="AA203" i="3"/>
  <c r="AB202" i="3"/>
  <c r="AA202" i="3"/>
  <c r="AB201" i="3"/>
  <c r="AA201" i="3"/>
  <c r="AB200" i="3"/>
  <c r="AA200" i="3"/>
  <c r="AB199" i="3"/>
  <c r="AA199" i="3"/>
  <c r="AB198" i="3"/>
  <c r="AA198" i="3"/>
  <c r="AB197" i="3"/>
  <c r="AA197" i="3"/>
  <c r="AB196" i="3"/>
  <c r="AA196" i="3"/>
  <c r="AB195" i="3"/>
  <c r="AA195" i="3"/>
  <c r="AB194" i="3"/>
  <c r="AA194" i="3"/>
  <c r="AB193" i="3"/>
  <c r="AA193" i="3"/>
  <c r="AB192" i="3"/>
  <c r="AA192" i="3"/>
  <c r="AB191" i="3"/>
  <c r="AA191" i="3"/>
  <c r="AB190" i="3"/>
  <c r="AA190" i="3"/>
  <c r="AB189" i="3"/>
  <c r="AA189" i="3"/>
  <c r="AB188" i="3"/>
  <c r="AA188" i="3"/>
  <c r="AB187" i="3"/>
  <c r="AA187" i="3"/>
  <c r="AB186" i="3"/>
  <c r="AA186" i="3"/>
  <c r="AB185" i="3"/>
  <c r="AA185" i="3"/>
  <c r="AB184" i="3"/>
  <c r="AA184" i="3"/>
  <c r="AB183" i="3"/>
  <c r="AA183" i="3"/>
  <c r="AB182" i="3"/>
  <c r="AA182" i="3"/>
  <c r="AB181" i="3"/>
  <c r="AA181" i="3"/>
  <c r="AB180" i="3"/>
  <c r="AA180" i="3"/>
  <c r="AB179" i="3"/>
  <c r="AA179" i="3"/>
  <c r="AB178" i="3"/>
  <c r="AA178" i="3"/>
  <c r="AB177" i="3"/>
  <c r="AA177" i="3"/>
  <c r="AB176" i="3"/>
  <c r="AA176" i="3"/>
  <c r="AB175" i="3"/>
  <c r="AA175" i="3"/>
  <c r="AB174" i="3"/>
  <c r="AA174" i="3"/>
  <c r="AB173" i="3"/>
  <c r="AA173" i="3"/>
  <c r="AB172" i="3"/>
  <c r="AA172" i="3"/>
  <c r="AB171" i="3"/>
  <c r="AA171" i="3"/>
  <c r="AB170" i="3"/>
  <c r="AA170" i="3"/>
  <c r="AB169" i="3"/>
  <c r="AA169" i="3"/>
  <c r="AB168" i="3"/>
  <c r="AA168" i="3"/>
  <c r="AB167" i="3"/>
  <c r="AA167" i="3"/>
  <c r="AB166" i="3"/>
  <c r="AA166" i="3"/>
  <c r="AB165" i="3"/>
  <c r="AA165" i="3"/>
  <c r="AB164" i="3"/>
  <c r="AA164" i="3"/>
  <c r="AB163" i="3"/>
  <c r="AA163" i="3"/>
  <c r="E9" i="11"/>
  <c r="D9" i="11"/>
  <c r="J9" i="11" s="1"/>
  <c r="F8" i="11"/>
  <c r="F7" i="11"/>
  <c r="F6" i="11"/>
  <c r="F5" i="11"/>
  <c r="F4" i="11"/>
  <c r="N1" i="11"/>
  <c r="M1" i="11"/>
  <c r="L1" i="11"/>
  <c r="K1" i="11"/>
  <c r="J1" i="11"/>
  <c r="I1" i="11"/>
  <c r="H1" i="11"/>
  <c r="G1" i="11"/>
  <c r="F1" i="11"/>
  <c r="E1" i="11"/>
  <c r="D1" i="11"/>
  <c r="C1" i="11"/>
  <c r="B1" i="11"/>
  <c r="A1" i="11"/>
  <c r="O33" i="8"/>
  <c r="N33" i="8"/>
  <c r="M33" i="8"/>
  <c r="M33" i="10" s="1"/>
  <c r="L33" i="8"/>
  <c r="K33" i="8"/>
  <c r="J33" i="8"/>
  <c r="I33" i="8"/>
  <c r="H33" i="8"/>
  <c r="G33" i="8"/>
  <c r="F33" i="8"/>
  <c r="E33" i="8"/>
  <c r="D33" i="8"/>
  <c r="D33" i="10" s="1"/>
  <c r="O32" i="8"/>
  <c r="N32" i="8"/>
  <c r="M32" i="8"/>
  <c r="L32" i="8"/>
  <c r="K32" i="8"/>
  <c r="J32" i="8"/>
  <c r="I32" i="8"/>
  <c r="H32" i="8"/>
  <c r="G32" i="8"/>
  <c r="F32" i="8"/>
  <c r="E32" i="8"/>
  <c r="D32" i="8"/>
  <c r="D32" i="10" s="1"/>
  <c r="O31" i="8"/>
  <c r="N31" i="8"/>
  <c r="M31" i="8"/>
  <c r="L31" i="8"/>
  <c r="K31" i="8"/>
  <c r="J31" i="8"/>
  <c r="I31" i="8"/>
  <c r="H31" i="8"/>
  <c r="G31" i="8"/>
  <c r="F31" i="8"/>
  <c r="E31" i="8"/>
  <c r="D31" i="8"/>
  <c r="D31" i="10" s="1"/>
  <c r="O29" i="8"/>
  <c r="N29" i="8"/>
  <c r="M29" i="8"/>
  <c r="L29" i="8"/>
  <c r="K29" i="8"/>
  <c r="J29" i="8"/>
  <c r="I29" i="8"/>
  <c r="H29" i="8"/>
  <c r="G29" i="8"/>
  <c r="F29" i="8"/>
  <c r="E29" i="8"/>
  <c r="D29" i="8"/>
  <c r="O28" i="8"/>
  <c r="N28" i="8"/>
  <c r="M28" i="8"/>
  <c r="L28" i="8"/>
  <c r="K28" i="8"/>
  <c r="J28" i="8"/>
  <c r="I28" i="8"/>
  <c r="H28" i="8"/>
  <c r="G28" i="8"/>
  <c r="F28" i="8"/>
  <c r="E28" i="8"/>
  <c r="D28" i="8"/>
  <c r="O20" i="8"/>
  <c r="N20" i="8"/>
  <c r="M20" i="8"/>
  <c r="L20" i="8"/>
  <c r="K20" i="8"/>
  <c r="J20" i="8"/>
  <c r="I20" i="8"/>
  <c r="H20" i="8"/>
  <c r="G20" i="8"/>
  <c r="F20" i="8"/>
  <c r="E20" i="8"/>
  <c r="D20" i="8"/>
  <c r="D20" i="10" s="1"/>
  <c r="O19" i="8"/>
  <c r="N19" i="8"/>
  <c r="M19" i="8"/>
  <c r="L19" i="8"/>
  <c r="K19" i="8"/>
  <c r="J19" i="8"/>
  <c r="I19" i="8"/>
  <c r="H19" i="8"/>
  <c r="G19" i="8"/>
  <c r="F19" i="8"/>
  <c r="E19" i="8"/>
  <c r="D19" i="8"/>
  <c r="D19" i="10" s="1"/>
  <c r="O17" i="8"/>
  <c r="N17" i="8"/>
  <c r="M17" i="8"/>
  <c r="L17" i="8"/>
  <c r="K17" i="8"/>
  <c r="J17" i="8"/>
  <c r="I17" i="8"/>
  <c r="H17" i="8"/>
  <c r="G17" i="8"/>
  <c r="F17" i="8"/>
  <c r="E17" i="8"/>
  <c r="D17" i="8"/>
  <c r="D17" i="10" s="1"/>
  <c r="O16" i="8"/>
  <c r="N16" i="8"/>
  <c r="M16" i="8"/>
  <c r="L16" i="8"/>
  <c r="K16" i="8"/>
  <c r="J16" i="8"/>
  <c r="I16" i="8"/>
  <c r="H16" i="8"/>
  <c r="G16" i="8"/>
  <c r="F16" i="8"/>
  <c r="E16" i="8"/>
  <c r="D16" i="8"/>
  <c r="D16" i="10" s="1"/>
  <c r="O14" i="8"/>
  <c r="N14" i="8"/>
  <c r="M14" i="8"/>
  <c r="L14" i="8"/>
  <c r="K14" i="8"/>
  <c r="J14" i="8"/>
  <c r="I14" i="8"/>
  <c r="H14" i="8"/>
  <c r="G14" i="8"/>
  <c r="F14" i="8"/>
  <c r="E14" i="8"/>
  <c r="D14" i="8"/>
  <c r="D14" i="10" s="1"/>
  <c r="O13" i="8"/>
  <c r="N13" i="8"/>
  <c r="M13" i="8"/>
  <c r="L13" i="8"/>
  <c r="K13" i="8"/>
  <c r="J13" i="8"/>
  <c r="I13" i="8"/>
  <c r="H13" i="8"/>
  <c r="G13" i="8"/>
  <c r="F13" i="8"/>
  <c r="E13" i="8"/>
  <c r="D13" i="8"/>
  <c r="D13" i="10" s="1"/>
  <c r="O11" i="8"/>
  <c r="N11" i="8"/>
  <c r="M11" i="8"/>
  <c r="L11" i="8"/>
  <c r="K11" i="8"/>
  <c r="J11" i="8"/>
  <c r="I11" i="8"/>
  <c r="H11" i="8"/>
  <c r="G11" i="8"/>
  <c r="F11" i="8"/>
  <c r="E11" i="8"/>
  <c r="D11" i="8"/>
  <c r="D11" i="10" s="1"/>
  <c r="O10" i="8"/>
  <c r="N10" i="8"/>
  <c r="M10" i="8"/>
  <c r="L10" i="8"/>
  <c r="K10" i="8"/>
  <c r="J10" i="8"/>
  <c r="I10" i="8"/>
  <c r="H10" i="8"/>
  <c r="G10" i="8"/>
  <c r="F10" i="8"/>
  <c r="E10" i="8"/>
  <c r="D10" i="8"/>
  <c r="D10" i="10" s="1"/>
  <c r="O8" i="8"/>
  <c r="N8" i="8"/>
  <c r="M8" i="8"/>
  <c r="L8" i="8"/>
  <c r="K8" i="8"/>
  <c r="J8" i="8"/>
  <c r="I8" i="8"/>
  <c r="H8" i="8"/>
  <c r="G8" i="8"/>
  <c r="F8" i="8"/>
  <c r="E8" i="8"/>
  <c r="D8" i="8"/>
  <c r="D8" i="10" s="1"/>
  <c r="O7" i="8"/>
  <c r="N7" i="8"/>
  <c r="M7" i="8"/>
  <c r="L7" i="8"/>
  <c r="K7" i="8"/>
  <c r="J7" i="8"/>
  <c r="I7" i="8"/>
  <c r="H7" i="8"/>
  <c r="G7" i="8"/>
  <c r="F7" i="8"/>
  <c r="E7" i="8"/>
  <c r="D7" i="8"/>
  <c r="D7" i="10" s="1"/>
  <c r="O5" i="8"/>
  <c r="N5" i="8"/>
  <c r="M5" i="8"/>
  <c r="L5" i="8"/>
  <c r="K5" i="8"/>
  <c r="J5" i="8"/>
  <c r="I5" i="8"/>
  <c r="H5" i="8"/>
  <c r="G5" i="8"/>
  <c r="F5" i="8"/>
  <c r="E5" i="8"/>
  <c r="D5" i="8"/>
  <c r="D5" i="10" s="1"/>
  <c r="O4" i="8"/>
  <c r="N4" i="8"/>
  <c r="M4" i="8"/>
  <c r="L4" i="8"/>
  <c r="K4" i="8"/>
  <c r="J4" i="8"/>
  <c r="I4" i="8"/>
  <c r="H4" i="8"/>
  <c r="G4" i="8"/>
  <c r="F4" i="8"/>
  <c r="E4" i="8"/>
  <c r="D4" i="8"/>
  <c r="D4" i="10" s="1"/>
  <c r="A1" i="10"/>
  <c r="AF25" i="1"/>
  <c r="AF24" i="1"/>
  <c r="AF23" i="1"/>
  <c r="AF22" i="1"/>
  <c r="AF21" i="1"/>
  <c r="AF20" i="1"/>
  <c r="AF19" i="1"/>
  <c r="AF18" i="1"/>
  <c r="AF17" i="1"/>
  <c r="AF16" i="1"/>
  <c r="AF15" i="1"/>
  <c r="AF14" i="1"/>
  <c r="AF10" i="1"/>
  <c r="AF9" i="1"/>
  <c r="AF8" i="1"/>
  <c r="AF7" i="1"/>
  <c r="AF6" i="1"/>
  <c r="AF5" i="1"/>
  <c r="AF4" i="1"/>
  <c r="AF3" i="1"/>
  <c r="AF2" i="1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H214" i="5"/>
  <c r="H210" i="5"/>
  <c r="H206" i="5"/>
  <c r="H202" i="5"/>
  <c r="H198" i="5"/>
  <c r="H194" i="5"/>
  <c r="H190" i="5"/>
  <c r="H186" i="5"/>
  <c r="H182" i="5"/>
  <c r="H178" i="5"/>
  <c r="H174" i="5"/>
  <c r="H170" i="5"/>
  <c r="H166" i="5"/>
  <c r="H162" i="5"/>
  <c r="H158" i="5"/>
  <c r="H154" i="5"/>
  <c r="H150" i="5"/>
  <c r="H146" i="5"/>
  <c r="H142" i="5"/>
  <c r="H138" i="5"/>
  <c r="H134" i="5"/>
  <c r="H130" i="5"/>
  <c r="H126" i="5"/>
  <c r="H122" i="5"/>
  <c r="H118" i="5"/>
  <c r="H114" i="5"/>
  <c r="H110" i="5"/>
  <c r="H106" i="5"/>
  <c r="H102" i="5"/>
  <c r="H98" i="5"/>
  <c r="H94" i="5"/>
  <c r="H90" i="5"/>
  <c r="H86" i="5"/>
  <c r="H82" i="5"/>
  <c r="H78" i="5"/>
  <c r="H74" i="5"/>
  <c r="H70" i="5"/>
  <c r="H66" i="5"/>
  <c r="H62" i="5"/>
  <c r="H58" i="5"/>
  <c r="H54" i="5"/>
  <c r="H50" i="5"/>
  <c r="H46" i="5"/>
  <c r="H42" i="5"/>
  <c r="H38" i="5"/>
  <c r="H34" i="5"/>
  <c r="H30" i="5"/>
  <c r="H26" i="5"/>
  <c r="H22" i="5"/>
  <c r="H18" i="5"/>
  <c r="H14" i="5"/>
  <c r="H10" i="5"/>
  <c r="H6" i="5"/>
  <c r="H2" i="5"/>
  <c r="H213" i="5"/>
  <c r="H209" i="5"/>
  <c r="H205" i="5"/>
  <c r="H201" i="5"/>
  <c r="H197" i="5"/>
  <c r="H193" i="5"/>
  <c r="H189" i="5"/>
  <c r="H185" i="5"/>
  <c r="H181" i="5"/>
  <c r="H177" i="5"/>
  <c r="H173" i="5"/>
  <c r="H169" i="5"/>
  <c r="H165" i="5"/>
  <c r="H161" i="5"/>
  <c r="H157" i="5"/>
  <c r="H153" i="5"/>
  <c r="H149" i="5"/>
  <c r="H145" i="5"/>
  <c r="H141" i="5"/>
  <c r="H137" i="5"/>
  <c r="H133" i="5"/>
  <c r="H129" i="5"/>
  <c r="H125" i="5"/>
  <c r="H121" i="5"/>
  <c r="H117" i="5"/>
  <c r="H113" i="5"/>
  <c r="H109" i="5"/>
  <c r="H105" i="5"/>
  <c r="H101" i="5"/>
  <c r="H97" i="5"/>
  <c r="H93" i="5"/>
  <c r="H89" i="5"/>
  <c r="H85" i="5"/>
  <c r="H81" i="5"/>
  <c r="H77" i="5"/>
  <c r="H73" i="5"/>
  <c r="H69" i="5"/>
  <c r="H65" i="5"/>
  <c r="H61" i="5"/>
  <c r="H57" i="5"/>
  <c r="H53" i="5"/>
  <c r="H49" i="5"/>
  <c r="H45" i="5"/>
  <c r="H41" i="5"/>
  <c r="H37" i="5"/>
  <c r="H33" i="5"/>
  <c r="H29" i="5"/>
  <c r="H25" i="5"/>
  <c r="H21" i="5"/>
  <c r="H17" i="5"/>
  <c r="H13" i="5"/>
  <c r="H9" i="5"/>
  <c r="H5" i="5"/>
  <c r="H211" i="5"/>
  <c r="H203" i="5"/>
  <c r="H195" i="5"/>
  <c r="H187" i="5"/>
  <c r="H179" i="5"/>
  <c r="H171" i="5"/>
  <c r="H163" i="5"/>
  <c r="H155" i="5"/>
  <c r="H147" i="5"/>
  <c r="H139" i="5"/>
  <c r="H131" i="5"/>
  <c r="H123" i="5"/>
  <c r="H115" i="5"/>
  <c r="H107" i="5"/>
  <c r="H99" i="5"/>
  <c r="H91" i="5"/>
  <c r="H83" i="5"/>
  <c r="H75" i="5"/>
  <c r="H67" i="5"/>
  <c r="H59" i="5"/>
  <c r="H51" i="5"/>
  <c r="H43" i="5"/>
  <c r="H35" i="5"/>
  <c r="H27" i="5"/>
  <c r="H19" i="5"/>
  <c r="H11" i="5"/>
  <c r="H3" i="5"/>
  <c r="H216" i="5"/>
  <c r="H212" i="5"/>
  <c r="H208" i="5"/>
  <c r="H204" i="5"/>
  <c r="H200" i="5"/>
  <c r="H196" i="5"/>
  <c r="H192" i="5"/>
  <c r="H188" i="5"/>
  <c r="H184" i="5"/>
  <c r="H180" i="5"/>
  <c r="H176" i="5"/>
  <c r="H172" i="5"/>
  <c r="H168" i="5"/>
  <c r="H164" i="5"/>
  <c r="H160" i="5"/>
  <c r="H156" i="5"/>
  <c r="H152" i="5"/>
  <c r="H148" i="5"/>
  <c r="H144" i="5"/>
  <c r="H140" i="5"/>
  <c r="H136" i="5"/>
  <c r="H132" i="5"/>
  <c r="H128" i="5"/>
  <c r="H124" i="5"/>
  <c r="H120" i="5"/>
  <c r="H116" i="5"/>
  <c r="H112" i="5"/>
  <c r="H108" i="5"/>
  <c r="H104" i="5"/>
  <c r="H100" i="5"/>
  <c r="H96" i="5"/>
  <c r="H92" i="5"/>
  <c r="H88" i="5"/>
  <c r="H84" i="5"/>
  <c r="H80" i="5"/>
  <c r="H76" i="5"/>
  <c r="H72" i="5"/>
  <c r="H68" i="5"/>
  <c r="H64" i="5"/>
  <c r="H60" i="5"/>
  <c r="H56" i="5"/>
  <c r="H52" i="5"/>
  <c r="H48" i="5"/>
  <c r="H44" i="5"/>
  <c r="H40" i="5"/>
  <c r="H36" i="5"/>
  <c r="H32" i="5"/>
  <c r="H28" i="5"/>
  <c r="H24" i="5"/>
  <c r="H20" i="5"/>
  <c r="H16" i="5"/>
  <c r="H12" i="5"/>
  <c r="H8" i="5"/>
  <c r="H4" i="5"/>
  <c r="H215" i="5"/>
  <c r="H207" i="5"/>
  <c r="H199" i="5"/>
  <c r="H191" i="5"/>
  <c r="H183" i="5"/>
  <c r="H175" i="5"/>
  <c r="H167" i="5"/>
  <c r="H159" i="5"/>
  <c r="H151" i="5"/>
  <c r="H143" i="5"/>
  <c r="H135" i="5"/>
  <c r="H127" i="5"/>
  <c r="H119" i="5"/>
  <c r="H111" i="5"/>
  <c r="H103" i="5"/>
  <c r="H95" i="5"/>
  <c r="H87" i="5"/>
  <c r="H79" i="5"/>
  <c r="H71" i="5"/>
  <c r="H63" i="5"/>
  <c r="H55" i="5"/>
  <c r="H47" i="5"/>
  <c r="H39" i="5"/>
  <c r="H31" i="5"/>
  <c r="H23" i="5"/>
  <c r="H15" i="5"/>
  <c r="H7" i="5"/>
  <c r="I33" i="10" l="1"/>
  <c r="F33" i="10"/>
  <c r="J33" i="10"/>
  <c r="N33" i="10"/>
  <c r="G33" i="10"/>
  <c r="K33" i="10"/>
  <c r="O33" i="10"/>
  <c r="H33" i="10"/>
  <c r="L33" i="10"/>
  <c r="K9" i="11"/>
  <c r="P9" i="11" s="1"/>
  <c r="N4" i="11" s="1"/>
  <c r="E14" i="11"/>
  <c r="K14" i="11" s="1"/>
  <c r="N13" i="10"/>
  <c r="N14" i="10"/>
  <c r="N16" i="10"/>
  <c r="N17" i="10"/>
  <c r="N19" i="10"/>
  <c r="N4" i="10"/>
  <c r="N5" i="10"/>
  <c r="N7" i="10"/>
  <c r="N8" i="10"/>
  <c r="N10" i="10"/>
  <c r="N11" i="10"/>
  <c r="I4" i="10"/>
  <c r="M4" i="10"/>
  <c r="E5" i="10"/>
  <c r="I5" i="10"/>
  <c r="M5" i="10"/>
  <c r="E7" i="10"/>
  <c r="I7" i="10"/>
  <c r="M7" i="10"/>
  <c r="E8" i="10"/>
  <c r="I8" i="10"/>
  <c r="M8" i="10"/>
  <c r="E14" i="10"/>
  <c r="I14" i="10"/>
  <c r="M14" i="10"/>
  <c r="E16" i="10"/>
  <c r="I16" i="10"/>
  <c r="M16" i="10"/>
  <c r="E17" i="10"/>
  <c r="I17" i="10"/>
  <c r="M17" i="10"/>
  <c r="E19" i="10"/>
  <c r="I19" i="10"/>
  <c r="M19" i="10"/>
  <c r="E20" i="10"/>
  <c r="I20" i="10"/>
  <c r="M20" i="10"/>
  <c r="N20" i="10"/>
  <c r="F10" i="10"/>
  <c r="F13" i="10"/>
  <c r="G4" i="10"/>
  <c r="K4" i="10"/>
  <c r="O4" i="10"/>
  <c r="P4" i="10"/>
  <c r="G5" i="10"/>
  <c r="K5" i="10"/>
  <c r="O5" i="10"/>
  <c r="P5" i="10"/>
  <c r="G7" i="10"/>
  <c r="K7" i="10"/>
  <c r="O7" i="10"/>
  <c r="P7" i="10"/>
  <c r="G8" i="10"/>
  <c r="K8" i="10"/>
  <c r="O8" i="10"/>
  <c r="P8" i="10"/>
  <c r="G10" i="10"/>
  <c r="K10" i="10"/>
  <c r="P10" i="10"/>
  <c r="O10" i="10"/>
  <c r="G11" i="10"/>
  <c r="K11" i="10"/>
  <c r="O11" i="10"/>
  <c r="P11" i="10"/>
  <c r="G13" i="10"/>
  <c r="K13" i="10"/>
  <c r="O13" i="10"/>
  <c r="P13" i="10"/>
  <c r="G14" i="10"/>
  <c r="K14" i="10"/>
  <c r="P14" i="10"/>
  <c r="O14" i="10"/>
  <c r="G16" i="10"/>
  <c r="K16" i="10"/>
  <c r="O16" i="10"/>
  <c r="P16" i="10"/>
  <c r="G17" i="10"/>
  <c r="K17" i="10"/>
  <c r="O17" i="10"/>
  <c r="P17" i="10"/>
  <c r="G19" i="10"/>
  <c r="K19" i="10"/>
  <c r="O19" i="10"/>
  <c r="P19" i="10"/>
  <c r="G20" i="10"/>
  <c r="K20" i="10"/>
  <c r="O20" i="10"/>
  <c r="P20" i="10"/>
  <c r="G28" i="10"/>
  <c r="G25" i="8"/>
  <c r="K28" i="10"/>
  <c r="K25" i="8"/>
  <c r="O28" i="10"/>
  <c r="P28" i="10"/>
  <c r="G29" i="10"/>
  <c r="G26" i="8"/>
  <c r="K29" i="10"/>
  <c r="K26" i="8"/>
  <c r="O29" i="10"/>
  <c r="P29" i="10"/>
  <c r="H4" i="10"/>
  <c r="L4" i="10"/>
  <c r="H5" i="10"/>
  <c r="L5" i="10"/>
  <c r="H7" i="10"/>
  <c r="L7" i="10"/>
  <c r="H8" i="10"/>
  <c r="L8" i="10"/>
  <c r="H10" i="10"/>
  <c r="L10" i="10"/>
  <c r="H11" i="10"/>
  <c r="L11" i="10"/>
  <c r="H13" i="10"/>
  <c r="L13" i="10"/>
  <c r="H14" i="10"/>
  <c r="L14" i="10"/>
  <c r="H16" i="10"/>
  <c r="L16" i="10"/>
  <c r="H17" i="10"/>
  <c r="L17" i="10"/>
  <c r="H19" i="10"/>
  <c r="L19" i="10"/>
  <c r="H20" i="10"/>
  <c r="L20" i="10"/>
  <c r="D28" i="10"/>
  <c r="D25" i="8"/>
  <c r="D25" i="10" s="1"/>
  <c r="H28" i="10"/>
  <c r="H25" i="8"/>
  <c r="L28" i="10"/>
  <c r="L25" i="8"/>
  <c r="D29" i="10"/>
  <c r="D26" i="8"/>
  <c r="D26" i="10" s="1"/>
  <c r="H29" i="10"/>
  <c r="H26" i="8"/>
  <c r="L29" i="10"/>
  <c r="L26" i="8"/>
  <c r="E10" i="10"/>
  <c r="I10" i="10"/>
  <c r="M10" i="10"/>
  <c r="E11" i="10"/>
  <c r="I11" i="10"/>
  <c r="M11" i="10"/>
  <c r="E13" i="10"/>
  <c r="I13" i="10"/>
  <c r="M13" i="10"/>
  <c r="E28" i="10"/>
  <c r="E25" i="8"/>
  <c r="I28" i="10"/>
  <c r="I25" i="8"/>
  <c r="M28" i="10"/>
  <c r="M25" i="8"/>
  <c r="E29" i="10"/>
  <c r="E26" i="8"/>
  <c r="I26" i="8"/>
  <c r="I29" i="10"/>
  <c r="M29" i="10"/>
  <c r="M26" i="8"/>
  <c r="F4" i="10"/>
  <c r="J4" i="10"/>
  <c r="F5" i="10"/>
  <c r="J5" i="10"/>
  <c r="F7" i="10"/>
  <c r="J7" i="10"/>
  <c r="F8" i="10"/>
  <c r="J8" i="10"/>
  <c r="J10" i="10"/>
  <c r="F11" i="10"/>
  <c r="J11" i="10"/>
  <c r="J13" i="10"/>
  <c r="F14" i="10"/>
  <c r="J14" i="10"/>
  <c r="F16" i="10"/>
  <c r="J16" i="10"/>
  <c r="F17" i="10"/>
  <c r="J17" i="10"/>
  <c r="F19" i="10"/>
  <c r="J19" i="10"/>
  <c r="F20" i="10"/>
  <c r="J20" i="10"/>
  <c r="F28" i="10"/>
  <c r="F25" i="8"/>
  <c r="J28" i="10"/>
  <c r="J25" i="8"/>
  <c r="N28" i="10"/>
  <c r="N25" i="8"/>
  <c r="F29" i="10"/>
  <c r="F26" i="8"/>
  <c r="J26" i="8"/>
  <c r="J29" i="10"/>
  <c r="N29" i="10"/>
  <c r="N26" i="8"/>
  <c r="M32" i="10"/>
  <c r="L31" i="10"/>
  <c r="L32" i="10"/>
  <c r="M31" i="10"/>
  <c r="N31" i="10"/>
  <c r="N32" i="10"/>
  <c r="O31" i="10"/>
  <c r="O32" i="10"/>
  <c r="O39" i="8"/>
  <c r="G38" i="8"/>
  <c r="D39" i="8"/>
  <c r="D39" i="10" s="1"/>
  <c r="H39" i="8"/>
  <c r="K39" i="8"/>
  <c r="M38" i="8"/>
  <c r="O38" i="8"/>
  <c r="I38" i="8"/>
  <c r="J39" i="8"/>
  <c r="N39" i="8"/>
  <c r="J38" i="8"/>
  <c r="J38" i="10" s="1"/>
  <c r="K38" i="8"/>
  <c r="N38" i="8"/>
  <c r="D38" i="8"/>
  <c r="D38" i="10" s="1"/>
  <c r="H38" i="8"/>
  <c r="E39" i="8"/>
  <c r="E39" i="10" s="1"/>
  <c r="I39" i="8"/>
  <c r="I39" i="10" s="1"/>
  <c r="L38" i="8"/>
  <c r="L38" i="10" s="1"/>
  <c r="E38" i="8"/>
  <c r="F39" i="8"/>
  <c r="F39" i="10" s="1"/>
  <c r="L39" i="8"/>
  <c r="L39" i="10" s="1"/>
  <c r="F38" i="8"/>
  <c r="F38" i="10" s="1"/>
  <c r="G39" i="8"/>
  <c r="M39" i="8"/>
  <c r="M30" i="8"/>
  <c r="O30" i="8"/>
  <c r="N30" i="8"/>
  <c r="N34" i="8"/>
  <c r="E34" i="8"/>
  <c r="I34" i="8"/>
  <c r="K18" i="8"/>
  <c r="O12" i="8"/>
  <c r="D18" i="8"/>
  <c r="D18" i="10" s="1"/>
  <c r="J34" i="8"/>
  <c r="J34" i="10" s="1"/>
  <c r="H18" i="8"/>
  <c r="G18" i="8"/>
  <c r="N9" i="8"/>
  <c r="N18" i="8"/>
  <c r="O18" i="8"/>
  <c r="L18" i="8"/>
  <c r="M18" i="8"/>
  <c r="M15" i="8"/>
  <c r="F9" i="11"/>
  <c r="N12" i="8"/>
  <c r="N6" i="8"/>
  <c r="O15" i="8"/>
  <c r="M12" i="8"/>
  <c r="O34" i="8"/>
  <c r="O34" i="10" s="1"/>
  <c r="F34" i="8"/>
  <c r="F34" i="10" s="1"/>
  <c r="M34" i="8"/>
  <c r="E33" i="10"/>
  <c r="E32" i="10"/>
  <c r="I32" i="10"/>
  <c r="F32" i="10"/>
  <c r="J32" i="10"/>
  <c r="G31" i="10"/>
  <c r="K31" i="10"/>
  <c r="G32" i="10"/>
  <c r="K32" i="10"/>
  <c r="H31" i="10"/>
  <c r="H32" i="10"/>
  <c r="G34" i="8"/>
  <c r="K34" i="8"/>
  <c r="E31" i="10"/>
  <c r="I31" i="10"/>
  <c r="D34" i="8"/>
  <c r="D34" i="10" s="1"/>
  <c r="H34" i="8"/>
  <c r="L34" i="8"/>
  <c r="F31" i="10"/>
  <c r="J31" i="10"/>
  <c r="N15" i="8"/>
  <c r="O6" i="8"/>
  <c r="M9" i="8"/>
  <c r="O9" i="8"/>
  <c r="M6" i="8"/>
  <c r="G6" i="8"/>
  <c r="K6" i="8"/>
  <c r="G9" i="8"/>
  <c r="K9" i="8"/>
  <c r="G12" i="8"/>
  <c r="K12" i="8"/>
  <c r="G15" i="8"/>
  <c r="K15" i="8"/>
  <c r="E18" i="8"/>
  <c r="D9" i="8"/>
  <c r="D9" i="10" s="1"/>
  <c r="H9" i="8"/>
  <c r="L9" i="8"/>
  <c r="D12" i="8"/>
  <c r="D12" i="10" s="1"/>
  <c r="H12" i="8"/>
  <c r="L12" i="8"/>
  <c r="D15" i="8"/>
  <c r="D15" i="10" s="1"/>
  <c r="H15" i="8"/>
  <c r="L15" i="8"/>
  <c r="I18" i="8"/>
  <c r="D6" i="8"/>
  <c r="D6" i="10" s="1"/>
  <c r="H6" i="8"/>
  <c r="L6" i="8"/>
  <c r="E4" i="10"/>
  <c r="E6" i="8"/>
  <c r="I6" i="8"/>
  <c r="E9" i="8"/>
  <c r="I9" i="8"/>
  <c r="E12" i="8"/>
  <c r="I12" i="8"/>
  <c r="E15" i="8"/>
  <c r="I15" i="8"/>
  <c r="O25" i="8"/>
  <c r="O26" i="8"/>
  <c r="F6" i="8"/>
  <c r="J6" i="8"/>
  <c r="F9" i="8"/>
  <c r="J9" i="8"/>
  <c r="F12" i="8"/>
  <c r="J12" i="8"/>
  <c r="F15" i="8"/>
  <c r="J15" i="8"/>
  <c r="E21" i="8"/>
  <c r="I21" i="8"/>
  <c r="M21" i="8"/>
  <c r="E30" i="8"/>
  <c r="I30" i="8"/>
  <c r="F18" i="8"/>
  <c r="J18" i="8"/>
  <c r="F21" i="8"/>
  <c r="J21" i="8"/>
  <c r="N21" i="8"/>
  <c r="F30" i="8"/>
  <c r="J30" i="8"/>
  <c r="G21" i="8"/>
  <c r="K21" i="8"/>
  <c r="O21" i="8"/>
  <c r="G30" i="8"/>
  <c r="K30" i="8"/>
  <c r="D21" i="8"/>
  <c r="D21" i="10" s="1"/>
  <c r="H21" i="8"/>
  <c r="L21" i="8"/>
  <c r="D30" i="8"/>
  <c r="H30" i="8"/>
  <c r="L30" i="8"/>
  <c r="G34" i="10" l="1"/>
  <c r="M34" i="10"/>
  <c r="N39" i="10"/>
  <c r="K38" i="10"/>
  <c r="K39" i="10"/>
  <c r="O39" i="10"/>
  <c r="J39" i="10"/>
  <c r="H39" i="10"/>
  <c r="M39" i="10"/>
  <c r="G39" i="10"/>
  <c r="E38" i="10"/>
  <c r="H38" i="10"/>
  <c r="O38" i="10"/>
  <c r="G38" i="10"/>
  <c r="N38" i="10"/>
  <c r="M38" i="10"/>
  <c r="I38" i="10"/>
  <c r="H34" i="10"/>
  <c r="K34" i="10"/>
  <c r="I34" i="10"/>
  <c r="E34" i="10"/>
  <c r="L34" i="10"/>
  <c r="N34" i="10"/>
  <c r="L9" i="11"/>
  <c r="N5" i="11"/>
  <c r="F40" i="8"/>
  <c r="M40" i="8"/>
  <c r="I40" i="8"/>
  <c r="J40" i="8"/>
  <c r="L40" i="8"/>
  <c r="N40" i="8"/>
  <c r="H40" i="8"/>
  <c r="K40" i="8"/>
  <c r="G40" i="8"/>
  <c r="E40" i="8"/>
  <c r="O40" i="8"/>
  <c r="D30" i="10"/>
  <c r="D40" i="10" s="1"/>
  <c r="D40" i="8"/>
  <c r="L14" i="11"/>
  <c r="K18" i="11"/>
  <c r="L18" i="11" s="1"/>
  <c r="L6" i="10"/>
  <c r="E9" i="10"/>
  <c r="I6" i="10"/>
  <c r="E6" i="10"/>
  <c r="L9" i="10"/>
  <c r="I26" i="10"/>
  <c r="H6" i="10"/>
  <c r="I9" i="10"/>
  <c r="H9" i="10"/>
  <c r="F18" i="10"/>
  <c r="H26" i="10"/>
  <c r="L25" i="10"/>
  <c r="J18" i="10"/>
  <c r="E12" i="10"/>
  <c r="J21" i="10"/>
  <c r="H18" i="10"/>
  <c r="J15" i="10"/>
  <c r="J9" i="10"/>
  <c r="M18" i="10"/>
  <c r="M26" i="10"/>
  <c r="E26" i="10"/>
  <c r="I25" i="10"/>
  <c r="L21" i="10"/>
  <c r="H15" i="10"/>
  <c r="L15" i="10"/>
  <c r="N26" i="10"/>
  <c r="F26" i="10"/>
  <c r="J25" i="10"/>
  <c r="E15" i="10"/>
  <c r="E18" i="10"/>
  <c r="K15" i="10"/>
  <c r="N15" i="10"/>
  <c r="F30" i="10"/>
  <c r="M21" i="10"/>
  <c r="J12" i="10"/>
  <c r="J6" i="10"/>
  <c r="I15" i="10"/>
  <c r="J26" i="10"/>
  <c r="L26" i="10"/>
  <c r="H25" i="10"/>
  <c r="K30" i="10"/>
  <c r="G21" i="10"/>
  <c r="I30" i="10"/>
  <c r="E21" i="10"/>
  <c r="F12" i="10"/>
  <c r="F6" i="10"/>
  <c r="H12" i="10"/>
  <c r="K12" i="10"/>
  <c r="K6" i="10"/>
  <c r="M9" i="10"/>
  <c r="M12" i="10"/>
  <c r="K18" i="10"/>
  <c r="N30" i="10"/>
  <c r="M25" i="10"/>
  <c r="E25" i="10"/>
  <c r="P18" i="10"/>
  <c r="O18" i="10"/>
  <c r="L30" i="10"/>
  <c r="H21" i="10"/>
  <c r="O21" i="10"/>
  <c r="P21" i="10"/>
  <c r="F15" i="10"/>
  <c r="F9" i="10"/>
  <c r="O25" i="10"/>
  <c r="P25" i="10"/>
  <c r="H30" i="10"/>
  <c r="K21" i="10"/>
  <c r="N21" i="10"/>
  <c r="I21" i="10"/>
  <c r="I18" i="10"/>
  <c r="L12" i="10"/>
  <c r="G15" i="10"/>
  <c r="G9" i="10"/>
  <c r="O9" i="10"/>
  <c r="P9" i="10"/>
  <c r="N12" i="10"/>
  <c r="L18" i="10"/>
  <c r="G18" i="10"/>
  <c r="O12" i="10"/>
  <c r="P12" i="10"/>
  <c r="G26" i="10"/>
  <c r="K25" i="10"/>
  <c r="G30" i="10"/>
  <c r="J30" i="10"/>
  <c r="F21" i="10"/>
  <c r="E30" i="10"/>
  <c r="P26" i="10"/>
  <c r="O26" i="10"/>
  <c r="I12" i="10"/>
  <c r="G12" i="10"/>
  <c r="G6" i="10"/>
  <c r="P6" i="10"/>
  <c r="O6" i="10"/>
  <c r="O15" i="10"/>
  <c r="P15" i="10"/>
  <c r="M15" i="10"/>
  <c r="N18" i="10"/>
  <c r="P30" i="10"/>
  <c r="O30" i="10"/>
  <c r="K26" i="10"/>
  <c r="G25" i="10"/>
  <c r="K9" i="10"/>
  <c r="M6" i="10"/>
  <c r="N6" i="10"/>
  <c r="N9" i="10"/>
  <c r="M30" i="10"/>
  <c r="N25" i="10"/>
  <c r="F25" i="10"/>
  <c r="P33" i="10"/>
  <c r="P32" i="10"/>
  <c r="P31" i="10"/>
  <c r="M27" i="8"/>
  <c r="K27" i="8"/>
  <c r="F27" i="8"/>
  <c r="H27" i="8"/>
  <c r="G27" i="8"/>
  <c r="O27" i="8"/>
  <c r="D27" i="8"/>
  <c r="D27" i="10" s="1"/>
  <c r="I27" i="8"/>
  <c r="N27" i="8"/>
  <c r="L27" i="8"/>
  <c r="J27" i="8"/>
  <c r="E27" i="8"/>
  <c r="N40" i="10" l="1"/>
  <c r="K40" i="10"/>
  <c r="F40" i="10"/>
  <c r="O40" i="10"/>
  <c r="G40" i="10"/>
  <c r="I40" i="10"/>
  <c r="J40" i="10"/>
  <c r="M40" i="10"/>
  <c r="E40" i="10"/>
  <c r="H40" i="10"/>
  <c r="L40" i="10"/>
  <c r="E27" i="10"/>
  <c r="J27" i="10"/>
  <c r="L27" i="10"/>
  <c r="H27" i="10"/>
  <c r="G27" i="10"/>
  <c r="N27" i="10"/>
  <c r="F27" i="10"/>
  <c r="M27" i="10"/>
  <c r="I27" i="10"/>
  <c r="O27" i="10"/>
  <c r="P27" i="10"/>
  <c r="K27" i="10"/>
  <c r="P35" i="10"/>
  <c r="P36" i="10"/>
  <c r="P34" i="10"/>
  <c r="P37" i="10" l="1"/>
  <c r="P38" i="10" l="1"/>
  <c r="P39" i="10" s="1"/>
  <c r="P40" i="10" s="1"/>
</calcChain>
</file>

<file path=xl/comments1.xml><?xml version="1.0" encoding="utf-8"?>
<comments xmlns="http://schemas.openxmlformats.org/spreadsheetml/2006/main">
  <authors>
    <author>张曦</author>
  </authors>
  <commentList>
    <comment ref="A29" authorId="0" shapeId="0">
      <text>
        <r>
          <rPr>
            <b/>
            <sz val="9"/>
            <color indexed="81"/>
            <rFont val="宋体"/>
            <family val="3"/>
            <charset val="134"/>
          </rPr>
          <t>张曦:</t>
        </r>
        <r>
          <rPr>
            <sz val="9"/>
            <color indexed="81"/>
            <rFont val="宋体"/>
            <family val="3"/>
            <charset val="134"/>
          </rPr>
          <t xml:space="preserve">
4月的累计数有问题</t>
        </r>
      </text>
    </comment>
  </commentList>
</comments>
</file>

<file path=xl/sharedStrings.xml><?xml version="1.0" encoding="utf-8"?>
<sst xmlns="http://schemas.openxmlformats.org/spreadsheetml/2006/main" count="14561" uniqueCount="699">
  <si>
    <t xml:space="preserve">
地区</t>
  </si>
  <si>
    <r>
      <t xml:space="preserve">
客户</t>
    </r>
    <r>
      <rPr>
        <sz val="11"/>
        <color indexed="8"/>
        <rFont val="Times New Roman"/>
        <family val="1"/>
      </rPr>
      <t>ＣＩＦ</t>
    </r>
    <r>
      <rPr>
        <sz val="11"/>
        <color indexed="8"/>
        <rFont val="黑体"/>
        <family val="3"/>
        <charset val="134"/>
      </rPr>
      <t>编码</t>
    </r>
  </si>
  <si>
    <t xml:space="preserve">
计划名称</t>
  </si>
  <si>
    <t xml:space="preserve">
组合代码</t>
  </si>
  <si>
    <t xml:space="preserve">
组合名称</t>
  </si>
  <si>
    <t xml:space="preserve">
是否有基础管理费回冲条款</t>
  </si>
  <si>
    <t xml:space="preserve">
是否有业绩报酬条款</t>
  </si>
  <si>
    <r>
      <t xml:space="preserve">
基础管理费
</t>
    </r>
    <r>
      <rPr>
        <sz val="11"/>
        <color indexed="8"/>
        <rFont val="黑体"/>
        <family val="3"/>
        <charset val="134"/>
      </rPr>
      <t>（含风险准备金）</t>
    </r>
  </si>
  <si>
    <t xml:space="preserve">
月初基金净值</t>
  </si>
  <si>
    <t xml:space="preserve">
月末基金净值</t>
  </si>
  <si>
    <t xml:space="preserve">
假设收益率</t>
  </si>
  <si>
    <t xml:space="preserve">
业绩基准</t>
  </si>
  <si>
    <t xml:space="preserve">
基准收益率</t>
  </si>
  <si>
    <t xml:space="preserve">
业绩报酬计提比例</t>
  </si>
  <si>
    <t xml:space="preserve">
特殊业绩报酬约定　　</t>
  </si>
  <si>
    <t xml:space="preserve">
业绩报酬</t>
  </si>
  <si>
    <t xml:space="preserve">
备注</t>
  </si>
  <si>
    <t>3</t>
  </si>
  <si>
    <t>安徽省分公司</t>
  </si>
  <si>
    <t>0000000650</t>
  </si>
  <si>
    <t>安徽省皖北煤电集团有限责任公司企业年金计划</t>
  </si>
  <si>
    <t>A2006</t>
  </si>
  <si>
    <t>皖北煤电</t>
  </si>
  <si>
    <t>是</t>
  </si>
  <si>
    <t>F</t>
  </si>
  <si>
    <t>0000044321</t>
  </si>
  <si>
    <t>安徽中烟工业有限责任公司企业年金计划</t>
  </si>
  <si>
    <t>A211C</t>
  </si>
  <si>
    <t>安徽中烟</t>
  </si>
  <si>
    <t>中国烟草总公司安徽省公司所属企业（合肥地区以外）企业年金计划</t>
  </si>
  <si>
    <t>A2091</t>
  </si>
  <si>
    <t>安徽烟草肥外</t>
  </si>
  <si>
    <t>A20O3</t>
  </si>
  <si>
    <t>皖北煤电债权</t>
  </si>
  <si>
    <t>否</t>
  </si>
  <si>
    <t>A20BW</t>
  </si>
  <si>
    <t>皖北煤电信托</t>
  </si>
  <si>
    <t>安徽省徽商集团有限公司企业年金计划</t>
  </si>
  <si>
    <t>A213L</t>
  </si>
  <si>
    <t>徽商集团</t>
  </si>
  <si>
    <t>徽商银行股份有限公司信托组合</t>
  </si>
  <si>
    <t>1656</t>
  </si>
  <si>
    <t>徽商银行信托</t>
  </si>
  <si>
    <t>安徽省高速公路控股集团有限公司企业年金计划</t>
  </si>
  <si>
    <t>A2022</t>
  </si>
  <si>
    <t>安徽高速</t>
  </si>
  <si>
    <t>安徽省盐业总公司企业年金计划</t>
  </si>
  <si>
    <t>A211U</t>
  </si>
  <si>
    <t>安徽盐业</t>
  </si>
  <si>
    <t>0000049570</t>
  </si>
  <si>
    <t>国网安徽省电力公司</t>
  </si>
  <si>
    <t>1657</t>
  </si>
  <si>
    <t>国网安徽电力</t>
  </si>
  <si>
    <t>中铁四局集团有限公司</t>
  </si>
  <si>
    <t>1610</t>
  </si>
  <si>
    <t>中铁四局</t>
  </si>
  <si>
    <t>当年累积管理费收入-合计</t>
    <phoneticPr fontId="1" type="noConversion"/>
  </si>
  <si>
    <t>当年累积管理费收入-基础管理费</t>
    <phoneticPr fontId="1" type="noConversion"/>
  </si>
  <si>
    <t>当年累积管理费收入-业绩收入</t>
    <phoneticPr fontId="1" type="noConversion"/>
  </si>
  <si>
    <t>本月管理费收入－合计</t>
    <phoneticPr fontId="1" type="noConversion"/>
  </si>
  <si>
    <t>本月管理费收入－基础管理费</t>
    <phoneticPr fontId="1" type="noConversion"/>
  </si>
  <si>
    <t>本月管理费收入－业绩收入</t>
    <phoneticPr fontId="1" type="noConversion"/>
  </si>
  <si>
    <t xml:space="preserve">
是否有业绩报酬条款</t>
  </si>
  <si>
    <t xml:space="preserve">
月初基金净值</t>
  </si>
  <si>
    <t xml:space="preserve">
月末基金净值</t>
  </si>
  <si>
    <t xml:space="preserve">
假设收益率</t>
  </si>
  <si>
    <t xml:space="preserve">
业绩基准</t>
  </si>
  <si>
    <t xml:space="preserve">
基准收益率</t>
  </si>
  <si>
    <t xml:space="preserve">
业绩报酬计提比例</t>
  </si>
  <si>
    <t xml:space="preserve">
特殊业绩报酬约定　</t>
  </si>
  <si>
    <t xml:space="preserve">
业绩报酬</t>
  </si>
  <si>
    <t>0000000643</t>
  </si>
  <si>
    <t>淮南矿业集团有限责任公司企业年金计划</t>
  </si>
  <si>
    <t>0000000652</t>
  </si>
  <si>
    <t>淮北矿业（集团）有限责任公司企业年金计划</t>
  </si>
  <si>
    <t>1</t>
  </si>
  <si>
    <t>0000007605</t>
  </si>
  <si>
    <t>铜陵有色金属集团控股有限公司企业年金计划</t>
  </si>
  <si>
    <t>安徽省邮政公司企业年金计划</t>
  </si>
  <si>
    <t>0000053317</t>
  </si>
  <si>
    <t>安徽新华传媒股份有限公司企业年金计划</t>
  </si>
  <si>
    <t>当年累积管理费收入-合计</t>
    <phoneticPr fontId="1" type="noConversion"/>
  </si>
  <si>
    <t>当年累积管理费收入-基础管理费</t>
    <phoneticPr fontId="1" type="noConversion"/>
  </si>
  <si>
    <t>本月管理费收入－合计</t>
    <phoneticPr fontId="1" type="noConversion"/>
  </si>
  <si>
    <t>本月管理费收入－基础管理费</t>
    <phoneticPr fontId="1" type="noConversion"/>
  </si>
  <si>
    <t>本月管理费收入－业绩收入</t>
    <phoneticPr fontId="1" type="noConversion"/>
  </si>
  <si>
    <t xml:space="preserve">
咨询费收入-本月</t>
    <phoneticPr fontId="1" type="noConversion"/>
  </si>
  <si>
    <t xml:space="preserve">
咨询费收入-当年累积</t>
    <phoneticPr fontId="1" type="noConversion"/>
  </si>
  <si>
    <t xml:space="preserve">
互动业务收入-本月</t>
    <phoneticPr fontId="1" type="noConversion"/>
  </si>
  <si>
    <t xml:space="preserve">
互动业务收入-当年累积</t>
    <phoneticPr fontId="1" type="noConversion"/>
  </si>
  <si>
    <t xml:space="preserve">
其他收入
-本月</t>
    <phoneticPr fontId="1" type="noConversion"/>
  </si>
  <si>
    <t xml:space="preserve">
其他收入
-当年累积</t>
    <phoneticPr fontId="1" type="noConversion"/>
  </si>
  <si>
    <t>管理费收入-本月</t>
    <phoneticPr fontId="1" type="noConversion"/>
  </si>
  <si>
    <t>管理费收入-当年累计</t>
    <phoneticPr fontId="1" type="noConversion"/>
  </si>
  <si>
    <t>受托单一-本月</t>
    <phoneticPr fontId="1" type="noConversion"/>
  </si>
  <si>
    <t>投管单一本月</t>
    <phoneticPr fontId="1" type="noConversion"/>
  </si>
  <si>
    <t>账管单一-本月</t>
    <phoneticPr fontId="1" type="noConversion"/>
  </si>
  <si>
    <t>集合计划-本月</t>
    <phoneticPr fontId="1" type="noConversion"/>
  </si>
  <si>
    <t>职业年金受托-本月</t>
    <phoneticPr fontId="1" type="noConversion"/>
  </si>
  <si>
    <t>职业年金投管-本月</t>
    <phoneticPr fontId="1" type="noConversion"/>
  </si>
  <si>
    <t>养老保障产品-本月</t>
    <phoneticPr fontId="1" type="noConversion"/>
  </si>
  <si>
    <t>养老金产品-本月</t>
    <phoneticPr fontId="1" type="noConversion"/>
  </si>
  <si>
    <t>其他业务-本月</t>
    <phoneticPr fontId="1" type="noConversion"/>
  </si>
  <si>
    <t>其他业务-当年累积</t>
    <phoneticPr fontId="1" type="noConversion"/>
  </si>
  <si>
    <t>养老金产品-当年累积</t>
    <phoneticPr fontId="1" type="noConversion"/>
  </si>
  <si>
    <t>养老保障产品-当年累积</t>
    <phoneticPr fontId="1" type="noConversion"/>
  </si>
  <si>
    <t>职业年金投管-当年累积</t>
    <phoneticPr fontId="1" type="noConversion"/>
  </si>
  <si>
    <t>职业年金受托-当年累积</t>
    <phoneticPr fontId="1" type="noConversion"/>
  </si>
  <si>
    <t>集合计划-当年累积</t>
    <phoneticPr fontId="1" type="noConversion"/>
  </si>
  <si>
    <t>账管单一-当年累积</t>
    <phoneticPr fontId="1" type="noConversion"/>
  </si>
  <si>
    <t>投管单一当年累积</t>
    <phoneticPr fontId="1" type="noConversion"/>
  </si>
  <si>
    <t>受托单一-当年累积</t>
    <phoneticPr fontId="1" type="noConversion"/>
  </si>
  <si>
    <t>可提费用-本月</t>
    <phoneticPr fontId="1" type="noConversion"/>
  </si>
  <si>
    <t>年</t>
    <phoneticPr fontId="1" type="noConversion"/>
  </si>
  <si>
    <t>月</t>
    <phoneticPr fontId="1" type="noConversion"/>
  </si>
  <si>
    <t>地区</t>
    <phoneticPr fontId="1" type="noConversion"/>
  </si>
  <si>
    <t>可提费用-当年累积</t>
    <phoneticPr fontId="1" type="noConversion"/>
  </si>
  <si>
    <t>安徽省能源集团有限公司企业年金计划</t>
  </si>
  <si>
    <t>徽商银行企业年金计划</t>
  </si>
  <si>
    <t>安徽省农村信用社联合社企业年金计划</t>
  </si>
  <si>
    <t>安徽电力歙县供电有限责任公司企业年金计划</t>
  </si>
  <si>
    <t>A20F8</t>
  </si>
  <si>
    <t>安徽农信</t>
  </si>
  <si>
    <t>安徽电力第二计划</t>
  </si>
  <si>
    <t>1592</t>
  </si>
  <si>
    <t>*1.5</t>
  </si>
  <si>
    <t>A20M4</t>
  </si>
  <si>
    <t>安徽歙县供电</t>
  </si>
  <si>
    <t>A20A0</t>
  </si>
  <si>
    <t>安徽中烟定存</t>
  </si>
  <si>
    <t>验证项：</t>
    <phoneticPr fontId="1" type="noConversion"/>
  </si>
  <si>
    <t>业绩收入</t>
    <phoneticPr fontId="1" type="noConversion"/>
  </si>
  <si>
    <t>基础管理费</t>
    <phoneticPr fontId="1" type="noConversion"/>
  </si>
  <si>
    <t>季度</t>
    <phoneticPr fontId="1" type="noConversion"/>
  </si>
  <si>
    <t>月</t>
    <phoneticPr fontId="1" type="noConversion"/>
  </si>
  <si>
    <t>年</t>
    <phoneticPr fontId="1" type="noConversion"/>
  </si>
  <si>
    <t>计划名称</t>
    <phoneticPr fontId="1" type="noConversion"/>
  </si>
  <si>
    <r>
      <t>客户</t>
    </r>
    <r>
      <rPr>
        <sz val="11"/>
        <color indexed="8"/>
        <rFont val="宋体"/>
        <family val="3"/>
        <charset val="134"/>
      </rPr>
      <t>ＣＩＦ</t>
    </r>
    <r>
      <rPr>
        <sz val="11"/>
        <color indexed="8"/>
        <rFont val="黑体"/>
        <family val="3"/>
        <charset val="134"/>
      </rPr>
      <t>编码</t>
    </r>
    <phoneticPr fontId="1" type="noConversion"/>
  </si>
  <si>
    <t>地区</t>
    <phoneticPr fontId="1" type="noConversion"/>
  </si>
  <si>
    <t>月</t>
    <phoneticPr fontId="1" type="noConversion"/>
  </si>
  <si>
    <t>年</t>
    <phoneticPr fontId="1" type="noConversion"/>
  </si>
  <si>
    <t>国网安徽电力</t>
    <phoneticPr fontId="1" type="noConversion"/>
  </si>
  <si>
    <t>国网安徽电力</t>
    <phoneticPr fontId="1" type="noConversion"/>
  </si>
  <si>
    <t>国网安徽电力</t>
    <phoneticPr fontId="1" type="noConversion"/>
  </si>
  <si>
    <t>国网安徽电力</t>
    <phoneticPr fontId="1" type="noConversion"/>
  </si>
  <si>
    <t>年</t>
  </si>
  <si>
    <t>月</t>
  </si>
  <si>
    <t>地区</t>
  </si>
  <si>
    <t>计划名称</t>
  </si>
  <si>
    <t>收入类型</t>
  </si>
  <si>
    <t>管理费收入_本月数</t>
  </si>
  <si>
    <t>管理费收入_月底当年累计</t>
  </si>
  <si>
    <t>国寿永乐企业年金集合计划</t>
  </si>
  <si>
    <t>受托管理费</t>
  </si>
  <si>
    <t>国寿永颐企业年金集合计划</t>
  </si>
  <si>
    <t>国寿永丰企业年金集合计划</t>
  </si>
  <si>
    <t>国寿永睿企业年金集合计划</t>
  </si>
  <si>
    <t>国寿永通企业年金集合计划</t>
  </si>
  <si>
    <t>国寿永福企业年金集合计划</t>
  </si>
  <si>
    <t>国寿永诚企业年金集合计划</t>
  </si>
  <si>
    <t>投资管理费</t>
  </si>
  <si>
    <t>账户管理费</t>
  </si>
  <si>
    <t>季度</t>
    <phoneticPr fontId="1" type="noConversion"/>
  </si>
  <si>
    <t>国寿永祥企业年金集合计划</t>
  </si>
  <si>
    <r>
      <t>客户</t>
    </r>
    <r>
      <rPr>
        <sz val="11"/>
        <color indexed="8"/>
        <rFont val="Times New Roman"/>
        <family val="1"/>
      </rPr>
      <t>ＣＩＦ</t>
    </r>
    <r>
      <rPr>
        <sz val="11"/>
        <color indexed="8"/>
        <rFont val="黑体"/>
        <family val="3"/>
        <charset val="134"/>
      </rPr>
      <t>编码</t>
    </r>
  </si>
  <si>
    <t>0000053157</t>
  </si>
  <si>
    <t>安徽叉车集团有限责任公司企业年金计划</t>
  </si>
  <si>
    <t>季度</t>
    <phoneticPr fontId="1" type="noConversion"/>
  </si>
  <si>
    <t>安徽</t>
  </si>
  <si>
    <t>名称</t>
  </si>
  <si>
    <t>养老金产品管理费</t>
  </si>
  <si>
    <t>养老保障管理费</t>
    <phoneticPr fontId="1" type="noConversion"/>
  </si>
  <si>
    <t>辅助列</t>
    <phoneticPr fontId="1" type="noConversion"/>
  </si>
  <si>
    <t>客户CIF编码</t>
    <phoneticPr fontId="1" type="noConversion"/>
  </si>
  <si>
    <t>组合代码</t>
    <phoneticPr fontId="1" type="noConversion"/>
  </si>
  <si>
    <t>金额单位：万元</t>
    <phoneticPr fontId="1" type="noConversion"/>
  </si>
  <si>
    <t>淮南矿业</t>
    <phoneticPr fontId="1" type="noConversion"/>
  </si>
  <si>
    <t>合同单位</t>
    <phoneticPr fontId="1" type="noConversion"/>
  </si>
  <si>
    <t>1月份</t>
    <phoneticPr fontId="1" type="noConversion"/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</si>
  <si>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</si>
  <si>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</si>
  <si>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</si>
  <si>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</si>
  <si>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</si>
  <si>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</si>
  <si>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</si>
  <si>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</si>
  <si>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</si>
  <si>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</si>
  <si>
    <t>皖北煤电</t>
    <phoneticPr fontId="1" type="noConversion"/>
  </si>
  <si>
    <t>业绩报酬</t>
    <phoneticPr fontId="1" type="noConversion"/>
  </si>
  <si>
    <t>铜陵有色</t>
    <phoneticPr fontId="1" type="noConversion"/>
  </si>
  <si>
    <t xml:space="preserve">小计 </t>
    <phoneticPr fontId="1" type="noConversion"/>
  </si>
  <si>
    <t>安徽中烟</t>
    <phoneticPr fontId="1" type="noConversion"/>
  </si>
  <si>
    <t>安徽电力</t>
    <phoneticPr fontId="1" type="noConversion"/>
  </si>
  <si>
    <t>合计</t>
    <phoneticPr fontId="1" type="noConversion"/>
  </si>
  <si>
    <t>项目</t>
    <phoneticPr fontId="1" type="noConversion"/>
  </si>
  <si>
    <t>2月份</t>
    <phoneticPr fontId="1" type="noConversion"/>
  </si>
  <si>
    <t>淮北矿业</t>
    <phoneticPr fontId="1" type="noConversion"/>
  </si>
  <si>
    <t>单一计划</t>
    <phoneticPr fontId="1" type="noConversion"/>
  </si>
  <si>
    <t>基本管理费</t>
    <phoneticPr fontId="1" type="noConversion"/>
  </si>
  <si>
    <t>皖北煤电</t>
    <phoneticPr fontId="1" type="noConversion"/>
  </si>
  <si>
    <t>业绩报酬</t>
    <phoneticPr fontId="1" type="noConversion"/>
  </si>
  <si>
    <t>淮北矿业</t>
    <phoneticPr fontId="1" type="noConversion"/>
  </si>
  <si>
    <t xml:space="preserve">小计 </t>
    <phoneticPr fontId="1" type="noConversion"/>
  </si>
  <si>
    <t>基本管理费</t>
    <phoneticPr fontId="1" type="noConversion"/>
  </si>
  <si>
    <t>其他</t>
    <phoneticPr fontId="1" type="noConversion"/>
  </si>
  <si>
    <t>总计</t>
    <phoneticPr fontId="1" type="noConversion"/>
  </si>
  <si>
    <t>集合计划</t>
    <phoneticPr fontId="1" type="noConversion"/>
  </si>
  <si>
    <t>受托</t>
    <phoneticPr fontId="1" type="noConversion"/>
  </si>
  <si>
    <t>投管</t>
    <phoneticPr fontId="1" type="noConversion"/>
  </si>
  <si>
    <t>账管</t>
    <phoneticPr fontId="1" type="noConversion"/>
  </si>
  <si>
    <t>养老金产品投资管理费收入</t>
    <phoneticPr fontId="1" type="noConversion"/>
  </si>
  <si>
    <t>养老保障管理费收入</t>
    <phoneticPr fontId="1" type="noConversion"/>
  </si>
  <si>
    <t>管理费收入合计</t>
    <phoneticPr fontId="1" type="noConversion"/>
  </si>
  <si>
    <t>计划名称</t>
    <phoneticPr fontId="1" type="noConversion"/>
  </si>
  <si>
    <t>组合代码</t>
    <phoneticPr fontId="1" type="noConversion"/>
  </si>
  <si>
    <t>项目</t>
    <phoneticPr fontId="1" type="noConversion"/>
  </si>
  <si>
    <t>1月份</t>
    <phoneticPr fontId="1" type="noConversion"/>
  </si>
  <si>
    <t>2月份</t>
    <phoneticPr fontId="1" type="noConversion"/>
  </si>
  <si>
    <t>皖北煤电</t>
    <phoneticPr fontId="1" type="noConversion"/>
  </si>
  <si>
    <t>基本管理费</t>
    <phoneticPr fontId="1" type="noConversion"/>
  </si>
  <si>
    <t>安徽电力</t>
    <phoneticPr fontId="1" type="noConversion"/>
  </si>
  <si>
    <t>0000049570</t>
    <phoneticPr fontId="1" type="noConversion"/>
  </si>
  <si>
    <t xml:space="preserve">小计 </t>
    <phoneticPr fontId="1" type="noConversion"/>
  </si>
  <si>
    <t>皖北煤电</t>
    <phoneticPr fontId="1" type="noConversion"/>
  </si>
  <si>
    <t>业绩报酬</t>
    <phoneticPr fontId="1" type="noConversion"/>
  </si>
  <si>
    <t xml:space="preserve">小计 </t>
    <phoneticPr fontId="1" type="noConversion"/>
  </si>
  <si>
    <t>铜陵有色</t>
    <phoneticPr fontId="1" type="noConversion"/>
  </si>
  <si>
    <t>安徽中烟</t>
    <phoneticPr fontId="1" type="noConversion"/>
  </si>
  <si>
    <t>基本管理费</t>
    <phoneticPr fontId="1" type="noConversion"/>
  </si>
  <si>
    <t>安徽电力</t>
    <phoneticPr fontId="1" type="noConversion"/>
  </si>
  <si>
    <t>其他</t>
    <phoneticPr fontId="1" type="noConversion"/>
  </si>
  <si>
    <t>总计</t>
    <phoneticPr fontId="1" type="noConversion"/>
  </si>
  <si>
    <t>集合计划</t>
    <phoneticPr fontId="1" type="noConversion"/>
  </si>
  <si>
    <t>受托</t>
    <phoneticPr fontId="1" type="noConversion"/>
  </si>
  <si>
    <t>投管</t>
    <phoneticPr fontId="1" type="noConversion"/>
  </si>
  <si>
    <t>账管</t>
    <phoneticPr fontId="1" type="noConversion"/>
  </si>
  <si>
    <t>合计</t>
    <phoneticPr fontId="1" type="noConversion"/>
  </si>
  <si>
    <t>年度：</t>
    <phoneticPr fontId="1" type="noConversion"/>
  </si>
  <si>
    <t>管理费收入（考核口径）</t>
  </si>
  <si>
    <t>同比变动额</t>
  </si>
  <si>
    <t>（一）受托管理费收入</t>
  </si>
  <si>
    <t>（二）投资管理费收入</t>
  </si>
  <si>
    <t>（三）账户管理费收入</t>
  </si>
  <si>
    <t>（四）养老保障收入</t>
  </si>
  <si>
    <t>（五）养老金产品收入</t>
  </si>
  <si>
    <t>合计</t>
  </si>
  <si>
    <t>汇总表</t>
    <phoneticPr fontId="1" type="noConversion"/>
  </si>
  <si>
    <t>起始月</t>
    <phoneticPr fontId="1" type="noConversion"/>
  </si>
  <si>
    <t>结束月</t>
    <phoneticPr fontId="1" type="noConversion"/>
  </si>
  <si>
    <t>2018</t>
  </si>
  <si>
    <t>10</t>
  </si>
  <si>
    <t>养老保障产品管理费</t>
  </si>
  <si>
    <t>11</t>
  </si>
  <si>
    <t>12</t>
  </si>
  <si>
    <t>汇总表</t>
    <phoneticPr fontId="1" type="noConversion"/>
  </si>
  <si>
    <t>2019</t>
  </si>
  <si>
    <t>2</t>
  </si>
  <si>
    <t>马钢（集团）控股有限公司企业年金计划</t>
  </si>
  <si>
    <t>+0.03</t>
  </si>
  <si>
    <t>2017</t>
  </si>
  <si>
    <t>4</t>
  </si>
  <si>
    <t>5</t>
  </si>
  <si>
    <t>6</t>
  </si>
  <si>
    <t>7</t>
  </si>
  <si>
    <t>8</t>
  </si>
  <si>
    <t>9</t>
  </si>
  <si>
    <t>金额单位：</t>
    <phoneticPr fontId="1" type="noConversion"/>
  </si>
  <si>
    <t>万元</t>
    <phoneticPr fontId="1" type="noConversion"/>
  </si>
  <si>
    <t>马钢</t>
    <phoneticPr fontId="1" type="noConversion"/>
  </si>
  <si>
    <t>马钢</t>
    <phoneticPr fontId="1" type="noConversion"/>
  </si>
  <si>
    <t>马钢</t>
    <phoneticPr fontId="1" type="noConversion"/>
  </si>
  <si>
    <t>二季度</t>
  </si>
  <si>
    <t>0000062486</t>
  </si>
  <si>
    <t>安徽古井集团有限责任公司企业年金计划</t>
  </si>
  <si>
    <t>1737</t>
  </si>
  <si>
    <t>安徽古井</t>
  </si>
  <si>
    <t>同比变动率</t>
    <phoneticPr fontId="1" type="noConversion"/>
  </si>
  <si>
    <t>+0.0075</t>
  </si>
  <si>
    <t>徽商银行股份有限公司企业年金计划</t>
  </si>
  <si>
    <t>徽商银行</t>
  </si>
  <si>
    <t>管理费收入-当年累计-基础管理费</t>
  </si>
  <si>
    <t>管理费收入-当年累计-业绩收入</t>
  </si>
  <si>
    <t>管理费收入－本月数-合计</t>
  </si>
  <si>
    <t>管理费收入－本月数-基础管理费</t>
  </si>
  <si>
    <t>贵州</t>
  </si>
  <si>
    <t>5200ZY202007</t>
  </si>
  <si>
    <t>贵州省柒号职业年金计划</t>
  </si>
  <si>
    <t>云南</t>
  </si>
  <si>
    <t>5300ZY202001</t>
  </si>
  <si>
    <t>云南省壹号职业年金计划</t>
  </si>
  <si>
    <t>3400ZY201901</t>
  </si>
  <si>
    <t>安徽省壹号职业年金计划</t>
  </si>
  <si>
    <t>三年定存+上浮利率0.75%</t>
  </si>
  <si>
    <t>北京</t>
  </si>
  <si>
    <t>1100ZY201901</t>
  </si>
  <si>
    <t>北京市（壹号）职业年金计划</t>
  </si>
  <si>
    <t>福建</t>
  </si>
  <si>
    <t>3500ZY201901</t>
  </si>
  <si>
    <t>福建省壹号职业年金计划</t>
  </si>
  <si>
    <t>特殊条款</t>
  </si>
  <si>
    <t>广西</t>
  </si>
  <si>
    <t>4500ZY201909</t>
  </si>
  <si>
    <t>广西壮族自治区玖号职业年金计划</t>
  </si>
  <si>
    <t>河北</t>
  </si>
  <si>
    <t>1300ZY202001</t>
  </si>
  <si>
    <t>河北省壹号职业年金计划</t>
  </si>
  <si>
    <t>河南</t>
  </si>
  <si>
    <t>4100ZY201901</t>
  </si>
  <si>
    <t>河南省壹号职业年金计划</t>
  </si>
  <si>
    <t>湖北</t>
  </si>
  <si>
    <t>4200ZY201901</t>
  </si>
  <si>
    <t>湖北省（壹号）职业年金计划</t>
  </si>
  <si>
    <t>三年定存+上浮利率1%与3.75%熟高值</t>
  </si>
  <si>
    <t>湖南</t>
  </si>
  <si>
    <t>4300ZY201901</t>
  </si>
  <si>
    <t>湖南省（壹号）职业年金计划</t>
  </si>
  <si>
    <t>吉林</t>
  </si>
  <si>
    <t>2200ZY201901</t>
  </si>
  <si>
    <t>吉林省壹号职业年金计划</t>
  </si>
  <si>
    <t>江苏</t>
  </si>
  <si>
    <t>3200ZY201901</t>
  </si>
  <si>
    <t>江苏省壹号职业年金计划</t>
  </si>
  <si>
    <t>江西</t>
  </si>
  <si>
    <t>3600ZY201902</t>
  </si>
  <si>
    <t>江西省贰号职业年金计划</t>
  </si>
  <si>
    <t>辽宁</t>
  </si>
  <si>
    <t>2100ZY201901</t>
  </si>
  <si>
    <t>辽宁省壹号职业年金计划</t>
  </si>
  <si>
    <t>内蒙古</t>
  </si>
  <si>
    <t>1500ZY201902</t>
  </si>
  <si>
    <t>内蒙古自治区贰号职业年金计划</t>
  </si>
  <si>
    <t>宁夏</t>
  </si>
  <si>
    <t>6400ZY201901</t>
  </si>
  <si>
    <t>宁夏回族自治区壹号职业年金计划</t>
  </si>
  <si>
    <t>青海</t>
  </si>
  <si>
    <t>6300ZY201901</t>
  </si>
  <si>
    <t>青海省壹号职业年金计划</t>
  </si>
  <si>
    <t>三年定存+上浮利率0.75%与3.5%熟高值</t>
  </si>
  <si>
    <t>山东</t>
  </si>
  <si>
    <t>3700ZY201901</t>
  </si>
  <si>
    <t>山东省（壹号）职业年金计划</t>
  </si>
  <si>
    <t>山西</t>
  </si>
  <si>
    <t>1400ZY201901</t>
  </si>
  <si>
    <t>山西省壹号职业年金计划</t>
  </si>
  <si>
    <t>陕西</t>
  </si>
  <si>
    <t>6100ZY201901</t>
  </si>
  <si>
    <t>陕西省（壹号）职业年金计划</t>
  </si>
  <si>
    <t>上海</t>
  </si>
  <si>
    <t>3100ZY201901</t>
  </si>
  <si>
    <t>上海市壹号职业年金计划</t>
  </si>
  <si>
    <t>四川</t>
  </si>
  <si>
    <t>5100ZY202001</t>
  </si>
  <si>
    <t>四川省壹号职业年金计划</t>
  </si>
  <si>
    <t>天津</t>
  </si>
  <si>
    <t>1200ZY201901</t>
  </si>
  <si>
    <t>天津市壹号职业年金计划</t>
  </si>
  <si>
    <t>战客部</t>
  </si>
  <si>
    <t>9900ZY201901</t>
  </si>
  <si>
    <t>中央国家机关及所属事业单位（壹号）职业年金计划</t>
  </si>
  <si>
    <t>重庆</t>
  </si>
  <si>
    <t>5000ZY201903</t>
  </si>
  <si>
    <t>重庆市叁号职业年金计划</t>
  </si>
  <si>
    <t>新疆</t>
  </si>
  <si>
    <t>6600ZY201901</t>
  </si>
  <si>
    <t>新疆生产建设兵团壹号职业年金计划</t>
  </si>
  <si>
    <t>6500ZY201905</t>
  </si>
  <si>
    <t>新疆维吾尔自治区壹号职业年金计划</t>
  </si>
  <si>
    <t>计划登记号</t>
  </si>
  <si>
    <t>计划登记号</t>
    <phoneticPr fontId="1" type="noConversion"/>
  </si>
  <si>
    <t>地区</t>
    <phoneticPr fontId="1" type="noConversion"/>
  </si>
  <si>
    <t>年</t>
    <phoneticPr fontId="1" type="noConversion"/>
  </si>
  <si>
    <t>计划名称</t>
    <phoneticPr fontId="1" type="noConversion"/>
  </si>
  <si>
    <t>是否有业绩报酬条款</t>
  </si>
  <si>
    <t>是否有业绩报酬条款</t>
    <phoneticPr fontId="1" type="noConversion"/>
  </si>
  <si>
    <t>管理费收入-当年累计-合计</t>
    <phoneticPr fontId="1" type="noConversion"/>
  </si>
  <si>
    <t>月初基金净值</t>
  </si>
  <si>
    <t>月初基金净值</t>
    <phoneticPr fontId="1" type="noConversion"/>
  </si>
  <si>
    <t>月末基金净值</t>
  </si>
  <si>
    <t>月末基金净值</t>
    <phoneticPr fontId="1" type="noConversion"/>
  </si>
  <si>
    <t>假设收益率</t>
  </si>
  <si>
    <t>假设收益率</t>
    <phoneticPr fontId="1" type="noConversion"/>
  </si>
  <si>
    <t>业绩基准</t>
  </si>
  <si>
    <t>业绩基准</t>
    <phoneticPr fontId="1" type="noConversion"/>
  </si>
  <si>
    <t>基准收益率</t>
  </si>
  <si>
    <t>基准收益率</t>
    <phoneticPr fontId="1" type="noConversion"/>
  </si>
  <si>
    <t>业绩报酬计提比例</t>
  </si>
  <si>
    <t>业绩报酬计提比例</t>
    <phoneticPr fontId="1" type="noConversion"/>
  </si>
  <si>
    <t>特殊业绩报酬约定　</t>
    <phoneticPr fontId="1" type="noConversion"/>
  </si>
  <si>
    <t>业绩报酬</t>
  </si>
  <si>
    <t>业绩报酬</t>
    <phoneticPr fontId="1" type="noConversion"/>
  </si>
  <si>
    <t>甘肃</t>
  </si>
  <si>
    <t>6200ZY201901</t>
  </si>
  <si>
    <t>甘肃省壹号职业年金计划</t>
  </si>
  <si>
    <t>广东</t>
  </si>
  <si>
    <t>4400ZY202001</t>
  </si>
  <si>
    <t>广东省壹号职业年金计划</t>
  </si>
  <si>
    <t>海南</t>
  </si>
  <si>
    <t>4600ZY202001</t>
  </si>
  <si>
    <t>海南省壹号职业年金计划</t>
  </si>
  <si>
    <t>黑龙江</t>
  </si>
  <si>
    <t>2300ZY201901</t>
  </si>
  <si>
    <t>黑龙江省壹号职业年金计划</t>
  </si>
  <si>
    <t>3400ZY201904</t>
  </si>
  <si>
    <t>安徽省肆号职业年金计划</t>
  </si>
  <si>
    <t>I52Z0019</t>
  </si>
  <si>
    <t>皖肆号国寿养老组合01</t>
  </si>
  <si>
    <t>I52Z0017</t>
  </si>
  <si>
    <t>皖壹号国寿养老组合01</t>
  </si>
  <si>
    <t>I52Z0018</t>
  </si>
  <si>
    <t>皖壹号国寿养老信托组合02</t>
  </si>
  <si>
    <t>3400ZY201909</t>
  </si>
  <si>
    <t>安徽省玖号职业年金计划</t>
  </si>
  <si>
    <t>I52Z0050</t>
  </si>
  <si>
    <t>皖玖号国寿养老组合01</t>
  </si>
  <si>
    <t>I52Z0009</t>
  </si>
  <si>
    <t>京壹号国寿养老组合01</t>
  </si>
  <si>
    <t>4500ZY201906</t>
  </si>
  <si>
    <t>广西壮族自治区陆号职业年金计划</t>
  </si>
  <si>
    <t>I52Z0037</t>
  </si>
  <si>
    <t>桂陆号国寿养老组合01</t>
  </si>
  <si>
    <t>I52Z0038</t>
  </si>
  <si>
    <t>桂玖号国寿养老组合01</t>
  </si>
  <si>
    <t>I52Z0066</t>
  </si>
  <si>
    <t>冀壹号国寿养老组合01</t>
  </si>
  <si>
    <t>1300ZY202002</t>
  </si>
  <si>
    <t>河北省贰号职业年金计划</t>
  </si>
  <si>
    <t>I52Z0067</t>
  </si>
  <si>
    <t>冀贰号国寿养老组合01</t>
  </si>
  <si>
    <t>I52Z0041</t>
  </si>
  <si>
    <t>豫壹号国寿养老组合01</t>
  </si>
  <si>
    <t>4100ZY201902</t>
  </si>
  <si>
    <t>河南省贰号职业年金计划</t>
  </si>
  <si>
    <t>I52Z0042</t>
  </si>
  <si>
    <t>豫贰号国寿养老组合01</t>
  </si>
  <si>
    <t>I52Z0007</t>
  </si>
  <si>
    <t>鄂壹号国寿养老组合01</t>
  </si>
  <si>
    <t>4200ZY201908</t>
  </si>
  <si>
    <t>湖北省（捌号）职业年金计划</t>
  </si>
  <si>
    <t>I52Z0008</t>
  </si>
  <si>
    <t>鄂捌号国寿养老组合01</t>
  </si>
  <si>
    <t>I52Z0015</t>
  </si>
  <si>
    <t>湘壹号国寿养老组合01</t>
  </si>
  <si>
    <t>4300ZY201903</t>
  </si>
  <si>
    <t>湖南省（叁号）职业年金计划</t>
  </si>
  <si>
    <t>I52Z0016</t>
  </si>
  <si>
    <t>湘叁号国寿养老组合01</t>
  </si>
  <si>
    <t>2200ZY201903</t>
  </si>
  <si>
    <t>吉林省叁号职业年金计划</t>
  </si>
  <si>
    <t>I52Z0061</t>
  </si>
  <si>
    <t>吉叁号国寿养老组合01</t>
  </si>
  <si>
    <t>I52Z0060</t>
  </si>
  <si>
    <t>吉壹号国寿养老组合01</t>
  </si>
  <si>
    <t>2200ZY201904</t>
  </si>
  <si>
    <t>吉林省肆号职业年金计划</t>
  </si>
  <si>
    <t>I52Z0062</t>
  </si>
  <si>
    <t>吉肆号国寿养老组合01</t>
  </si>
  <si>
    <t>I52Z0028</t>
  </si>
  <si>
    <t>苏壹号国寿养老组合01</t>
  </si>
  <si>
    <t>I52Z0025</t>
  </si>
  <si>
    <t>赣贰号国寿养老组合01</t>
  </si>
  <si>
    <t>3600ZY201903</t>
  </si>
  <si>
    <t>江西省叁号职业年金计划</t>
  </si>
  <si>
    <t>I52Z0026</t>
  </si>
  <si>
    <t>赣叁号国寿养老组合01</t>
  </si>
  <si>
    <t>2100ZY201904</t>
  </si>
  <si>
    <t>辽宁省肆号职业年金计划</t>
  </si>
  <si>
    <t>I52Z0032</t>
  </si>
  <si>
    <t>辽肆号国寿养老组合01</t>
  </si>
  <si>
    <t>I52Z0030</t>
  </si>
  <si>
    <t>辽壹号国寿养老组合01</t>
  </si>
  <si>
    <t>2100ZY201911</t>
  </si>
  <si>
    <t>辽宁省拾壹号职业年金计划</t>
  </si>
  <si>
    <t>I52Z0059</t>
  </si>
  <si>
    <t>辽壹拾壹号国寿养老组合01</t>
  </si>
  <si>
    <t>I52Z0039</t>
  </si>
  <si>
    <t>宁壹号国寿养老组合01</t>
  </si>
  <si>
    <t>6400ZY201902</t>
  </si>
  <si>
    <t>宁夏回族自治区贰号职业年金计划</t>
  </si>
  <si>
    <t>I52Z0040</t>
  </si>
  <si>
    <t>宁贰号国寿养老组合01</t>
  </si>
  <si>
    <t>6300ZY201907</t>
  </si>
  <si>
    <t>青海省柒号职业年金计划</t>
  </si>
  <si>
    <t>I52Z0056</t>
  </si>
  <si>
    <t>青柒号国寿养老组合01</t>
  </si>
  <si>
    <t>I52Z0055</t>
  </si>
  <si>
    <t>青壹号国寿养老组合01</t>
  </si>
  <si>
    <t>I52Z0005</t>
  </si>
  <si>
    <t>鲁壹号国寿养老组合01</t>
  </si>
  <si>
    <t>I52Z0054</t>
  </si>
  <si>
    <t>晋壹号国寿养老组合01</t>
  </si>
  <si>
    <t>I52Z0027</t>
  </si>
  <si>
    <t>陕壹号国寿养老支付组合02</t>
  </si>
  <si>
    <t>I52Z0012</t>
  </si>
  <si>
    <t>陕壹号国寿养老组合01</t>
  </si>
  <si>
    <t>6100ZY201902</t>
  </si>
  <si>
    <t>陕西省（贰号）职业年金计划</t>
  </si>
  <si>
    <t>I52Z0013</t>
  </si>
  <si>
    <t>陕贰号国寿养老组合01</t>
  </si>
  <si>
    <t>6100ZY201904</t>
  </si>
  <si>
    <t>陕西省（肆号）职业年金计划</t>
  </si>
  <si>
    <t>I52Z0014</t>
  </si>
  <si>
    <t>陕肆号国寿养老组合01</t>
  </si>
  <si>
    <t>I52Z0024</t>
  </si>
  <si>
    <t>沪壹号国寿养老支付组合02</t>
  </si>
  <si>
    <t>3100ZY201904</t>
  </si>
  <si>
    <t>上海市肆号职业年金计划</t>
  </si>
  <si>
    <t>I52Z0021</t>
  </si>
  <si>
    <t>沪肆号国寿养老组合01</t>
  </si>
  <si>
    <t>3100ZY201907</t>
  </si>
  <si>
    <t>上海市柒号职业年金计划</t>
  </si>
  <si>
    <t>I52Z0022</t>
  </si>
  <si>
    <t>沪柒号国寿养老组合01</t>
  </si>
  <si>
    <t>3100ZY201910</t>
  </si>
  <si>
    <t>上海市壹拾号职业年金计划</t>
  </si>
  <si>
    <t>I52Z0023</t>
  </si>
  <si>
    <t>沪拾号国寿养老组合01</t>
  </si>
  <si>
    <t>I52Z0020</t>
  </si>
  <si>
    <t>沪壹号国寿养老组合01</t>
  </si>
  <si>
    <t>5100ZY202007</t>
  </si>
  <si>
    <t>四川省柒号职业年金计划</t>
  </si>
  <si>
    <t>I52Z0069</t>
  </si>
  <si>
    <t>川柒号国寿养老组合01</t>
  </si>
  <si>
    <t>5100ZY202006</t>
  </si>
  <si>
    <t>四川省陆号职业年金计划</t>
  </si>
  <si>
    <t>I52Z0070</t>
  </si>
  <si>
    <t>川陆号国寿养老组合01</t>
  </si>
  <si>
    <t>I52Z0068</t>
  </si>
  <si>
    <t>川壹号国寿养老组合01</t>
  </si>
  <si>
    <t>I52Z0033</t>
  </si>
  <si>
    <t>津壹号国寿养老组合01</t>
  </si>
  <si>
    <t>1200ZY201906</t>
  </si>
  <si>
    <t>天津市陆号职业年金计划</t>
  </si>
  <si>
    <t>I52Z0035</t>
  </si>
  <si>
    <t>津陆号国寿养老组合01</t>
  </si>
  <si>
    <t>1200ZY201910</t>
  </si>
  <si>
    <t>天津市拾号职业年金计划</t>
  </si>
  <si>
    <t>I52Z0036</t>
  </si>
  <si>
    <t>津拾号国寿养老组合01</t>
  </si>
  <si>
    <t>I52Z0045</t>
  </si>
  <si>
    <t>兵团壹号国寿养老支付组合02</t>
  </si>
  <si>
    <t>I52Z0011</t>
  </si>
  <si>
    <t>新壹号国寿养老组合01</t>
  </si>
  <si>
    <t>I52Z0043</t>
  </si>
  <si>
    <t>兵团壹号国寿养老组合01</t>
  </si>
  <si>
    <t>9900ZY201907</t>
  </si>
  <si>
    <t>中央国家机关及所属事业单位（柒号）职业年金计划</t>
  </si>
  <si>
    <t>I52Z0003</t>
  </si>
  <si>
    <t>央保柒号国寿养老组合01</t>
  </si>
  <si>
    <t>9900ZY201902</t>
  </si>
  <si>
    <t>中央国家机关及所属事业单位（贰号）职业年金计划</t>
  </si>
  <si>
    <t>I52Z0001</t>
  </si>
  <si>
    <t>央保贰号国寿养老组合01</t>
  </si>
  <si>
    <t>9900ZY201905</t>
  </si>
  <si>
    <t>中央国家机关及所属事业单位（伍号）职业年金计划</t>
  </si>
  <si>
    <t>I52Z0002</t>
  </si>
  <si>
    <t>央保伍号国寿养老组合01</t>
  </si>
  <si>
    <t>I52Z0046</t>
  </si>
  <si>
    <t>渝叁号国寿养老组合01</t>
  </si>
  <si>
    <t>5000ZY201905</t>
  </si>
  <si>
    <t>重庆市伍号职业年金计划</t>
  </si>
  <si>
    <t>I52Z0047</t>
  </si>
  <si>
    <t>渝伍号国寿养老组合01</t>
  </si>
  <si>
    <t>1100ZY201904</t>
  </si>
  <si>
    <t>北京市（肆号）职业年金计划</t>
  </si>
  <si>
    <t>I52Z0010</t>
  </si>
  <si>
    <t>京肆号国寿养老组合01</t>
  </si>
  <si>
    <t>3200ZY201903</t>
  </si>
  <si>
    <t>江苏省叁号职业年金计划</t>
  </si>
  <si>
    <t>I52Z0029</t>
  </si>
  <si>
    <t>苏叁号国寿养老组合01</t>
  </si>
  <si>
    <t>I52Z0031</t>
  </si>
  <si>
    <t>辽壹号国寿养老支付组合02</t>
  </si>
  <si>
    <t>3700ZY201904</t>
  </si>
  <si>
    <t>山东省（肆号）职业年金计划</t>
  </si>
  <si>
    <t>I52Z0006</t>
  </si>
  <si>
    <t>鲁肆号国寿养老组合01</t>
  </si>
  <si>
    <t>I52Z0034</t>
  </si>
  <si>
    <t>津壹号国寿养老支付组合02</t>
  </si>
  <si>
    <t>组合代码</t>
  </si>
  <si>
    <t>组合名称</t>
  </si>
  <si>
    <t>是否有基础管理费回冲条款</t>
  </si>
  <si>
    <t>管理费收入－本月数-业绩收入</t>
  </si>
  <si>
    <t>基础管理费_x000D_
（含风险准备金）</t>
  </si>
  <si>
    <t>特殊业绩报酬约定　　</t>
  </si>
  <si>
    <t>备注</t>
  </si>
  <si>
    <t>I52Z0057</t>
  </si>
  <si>
    <t>闽壹号国寿养老组合01</t>
  </si>
  <si>
    <t>3500ZY201902</t>
  </si>
  <si>
    <t>福建省贰号职业年金计划</t>
  </si>
  <si>
    <t>I52Z0058</t>
  </si>
  <si>
    <t>闽贰号国寿养老组合01</t>
  </si>
  <si>
    <t>1500ZY201905</t>
  </si>
  <si>
    <t>内蒙古自治区伍号职业年金计划</t>
  </si>
  <si>
    <t>I52Z0063</t>
  </si>
  <si>
    <t>蒙伍号国寿养老组合01</t>
  </si>
  <si>
    <t>1500ZY201907</t>
  </si>
  <si>
    <t>内蒙古自治区柒号职业年金计划</t>
  </si>
  <si>
    <t>I52Z0064</t>
  </si>
  <si>
    <t>蒙柒号国寿养老组合01</t>
  </si>
  <si>
    <t>1500ZY201911</t>
  </si>
  <si>
    <t>内蒙古自治区拾壹号职业年金计划</t>
  </si>
  <si>
    <t>I52Z0065</t>
  </si>
  <si>
    <t>蒙壹拾壹号国寿养老组合01</t>
  </si>
  <si>
    <t>I52Z0075</t>
  </si>
  <si>
    <t>蒙贰号国寿养老支付组合01</t>
  </si>
  <si>
    <t>5300ZY202005</t>
  </si>
  <si>
    <t>云南省伍号职业年金计划</t>
  </si>
  <si>
    <t>I52Z0073</t>
  </si>
  <si>
    <t>云伍号国寿养老组合01</t>
  </si>
  <si>
    <t>5300ZY202010</t>
  </si>
  <si>
    <t>云南省壹拾号职业年金计划</t>
  </si>
  <si>
    <t>I52Z0074</t>
  </si>
  <si>
    <t>云壹拾号国寿养老组合01</t>
  </si>
  <si>
    <t>云南省拾号职业年金计划</t>
  </si>
  <si>
    <t>云拾号国寿养老组合01</t>
  </si>
  <si>
    <t>4400ZY202006</t>
  </si>
  <si>
    <t>广东省陆号职业年金计划</t>
  </si>
  <si>
    <t>I52Z0084</t>
  </si>
  <si>
    <t>粤陆号国寿养老组合01</t>
  </si>
  <si>
    <t>4400ZY202012</t>
  </si>
  <si>
    <t>广东省拾贰号职业年金计划</t>
  </si>
  <si>
    <t>I52Z0085</t>
  </si>
  <si>
    <t>粤壹拾贰号国寿养老组合01</t>
  </si>
  <si>
    <t>4400ZY202004</t>
  </si>
  <si>
    <t>广东省肆号职业年金计划</t>
  </si>
  <si>
    <t>I52Z0083</t>
  </si>
  <si>
    <t>粤肆号国寿养老组合01</t>
  </si>
  <si>
    <t>4400ZY202003</t>
  </si>
  <si>
    <t>广东省叁号职业年金计划</t>
  </si>
  <si>
    <t>I52Z0082</t>
  </si>
  <si>
    <t>粤叁号国寿养老组合01</t>
  </si>
  <si>
    <t>4400ZY202002</t>
  </si>
  <si>
    <t>广东省贰号职业年金计划</t>
  </si>
  <si>
    <t>I52Z0081</t>
  </si>
  <si>
    <t>粤贰号国寿养老组合01</t>
  </si>
  <si>
    <t>I52Z0080</t>
  </si>
  <si>
    <t>粤壹号国寿养老组合01</t>
  </si>
  <si>
    <t>I52Z0071</t>
  </si>
  <si>
    <t>贵柒号国寿养老组合01</t>
  </si>
  <si>
    <t>I52Z0072</t>
  </si>
  <si>
    <t>贵柒号国寿养老支付组合02</t>
  </si>
  <si>
    <t>4100ZY201904</t>
  </si>
  <si>
    <t>河南省肆号职业年金计划</t>
  </si>
  <si>
    <t>I52Z0077</t>
  </si>
  <si>
    <t>豫肆号国寿养老组合01</t>
  </si>
  <si>
    <t>2300ZY201902</t>
  </si>
  <si>
    <t>黑龙江省贰号职业年金计划</t>
  </si>
  <si>
    <t>I52Z0052</t>
  </si>
  <si>
    <t>黑贰号国寿养老组合01</t>
  </si>
  <si>
    <t>I52Z0051</t>
  </si>
  <si>
    <t>黑壹号国寿养老组合01</t>
  </si>
  <si>
    <t>I52Z0078</t>
  </si>
  <si>
    <t>黑壹号国寿养老支付组合02</t>
  </si>
  <si>
    <t>2300ZY201905</t>
  </si>
  <si>
    <t>黑龙江省伍号职业年金计划</t>
  </si>
  <si>
    <t>I52Z0053</t>
  </si>
  <si>
    <t>黑伍号国寿养老组合01</t>
  </si>
  <si>
    <t>管理费收入-当年累计-合计</t>
    <phoneticPr fontId="1" type="noConversion"/>
  </si>
  <si>
    <t>管理费收入-当年累计-基础管理费</t>
    <phoneticPr fontId="1" type="noConversion"/>
  </si>
  <si>
    <t>管理费收入-当年累计-业绩收入</t>
    <phoneticPr fontId="1" type="noConversion"/>
  </si>
  <si>
    <t>管理费收入－本月数-业绩收入</t>
    <phoneticPr fontId="1" type="noConversion"/>
  </si>
  <si>
    <t>职业年金</t>
    <phoneticPr fontId="1" type="noConversion"/>
  </si>
  <si>
    <t>受托</t>
    <phoneticPr fontId="1" type="noConversion"/>
  </si>
  <si>
    <t>投管</t>
    <phoneticPr fontId="1" type="noConversion"/>
  </si>
  <si>
    <t>合计</t>
    <phoneticPr fontId="1" type="noConversion"/>
  </si>
  <si>
    <t>4600ZY202005</t>
  </si>
  <si>
    <t>海南省伍号职业年金计划</t>
  </si>
  <si>
    <t>I52Z0076</t>
  </si>
  <si>
    <t>琼伍号国寿养老组合01</t>
  </si>
  <si>
    <t>3700ZY202003</t>
  </si>
  <si>
    <t>山东省（拾壹号）职业年金计划</t>
  </si>
  <si>
    <t>I52Z0079</t>
  </si>
  <si>
    <t>鲁壹拾壹号国寿养老组合01</t>
  </si>
  <si>
    <t>浙江</t>
  </si>
  <si>
    <t>3300ZY202001</t>
  </si>
  <si>
    <t>浙江省壹号职业年金计划</t>
  </si>
  <si>
    <t>皖壹号国寿养老支付组合02</t>
  </si>
  <si>
    <t>3300ZY202006</t>
  </si>
  <si>
    <t>浙江省陆号职业年金计划</t>
  </si>
  <si>
    <t>I52Z0089</t>
  </si>
  <si>
    <t>浙陆号国寿养老组合01</t>
  </si>
  <si>
    <t>I52Z0086</t>
  </si>
  <si>
    <t>浙壹号国寿养老组合01</t>
  </si>
  <si>
    <t>3300ZY202003</t>
  </si>
  <si>
    <t>浙江省叁号职业年金计划</t>
  </si>
  <si>
    <t>I52Z0088</t>
  </si>
  <si>
    <t>浙叁号国寿养老组合01</t>
  </si>
  <si>
    <t>3300ZY202010</t>
  </si>
  <si>
    <t>浙江省拾号职业年金计划</t>
  </si>
  <si>
    <t>I52Z0090</t>
  </si>
  <si>
    <t>浙拾号国寿养老组合01</t>
  </si>
  <si>
    <t>3300ZY202002</t>
  </si>
  <si>
    <t>浙江省贰号职业年金计划</t>
  </si>
  <si>
    <t>I52Z0087</t>
  </si>
  <si>
    <t>浙贰号国寿养老组合01</t>
  </si>
  <si>
    <t>I52Z0091</t>
  </si>
  <si>
    <t>浙壹号国寿养老支付组合02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</si>
</sst>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 * #,##0.00_ ;_ * \-#,##0.00_ ;_ * &quot;-&quot;??_ ;_ @_ "/>
    <numFmt numFmtId="176" formatCode="[$-10804]0.00"/>
    <numFmt numFmtId="177" formatCode="0.00_ "/>
    <numFmt numFmtId="178" formatCode="0_);[Red]\(0\)"/>
  </numFmts>
  <fonts count="2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indexed="8"/>
      <name val="黑体"/>
      <family val="3"/>
      <charset val="134"/>
    </font>
    <font>
      <sz val="11"/>
      <color indexed="8"/>
      <name val="Times New Roman"/>
      <family val="1"/>
    </font>
    <font>
      <sz val="11"/>
      <color indexed="8"/>
      <name val="黑体"/>
      <family val="3"/>
      <charset val="134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0"/>
      <name val="Arial"/>
      <family val="2"/>
    </font>
    <font>
      <sz val="11"/>
      <color indexed="8"/>
      <name val="黑体"/>
      <family val="3"/>
      <charset val="134"/>
    </font>
    <font>
      <sz val="11"/>
      <color theme="1"/>
      <name val="Times New Roman"/>
      <family val="1"/>
    </font>
    <font>
      <sz val="11"/>
      <color rgb="FF000000"/>
      <name val="黑体"/>
      <family val="3"/>
      <charset val="134"/>
    </font>
    <font>
      <b/>
      <sz val="11"/>
      <color theme="1"/>
      <name val="等线"/>
      <family val="2"/>
      <charset val="134"/>
      <scheme val="minor"/>
    </font>
    <font>
      <sz val="14"/>
      <color theme="1"/>
      <name val="黑体"/>
      <family val="3"/>
      <charset val="134"/>
    </font>
    <font>
      <sz val="11"/>
      <color theme="1"/>
      <name val="方正姚体"/>
      <family val="3"/>
      <charset val="134"/>
    </font>
    <font>
      <b/>
      <sz val="11"/>
      <color theme="1"/>
      <name val="仿宋"/>
      <family val="3"/>
      <charset val="134"/>
    </font>
    <font>
      <sz val="11"/>
      <color theme="1"/>
      <name val="仿宋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黑体"/>
      <family val="3"/>
      <charset val="134"/>
    </font>
    <font>
      <b/>
      <sz val="18"/>
      <color rgb="FF000000"/>
      <name val="等线"/>
      <family val="3"/>
      <charset val="134"/>
      <scheme val="minor"/>
    </font>
    <font>
      <sz val="18"/>
      <color rgb="FF000000"/>
      <name val="等线"/>
      <family val="3"/>
      <charset val="134"/>
      <scheme val="minor"/>
    </font>
    <font>
      <sz val="18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sz val="18"/>
      <color rgb="FF000000"/>
      <name val="等线"/>
      <family val="3"/>
      <charset val="134"/>
    </font>
    <font>
      <sz val="22"/>
      <color theme="1"/>
      <name val="方正小标宋简体"/>
      <family val="4"/>
      <charset val="134"/>
    </font>
    <font>
      <b/>
      <sz val="18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0"/>
      </patternFill>
    </fill>
    <fill>
      <patternFill patternType="solid">
        <fgColor theme="9" tint="0.59999389629810485"/>
        <bgColor indexed="0"/>
      </patternFill>
    </fill>
    <fill>
      <patternFill patternType="solid">
        <fgColor theme="9" tint="0.79998168889431442"/>
        <bgColor indexed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7" fillId="0" borderId="0"/>
    <xf numFmtId="9" fontId="5" fillId="0" borderId="0" applyFon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2" fillId="2" borderId="1" xfId="0" applyFont="1" applyFill="1" applyBorder="1" applyAlignment="1" applyProtection="1">
      <alignment horizontal="center" vertical="center" wrapText="1" readingOrder="1"/>
      <protection locked="0"/>
    </xf>
    <xf numFmtId="0" fontId="4" fillId="2" borderId="2" xfId="0" applyFont="1" applyFill="1" applyBorder="1" applyAlignment="1" applyProtection="1">
      <alignment vertical="center" wrapText="1" readingOrder="1"/>
      <protection locked="0"/>
    </xf>
    <xf numFmtId="0" fontId="2" fillId="2" borderId="2" xfId="0" applyFont="1" applyFill="1" applyBorder="1" applyAlignment="1" applyProtection="1">
      <alignment vertical="center" wrapText="1" readingOrder="1"/>
      <protection locked="0"/>
    </xf>
    <xf numFmtId="0" fontId="2" fillId="0" borderId="2" xfId="0" applyFont="1" applyBorder="1" applyAlignment="1" applyProtection="1">
      <alignment horizontal="center" vertical="center" wrapText="1" readingOrder="1"/>
      <protection locked="0"/>
    </xf>
    <xf numFmtId="0" fontId="2" fillId="0" borderId="2" xfId="0" applyFont="1" applyBorder="1" applyAlignment="1" applyProtection="1">
      <alignment horizontal="left" vertical="center" wrapText="1" readingOrder="1"/>
      <protection locked="0"/>
    </xf>
    <xf numFmtId="0" fontId="2" fillId="0" borderId="2" xfId="0" applyFont="1" applyBorder="1" applyAlignment="1" applyProtection="1">
      <alignment horizontal="right" vertical="center" wrapText="1" readingOrder="1"/>
      <protection locked="0"/>
    </xf>
    <xf numFmtId="0" fontId="2" fillId="2" borderId="3" xfId="0" applyFont="1" applyFill="1" applyBorder="1" applyAlignment="1" applyProtection="1">
      <alignment horizontal="center" vertical="center" wrapText="1" readingOrder="1"/>
      <protection locked="0"/>
    </xf>
    <xf numFmtId="176" fontId="0" fillId="0" borderId="0" xfId="0" applyNumberFormat="1">
      <alignment vertical="center"/>
    </xf>
    <xf numFmtId="0" fontId="2" fillId="3" borderId="1" xfId="0" applyFont="1" applyFill="1" applyBorder="1" applyAlignment="1" applyProtection="1">
      <alignment horizontal="center" vertical="center" wrapText="1" readingOrder="1"/>
      <protection locked="0"/>
    </xf>
    <xf numFmtId="0" fontId="2" fillId="3" borderId="2" xfId="0" applyFont="1" applyFill="1" applyBorder="1" applyAlignment="1" applyProtection="1">
      <alignment vertical="center" wrapText="1" readingOrder="1"/>
      <protection locked="0"/>
    </xf>
    <xf numFmtId="0" fontId="2" fillId="0" borderId="2" xfId="0" applyNumberFormat="1" applyFont="1" applyBorder="1" applyAlignment="1" applyProtection="1">
      <alignment horizontal="center" vertical="center" wrapText="1" readingOrder="1"/>
      <protection locked="0"/>
    </xf>
    <xf numFmtId="43" fontId="2" fillId="0" borderId="2" xfId="1" applyFont="1" applyBorder="1" applyAlignment="1" applyProtection="1">
      <alignment horizontal="right" vertical="center" wrapText="1" readingOrder="1"/>
      <protection locked="0"/>
    </xf>
    <xf numFmtId="43" fontId="2" fillId="0" borderId="2" xfId="1" applyFont="1" applyBorder="1" applyAlignment="1" applyProtection="1">
      <alignment horizontal="center" vertical="center" wrapText="1" readingOrder="1"/>
      <protection locked="0"/>
    </xf>
    <xf numFmtId="43" fontId="2" fillId="2" borderId="1" xfId="1" applyFont="1" applyFill="1" applyBorder="1" applyAlignment="1" applyProtection="1">
      <alignment horizontal="center" vertical="center" wrapText="1" readingOrder="1"/>
      <protection locked="0"/>
    </xf>
    <xf numFmtId="43" fontId="2" fillId="2" borderId="2" xfId="1" applyFont="1" applyFill="1" applyBorder="1" applyAlignment="1" applyProtection="1">
      <alignment horizontal="center" vertical="center" wrapText="1" readingOrder="1"/>
      <protection locked="0"/>
    </xf>
    <xf numFmtId="43" fontId="2" fillId="2" borderId="2" xfId="1" applyFont="1" applyFill="1" applyBorder="1" applyAlignment="1" applyProtection="1">
      <alignment vertical="center" wrapText="1" readingOrder="1"/>
      <protection locked="0"/>
    </xf>
    <xf numFmtId="43" fontId="0" fillId="0" borderId="0" xfId="1" applyFont="1">
      <alignment vertical="center"/>
    </xf>
    <xf numFmtId="0" fontId="4" fillId="4" borderId="2" xfId="0" applyFont="1" applyFill="1" applyBorder="1" applyAlignment="1" applyProtection="1">
      <alignment vertical="center" wrapText="1" readingOrder="1"/>
      <protection locked="0"/>
    </xf>
    <xf numFmtId="0" fontId="2" fillId="4" borderId="2" xfId="0" applyFont="1" applyFill="1" applyBorder="1" applyAlignment="1" applyProtection="1">
      <alignment vertical="center" wrapText="1" readingOrder="1"/>
      <protection locked="0"/>
    </xf>
    <xf numFmtId="176" fontId="2" fillId="5" borderId="2" xfId="0" applyNumberFormat="1" applyFont="1" applyFill="1" applyBorder="1" applyAlignment="1" applyProtection="1">
      <alignment horizontal="right" vertical="center" wrapText="1" readingOrder="1"/>
      <protection locked="0"/>
    </xf>
    <xf numFmtId="0" fontId="2" fillId="5" borderId="2" xfId="0" applyFont="1" applyFill="1" applyBorder="1" applyAlignment="1" applyProtection="1">
      <alignment horizontal="right" vertical="center" wrapText="1" readingOrder="1"/>
      <protection locked="0"/>
    </xf>
    <xf numFmtId="0" fontId="0" fillId="5" borderId="0" xfId="0" applyFill="1">
      <alignment vertical="center"/>
    </xf>
    <xf numFmtId="176" fontId="2" fillId="0" borderId="2" xfId="0" applyNumberFormat="1" applyFont="1" applyBorder="1" applyAlignment="1" applyProtection="1">
      <alignment horizontal="right" vertical="center" wrapText="1" readingOrder="1"/>
      <protection locked="0"/>
    </xf>
    <xf numFmtId="0" fontId="0" fillId="0" borderId="0" xfId="0" applyAlignment="1"/>
    <xf numFmtId="0" fontId="2" fillId="0" borderId="5" xfId="0" applyFont="1" applyBorder="1" applyAlignment="1" applyProtection="1">
      <alignment horizontal="center" vertical="center" wrapText="1" readingOrder="1"/>
      <protection locked="0"/>
    </xf>
    <xf numFmtId="0" fontId="2" fillId="0" borderId="1" xfId="0" applyFont="1" applyBorder="1" applyAlignment="1" applyProtection="1">
      <alignment horizontal="center" vertical="center" wrapText="1" readingOrder="1"/>
      <protection locked="0"/>
    </xf>
    <xf numFmtId="0" fontId="2" fillId="0" borderId="6" xfId="0" applyFont="1" applyBorder="1" applyAlignment="1" applyProtection="1">
      <alignment horizontal="center" vertical="center" wrapText="1" readingOrder="1"/>
      <protection locked="0"/>
    </xf>
    <xf numFmtId="0" fontId="0" fillId="0" borderId="4" xfId="0" applyBorder="1" applyAlignment="1">
      <alignment horizontal="center" vertical="center"/>
    </xf>
    <xf numFmtId="43" fontId="2" fillId="3" borderId="1" xfId="1" applyFont="1" applyFill="1" applyBorder="1" applyAlignment="1" applyProtection="1">
      <alignment horizontal="center" vertical="center" wrapText="1" readingOrder="1"/>
      <protection locked="0"/>
    </xf>
    <xf numFmtId="43" fontId="2" fillId="3" borderId="2" xfId="1" applyFont="1" applyFill="1" applyBorder="1" applyAlignment="1" applyProtection="1">
      <alignment horizontal="center" vertical="center" wrapText="1" readingOrder="1"/>
      <protection locked="0"/>
    </xf>
    <xf numFmtId="43" fontId="2" fillId="3" borderId="2" xfId="1" applyFont="1" applyFill="1" applyBorder="1" applyAlignment="1" applyProtection="1">
      <alignment vertical="center" wrapText="1" readingOrder="1"/>
      <protection locked="0"/>
    </xf>
    <xf numFmtId="0" fontId="2" fillId="6" borderId="1" xfId="0" applyFont="1" applyFill="1" applyBorder="1" applyAlignment="1" applyProtection="1">
      <alignment vertical="center" wrapText="1" readingOrder="1"/>
      <protection locked="0"/>
    </xf>
    <xf numFmtId="0" fontId="2" fillId="7" borderId="2" xfId="0" applyFont="1" applyFill="1" applyBorder="1" applyAlignment="1" applyProtection="1">
      <alignment horizontal="right" vertical="center" wrapText="1" readingOrder="1"/>
      <protection locked="0"/>
    </xf>
    <xf numFmtId="0" fontId="0" fillId="7" borderId="0" xfId="0" applyFill="1">
      <alignment vertical="center"/>
    </xf>
    <xf numFmtId="43" fontId="2" fillId="7" borderId="2" xfId="1" applyFont="1" applyFill="1" applyBorder="1" applyAlignment="1" applyProtection="1">
      <alignment horizontal="right" vertical="center" wrapText="1" readingOrder="1"/>
      <protection locked="0"/>
    </xf>
    <xf numFmtId="0" fontId="2" fillId="0" borderId="2" xfId="2" applyFont="1" applyBorder="1" applyAlignment="1" applyProtection="1">
      <alignment horizontal="center" vertical="center" wrapText="1" readingOrder="1"/>
      <protection locked="0"/>
    </xf>
    <xf numFmtId="0" fontId="2" fillId="0" borderId="2" xfId="2" applyFont="1" applyBorder="1" applyAlignment="1" applyProtection="1">
      <alignment horizontal="left" vertical="center" wrapText="1" readingOrder="1"/>
      <protection locked="0"/>
    </xf>
    <xf numFmtId="0" fontId="2" fillId="0" borderId="2" xfId="2" applyFont="1" applyBorder="1" applyAlignment="1" applyProtection="1">
      <alignment horizontal="right" vertical="center" wrapText="1" readingOrder="1"/>
      <protection locked="0"/>
    </xf>
    <xf numFmtId="176" fontId="2" fillId="0" borderId="2" xfId="2" applyNumberFormat="1" applyFont="1" applyBorder="1" applyAlignment="1" applyProtection="1">
      <alignment horizontal="right" vertical="center" wrapText="1" readingOrder="1"/>
      <protection locked="0"/>
    </xf>
    <xf numFmtId="0" fontId="8" fillId="0" borderId="2" xfId="0" applyFont="1" applyBorder="1" applyAlignment="1" applyProtection="1">
      <alignment horizontal="center" vertical="center" wrapText="1" readingOrder="1"/>
      <protection locked="0"/>
    </xf>
    <xf numFmtId="0" fontId="8" fillId="0" borderId="2" xfId="0" applyFont="1" applyBorder="1" applyAlignment="1" applyProtection="1">
      <alignment horizontal="left" vertical="center" wrapText="1" readingOrder="1"/>
      <protection locked="0"/>
    </xf>
    <xf numFmtId="0" fontId="8" fillId="0" borderId="2" xfId="0" applyFont="1" applyBorder="1" applyAlignment="1" applyProtection="1">
      <alignment horizontal="right" vertical="center" wrapText="1" readingOrder="1"/>
      <protection locked="0"/>
    </xf>
    <xf numFmtId="0" fontId="2" fillId="0" borderId="2" xfId="0" quotePrefix="1" applyFont="1" applyBorder="1" applyAlignment="1" applyProtection="1">
      <alignment horizontal="center" vertical="center" wrapText="1" readingOrder="1"/>
      <protection locked="0"/>
    </xf>
    <xf numFmtId="0" fontId="9" fillId="0" borderId="0" xfId="0" applyFont="1" applyAlignment="1">
      <alignment vertical="center" wrapText="1"/>
    </xf>
    <xf numFmtId="0" fontId="10" fillId="8" borderId="9" xfId="0" applyFont="1" applyFill="1" applyBorder="1" applyAlignment="1">
      <alignment horizontal="center" vertical="center" wrapText="1" readingOrder="1"/>
    </xf>
    <xf numFmtId="0" fontId="10" fillId="8" borderId="10" xfId="0" applyFont="1" applyFill="1" applyBorder="1" applyAlignment="1">
      <alignment horizontal="center" vertical="center" wrapText="1" readingOrder="1"/>
    </xf>
    <xf numFmtId="0" fontId="10" fillId="8" borderId="11" xfId="0" applyFont="1" applyFill="1" applyBorder="1" applyAlignment="1">
      <alignment horizontal="center" vertical="center" wrapText="1" readingOrder="1"/>
    </xf>
    <xf numFmtId="0" fontId="10" fillId="0" borderId="7" xfId="0" applyFont="1" applyBorder="1" applyAlignment="1">
      <alignment horizontal="center" vertical="center" wrapText="1" readingOrder="1"/>
    </xf>
    <xf numFmtId="0" fontId="10" fillId="0" borderId="8" xfId="0" applyFont="1" applyBorder="1" applyAlignment="1">
      <alignment horizontal="right" vertical="center" readingOrder="1"/>
    </xf>
    <xf numFmtId="2" fontId="0" fillId="0" borderId="0" xfId="0" applyNumberFormat="1">
      <alignment vertical="center"/>
    </xf>
    <xf numFmtId="0" fontId="0" fillId="9" borderId="0" xfId="0" applyFill="1">
      <alignment vertical="center"/>
    </xf>
    <xf numFmtId="0" fontId="13" fillId="9" borderId="0" xfId="0" applyFont="1" applyFill="1">
      <alignment vertical="center"/>
    </xf>
    <xf numFmtId="0" fontId="13" fillId="9" borderId="0" xfId="0" applyFont="1" applyFill="1" applyAlignment="1">
      <alignment horizontal="right" vertical="center"/>
    </xf>
    <xf numFmtId="0" fontId="14" fillId="9" borderId="4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vertical="center"/>
    </xf>
    <xf numFmtId="177" fontId="15" fillId="9" borderId="4" xfId="0" applyNumberFormat="1" applyFont="1" applyFill="1" applyBorder="1">
      <alignment vertical="center"/>
    </xf>
    <xf numFmtId="0" fontId="14" fillId="9" borderId="4" xfId="0" applyFont="1" applyFill="1" applyBorder="1" applyAlignment="1">
      <alignment vertical="center"/>
    </xf>
    <xf numFmtId="177" fontId="14" fillId="9" borderId="4" xfId="0" applyNumberFormat="1" applyFont="1" applyFill="1" applyBorder="1">
      <alignment vertical="center"/>
    </xf>
    <xf numFmtId="0" fontId="11" fillId="9" borderId="0" xfId="0" applyFont="1" applyFill="1">
      <alignment vertical="center"/>
    </xf>
    <xf numFmtId="0" fontId="16" fillId="9" borderId="0" xfId="0" applyFont="1" applyFill="1">
      <alignment vertical="center"/>
    </xf>
    <xf numFmtId="0" fontId="16" fillId="5" borderId="0" xfId="0" applyFont="1" applyFill="1">
      <alignment vertical="center"/>
    </xf>
    <xf numFmtId="0" fontId="16" fillId="9" borderId="0" xfId="0" quotePrefix="1" applyFont="1" applyFill="1">
      <alignment vertical="center"/>
    </xf>
    <xf numFmtId="177" fontId="15" fillId="5" borderId="4" xfId="0" applyNumberFormat="1" applyFont="1" applyFill="1" applyBorder="1">
      <alignment vertical="center"/>
    </xf>
    <xf numFmtId="0" fontId="11" fillId="5" borderId="0" xfId="0" applyFont="1" applyFill="1">
      <alignment vertical="center"/>
    </xf>
    <xf numFmtId="0" fontId="14" fillId="9" borderId="4" xfId="0" applyFont="1" applyFill="1" applyBorder="1" applyAlignment="1">
      <alignment horizontal="left" vertical="center"/>
    </xf>
    <xf numFmtId="0" fontId="14" fillId="9" borderId="0" xfId="0" applyFont="1" applyFill="1" applyBorder="1">
      <alignment vertical="center"/>
    </xf>
    <xf numFmtId="0" fontId="0" fillId="10" borderId="0" xfId="0" applyFill="1">
      <alignment vertical="center"/>
    </xf>
    <xf numFmtId="0" fontId="14" fillId="10" borderId="4" xfId="0" applyFont="1" applyFill="1" applyBorder="1" applyAlignment="1">
      <alignment horizontal="center" vertical="center"/>
    </xf>
    <xf numFmtId="0" fontId="17" fillId="0" borderId="2" xfId="0" applyFont="1" applyBorder="1" applyAlignment="1" applyProtection="1">
      <alignment horizontal="center" vertical="center" wrapText="1" readingOrder="1"/>
      <protection locked="0"/>
    </xf>
    <xf numFmtId="0" fontId="0" fillId="11" borderId="0" xfId="0" applyFill="1">
      <alignment vertical="center"/>
    </xf>
    <xf numFmtId="0" fontId="18" fillId="0" borderId="16" xfId="0" applyFont="1" applyBorder="1" applyAlignment="1">
      <alignment horizontal="left" vertical="center" wrapText="1" readingOrder="1"/>
    </xf>
    <xf numFmtId="0" fontId="18" fillId="0" borderId="18" xfId="0" applyFont="1" applyBorder="1" applyAlignment="1">
      <alignment horizontal="center" vertical="center" wrapText="1" readingOrder="1"/>
    </xf>
    <xf numFmtId="0" fontId="19" fillId="0" borderId="19" xfId="0" applyFont="1" applyBorder="1" applyAlignment="1">
      <alignment horizontal="left" vertical="center" wrapText="1" readingOrder="1"/>
    </xf>
    <xf numFmtId="177" fontId="20" fillId="0" borderId="20" xfId="0" applyNumberFormat="1" applyFont="1" applyBorder="1" applyAlignment="1">
      <alignment horizontal="center" vertical="center" wrapText="1"/>
    </xf>
    <xf numFmtId="10" fontId="20" fillId="0" borderId="21" xfId="3" applyNumberFormat="1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 readingOrder="1"/>
    </xf>
    <xf numFmtId="177" fontId="20" fillId="0" borderId="23" xfId="0" applyNumberFormat="1" applyFont="1" applyBorder="1" applyAlignment="1">
      <alignment horizontal="center" vertical="center" wrapText="1"/>
    </xf>
    <xf numFmtId="10" fontId="20" fillId="0" borderId="24" xfId="3" applyNumberFormat="1" applyFont="1" applyBorder="1" applyAlignment="1">
      <alignment horizontal="center" vertical="center" wrapText="1"/>
    </xf>
    <xf numFmtId="0" fontId="21" fillId="0" borderId="0" xfId="0" applyFont="1">
      <alignment vertical="center"/>
    </xf>
    <xf numFmtId="178" fontId="18" fillId="0" borderId="17" xfId="0" quotePrefix="1" applyNumberFormat="1" applyFont="1" applyBorder="1" applyAlignment="1">
      <alignment horizontal="center" vertical="center" wrapText="1" readingOrder="1"/>
    </xf>
    <xf numFmtId="178" fontId="18" fillId="0" borderId="17" xfId="0" applyNumberFormat="1" applyFont="1" applyBorder="1" applyAlignment="1">
      <alignment horizontal="center" vertical="center" wrapText="1" readingOrder="1"/>
    </xf>
    <xf numFmtId="177" fontId="0" fillId="0" borderId="0" xfId="0" applyNumberFormat="1">
      <alignment vertical="center"/>
    </xf>
    <xf numFmtId="0" fontId="2" fillId="0" borderId="0" xfId="0" applyFont="1" applyFill="1" applyBorder="1" applyAlignment="1" applyProtection="1">
      <alignment horizontal="right" vertical="center" wrapText="1" readingOrder="1"/>
      <protection locked="0"/>
    </xf>
    <xf numFmtId="43" fontId="17" fillId="0" borderId="2" xfId="1" applyFont="1" applyBorder="1" applyAlignment="1" applyProtection="1">
      <alignment horizontal="right" vertical="center" wrapText="1" readingOrder="1"/>
      <protection locked="0"/>
    </xf>
    <xf numFmtId="43" fontId="2" fillId="11" borderId="2" xfId="1" applyFont="1" applyFill="1" applyBorder="1" applyAlignment="1" applyProtection="1">
      <alignment horizontal="right" vertical="center" wrapText="1" readingOrder="1"/>
      <protection locked="0"/>
    </xf>
    <xf numFmtId="43" fontId="2" fillId="0" borderId="2" xfId="1" applyFont="1" applyFill="1" applyBorder="1" applyAlignment="1" applyProtection="1">
      <alignment horizontal="right" vertical="center" wrapText="1" readingOrder="1"/>
      <protection locked="0"/>
    </xf>
    <xf numFmtId="43" fontId="17" fillId="0" borderId="2" xfId="1" applyFont="1" applyFill="1" applyBorder="1" applyAlignment="1" applyProtection="1">
      <alignment horizontal="right" vertical="center" wrapText="1" readingOrder="1"/>
      <protection locked="0"/>
    </xf>
    <xf numFmtId="43" fontId="17" fillId="0" borderId="2" xfId="1" applyFont="1" applyBorder="1" applyAlignment="1" applyProtection="1">
      <alignment horizontal="center" vertical="center" wrapText="1" readingOrder="1"/>
      <protection locked="0"/>
    </xf>
    <xf numFmtId="43" fontId="10" fillId="0" borderId="12" xfId="1" applyFont="1" applyBorder="1" applyAlignment="1">
      <alignment horizontal="right" vertical="center" wrapText="1" readingOrder="1"/>
    </xf>
    <xf numFmtId="43" fontId="10" fillId="0" borderId="8" xfId="1" applyFont="1" applyBorder="1" applyAlignment="1">
      <alignment horizontal="right" vertical="center" readingOrder="1"/>
    </xf>
    <xf numFmtId="0" fontId="21" fillId="11" borderId="0" xfId="0" applyFont="1" applyFill="1">
      <alignment vertical="center"/>
    </xf>
    <xf numFmtId="0" fontId="14" fillId="9" borderId="4" xfId="0" applyFont="1" applyFill="1" applyBorder="1" applyAlignment="1">
      <alignment horizontal="center" vertical="center"/>
    </xf>
    <xf numFmtId="177" fontId="15" fillId="9" borderId="4" xfId="0" applyNumberFormat="1" applyFont="1" applyFill="1" applyBorder="1" applyAlignment="1">
      <alignment horizontal="center" vertical="center"/>
    </xf>
    <xf numFmtId="177" fontId="15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9" fillId="0" borderId="0" xfId="0" applyFont="1" applyBorder="1" applyAlignment="1">
      <alignment horizontal="left" vertical="center" wrapText="1" readingOrder="1"/>
    </xf>
    <xf numFmtId="177" fontId="20" fillId="0" borderId="0" xfId="0" applyNumberFormat="1" applyFont="1" applyBorder="1" applyAlignment="1">
      <alignment horizontal="center" vertical="center" wrapText="1"/>
    </xf>
    <xf numFmtId="10" fontId="20" fillId="0" borderId="0" xfId="3" applyNumberFormat="1" applyFont="1" applyBorder="1" applyAlignment="1">
      <alignment horizontal="center" vertical="center" wrapText="1"/>
    </xf>
    <xf numFmtId="0" fontId="18" fillId="0" borderId="27" xfId="0" applyFont="1" applyBorder="1" applyAlignment="1">
      <alignment horizontal="left" vertical="center" wrapText="1" readingOrder="1"/>
    </xf>
    <xf numFmtId="178" fontId="18" fillId="0" borderId="27" xfId="0" applyNumberFormat="1" applyFont="1" applyBorder="1" applyAlignment="1">
      <alignment horizontal="center" vertical="center" wrapText="1" readingOrder="1"/>
    </xf>
    <xf numFmtId="0" fontId="18" fillId="0" borderId="27" xfId="0" applyFont="1" applyBorder="1" applyAlignment="1">
      <alignment horizontal="center" vertical="center" wrapText="1" readingOrder="1"/>
    </xf>
    <xf numFmtId="177" fontId="24" fillId="0" borderId="27" xfId="0" applyNumberFormat="1" applyFont="1" applyBorder="1" applyAlignment="1">
      <alignment horizontal="center" vertical="center" wrapText="1"/>
    </xf>
    <xf numFmtId="10" fontId="24" fillId="0" borderId="27" xfId="3" applyNumberFormat="1" applyFont="1" applyBorder="1" applyAlignment="1">
      <alignment horizontal="center" vertical="center" wrapText="1"/>
    </xf>
    <xf numFmtId="0" fontId="2" fillId="11" borderId="2" xfId="0" applyFont="1" applyFill="1" applyBorder="1" applyAlignment="1" applyProtection="1">
      <alignment horizontal="center" vertical="center" wrapText="1" readingOrder="1"/>
      <protection locked="0"/>
    </xf>
    <xf numFmtId="43" fontId="0" fillId="11" borderId="0" xfId="1" applyFont="1" applyFill="1">
      <alignment vertical="center"/>
    </xf>
    <xf numFmtId="43" fontId="2" fillId="11" borderId="2" xfId="1" applyFont="1" applyFill="1" applyBorder="1" applyAlignment="1" applyProtection="1">
      <alignment horizontal="center" vertical="center" wrapText="1" readingOrder="1"/>
      <protection locked="0"/>
    </xf>
    <xf numFmtId="0" fontId="0" fillId="0" borderId="0" xfId="0" applyAlignment="1">
      <alignment vertical="center" wrapText="1"/>
    </xf>
    <xf numFmtId="0" fontId="0" fillId="0" borderId="0" xfId="0" applyNumberFormat="1">
      <alignment vertical="center"/>
    </xf>
    <xf numFmtId="0" fontId="2" fillId="0" borderId="0" xfId="0" applyNumberFormat="1" applyFont="1" applyFill="1" applyBorder="1" applyAlignment="1" applyProtection="1">
      <alignment horizontal="center" vertical="center" wrapText="1" readingOrder="1"/>
      <protection locked="0"/>
    </xf>
    <xf numFmtId="0" fontId="14" fillId="9" borderId="4" xfId="0" applyFont="1" applyFill="1" applyBorder="1" applyAlignment="1">
      <alignment horizontal="left" vertical="center"/>
    </xf>
    <xf numFmtId="177" fontId="15" fillId="0" borderId="4" xfId="0" applyNumberFormat="1" applyFont="1" applyFill="1" applyBorder="1">
      <alignment vertical="center"/>
    </xf>
    <xf numFmtId="177" fontId="14" fillId="0" borderId="4" xfId="0" applyNumberFormat="1" applyFont="1" applyFill="1" applyBorder="1">
      <alignment vertical="center"/>
    </xf>
    <xf numFmtId="0" fontId="2" fillId="0" borderId="2" xfId="2" applyNumberFormat="1" applyFont="1" applyBorder="1" applyAlignment="1" applyProtection="1">
      <alignment horizontal="center" vertical="center" wrapText="1" readingOrder="1"/>
      <protection locked="0"/>
    </xf>
    <xf numFmtId="0" fontId="0" fillId="9" borderId="0" xfId="0" applyNumberFormat="1" applyFill="1">
      <alignment vertical="center"/>
    </xf>
    <xf numFmtId="0" fontId="16" fillId="9" borderId="0" xfId="0" applyNumberFormat="1" applyFont="1" applyFill="1">
      <alignment vertical="center"/>
    </xf>
    <xf numFmtId="0" fontId="16" fillId="9" borderId="0" xfId="0" quotePrefix="1" applyNumberFormat="1" applyFont="1" applyFill="1">
      <alignment vertical="center"/>
    </xf>
    <xf numFmtId="0" fontId="0" fillId="5" borderId="0" xfId="0" applyNumberFormat="1" applyFill="1">
      <alignment vertical="center"/>
    </xf>
    <xf numFmtId="0" fontId="16" fillId="5" borderId="0" xfId="0" applyNumberFormat="1" applyFont="1" applyFill="1">
      <alignment vertical="center"/>
    </xf>
    <xf numFmtId="0" fontId="12" fillId="9" borderId="0" xfId="0" applyFont="1" applyFill="1" applyAlignment="1">
      <alignment horizontal="center" vertical="center"/>
    </xf>
    <xf numFmtId="0" fontId="15" fillId="9" borderId="13" xfId="0" applyFont="1" applyFill="1" applyBorder="1" applyAlignment="1">
      <alignment horizontal="center" vertical="center"/>
    </xf>
    <xf numFmtId="0" fontId="15" fillId="9" borderId="14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/>
    </xf>
    <xf numFmtId="0" fontId="14" fillId="9" borderId="4" xfId="0" applyFont="1" applyFill="1" applyBorder="1" applyAlignment="1">
      <alignment horizontal="center" vertical="center"/>
    </xf>
    <xf numFmtId="0" fontId="14" fillId="9" borderId="13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left" vertical="center"/>
    </xf>
    <xf numFmtId="0" fontId="14" fillId="9" borderId="28" xfId="0" applyFont="1" applyFill="1" applyBorder="1" applyAlignment="1">
      <alignment horizontal="left" vertical="center"/>
    </xf>
    <xf numFmtId="0" fontId="21" fillId="0" borderId="25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3" fillId="9" borderId="0" xfId="0" applyFont="1" applyFill="1" applyAlignment="1">
      <alignment horizontal="center" vertical="center"/>
    </xf>
  </cellXfs>
  <cellStyles count="4">
    <cellStyle name="百分比" xfId="3" builtinId="5"/>
    <cellStyle name="常规" xfId="0" builtinId="0"/>
    <cellStyle name="常规 2" xfId="2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</xdr:row>
          <xdr:rowOff>213360</xdr:rowOff>
        </xdr:from>
        <xdr:to>
          <xdr:col>1</xdr:col>
          <xdr:colOff>594360</xdr:colOff>
          <xdr:row>4</xdr:row>
          <xdr:rowOff>320040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一键统计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41"/>
  <sheetViews>
    <sheetView topLeftCell="B1" workbookViewId="0">
      <selection activeCell="G42" sqref="G42"/>
    </sheetView>
  </sheetViews>
  <sheetFormatPr defaultColWidth="9" defaultRowHeight="13.8" x14ac:dyDescent="0.25"/>
  <cols>
    <col min="1" max="1" width="17.44140625" style="51" customWidth="1"/>
    <col min="2" max="2" width="14.88671875" style="51" customWidth="1"/>
    <col min="3" max="3" width="11.77734375" style="51" customWidth="1"/>
    <col min="4" max="4" width="14.109375" style="51" bestFit="1" customWidth="1"/>
    <col min="5" max="11" width="11.6640625" style="51" bestFit="1" customWidth="1"/>
    <col min="12" max="12" width="10.44140625" style="51" bestFit="1" customWidth="1"/>
    <col min="13" max="13" width="11.6640625" style="51" bestFit="1" customWidth="1"/>
    <col min="14" max="14" width="10.44140625" style="51" bestFit="1" customWidth="1"/>
    <col min="15" max="15" width="13.21875" style="51" customWidth="1"/>
    <col min="16" max="17" width="9" style="51"/>
    <col min="18" max="18" width="12.77734375" style="22" bestFit="1" customWidth="1"/>
    <col min="19" max="16384" width="9" style="51"/>
  </cols>
  <sheetData>
    <row r="1" spans="1:23" ht="17.399999999999999" x14ac:dyDescent="0.25">
      <c r="A1" s="121" t="str">
        <f>Q1&amp;"年管理费收入明细表(分月全年累计数)"</f>
        <v>2020年管理费收入明细表(分月全年累计数)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70" t="s">
        <v>239</v>
      </c>
      <c r="Q1" s="70">
        <v>2020</v>
      </c>
      <c r="R1" s="22" t="s">
        <v>172</v>
      </c>
      <c r="U1" s="51" t="s">
        <v>136</v>
      </c>
      <c r="V1" s="51" t="s">
        <v>173</v>
      </c>
      <c r="W1" s="51" t="s">
        <v>174</v>
      </c>
    </row>
    <row r="2" spans="1:23" x14ac:dyDescent="0.25">
      <c r="A2" s="52"/>
      <c r="B2" s="52"/>
      <c r="C2" s="52"/>
      <c r="O2" s="53" t="s">
        <v>175</v>
      </c>
      <c r="U2" s="51" t="s">
        <v>176</v>
      </c>
      <c r="V2" s="116">
        <v>643</v>
      </c>
    </row>
    <row r="3" spans="1:23" ht="14.4" x14ac:dyDescent="0.25">
      <c r="A3" s="54" t="s">
        <v>196</v>
      </c>
      <c r="B3" s="54" t="s">
        <v>177</v>
      </c>
      <c r="C3" s="54"/>
      <c r="D3" s="54" t="s">
        <v>178</v>
      </c>
      <c r="E3" s="54" t="s">
        <v>197</v>
      </c>
      <c r="F3" s="54" t="s">
        <v>179</v>
      </c>
      <c r="G3" s="54" t="s">
        <v>180</v>
      </c>
      <c r="H3" s="54" t="s">
        <v>181</v>
      </c>
      <c r="I3" s="54" t="s">
        <v>182</v>
      </c>
      <c r="J3" s="54" t="s">
        <v>183</v>
      </c>
      <c r="K3" s="54" t="s">
        <v>184</v>
      </c>
      <c r="L3" s="54" t="s">
        <v>185</v>
      </c>
      <c r="M3" s="54" t="s">
        <v>186</v>
      </c>
      <c r="N3" s="54" t="s">
        <v>187</v>
      </c>
      <c r="O3" s="54" t="s">
        <v>188</v>
      </c>
      <c r="R3" s="22" t="s">
        <v>173</v>
      </c>
      <c r="U3" s="51" t="s">
        <v>198</v>
      </c>
      <c r="V3" s="116">
        <v>652</v>
      </c>
    </row>
    <row r="4" spans="1:23" ht="14.4" x14ac:dyDescent="0.25">
      <c r="A4" s="122" t="s">
        <v>199</v>
      </c>
      <c r="B4" s="125" t="s">
        <v>176</v>
      </c>
      <c r="C4" s="55" t="s">
        <v>200</v>
      </c>
      <c r="D4" s="56">
        <f>(SUMIFS(单一受托!$H:$H,单一受托!$A:$A,LEFT($A$1,4),单一受托!$B:$B,LEFT(D$3,LEN(D$3)-2),单一受托!$D:$D,管理费收入总表!$R4)+SUMIFS(单一投管!$K:$K,单一投管!$A:$A,LEFT($A$1,4),单一投管!$B:$B,LEFT(D$3,LEN(D$3)-2),单一投管!$D:$D,管理费收入总表!$R4)+SUMIFS(单一账管!$G:$G,单一账管!$A:$A,LEFT($A$1,4),单一账管!$B:$B,LEFT(D$3,LEN(D$3)-2),单一账管!$D:$D,管理费收入总表!$R4))/10000</f>
        <v>0</v>
      </c>
      <c r="E4" s="56">
        <f>(SUMIFS(单一受托!$H:$H,单一受托!$A:$A,LEFT($A$1,4),单一受托!$B:$B,LEFT(E$3,LEN(E$3)-2),单一受托!$D:$D,管理费收入总表!$R4)+SUMIFS(单一投管!$K:$K,单一投管!$A:$A,LEFT($A$1,4),单一投管!$B:$B,LEFT(E$3,LEN(E$3)-2),单一投管!$D:$D,管理费收入总表!$R4)+SUMIFS(单一账管!$G:$G,单一账管!$A:$A,LEFT($A$1,4),单一账管!$B:$B,LEFT(E$3,LEN(E$3)-2),单一账管!$D:$D,管理费收入总表!$R4))/10000</f>
        <v>0</v>
      </c>
      <c r="F4" s="56">
        <f>(SUMIFS(单一受托!$H:$H,单一受托!$A:$A,LEFT($A$1,4),单一受托!$B:$B,LEFT(F$3,LEN(F$3)-2),单一受托!$D:$D,管理费收入总表!$R4)+SUMIFS(单一投管!$K:$K,单一投管!$A:$A,LEFT($A$1,4),单一投管!$B:$B,LEFT(F$3,LEN(F$3)-2),单一投管!$D:$D,管理费收入总表!$R4)+SUMIFS(单一账管!$G:$G,单一账管!$A:$A,LEFT($A$1,4),单一账管!$B:$B,LEFT(F$3,LEN(F$3)-2),单一账管!$D:$D,管理费收入总表!$R4))/10000</f>
        <v>0</v>
      </c>
      <c r="G4" s="56">
        <f>(SUMIFS(单一受托!$H:$H,单一受托!$A:$A,LEFT($A$1,4),单一受托!$B:$B,LEFT(G$3,LEN(G$3)-2),单一受托!$D:$D,管理费收入总表!$R4)+SUMIFS(单一投管!$K:$K,单一投管!$A:$A,LEFT($A$1,4),单一投管!$B:$B,LEFT(G$3,LEN(G$3)-2),单一投管!$D:$D,管理费收入总表!$R4)+SUMIFS(单一账管!$G:$G,单一账管!$A:$A,LEFT($A$1,4),单一账管!$B:$B,LEFT(G$3,LEN(G$3)-2),单一账管!$D:$D,管理费收入总表!$R4))/10000</f>
        <v>0.264849</v>
      </c>
      <c r="H4" s="56">
        <f>(SUMIFS(单一受托!$H:$H,单一受托!$A:$A,LEFT($A$1,4),单一受托!$B:$B,LEFT(H$3,LEN(H$3)-2),单一受托!$D:$D,管理费收入总表!$R4)+SUMIFS(单一投管!$K:$K,单一投管!$A:$A,LEFT($A$1,4),单一投管!$B:$B,LEFT(H$3,LEN(H$3)-2),单一投管!$D:$D,管理费收入总表!$R4)+SUMIFS(单一账管!$G:$G,单一账管!$A:$A,LEFT($A$1,4),单一账管!$B:$B,LEFT(H$3,LEN(H$3)-2),单一账管!$D:$D,管理费收入总表!$R4))/10000</f>
        <v>0.264849</v>
      </c>
      <c r="I4" s="56">
        <f>(SUMIFS(单一受托!$H:$H,单一受托!$A:$A,LEFT($A$1,4),单一受托!$B:$B,LEFT(I$3,LEN(I$3)-2),单一受托!$D:$D,管理费收入总表!$R4)+SUMIFS(单一投管!$K:$K,单一投管!$A:$A,LEFT($A$1,4),单一投管!$B:$B,LEFT(I$3,LEN(I$3)-2),单一投管!$D:$D,管理费收入总表!$R4)+SUMIFS(单一账管!$G:$G,单一账管!$A:$A,LEFT($A$1,4),单一账管!$B:$B,LEFT(I$3,LEN(I$3)-2),单一账管!$D:$D,管理费收入总表!$R4))/10000</f>
        <v>0.264849</v>
      </c>
      <c r="J4" s="56">
        <f>(SUMIFS(单一受托!$H:$H,单一受托!$A:$A,LEFT($A$1,4),单一受托!$B:$B,LEFT(J$3,LEN(J$3)-2),单一受托!$D:$D,管理费收入总表!$R4)+SUMIFS(单一投管!$K:$K,单一投管!$A:$A,LEFT($A$1,4),单一投管!$B:$B,LEFT(J$3,LEN(J$3)-2),单一投管!$D:$D,管理费收入总表!$R4)+SUMIFS(单一账管!$G:$G,单一账管!$A:$A,LEFT($A$1,4),单一账管!$B:$B,LEFT(J$3,LEN(J$3)-2),单一账管!$D:$D,管理费收入总表!$R4))/10000</f>
        <v>0.264849</v>
      </c>
      <c r="K4" s="56">
        <f>(SUMIFS(单一受托!$H:$H,单一受托!$A:$A,LEFT($A$1,4),单一受托!$B:$B,LEFT(K$3,LEN(K$3)-2),单一受托!$D:$D,管理费收入总表!$R4)+SUMIFS(单一投管!$K:$K,单一投管!$A:$A,LEFT($A$1,4),单一投管!$B:$B,LEFT(K$3,LEN(K$3)-2),单一投管!$D:$D,管理费收入总表!$R4)+SUMIFS(单一账管!$G:$G,单一账管!$A:$A,LEFT($A$1,4),单一账管!$B:$B,LEFT(K$3,LEN(K$3)-2),单一账管!$D:$D,管理费收入总表!$R4))/10000</f>
        <v>0.264849</v>
      </c>
      <c r="L4" s="56">
        <f>(SUMIFS(单一受托!$H:$H,单一受托!$A:$A,LEFT($A$1,4),单一受托!$B:$B,LEFT(L$3,LEN(L$3)-2),单一受托!$D:$D,管理费收入总表!$R4)+SUMIFS(单一投管!$K:$K,单一投管!$A:$A,LEFT($A$1,4),单一投管!$B:$B,LEFT(L$3,LEN(L$3)-2),单一投管!$D:$D,管理费收入总表!$R4)+SUMIFS(单一账管!$G:$G,单一账管!$A:$A,LEFT($A$1,4),单一账管!$B:$B,LEFT(L$3,LEN(L$3)-2),单一账管!$D:$D,管理费收入总表!$R4))/10000</f>
        <v>0.264849</v>
      </c>
      <c r="M4" s="56">
        <f>(SUMIFS(单一受托!$H:$H,单一受托!$A:$A,LEFT($A$1,4),单一受托!$B:$B,LEFT(M$3,LEN(M$3)-2),单一受托!$D:$D,管理费收入总表!$R4)+SUMIFS(单一投管!$K:$K,单一投管!$A:$A,LEFT($A$1,4),单一投管!$B:$B,LEFT(M$3,LEN(M$3)-2),单一投管!$D:$D,管理费收入总表!$R4)+SUMIFS(单一账管!$G:$G,单一账管!$A:$A,LEFT($A$1,4),单一账管!$B:$B,LEFT(M$3,LEN(M$3)-2),单一账管!$D:$D,管理费收入总表!$R4))/10000</f>
        <v>0.264849</v>
      </c>
      <c r="N4" s="56">
        <f>(SUMIFS(单一受托!$H:$H,单一受托!$A:$A,LEFT($A$1,4),单一受托!$B:$B,LEFT(N$3,LEN(N$3)-2),单一受托!$D:$D,管理费收入总表!$R4)+SUMIFS(单一投管!$K:$K,单一投管!$A:$A,LEFT($A$1,4),单一投管!$B:$B,LEFT(N$3,LEN(N$3)-2),单一投管!$D:$D,管理费收入总表!$R4)+SUMIFS(单一账管!$G:$G,单一账管!$A:$A,LEFT($A$1,4),单一账管!$B:$B,LEFT(N$3,LEN(N$3)-2),单一账管!$D:$D,管理费收入总表!$R4))/10000</f>
        <v>0.264849</v>
      </c>
      <c r="O4" s="56">
        <f>(SUMIFS(单一受托!$H:$H,单一受托!$A:$A,LEFT($A$1,4),单一受托!$B:$B,LEFT(O$3,LEN(O$3)-2),单一受托!$D:$D,管理费收入总表!$R4)+SUMIFS(单一投管!$K:$K,单一投管!$A:$A,LEFT($A$1,4),单一投管!$B:$B,LEFT(O$3,LEN(O$3)-2),单一投管!$D:$D,管理费收入总表!$R4)+SUMIFS(单一账管!$G:$G,单一账管!$A:$A,LEFT($A$1,4),单一账管!$B:$B,LEFT(O$3,LEN(O$3)-2),单一账管!$D:$D,管理费收入总表!$R4))/10000</f>
        <v>-21.783195000000003</v>
      </c>
      <c r="R4" s="22">
        <v>643</v>
      </c>
      <c r="U4" s="51" t="s">
        <v>201</v>
      </c>
      <c r="V4" s="116">
        <v>650</v>
      </c>
    </row>
    <row r="5" spans="1:23" ht="14.4" x14ac:dyDescent="0.25">
      <c r="A5" s="123"/>
      <c r="B5" s="125"/>
      <c r="C5" s="55" t="s">
        <v>202</v>
      </c>
      <c r="D5" s="56">
        <f>SUMIFS(单一受托!$I:$I,单一受托!$A:$A,LEFT($A$1,4),单一受托!$B:$B,LEFT(D$3,LEN(D$3)-2),单一受托!$D:$D,管理费收入总表!$R5)/10000+SUMIFS(单一投管!$L:$L,单一投管!$A:$A,LEFT($A$1,4),单一投管!$B:$B,LEFT(D$3,LEN(D$3)-2),单一投管!$D:$D,管理费收入总表!$R5)/10000</f>
        <v>0</v>
      </c>
      <c r="E5" s="56">
        <f>SUMIFS(单一受托!$I:$I,单一受托!$A:$A,LEFT($A$1,4),单一受托!$B:$B,LEFT(E$3,LEN(E$3)-2),单一受托!$D:$D,管理费收入总表!$R5)/10000+SUMIFS(单一投管!$L:$L,单一投管!$A:$A,LEFT($A$1,4),单一投管!$B:$B,LEFT(E$3,LEN(E$3)-2),单一投管!$D:$D,管理费收入总表!$R5)/10000</f>
        <v>0</v>
      </c>
      <c r="F5" s="56">
        <f>SUMIFS(单一受托!$I:$I,单一受托!$A:$A,LEFT($A$1,4),单一受托!$B:$B,LEFT(F$3,LEN(F$3)-2),单一受托!$D:$D,管理费收入总表!$R5)/10000+SUMIFS(单一投管!$L:$L,单一投管!$A:$A,LEFT($A$1,4),单一投管!$B:$B,LEFT(F$3,LEN(F$3)-2),单一投管!$D:$D,管理费收入总表!$R5)/10000</f>
        <v>0</v>
      </c>
      <c r="G5" s="56">
        <f>SUMIFS(单一受托!$I:$I,单一受托!$A:$A,LEFT($A$1,4),单一受托!$B:$B,LEFT(G$3,LEN(G$3)-2),单一受托!$D:$D,管理费收入总表!$R5)/10000+SUMIFS(单一投管!$L:$L,单一投管!$A:$A,LEFT($A$1,4),单一投管!$B:$B,LEFT(G$3,LEN(G$3)-2),单一投管!$D:$D,管理费收入总表!$R5)/10000</f>
        <v>65.012388000000001</v>
      </c>
      <c r="H5" s="56">
        <f>SUMIFS(单一受托!$I:$I,单一受托!$A:$A,LEFT($A$1,4),单一受托!$B:$B,LEFT(H$3,LEN(H$3)-2),单一受托!$D:$D,管理费收入总表!$R5)/10000+SUMIFS(单一投管!$L:$L,单一投管!$A:$A,LEFT($A$1,4),单一投管!$B:$B,LEFT(H$3,LEN(H$3)-2),单一投管!$D:$D,管理费收入总表!$R5)/10000</f>
        <v>130.98098200000001</v>
      </c>
      <c r="I5" s="56">
        <f>SUMIFS(单一受托!$I:$I,单一受托!$A:$A,LEFT($A$1,4),单一受托!$B:$B,LEFT(I$3,LEN(I$3)-2),单一受托!$D:$D,管理费收入总表!$R5)/10000+SUMIFS(单一投管!$L:$L,单一投管!$A:$A,LEFT($A$1,4),单一投管!$B:$B,LEFT(I$3,LEN(I$3)-2),单一投管!$D:$D,管理费收入总表!$R5)/10000</f>
        <v>197.95642699999999</v>
      </c>
      <c r="J5" s="56">
        <f>SUMIFS(单一受托!$I:$I,单一受托!$A:$A,LEFT($A$1,4),单一受托!$B:$B,LEFT(J$3,LEN(J$3)-2),单一受托!$D:$D,管理费收入总表!$R5)/10000+SUMIFS(单一投管!$L:$L,单一投管!$A:$A,LEFT($A$1,4),单一投管!$B:$B,LEFT(J$3,LEN(J$3)-2),单一投管!$D:$D,管理费收入总表!$R5)/10000</f>
        <v>458.87744400000003</v>
      </c>
      <c r="K5" s="56">
        <f>SUMIFS(单一受托!$I:$I,单一受托!$A:$A,LEFT($A$1,4),单一受托!$B:$B,LEFT(K$3,LEN(K$3)-2),单一受托!$D:$D,管理费收入总表!$R5)/10000+SUMIFS(单一投管!$L:$L,单一投管!$A:$A,LEFT($A$1,4),单一投管!$B:$B,LEFT(K$3,LEN(K$3)-2),单一投管!$D:$D,管理费收入总表!$R5)/10000</f>
        <v>528.95716399999992</v>
      </c>
      <c r="L5" s="56">
        <f>SUMIFS(单一受托!$I:$I,单一受托!$A:$A,LEFT($A$1,4),单一受托!$B:$B,LEFT(L$3,LEN(L$3)-2),单一受托!$D:$D,管理费收入总表!$R5)/10000+SUMIFS(单一投管!$L:$L,单一投管!$A:$A,LEFT($A$1,4),单一投管!$B:$B,LEFT(L$3,LEN(L$3)-2),单一投管!$D:$D,管理费收入总表!$R5)/10000</f>
        <v>599.27095800000006</v>
      </c>
      <c r="M5" s="56">
        <f>SUMIFS(单一受托!$I:$I,单一受托!$A:$A,LEFT($A$1,4),单一受托!$B:$B,LEFT(M$3,LEN(M$3)-2),单一受托!$D:$D,管理费收入总表!$R5)/10000+SUMIFS(单一投管!$L:$L,单一投管!$A:$A,LEFT($A$1,4),单一投管!$B:$B,LEFT(M$3,LEN(M$3)-2),单一投管!$D:$D,管理费收入总表!$R5)/10000</f>
        <v>670.07076700000005</v>
      </c>
      <c r="N5" s="56">
        <f>SUMIFS(单一受托!$I:$I,单一受托!$A:$A,LEFT($A$1,4),单一受托!$B:$B,LEFT(N$3,LEN(N$3)-2),单一受托!$D:$D,管理费收入总表!$R5)/10000+SUMIFS(单一投管!$L:$L,单一投管!$A:$A,LEFT($A$1,4),单一投管!$B:$B,LEFT(N$3,LEN(N$3)-2),单一投管!$D:$D,管理费收入总表!$R5)/10000</f>
        <v>741.72156399999994</v>
      </c>
      <c r="O5" s="56">
        <f>SUMIFS(单一受托!$I:$I,单一受托!$A:$A,LEFT($A$1,4),单一受托!$B:$B,LEFT(O$3,LEN(O$3)-2),单一受托!$D:$D,管理费收入总表!$R5)/10000+SUMIFS(单一投管!$L:$L,单一投管!$A:$A,LEFT($A$1,4),单一投管!$B:$B,LEFT(O$3,LEN(O$3)-2),单一投管!$D:$D,管理费收入总表!$R5)/10000</f>
        <v>814.54954900000007</v>
      </c>
      <c r="R5" s="119">
        <v>643</v>
      </c>
      <c r="U5" s="51" t="s">
        <v>191</v>
      </c>
      <c r="V5" s="116">
        <v>7605</v>
      </c>
    </row>
    <row r="6" spans="1:23" s="59" customFormat="1" ht="14.4" x14ac:dyDescent="0.25">
      <c r="A6" s="123"/>
      <c r="B6" s="125"/>
      <c r="C6" s="57" t="s">
        <v>192</v>
      </c>
      <c r="D6" s="58">
        <f>SUM(D4:D5)</f>
        <v>0</v>
      </c>
      <c r="E6" s="58">
        <f t="shared" ref="E6:O6" si="0">SUM(E4:E5)</f>
        <v>0</v>
      </c>
      <c r="F6" s="58">
        <f t="shared" si="0"/>
        <v>0</v>
      </c>
      <c r="G6" s="58">
        <f t="shared" si="0"/>
        <v>65.277237</v>
      </c>
      <c r="H6" s="58">
        <f t="shared" si="0"/>
        <v>131.24583100000001</v>
      </c>
      <c r="I6" s="58">
        <f t="shared" si="0"/>
        <v>198.22127599999999</v>
      </c>
      <c r="J6" s="58">
        <f t="shared" si="0"/>
        <v>459.14229300000005</v>
      </c>
      <c r="K6" s="58">
        <f t="shared" si="0"/>
        <v>529.22201299999995</v>
      </c>
      <c r="L6" s="58">
        <f t="shared" si="0"/>
        <v>599.53580700000009</v>
      </c>
      <c r="M6" s="58">
        <f t="shared" si="0"/>
        <v>670.33561600000007</v>
      </c>
      <c r="N6" s="58">
        <f t="shared" si="0"/>
        <v>741.98641299999997</v>
      </c>
      <c r="O6" s="58">
        <f t="shared" si="0"/>
        <v>792.76635400000009</v>
      </c>
      <c r="R6" s="119">
        <v>643</v>
      </c>
      <c r="U6" s="60" t="s">
        <v>193</v>
      </c>
      <c r="V6" s="117">
        <v>44321</v>
      </c>
    </row>
    <row r="7" spans="1:23" s="59" customFormat="1" ht="14.4" x14ac:dyDescent="0.25">
      <c r="A7" s="123"/>
      <c r="B7" s="122" t="s">
        <v>203</v>
      </c>
      <c r="C7" s="55" t="s">
        <v>200</v>
      </c>
      <c r="D7" s="56">
        <f>(SUMIFS(单一受托!$H:$H,单一受托!$A:$A,LEFT($A$1,4),单一受托!$B:$B,LEFT(D$3,LEN(D$3)-2),单一受托!$D:$D,管理费收入总表!$R7)+SUMIFS(单一投管!$K:$K,单一投管!$A:$A,LEFT($A$1,4),单一投管!$B:$B,LEFT(D$3,LEN(D$3)-2),单一投管!$D:$D,管理费收入总表!$R7)+SUMIFS(单一账管!$G:$G,单一账管!$A:$A,LEFT($A$1,4),单一账管!$B:$B,LEFT(D$3,LEN(D$3)-2),单一账管!$D:$D,管理费收入总表!$R7))/10000</f>
        <v>10.845383</v>
      </c>
      <c r="E7" s="56">
        <f>(SUMIFS(单一受托!$H:$H,单一受托!$A:$A,LEFT($A$1,4),单一受托!$B:$B,LEFT(E$3,LEN(E$3)-2),单一受托!$D:$D,管理费收入总表!$R7)+SUMIFS(单一投管!$K:$K,单一投管!$A:$A,LEFT($A$1,4),单一投管!$B:$B,LEFT(E$3,LEN(E$3)-2),单一投管!$D:$D,管理费收入总表!$R7)+SUMIFS(单一账管!$G:$G,单一账管!$A:$A,LEFT($A$1,4),单一账管!$B:$B,LEFT(E$3,LEN(E$3)-2),单一账管!$D:$D,管理费收入总表!$R7))/10000</f>
        <v>21.690766</v>
      </c>
      <c r="F7" s="56">
        <f>(SUMIFS(单一受托!$H:$H,单一受托!$A:$A,LEFT($A$1,4),单一受托!$B:$B,LEFT(F$3,LEN(F$3)-2),单一受托!$D:$D,管理费收入总表!$R7)+SUMIFS(单一投管!$K:$K,单一投管!$A:$A,LEFT($A$1,4),单一投管!$B:$B,LEFT(F$3,LEN(F$3)-2),单一投管!$D:$D,管理费收入总表!$R7)+SUMIFS(单一账管!$G:$G,单一账管!$A:$A,LEFT($A$1,4),单一账管!$B:$B,LEFT(F$3,LEN(F$3)-2),单一账管!$D:$D,管理费收入总表!$R7))/10000</f>
        <v>31.530481999999999</v>
      </c>
      <c r="G7" s="56">
        <f>(SUMIFS(单一受托!$H:$H,单一受托!$A:$A,LEFT($A$1,4),单一受托!$B:$B,LEFT(G$3,LEN(G$3)-2),单一受托!$D:$D,管理费收入总表!$R7)+SUMIFS(单一投管!$K:$K,单一投管!$A:$A,LEFT($A$1,4),单一投管!$B:$B,LEFT(G$3,LEN(G$3)-2),单一投管!$D:$D,管理费收入总表!$R7)+SUMIFS(单一账管!$G:$G,单一账管!$A:$A,LEFT($A$1,4),单一账管!$B:$B,LEFT(G$3,LEN(G$3)-2),单一账管!$D:$D,管理费收入总表!$R7))/10000</f>
        <v>231.04792</v>
      </c>
      <c r="H7" s="56">
        <f>(SUMIFS(单一受托!$H:$H,单一受托!$A:$A,LEFT($A$1,4),单一受托!$B:$B,LEFT(H$3,LEN(H$3)-2),单一受托!$D:$D,管理费收入总表!$R7)+SUMIFS(单一投管!$K:$K,单一投管!$A:$A,LEFT($A$1,4),单一投管!$B:$B,LEFT(H$3,LEN(H$3)-2),单一投管!$D:$D,管理费收入总表!$R7)+SUMIFS(单一账管!$G:$G,单一账管!$A:$A,LEFT($A$1,4),单一账管!$B:$B,LEFT(H$3,LEN(H$3)-2),单一账管!$D:$D,管理费收入总表!$R7))/10000</f>
        <v>240.84374900000003</v>
      </c>
      <c r="I7" s="56">
        <f>(SUMIFS(单一受托!$H:$H,单一受托!$A:$A,LEFT($A$1,4),单一受托!$B:$B,LEFT(I$3,LEN(I$3)-2),单一受托!$D:$D,管理费收入总表!$R7)+SUMIFS(单一投管!$K:$K,单一投管!$A:$A,LEFT($A$1,4),单一投管!$B:$B,LEFT(I$3,LEN(I$3)-2),单一投管!$D:$D,管理费收入总表!$R7)+SUMIFS(单一账管!$G:$G,单一账管!$A:$A,LEFT($A$1,4),单一账管!$B:$B,LEFT(I$3,LEN(I$3)-2),单一账管!$D:$D,管理费收入总表!$R7))/10000</f>
        <v>250.63957799999997</v>
      </c>
      <c r="J7" s="56">
        <f>(SUMIFS(单一受托!$H:$H,单一受托!$A:$A,LEFT($A$1,4),单一受托!$B:$B,LEFT(J$3,LEN(J$3)-2),单一受托!$D:$D,管理费收入总表!$R7)+SUMIFS(单一投管!$K:$K,单一投管!$A:$A,LEFT($A$1,4),单一投管!$B:$B,LEFT(J$3,LEN(J$3)-2),单一投管!$D:$D,管理费收入总表!$R7)+SUMIFS(单一账管!$G:$G,单一账管!$A:$A,LEFT($A$1,4),单一账管!$B:$B,LEFT(J$3,LEN(J$3)-2),单一账管!$D:$D,管理费收入总表!$R7))/10000</f>
        <v>-115.569131</v>
      </c>
      <c r="K7" s="56">
        <f>(SUMIFS(单一受托!$H:$H,单一受托!$A:$A,LEFT($A$1,4),单一受托!$B:$B,LEFT(K$3,LEN(K$3)-2),单一受托!$D:$D,管理费收入总表!$R7)+SUMIFS(单一投管!$K:$K,单一投管!$A:$A,LEFT($A$1,4),单一投管!$B:$B,LEFT(K$3,LEN(K$3)-2),单一投管!$D:$D,管理费收入总表!$R7)+SUMIFS(单一账管!$G:$G,单一账管!$A:$A,LEFT($A$1,4),单一账管!$B:$B,LEFT(K$3,LEN(K$3)-2),单一账管!$D:$D,管理费收入总表!$R7))/10000</f>
        <v>-104.54477199999999</v>
      </c>
      <c r="L7" s="56">
        <f>(SUMIFS(单一受托!$H:$H,单一受托!$A:$A,LEFT($A$1,4),单一受托!$B:$B,LEFT(L$3,LEN(L$3)-2),单一受托!$D:$D,管理费收入总表!$R7)+SUMIFS(单一投管!$K:$K,单一投管!$A:$A,LEFT($A$1,4),单一投管!$B:$B,LEFT(L$3,LEN(L$3)-2),单一投管!$D:$D,管理费收入总表!$R7)+SUMIFS(单一账管!$G:$G,单一账管!$A:$A,LEFT($A$1,4),单一账管!$B:$B,LEFT(L$3,LEN(L$3)-2),单一账管!$D:$D,管理费收入总表!$R7))/10000</f>
        <v>-93.520411999999993</v>
      </c>
      <c r="M7" s="56">
        <f>(SUMIFS(单一受托!$H:$H,单一受托!$A:$A,LEFT($A$1,4),单一受托!$B:$B,LEFT(M$3,LEN(M$3)-2),单一受托!$D:$D,管理费收入总表!$R7)+SUMIFS(单一投管!$K:$K,单一投管!$A:$A,LEFT($A$1,4),单一投管!$B:$B,LEFT(M$3,LEN(M$3)-2),单一投管!$D:$D,管理费收入总表!$R7)+SUMIFS(单一账管!$G:$G,单一账管!$A:$A,LEFT($A$1,4),单一账管!$B:$B,LEFT(M$3,LEN(M$3)-2),单一账管!$D:$D,管理费收入总表!$R7))/10000</f>
        <v>-81.485212000000004</v>
      </c>
      <c r="N7" s="56">
        <f>(SUMIFS(单一受托!$H:$H,单一受托!$A:$A,LEFT($A$1,4),单一受托!$B:$B,LEFT(N$3,LEN(N$3)-2),单一受托!$D:$D,管理费收入总表!$R7)+SUMIFS(单一投管!$K:$K,单一投管!$A:$A,LEFT($A$1,4),单一投管!$B:$B,LEFT(N$3,LEN(N$3)-2),单一投管!$D:$D,管理费收入总表!$R7)+SUMIFS(单一账管!$G:$G,单一账管!$A:$A,LEFT($A$1,4),单一账管!$B:$B,LEFT(N$3,LEN(N$3)-2),单一账管!$D:$D,管理费收入总表!$R7))/10000</f>
        <v>-70.000414000000006</v>
      </c>
      <c r="O7" s="56">
        <f>(SUMIFS(单一受托!$H:$H,单一受托!$A:$A,LEFT($A$1,4),单一受托!$B:$B,LEFT(O$3,LEN(O$3)-2),单一受托!$D:$D,管理费收入总表!$R7)+SUMIFS(单一投管!$K:$K,单一投管!$A:$A,LEFT($A$1,4),单一投管!$B:$B,LEFT(O$3,LEN(O$3)-2),单一投管!$D:$D,管理费收入总表!$R7)+SUMIFS(单一账管!$G:$G,单一账管!$A:$A,LEFT($A$1,4),单一账管!$B:$B,LEFT(O$3,LEN(O$3)-2),单一账管!$D:$D,管理费收入总表!$R7))/10000</f>
        <v>-58.886092000000005</v>
      </c>
      <c r="R7" s="120">
        <v>652</v>
      </c>
      <c r="U7" s="60" t="s">
        <v>194</v>
      </c>
      <c r="V7" s="118">
        <v>49570</v>
      </c>
    </row>
    <row r="8" spans="1:23" s="59" customFormat="1" ht="14.4" x14ac:dyDescent="0.25">
      <c r="A8" s="123"/>
      <c r="B8" s="123"/>
      <c r="C8" s="55" t="s">
        <v>190</v>
      </c>
      <c r="D8" s="56">
        <f>SUMIFS(单一受托!$I:$I,单一受托!$A:$A,LEFT($A$1,4),单一受托!$B:$B,LEFT(D$3,LEN(D$3)-2),单一受托!$D:$D,管理费收入总表!$R8)/10000+SUMIFS(单一投管!$L:$L,单一投管!$A:$A,LEFT($A$1,4),单一投管!$B:$B,LEFT(D$3,LEN(D$3)-2),单一投管!$D:$D,管理费收入总表!$R8)/10000</f>
        <v>34.258534000000004</v>
      </c>
      <c r="E8" s="56">
        <f>SUMIFS(单一受托!$I:$I,单一受托!$A:$A,LEFT($A$1,4),单一受托!$B:$B,LEFT(E$3,LEN(E$3)-2),单一受托!$D:$D,管理费收入总表!$R8)/10000+SUMIFS(单一投管!$L:$L,单一投管!$A:$A,LEFT($A$1,4),单一投管!$B:$B,LEFT(E$3,LEN(E$3)-2),单一投管!$D:$D,管理费收入总表!$R8)/10000</f>
        <v>68.683111999999994</v>
      </c>
      <c r="F8" s="56">
        <f>SUMIFS(单一受托!$I:$I,单一受托!$A:$A,LEFT($A$1,4),单一受托!$B:$B,LEFT(F$3,LEN(F$3)-2),单一受托!$D:$D,管理费收入总表!$R8)/10000+SUMIFS(单一投管!$L:$L,单一投管!$A:$A,LEFT($A$1,4),单一投管!$B:$B,LEFT(F$3,LEN(F$3)-2),单一投管!$D:$D,管理费收入总表!$R8)/10000</f>
        <v>102.956501</v>
      </c>
      <c r="G8" s="56">
        <f>SUMIFS(单一受托!$I:$I,单一受托!$A:$A,LEFT($A$1,4),单一受托!$B:$B,LEFT(G$3,LEN(G$3)-2),单一受托!$D:$D,管理费收入总表!$R8)/10000+SUMIFS(单一投管!$L:$L,单一投管!$A:$A,LEFT($A$1,4),单一投管!$B:$B,LEFT(G$3,LEN(G$3)-2),单一投管!$D:$D,管理费收入总表!$R8)/10000</f>
        <v>137.235556</v>
      </c>
      <c r="H8" s="56">
        <f>SUMIFS(单一受托!$I:$I,单一受托!$A:$A,LEFT($A$1,4),单一受托!$B:$B,LEFT(H$3,LEN(H$3)-2),单一受托!$D:$D,管理费收入总表!$R8)/10000+SUMIFS(单一投管!$L:$L,单一投管!$A:$A,LEFT($A$1,4),单一投管!$B:$B,LEFT(H$3,LEN(H$3)-2),单一投管!$D:$D,管理费收入总表!$R8)/10000</f>
        <v>171.765368</v>
      </c>
      <c r="I8" s="56">
        <f>SUMIFS(单一受托!$I:$I,单一受托!$A:$A,LEFT($A$1,4),单一受托!$B:$B,LEFT(I$3,LEN(I$3)-2),单一受托!$D:$D,管理费收入总表!$R8)/10000+SUMIFS(单一投管!$L:$L,单一投管!$A:$A,LEFT($A$1,4),单一投管!$B:$B,LEFT(I$3,LEN(I$3)-2),单一投管!$D:$D,管理费收入总表!$R8)/10000</f>
        <v>206.570448</v>
      </c>
      <c r="J8" s="56">
        <f>SUMIFS(单一受托!$I:$I,单一受托!$A:$A,LEFT($A$1,4),单一受托!$B:$B,LEFT(J$3,LEN(J$3)-2),单一受托!$D:$D,管理费收入总表!$R8)/10000+SUMIFS(单一投管!$L:$L,单一投管!$A:$A,LEFT($A$1,4),单一投管!$B:$B,LEFT(J$3,LEN(J$3)-2),单一投管!$D:$D,管理费收入总表!$R8)/10000</f>
        <v>242.10709199999999</v>
      </c>
      <c r="K8" s="56">
        <f>SUMIFS(单一受托!$I:$I,单一受托!$A:$A,LEFT($A$1,4),单一受托!$B:$B,LEFT(K$3,LEN(K$3)-2),单一受托!$D:$D,管理费收入总表!$R8)/10000+SUMIFS(单一投管!$L:$L,单一投管!$A:$A,LEFT($A$1,4),单一投管!$B:$B,LEFT(K$3,LEN(K$3)-2),单一投管!$D:$D,管理费收入总表!$R8)/10000</f>
        <v>278.32504999999998</v>
      </c>
      <c r="L8" s="56">
        <f>SUMIFS(单一受托!$I:$I,单一受托!$A:$A,LEFT($A$1,4),单一受托!$B:$B,LEFT(L$3,LEN(L$3)-2),单一受托!$D:$D,管理费收入总表!$R8)/10000+SUMIFS(单一投管!$L:$L,单一投管!$A:$A,LEFT($A$1,4),单一投管!$B:$B,LEFT(L$3,LEN(L$3)-2),单一投管!$D:$D,管理费收入总表!$R8)/10000</f>
        <v>314.57204900000005</v>
      </c>
      <c r="M8" s="56">
        <f>SUMIFS(单一受托!$I:$I,单一受托!$A:$A,LEFT($A$1,4),单一受托!$B:$B,LEFT(M$3,LEN(M$3)-2),单一受托!$D:$D,管理费收入总表!$R8)/10000+SUMIFS(单一投管!$L:$L,单一投管!$A:$A,LEFT($A$1,4),单一投管!$B:$B,LEFT(M$3,LEN(M$3)-2),单一投管!$D:$D,管理费收入总表!$R8)/10000</f>
        <v>350.721609</v>
      </c>
      <c r="N8" s="56">
        <f>SUMIFS(单一受托!$I:$I,单一受托!$A:$A,LEFT($A$1,4),单一受托!$B:$B,LEFT(N$3,LEN(N$3)-2),单一受托!$D:$D,管理费收入总表!$R8)/10000+SUMIFS(单一投管!$L:$L,单一投管!$A:$A,LEFT($A$1,4),单一投管!$B:$B,LEFT(N$3,LEN(N$3)-2),单一投管!$D:$D,管理费收入总表!$R8)/10000</f>
        <v>387.13860899999997</v>
      </c>
      <c r="O8" s="56">
        <f>SUMIFS(单一受托!$I:$I,单一受托!$A:$A,LEFT($A$1,4),单一受托!$B:$B,LEFT(O$3,LEN(O$3)-2),单一受托!$D:$D,管理费收入总表!$R8)/10000+SUMIFS(单一投管!$L:$L,单一投管!$A:$A,LEFT($A$1,4),单一投管!$B:$B,LEFT(O$3,LEN(O$3)-2),单一投管!$D:$D,管理费收入总表!$R8)/10000</f>
        <v>424.05940400000003</v>
      </c>
      <c r="R8" s="120">
        <v>652</v>
      </c>
      <c r="U8" s="60" t="s">
        <v>270</v>
      </c>
      <c r="V8" s="117">
        <v>57438</v>
      </c>
    </row>
    <row r="9" spans="1:23" s="59" customFormat="1" ht="14.4" x14ac:dyDescent="0.25">
      <c r="A9" s="123"/>
      <c r="B9" s="124"/>
      <c r="C9" s="57" t="s">
        <v>204</v>
      </c>
      <c r="D9" s="58">
        <f>SUM(D7:D8)</f>
        <v>45.103917000000003</v>
      </c>
      <c r="E9" s="58">
        <f t="shared" ref="E9:O9" si="1">SUM(E7:E8)</f>
        <v>90.373877999999991</v>
      </c>
      <c r="F9" s="58">
        <f t="shared" si="1"/>
        <v>134.48698300000001</v>
      </c>
      <c r="G9" s="58">
        <f t="shared" si="1"/>
        <v>368.28347600000001</v>
      </c>
      <c r="H9" s="58">
        <f t="shared" si="1"/>
        <v>412.60911700000003</v>
      </c>
      <c r="I9" s="58">
        <f t="shared" si="1"/>
        <v>457.21002599999997</v>
      </c>
      <c r="J9" s="58">
        <f t="shared" si="1"/>
        <v>126.537961</v>
      </c>
      <c r="K9" s="58">
        <f t="shared" si="1"/>
        <v>173.78027799999998</v>
      </c>
      <c r="L9" s="58">
        <f t="shared" si="1"/>
        <v>221.05163700000006</v>
      </c>
      <c r="M9" s="58">
        <f t="shared" si="1"/>
        <v>269.23639700000001</v>
      </c>
      <c r="N9" s="58">
        <f t="shared" si="1"/>
        <v>317.138195</v>
      </c>
      <c r="O9" s="58">
        <f t="shared" si="1"/>
        <v>365.17331200000001</v>
      </c>
      <c r="R9" s="120">
        <v>652</v>
      </c>
    </row>
    <row r="10" spans="1:23" s="59" customFormat="1" ht="14.4" x14ac:dyDescent="0.25">
      <c r="A10" s="123"/>
      <c r="B10" s="122" t="s">
        <v>189</v>
      </c>
      <c r="C10" s="55" t="s">
        <v>200</v>
      </c>
      <c r="D10" s="56">
        <f>(SUMIFS(单一受托!$H:$H,单一受托!$A:$A,LEFT($A$1,4),单一受托!$B:$B,LEFT(D$3,LEN(D$3)-2),单一受托!$D:$D,管理费收入总表!$R10)+SUMIFS(单一投管!$K:$K,单一投管!$A:$A,LEFT($A$1,4),单一投管!$B:$B,LEFT(D$3,LEN(D$3)-2),单一投管!$D:$D,管理费收入总表!$R10)+SUMIFS(单一账管!$G:$G,单一账管!$A:$A,LEFT($A$1,4),单一账管!$B:$B,LEFT(D$3,LEN(D$3)-2),单一账管!$D:$D,管理费收入总表!$R10))/10000</f>
        <v>7.5793239999999988</v>
      </c>
      <c r="E10" s="56">
        <f>(SUMIFS(单一受托!$H:$H,单一受托!$A:$A,LEFT($A$1,4),单一受托!$B:$B,LEFT(E$3,LEN(E$3)-2),单一受托!$D:$D,管理费收入总表!$R10)+SUMIFS(单一投管!$K:$K,单一投管!$A:$A,LEFT($A$1,4),单一投管!$B:$B,LEFT(E$3,LEN(E$3)-2),单一投管!$D:$D,管理费收入总表!$R10)+SUMIFS(单一账管!$G:$G,单一账管!$A:$A,LEFT($A$1,4),单一账管!$B:$B,LEFT(E$3,LEN(E$3)-2),单一账管!$D:$D,管理费收入总表!$R10))/10000</f>
        <v>15.038721000000002</v>
      </c>
      <c r="F10" s="56">
        <f>(SUMIFS(单一受托!$H:$H,单一受托!$A:$A,LEFT($A$1,4),单一受托!$B:$B,LEFT(F$3,LEN(F$3)-2),单一受托!$D:$D,管理费收入总表!$R10)+SUMIFS(单一投管!$K:$K,单一投管!$A:$A,LEFT($A$1,4),单一投管!$B:$B,LEFT(F$3,LEN(F$3)-2),单一投管!$D:$D,管理费收入总表!$R10)+SUMIFS(单一账管!$G:$G,单一账管!$A:$A,LEFT($A$1,4),单一账管!$B:$B,LEFT(F$3,LEN(F$3)-2),单一账管!$D:$D,管理费收入总表!$R10))/10000</f>
        <v>21.983766999999997</v>
      </c>
      <c r="G10" s="56">
        <f>(SUMIFS(单一受托!$H:$H,单一受托!$A:$A,LEFT($A$1,4),单一受托!$B:$B,LEFT(G$3,LEN(G$3)-2),单一受托!$D:$D,管理费收入总表!$R10)+SUMIFS(单一投管!$K:$K,单一投管!$A:$A,LEFT($A$1,4),单一投管!$B:$B,LEFT(G$3,LEN(G$3)-2),单一投管!$D:$D,管理费收入总表!$R10)+SUMIFS(单一账管!$G:$G,单一账管!$A:$A,LEFT($A$1,4),单一账管!$B:$B,LEFT(G$3,LEN(G$3)-2),单一账管!$D:$D,管理费收入总表!$R10))/10000</f>
        <v>29.694671000000003</v>
      </c>
      <c r="H10" s="56">
        <f>(SUMIFS(单一受托!$H:$H,单一受托!$A:$A,LEFT($A$1,4),单一受托!$B:$B,LEFT(H$3,LEN(H$3)-2),单一受托!$D:$D,管理费收入总表!$R10)+SUMIFS(单一投管!$K:$K,单一投管!$A:$A,LEFT($A$1,4),单一投管!$B:$B,LEFT(H$3,LEN(H$3)-2),单一投管!$D:$D,管理费收入总表!$R10)+SUMIFS(单一账管!$G:$G,单一账管!$A:$A,LEFT($A$1,4),单一账管!$B:$B,LEFT(H$3,LEN(H$3)-2),单一账管!$D:$D,管理费收入总表!$R10))/10000</f>
        <v>36.960044000000003</v>
      </c>
      <c r="I10" s="56">
        <f>(SUMIFS(单一受托!$H:$H,单一受托!$A:$A,LEFT($A$1,4),单一受托!$B:$B,LEFT(I$3,LEN(I$3)-2),单一受托!$D:$D,管理费收入总表!$R10)+SUMIFS(单一投管!$K:$K,单一投管!$A:$A,LEFT($A$1,4),单一投管!$B:$B,LEFT(I$3,LEN(I$3)-2),单一投管!$D:$D,管理费收入总表!$R10)+SUMIFS(单一账管!$G:$G,单一账管!$A:$A,LEFT($A$1,4),单一账管!$B:$B,LEFT(I$3,LEN(I$3)-2),单一账管!$D:$D,管理费收入总表!$R10))/10000</f>
        <v>44.340868999999998</v>
      </c>
      <c r="J10" s="56">
        <f>(SUMIFS(单一受托!$H:$H,单一受托!$A:$A,LEFT($A$1,4),单一受托!$B:$B,LEFT(J$3,LEN(J$3)-2),单一受托!$D:$D,管理费收入总表!$R10)+SUMIFS(单一投管!$K:$K,单一投管!$A:$A,LEFT($A$1,4),单一投管!$B:$B,LEFT(J$3,LEN(J$3)-2),单一投管!$D:$D,管理费收入总表!$R10)+SUMIFS(单一账管!$G:$G,单一账管!$A:$A,LEFT($A$1,4),单一账管!$B:$B,LEFT(J$3,LEN(J$3)-2),单一账管!$D:$D,管理费收入总表!$R10))/10000</f>
        <v>51.741213999999999</v>
      </c>
      <c r="K10" s="56">
        <f>(SUMIFS(单一受托!$H:$H,单一受托!$A:$A,LEFT($A$1,4),单一受托!$B:$B,LEFT(K$3,LEN(K$3)-2),单一受托!$D:$D,管理费收入总表!$R10)+SUMIFS(单一投管!$K:$K,单一投管!$A:$A,LEFT($A$1,4),单一投管!$B:$B,LEFT(K$3,LEN(K$3)-2),单一投管!$D:$D,管理费收入总表!$R10)+SUMIFS(单一账管!$G:$G,单一账管!$A:$A,LEFT($A$1,4),单一账管!$B:$B,LEFT(K$3,LEN(K$3)-2),单一账管!$D:$D,管理费收入总表!$R10))/10000</f>
        <v>59.255800999999998</v>
      </c>
      <c r="L10" s="56">
        <f>(SUMIFS(单一受托!$H:$H,单一受托!$A:$A,LEFT($A$1,4),单一受托!$B:$B,LEFT(L$3,LEN(L$3)-2),单一受托!$D:$D,管理费收入总表!$R10)+SUMIFS(单一投管!$K:$K,单一投管!$A:$A,LEFT($A$1,4),单一投管!$B:$B,LEFT(L$3,LEN(L$3)-2),单一投管!$D:$D,管理费收入总表!$R10)+SUMIFS(单一账管!$G:$G,单一账管!$A:$A,LEFT($A$1,4),单一账管!$B:$B,LEFT(L$3,LEN(L$3)-2),单一账管!$D:$D,管理费收入总表!$R10))/10000</f>
        <v>65.968471999999991</v>
      </c>
      <c r="M10" s="56">
        <f>(SUMIFS(单一受托!$H:$H,单一受托!$A:$A,LEFT($A$1,4),单一受托!$B:$B,LEFT(M$3,LEN(M$3)-2),单一受托!$D:$D,管理费收入总表!$R10)+SUMIFS(单一投管!$K:$K,单一投管!$A:$A,LEFT($A$1,4),单一投管!$B:$B,LEFT(M$3,LEN(M$3)-2),单一投管!$D:$D,管理费收入总表!$R10)+SUMIFS(单一账管!$G:$G,单一账管!$A:$A,LEFT($A$1,4),单一账管!$B:$B,LEFT(M$3,LEN(M$3)-2),单一账管!$D:$D,管理费收入总表!$R10))/10000</f>
        <v>72.519070999999997</v>
      </c>
      <c r="N10" s="56">
        <f>(SUMIFS(单一受托!$H:$H,单一受托!$A:$A,LEFT($A$1,4),单一受托!$B:$B,LEFT(N$3,LEN(N$3)-2),单一受托!$D:$D,管理费收入总表!$R10)+SUMIFS(单一投管!$K:$K,单一投管!$A:$A,LEFT($A$1,4),单一投管!$B:$B,LEFT(N$3,LEN(N$3)-2),单一投管!$D:$D,管理费收入总表!$R10)+SUMIFS(单一账管!$G:$G,单一账管!$A:$A,LEFT($A$1,4),单一账管!$B:$B,LEFT(N$3,LEN(N$3)-2),单一账管!$D:$D,管理费收入总表!$R10))/10000</f>
        <v>78.769847999999996</v>
      </c>
      <c r="O10" s="56">
        <f>(SUMIFS(单一受托!$H:$H,单一受托!$A:$A,LEFT($A$1,4),单一受托!$B:$B,LEFT(O$3,LEN(O$3)-2),单一受托!$D:$D,管理费收入总表!$R10)+SUMIFS(单一投管!$K:$K,单一投管!$A:$A,LEFT($A$1,4),单一投管!$B:$B,LEFT(O$3,LEN(O$3)-2),单一投管!$D:$D,管理费收入总表!$R10)+SUMIFS(单一账管!$G:$G,单一账管!$A:$A,LEFT($A$1,4),单一账管!$B:$B,LEFT(O$3,LEN(O$3)-2),单一账管!$D:$D,管理费收入总表!$R10))/10000</f>
        <v>84.803995</v>
      </c>
      <c r="R10" s="120">
        <v>650</v>
      </c>
    </row>
    <row r="11" spans="1:23" s="59" customFormat="1" ht="14.4" x14ac:dyDescent="0.25">
      <c r="A11" s="123"/>
      <c r="B11" s="123"/>
      <c r="C11" s="55" t="s">
        <v>190</v>
      </c>
      <c r="D11" s="56">
        <f>SUMIFS(单一受托!$I:$I,单一受托!$A:$A,LEFT($A$1,4),单一受托!$B:$B,LEFT(D$3,LEN(D$3)-2),单一受托!$D:$D,管理费收入总表!$R11)/10000+SUMIFS(单一投管!$L:$L,单一投管!$A:$A,LEFT($A$1,4),单一投管!$B:$B,LEFT(D$3,LEN(D$3)-2),单一投管!$D:$D,管理费收入总表!$R11)/10000</f>
        <v>0.25917800000000002</v>
      </c>
      <c r="E11" s="56">
        <f>SUMIFS(单一受托!$I:$I,单一受托!$A:$A,LEFT($A$1,4),单一受托!$B:$B,LEFT(E$3,LEN(E$3)-2),单一受托!$D:$D,管理费收入总表!$R11)/10000+SUMIFS(单一投管!$L:$L,单一投管!$A:$A,LEFT($A$1,4),单一投管!$B:$B,LEFT(E$3,LEN(E$3)-2),单一投管!$D:$D,管理费收入总表!$R11)/10000</f>
        <v>0.52079600000000004</v>
      </c>
      <c r="F11" s="56">
        <f>SUMIFS(单一受托!$I:$I,单一受托!$A:$A,LEFT($A$1,4),单一受托!$B:$B,LEFT(F$3,LEN(F$3)-2),单一受托!$D:$D,管理费收入总表!$R11)/10000+SUMIFS(单一投管!$L:$L,单一投管!$A:$A,LEFT($A$1,4),单一投管!$B:$B,LEFT(F$3,LEN(F$3)-2),单一投管!$D:$D,管理费收入总表!$R11)/10000</f>
        <v>0.78225900000000004</v>
      </c>
      <c r="G11" s="56">
        <f>SUMIFS(单一受托!$I:$I,单一受托!$A:$A,LEFT($A$1,4),单一受托!$B:$B,LEFT(G$3,LEN(G$3)-2),单一受托!$D:$D,管理费收入总表!$R11)/10000+SUMIFS(单一投管!$L:$L,单一投管!$A:$A,LEFT($A$1,4),单一投管!$B:$B,LEFT(G$3,LEN(G$3)-2),单一投管!$D:$D,管理费收入总表!$R11)/10000</f>
        <v>1.043965</v>
      </c>
      <c r="H11" s="56">
        <f>SUMIFS(单一受托!$I:$I,单一受托!$A:$A,LEFT($A$1,4),单一受托!$B:$B,LEFT(H$3,LEN(H$3)-2),单一受托!$D:$D,管理费收入总表!$R11)/10000+SUMIFS(单一投管!$L:$L,单一投管!$A:$A,LEFT($A$1,4),单一投管!$B:$B,LEFT(H$3,LEN(H$3)-2),单一投管!$D:$D,管理费收入总表!$R11)/10000</f>
        <v>1.307639</v>
      </c>
      <c r="I11" s="56">
        <f>SUMIFS(单一受托!$I:$I,单一受托!$A:$A,LEFT($A$1,4),单一受托!$B:$B,LEFT(I$3,LEN(I$3)-2),单一受托!$D:$D,管理费收入总表!$R11)/10000+SUMIFS(单一投管!$L:$L,单一投管!$A:$A,LEFT($A$1,4),单一投管!$B:$B,LEFT(I$3,LEN(I$3)-2),单一投管!$D:$D,管理费收入总表!$R11)/10000</f>
        <v>1.573294</v>
      </c>
      <c r="J11" s="56">
        <f>SUMIFS(单一受托!$I:$I,单一受托!$A:$A,LEFT($A$1,4),单一受托!$B:$B,LEFT(J$3,LEN(J$3)-2),单一受托!$D:$D,管理费收入总表!$R11)/10000+SUMIFS(单一投管!$L:$L,单一投管!$A:$A,LEFT($A$1,4),单一投管!$B:$B,LEFT(J$3,LEN(J$3)-2),单一投管!$D:$D,管理费收入总表!$R11)/10000</f>
        <v>1.8449119999999999</v>
      </c>
      <c r="K11" s="56">
        <f>SUMIFS(单一受托!$I:$I,单一受托!$A:$A,LEFT($A$1,4),单一受托!$B:$B,LEFT(K$3,LEN(K$3)-2),单一受托!$D:$D,管理费收入总表!$R11)/10000+SUMIFS(单一投管!$L:$L,单一投管!$A:$A,LEFT($A$1,4),单一投管!$B:$B,LEFT(K$3,LEN(K$3)-2),单一投管!$D:$D,管理费收入总表!$R11)/10000</f>
        <v>2.1213709999999999</v>
      </c>
      <c r="L11" s="56">
        <f>SUMIFS(单一受托!$I:$I,单一受托!$A:$A,LEFT($A$1,4),单一受托!$B:$B,LEFT(L$3,LEN(L$3)-2),单一受托!$D:$D,管理费收入总表!$R11)/10000+SUMIFS(单一投管!$L:$L,单一投管!$A:$A,LEFT($A$1,4),单一投管!$B:$B,LEFT(L$3,LEN(L$3)-2),单一投管!$D:$D,管理费收入总表!$R11)/10000</f>
        <v>2.3980269999999999</v>
      </c>
      <c r="M11" s="56">
        <f>SUMIFS(单一受托!$I:$I,单一受托!$A:$A,LEFT($A$1,4),单一受托!$B:$B,LEFT(M$3,LEN(M$3)-2),单一受托!$D:$D,管理费收入总表!$R11)/10000+SUMIFS(单一投管!$L:$L,单一投管!$A:$A,LEFT($A$1,4),单一投管!$B:$B,LEFT(M$3,LEN(M$3)-2),单一投管!$D:$D,管理费收入总表!$R11)/10000</f>
        <v>2.676383</v>
      </c>
      <c r="N11" s="56">
        <f>SUMIFS(单一受托!$I:$I,单一受托!$A:$A,LEFT($A$1,4),单一受托!$B:$B,LEFT(N$3,LEN(N$3)-2),单一受托!$D:$D,管理费收入总表!$R11)/10000+SUMIFS(单一投管!$L:$L,单一投管!$A:$A,LEFT($A$1,4),单一投管!$B:$B,LEFT(N$3,LEN(N$3)-2),单一投管!$D:$D,管理费收入总表!$R11)/10000</f>
        <v>2.9572529999999997</v>
      </c>
      <c r="O11" s="56">
        <f>SUMIFS(单一受托!$I:$I,单一受托!$A:$A,LEFT($A$1,4),单一受托!$B:$B,LEFT(O$3,LEN(O$3)-2),单一受托!$D:$D,管理费收入总表!$R11)/10000+SUMIFS(单一投管!$L:$L,单一投管!$A:$A,LEFT($A$1,4),单一投管!$B:$B,LEFT(O$3,LEN(O$3)-2),单一投管!$D:$D,管理费收入总表!$R11)/10000</f>
        <v>3.2408169999999998</v>
      </c>
      <c r="R11" s="120">
        <v>650</v>
      </c>
    </row>
    <row r="12" spans="1:23" s="59" customFormat="1" ht="14.4" x14ac:dyDescent="0.25">
      <c r="A12" s="123"/>
      <c r="B12" s="124"/>
      <c r="C12" s="57" t="s">
        <v>192</v>
      </c>
      <c r="D12" s="58">
        <f>SUM(D10:D11)</f>
        <v>7.8385019999999992</v>
      </c>
      <c r="E12" s="58">
        <f t="shared" ref="E12:O12" si="2">SUM(E10:E11)</f>
        <v>15.559517000000003</v>
      </c>
      <c r="F12" s="58">
        <f t="shared" si="2"/>
        <v>22.766025999999997</v>
      </c>
      <c r="G12" s="58">
        <f t="shared" si="2"/>
        <v>30.738636000000003</v>
      </c>
      <c r="H12" s="58">
        <f t="shared" si="2"/>
        <v>38.267683000000005</v>
      </c>
      <c r="I12" s="58">
        <f t="shared" si="2"/>
        <v>45.914162999999995</v>
      </c>
      <c r="J12" s="58">
        <f t="shared" si="2"/>
        <v>53.586126</v>
      </c>
      <c r="K12" s="58">
        <f t="shared" si="2"/>
        <v>61.377172000000002</v>
      </c>
      <c r="L12" s="58">
        <f t="shared" si="2"/>
        <v>68.36649899999999</v>
      </c>
      <c r="M12" s="58">
        <f t="shared" si="2"/>
        <v>75.195453999999998</v>
      </c>
      <c r="N12" s="58">
        <f t="shared" si="2"/>
        <v>81.72710099999999</v>
      </c>
      <c r="O12" s="58">
        <f t="shared" si="2"/>
        <v>88.044812000000007</v>
      </c>
      <c r="R12" s="120">
        <v>650</v>
      </c>
    </row>
    <row r="13" spans="1:23" s="59" customFormat="1" ht="14.4" x14ac:dyDescent="0.25">
      <c r="A13" s="123"/>
      <c r="B13" s="122" t="s">
        <v>191</v>
      </c>
      <c r="C13" s="55" t="s">
        <v>200</v>
      </c>
      <c r="D13" s="56">
        <f>(SUMIFS(单一受托!$H:$H,单一受托!$A:$A,LEFT($A$1,4),单一受托!$B:$B,LEFT(D$3,LEN(D$3)-2),单一受托!$D:$D,管理费收入总表!$R13)+SUMIFS(单一投管!$K:$K,单一投管!$A:$A,LEFT($A$1,4),单一投管!$B:$B,LEFT(D$3,LEN(D$3)-2),单一投管!$D:$D,管理费收入总表!$R13)+SUMIFS(单一账管!$G:$G,单一账管!$A:$A,LEFT($A$1,4),单一账管!$B:$B,LEFT(D$3,LEN(D$3)-2),单一账管!$D:$D,管理费收入总表!$R13))/10000</f>
        <v>3.0736400000000001</v>
      </c>
      <c r="E13" s="56">
        <f>(SUMIFS(单一受托!$H:$H,单一受托!$A:$A,LEFT($A$1,4),单一受托!$B:$B,LEFT(E$3,LEN(E$3)-2),单一受托!$D:$D,管理费收入总表!$R13)+SUMIFS(单一投管!$K:$K,单一投管!$A:$A,LEFT($A$1,4),单一投管!$B:$B,LEFT(E$3,LEN(E$3)-2),单一投管!$D:$D,管理费收入总表!$R13)+SUMIFS(单一账管!$G:$G,单一账管!$A:$A,LEFT($A$1,4),单一账管!$B:$B,LEFT(E$3,LEN(E$3)-2),单一账管!$D:$D,管理费收入总表!$R13))/10000</f>
        <v>6.1472790000000002</v>
      </c>
      <c r="F13" s="56">
        <f>(SUMIFS(单一受托!$H:$H,单一受托!$A:$A,LEFT($A$1,4),单一受托!$B:$B,LEFT(F$3,LEN(F$3)-2),单一受托!$D:$D,管理费收入总表!$R13)+SUMIFS(单一投管!$K:$K,单一投管!$A:$A,LEFT($A$1,4),单一投管!$B:$B,LEFT(F$3,LEN(F$3)-2),单一投管!$D:$D,管理费收入总表!$R13)+SUMIFS(单一账管!$G:$G,单一账管!$A:$A,LEFT($A$1,4),单一账管!$B:$B,LEFT(F$3,LEN(F$3)-2),单一账管!$D:$D,管理费收入总表!$R13))/10000</f>
        <v>8.9146239999999999</v>
      </c>
      <c r="G13" s="56">
        <f>(SUMIFS(单一受托!$H:$H,单一受托!$A:$A,LEFT($A$1,4),单一受托!$B:$B,LEFT(G$3,LEN(G$3)-2),单一受托!$D:$D,管理费收入总表!$R13)+SUMIFS(单一投管!$K:$K,单一投管!$A:$A,LEFT($A$1,4),单一投管!$B:$B,LEFT(G$3,LEN(G$3)-2),单一投管!$D:$D,管理费收入总表!$R13)+SUMIFS(单一账管!$G:$G,单一账管!$A:$A,LEFT($A$1,4),单一账管!$B:$B,LEFT(G$3,LEN(G$3)-2),单一账管!$D:$D,管理费收入总表!$R13))/10000</f>
        <v>12.429354</v>
      </c>
      <c r="H13" s="56">
        <f>(SUMIFS(单一受托!$H:$H,单一受托!$A:$A,LEFT($A$1,4),单一受托!$B:$B,LEFT(H$3,LEN(H$3)-2),单一受托!$D:$D,管理费收入总表!$R13)+SUMIFS(单一投管!$K:$K,单一投管!$A:$A,LEFT($A$1,4),单一投管!$B:$B,LEFT(H$3,LEN(H$3)-2),单一投管!$D:$D,管理费收入总表!$R13)+SUMIFS(单一账管!$G:$G,单一账管!$A:$A,LEFT($A$1,4),单一账管!$B:$B,LEFT(H$3,LEN(H$3)-2),单一账管!$D:$D,管理费收入总表!$R13))/10000</f>
        <v>15.318192000000002</v>
      </c>
      <c r="I13" s="56">
        <f>(SUMIFS(单一受托!$H:$H,单一受托!$A:$A,LEFT($A$1,4),单一受托!$B:$B,LEFT(I$3,LEN(I$3)-2),单一受托!$D:$D,管理费收入总表!$R13)+SUMIFS(单一投管!$K:$K,单一投管!$A:$A,LEFT($A$1,4),单一投管!$B:$B,LEFT(I$3,LEN(I$3)-2),单一投管!$D:$D,管理费收入总表!$R13)+SUMIFS(单一账管!$G:$G,单一账管!$A:$A,LEFT($A$1,4),单一账管!$B:$B,LEFT(I$3,LEN(I$3)-2),单一账管!$D:$D,管理费收入总表!$R13))/10000</f>
        <v>18.475558000000003</v>
      </c>
      <c r="J13" s="56">
        <f>(SUMIFS(单一受托!$H:$H,单一受托!$A:$A,LEFT($A$1,4),单一受托!$B:$B,LEFT(J$3,LEN(J$3)-2),单一受托!$D:$D,管理费收入总表!$R13)+SUMIFS(单一投管!$K:$K,单一投管!$A:$A,LEFT($A$1,4),单一投管!$B:$B,LEFT(J$3,LEN(J$3)-2),单一投管!$D:$D,管理费收入总表!$R13)+SUMIFS(单一账管!$G:$G,单一账管!$A:$A,LEFT($A$1,4),单一账管!$B:$B,LEFT(J$3,LEN(J$3)-2),单一账管!$D:$D,管理费收入总表!$R13))/10000</f>
        <v>22.187242999999999</v>
      </c>
      <c r="K13" s="56">
        <f>(SUMIFS(单一受托!$H:$H,单一受托!$A:$A,LEFT($A$1,4),单一受托!$B:$B,LEFT(K$3,LEN(K$3)-2),单一受托!$D:$D,管理费收入总表!$R13)+SUMIFS(单一投管!$K:$K,单一投管!$A:$A,LEFT($A$1,4),单一投管!$B:$B,LEFT(K$3,LEN(K$3)-2),单一投管!$D:$D,管理费收入总表!$R13)+SUMIFS(单一账管!$G:$G,单一账管!$A:$A,LEFT($A$1,4),单一账管!$B:$B,LEFT(K$3,LEN(K$3)-2),单一账管!$D:$D,管理费收入总表!$R13))/10000</f>
        <v>25.144261</v>
      </c>
      <c r="L13" s="56">
        <f>(SUMIFS(单一受托!$H:$H,单一受托!$A:$A,LEFT($A$1,4),单一受托!$B:$B,LEFT(L$3,LEN(L$3)-2),单一受托!$D:$D,管理费收入总表!$R13)+SUMIFS(单一投管!$K:$K,单一投管!$A:$A,LEFT($A$1,4),单一投管!$B:$B,LEFT(L$3,LEN(L$3)-2),单一投管!$D:$D,管理费收入总表!$R13)+SUMIFS(单一账管!$G:$G,单一账管!$A:$A,LEFT($A$1,4),单一账管!$B:$B,LEFT(L$3,LEN(L$3)-2),单一账管!$D:$D,管理费收入总表!$R13))/10000</f>
        <v>28.242484999999999</v>
      </c>
      <c r="M13" s="56">
        <f>(SUMIFS(单一受托!$H:$H,单一受托!$A:$A,LEFT($A$1,4),单一受托!$B:$B,LEFT(M$3,LEN(M$3)-2),单一受托!$D:$D,管理费收入总表!$R13)+SUMIFS(单一投管!$K:$K,单一投管!$A:$A,LEFT($A$1,4),单一投管!$B:$B,LEFT(M$3,LEN(M$3)-2),单一投管!$D:$D,管理费收入总表!$R13)+SUMIFS(单一账管!$G:$G,单一账管!$A:$A,LEFT($A$1,4),单一账管!$B:$B,LEFT(M$3,LEN(M$3)-2),单一账管!$D:$D,管理费收入总表!$R13))/10000</f>
        <v>31.720610999999998</v>
      </c>
      <c r="N13" s="56">
        <f>(SUMIFS(单一受托!$H:$H,单一受托!$A:$A,LEFT($A$1,4),单一受托!$B:$B,LEFT(N$3,LEN(N$3)-2),单一受托!$D:$D,管理费收入总表!$R13)+SUMIFS(单一投管!$K:$K,单一投管!$A:$A,LEFT($A$1,4),单一投管!$B:$B,LEFT(N$3,LEN(N$3)-2),单一投管!$D:$D,管理费收入总表!$R13)+SUMIFS(单一账管!$G:$G,单一账管!$A:$A,LEFT($A$1,4),单一账管!$B:$B,LEFT(N$3,LEN(N$3)-2),单一账管!$D:$D,管理费收入总表!$R13))/10000</f>
        <v>34.793556999999993</v>
      </c>
      <c r="O13" s="56">
        <f>(SUMIFS(单一受托!$H:$H,单一受托!$A:$A,LEFT($A$1,4),单一受托!$B:$B,LEFT(O$3,LEN(O$3)-2),单一受托!$D:$D,管理费收入总表!$R13)+SUMIFS(单一投管!$K:$K,单一投管!$A:$A,LEFT($A$1,4),单一投管!$B:$B,LEFT(O$3,LEN(O$3)-2),单一投管!$D:$D,管理费收入总表!$R13)+SUMIFS(单一账管!$G:$G,单一账管!$A:$A,LEFT($A$1,4),单一账管!$B:$B,LEFT(O$3,LEN(O$3)-2),单一账管!$D:$D,管理费收入总表!$R13))/10000</f>
        <v>37.860009999999996</v>
      </c>
      <c r="R13" s="120">
        <v>7605</v>
      </c>
    </row>
    <row r="14" spans="1:23" s="59" customFormat="1" ht="14.4" x14ac:dyDescent="0.25">
      <c r="A14" s="123"/>
      <c r="B14" s="123"/>
      <c r="C14" s="55" t="s">
        <v>190</v>
      </c>
      <c r="D14" s="56">
        <f>SUMIFS(单一受托!$I:$I,单一受托!$A:$A,LEFT($A$1,4),单一受托!$B:$B,LEFT(D$3,LEN(D$3)-2),单一受托!$D:$D,管理费收入总表!$R14)/10000+SUMIFS(单一投管!$L:$L,单一投管!$A:$A,LEFT($A$1,4),单一投管!$B:$B,LEFT(D$3,LEN(D$3)-2),单一投管!$D:$D,管理费收入总表!$R14)/10000</f>
        <v>0</v>
      </c>
      <c r="E14" s="56">
        <f>SUMIFS(单一受托!$I:$I,单一受托!$A:$A,LEFT($A$1,4),单一受托!$B:$B,LEFT(E$3,LEN(E$3)-2),单一受托!$D:$D,管理费收入总表!$R14)/10000+SUMIFS(单一投管!$L:$L,单一投管!$A:$A,LEFT($A$1,4),单一投管!$B:$B,LEFT(E$3,LEN(E$3)-2),单一投管!$D:$D,管理费收入总表!$R14)/10000</f>
        <v>0</v>
      </c>
      <c r="F14" s="56">
        <f>SUMIFS(单一受托!$I:$I,单一受托!$A:$A,LEFT($A$1,4),单一受托!$B:$B,LEFT(F$3,LEN(F$3)-2),单一受托!$D:$D,管理费收入总表!$R14)/10000+SUMIFS(单一投管!$L:$L,单一投管!$A:$A,LEFT($A$1,4),单一投管!$B:$B,LEFT(F$3,LEN(F$3)-2),单一投管!$D:$D,管理费收入总表!$R14)/10000</f>
        <v>0</v>
      </c>
      <c r="G14" s="56">
        <f>SUMIFS(单一受托!$I:$I,单一受托!$A:$A,LEFT($A$1,4),单一受托!$B:$B,LEFT(G$3,LEN(G$3)-2),单一受托!$D:$D,管理费收入总表!$R14)/10000+SUMIFS(单一投管!$L:$L,单一投管!$A:$A,LEFT($A$1,4),单一投管!$B:$B,LEFT(G$3,LEN(G$3)-2),单一投管!$D:$D,管理费收入总表!$R14)/10000</f>
        <v>0</v>
      </c>
      <c r="H14" s="56">
        <f>SUMIFS(单一受托!$I:$I,单一受托!$A:$A,LEFT($A$1,4),单一受托!$B:$B,LEFT(H$3,LEN(H$3)-2),单一受托!$D:$D,管理费收入总表!$R14)/10000+SUMIFS(单一投管!$L:$L,单一投管!$A:$A,LEFT($A$1,4),单一投管!$B:$B,LEFT(H$3,LEN(H$3)-2),单一投管!$D:$D,管理费收入总表!$R14)/10000</f>
        <v>0</v>
      </c>
      <c r="I14" s="56">
        <f>SUMIFS(单一受托!$I:$I,单一受托!$A:$A,LEFT($A$1,4),单一受托!$B:$B,LEFT(I$3,LEN(I$3)-2),单一受托!$D:$D,管理费收入总表!$R14)/10000+SUMIFS(单一投管!$L:$L,单一投管!$A:$A,LEFT($A$1,4),单一投管!$B:$B,LEFT(I$3,LEN(I$3)-2),单一投管!$D:$D,管理费收入总表!$R14)/10000</f>
        <v>0</v>
      </c>
      <c r="J14" s="56">
        <f>SUMIFS(单一受托!$I:$I,单一受托!$A:$A,LEFT($A$1,4),单一受托!$B:$B,LEFT(J$3,LEN(J$3)-2),单一受托!$D:$D,管理费收入总表!$R14)/10000+SUMIFS(单一投管!$L:$L,单一投管!$A:$A,LEFT($A$1,4),单一投管!$B:$B,LEFT(J$3,LEN(J$3)-2),单一投管!$D:$D,管理费收入总表!$R14)/10000</f>
        <v>0</v>
      </c>
      <c r="K14" s="56">
        <f>SUMIFS(单一受托!$I:$I,单一受托!$A:$A,LEFT($A$1,4),单一受托!$B:$B,LEFT(K$3,LEN(K$3)-2),单一受托!$D:$D,管理费收入总表!$R14)/10000+SUMIFS(单一投管!$L:$L,单一投管!$A:$A,LEFT($A$1,4),单一投管!$B:$B,LEFT(K$3,LEN(K$3)-2),单一投管!$D:$D,管理费收入总表!$R14)/10000</f>
        <v>0</v>
      </c>
      <c r="L14" s="56">
        <f>SUMIFS(单一受托!$I:$I,单一受托!$A:$A,LEFT($A$1,4),单一受托!$B:$B,LEFT(L$3,LEN(L$3)-2),单一受托!$D:$D,管理费收入总表!$R14)/10000+SUMIFS(单一投管!$L:$L,单一投管!$A:$A,LEFT($A$1,4),单一投管!$B:$B,LEFT(L$3,LEN(L$3)-2),单一投管!$D:$D,管理费收入总表!$R14)/10000</f>
        <v>0</v>
      </c>
      <c r="M14" s="56">
        <f>SUMIFS(单一受托!$I:$I,单一受托!$A:$A,LEFT($A$1,4),单一受托!$B:$B,LEFT(M$3,LEN(M$3)-2),单一受托!$D:$D,管理费收入总表!$R14)/10000+SUMIFS(单一投管!$L:$L,单一投管!$A:$A,LEFT($A$1,4),单一投管!$B:$B,LEFT(M$3,LEN(M$3)-2),单一投管!$D:$D,管理费收入总表!$R14)/10000</f>
        <v>0</v>
      </c>
      <c r="N14" s="56">
        <f>SUMIFS(单一受托!$I:$I,单一受托!$A:$A,LEFT($A$1,4),单一受托!$B:$B,LEFT(N$3,LEN(N$3)-2),单一受托!$D:$D,管理费收入总表!$R14)/10000+SUMIFS(单一投管!$L:$L,单一投管!$A:$A,LEFT($A$1,4),单一投管!$B:$B,LEFT(N$3,LEN(N$3)-2),单一投管!$D:$D,管理费收入总表!$R14)/10000</f>
        <v>0</v>
      </c>
      <c r="O14" s="56">
        <f>SUMIFS(单一受托!$I:$I,单一受托!$A:$A,LEFT($A$1,4),单一受托!$B:$B,LEFT(O$3,LEN(O$3)-2),单一受托!$D:$D,管理费收入总表!$R14)/10000+SUMIFS(单一投管!$L:$L,单一投管!$A:$A,LEFT($A$1,4),单一投管!$B:$B,LEFT(O$3,LEN(O$3)-2),单一投管!$D:$D,管理费收入总表!$R14)/10000</f>
        <v>0</v>
      </c>
      <c r="R14" s="120">
        <v>7605</v>
      </c>
    </row>
    <row r="15" spans="1:23" s="59" customFormat="1" ht="14.4" x14ac:dyDescent="0.25">
      <c r="A15" s="123"/>
      <c r="B15" s="124"/>
      <c r="C15" s="57" t="s">
        <v>192</v>
      </c>
      <c r="D15" s="58">
        <f>SUM(D13:D14)</f>
        <v>3.0736400000000001</v>
      </c>
      <c r="E15" s="58">
        <f t="shared" ref="E15:O15" si="3">SUM(E13:E14)</f>
        <v>6.1472790000000002</v>
      </c>
      <c r="F15" s="58">
        <f t="shared" si="3"/>
        <v>8.9146239999999999</v>
      </c>
      <c r="G15" s="58">
        <f t="shared" si="3"/>
        <v>12.429354</v>
      </c>
      <c r="H15" s="58">
        <f t="shared" si="3"/>
        <v>15.318192000000002</v>
      </c>
      <c r="I15" s="58">
        <f t="shared" si="3"/>
        <v>18.475558000000003</v>
      </c>
      <c r="J15" s="58">
        <f t="shared" si="3"/>
        <v>22.187242999999999</v>
      </c>
      <c r="K15" s="58">
        <f t="shared" si="3"/>
        <v>25.144261</v>
      </c>
      <c r="L15" s="58">
        <f t="shared" si="3"/>
        <v>28.242484999999999</v>
      </c>
      <c r="M15" s="58">
        <f t="shared" si="3"/>
        <v>31.720610999999998</v>
      </c>
      <c r="N15" s="58">
        <f t="shared" si="3"/>
        <v>34.793556999999993</v>
      </c>
      <c r="O15" s="58">
        <f t="shared" si="3"/>
        <v>37.860009999999996</v>
      </c>
      <c r="R15" s="120">
        <v>7605</v>
      </c>
    </row>
    <row r="16" spans="1:23" s="59" customFormat="1" ht="14.4" x14ac:dyDescent="0.25">
      <c r="A16" s="123"/>
      <c r="B16" s="122" t="s">
        <v>193</v>
      </c>
      <c r="C16" s="55" t="s">
        <v>205</v>
      </c>
      <c r="D16" s="56">
        <f>(SUMIFS(单一受托!$H:$H,单一受托!$A:$A,LEFT($A$1,4),单一受托!$B:$B,LEFT(D$3,LEN(D$3)-2),单一受托!$D:$D,管理费收入总表!$R16)+SUMIFS(单一投管!$K:$K,单一投管!$A:$A,LEFT($A$1,4),单一投管!$B:$B,LEFT(D$3,LEN(D$3)-2),单一投管!$D:$D,管理费收入总表!$R16)+SUMIFS(单一账管!$G:$G,单一账管!$A:$A,LEFT($A$1,4),单一账管!$B:$B,LEFT(D$3,LEN(D$3)-2),单一账管!$D:$D,管理费收入总表!$R16))/10000</f>
        <v>5.5292200000000005</v>
      </c>
      <c r="E16" s="56">
        <f>(SUMIFS(单一受托!$H:$H,单一受托!$A:$A,LEFT($A$1,4),单一受托!$B:$B,LEFT(E$3,LEN(E$3)-2),单一受托!$D:$D,管理费收入总表!$R16)+SUMIFS(单一投管!$K:$K,单一投管!$A:$A,LEFT($A$1,4),单一投管!$B:$B,LEFT(E$3,LEN(E$3)-2),单一投管!$D:$D,管理费收入总表!$R16)+SUMIFS(单一账管!$G:$G,单一账管!$A:$A,LEFT($A$1,4),单一账管!$B:$B,LEFT(E$3,LEN(E$3)-2),单一账管!$D:$D,管理费收入总表!$R16))/10000</f>
        <v>10.980236</v>
      </c>
      <c r="F16" s="56">
        <f>(SUMIFS(单一受托!$H:$H,单一受托!$A:$A,LEFT($A$1,4),单一受托!$B:$B,LEFT(F$3,LEN(F$3)-2),单一受托!$D:$D,管理费收入总表!$R16)+SUMIFS(单一投管!$K:$K,单一投管!$A:$A,LEFT($A$1,4),单一投管!$B:$B,LEFT(F$3,LEN(F$3)-2),单一投管!$D:$D,管理费收入总表!$R16)+SUMIFS(单一账管!$G:$G,单一账管!$A:$A,LEFT($A$1,4),单一账管!$B:$B,LEFT(F$3,LEN(F$3)-2),单一账管!$D:$D,管理费收入总表!$R16))/10000</f>
        <v>15.614648999999998</v>
      </c>
      <c r="G16" s="56">
        <f>(SUMIFS(单一受托!$H:$H,单一受托!$A:$A,LEFT($A$1,4),单一受托!$B:$B,LEFT(G$3,LEN(G$3)-2),单一受托!$D:$D,管理费收入总表!$R16)+SUMIFS(单一投管!$K:$K,单一投管!$A:$A,LEFT($A$1,4),单一投管!$B:$B,LEFT(G$3,LEN(G$3)-2),单一投管!$D:$D,管理费收入总表!$R16)+SUMIFS(单一账管!$G:$G,单一账管!$A:$A,LEFT($A$1,4),单一账管!$B:$B,LEFT(G$3,LEN(G$3)-2),单一账管!$D:$D,管理费收入总表!$R16))/10000</f>
        <v>102.48823400000001</v>
      </c>
      <c r="H16" s="56">
        <f>(SUMIFS(单一受托!$H:$H,单一受托!$A:$A,LEFT($A$1,4),单一受托!$B:$B,LEFT(H$3,LEN(H$3)-2),单一受托!$D:$D,管理费收入总表!$R16)+SUMIFS(单一投管!$K:$K,单一投管!$A:$A,LEFT($A$1,4),单一投管!$B:$B,LEFT(H$3,LEN(H$3)-2),单一投管!$D:$D,管理费收入总表!$R16)+SUMIFS(单一账管!$G:$G,单一账管!$A:$A,LEFT($A$1,4),单一账管!$B:$B,LEFT(H$3,LEN(H$3)-2),单一账管!$D:$D,管理费收入总表!$R16))/10000</f>
        <v>162.430882</v>
      </c>
      <c r="I16" s="56">
        <f>(SUMIFS(单一受托!$H:$H,单一受托!$A:$A,LEFT($A$1,4),单一受托!$B:$B,LEFT(I$3,LEN(I$3)-2),单一受托!$D:$D,管理费收入总表!$R16)+SUMIFS(单一投管!$K:$K,单一投管!$A:$A,LEFT($A$1,4),单一投管!$B:$B,LEFT(I$3,LEN(I$3)-2),单一投管!$D:$D,管理费收入总表!$R16)+SUMIFS(单一账管!$G:$G,单一账管!$A:$A,LEFT($A$1,4),单一账管!$B:$B,LEFT(I$3,LEN(I$3)-2),单一账管!$D:$D,管理费收入总表!$R16))/10000</f>
        <v>167.91548800000001</v>
      </c>
      <c r="J16" s="56">
        <f>(SUMIFS(单一受托!$H:$H,单一受托!$A:$A,LEFT($A$1,4),单一受托!$B:$B,LEFT(J$3,LEN(J$3)-2),单一受托!$D:$D,管理费收入总表!$R16)+SUMIFS(单一投管!$K:$K,单一投管!$A:$A,LEFT($A$1,4),单一投管!$B:$B,LEFT(J$3,LEN(J$3)-2),单一投管!$D:$D,管理费收入总表!$R16)+SUMIFS(单一账管!$G:$G,单一账管!$A:$A,LEFT($A$1,4),单一账管!$B:$B,LEFT(J$3,LEN(J$3)-2),单一账管!$D:$D,管理费收入总表!$R16))/10000</f>
        <v>75.095340999999991</v>
      </c>
      <c r="K16" s="56">
        <f>(SUMIFS(单一受托!$H:$H,单一受托!$A:$A,LEFT($A$1,4),单一受托!$B:$B,LEFT(K$3,LEN(K$3)-2),单一受托!$D:$D,管理费收入总表!$R16)+SUMIFS(单一投管!$K:$K,单一投管!$A:$A,LEFT($A$1,4),单一投管!$B:$B,LEFT(K$3,LEN(K$3)-2),单一投管!$D:$D,管理费收入总表!$R16)+SUMIFS(单一账管!$G:$G,单一账管!$A:$A,LEFT($A$1,4),单一账管!$B:$B,LEFT(K$3,LEN(K$3)-2),单一账管!$D:$D,管理费收入总表!$R16))/10000</f>
        <v>81.047617000000002</v>
      </c>
      <c r="L16" s="56">
        <f>(SUMIFS(单一受托!$H:$H,单一受托!$A:$A,LEFT($A$1,4),单一受托!$B:$B,LEFT(L$3,LEN(L$3)-2),单一受托!$D:$D,管理费收入总表!$R16)+SUMIFS(单一投管!$K:$K,单一投管!$A:$A,LEFT($A$1,4),单一投管!$B:$B,LEFT(L$3,LEN(L$3)-2),单一投管!$D:$D,管理费收入总表!$R16)+SUMIFS(单一账管!$G:$G,单一账管!$A:$A,LEFT($A$1,4),单一账管!$B:$B,LEFT(L$3,LEN(L$3)-2),单一账管!$D:$D,管理费收入总表!$R16))/10000</f>
        <v>51.447124000000002</v>
      </c>
      <c r="M16" s="56">
        <f>(SUMIFS(单一受托!$H:$H,单一受托!$A:$A,LEFT($A$1,4),单一受托!$B:$B,LEFT(M$3,LEN(M$3)-2),单一受托!$D:$D,管理费收入总表!$R16)+SUMIFS(单一投管!$K:$K,单一投管!$A:$A,LEFT($A$1,4),单一投管!$B:$B,LEFT(M$3,LEN(M$3)-2),单一投管!$D:$D,管理费收入总表!$R16)+SUMIFS(单一账管!$G:$G,单一账管!$A:$A,LEFT($A$1,4),单一账管!$B:$B,LEFT(M$3,LEN(M$3)-2),单一账管!$D:$D,管理费收入总表!$R16))/10000</f>
        <v>58.317510999999996</v>
      </c>
      <c r="N16" s="56">
        <f>(SUMIFS(单一受托!$H:$H,单一受托!$A:$A,LEFT($A$1,4),单一受托!$B:$B,LEFT(N$3,LEN(N$3)-2),单一受托!$D:$D,管理费收入总表!$R16)+SUMIFS(单一投管!$K:$K,单一投管!$A:$A,LEFT($A$1,4),单一投管!$B:$B,LEFT(N$3,LEN(N$3)-2),单一投管!$D:$D,管理费收入总表!$R16)+SUMIFS(单一账管!$G:$G,单一账管!$A:$A,LEFT($A$1,4),单一账管!$B:$B,LEFT(N$3,LEN(N$3)-2),单一账管!$D:$D,管理费收入总表!$R16))/10000</f>
        <v>64.155761999999996</v>
      </c>
      <c r="O16" s="56">
        <f>(SUMIFS(单一受托!$H:$H,单一受托!$A:$A,LEFT($A$1,4),单一受托!$B:$B,LEFT(O$3,LEN(O$3)-2),单一受托!$D:$D,管理费收入总表!$R16)+SUMIFS(单一投管!$K:$K,单一投管!$A:$A,LEFT($A$1,4),单一投管!$B:$B,LEFT(O$3,LEN(O$3)-2),单一投管!$D:$D,管理费收入总表!$R16)+SUMIFS(单一账管!$G:$G,单一账管!$A:$A,LEFT($A$1,4),单一账管!$B:$B,LEFT(O$3,LEN(O$3)-2),单一账管!$D:$D,管理费收入总表!$R16))/10000</f>
        <v>69.919801000000007</v>
      </c>
      <c r="R16" s="120">
        <v>44321</v>
      </c>
    </row>
    <row r="17" spans="1:18" s="59" customFormat="1" ht="14.4" x14ac:dyDescent="0.25">
      <c r="A17" s="123"/>
      <c r="B17" s="123"/>
      <c r="C17" s="55" t="s">
        <v>190</v>
      </c>
      <c r="D17" s="56">
        <f>SUMIFS(单一受托!$I:$I,单一受托!$A:$A,LEFT($A$1,4),单一受托!$B:$B,LEFT(D$3,LEN(D$3)-2),单一受托!$D:$D,管理费收入总表!$R17)/10000+SUMIFS(单一投管!$L:$L,单一投管!$A:$A,LEFT($A$1,4),单一投管!$B:$B,LEFT(D$3,LEN(D$3)-2),单一投管!$D:$D,管理费收入总表!$R17)/10000</f>
        <v>7.4305979999999998</v>
      </c>
      <c r="E17" s="56">
        <f>SUMIFS(单一受托!$I:$I,单一受托!$A:$A,LEFT($A$1,4),单一受托!$B:$B,LEFT(E$3,LEN(E$3)-2),单一受托!$D:$D,管理费收入总表!$R17)/10000+SUMIFS(单一投管!$L:$L,单一投管!$A:$A,LEFT($A$1,4),单一投管!$B:$B,LEFT(E$3,LEN(E$3)-2),单一投管!$D:$D,管理费收入总表!$R17)/10000</f>
        <v>14.955296000000001</v>
      </c>
      <c r="F17" s="56">
        <f>SUMIFS(单一受托!$I:$I,单一受托!$A:$A,LEFT($A$1,4),单一受托!$B:$B,LEFT(F$3,LEN(F$3)-2),单一受托!$D:$D,管理费收入总表!$R17)/10000+SUMIFS(单一投管!$L:$L,单一投管!$A:$A,LEFT($A$1,4),单一投管!$B:$B,LEFT(F$3,LEN(F$3)-2),单一投管!$D:$D,管理费收入总表!$R17)/10000</f>
        <v>22.516520999999997</v>
      </c>
      <c r="G17" s="56">
        <f>SUMIFS(单一受托!$I:$I,单一受托!$A:$A,LEFT($A$1,4),单一受托!$B:$B,LEFT(G$3,LEN(G$3)-2),单一受托!$D:$D,管理费收入总表!$R17)/10000+SUMIFS(单一投管!$L:$L,单一投管!$A:$A,LEFT($A$1,4),单一投管!$B:$B,LEFT(G$3,LEN(G$3)-2),单一投管!$D:$D,管理费收入总表!$R17)/10000</f>
        <v>30.128933000000004</v>
      </c>
      <c r="H17" s="56">
        <f>SUMIFS(单一受托!$I:$I,单一受托!$A:$A,LEFT($A$1,4),单一受托!$B:$B,LEFT(H$3,LEN(H$3)-2),单一受托!$D:$D,管理费收入总表!$R17)/10000+SUMIFS(单一投管!$L:$L,单一投管!$A:$A,LEFT($A$1,4),单一投管!$B:$B,LEFT(H$3,LEN(H$3)-2),单一投管!$D:$D,管理费收入总表!$R17)/10000</f>
        <v>37.822840999999997</v>
      </c>
      <c r="I17" s="56">
        <f>SUMIFS(单一受托!$I:$I,单一受托!$A:$A,LEFT($A$1,4),单一受托!$B:$B,LEFT(I$3,LEN(I$3)-2),单一受托!$D:$D,管理费收入总表!$R17)/10000+SUMIFS(单一投管!$L:$L,单一投管!$A:$A,LEFT($A$1,4),单一投管!$B:$B,LEFT(I$3,LEN(I$3)-2),单一投管!$D:$D,管理费收入总表!$R17)/10000</f>
        <v>45.592748999999998</v>
      </c>
      <c r="J17" s="56">
        <f>SUMIFS(单一受托!$I:$I,单一受托!$A:$A,LEFT($A$1,4),单一受托!$B:$B,LEFT(J$3,LEN(J$3)-2),单一受托!$D:$D,管理费收入总表!$R17)/10000+SUMIFS(单一投管!$L:$L,单一投管!$A:$A,LEFT($A$1,4),单一投管!$B:$B,LEFT(J$3,LEN(J$3)-2),单一投管!$D:$D,管理费收入总表!$R17)/10000</f>
        <v>53.514673999999999</v>
      </c>
      <c r="K17" s="56">
        <f>SUMIFS(单一受托!$I:$I,单一受托!$A:$A,LEFT($A$1,4),单一受托!$B:$B,LEFT(K$3,LEN(K$3)-2),单一受托!$D:$D,管理费收入总表!$R17)/10000+SUMIFS(单一投管!$L:$L,单一投管!$A:$A,LEFT($A$1,4),单一投管!$B:$B,LEFT(K$3,LEN(K$3)-2),单一投管!$D:$D,管理费收入总表!$R17)/10000</f>
        <v>61.561719000000004</v>
      </c>
      <c r="L17" s="56">
        <f>SUMIFS(单一受托!$I:$I,单一受托!$A:$A,LEFT($A$1,4),单一受托!$B:$B,LEFT(L$3,LEN(L$3)-2),单一受托!$D:$D,管理费收入总表!$R17)/10000+SUMIFS(单一投管!$L:$L,单一投管!$A:$A,LEFT($A$1,4),单一投管!$B:$B,LEFT(L$3,LEN(L$3)-2),单一投管!$D:$D,管理费收入总表!$R17)/10000</f>
        <v>69.661962000000003</v>
      </c>
      <c r="M17" s="56">
        <f>SUMIFS(单一受托!$I:$I,单一受托!$A:$A,LEFT($A$1,4),单一受托!$B:$B,LEFT(M$3,LEN(M$3)-2),单一受托!$D:$D,管理费收入总表!$R17)/10000+SUMIFS(单一投管!$L:$L,单一投管!$A:$A,LEFT($A$1,4),单一投管!$B:$B,LEFT(M$3,LEN(M$3)-2),单一投管!$D:$D,管理费收入总表!$R17)/10000</f>
        <v>77.845185999999998</v>
      </c>
      <c r="N17" s="56">
        <f>SUMIFS(单一受托!$I:$I,单一受托!$A:$A,LEFT($A$1,4),单一受托!$B:$B,LEFT(N$3,LEN(N$3)-2),单一受托!$D:$D,管理费收入总表!$R17)/10000+SUMIFS(单一投管!$L:$L,单一投管!$A:$A,LEFT($A$1,4),单一投管!$B:$B,LEFT(N$3,LEN(N$3)-2),单一投管!$D:$D,管理费收入总表!$R17)/10000</f>
        <v>86.098597000000012</v>
      </c>
      <c r="O17" s="56">
        <f>SUMIFS(单一受托!$I:$I,单一受托!$A:$A,LEFT($A$1,4),单一受托!$B:$B,LEFT(O$3,LEN(O$3)-2),单一受托!$D:$D,管理费收入总表!$R17)/10000+SUMIFS(单一投管!$L:$L,单一投管!$A:$A,LEFT($A$1,4),单一投管!$B:$B,LEFT(O$3,LEN(O$3)-2),单一投管!$D:$D,管理费收入总表!$R17)/10000</f>
        <v>94.457633999999999</v>
      </c>
      <c r="R17" s="120">
        <v>44321</v>
      </c>
    </row>
    <row r="18" spans="1:18" s="59" customFormat="1" ht="14.4" x14ac:dyDescent="0.25">
      <c r="A18" s="123"/>
      <c r="B18" s="124"/>
      <c r="C18" s="57" t="s">
        <v>192</v>
      </c>
      <c r="D18" s="58">
        <f>SUM(D16:D17)</f>
        <v>12.959818</v>
      </c>
      <c r="E18" s="58">
        <f t="shared" ref="E18:O18" si="4">SUM(E16:E17)</f>
        <v>25.935532000000002</v>
      </c>
      <c r="F18" s="58">
        <f t="shared" si="4"/>
        <v>38.131169999999997</v>
      </c>
      <c r="G18" s="58">
        <f t="shared" si="4"/>
        <v>132.61716699999999</v>
      </c>
      <c r="H18" s="58">
        <f t="shared" si="4"/>
        <v>200.25372299999998</v>
      </c>
      <c r="I18" s="58">
        <f t="shared" si="4"/>
        <v>213.50823700000001</v>
      </c>
      <c r="J18" s="58">
        <f t="shared" si="4"/>
        <v>128.61001499999998</v>
      </c>
      <c r="K18" s="58">
        <f t="shared" si="4"/>
        <v>142.60933600000001</v>
      </c>
      <c r="L18" s="58">
        <f t="shared" si="4"/>
        <v>121.109086</v>
      </c>
      <c r="M18" s="58">
        <f t="shared" si="4"/>
        <v>136.16269699999998</v>
      </c>
      <c r="N18" s="58">
        <f t="shared" si="4"/>
        <v>150.25435900000002</v>
      </c>
      <c r="O18" s="58">
        <f t="shared" si="4"/>
        <v>164.37743499999999</v>
      </c>
      <c r="R18" s="120">
        <v>44321</v>
      </c>
    </row>
    <row r="19" spans="1:18" s="59" customFormat="1" ht="14.4" x14ac:dyDescent="0.25">
      <c r="A19" s="123"/>
      <c r="B19" s="122" t="s">
        <v>194</v>
      </c>
      <c r="C19" s="55" t="s">
        <v>200</v>
      </c>
      <c r="D19" s="56">
        <f>(SUMIFS(单一受托!$H:$H,单一受托!$A:$A,LEFT($A$1,4),单一受托!$B:$B,LEFT(D$3,LEN(D$3)-2),单一受托!$D:$D,管理费收入总表!$R19)+SUMIFS(单一投管!$K:$K,单一投管!$A:$A,LEFT($A$1,4),单一投管!$B:$B,LEFT(D$3,LEN(D$3)-2),单一投管!$D:$D,管理费收入总表!$R19)+SUMIFS(单一账管!$G:$G,单一账管!$A:$A,LEFT($A$1,4),单一账管!$B:$B,LEFT(D$3,LEN(D$3)-2),单一账管!$D:$D,管理费收入总表!$R19))/10000</f>
        <v>5.5656270000000001</v>
      </c>
      <c r="E19" s="56">
        <f>(SUMIFS(单一受托!$H:$H,单一受托!$A:$A,LEFT($A$1,4),单一受托!$B:$B,LEFT(E$3,LEN(E$3)-2),单一受托!$D:$D,管理费收入总表!$R19)+SUMIFS(单一投管!$K:$K,单一投管!$A:$A,LEFT($A$1,4),单一投管!$B:$B,LEFT(E$3,LEN(E$3)-2),单一投管!$D:$D,管理费收入总表!$R19)+SUMIFS(单一账管!$G:$G,单一账管!$A:$A,LEFT($A$1,4),单一账管!$B:$B,LEFT(E$3,LEN(E$3)-2),单一账管!$D:$D,管理费收入总表!$R19))/10000</f>
        <v>10.829044999999999</v>
      </c>
      <c r="F19" s="56">
        <f>(SUMIFS(单一受托!$H:$H,单一受托!$A:$A,LEFT($A$1,4),单一受托!$B:$B,LEFT(F$3,LEN(F$3)-2),单一受托!$D:$D,管理费收入总表!$R19)+SUMIFS(单一投管!$K:$K,单一投管!$A:$A,LEFT($A$1,4),单一投管!$B:$B,LEFT(F$3,LEN(F$3)-2),单一投管!$D:$D,管理费收入总表!$R19)+SUMIFS(单一账管!$G:$G,单一账管!$A:$A,LEFT($A$1,4),单一账管!$B:$B,LEFT(F$3,LEN(F$3)-2),单一账管!$D:$D,管理费收入总表!$R19))/10000</f>
        <v>16.446951000000002</v>
      </c>
      <c r="G19" s="56">
        <f>(SUMIFS(单一受托!$H:$H,单一受托!$A:$A,LEFT($A$1,4),单一受托!$B:$B,LEFT(G$3,LEN(G$3)-2),单一受托!$D:$D,管理费收入总表!$R19)+SUMIFS(单一投管!$K:$K,单一投管!$A:$A,LEFT($A$1,4),单一投管!$B:$B,LEFT(G$3,LEN(G$3)-2),单一投管!$D:$D,管理费收入总表!$R19)+SUMIFS(单一账管!$G:$G,单一账管!$A:$A,LEFT($A$1,4),单一账管!$B:$B,LEFT(G$3,LEN(G$3)-2),单一账管!$D:$D,管理费收入总表!$R19))/10000</f>
        <v>21.911442000000001</v>
      </c>
      <c r="H19" s="56">
        <f>(SUMIFS(单一受托!$H:$H,单一受托!$A:$A,LEFT($A$1,4),单一受托!$B:$B,LEFT(H$3,LEN(H$3)-2),单一受托!$D:$D,管理费收入总表!$R19)+SUMIFS(单一投管!$K:$K,单一投管!$A:$A,LEFT($A$1,4),单一投管!$B:$B,LEFT(H$3,LEN(H$3)-2),单一投管!$D:$D,管理费收入总表!$R19)+SUMIFS(单一账管!$G:$G,单一账管!$A:$A,LEFT($A$1,4),单一账管!$B:$B,LEFT(H$3,LEN(H$3)-2),单一账管!$D:$D,管理费收入总表!$R19))/10000</f>
        <v>27.642434000000002</v>
      </c>
      <c r="I19" s="56">
        <f>(SUMIFS(单一受托!$H:$H,单一受托!$A:$A,LEFT($A$1,4),单一受托!$B:$B,LEFT(I$3,LEN(I$3)-2),单一受托!$D:$D,管理费收入总表!$R19)+SUMIFS(单一投管!$K:$K,单一投管!$A:$A,LEFT($A$1,4),单一投管!$B:$B,LEFT(I$3,LEN(I$3)-2),单一投管!$D:$D,管理费收入总表!$R19)+SUMIFS(单一账管!$G:$G,单一账管!$A:$A,LEFT($A$1,4),单一账管!$B:$B,LEFT(I$3,LEN(I$3)-2),单一账管!$D:$D,管理费收入总表!$R19))/10000</f>
        <v>33.248482000000003</v>
      </c>
      <c r="J19" s="56">
        <f>(SUMIFS(单一受托!$H:$H,单一受托!$A:$A,LEFT($A$1,4),单一受托!$B:$B,LEFT(J$3,LEN(J$3)-2),单一受托!$D:$D,管理费收入总表!$R19)+SUMIFS(单一投管!$K:$K,单一投管!$A:$A,LEFT($A$1,4),单一投管!$B:$B,LEFT(J$3,LEN(J$3)-2),单一投管!$D:$D,管理费收入总表!$R19)+SUMIFS(单一账管!$G:$G,单一账管!$A:$A,LEFT($A$1,4),单一账管!$B:$B,LEFT(J$3,LEN(J$3)-2),单一账管!$D:$D,管理费收入总表!$R19))/10000</f>
        <v>39.161920000000002</v>
      </c>
      <c r="K19" s="56">
        <f>(SUMIFS(单一受托!$H:$H,单一受托!$A:$A,LEFT($A$1,4),单一受托!$B:$B,LEFT(K$3,LEN(K$3)-2),单一受托!$D:$D,管理费收入总表!$R19)+SUMIFS(单一投管!$K:$K,单一投管!$A:$A,LEFT($A$1,4),单一投管!$B:$B,LEFT(K$3,LEN(K$3)-2),单一投管!$D:$D,管理费收入总表!$R19)+SUMIFS(单一账管!$G:$G,单一账管!$A:$A,LEFT($A$1,4),单一账管!$B:$B,LEFT(K$3,LEN(K$3)-2),单一账管!$D:$D,管理费收入总表!$R19))/10000</f>
        <v>45.135981999999998</v>
      </c>
      <c r="L19" s="56">
        <f>(SUMIFS(单一受托!$H:$H,单一受托!$A:$A,LEFT($A$1,4),单一受托!$B:$B,LEFT(L$3,LEN(L$3)-2),单一受托!$D:$D,管理费收入总表!$R19)+SUMIFS(单一投管!$K:$K,单一投管!$A:$A,LEFT($A$1,4),单一投管!$B:$B,LEFT(L$3,LEN(L$3)-2),单一投管!$D:$D,管理费收入总表!$R19)+SUMIFS(单一账管!$G:$G,单一账管!$A:$A,LEFT($A$1,4),单一账管!$B:$B,LEFT(L$3,LEN(L$3)-2),单一账管!$D:$D,管理费收入总表!$R19))/10000</f>
        <v>50.892302000000001</v>
      </c>
      <c r="M19" s="56">
        <f>(SUMIFS(单一受托!$H:$H,单一受托!$A:$A,LEFT($A$1,4),单一受托!$B:$B,LEFT(M$3,LEN(M$3)-2),单一受托!$D:$D,管理费收入总表!$R19)+SUMIFS(单一投管!$K:$K,单一投管!$A:$A,LEFT($A$1,4),单一投管!$B:$B,LEFT(M$3,LEN(M$3)-2),单一投管!$D:$D,管理费收入总表!$R19)+SUMIFS(单一账管!$G:$G,单一账管!$A:$A,LEFT($A$1,4),单一账管!$B:$B,LEFT(M$3,LEN(M$3)-2),单一账管!$D:$D,管理费收入总表!$R19))/10000</f>
        <v>56.858377000000004</v>
      </c>
      <c r="N19" s="56">
        <f>(SUMIFS(单一受托!$H:$H,单一受托!$A:$A,LEFT($A$1,4),单一受托!$B:$B,LEFT(N$3,LEN(N$3)-2),单一受托!$D:$D,管理费收入总表!$R19)+SUMIFS(单一投管!$K:$K,单一投管!$A:$A,LEFT($A$1,4),单一投管!$B:$B,LEFT(N$3,LEN(N$3)-2),单一投管!$D:$D,管理费收入总表!$R19)+SUMIFS(单一账管!$G:$G,单一账管!$A:$A,LEFT($A$1,4),单一账管!$B:$B,LEFT(N$3,LEN(N$3)-2),单一账管!$D:$D,管理费收入总表!$R19))/10000</f>
        <v>62.664827000000002</v>
      </c>
      <c r="O19" s="56">
        <f>(SUMIFS(单一受托!$H:$H,单一受托!$A:$A,LEFT($A$1,4),单一受托!$B:$B,LEFT(O$3,LEN(O$3)-2),单一受托!$D:$D,管理费收入总表!$R19)+SUMIFS(单一投管!$K:$K,单一投管!$A:$A,LEFT($A$1,4),单一投管!$B:$B,LEFT(O$3,LEN(O$3)-2),单一投管!$D:$D,管理费收入总表!$R19)+SUMIFS(单一账管!$G:$G,单一账管!$A:$A,LEFT($A$1,4),单一账管!$B:$B,LEFT(O$3,LEN(O$3)-2),单一账管!$D:$D,管理费收入总表!$R19))/10000</f>
        <v>68.719482999999997</v>
      </c>
      <c r="R19" s="120">
        <v>49570</v>
      </c>
    </row>
    <row r="20" spans="1:18" s="59" customFormat="1" ht="14.4" x14ac:dyDescent="0.25">
      <c r="A20" s="123"/>
      <c r="B20" s="123"/>
      <c r="C20" s="55" t="s">
        <v>190</v>
      </c>
      <c r="D20" s="56">
        <f>SUMIFS(单一受托!$I:$I,单一受托!$A:$A,LEFT($A$1,4),单一受托!$B:$B,LEFT(D$3,LEN(D$3)-2),单一受托!$D:$D,管理费收入总表!$R20)/10000+SUMIFS(单一投管!$L:$L,单一投管!$A:$A,LEFT($A$1,4),单一投管!$B:$B,LEFT(D$3,LEN(D$3)-2),单一投管!$D:$D,管理费收入总表!$R20)/10000</f>
        <v>5.5616400000000006</v>
      </c>
      <c r="E20" s="56">
        <f>SUMIFS(单一受托!$I:$I,单一受托!$A:$A,LEFT($A$1,4),单一受托!$B:$B,LEFT(E$3,LEN(E$3)-2),单一受托!$D:$D,管理费收入总表!$R20)/10000+SUMIFS(单一投管!$L:$L,单一投管!$A:$A,LEFT($A$1,4),单一投管!$B:$B,LEFT(E$3,LEN(E$3)-2),单一投管!$D:$D,管理费收入总表!$R20)/10000</f>
        <v>11.174837</v>
      </c>
      <c r="F20" s="56">
        <f>SUMIFS(单一受托!$I:$I,单一受托!$A:$A,LEFT($A$1,4),单一受托!$B:$B,LEFT(F$3,LEN(F$3)-2),单一受托!$D:$D,管理费收入总表!$R20)/10000+SUMIFS(单一投管!$L:$L,单一投管!$A:$A,LEFT($A$1,4),单一投管!$B:$B,LEFT(F$3,LEN(F$3)-2),单一投管!$D:$D,管理费收入总表!$R20)/10000</f>
        <v>16.801445000000001</v>
      </c>
      <c r="G20" s="56">
        <f>SUMIFS(单一受托!$I:$I,单一受托!$A:$A,LEFT($A$1,4),单一受托!$B:$B,LEFT(G$3,LEN(G$3)-2),单一受托!$D:$D,管理费收入总表!$R20)/10000+SUMIFS(单一投管!$L:$L,单一投管!$A:$A,LEFT($A$1,4),单一投管!$B:$B,LEFT(G$3,LEN(G$3)-2),单一投管!$D:$D,管理费收入总表!$R20)/10000</f>
        <v>22.457545</v>
      </c>
      <c r="H20" s="56">
        <f>SUMIFS(单一受托!$I:$I,单一受托!$A:$A,LEFT($A$1,4),单一受托!$B:$B,LEFT(H$3,LEN(H$3)-2),单一受托!$D:$D,管理费收入总表!$R20)/10000+SUMIFS(单一投管!$L:$L,单一投管!$A:$A,LEFT($A$1,4),单一投管!$B:$B,LEFT(H$3,LEN(H$3)-2),单一投管!$D:$D,管理费收入总表!$R20)/10000</f>
        <v>28.181003000000004</v>
      </c>
      <c r="I20" s="56">
        <f>SUMIFS(单一受托!$I:$I,单一受托!$A:$A,LEFT($A$1,4),单一受托!$B:$B,LEFT(I$3,LEN(I$3)-2),单一受托!$D:$D,管理费收入总表!$R20)/10000+SUMIFS(单一投管!$L:$L,单一投管!$A:$A,LEFT($A$1,4),单一投管!$B:$B,LEFT(I$3,LEN(I$3)-2),单一投管!$D:$D,管理费收入总表!$R20)/10000</f>
        <v>33.970143</v>
      </c>
      <c r="J20" s="56">
        <f>SUMIFS(单一受托!$I:$I,单一受托!$A:$A,LEFT($A$1,4),单一受托!$B:$B,LEFT(J$3,LEN(J$3)-2),单一受托!$D:$D,管理费收入总表!$R20)/10000+SUMIFS(单一投管!$L:$L,单一投管!$A:$A,LEFT($A$1,4),单一投管!$B:$B,LEFT(J$3,LEN(J$3)-2),单一投管!$D:$D,管理费收入总表!$R20)/10000</f>
        <v>39.848517999999999</v>
      </c>
      <c r="K20" s="56">
        <f>SUMIFS(单一受托!$I:$I,单一受托!$A:$A,LEFT($A$1,4),单一受托!$B:$B,LEFT(K$3,LEN(K$3)-2),单一受托!$D:$D,管理费收入总表!$R20)/10000+SUMIFS(单一投管!$L:$L,单一投管!$A:$A,LEFT($A$1,4),单一投管!$B:$B,LEFT(K$3,LEN(K$3)-2),单一投管!$D:$D,管理费收入总表!$R20)/10000</f>
        <v>45.796298</v>
      </c>
      <c r="L20" s="56">
        <f>SUMIFS(单一受托!$I:$I,单一受托!$A:$A,LEFT($A$1,4),单一受托!$B:$B,LEFT(L$3,LEN(L$3)-2),单一受托!$D:$D,管理费收入总表!$R20)/10000+SUMIFS(单一投管!$L:$L,单一投管!$A:$A,LEFT($A$1,4),单一投管!$B:$B,LEFT(L$3,LEN(L$3)-2),单一投管!$D:$D,管理费收入总表!$R20)/10000</f>
        <v>51.735461000000001</v>
      </c>
      <c r="M20" s="56">
        <f>SUMIFS(单一受托!$I:$I,单一受托!$A:$A,LEFT($A$1,4),单一受托!$B:$B,LEFT(M$3,LEN(M$3)-2),单一受托!$D:$D,管理费收入总表!$R20)/10000+SUMIFS(单一投管!$L:$L,单一投管!$A:$A,LEFT($A$1,4),单一投管!$B:$B,LEFT(M$3,LEN(M$3)-2),单一投管!$D:$D,管理费收入总表!$R20)/10000</f>
        <v>57.654020999999993</v>
      </c>
      <c r="N20" s="56">
        <f>SUMIFS(单一受托!$I:$I,单一受托!$A:$A,LEFT($A$1,4),单一受托!$B:$B,LEFT(N$3,LEN(N$3)-2),单一受托!$D:$D,管理费收入总表!$R20)/10000+SUMIFS(单一投管!$L:$L,单一投管!$A:$A,LEFT($A$1,4),单一投管!$B:$B,LEFT(N$3,LEN(N$3)-2),单一投管!$D:$D,管理费收入总表!$R20)/10000</f>
        <v>63.605793000000006</v>
      </c>
      <c r="O20" s="56">
        <f>SUMIFS(单一受托!$I:$I,单一受托!$A:$A,LEFT($A$1,4),单一受托!$B:$B,LEFT(O$3,LEN(O$3)-2),单一受托!$D:$D,管理费收入总表!$R20)/10000+SUMIFS(单一投管!$L:$L,单一投管!$A:$A,LEFT($A$1,4),单一投管!$B:$B,LEFT(O$3,LEN(O$3)-2),单一投管!$D:$D,管理费收入总表!$R20)/10000</f>
        <v>69.617021999999992</v>
      </c>
      <c r="R20" s="120">
        <v>49570</v>
      </c>
    </row>
    <row r="21" spans="1:18" s="59" customFormat="1" ht="14.4" x14ac:dyDescent="0.25">
      <c r="A21" s="123"/>
      <c r="B21" s="124"/>
      <c r="C21" s="57" t="s">
        <v>192</v>
      </c>
      <c r="D21" s="58">
        <f>SUM(D19:D20)</f>
        <v>11.127267</v>
      </c>
      <c r="E21" s="58">
        <f t="shared" ref="E21:O21" si="5">SUM(E19:E20)</f>
        <v>22.003881999999997</v>
      </c>
      <c r="F21" s="58">
        <f t="shared" si="5"/>
        <v>33.248396</v>
      </c>
      <c r="G21" s="58">
        <f t="shared" si="5"/>
        <v>44.368987000000004</v>
      </c>
      <c r="H21" s="58">
        <f t="shared" si="5"/>
        <v>55.823437000000006</v>
      </c>
      <c r="I21" s="58">
        <f t="shared" si="5"/>
        <v>67.218625000000003</v>
      </c>
      <c r="J21" s="58">
        <f t="shared" si="5"/>
        <v>79.010437999999994</v>
      </c>
      <c r="K21" s="58">
        <f t="shared" si="5"/>
        <v>90.932279999999992</v>
      </c>
      <c r="L21" s="58">
        <f t="shared" si="5"/>
        <v>102.627763</v>
      </c>
      <c r="M21" s="58">
        <f t="shared" si="5"/>
        <v>114.51239799999999</v>
      </c>
      <c r="N21" s="58">
        <f t="shared" si="5"/>
        <v>126.27062000000001</v>
      </c>
      <c r="O21" s="58">
        <f t="shared" si="5"/>
        <v>138.33650499999999</v>
      </c>
      <c r="R21" s="120">
        <v>49570</v>
      </c>
    </row>
    <row r="22" spans="1:18" s="59" customFormat="1" ht="14.4" x14ac:dyDescent="0.25">
      <c r="A22" s="123"/>
      <c r="B22" s="122" t="s">
        <v>271</v>
      </c>
      <c r="C22" s="55" t="s">
        <v>200</v>
      </c>
      <c r="D22" s="56">
        <f>(SUMIFS(单一受托!$H:$H,单一受托!$A:$A,LEFT($A$1,4),单一受托!$B:$B,LEFT(D$3,LEN(D$3)-2),单一受托!$D:$D,管理费收入总表!$R22)+SUMIFS(单一投管!$K:$K,单一投管!$A:$A,LEFT($A$1,4),单一投管!$B:$B,LEFT(D$3,LEN(D$3)-2),单一投管!$D:$D,管理费收入总表!$R22)+SUMIFS(单一账管!$G:$G,单一账管!$A:$A,LEFT($A$1,4),单一账管!$B:$B,LEFT(D$3,LEN(D$3)-2),单一账管!$D:$D,管理费收入总表!$R22))/10000</f>
        <v>23.848461999999998</v>
      </c>
      <c r="E22" s="56">
        <f>(SUMIFS(单一受托!$H:$H,单一受托!$A:$A,LEFT($A$1,4),单一受托!$B:$B,LEFT(E$3,LEN(E$3)-2),单一受托!$D:$D,管理费收入总表!$R22)+SUMIFS(单一投管!$K:$K,单一投管!$A:$A,LEFT($A$1,4),单一投管!$B:$B,LEFT(E$3,LEN(E$3)-2),单一投管!$D:$D,管理费收入总表!$R22)+SUMIFS(单一账管!$G:$G,单一账管!$A:$A,LEFT($A$1,4),单一账管!$B:$B,LEFT(E$3,LEN(E$3)-2),单一账管!$D:$D,管理费收入总表!$R22))/10000</f>
        <v>47.696925</v>
      </c>
      <c r="F22" s="56">
        <f>(SUMIFS(单一受托!$H:$H,单一受托!$A:$A,LEFT($A$1,4),单一受托!$B:$B,LEFT(F$3,LEN(F$3)-2),单一受托!$D:$D,管理费收入总表!$R22)+SUMIFS(单一投管!$K:$K,单一投管!$A:$A,LEFT($A$1,4),单一投管!$B:$B,LEFT(F$3,LEN(F$3)-2),单一投管!$D:$D,管理费收入总表!$R22)+SUMIFS(单一账管!$G:$G,单一账管!$A:$A,LEFT($A$1,4),单一账管!$B:$B,LEFT(F$3,LEN(F$3)-2),单一账管!$D:$D,管理费收入总表!$R22))/10000</f>
        <v>66.987187000000006</v>
      </c>
      <c r="G22" s="56">
        <f>(SUMIFS(单一受托!$H:$H,单一受托!$A:$A,LEFT($A$1,4),单一受托!$B:$B,LEFT(G$3,LEN(G$3)-2),单一受托!$D:$D,管理费收入总表!$R22)+SUMIFS(单一投管!$K:$K,单一投管!$A:$A,LEFT($A$1,4),单一投管!$B:$B,LEFT(G$3,LEN(G$3)-2),单一投管!$D:$D,管理费收入总表!$R22)+SUMIFS(单一账管!$G:$G,单一账管!$A:$A,LEFT($A$1,4),单一账管!$B:$B,LEFT(G$3,LEN(G$3)-2),单一账管!$D:$D,管理费收入总表!$R22))/10000</f>
        <v>96.365240999999997</v>
      </c>
      <c r="H22" s="56">
        <f>(SUMIFS(单一受托!$H:$H,单一受托!$A:$A,LEFT($A$1,4),单一受托!$B:$B,LEFT(H$3,LEN(H$3)-2),单一受托!$D:$D,管理费收入总表!$R22)+SUMIFS(单一投管!$K:$K,单一投管!$A:$A,LEFT($A$1,4),单一投管!$B:$B,LEFT(H$3,LEN(H$3)-2),单一投管!$D:$D,管理费收入总表!$R22)+SUMIFS(单一账管!$G:$G,单一账管!$A:$A,LEFT($A$1,4),单一账管!$B:$B,LEFT(H$3,LEN(H$3)-2),单一账管!$D:$D,管理费收入总表!$R22))/10000</f>
        <v>115.30312499999999</v>
      </c>
      <c r="I22" s="56">
        <f>(SUMIFS(单一受托!$H:$H,单一受托!$A:$A,LEFT($A$1,4),单一受托!$B:$B,LEFT(I$3,LEN(I$3)-2),单一受托!$D:$D,管理费收入总表!$R22)+SUMIFS(单一投管!$K:$K,单一投管!$A:$A,LEFT($A$1,4),单一投管!$B:$B,LEFT(I$3,LEN(I$3)-2),单一投管!$D:$D,管理费收入总表!$R22)+SUMIFS(单一账管!$G:$G,单一账管!$A:$A,LEFT($A$1,4),单一账管!$B:$B,LEFT(I$3,LEN(I$3)-2),单一账管!$D:$D,管理费收入总表!$R22))/10000</f>
        <v>137.59842800000001</v>
      </c>
      <c r="J22" s="56">
        <f>(SUMIFS(单一受托!$H:$H,单一受托!$A:$A,LEFT($A$1,4),单一受托!$B:$B,LEFT(J$3,LEN(J$3)-2),单一受托!$D:$D,管理费收入总表!$R22)+SUMIFS(单一投管!$K:$K,单一投管!$A:$A,LEFT($A$1,4),单一投管!$B:$B,LEFT(J$3,LEN(J$3)-2),单一投管!$D:$D,管理费收入总表!$R22)+SUMIFS(单一账管!$G:$G,单一账管!$A:$A,LEFT($A$1,4),单一账管!$B:$B,LEFT(J$3,LEN(J$3)-2),单一账管!$D:$D,管理费收入总表!$R22))/10000</f>
        <v>168.79054299999999</v>
      </c>
      <c r="K22" s="56">
        <f>(SUMIFS(单一受托!$H:$H,单一受托!$A:$A,LEFT($A$1,4),单一受托!$B:$B,LEFT(K$3,LEN(K$3)-2),单一受托!$D:$D,管理费收入总表!$R22)+SUMIFS(单一投管!$K:$K,单一投管!$A:$A,LEFT($A$1,4),单一投管!$B:$B,LEFT(K$3,LEN(K$3)-2),单一投管!$D:$D,管理费收入总表!$R22)+SUMIFS(单一账管!$G:$G,单一账管!$A:$A,LEFT($A$1,4),单一账管!$B:$B,LEFT(K$3,LEN(K$3)-2),单一账管!$D:$D,管理费收入总表!$R22))/10000</f>
        <v>189.24300400000001</v>
      </c>
      <c r="L22" s="56">
        <f>(SUMIFS(单一受托!$H:$H,单一受托!$A:$A,LEFT($A$1,4),单一受托!$B:$B,LEFT(L$3,LEN(L$3)-2),单一受托!$D:$D,管理费收入总表!$R22)+SUMIFS(单一投管!$K:$K,单一投管!$A:$A,LEFT($A$1,4),单一投管!$B:$B,LEFT(L$3,LEN(L$3)-2),单一投管!$D:$D,管理费收入总表!$R22)+SUMIFS(单一账管!$G:$G,单一账管!$A:$A,LEFT($A$1,4),单一账管!$B:$B,LEFT(L$3,LEN(L$3)-2),单一账管!$D:$D,管理费收入总表!$R22))/10000</f>
        <v>212.71866900000001</v>
      </c>
      <c r="M22" s="56">
        <f>(SUMIFS(单一受托!$H:$H,单一受托!$A:$A,LEFT($A$1,4),单一受托!$B:$B,LEFT(M$3,LEN(M$3)-2),单一受托!$D:$D,管理费收入总表!$R22)+SUMIFS(单一投管!$K:$K,单一投管!$A:$A,LEFT($A$1,4),单一投管!$B:$B,LEFT(M$3,LEN(M$3)-2),单一投管!$D:$D,管理费收入总表!$R22)+SUMIFS(单一账管!$G:$G,单一账管!$A:$A,LEFT($A$1,4),单一账管!$B:$B,LEFT(M$3,LEN(M$3)-2),单一账管!$D:$D,管理费收入总表!$R22))/10000</f>
        <v>244.75916600000002</v>
      </c>
      <c r="N22" s="56">
        <f>(SUMIFS(单一受托!$H:$H,单一受托!$A:$A,LEFT($A$1,4),单一受托!$B:$B,LEFT(N$3,LEN(N$3)-2),单一受托!$D:$D,管理费收入总表!$R22)+SUMIFS(单一投管!$K:$K,单一投管!$A:$A,LEFT($A$1,4),单一投管!$B:$B,LEFT(N$3,LEN(N$3)-2),单一投管!$D:$D,管理费收入总表!$R22)+SUMIFS(单一账管!$G:$G,单一账管!$A:$A,LEFT($A$1,4),单一账管!$B:$B,LEFT(N$3,LEN(N$3)-2),单一账管!$D:$D,管理费收入总表!$R22))/10000</f>
        <v>267.264296</v>
      </c>
      <c r="O22" s="56">
        <f>(SUMIFS(单一受托!$H:$H,单一受托!$A:$A,LEFT($A$1,4),单一受托!$B:$B,LEFT(O$3,LEN(O$3)-2),单一受托!$D:$D,管理费收入总表!$R22)+SUMIFS(单一投管!$K:$K,单一投管!$A:$A,LEFT($A$1,4),单一投管!$B:$B,LEFT(O$3,LEN(O$3)-2),单一投管!$D:$D,管理费收入总表!$R22)+SUMIFS(单一账管!$G:$G,单一账管!$A:$A,LEFT($A$1,4),单一账管!$B:$B,LEFT(O$3,LEN(O$3)-2),单一账管!$D:$D,管理费收入总表!$R22))/10000</f>
        <v>290.830626</v>
      </c>
      <c r="R22" s="120">
        <v>57438</v>
      </c>
    </row>
    <row r="23" spans="1:18" s="59" customFormat="1" ht="14.4" x14ac:dyDescent="0.25">
      <c r="A23" s="123"/>
      <c r="B23" s="123"/>
      <c r="C23" s="55" t="s">
        <v>190</v>
      </c>
      <c r="D23" s="56">
        <f>SUMIFS(单一受托!$I:$I,单一受托!$A:$A,LEFT($A$1,4),单一受托!$B:$B,LEFT(D$3,LEN(D$3)-2),单一受托!$D:$D,管理费收入总表!$R23)/10000+SUMIFS(单一投管!$L:$L,单一投管!$A:$A,LEFT($A$1,4),单一投管!$B:$B,LEFT(D$3,LEN(D$3)-2),单一投管!$D:$D,管理费收入总表!$R23)/10000</f>
        <v>0</v>
      </c>
      <c r="E23" s="56">
        <f>SUMIFS(单一受托!$I:$I,单一受托!$A:$A,LEFT($A$1,4),单一受托!$B:$B,LEFT(E$3,LEN(E$3)-2),单一受托!$D:$D,管理费收入总表!$R23)/10000+SUMIFS(单一投管!$L:$L,单一投管!$A:$A,LEFT($A$1,4),单一投管!$B:$B,LEFT(E$3,LEN(E$3)-2),单一投管!$D:$D,管理费收入总表!$R23)/10000</f>
        <v>0</v>
      </c>
      <c r="F23" s="56">
        <f>SUMIFS(单一受托!$I:$I,单一受托!$A:$A,LEFT($A$1,4),单一受托!$B:$B,LEFT(F$3,LEN(F$3)-2),单一受托!$D:$D,管理费收入总表!$R23)/10000+SUMIFS(单一投管!$L:$L,单一投管!$A:$A,LEFT($A$1,4),单一投管!$B:$B,LEFT(F$3,LEN(F$3)-2),单一投管!$D:$D,管理费收入总表!$R23)/10000</f>
        <v>0</v>
      </c>
      <c r="G23" s="56">
        <f>SUMIFS(单一受托!$I:$I,单一受托!$A:$A,LEFT($A$1,4),单一受托!$B:$B,LEFT(G$3,LEN(G$3)-2),单一受托!$D:$D,管理费收入总表!$R23)/10000+SUMIFS(单一投管!$L:$L,单一投管!$A:$A,LEFT($A$1,4),单一投管!$B:$B,LEFT(G$3,LEN(G$3)-2),单一投管!$D:$D,管理费收入总表!$R23)/10000</f>
        <v>0</v>
      </c>
      <c r="H23" s="56">
        <f>SUMIFS(单一受托!$I:$I,单一受托!$A:$A,LEFT($A$1,4),单一受托!$B:$B,LEFT(H$3,LEN(H$3)-2),单一受托!$D:$D,管理费收入总表!$R23)/10000+SUMIFS(单一投管!$L:$L,单一投管!$A:$A,LEFT($A$1,4),单一投管!$B:$B,LEFT(H$3,LEN(H$3)-2),单一投管!$D:$D,管理费收入总表!$R23)/10000</f>
        <v>0</v>
      </c>
      <c r="I23" s="56">
        <f>SUMIFS(单一受托!$I:$I,单一受托!$A:$A,LEFT($A$1,4),单一受托!$B:$B,LEFT(I$3,LEN(I$3)-2),单一受托!$D:$D,管理费收入总表!$R23)/10000+SUMIFS(单一投管!$L:$L,单一投管!$A:$A,LEFT($A$1,4),单一投管!$B:$B,LEFT(I$3,LEN(I$3)-2),单一投管!$D:$D,管理费收入总表!$R23)/10000</f>
        <v>0</v>
      </c>
      <c r="J23" s="56">
        <f>SUMIFS(单一受托!$I:$I,单一受托!$A:$A,LEFT($A$1,4),单一受托!$B:$B,LEFT(J$3,LEN(J$3)-2),单一受托!$D:$D,管理费收入总表!$R23)/10000+SUMIFS(单一投管!$L:$L,单一投管!$A:$A,LEFT($A$1,4),单一投管!$B:$B,LEFT(J$3,LEN(J$3)-2),单一投管!$D:$D,管理费收入总表!$R23)/10000</f>
        <v>0</v>
      </c>
      <c r="K23" s="56">
        <f>SUMIFS(单一受托!$I:$I,单一受托!$A:$A,LEFT($A$1,4),单一受托!$B:$B,LEFT(K$3,LEN(K$3)-2),单一受托!$D:$D,管理费收入总表!$R23)/10000+SUMIFS(单一投管!$L:$L,单一投管!$A:$A,LEFT($A$1,4),单一投管!$B:$B,LEFT(K$3,LEN(K$3)-2),单一投管!$D:$D,管理费收入总表!$R23)/10000</f>
        <v>0</v>
      </c>
      <c r="L23" s="56">
        <f>SUMIFS(单一受托!$I:$I,单一受托!$A:$A,LEFT($A$1,4),单一受托!$B:$B,LEFT(L$3,LEN(L$3)-2),单一受托!$D:$D,管理费收入总表!$R23)/10000+SUMIFS(单一投管!$L:$L,单一投管!$A:$A,LEFT($A$1,4),单一投管!$B:$B,LEFT(L$3,LEN(L$3)-2),单一投管!$D:$D,管理费收入总表!$R23)/10000</f>
        <v>0</v>
      </c>
      <c r="M23" s="56">
        <f>SUMIFS(单一受托!$I:$I,单一受托!$A:$A,LEFT($A$1,4),单一受托!$B:$B,LEFT(M$3,LEN(M$3)-2),单一受托!$D:$D,管理费收入总表!$R23)/10000+SUMIFS(单一投管!$L:$L,单一投管!$A:$A,LEFT($A$1,4),单一投管!$B:$B,LEFT(M$3,LEN(M$3)-2),单一投管!$D:$D,管理费收入总表!$R23)/10000</f>
        <v>0</v>
      </c>
      <c r="N23" s="56">
        <f>SUMIFS(单一受托!$I:$I,单一受托!$A:$A,LEFT($A$1,4),单一受托!$B:$B,LEFT(N$3,LEN(N$3)-2),单一受托!$D:$D,管理费收入总表!$R23)/10000+SUMIFS(单一投管!$L:$L,单一投管!$A:$A,LEFT($A$1,4),单一投管!$B:$B,LEFT(N$3,LEN(N$3)-2),单一投管!$D:$D,管理费收入总表!$R23)/10000</f>
        <v>0</v>
      </c>
      <c r="O23" s="56">
        <f>SUMIFS(单一受托!$I:$I,单一受托!$A:$A,LEFT($A$1,4),单一受托!$B:$B,LEFT(O$3,LEN(O$3)-2),单一受托!$D:$D,管理费收入总表!$R23)/10000+SUMIFS(单一投管!$L:$L,单一投管!$A:$A,LEFT($A$1,4),单一投管!$B:$B,LEFT(O$3,LEN(O$3)-2),单一投管!$D:$D,管理费收入总表!$R23)/10000</f>
        <v>0</v>
      </c>
      <c r="R23" s="120">
        <v>57438</v>
      </c>
    </row>
    <row r="24" spans="1:18" s="59" customFormat="1" ht="14.4" x14ac:dyDescent="0.25">
      <c r="A24" s="123"/>
      <c r="B24" s="124"/>
      <c r="C24" s="57" t="s">
        <v>192</v>
      </c>
      <c r="D24" s="58">
        <f>SUM(D22:D23)</f>
        <v>23.848461999999998</v>
      </c>
      <c r="E24" s="58">
        <f t="shared" ref="E24:O24" si="6">SUM(E22:E23)</f>
        <v>47.696925</v>
      </c>
      <c r="F24" s="58">
        <f t="shared" si="6"/>
        <v>66.987187000000006</v>
      </c>
      <c r="G24" s="58">
        <f t="shared" si="6"/>
        <v>96.365240999999997</v>
      </c>
      <c r="H24" s="58">
        <f t="shared" si="6"/>
        <v>115.30312499999999</v>
      </c>
      <c r="I24" s="58">
        <f t="shared" si="6"/>
        <v>137.59842800000001</v>
      </c>
      <c r="J24" s="58">
        <f t="shared" si="6"/>
        <v>168.79054299999999</v>
      </c>
      <c r="K24" s="58">
        <f t="shared" si="6"/>
        <v>189.24300400000001</v>
      </c>
      <c r="L24" s="58">
        <f t="shared" si="6"/>
        <v>212.71866900000001</v>
      </c>
      <c r="M24" s="58">
        <f t="shared" si="6"/>
        <v>244.75916600000002</v>
      </c>
      <c r="N24" s="58">
        <f t="shared" si="6"/>
        <v>267.264296</v>
      </c>
      <c r="O24" s="58">
        <f t="shared" si="6"/>
        <v>290.830626</v>
      </c>
      <c r="R24" s="120">
        <v>57438</v>
      </c>
    </row>
    <row r="25" spans="1:18" s="59" customFormat="1" ht="14.4" x14ac:dyDescent="0.25">
      <c r="A25" s="123"/>
      <c r="B25" s="122" t="s">
        <v>206</v>
      </c>
      <c r="C25" s="55" t="s">
        <v>200</v>
      </c>
      <c r="D25" s="56">
        <f>D28-D19-D16-D13-D10-D7-D4-D22</f>
        <v>6.9789900000000031</v>
      </c>
      <c r="E25" s="56">
        <f t="shared" ref="E25:N25" si="7">E28-E19-E16-E13-E10-E7-E4-E22</f>
        <v>13.854621999999999</v>
      </c>
      <c r="F25" s="56">
        <f t="shared" si="7"/>
        <v>21.007616999999982</v>
      </c>
      <c r="G25" s="56">
        <f t="shared" si="7"/>
        <v>29.085034999999976</v>
      </c>
      <c r="H25" s="56">
        <f t="shared" si="7"/>
        <v>35.589070000000021</v>
      </c>
      <c r="I25" s="56">
        <f t="shared" si="7"/>
        <v>42.476732000000169</v>
      </c>
      <c r="J25" s="56">
        <f t="shared" si="7"/>
        <v>61.031196000000023</v>
      </c>
      <c r="K25" s="56">
        <f t="shared" si="7"/>
        <v>74.639586999999921</v>
      </c>
      <c r="L25" s="56">
        <f t="shared" si="7"/>
        <v>84.765854999999902</v>
      </c>
      <c r="M25" s="56">
        <f t="shared" si="7"/>
        <v>100.13766199999995</v>
      </c>
      <c r="N25" s="56">
        <f t="shared" si="7"/>
        <v>108.80066899999991</v>
      </c>
      <c r="O25" s="56">
        <f>O28-O19-O16-O13-O10-O7-O4</f>
        <v>411.46376600000002</v>
      </c>
      <c r="R25" s="61"/>
    </row>
    <row r="26" spans="1:18" s="59" customFormat="1" ht="14.4" x14ac:dyDescent="0.25">
      <c r="A26" s="123"/>
      <c r="B26" s="123"/>
      <c r="C26" s="55" t="s">
        <v>190</v>
      </c>
      <c r="D26" s="56">
        <f>D29-D20-D17-D14-D11-D8-D5-D23</f>
        <v>7.088949999999997</v>
      </c>
      <c r="E26" s="56">
        <f t="shared" ref="E26:N26" si="8">E29-E20-E17-E14-E11-E8-E5-E23</f>
        <v>14.983836999999994</v>
      </c>
      <c r="F26" s="56">
        <f t="shared" si="8"/>
        <v>23.393974999999983</v>
      </c>
      <c r="G26" s="56">
        <f t="shared" si="8"/>
        <v>32.16825200000001</v>
      </c>
      <c r="H26" s="56">
        <f t="shared" si="8"/>
        <v>41.172818999999947</v>
      </c>
      <c r="I26" s="56">
        <f t="shared" si="8"/>
        <v>50.43383999999989</v>
      </c>
      <c r="J26" s="56">
        <f t="shared" si="8"/>
        <v>60.07900699999999</v>
      </c>
      <c r="K26" s="56">
        <f t="shared" si="8"/>
        <v>70.083495000000084</v>
      </c>
      <c r="L26" s="56">
        <f t="shared" si="8"/>
        <v>80.255321999999978</v>
      </c>
      <c r="M26" s="56">
        <f t="shared" si="8"/>
        <v>90.57273900000007</v>
      </c>
      <c r="N26" s="56">
        <f t="shared" si="8"/>
        <v>101.11753300000021</v>
      </c>
      <c r="O26" s="56">
        <f>O29-O20-O17-O14-O11-O8-O5</f>
        <v>111.91602799999987</v>
      </c>
      <c r="R26" s="61"/>
    </row>
    <row r="27" spans="1:18" s="59" customFormat="1" ht="14.4" x14ac:dyDescent="0.25">
      <c r="A27" s="123"/>
      <c r="B27" s="124"/>
      <c r="C27" s="57" t="s">
        <v>204</v>
      </c>
      <c r="D27" s="58">
        <f>SUM(D25:D26)</f>
        <v>14.06794</v>
      </c>
      <c r="E27" s="58">
        <f t="shared" ref="E27:O27" si="9">SUM(E25:E26)</f>
        <v>28.838458999999993</v>
      </c>
      <c r="F27" s="58">
        <f t="shared" si="9"/>
        <v>44.401591999999965</v>
      </c>
      <c r="G27" s="58">
        <f t="shared" si="9"/>
        <v>61.253286999999986</v>
      </c>
      <c r="H27" s="58">
        <f t="shared" si="9"/>
        <v>76.761888999999968</v>
      </c>
      <c r="I27" s="58">
        <f t="shared" si="9"/>
        <v>92.910572000000059</v>
      </c>
      <c r="J27" s="58">
        <f t="shared" si="9"/>
        <v>121.11020300000001</v>
      </c>
      <c r="K27" s="58">
        <f t="shared" si="9"/>
        <v>144.72308200000001</v>
      </c>
      <c r="L27" s="58">
        <f t="shared" si="9"/>
        <v>165.02117699999988</v>
      </c>
      <c r="M27" s="58">
        <f t="shared" si="9"/>
        <v>190.71040100000002</v>
      </c>
      <c r="N27" s="58">
        <f t="shared" si="9"/>
        <v>209.91820200000012</v>
      </c>
      <c r="O27" s="58">
        <f t="shared" si="9"/>
        <v>523.37979399999995</v>
      </c>
      <c r="R27" s="61"/>
    </row>
    <row r="28" spans="1:18" s="59" customFormat="1" ht="14.4" x14ac:dyDescent="0.25">
      <c r="A28" s="123"/>
      <c r="B28" s="122" t="s">
        <v>207</v>
      </c>
      <c r="C28" s="55" t="s">
        <v>200</v>
      </c>
      <c r="D28" s="56">
        <f>(SUMIFS(单一受托!$H:$H,单一受托!$A:$A,LEFT($A$1,4),单一受托!$B:$B,LEFT(D$3,LEN(D$3)-2))+SUMIFS(单一投管!$K:$K,单一投管!$A:$A,LEFT($A$1,4),单一投管!$B:$B,LEFT(D$3,LEN(D$3)-2))+SUMIFS(单一账管!$G:$G,单一账管!$A:$A,LEFT($A$1,4),单一账管!$B:$B,LEFT(D$3,LEN(D$3)-2)))/10000</f>
        <v>63.420645999999998</v>
      </c>
      <c r="E28" s="56">
        <f>(SUMIFS(单一受托!$H:$H,单一受托!$A:$A,LEFT($A$1,4),单一受托!$B:$B,LEFT(E$3,LEN(E$3)-2))+SUMIFS(单一投管!$K:$K,单一投管!$A:$A,LEFT($A$1,4),单一投管!$B:$B,LEFT(E$3,LEN(E$3)-2))+SUMIFS(单一账管!$G:$G,单一账管!$A:$A,LEFT($A$1,4),单一账管!$B:$B,LEFT(E$3,LEN(E$3)-2)))/10000</f>
        <v>126.237594</v>
      </c>
      <c r="F28" s="56">
        <f>(SUMIFS(单一受托!$H:$H,单一受托!$A:$A,LEFT($A$1,4),单一受托!$B:$B,LEFT(F$3,LEN(F$3)-2))+SUMIFS(单一投管!$K:$K,单一投管!$A:$A,LEFT($A$1,4),单一投管!$B:$B,LEFT(F$3,LEN(F$3)-2))+SUMIFS(单一账管!$G:$G,单一账管!$A:$A,LEFT($A$1,4),单一账管!$B:$B,LEFT(F$3,LEN(F$3)-2)))/10000</f>
        <v>182.485277</v>
      </c>
      <c r="G28" s="56">
        <f>(SUMIFS(单一受托!$H:$H,单一受托!$A:$A,LEFT($A$1,4),单一受托!$B:$B,LEFT(G$3,LEN(G$3)-2))+SUMIFS(单一投管!$K:$K,单一投管!$A:$A,LEFT($A$1,4),单一投管!$B:$B,LEFT(G$3,LEN(G$3)-2))+SUMIFS(单一账管!$G:$G,单一账管!$A:$A,LEFT($A$1,4),单一账管!$B:$B,LEFT(G$3,LEN(G$3)-2)))/10000</f>
        <v>523.28674599999999</v>
      </c>
      <c r="H28" s="56">
        <f>(SUMIFS(单一受托!$H:$H,单一受托!$A:$A,LEFT($A$1,4),单一受托!$B:$B,LEFT(H$3,LEN(H$3)-2))+SUMIFS(单一投管!$K:$K,单一投管!$A:$A,LEFT($A$1,4),单一投管!$B:$B,LEFT(H$3,LEN(H$3)-2))+SUMIFS(单一账管!$G:$G,单一账管!$A:$A,LEFT($A$1,4),单一账管!$B:$B,LEFT(H$3,LEN(H$3)-2)))/10000</f>
        <v>634.35234500000001</v>
      </c>
      <c r="I28" s="56">
        <f>(SUMIFS(单一受托!$H:$H,单一受托!$A:$A,LEFT($A$1,4),单一受托!$B:$B,LEFT(I$3,LEN(I$3)-2))+SUMIFS(单一投管!$K:$K,单一投管!$A:$A,LEFT($A$1,4),单一投管!$B:$B,LEFT(I$3,LEN(I$3)-2))+SUMIFS(单一账管!$G:$G,单一账管!$A:$A,LEFT($A$1,4),单一账管!$B:$B,LEFT(I$3,LEN(I$3)-2)))/10000</f>
        <v>694.95998400000008</v>
      </c>
      <c r="J28" s="56">
        <f>(SUMIFS(单一受托!$H:$H,单一受托!$A:$A,LEFT($A$1,4),单一受托!$B:$B,LEFT(J$3,LEN(J$3)-2))+SUMIFS(单一投管!$K:$K,单一投管!$A:$A,LEFT($A$1,4),单一投管!$B:$B,LEFT(J$3,LEN(J$3)-2))+SUMIFS(单一账管!$G:$G,单一账管!$A:$A,LEFT($A$1,4),单一账管!$B:$B,LEFT(J$3,LEN(J$3)-2)))/10000</f>
        <v>302.70317499999999</v>
      </c>
      <c r="K28" s="56">
        <f>(SUMIFS(单一受托!$H:$H,单一受托!$A:$A,LEFT($A$1,4),单一受托!$B:$B,LEFT(K$3,LEN(K$3)-2))+SUMIFS(单一投管!$K:$K,单一投管!$A:$A,LEFT($A$1,4),单一投管!$B:$B,LEFT(K$3,LEN(K$3)-2))+SUMIFS(单一账管!$G:$G,单一账管!$A:$A,LEFT($A$1,4),单一账管!$B:$B,LEFT(K$3,LEN(K$3)-2)))/10000</f>
        <v>370.186329</v>
      </c>
      <c r="L28" s="56">
        <f>(SUMIFS(单一受托!$H:$H,单一受托!$A:$A,LEFT($A$1,4),单一受托!$B:$B,LEFT(L$3,LEN(L$3)-2))+SUMIFS(单一投管!$K:$K,单一投管!$A:$A,LEFT($A$1,4),单一投管!$B:$B,LEFT(L$3,LEN(L$3)-2))+SUMIFS(单一账管!$G:$G,单一账管!$A:$A,LEFT($A$1,4),单一账管!$B:$B,LEFT(L$3,LEN(L$3)-2)))/10000</f>
        <v>400.77934399999998</v>
      </c>
      <c r="M28" s="56">
        <f>(SUMIFS(单一受托!$H:$H,单一受托!$A:$A,LEFT($A$1,4),单一受托!$B:$B,LEFT(M$3,LEN(M$3)-2))+SUMIFS(单一投管!$K:$K,单一投管!$A:$A,LEFT($A$1,4),单一投管!$B:$B,LEFT(M$3,LEN(M$3)-2))+SUMIFS(单一账管!$G:$G,单一账管!$A:$A,LEFT($A$1,4),单一账管!$B:$B,LEFT(M$3,LEN(M$3)-2)))/10000</f>
        <v>483.09203500000007</v>
      </c>
      <c r="N28" s="56">
        <f>(SUMIFS(单一受托!$H:$H,单一受托!$A:$A,LEFT($A$1,4),单一受托!$B:$B,LEFT(N$3,LEN(N$3)-2))+SUMIFS(单一投管!$K:$K,单一投管!$A:$A,LEFT($A$1,4),单一投管!$B:$B,LEFT(N$3,LEN(N$3)-2))+SUMIFS(单一账管!$G:$G,单一账管!$A:$A,LEFT($A$1,4),单一账管!$B:$B,LEFT(N$3,LEN(N$3)-2)))/10000</f>
        <v>546.71339399999999</v>
      </c>
      <c r="O28" s="56">
        <f>(SUMIFS(单一受托!$H:$H,单一受托!$A:$A,LEFT($A$1,4),单一受托!$B:$B,LEFT(O$3,LEN(O$3)-2))+SUMIFS(单一投管!$K:$K,单一投管!$A:$A,LEFT($A$1,4),单一投管!$B:$B,LEFT(O$3,LEN(O$3)-2))+SUMIFS(单一账管!$G:$G,单一账管!$A:$A,LEFT($A$1,4),单一账管!$B:$B,LEFT(O$3,LEN(O$3)-2)))/10000</f>
        <v>592.09776799999997</v>
      </c>
      <c r="R28" s="61"/>
    </row>
    <row r="29" spans="1:18" s="59" customFormat="1" ht="14.4" x14ac:dyDescent="0.25">
      <c r="A29" s="123"/>
      <c r="B29" s="123"/>
      <c r="C29" s="55" t="s">
        <v>190</v>
      </c>
      <c r="D29" s="56">
        <f>SUMIFS(单一受托!$I:$I,单一受托!$A:$A,LEFT($A$1,4),单一受托!$B:$B,LEFT(D$3,LEN(D$3)-2))/10000+SUMIFS(单一投管!$L:$L,单一投管!$A:$A,LEFT($A$1,4),单一投管!$B:$B,LEFT(D$3,LEN(D$3)-2))/10000</f>
        <v>54.598900000000008</v>
      </c>
      <c r="E29" s="56">
        <f>SUMIFS(单一受托!$I:$I,单一受托!$A:$A,LEFT($A$1,4),单一受托!$B:$B,LEFT(E$3,LEN(E$3)-2))/10000+SUMIFS(单一投管!$L:$L,单一投管!$A:$A,LEFT($A$1,4),单一投管!$B:$B,LEFT(E$3,LEN(E$3)-2))/10000</f>
        <v>110.31787799999999</v>
      </c>
      <c r="F29" s="56">
        <f>SUMIFS(单一受托!$I:$I,单一受托!$A:$A,LEFT($A$1,4),单一受托!$B:$B,LEFT(F$3,LEN(F$3)-2))/10000+SUMIFS(单一投管!$L:$L,单一投管!$A:$A,LEFT($A$1,4),单一投管!$B:$B,LEFT(F$3,LEN(F$3)-2))/10000</f>
        <v>166.45070099999998</v>
      </c>
      <c r="G29" s="56">
        <f>SUMIFS(单一受托!$I:$I,单一受托!$A:$A,LEFT($A$1,4),单一受托!$B:$B,LEFT(G$3,LEN(G$3)-2))/10000+SUMIFS(单一投管!$L:$L,单一投管!$A:$A,LEFT($A$1,4),单一投管!$B:$B,LEFT(G$3,LEN(G$3)-2))/10000</f>
        <v>288.04663900000003</v>
      </c>
      <c r="H29" s="56">
        <f>SUMIFS(单一受托!$I:$I,单一受托!$A:$A,LEFT($A$1,4),单一受托!$B:$B,LEFT(H$3,LEN(H$3)-2))/10000+SUMIFS(单一投管!$L:$L,单一投管!$A:$A,LEFT($A$1,4),单一投管!$B:$B,LEFT(H$3,LEN(H$3)-2))/10000</f>
        <v>411.23065199999996</v>
      </c>
      <c r="I29" s="56">
        <f>SUMIFS(单一受托!$I:$I,单一受托!$A:$A,LEFT($A$1,4),单一受托!$B:$B,LEFT(I$3,LEN(I$3)-2))/10000+SUMIFS(单一投管!$L:$L,单一投管!$A:$A,LEFT($A$1,4),单一投管!$B:$B,LEFT(I$3,LEN(I$3)-2))/10000</f>
        <v>536.09690099999989</v>
      </c>
      <c r="J29" s="56">
        <f>SUMIFS(单一受托!$I:$I,单一受托!$A:$A,LEFT($A$1,4),单一受托!$B:$B,LEFT(J$3,LEN(J$3)-2))/10000+SUMIFS(单一投管!$L:$L,单一投管!$A:$A,LEFT($A$1,4),单一投管!$B:$B,LEFT(J$3,LEN(J$3)-2))/10000</f>
        <v>856.27164700000003</v>
      </c>
      <c r="K29" s="56">
        <f>SUMIFS(单一受托!$I:$I,单一受托!$A:$A,LEFT($A$1,4),单一受托!$B:$B,LEFT(K$3,LEN(K$3)-2))/10000+SUMIFS(单一投管!$L:$L,单一投管!$A:$A,LEFT($A$1,4),单一投管!$B:$B,LEFT(K$3,LEN(K$3)-2))/10000</f>
        <v>986.8450969999999</v>
      </c>
      <c r="L29" s="56">
        <f>SUMIFS(单一受托!$I:$I,单一受托!$A:$A,LEFT($A$1,4),单一受托!$B:$B,LEFT(L$3,LEN(L$3)-2))/10000+SUMIFS(单一投管!$L:$L,单一投管!$A:$A,LEFT($A$1,4),单一投管!$B:$B,LEFT(L$3,LEN(L$3)-2))/10000</f>
        <v>1117.893779</v>
      </c>
      <c r="M29" s="56">
        <f>SUMIFS(单一受托!$I:$I,单一受托!$A:$A,LEFT($A$1,4),单一受托!$B:$B,LEFT(M$3,LEN(M$3)-2))/10000+SUMIFS(单一投管!$L:$L,单一投管!$A:$A,LEFT($A$1,4),单一投管!$B:$B,LEFT(M$3,LEN(M$3)-2))/10000</f>
        <v>1249.5407050000001</v>
      </c>
      <c r="N29" s="56">
        <f>SUMIFS(单一受托!$I:$I,单一受托!$A:$A,LEFT($A$1,4),单一受托!$B:$B,LEFT(N$3,LEN(N$3)-2))/10000+SUMIFS(单一投管!$L:$L,单一投管!$A:$A,LEFT($A$1,4),单一投管!$B:$B,LEFT(N$3,LEN(N$3)-2))/10000</f>
        <v>1382.639349</v>
      </c>
      <c r="O29" s="56">
        <f>SUMIFS(单一受托!$I:$I,单一受托!$A:$A,LEFT($A$1,4),单一受托!$B:$B,LEFT(O$3,LEN(O$3)-2))/10000+SUMIFS(单一投管!$L:$L,单一投管!$A:$A,LEFT($A$1,4),单一投管!$B:$B,LEFT(O$3,LEN(O$3)-2))/10000</f>
        <v>1517.8404540000001</v>
      </c>
      <c r="R29" s="61"/>
    </row>
    <row r="30" spans="1:18" s="59" customFormat="1" ht="14.4" x14ac:dyDescent="0.25">
      <c r="A30" s="124"/>
      <c r="B30" s="124"/>
      <c r="C30" s="57" t="s">
        <v>192</v>
      </c>
      <c r="D30" s="58">
        <f>SUM(D28:D29)</f>
        <v>118.01954600000001</v>
      </c>
      <c r="E30" s="58">
        <f t="shared" ref="E30:O30" si="10">SUM(E28:E29)</f>
        <v>236.55547200000001</v>
      </c>
      <c r="F30" s="58">
        <f t="shared" si="10"/>
        <v>348.93597799999998</v>
      </c>
      <c r="G30" s="58">
        <f t="shared" si="10"/>
        <v>811.33338500000002</v>
      </c>
      <c r="H30" s="58">
        <f t="shared" si="10"/>
        <v>1045.582997</v>
      </c>
      <c r="I30" s="58">
        <f t="shared" si="10"/>
        <v>1231.056885</v>
      </c>
      <c r="J30" s="58">
        <f t="shared" si="10"/>
        <v>1158.9748220000001</v>
      </c>
      <c r="K30" s="58">
        <f t="shared" si="10"/>
        <v>1357.031426</v>
      </c>
      <c r="L30" s="58">
        <f t="shared" si="10"/>
        <v>1518.673123</v>
      </c>
      <c r="M30" s="58">
        <f t="shared" si="10"/>
        <v>1732.6327400000002</v>
      </c>
      <c r="N30" s="58">
        <f t="shared" si="10"/>
        <v>1929.3527429999999</v>
      </c>
      <c r="O30" s="58">
        <f t="shared" si="10"/>
        <v>2109.9382220000002</v>
      </c>
      <c r="R30" s="61"/>
    </row>
    <row r="31" spans="1:18" s="59" customFormat="1" ht="14.4" x14ac:dyDescent="0.25">
      <c r="A31" s="127" t="s">
        <v>208</v>
      </c>
      <c r="B31" s="126" t="s">
        <v>209</v>
      </c>
      <c r="C31" s="126"/>
      <c r="D31" s="56">
        <f>SUMIFS(集合计划!$G:$G,集合计划!$A:$A,LEFT($A$1,4),集合计划!$B:$B,LEFT(D$3,LEN(D$3)-2),集合计划!$E:$E,"受托管理费")/10000</f>
        <v>4.5225000000000001E-2</v>
      </c>
      <c r="E31" s="56">
        <f>SUMIFS(集合计划!$G:$G,集合计划!$A:$A,LEFT($A$1,4),集合计划!$B:$B,LEFT(E$3,LEN(E$3)-2),集合计划!$E:$E,"受托管理费")/10000</f>
        <v>8.9532E-2</v>
      </c>
      <c r="F31" s="56">
        <f>SUMIFS(集合计划!$G:$G,集合计划!$A:$A,LEFT($A$1,4),集合计划!$B:$B,LEFT(F$3,LEN(F$3)-2),集合计划!$E:$E,"受托管理费")/10000</f>
        <v>0.12437100000000001</v>
      </c>
      <c r="G31" s="56">
        <f>SUMIFS(集合计划!$G:$G,集合计划!$A:$A,LEFT($A$1,4),集合计划!$B:$B,LEFT(G$3,LEN(G$3)-2),集合计划!$E:$E,"受托管理费")/10000</f>
        <v>0.183477</v>
      </c>
      <c r="H31" s="56">
        <f>SUMIFS(集合计划!$G:$G,集合计划!$A:$A,LEFT($A$1,4),集合计划!$B:$B,LEFT(H$3,LEN(H$3)-2),集合计划!$E:$E,"受托管理费")/10000</f>
        <v>0.21942199999999998</v>
      </c>
      <c r="I31" s="56">
        <f>SUMIFS(集合计划!$G:$G,集合计划!$A:$A,LEFT($A$1,4),集合计划!$B:$B,LEFT(I$3,LEN(I$3)-2),集合计划!$E:$E,"受托管理费")/10000</f>
        <v>43.519995999999999</v>
      </c>
      <c r="J31" s="56">
        <f>SUMIFS(集合计划!$G:$G,集合计划!$A:$A,LEFT($A$1,4),集合计划!$B:$B,LEFT(J$3,LEN(J$3)-2),集合计划!$E:$E,"受托管理费")/10000</f>
        <v>53.347067999999993</v>
      </c>
      <c r="K31" s="56">
        <f>SUMIFS(集合计划!$G:$G,集合计划!$A:$A,LEFT($A$1,4),集合计划!$B:$B,LEFT(K$3,LEN(K$3)-2),集合计划!$E:$E,"受托管理费")/10000</f>
        <v>60.875565999999992</v>
      </c>
      <c r="L31" s="56">
        <f>SUMIFS(集合计划!$G:$G,集合计划!$A:$A,LEFT($A$1,4),集合计划!$B:$B,LEFT(L$3,LEN(L$3)-2),集合计划!$E:$E,"受托管理费")/10000</f>
        <v>68.991872000000001</v>
      </c>
      <c r="M31" s="56">
        <f>SUMIFS(集合计划!$G:$G,集合计划!$A:$A,LEFT($A$1,4),集合计划!$B:$B,LEFT(M$3,LEN(M$3)-2),集合计划!$E:$E,"受托管理费")/10000</f>
        <v>80.638420000000011</v>
      </c>
      <c r="N31" s="56">
        <f>SUMIFS(集合计划!$G:$G,集合计划!$A:$A,LEFT($A$1,4),集合计划!$B:$B,LEFT(N$3,LEN(N$3)-2),集合计划!$E:$E,"受托管理费")/10000</f>
        <v>88.125053000000008</v>
      </c>
      <c r="O31" s="56">
        <f>SUMIFS(集合计划!$G:$G,集合计划!$A:$A,LEFT($A$1,4),集合计划!$B:$B,LEFT(O$3,LEN(O$3)-2),集合计划!$E:$E,"受托管理费")/10000</f>
        <v>96.229286999999999</v>
      </c>
      <c r="R31" s="61"/>
    </row>
    <row r="32" spans="1:18" s="59" customFormat="1" ht="14.4" x14ac:dyDescent="0.25">
      <c r="A32" s="127"/>
      <c r="B32" s="126" t="s">
        <v>210</v>
      </c>
      <c r="C32" s="126"/>
      <c r="D32" s="56">
        <f>SUMIFS(集合计划!$G:$G,集合计划!$A:$A,LEFT($A$1,4),集合计划!$B:$B,LEFT(D$3,LEN(D$3)-2),集合计划!$E:$E,"投资管理费")/10000</f>
        <v>36.062864000000005</v>
      </c>
      <c r="E32" s="56">
        <f>SUMIFS(集合计划!$G:$G,集合计划!$A:$A,LEFT($A$1,4),集合计划!$B:$B,LEFT(E$3,LEN(E$3)-2),集合计划!$E:$E,"投资管理费")/10000</f>
        <v>72.437361999999993</v>
      </c>
      <c r="F32" s="56">
        <f>SUMIFS(集合计划!$G:$G,集合计划!$A:$A,LEFT($A$1,4),集合计划!$B:$B,LEFT(F$3,LEN(F$3)-2),集合计划!$E:$E,"投资管理费")/10000</f>
        <v>111.75236200000001</v>
      </c>
      <c r="G32" s="56">
        <f>SUMIFS(集合计划!$G:$G,集合计划!$A:$A,LEFT($A$1,4),集合计划!$B:$B,LEFT(G$3,LEN(G$3)-2),集合计划!$E:$E,"投资管理费")/10000</f>
        <v>111.755571</v>
      </c>
      <c r="H32" s="56">
        <f>SUMIFS(集合计划!$G:$G,集合计划!$A:$A,LEFT($A$1,4),集合计划!$B:$B,LEFT(H$3,LEN(H$3)-2),集合计划!$E:$E,"投资管理费")/10000</f>
        <v>151.68003400000001</v>
      </c>
      <c r="I32" s="56">
        <f>SUMIFS(集合计划!$G:$G,集合计划!$A:$A,LEFT($A$1,4),集合计划!$B:$B,LEFT(I$3,LEN(I$3)-2),集合计划!$E:$E,"投资管理费")/10000</f>
        <v>191.40019099999998</v>
      </c>
      <c r="J32" s="56">
        <f>SUMIFS(集合计划!$G:$G,集合计划!$A:$A,LEFT($A$1,4),集合计划!$B:$B,LEFT(J$3,LEN(J$3)-2),集合计划!$E:$E,"投资管理费")/10000</f>
        <v>232.93410399999999</v>
      </c>
      <c r="K32" s="56">
        <f>SUMIFS(集合计划!$G:$G,集合计划!$A:$A,LEFT($A$1,4),集合计划!$B:$B,LEFT(K$3,LEN(K$3)-2),集合计划!$E:$E,"投资管理费")/10000</f>
        <v>271.129323</v>
      </c>
      <c r="L32" s="56">
        <f>SUMIFS(集合计划!$G:$G,集合计划!$A:$A,LEFT($A$1,4),集合计划!$B:$B,LEFT(L$3,LEN(L$3)-2),集合计划!$E:$E,"投资管理费")/10000</f>
        <v>311.543228</v>
      </c>
      <c r="M32" s="56">
        <f>SUMIFS(集合计划!$G:$G,集合计划!$A:$A,LEFT($A$1,4),集合计划!$B:$B,LEFT(M$3,LEN(M$3)-2),集合计划!$E:$E,"投资管理费")/10000</f>
        <v>352.76338700000002</v>
      </c>
      <c r="N32" s="56">
        <f>SUMIFS(集合计划!$G:$G,集合计划!$A:$A,LEFT($A$1,4),集合计划!$B:$B,LEFT(N$3,LEN(N$3)-2),集合计划!$E:$E,"投资管理费")/10000</f>
        <v>393.67537599999997</v>
      </c>
      <c r="O32" s="56">
        <f>SUMIFS(集合计划!$G:$G,集合计划!$A:$A,LEFT($A$1,4),集合计划!$B:$B,LEFT(O$3,LEN(O$3)-2),集合计划!$E:$E,"投资管理费")/10000</f>
        <v>436.47036299999996</v>
      </c>
      <c r="R32" s="61"/>
    </row>
    <row r="33" spans="1:18" s="59" customFormat="1" ht="14.4" x14ac:dyDescent="0.25">
      <c r="A33" s="127"/>
      <c r="B33" s="126" t="s">
        <v>211</v>
      </c>
      <c r="C33" s="126"/>
      <c r="D33" s="56">
        <f>SUMIFS(集合计划!$G:$G,集合计划!$A:$A,LEFT($A$1,4),集合计划!$B:$B,LEFT(D$3,LEN(D$3)-2),集合计划!$E:$E,"账户管理费")/10000</f>
        <v>1.3966040000000002</v>
      </c>
      <c r="E33" s="56">
        <f>SUMIFS(集合计划!$G:$G,集合计划!$A:$A,LEFT($A$1,4),集合计划!$B:$B,LEFT(E$3,LEN(E$3)-2),集合计划!$E:$E,"账户管理费")/10000</f>
        <v>2.7949999999999999</v>
      </c>
      <c r="F33" s="56">
        <f>SUMIFS(集合计划!$G:$G,集合计划!$A:$A,LEFT($A$1,4),集合计划!$B:$B,LEFT(F$3,LEN(F$3)-2),集合计划!$E:$E,"账户管理费")/10000</f>
        <v>4.2060379999999995</v>
      </c>
      <c r="G33" s="56">
        <f>SUMIFS(集合计划!$G:$G,集合计划!$A:$A,LEFT($A$1,4),集合计划!$B:$B,LEFT(G$3,LEN(G$3)-2),集合计划!$E:$E,"账户管理费")/10000</f>
        <v>5.685943</v>
      </c>
      <c r="H33" s="56">
        <f>SUMIFS(集合计划!$G:$G,集合计划!$A:$A,LEFT($A$1,4),集合计划!$B:$B,LEFT(H$3,LEN(H$3)-2),集合计划!$E:$E,"账户管理费")/10000</f>
        <v>7.1997169999999997</v>
      </c>
      <c r="I33" s="56">
        <f>SUMIFS(集合计划!$G:$G,集合计划!$A:$A,LEFT($A$1,4),集合计划!$B:$B,LEFT(I$3,LEN(I$3)-2),集合计划!$E:$E,"账户管理费")/10000</f>
        <v>8.7601890000000004</v>
      </c>
      <c r="J33" s="56">
        <f>SUMIFS(集合计划!$G:$G,集合计划!$A:$A,LEFT($A$1,4),集合计划!$B:$B,LEFT(J$3,LEN(J$3)-2),集合计划!$E:$E,"账户管理费")/10000</f>
        <v>10.323302</v>
      </c>
      <c r="K33" s="56">
        <f>SUMIFS(集合计划!$G:$G,集合计划!$A:$A,LEFT($A$1,4),集合计划!$B:$B,LEFT(K$3,LEN(K$3)-2),集合计划!$E:$E,"账户管理费")/10000</f>
        <v>11.921887</v>
      </c>
      <c r="L33" s="56">
        <f>SUMIFS(集合计划!$G:$G,集合计划!$A:$A,LEFT($A$1,4),集合计划!$B:$B,LEFT(L$3,LEN(L$3)-2),集合计划!$E:$E,"账户管理费")/10000</f>
        <v>13.477357999999999</v>
      </c>
      <c r="M33" s="56">
        <f>SUMIFS(集合计划!$G:$G,集合计划!$A:$A,LEFT($A$1,4),集合计划!$B:$B,LEFT(M$3,LEN(M$3)-2),集合计划!$E:$E,"账户管理费")/10000</f>
        <v>15.035376999999999</v>
      </c>
      <c r="N33" s="56">
        <f>SUMIFS(集合计划!$G:$G,集合计划!$A:$A,LEFT($A$1,4),集合计划!$B:$B,LEFT(N$3,LEN(N$3)-2),集合计划!$E:$E,"账户管理费")/10000</f>
        <v>16.580189000000001</v>
      </c>
      <c r="O33" s="56">
        <f>SUMIFS(集合计划!$G:$G,集合计划!$A:$A,LEFT($A$1,4),集合计划!$B:$B,LEFT(O$3,LEN(O$3)-2),集合计划!$E:$E,"账户管理费")/10000</f>
        <v>18.143679000000002</v>
      </c>
      <c r="R33" s="61"/>
    </row>
    <row r="34" spans="1:18" s="59" customFormat="1" ht="14.4" x14ac:dyDescent="0.25">
      <c r="A34" s="127"/>
      <c r="B34" s="126" t="s">
        <v>195</v>
      </c>
      <c r="C34" s="126"/>
      <c r="D34" s="58">
        <f>SUM(D31:D33)</f>
        <v>37.50469300000001</v>
      </c>
      <c r="E34" s="58">
        <f t="shared" ref="E34:O34" si="11">SUM(E31:E33)</f>
        <v>75.321894</v>
      </c>
      <c r="F34" s="58">
        <f t="shared" si="11"/>
        <v>116.08277100000001</v>
      </c>
      <c r="G34" s="58">
        <f t="shared" si="11"/>
        <v>117.62499099999999</v>
      </c>
      <c r="H34" s="58">
        <f t="shared" si="11"/>
        <v>159.09917300000001</v>
      </c>
      <c r="I34" s="58">
        <f t="shared" si="11"/>
        <v>243.68037599999997</v>
      </c>
      <c r="J34" s="58">
        <f t="shared" si="11"/>
        <v>296.60447399999998</v>
      </c>
      <c r="K34" s="58">
        <f t="shared" si="11"/>
        <v>343.92677600000002</v>
      </c>
      <c r="L34" s="58">
        <f t="shared" si="11"/>
        <v>394.01245799999998</v>
      </c>
      <c r="M34" s="58">
        <f t="shared" si="11"/>
        <v>448.437184</v>
      </c>
      <c r="N34" s="58">
        <f t="shared" si="11"/>
        <v>498.38061800000003</v>
      </c>
      <c r="O34" s="58">
        <f t="shared" si="11"/>
        <v>550.84332900000004</v>
      </c>
      <c r="R34" s="64"/>
    </row>
    <row r="35" spans="1:18" s="59" customFormat="1" ht="14.4" x14ac:dyDescent="0.25">
      <c r="A35" s="128" t="s">
        <v>663</v>
      </c>
      <c r="B35" s="131" t="s">
        <v>664</v>
      </c>
      <c r="C35" s="132"/>
      <c r="D35" s="113">
        <f>SUMIFS(职业年金受托管理费!$G:$G,职业年金受托管理费!$C:$C,"安徽",职业年金受托管理费!$B:$B,LEFT(管理费收入总表!D$3,LEN(D$3)-2),职业年金受托管理费!$A:$A,管理费收入总表!$Q$1)/10000</f>
        <v>29.549662999999999</v>
      </c>
      <c r="E35" s="113">
        <f>SUMIFS(职业年金受托管理费!$G:$G,职业年金受托管理费!$C:$C,"安徽",职业年金受托管理费!$B:$B,LEFT(管理费收入总表!E$3,LEN(E$3)-2),职业年金受托管理费!$A:$A,管理费收入总表!$Q$1)/10000</f>
        <v>59.459803000000001</v>
      </c>
      <c r="F35" s="113">
        <f>SUMIFS(职业年金受托管理费!$G:$G,职业年金受托管理费!$C:$C,"安徽",职业年金受托管理费!$B:$B,LEFT(管理费收入总表!F$3,LEN(F$3)-2),职业年金受托管理费!$A:$A,管理费收入总表!$Q$1)/10000</f>
        <v>89.545187999999996</v>
      </c>
      <c r="G35" s="113">
        <f>SUMIFS(职业年金受托管理费!$G:$G,职业年金受托管理费!$C:$C,"安徽",职业年金受托管理费!$B:$B,LEFT(管理费收入总表!G$3,LEN(G$3)-2),职业年金受托管理费!$A:$A,管理费收入总表!$Q$1)/10000</f>
        <v>31.001830999999999</v>
      </c>
      <c r="H35" s="113">
        <f>SUMIFS(职业年金受托管理费!$G:$G,职业年金受托管理费!$C:$C,"安徽",职业年金受托管理费!$B:$B,LEFT(管理费收入总表!H$3,LEN(H$3)-2),职业年金受托管理费!$A:$A,管理费收入总表!$Q$1)/10000</f>
        <v>154.22543300000001</v>
      </c>
      <c r="I35" s="113">
        <f>SUMIFS(职业年金受托管理费!$G:$G,职业年金受托管理费!$C:$C,"安徽",职业年金受托管理费!$B:$B,LEFT(管理费收入总表!I$3,LEN(I$3)-2),职业年金受托管理费!$A:$A,管理费收入总表!$Q$1)/10000</f>
        <v>188.60555500000001</v>
      </c>
      <c r="J35" s="113">
        <f>SUMIFS(职业年金受托管理费!$G:$G,职业年金受托管理费!$C:$C,"安徽",职业年金受托管理费!$B:$B,LEFT(管理费收入总表!J$3,LEN(J$3)-2),职业年金受托管理费!$A:$A,管理费收入总表!$Q$1)/10000</f>
        <v>223.85227799999998</v>
      </c>
      <c r="K35" s="113">
        <f>SUMIFS(职业年金受托管理费!$G:$G,职业年金受托管理费!$C:$C,"安徽",职业年金受托管理费!$B:$B,LEFT(管理费收入总表!K$3,LEN(K$3)-2),职业年金受托管理费!$A:$A,管理费收入总表!$Q$1)/10000</f>
        <v>261.783951</v>
      </c>
      <c r="L35" s="113">
        <f>SUMIFS(职业年金受托管理费!$G:$G,职业年金受托管理费!$C:$C,"安徽",职业年金受托管理费!$B:$B,LEFT(管理费收入总表!L$3,LEN(L$3)-2),职业年金受托管理费!$A:$A,管理费收入总表!$Q$1)/10000</f>
        <v>300.90913599999999</v>
      </c>
      <c r="M35" s="113">
        <f>SUMIFS(职业年金受托管理费!$G:$G,职业年金受托管理费!$C:$C,"安徽",职业年金受托管理费!$B:$B,LEFT(管理费收入总表!M$3,LEN(M$3)-2),职业年金受托管理费!$A:$A,管理费收入总表!$Q$1)/10000</f>
        <v>339.61556200000001</v>
      </c>
      <c r="N35" s="113">
        <f>SUMIFS(职业年金受托管理费!$G:$G,职业年金受托管理费!$C:$C,"安徽",职业年金受托管理费!$B:$B,LEFT(管理费收入总表!N$3,LEN(N$3)-2),职业年金受托管理费!$A:$A,管理费收入总表!$Q$1)/10000</f>
        <v>379.19627300000002</v>
      </c>
      <c r="O35" s="113">
        <f>SUMIFS(职业年金受托管理费!$G:$G,职业年金受托管理费!$C:$C,"安徽",职业年金受托管理费!$B:$B,LEFT(管理费收入总表!O$3,LEN(O$3)-2),职业年金受托管理费!$A:$A,管理费收入总表!$Q$1)/10000</f>
        <v>416.46636699999999</v>
      </c>
      <c r="R35" s="64"/>
    </row>
    <row r="36" spans="1:18" s="59" customFormat="1" ht="14.4" x14ac:dyDescent="0.25">
      <c r="A36" s="129"/>
      <c r="B36" s="131" t="s">
        <v>665</v>
      </c>
      <c r="C36" s="132"/>
      <c r="D36" s="113">
        <f>SUMIFS(职业年金投资管理费!$J:$J,职业年金投资管理费!$C:$C,"安徽",职业年金投资管理费!$B:$B,LEFT(管理费收入总表!D$3,LEN(D$3)-2),职业年金投资管理费!$A:$A,管理费收入总表!$Q$1)/10000</f>
        <v>20.067734999999999</v>
      </c>
      <c r="E36" s="113">
        <f>SUMIFS(职业年金投资管理费!$J:$J,职业年金投资管理费!$C:$C,"安徽",职业年金投资管理费!$B:$B,LEFT(管理费收入总表!E$3,LEN(E$3)-2),职业年金投资管理费!$A:$A,管理费收入总表!$Q$1)/10000</f>
        <v>41.195950000000003</v>
      </c>
      <c r="F36" s="113">
        <f>SUMIFS(职业年金投资管理费!$J:$J,职业年金投资管理费!$C:$C,"安徽",职业年金投资管理费!$B:$B,LEFT(管理费收入总表!F$3,LEN(F$3)-2),职业年金投资管理费!$A:$A,管理费收入总表!$Q$1)/10000</f>
        <v>64.175207999999998</v>
      </c>
      <c r="G36" s="113">
        <f>SUMIFS(职业年金投资管理费!$J:$J,职业年金投资管理费!$C:$C,"安徽",职业年金投资管理费!$B:$B,LEFT(管理费收入总表!G$3,LEN(G$3)-2),职业年金投资管理费!$A:$A,管理费收入总表!$Q$1)/10000</f>
        <v>88.102178999999992</v>
      </c>
      <c r="H36" s="113">
        <f>SUMIFS(职业年金投资管理费!$J:$J,职业年金投资管理费!$C:$C,"安徽",职业年金投资管理费!$B:$B,LEFT(管理费收入总表!H$3,LEN(H$3)-2),职业年金投资管理费!$A:$A,管理费收入总表!$Q$1)/10000</f>
        <v>113.420162</v>
      </c>
      <c r="I36" s="113">
        <f>SUMIFS(职业年金投资管理费!$J:$J,职业年金投资管理费!$C:$C,"安徽",职业年金投资管理费!$B:$B,LEFT(管理费收入总表!I$3,LEN(I$3)-2),职业年金投资管理费!$A:$A,管理费收入总表!$Q$1)/10000</f>
        <v>139.96651599999998</v>
      </c>
      <c r="J36" s="113">
        <f>SUMIFS(职业年金投资管理费!$J:$J,职业年金投资管理费!$C:$C,"安徽",职业年金投资管理费!$B:$B,LEFT(管理费收入总表!J$3,LEN(J$3)-2),职业年金投资管理费!$A:$A,管理费收入总表!$Q$1)/10000</f>
        <v>169.55042299999999</v>
      </c>
      <c r="K36" s="113">
        <f>SUMIFS(职业年金投资管理费!$J:$J,职业年金投资管理费!$C:$C,"安徽",职业年金投资管理费!$B:$B,LEFT(管理费收入总表!K$3,LEN(K$3)-2),职业年金投资管理费!$A:$A,管理费收入总表!$Q$1)/10000</f>
        <v>201.036621</v>
      </c>
      <c r="L36" s="113">
        <f>SUMIFS(职业年金投资管理费!$J:$J,职业年金投资管理费!$C:$C,"安徽",职业年金投资管理费!$B:$B,LEFT(管理费收入总表!L$3,LEN(L$3)-2),职业年金投资管理费!$A:$A,管理费收入总表!$Q$1)/10000</f>
        <v>233.95968999999999</v>
      </c>
      <c r="M36" s="113">
        <f>SUMIFS(职业年金投资管理费!$J:$J,职业年金投资管理费!$C:$C,"安徽",职业年金投资管理费!$B:$B,LEFT(管理费收入总表!M$3,LEN(M$3)-2),职业年金投资管理费!$A:$A,管理费收入总表!$Q$1)/10000</f>
        <v>267.63090800000003</v>
      </c>
      <c r="N36" s="113">
        <f>SUMIFS(职业年金投资管理费!$J:$J,职业年金投资管理费!$C:$C,"安徽",职业年金投资管理费!$B:$B,LEFT(管理费收入总表!N$3,LEN(N$3)-2),职业年金投资管理费!$A:$A,管理费收入总表!$Q$1)/10000</f>
        <v>301.194951</v>
      </c>
      <c r="O36" s="113">
        <f>SUMIFS(职业年金投资管理费!$J:$J,职业年金投资管理费!$C:$C,"安徽",职业年金投资管理费!$B:$B,LEFT(管理费收入总表!O$3,LEN(O$3)-2),职业年金投资管理费!$A:$A,管理费收入总表!$Q$1)/10000</f>
        <v>336.16433099999995</v>
      </c>
      <c r="R36" s="64"/>
    </row>
    <row r="37" spans="1:18" s="59" customFormat="1" ht="14.4" x14ac:dyDescent="0.25">
      <c r="A37" s="130"/>
      <c r="B37" s="131" t="s">
        <v>666</v>
      </c>
      <c r="C37" s="132"/>
      <c r="D37" s="114">
        <f>SUM(D35:D36)</f>
        <v>49.617397999999994</v>
      </c>
      <c r="E37" s="114">
        <f t="shared" ref="E37:O37" si="12">SUM(E35:E36)</f>
        <v>100.655753</v>
      </c>
      <c r="F37" s="114">
        <f t="shared" si="12"/>
        <v>153.72039599999999</v>
      </c>
      <c r="G37" s="114">
        <f t="shared" si="12"/>
        <v>119.10400999999999</v>
      </c>
      <c r="H37" s="114">
        <f t="shared" si="12"/>
        <v>267.64559500000001</v>
      </c>
      <c r="I37" s="114">
        <f t="shared" si="12"/>
        <v>328.57207099999999</v>
      </c>
      <c r="J37" s="114">
        <f t="shared" si="12"/>
        <v>393.40270099999998</v>
      </c>
      <c r="K37" s="114">
        <f t="shared" si="12"/>
        <v>462.82057199999997</v>
      </c>
      <c r="L37" s="114">
        <f t="shared" si="12"/>
        <v>534.86882600000001</v>
      </c>
      <c r="M37" s="114">
        <f t="shared" si="12"/>
        <v>607.24647000000004</v>
      </c>
      <c r="N37" s="114">
        <f t="shared" si="12"/>
        <v>680.39122399999997</v>
      </c>
      <c r="O37" s="114">
        <f t="shared" si="12"/>
        <v>752.63069799999994</v>
      </c>
      <c r="R37" s="64"/>
    </row>
    <row r="38" spans="1:18" s="59" customFormat="1" ht="14.4" x14ac:dyDescent="0.25">
      <c r="A38" s="65" t="s">
        <v>212</v>
      </c>
      <c r="B38" s="65"/>
      <c r="C38" s="65"/>
      <c r="D38" s="63">
        <f>SUMIFS(养老金产品!$F:$F,养老金产品!$A:$A,管理费收入总表!$Q$1,养老金产品!$B:$B,LEFT(管理费收入总表!D$3,LEN(D$3)-2))/10000</f>
        <v>126.60303400000001</v>
      </c>
      <c r="E38" s="63">
        <f>SUMIFS(养老金产品!$F:$F,养老金产品!$A:$A,管理费收入总表!$Q$1,养老金产品!$B:$B,LEFT(管理费收入总表!E$3,LEN(E$3)-2))/10000</f>
        <v>247.94187000000002</v>
      </c>
      <c r="F38" s="63">
        <f>SUMIFS(养老金产品!$F:$F,养老金产品!$A:$A,管理费收入总表!$Q$1,养老金产品!$B:$B,LEFT(管理费收入总表!F$3,LEN(F$3)-2))/10000</f>
        <v>380.93035900000001</v>
      </c>
      <c r="G38" s="63">
        <f>SUMIFS(养老金产品!$F:$F,养老金产品!$A:$A,管理费收入总表!$Q$1,养老金产品!$B:$B,LEFT(管理费收入总表!G$3,LEN(G$3)-2))/10000</f>
        <v>512.29775099999995</v>
      </c>
      <c r="H38" s="63">
        <f>SUMIFS(养老金产品!$F:$F,养老金产品!$A:$A,管理费收入总表!$Q$1,养老金产品!$B:$B,LEFT(管理费收入总表!H$3,LEN(H$3)-2))/10000</f>
        <v>650.33989699999995</v>
      </c>
      <c r="I38" s="63">
        <f>SUMIFS(养老金产品!$F:$F,养老金产品!$A:$A,管理费收入总表!$Q$1,养老金产品!$B:$B,LEFT(管理费收入总表!I$3,LEN(I$3)-2))/10000</f>
        <v>794.72124199999996</v>
      </c>
      <c r="J38" s="63">
        <f>SUMIFS(养老金产品!$F:$F,养老金产品!$A:$A,管理费收入总表!$Q$1,养老金产品!$B:$B,LEFT(管理费收入总表!J$3,LEN(J$3)-2))/10000</f>
        <v>941.64855999999997</v>
      </c>
      <c r="K38" s="63">
        <f>SUMIFS(养老金产品!$F:$F,养老金产品!$A:$A,管理费收入总表!$Q$1,养老金产品!$B:$B,LEFT(管理费收入总表!K$3,LEN(K$3)-2))/10000</f>
        <v>1092.9485050000001</v>
      </c>
      <c r="L38" s="63">
        <f>SUMIFS(养老金产品!$F:$F,养老金产品!$A:$A,管理费收入总表!$Q$1,养老金产品!$B:$B,LEFT(管理费收入总表!L$3,LEN(L$3)-2))/10000</f>
        <v>1249.99108</v>
      </c>
      <c r="M38" s="63">
        <f>SUMIFS(养老金产品!$F:$F,养老金产品!$A:$A,管理费收入总表!$Q$1,养老金产品!$B:$B,LEFT(管理费收入总表!M$3,LEN(M$3)-2))/10000</f>
        <v>1413.5491460000001</v>
      </c>
      <c r="N38" s="63">
        <f>SUMIFS(养老金产品!$F:$F,养老金产品!$A:$A,管理费收入总表!$Q$1,养老金产品!$B:$B,LEFT(管理费收入总表!N$3,LEN(N$3)-2))/10000</f>
        <v>1569.876348</v>
      </c>
      <c r="O38" s="63">
        <f>SUMIFS(养老金产品!$F:$F,养老金产品!$A:$A,管理费收入总表!$Q$1,养老金产品!$B:$B,LEFT(管理费收入总表!O$3,LEN(O$3)-2))/10000</f>
        <v>1730.5347140000001</v>
      </c>
      <c r="R38" s="64"/>
    </row>
    <row r="39" spans="1:18" s="59" customFormat="1" ht="14.4" x14ac:dyDescent="0.25">
      <c r="A39" s="65" t="s">
        <v>213</v>
      </c>
      <c r="B39" s="65"/>
      <c r="C39" s="65"/>
      <c r="D39" s="63">
        <f>SUMIFS(养老保障!$F:$F,养老保障!$A:$A,管理费收入总表!$Q$1,养老保障!$B:$B,LEFT(管理费收入总表!D$3,LEN(D$3)-2))/10000</f>
        <v>22.36007</v>
      </c>
      <c r="E39" s="63">
        <f>SUMIFS(养老保障!$F:$F,养老保障!$A:$A,管理费收入总表!$Q$1,养老保障!$B:$B,LEFT(管理费收入总表!E$3,LEN(E$3)-2))/10000</f>
        <v>244.88444199999998</v>
      </c>
      <c r="F39" s="63">
        <f>SUMIFS(养老保障!$F:$F,养老保障!$A:$A,管理费收入总表!$Q$1,养老保障!$B:$B,LEFT(管理费收入总表!F$3,LEN(F$3)-2))/10000</f>
        <v>289.80197400000003</v>
      </c>
      <c r="G39" s="63">
        <f>SUMIFS(养老保障!$F:$F,养老保障!$A:$A,管理费收入总表!$Q$1,养老保障!$B:$B,LEFT(管理费收入总表!G$3,LEN(G$3)-2))/10000</f>
        <v>339.81238300000001</v>
      </c>
      <c r="H39" s="63">
        <f>SUMIFS(养老保障!$F:$F,养老保障!$A:$A,管理费收入总表!$Q$1,养老保障!$B:$B,LEFT(管理费收入总表!H$3,LEN(H$3)-2))/10000</f>
        <v>475.99773399999998</v>
      </c>
      <c r="I39" s="63">
        <f>SUMIFS(养老保障!$F:$F,养老保障!$A:$A,管理费收入总表!$Q$1,养老保障!$B:$B,LEFT(管理费收入总表!I$3,LEN(I$3)-2))/10000</f>
        <v>634.57874200000003</v>
      </c>
      <c r="J39" s="63">
        <f>SUMIFS(养老保障!$F:$F,养老保障!$A:$A,管理费收入总表!$Q$1,养老保障!$B:$B,LEFT(管理费收入总表!J$3,LEN(J$3)-2))/10000</f>
        <v>690.43677100000002</v>
      </c>
      <c r="K39" s="63">
        <f>SUMIFS(养老保障!$F:$F,养老保障!$A:$A,管理费收入总表!$Q$1,养老保障!$B:$B,LEFT(管理费收入总表!K$3,LEN(K$3)-2))/10000</f>
        <v>748.96328399999993</v>
      </c>
      <c r="L39" s="63">
        <f>SUMIFS(养老保障!$F:$F,养老保障!$A:$A,管理费收入总表!$Q$1,养老保障!$B:$B,LEFT(管理费收入总表!L$3,LEN(L$3)-2))/10000</f>
        <v>806.58247699999993</v>
      </c>
      <c r="M39" s="63">
        <f>SUMIFS(养老保障!$F:$F,养老保障!$A:$A,管理费收入总表!$Q$1,养老保障!$B:$B,LEFT(管理费收入总表!M$3,LEN(M$3)-2))/10000</f>
        <v>862.60836600000005</v>
      </c>
      <c r="N39" s="63">
        <f>SUMIFS(养老保障!$F:$F,养老保障!$A:$A,管理费收入总表!$Q$1,养老保障!$B:$B,LEFT(管理费收入总表!N$3,LEN(N$3)-2))/10000</f>
        <v>919.49624499999993</v>
      </c>
      <c r="O39" s="63">
        <f>SUMIFS(养老保障!$F:$F,养老保障!$A:$A,管理费收入总表!$Q$1,养老保障!$B:$B,LEFT(管理费收入总表!O$3,LEN(O$3)-2))/10000</f>
        <v>1012.8266130000001</v>
      </c>
      <c r="R39" s="64"/>
    </row>
    <row r="40" spans="1:18" ht="14.4" x14ac:dyDescent="0.25">
      <c r="A40" s="126" t="s">
        <v>214</v>
      </c>
      <c r="B40" s="126"/>
      <c r="C40" s="126"/>
      <c r="D40" s="58">
        <f>D30++D34+SUM(D37:D39)</f>
        <v>354.10474100000005</v>
      </c>
      <c r="E40" s="58">
        <f t="shared" ref="E40:O40" si="13">E30++E34+SUM(E37:E39)</f>
        <v>905.35943099999986</v>
      </c>
      <c r="F40" s="58">
        <f t="shared" si="13"/>
        <v>1289.4714779999999</v>
      </c>
      <c r="G40" s="58">
        <f t="shared" si="13"/>
        <v>1900.1725200000001</v>
      </c>
      <c r="H40" s="58">
        <f t="shared" si="13"/>
        <v>2598.6653960000003</v>
      </c>
      <c r="I40" s="58">
        <f t="shared" si="13"/>
        <v>3232.609316</v>
      </c>
      <c r="J40" s="58">
        <f t="shared" si="13"/>
        <v>3481.0673280000001</v>
      </c>
      <c r="K40" s="58">
        <f t="shared" si="13"/>
        <v>4005.6905630000001</v>
      </c>
      <c r="L40" s="58">
        <f t="shared" si="13"/>
        <v>4504.1279640000002</v>
      </c>
      <c r="M40" s="58">
        <f t="shared" si="13"/>
        <v>5064.4739060000011</v>
      </c>
      <c r="N40" s="58">
        <f t="shared" si="13"/>
        <v>5597.4971779999996</v>
      </c>
      <c r="O40" s="58">
        <f t="shared" si="13"/>
        <v>6156.7735760000005</v>
      </c>
    </row>
    <row r="41" spans="1:18" ht="14.4" x14ac:dyDescent="0.25">
      <c r="E41" s="66"/>
      <c r="F41" s="66"/>
    </row>
  </sheetData>
  <mergeCells count="21">
    <mergeCell ref="B32:C32"/>
    <mergeCell ref="B33:C33"/>
    <mergeCell ref="B34:C34"/>
    <mergeCell ref="B22:B24"/>
    <mergeCell ref="A40:C40"/>
    <mergeCell ref="A31:A34"/>
    <mergeCell ref="B31:C31"/>
    <mergeCell ref="A35:A37"/>
    <mergeCell ref="B35:C35"/>
    <mergeCell ref="B36:C36"/>
    <mergeCell ref="B37:C37"/>
    <mergeCell ref="A1:O1"/>
    <mergeCell ref="A4:A30"/>
    <mergeCell ref="B4:B6"/>
    <mergeCell ref="B7:B9"/>
    <mergeCell ref="B10:B12"/>
    <mergeCell ref="B13:B15"/>
    <mergeCell ref="B16:B18"/>
    <mergeCell ref="B19:B21"/>
    <mergeCell ref="B25:B27"/>
    <mergeCell ref="B28:B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8"/>
  <sheetViews>
    <sheetView workbookViewId="0">
      <selection activeCell="C9" sqref="C9"/>
    </sheetView>
  </sheetViews>
  <sheetFormatPr defaultRowHeight="13.8" x14ac:dyDescent="0.25"/>
  <cols>
    <col min="1" max="2" width="12.109375" bestFit="1" customWidth="1"/>
    <col min="3" max="3" width="27.33203125" customWidth="1"/>
    <col min="4" max="4" width="25.109375" customWidth="1"/>
    <col min="5" max="5" width="23.88671875" customWidth="1"/>
    <col min="6" max="6" width="33.44140625" customWidth="1"/>
    <col min="8" max="8" width="12.6640625" customWidth="1"/>
    <col min="9" max="9" width="25.109375" customWidth="1"/>
    <col min="10" max="10" width="21.21875" customWidth="1"/>
    <col min="11" max="11" width="20.44140625" customWidth="1"/>
    <col min="12" max="12" width="17" customWidth="1"/>
  </cols>
  <sheetData>
    <row r="1" spans="1:16" s="79" customFormat="1" ht="22.8" x14ac:dyDescent="0.25">
      <c r="A1" s="79">
        <f>COLUMN()</f>
        <v>1</v>
      </c>
      <c r="B1" s="79">
        <f>COLUMN()</f>
        <v>2</v>
      </c>
      <c r="C1" s="79">
        <f>COLUMN()</f>
        <v>3</v>
      </c>
      <c r="D1" s="79">
        <f>COLUMN()</f>
        <v>4</v>
      </c>
      <c r="E1" s="79">
        <f>COLUMN()</f>
        <v>5</v>
      </c>
      <c r="F1" s="79">
        <f>COLUMN()</f>
        <v>6</v>
      </c>
      <c r="G1" s="79">
        <f>COLUMN()</f>
        <v>7</v>
      </c>
      <c r="H1" s="79">
        <f>COLUMN()</f>
        <v>8</v>
      </c>
      <c r="I1" s="79">
        <f>COLUMN()</f>
        <v>9</v>
      </c>
      <c r="J1" s="79">
        <f>COLUMN()</f>
        <v>10</v>
      </c>
      <c r="K1" s="79">
        <f>COLUMN()</f>
        <v>11</v>
      </c>
      <c r="L1" s="79">
        <f>COLUMN()</f>
        <v>12</v>
      </c>
      <c r="M1" s="79">
        <f>COLUMN()</f>
        <v>13</v>
      </c>
      <c r="N1" s="79">
        <f>COLUMN()</f>
        <v>14</v>
      </c>
    </row>
    <row r="2" spans="1:16" s="79" customFormat="1" ht="23.4" thickBot="1" x14ac:dyDescent="0.3">
      <c r="A2" s="91" t="s">
        <v>249</v>
      </c>
      <c r="B2" s="91" t="s">
        <v>250</v>
      </c>
      <c r="C2" s="133" t="s">
        <v>248</v>
      </c>
      <c r="D2" s="133"/>
      <c r="E2" s="133"/>
      <c r="F2" s="133"/>
      <c r="I2" s="134" t="s">
        <v>256</v>
      </c>
      <c r="J2" s="134"/>
      <c r="K2" s="134"/>
      <c r="L2" s="134"/>
    </row>
    <row r="3" spans="1:16" ht="45.6" x14ac:dyDescent="0.25">
      <c r="A3" s="70">
        <v>1</v>
      </c>
      <c r="B3" s="70">
        <v>9</v>
      </c>
      <c r="C3" s="71" t="s">
        <v>240</v>
      </c>
      <c r="D3" s="80">
        <v>2019</v>
      </c>
      <c r="E3" s="81">
        <v>2020</v>
      </c>
      <c r="F3" s="72" t="s">
        <v>241</v>
      </c>
      <c r="I3" s="101" t="s">
        <v>240</v>
      </c>
      <c r="J3" s="102">
        <f>D3</f>
        <v>2019</v>
      </c>
      <c r="K3" s="102">
        <f>E3</f>
        <v>2020</v>
      </c>
      <c r="L3" s="103" t="s">
        <v>241</v>
      </c>
    </row>
    <row r="4" spans="1:16" ht="45.6" x14ac:dyDescent="0.25">
      <c r="C4" s="73" t="s">
        <v>242</v>
      </c>
      <c r="D4" s="74">
        <v>16879024.769999996</v>
      </c>
      <c r="E4" s="74">
        <v>15271947.320000002</v>
      </c>
      <c r="F4" s="75">
        <f t="shared" ref="F4:F9" si="0">(E4-D4)/D4</f>
        <v>-9.5211510848443051E-2</v>
      </c>
      <c r="G4">
        <v>15196931.459999999</v>
      </c>
      <c r="I4" s="98" t="s">
        <v>242</v>
      </c>
      <c r="J4" s="99">
        <f>D4/10000</f>
        <v>1687.9024769999996</v>
      </c>
      <c r="K4" s="99">
        <f>E4/10000</f>
        <v>1527.1947320000002</v>
      </c>
      <c r="L4" s="100">
        <f t="shared" ref="L4:L9" si="1">(K4-J4)/J4</f>
        <v>-9.5211510848443121E-2</v>
      </c>
      <c r="N4">
        <f>K4+$P$9*K4/SUM($K$4:$K$5)</f>
        <v>1936.6258145119541</v>
      </c>
    </row>
    <row r="5" spans="1:16" ht="45.6" x14ac:dyDescent="0.25">
      <c r="C5" s="73" t="s">
        <v>243</v>
      </c>
      <c r="D5" s="74">
        <v>5564146.3200000012</v>
      </c>
      <c r="E5" s="74">
        <v>6237295.9799999995</v>
      </c>
      <c r="F5" s="75">
        <f t="shared" si="0"/>
        <v>0.12097986308886251</v>
      </c>
      <c r="G5">
        <v>4921849.7400000012</v>
      </c>
      <c r="I5" s="98" t="s">
        <v>243</v>
      </c>
      <c r="J5" s="99">
        <f>D5/10000</f>
        <v>556.4146320000001</v>
      </c>
      <c r="K5" s="99">
        <f t="shared" ref="K5:K9" si="2">E5/10000</f>
        <v>623.7295979999999</v>
      </c>
      <c r="L5" s="100">
        <f t="shared" si="1"/>
        <v>0.12097986308886245</v>
      </c>
      <c r="N5">
        <f>K5+$P$9*K5/SUM($K$4:$K$5)</f>
        <v>790.94749048804556</v>
      </c>
    </row>
    <row r="6" spans="1:16" ht="45.6" x14ac:dyDescent="0.25">
      <c r="C6" s="73" t="s">
        <v>244</v>
      </c>
      <c r="D6" s="74">
        <v>235522.61999999997</v>
      </c>
      <c r="E6" s="74">
        <v>269029.88</v>
      </c>
      <c r="F6" s="75">
        <f t="shared" si="0"/>
        <v>0.14226769386312041</v>
      </c>
      <c r="G6">
        <v>207277.33999999997</v>
      </c>
      <c r="I6" s="98" t="s">
        <v>244</v>
      </c>
      <c r="J6" s="99">
        <f t="shared" ref="J6:J9" si="3">D6/10000</f>
        <v>23.552261999999995</v>
      </c>
      <c r="K6" s="99">
        <f t="shared" si="2"/>
        <v>26.902988000000001</v>
      </c>
      <c r="L6" s="100">
        <f t="shared" si="1"/>
        <v>0.14226769386312049</v>
      </c>
      <c r="N6">
        <v>26.385851000000002</v>
      </c>
    </row>
    <row r="7" spans="1:16" ht="45.6" x14ac:dyDescent="0.25">
      <c r="C7" s="73" t="s">
        <v>245</v>
      </c>
      <c r="D7" s="74">
        <v>12214317.690000001</v>
      </c>
      <c r="E7" s="74">
        <v>5118161.18</v>
      </c>
      <c r="F7" s="75">
        <f t="shared" si="0"/>
        <v>-0.58097035709245592</v>
      </c>
      <c r="I7" s="98" t="s">
        <v>245</v>
      </c>
      <c r="J7" s="99">
        <f t="shared" si="3"/>
        <v>1221.431769</v>
      </c>
      <c r="K7" s="99">
        <f t="shared" si="2"/>
        <v>511.81611799999996</v>
      </c>
      <c r="L7" s="100">
        <f t="shared" si="1"/>
        <v>-0.58097035709245581</v>
      </c>
      <c r="N7">
        <v>1321.9932660000002</v>
      </c>
    </row>
    <row r="8" spans="1:16" ht="45.6" x14ac:dyDescent="0.25">
      <c r="C8" s="73" t="s">
        <v>246</v>
      </c>
      <c r="D8" s="74">
        <v>4948949.3</v>
      </c>
      <c r="E8" s="74">
        <v>9675675.8900000006</v>
      </c>
      <c r="F8" s="75">
        <f t="shared" si="0"/>
        <v>0.95509699200191867</v>
      </c>
      <c r="I8" s="98" t="s">
        <v>246</v>
      </c>
      <c r="J8" s="99">
        <f t="shared" si="3"/>
        <v>494.89492999999999</v>
      </c>
      <c r="K8" s="99">
        <f t="shared" si="2"/>
        <v>967.56758900000011</v>
      </c>
      <c r="L8" s="100">
        <f t="shared" si="1"/>
        <v>0.95509699200191878</v>
      </c>
      <c r="N8">
        <v>608.43938900000001</v>
      </c>
    </row>
    <row r="9" spans="1:16" ht="23.4" thickBot="1" x14ac:dyDescent="0.3">
      <c r="C9" s="76" t="s">
        <v>247</v>
      </c>
      <c r="D9" s="77">
        <f>SUM(D4:D8)</f>
        <v>39841960.699999996</v>
      </c>
      <c r="E9" s="77">
        <f>SUM(E4:E8)</f>
        <v>36572110.25</v>
      </c>
      <c r="F9" s="78">
        <f t="shared" si="0"/>
        <v>-8.207052044002433E-2</v>
      </c>
      <c r="I9" s="103" t="s">
        <v>247</v>
      </c>
      <c r="J9" s="104">
        <f t="shared" si="3"/>
        <v>3984.1960699999995</v>
      </c>
      <c r="K9" s="104">
        <f t="shared" si="2"/>
        <v>3657.2110250000001</v>
      </c>
      <c r="L9" s="105">
        <f t="shared" si="1"/>
        <v>-8.2070520440024303E-2</v>
      </c>
      <c r="N9">
        <v>4233.8599999999997</v>
      </c>
      <c r="P9" s="82">
        <f>-K9+N9</f>
        <v>576.64897499999961</v>
      </c>
    </row>
    <row r="12" spans="1:16" ht="45.6" x14ac:dyDescent="0.25">
      <c r="E12" s="6"/>
      <c r="I12" s="101" t="s">
        <v>240</v>
      </c>
      <c r="J12" s="102">
        <v>2018</v>
      </c>
      <c r="K12" s="102">
        <v>2019</v>
      </c>
      <c r="L12" s="103" t="s">
        <v>278</v>
      </c>
    </row>
    <row r="13" spans="1:16" ht="45.6" x14ac:dyDescent="0.25">
      <c r="E13" s="82">
        <v>50371923.93</v>
      </c>
      <c r="I13" s="98" t="s">
        <v>242</v>
      </c>
      <c r="J13" s="99">
        <v>2001.604375999998</v>
      </c>
      <c r="K13" s="99">
        <v>2071.7397539999997</v>
      </c>
      <c r="L13" s="100">
        <f t="shared" ref="L13:L18" si="4">(K13-J13)/J13</f>
        <v>3.5039580668863327E-2</v>
      </c>
    </row>
    <row r="14" spans="1:16" ht="45.6" x14ac:dyDescent="0.25">
      <c r="D14" s="82"/>
      <c r="E14" s="82">
        <f>(E13-E9)/10000</f>
        <v>1379.981368</v>
      </c>
      <c r="I14" s="98" t="s">
        <v>243</v>
      </c>
      <c r="J14" s="99">
        <v>635.29203099999995</v>
      </c>
      <c r="K14" s="99">
        <f>751.212845+E14</f>
        <v>2131.1942129999998</v>
      </c>
      <c r="L14" s="100">
        <f t="shared" si="4"/>
        <v>2.3546685760331849</v>
      </c>
    </row>
    <row r="15" spans="1:16" ht="45.6" x14ac:dyDescent="0.25">
      <c r="I15" s="98" t="s">
        <v>244</v>
      </c>
      <c r="J15" s="99">
        <v>29.336820999999997</v>
      </c>
      <c r="K15" s="99">
        <v>32.084030000000006</v>
      </c>
      <c r="L15" s="100">
        <f t="shared" si="4"/>
        <v>9.3643718247454585E-2</v>
      </c>
    </row>
    <row r="16" spans="1:16" ht="45.6" x14ac:dyDescent="0.25">
      <c r="I16" s="98" t="s">
        <v>245</v>
      </c>
      <c r="J16" s="99">
        <v>810.39197899999999</v>
      </c>
      <c r="K16" s="99">
        <v>1455.9884400000003</v>
      </c>
      <c r="L16" s="100">
        <f t="shared" si="4"/>
        <v>0.79664715067472347</v>
      </c>
    </row>
    <row r="17" spans="9:12" ht="45.6" x14ac:dyDescent="0.25">
      <c r="I17" s="98" t="s">
        <v>246</v>
      </c>
      <c r="J17" s="99">
        <v>362.65071199999994</v>
      </c>
      <c r="K17" s="99">
        <v>840.00326699999994</v>
      </c>
      <c r="L17" s="100">
        <f t="shared" si="4"/>
        <v>1.3162873784734224</v>
      </c>
    </row>
    <row r="18" spans="9:12" ht="22.8" x14ac:dyDescent="0.25">
      <c r="I18" s="103" t="s">
        <v>247</v>
      </c>
      <c r="J18" s="104">
        <v>3839.2759189999974</v>
      </c>
      <c r="K18" s="104">
        <f>SUM(K13:K17)</f>
        <v>6531.0097039999991</v>
      </c>
      <c r="L18" s="105">
        <f t="shared" si="4"/>
        <v>0.70110454205154082</v>
      </c>
    </row>
  </sheetData>
  <mergeCells count="2">
    <mergeCell ref="C2:F2"/>
    <mergeCell ref="I2:L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comeReclassify">
                <anchor moveWithCells="1" sizeWithCells="1">
                  <from>
                    <xdr:col>0</xdr:col>
                    <xdr:colOff>114300</xdr:colOff>
                    <xdr:row>3</xdr:row>
                    <xdr:rowOff>213360</xdr:rowOff>
                  </from>
                  <to>
                    <xdr:col>1</xdr:col>
                    <xdr:colOff>594360</xdr:colOff>
                    <xdr:row>4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49"/>
  <sheetViews>
    <sheetView zoomScale="140" zoomScaleNormal="140" workbookViewId="0">
      <pane ySplit="1" topLeftCell="A44" activePane="bottomLeft" state="frozen"/>
      <selection pane="bottomLeft" activeCell="A49" sqref="A49:AI49"/>
    </sheetView>
  </sheetViews>
  <sheetFormatPr defaultRowHeight="13.8" x14ac:dyDescent="0.25"/>
  <cols>
    <col min="4" max="4" width="16.44140625" style="17" bestFit="1" customWidth="1"/>
    <col min="5" max="5" width="17.44140625" style="17" bestFit="1" customWidth="1"/>
    <col min="6" max="6" width="16.44140625" style="17" bestFit="1" customWidth="1"/>
    <col min="7" max="7" width="17.44140625" style="17" bestFit="1" customWidth="1"/>
    <col min="8" max="8" width="16.44140625" style="17" bestFit="1" customWidth="1"/>
    <col min="9" max="9" width="17.44140625" style="17" bestFit="1" customWidth="1"/>
    <col min="10" max="10" width="14.21875" style="17" bestFit="1" customWidth="1"/>
    <col min="11" max="11" width="16.33203125" style="17" bestFit="1" customWidth="1"/>
    <col min="12" max="12" width="13.88671875" style="17" bestFit="1" customWidth="1"/>
    <col min="13" max="13" width="16.109375" style="17" bestFit="1" customWidth="1"/>
    <col min="14" max="14" width="14.21875" style="17" bestFit="1" customWidth="1"/>
    <col min="15" max="15" width="16.44140625" style="17" bestFit="1" customWidth="1"/>
    <col min="16" max="16" width="13" style="17" bestFit="1" customWidth="1"/>
    <col min="17" max="17" width="14" style="17" bestFit="1" customWidth="1"/>
    <col min="18" max="18" width="13" style="17" bestFit="1" customWidth="1"/>
    <col min="19" max="19" width="14" style="17" bestFit="1" customWidth="1"/>
    <col min="20" max="20" width="16.21875" style="17" bestFit="1" customWidth="1"/>
    <col min="21" max="21" width="17.21875" style="17" bestFit="1" customWidth="1"/>
    <col min="22" max="22" width="16.109375" style="17" bestFit="1" customWidth="1"/>
    <col min="23" max="23" width="16.21875" style="17" bestFit="1" customWidth="1"/>
  </cols>
  <sheetData>
    <row r="1" spans="1:32" ht="57.6" x14ac:dyDescent="0.25">
      <c r="A1" s="1" t="s">
        <v>113</v>
      </c>
      <c r="B1" s="1" t="s">
        <v>114</v>
      </c>
      <c r="C1" s="1" t="s">
        <v>115</v>
      </c>
      <c r="D1" s="29" t="s">
        <v>112</v>
      </c>
      <c r="E1" s="14" t="s">
        <v>116</v>
      </c>
      <c r="F1" s="29" t="s">
        <v>92</v>
      </c>
      <c r="G1" s="14" t="s">
        <v>93</v>
      </c>
      <c r="H1" s="30" t="s">
        <v>94</v>
      </c>
      <c r="I1" s="15" t="s">
        <v>111</v>
      </c>
      <c r="J1" s="30" t="s">
        <v>95</v>
      </c>
      <c r="K1" s="15" t="s">
        <v>110</v>
      </c>
      <c r="L1" s="30" t="s">
        <v>96</v>
      </c>
      <c r="M1" s="15" t="s">
        <v>109</v>
      </c>
      <c r="N1" s="30" t="s">
        <v>97</v>
      </c>
      <c r="O1" s="15" t="s">
        <v>108</v>
      </c>
      <c r="P1" s="30" t="s">
        <v>98</v>
      </c>
      <c r="Q1" s="15" t="s">
        <v>107</v>
      </c>
      <c r="R1" s="30" t="s">
        <v>99</v>
      </c>
      <c r="S1" s="15" t="s">
        <v>106</v>
      </c>
      <c r="T1" s="31" t="s">
        <v>100</v>
      </c>
      <c r="U1" s="16" t="s">
        <v>105</v>
      </c>
      <c r="V1" s="31" t="s">
        <v>101</v>
      </c>
      <c r="W1" s="16" t="s">
        <v>104</v>
      </c>
      <c r="X1" s="10" t="s">
        <v>102</v>
      </c>
      <c r="Y1" s="3" t="s">
        <v>103</v>
      </c>
      <c r="Z1" s="9" t="s">
        <v>86</v>
      </c>
      <c r="AA1" s="1" t="s">
        <v>87</v>
      </c>
      <c r="AB1" s="9" t="s">
        <v>88</v>
      </c>
      <c r="AC1" s="1" t="s">
        <v>89</v>
      </c>
      <c r="AD1" s="9" t="s">
        <v>90</v>
      </c>
      <c r="AE1" s="1" t="s">
        <v>91</v>
      </c>
      <c r="AF1" s="1" t="s">
        <v>133</v>
      </c>
    </row>
    <row r="2" spans="1:32" ht="28.8" x14ac:dyDescent="0.25">
      <c r="A2" s="4">
        <v>2017</v>
      </c>
      <c r="B2" s="11">
        <v>1</v>
      </c>
      <c r="C2" s="4" t="s">
        <v>18</v>
      </c>
      <c r="D2" s="12">
        <v>2529404.27</v>
      </c>
      <c r="E2" s="12">
        <v>2529404.27</v>
      </c>
      <c r="F2" s="12">
        <v>2529404.27</v>
      </c>
      <c r="G2" s="12">
        <v>2529404.27</v>
      </c>
      <c r="H2" s="12">
        <v>1678993.9</v>
      </c>
      <c r="I2" s="12">
        <v>1678993.9</v>
      </c>
      <c r="J2" s="12">
        <v>294946.14</v>
      </c>
      <c r="K2" s="12">
        <v>294946.14</v>
      </c>
      <c r="L2" s="12">
        <v>16583.96</v>
      </c>
      <c r="M2" s="12">
        <v>16583.96</v>
      </c>
      <c r="N2" s="12">
        <v>355654.02</v>
      </c>
      <c r="O2" s="12">
        <v>355654.02</v>
      </c>
      <c r="P2" s="12"/>
      <c r="Q2" s="12"/>
      <c r="R2" s="12"/>
      <c r="S2" s="12"/>
      <c r="T2" s="12">
        <v>73262.77</v>
      </c>
      <c r="U2" s="12">
        <v>73262.77</v>
      </c>
      <c r="V2" s="12">
        <v>109963.48</v>
      </c>
      <c r="W2" s="12">
        <v>109963.48</v>
      </c>
      <c r="X2" s="13"/>
      <c r="Y2" s="13"/>
      <c r="Z2" s="13"/>
      <c r="AA2" s="13"/>
      <c r="AB2" s="13"/>
      <c r="AC2" s="13"/>
      <c r="AD2" s="13"/>
      <c r="AE2" s="13"/>
      <c r="AF2" s="4" t="str">
        <f t="shared" ref="AF2:AF13" si="0">season(B2)</f>
        <v>一季度</v>
      </c>
    </row>
    <row r="3" spans="1:32" ht="28.8" x14ac:dyDescent="0.25">
      <c r="A3" s="4">
        <v>2017</v>
      </c>
      <c r="B3" s="4">
        <v>2</v>
      </c>
      <c r="C3" s="4" t="s">
        <v>18</v>
      </c>
      <c r="D3" s="12">
        <v>2515342.8199999998</v>
      </c>
      <c r="E3" s="12">
        <v>5044747.07</v>
      </c>
      <c r="F3" s="12">
        <v>2515342.8199999998</v>
      </c>
      <c r="G3" s="12">
        <v>5044747.07</v>
      </c>
      <c r="H3" s="12">
        <v>1681135.07</v>
      </c>
      <c r="I3" s="12">
        <v>3360128.93</v>
      </c>
      <c r="J3" s="12">
        <v>282469.88</v>
      </c>
      <c r="K3" s="12">
        <v>577416.04</v>
      </c>
      <c r="L3" s="12">
        <v>16583.96</v>
      </c>
      <c r="M3" s="12">
        <v>33167.919999999998</v>
      </c>
      <c r="N3" s="12">
        <v>267769.3</v>
      </c>
      <c r="O3" s="12">
        <v>623423.31999999995</v>
      </c>
      <c r="P3" s="12"/>
      <c r="Q3" s="12"/>
      <c r="R3" s="12"/>
      <c r="S3" s="12"/>
      <c r="T3" s="12">
        <v>113116.74</v>
      </c>
      <c r="U3" s="12">
        <v>186379.51</v>
      </c>
      <c r="V3" s="12">
        <v>154267.87</v>
      </c>
      <c r="W3" s="12">
        <v>264231.34999999998</v>
      </c>
      <c r="X3" s="13"/>
      <c r="Y3" s="13"/>
      <c r="Z3" s="13"/>
      <c r="AA3" s="13"/>
      <c r="AB3" s="13"/>
      <c r="AC3" s="13"/>
      <c r="AD3" s="13"/>
      <c r="AE3" s="13"/>
      <c r="AF3" s="4" t="str">
        <f t="shared" si="0"/>
        <v>一季度</v>
      </c>
    </row>
    <row r="4" spans="1:32" ht="28.8" x14ac:dyDescent="0.25">
      <c r="A4" s="4">
        <v>2017</v>
      </c>
      <c r="B4" s="4">
        <v>3</v>
      </c>
      <c r="C4" s="4" t="s">
        <v>18</v>
      </c>
      <c r="D4" s="12">
        <v>2437165.98</v>
      </c>
      <c r="E4" s="12">
        <v>7481913.0499999998</v>
      </c>
      <c r="F4" s="12">
        <v>2437165.98</v>
      </c>
      <c r="G4" s="12">
        <v>7481913.0499999998</v>
      </c>
      <c r="H4" s="12">
        <v>1576933.39</v>
      </c>
      <c r="I4" s="12">
        <v>4937062.3</v>
      </c>
      <c r="J4" s="12">
        <v>302669.11</v>
      </c>
      <c r="K4" s="12">
        <v>880085.14</v>
      </c>
      <c r="L4" s="12">
        <v>16583.96</v>
      </c>
      <c r="M4" s="12">
        <v>49751.89</v>
      </c>
      <c r="N4" s="12">
        <v>279163.61</v>
      </c>
      <c r="O4" s="12">
        <v>902586.95</v>
      </c>
      <c r="P4" s="12"/>
      <c r="Q4" s="12"/>
      <c r="R4" s="12"/>
      <c r="S4" s="12"/>
      <c r="T4" s="12">
        <v>85554.32</v>
      </c>
      <c r="U4" s="12">
        <v>271933.83</v>
      </c>
      <c r="V4" s="12">
        <v>176261.59</v>
      </c>
      <c r="W4" s="12">
        <v>440492.94</v>
      </c>
      <c r="X4" s="13"/>
      <c r="Y4" s="13"/>
      <c r="Z4" s="13"/>
      <c r="AA4" s="13"/>
      <c r="AB4" s="13"/>
      <c r="AC4" s="13"/>
      <c r="AD4" s="13"/>
      <c r="AE4" s="13"/>
      <c r="AF4" s="4" t="str">
        <f t="shared" si="0"/>
        <v>一季度</v>
      </c>
    </row>
    <row r="5" spans="1:32" s="24" customFormat="1" ht="28.8" x14ac:dyDescent="0.25">
      <c r="A5" s="4">
        <v>2017</v>
      </c>
      <c r="B5" s="4">
        <v>4</v>
      </c>
      <c r="C5" s="4" t="s">
        <v>18</v>
      </c>
      <c r="D5" s="12">
        <v>2825493.06</v>
      </c>
      <c r="E5" s="12">
        <v>10307406.310000001</v>
      </c>
      <c r="F5" s="12">
        <v>2825493.06</v>
      </c>
      <c r="G5" s="12">
        <v>10307406.310000001</v>
      </c>
      <c r="H5" s="12">
        <v>1706696.67</v>
      </c>
      <c r="I5" s="12">
        <v>6643758.9900000002</v>
      </c>
      <c r="J5" s="12">
        <v>291516.27</v>
      </c>
      <c r="K5" s="12">
        <v>1171601.3899999999</v>
      </c>
      <c r="L5" s="12">
        <v>16583.96</v>
      </c>
      <c r="M5" s="12">
        <v>66335.850000000006</v>
      </c>
      <c r="N5" s="12">
        <v>294395.28000000003</v>
      </c>
      <c r="O5" s="12">
        <v>1196982.43</v>
      </c>
      <c r="P5" s="12"/>
      <c r="Q5" s="12"/>
      <c r="R5" s="12"/>
      <c r="S5" s="12"/>
      <c r="T5" s="12">
        <v>345731.61</v>
      </c>
      <c r="U5" s="12">
        <v>617665.43999999994</v>
      </c>
      <c r="V5" s="12">
        <v>170569.27</v>
      </c>
      <c r="W5" s="12">
        <v>611062.21</v>
      </c>
      <c r="X5" s="13"/>
      <c r="Y5" s="13"/>
      <c r="Z5" s="13"/>
      <c r="AA5" s="13"/>
      <c r="AB5" s="13"/>
      <c r="AC5" s="13"/>
      <c r="AD5" s="13"/>
      <c r="AE5" s="4"/>
      <c r="AF5" s="4" t="str">
        <f t="shared" si="0"/>
        <v>二季度</v>
      </c>
    </row>
    <row r="6" spans="1:32" s="24" customFormat="1" ht="28.8" x14ac:dyDescent="0.25">
      <c r="A6" s="4">
        <v>2017</v>
      </c>
      <c r="B6" s="4">
        <v>5</v>
      </c>
      <c r="C6" s="4" t="s">
        <v>18</v>
      </c>
      <c r="D6" s="12">
        <v>4903016.71</v>
      </c>
      <c r="E6" s="12">
        <v>15210422.91</v>
      </c>
      <c r="F6" s="12">
        <v>4903016.71</v>
      </c>
      <c r="G6" s="12">
        <v>15210422.91</v>
      </c>
      <c r="H6" s="12">
        <v>4046246.06</v>
      </c>
      <c r="I6" s="12">
        <v>10690005.02</v>
      </c>
      <c r="J6" s="12">
        <v>288080.43</v>
      </c>
      <c r="K6" s="12">
        <v>1459681.85</v>
      </c>
      <c r="L6" s="12">
        <v>16583.96</v>
      </c>
      <c r="M6" s="12">
        <v>82919.81</v>
      </c>
      <c r="N6" s="12">
        <v>277535.87</v>
      </c>
      <c r="O6" s="12">
        <v>1474518.19</v>
      </c>
      <c r="P6" s="12"/>
      <c r="Q6" s="12"/>
      <c r="R6" s="12"/>
      <c r="S6" s="12"/>
      <c r="T6" s="12">
        <v>85028.64</v>
      </c>
      <c r="U6" s="12">
        <v>702694.08</v>
      </c>
      <c r="V6" s="12">
        <v>189541.75</v>
      </c>
      <c r="W6" s="12">
        <v>800603.96</v>
      </c>
      <c r="X6" s="13"/>
      <c r="Y6" s="13"/>
      <c r="Z6" s="13"/>
      <c r="AA6" s="13"/>
      <c r="AB6" s="13"/>
      <c r="AC6" s="13"/>
      <c r="AD6" s="13"/>
      <c r="AE6" s="4"/>
      <c r="AF6" s="4" t="str">
        <f t="shared" si="0"/>
        <v>二季度</v>
      </c>
    </row>
    <row r="7" spans="1:32" ht="28.8" x14ac:dyDescent="0.25">
      <c r="A7" s="4">
        <v>2017</v>
      </c>
      <c r="B7" s="4">
        <v>6</v>
      </c>
      <c r="C7" s="4" t="s">
        <v>18</v>
      </c>
      <c r="D7" s="12">
        <v>3013629.29</v>
      </c>
      <c r="E7" s="12">
        <v>18224052.210000001</v>
      </c>
      <c r="F7" s="12">
        <v>3013629.29</v>
      </c>
      <c r="G7" s="12">
        <v>18224052.210000001</v>
      </c>
      <c r="H7" s="12">
        <v>1649979.89</v>
      </c>
      <c r="I7" s="12">
        <v>12339984.93</v>
      </c>
      <c r="J7" s="12">
        <v>279178.67</v>
      </c>
      <c r="K7" s="12">
        <v>1738860.52</v>
      </c>
      <c r="L7" s="12">
        <v>16583.96</v>
      </c>
      <c r="M7" s="12">
        <v>99503.77</v>
      </c>
      <c r="N7" s="12">
        <v>280595.65999999997</v>
      </c>
      <c r="O7" s="12">
        <v>1755113.84</v>
      </c>
      <c r="P7" s="12"/>
      <c r="Q7" s="12"/>
      <c r="R7" s="12"/>
      <c r="S7" s="12"/>
      <c r="T7" s="12">
        <v>591189.54</v>
      </c>
      <c r="U7" s="12">
        <v>1293883.6200000001</v>
      </c>
      <c r="V7" s="12">
        <v>196101.57</v>
      </c>
      <c r="W7" s="12">
        <v>996705.53</v>
      </c>
      <c r="X7" s="13"/>
      <c r="Y7" s="13"/>
      <c r="Z7" s="13"/>
      <c r="AA7" s="13"/>
      <c r="AB7" s="13"/>
      <c r="AC7" s="13"/>
      <c r="AD7" s="13"/>
      <c r="AE7" s="4"/>
      <c r="AF7" s="4" t="str">
        <f t="shared" si="0"/>
        <v>二季度</v>
      </c>
    </row>
    <row r="8" spans="1:32" ht="28.8" x14ac:dyDescent="0.25">
      <c r="A8" s="4">
        <v>2017</v>
      </c>
      <c r="B8" s="4">
        <v>7</v>
      </c>
      <c r="C8" s="4" t="s">
        <v>18</v>
      </c>
      <c r="D8" s="12">
        <v>2370070.4</v>
      </c>
      <c r="E8" s="12">
        <v>20594122.629999999</v>
      </c>
      <c r="F8" s="12">
        <v>2370070.4</v>
      </c>
      <c r="G8" s="12">
        <v>20594122.629999999</v>
      </c>
      <c r="H8" s="12">
        <v>1491179.39</v>
      </c>
      <c r="I8" s="12">
        <v>13831164.310000001</v>
      </c>
      <c r="J8" s="12">
        <v>283704.33</v>
      </c>
      <c r="K8" s="12">
        <v>2022564.87</v>
      </c>
      <c r="L8" s="12">
        <v>16662.259999999998</v>
      </c>
      <c r="M8" s="12">
        <v>116166.04</v>
      </c>
      <c r="N8" s="12">
        <v>304349.90999999997</v>
      </c>
      <c r="O8" s="12">
        <v>2059463.75</v>
      </c>
      <c r="P8" s="12"/>
      <c r="Q8" s="12"/>
      <c r="R8" s="12"/>
      <c r="S8" s="12"/>
      <c r="T8" s="12">
        <v>71950.490000000005</v>
      </c>
      <c r="U8" s="12">
        <v>1365834.11</v>
      </c>
      <c r="V8" s="12">
        <v>202224.02</v>
      </c>
      <c r="W8" s="12">
        <v>1198929.55</v>
      </c>
      <c r="X8" s="13"/>
      <c r="Y8" s="13"/>
      <c r="Z8" s="13"/>
      <c r="AA8" s="13"/>
      <c r="AB8" s="13"/>
      <c r="AC8" s="13"/>
      <c r="AD8" s="13"/>
      <c r="AE8" s="4"/>
      <c r="AF8" s="4" t="str">
        <f t="shared" si="0"/>
        <v>三季度</v>
      </c>
    </row>
    <row r="9" spans="1:32" ht="28.8" x14ac:dyDescent="0.25">
      <c r="A9" s="1">
        <v>2017</v>
      </c>
      <c r="B9" s="1">
        <v>8</v>
      </c>
      <c r="C9" s="4" t="s">
        <v>18</v>
      </c>
      <c r="D9" s="14">
        <v>3129548.43</v>
      </c>
      <c r="E9" s="14">
        <v>23723671.09</v>
      </c>
      <c r="F9" s="14">
        <v>3129548.43</v>
      </c>
      <c r="G9" s="14">
        <v>23723671.09</v>
      </c>
      <c r="H9" s="14">
        <v>2104082.88</v>
      </c>
      <c r="I9" s="15">
        <v>15935247.189999999</v>
      </c>
      <c r="J9" s="15">
        <v>288634.49</v>
      </c>
      <c r="K9" s="15">
        <v>2311199.38</v>
      </c>
      <c r="L9" s="15">
        <v>16233.96</v>
      </c>
      <c r="M9" s="15">
        <v>132400</v>
      </c>
      <c r="N9" s="15">
        <v>298342.36</v>
      </c>
      <c r="O9" s="15">
        <v>2357806.12</v>
      </c>
      <c r="P9" s="15"/>
      <c r="Q9" s="15"/>
      <c r="R9" s="15"/>
      <c r="S9" s="15"/>
      <c r="T9" s="15">
        <v>212860.61</v>
      </c>
      <c r="U9" s="16">
        <v>1578694.72</v>
      </c>
      <c r="V9" s="16">
        <v>209394.13</v>
      </c>
      <c r="W9" s="16">
        <v>1408323.68</v>
      </c>
      <c r="X9" s="16"/>
      <c r="Y9" s="16"/>
      <c r="Z9" s="16"/>
      <c r="AA9" s="14"/>
      <c r="AB9" s="14"/>
      <c r="AC9" s="14"/>
      <c r="AD9" s="14"/>
      <c r="AE9" s="14"/>
      <c r="AF9" s="4" t="str">
        <f t="shared" si="0"/>
        <v>三季度</v>
      </c>
    </row>
    <row r="10" spans="1:32" ht="28.8" x14ac:dyDescent="0.25">
      <c r="A10" s="4">
        <v>2017</v>
      </c>
      <c r="B10" s="4">
        <v>9</v>
      </c>
      <c r="C10" s="4" t="s">
        <v>18</v>
      </c>
      <c r="D10" s="12">
        <v>4480942.46</v>
      </c>
      <c r="E10" s="12">
        <v>28201645.600000001</v>
      </c>
      <c r="F10" s="12">
        <v>4480942.46</v>
      </c>
      <c r="G10" s="85">
        <v>28201645.600000001</v>
      </c>
      <c r="H10" s="12">
        <v>1675711.56</v>
      </c>
      <c r="I10" s="12">
        <v>17610958.760000002</v>
      </c>
      <c r="J10" s="12">
        <v>289957.43</v>
      </c>
      <c r="K10" s="12">
        <v>2598188.86</v>
      </c>
      <c r="L10" s="12">
        <v>16233.96</v>
      </c>
      <c r="M10" s="12">
        <v>148633.96</v>
      </c>
      <c r="N10" s="12">
        <v>301456.09000000003</v>
      </c>
      <c r="O10" s="12">
        <v>2659262.2000000002</v>
      </c>
      <c r="P10" s="12"/>
      <c r="Q10" s="12"/>
      <c r="R10" s="12"/>
      <c r="S10" s="12"/>
      <c r="T10" s="12">
        <v>2000891.73</v>
      </c>
      <c r="U10" s="12">
        <v>3579586.45</v>
      </c>
      <c r="V10" s="12">
        <v>196691.69</v>
      </c>
      <c r="W10" s="12">
        <v>1605015.37</v>
      </c>
      <c r="X10" s="13"/>
      <c r="Y10" s="13"/>
      <c r="Z10" s="13"/>
      <c r="AA10" s="13"/>
      <c r="AB10" s="13"/>
      <c r="AC10" s="13"/>
      <c r="AD10" s="13"/>
      <c r="AE10" s="4"/>
      <c r="AF10" s="4" t="str">
        <f t="shared" si="0"/>
        <v>三季度</v>
      </c>
    </row>
    <row r="11" spans="1:32" ht="28.8" x14ac:dyDescent="0.25">
      <c r="A11" s="4">
        <v>2017</v>
      </c>
      <c r="B11" s="4">
        <v>10</v>
      </c>
      <c r="C11" s="4" t="s">
        <v>18</v>
      </c>
      <c r="D11" s="12">
        <v>2923540.22</v>
      </c>
      <c r="E11" s="12">
        <v>31106545.27</v>
      </c>
      <c r="F11" s="12">
        <v>2923540.22</v>
      </c>
      <c r="G11" s="86">
        <v>31106545.27</v>
      </c>
      <c r="H11" s="12">
        <v>1696759.55</v>
      </c>
      <c r="I11" s="12">
        <v>19307718.309999999</v>
      </c>
      <c r="J11" s="12">
        <v>301194.88</v>
      </c>
      <c r="K11" s="12">
        <v>2893238.35</v>
      </c>
      <c r="L11" s="12">
        <v>16233.96</v>
      </c>
      <c r="M11" s="12">
        <v>164867.92000000001</v>
      </c>
      <c r="N11" s="12">
        <v>342111.57</v>
      </c>
      <c r="O11" s="12">
        <v>2988878.61</v>
      </c>
      <c r="P11" s="12"/>
      <c r="Q11" s="12"/>
      <c r="R11" s="12"/>
      <c r="S11" s="12"/>
      <c r="T11" s="12">
        <v>376274.22</v>
      </c>
      <c r="U11" s="12">
        <v>3955860.67</v>
      </c>
      <c r="V11" s="12">
        <v>190966.04</v>
      </c>
      <c r="W11" s="12">
        <v>1795981.41</v>
      </c>
      <c r="X11" s="13"/>
      <c r="Y11" s="13"/>
      <c r="Z11" s="13"/>
      <c r="AA11" s="13"/>
      <c r="AB11" s="13"/>
      <c r="AC11" s="13"/>
      <c r="AD11" s="13"/>
      <c r="AE11" s="4"/>
      <c r="AF11" s="4" t="str">
        <f t="shared" si="0"/>
        <v>四季度</v>
      </c>
    </row>
    <row r="12" spans="1:32" ht="28.8" x14ac:dyDescent="0.25">
      <c r="A12" s="4">
        <v>2017</v>
      </c>
      <c r="B12" s="4">
        <v>11</v>
      </c>
      <c r="C12" s="4" t="s">
        <v>18</v>
      </c>
      <c r="D12" s="12">
        <v>2739971.29</v>
      </c>
      <c r="E12" s="12">
        <v>33847652.75</v>
      </c>
      <c r="F12" s="12">
        <v>2739971.29</v>
      </c>
      <c r="G12" s="86">
        <v>33847652.75</v>
      </c>
      <c r="H12" s="12">
        <v>1732923.98</v>
      </c>
      <c r="I12" s="12">
        <v>21040642.289999999</v>
      </c>
      <c r="J12" s="12">
        <v>238819.59</v>
      </c>
      <c r="K12" s="12">
        <v>3133194.13</v>
      </c>
      <c r="L12" s="12">
        <v>16233.96</v>
      </c>
      <c r="M12" s="12">
        <v>181101.89</v>
      </c>
      <c r="N12" s="12">
        <v>331648.42</v>
      </c>
      <c r="O12" s="12">
        <v>3320527.02</v>
      </c>
      <c r="P12" s="12"/>
      <c r="Q12" s="12"/>
      <c r="R12" s="12"/>
      <c r="S12" s="12"/>
      <c r="T12" s="12">
        <v>228610.42</v>
      </c>
      <c r="U12" s="12">
        <v>4184471.09</v>
      </c>
      <c r="V12" s="12">
        <v>191734.92</v>
      </c>
      <c r="W12" s="12">
        <v>1987716.33</v>
      </c>
      <c r="X12" s="13"/>
      <c r="Y12" s="13"/>
      <c r="Z12" s="13"/>
      <c r="AA12" s="13"/>
      <c r="AB12" s="13"/>
      <c r="AC12" s="13"/>
      <c r="AD12" s="13"/>
      <c r="AE12" s="4"/>
      <c r="AF12" s="4" t="str">
        <f t="shared" si="0"/>
        <v>四季度</v>
      </c>
    </row>
    <row r="13" spans="1:32" ht="28.8" x14ac:dyDescent="0.25">
      <c r="A13" s="4">
        <v>2017</v>
      </c>
      <c r="B13" s="4">
        <v>12</v>
      </c>
      <c r="C13" s="4" t="s">
        <v>18</v>
      </c>
      <c r="D13" s="12">
        <v>6742315.4900000002</v>
      </c>
      <c r="E13" s="12">
        <v>40663181.369999997</v>
      </c>
      <c r="F13" s="12">
        <v>6742315.4900000002</v>
      </c>
      <c r="G13" s="86">
        <v>40663181.369999997</v>
      </c>
      <c r="H13" s="12">
        <v>4530456.8099999996</v>
      </c>
      <c r="I13" s="12">
        <v>25571099.079999998</v>
      </c>
      <c r="J13" s="12">
        <v>292973.65999999997</v>
      </c>
      <c r="K13" s="12">
        <v>3486885.8</v>
      </c>
      <c r="L13" s="12">
        <v>16322.53</v>
      </c>
      <c r="M13" s="12">
        <v>197424.42</v>
      </c>
      <c r="N13" s="12">
        <v>365885.29</v>
      </c>
      <c r="O13" s="12">
        <v>3698907.45</v>
      </c>
      <c r="P13" s="12"/>
      <c r="Q13" s="12"/>
      <c r="R13" s="12"/>
      <c r="S13" s="12"/>
      <c r="T13" s="12">
        <v>1323236.94</v>
      </c>
      <c r="U13" s="12">
        <v>5507708.0300000003</v>
      </c>
      <c r="V13" s="12">
        <v>213440.26</v>
      </c>
      <c r="W13" s="12">
        <v>2201156.59</v>
      </c>
      <c r="X13" s="13"/>
      <c r="Y13" s="13"/>
      <c r="Z13" s="13"/>
      <c r="AA13" s="13"/>
      <c r="AB13" s="13"/>
      <c r="AC13" s="13"/>
      <c r="AD13" s="13"/>
      <c r="AE13" s="4"/>
      <c r="AF13" s="4" t="str">
        <f t="shared" si="0"/>
        <v>四季度</v>
      </c>
    </row>
    <row r="14" spans="1:32" ht="28.8" x14ac:dyDescent="0.25">
      <c r="A14" s="4">
        <v>2018</v>
      </c>
      <c r="B14" s="4">
        <v>1</v>
      </c>
      <c r="C14" s="4" t="s">
        <v>18</v>
      </c>
      <c r="D14" s="12">
        <v>2697818.16</v>
      </c>
      <c r="E14" s="12">
        <v>2697818.16</v>
      </c>
      <c r="F14" s="12">
        <v>2697818.16</v>
      </c>
      <c r="G14" s="12">
        <v>2697818.16</v>
      </c>
      <c r="H14" s="12">
        <v>1593037.45</v>
      </c>
      <c r="I14" s="12">
        <v>1593037.45</v>
      </c>
      <c r="J14" s="86">
        <v>240103.86</v>
      </c>
      <c r="K14" s="86">
        <v>240103.86</v>
      </c>
      <c r="L14" s="12">
        <v>16322.45</v>
      </c>
      <c r="M14" s="12">
        <v>16322.45</v>
      </c>
      <c r="N14" s="12">
        <v>360975.23</v>
      </c>
      <c r="O14" s="12">
        <v>360975.23</v>
      </c>
      <c r="P14" s="12"/>
      <c r="Q14" s="12"/>
      <c r="R14" s="12"/>
      <c r="S14" s="12"/>
      <c r="T14" s="12">
        <v>210495.15</v>
      </c>
      <c r="U14" s="12">
        <v>210495.15</v>
      </c>
      <c r="V14" s="12">
        <v>276884.02</v>
      </c>
      <c r="W14" s="12">
        <v>276884.02</v>
      </c>
      <c r="X14" s="13"/>
      <c r="Y14" s="13"/>
      <c r="Z14" s="13"/>
      <c r="AA14" s="13"/>
      <c r="AB14" s="13"/>
      <c r="AC14" s="13"/>
      <c r="AD14" s="13"/>
      <c r="AE14" s="13"/>
      <c r="AF14" s="4" t="str">
        <f t="shared" ref="AF14:AF48" si="1">season(B14)</f>
        <v>一季度</v>
      </c>
    </row>
    <row r="15" spans="1:32" ht="28.8" x14ac:dyDescent="0.25">
      <c r="A15" s="4">
        <v>2018</v>
      </c>
      <c r="B15" s="4">
        <v>2</v>
      </c>
      <c r="C15" s="4" t="s">
        <v>18</v>
      </c>
      <c r="D15" s="12">
        <v>2617903.8199999998</v>
      </c>
      <c r="E15" s="12">
        <v>5315721.99</v>
      </c>
      <c r="F15" s="12">
        <v>2617903.8199999998</v>
      </c>
      <c r="G15" s="12">
        <v>5315721.99</v>
      </c>
      <c r="H15" s="12">
        <v>1593020.35</v>
      </c>
      <c r="I15" s="12">
        <v>3186057.77</v>
      </c>
      <c r="J15" s="86">
        <v>225108.56</v>
      </c>
      <c r="K15" s="86">
        <v>465212.45</v>
      </c>
      <c r="L15" s="12">
        <v>16322.49</v>
      </c>
      <c r="M15" s="12">
        <v>32644.95</v>
      </c>
      <c r="N15" s="12">
        <v>334671.83</v>
      </c>
      <c r="O15" s="12">
        <v>695647.06</v>
      </c>
      <c r="P15" s="12"/>
      <c r="Q15" s="12"/>
      <c r="R15" s="12"/>
      <c r="S15" s="12"/>
      <c r="T15" s="12">
        <v>202269.24</v>
      </c>
      <c r="U15" s="12">
        <v>412764.39</v>
      </c>
      <c r="V15" s="12">
        <v>246511.35</v>
      </c>
      <c r="W15" s="12">
        <v>523395.37</v>
      </c>
      <c r="X15" s="13"/>
      <c r="Y15" s="13"/>
      <c r="Z15" s="13"/>
      <c r="AA15" s="13"/>
      <c r="AB15" s="13"/>
      <c r="AC15" s="13"/>
      <c r="AD15" s="13"/>
      <c r="AE15" s="13"/>
      <c r="AF15" s="4" t="str">
        <f t="shared" si="1"/>
        <v>一季度</v>
      </c>
    </row>
    <row r="16" spans="1:32" ht="28.8" x14ac:dyDescent="0.25">
      <c r="A16" s="26">
        <v>2018</v>
      </c>
      <c r="B16" s="26">
        <v>3</v>
      </c>
      <c r="C16" s="4" t="s">
        <v>18</v>
      </c>
      <c r="D16" s="12">
        <v>2617055.08</v>
      </c>
      <c r="E16" s="12">
        <v>7932777.0999999996</v>
      </c>
      <c r="F16" s="12">
        <v>2617055.08</v>
      </c>
      <c r="G16" s="12">
        <v>7932777.0999999996</v>
      </c>
      <c r="H16" s="12">
        <v>1503622.65</v>
      </c>
      <c r="I16" s="12">
        <v>4689680.42</v>
      </c>
      <c r="J16" s="86">
        <v>230389.34</v>
      </c>
      <c r="K16" s="86">
        <v>695601.8</v>
      </c>
      <c r="L16" s="12">
        <v>16322.64</v>
      </c>
      <c r="M16" s="12">
        <v>48967.6</v>
      </c>
      <c r="N16" s="12">
        <v>340939.76</v>
      </c>
      <c r="O16" s="12">
        <v>1036586.83</v>
      </c>
      <c r="P16" s="12"/>
      <c r="Q16" s="12"/>
      <c r="R16" s="12"/>
      <c r="S16" s="12"/>
      <c r="T16" s="12">
        <v>251514.55</v>
      </c>
      <c r="U16" s="12">
        <v>664278.93999999994</v>
      </c>
      <c r="V16" s="12">
        <v>274266.14</v>
      </c>
      <c r="W16" s="12">
        <v>797661.51</v>
      </c>
      <c r="X16" s="13"/>
      <c r="Y16" s="13"/>
      <c r="Z16" s="13"/>
      <c r="AA16" s="13"/>
      <c r="AB16" s="13"/>
      <c r="AC16" s="13"/>
      <c r="AD16" s="13"/>
      <c r="AE16" s="13"/>
      <c r="AF16" s="4" t="str">
        <f t="shared" si="1"/>
        <v>一季度</v>
      </c>
    </row>
    <row r="17" spans="1:36" ht="28.8" x14ac:dyDescent="0.25">
      <c r="A17" s="27">
        <v>2018</v>
      </c>
      <c r="B17" s="27">
        <v>4</v>
      </c>
      <c r="C17" s="4" t="s">
        <v>18</v>
      </c>
      <c r="D17" s="12">
        <v>4363123.71</v>
      </c>
      <c r="E17" s="12">
        <v>12295900.800000001</v>
      </c>
      <c r="F17" s="12">
        <v>4363123.71</v>
      </c>
      <c r="G17" s="12">
        <v>12295900.800000001</v>
      </c>
      <c r="H17" s="12">
        <v>1578374.76</v>
      </c>
      <c r="I17" s="12">
        <v>6268055.1900000004</v>
      </c>
      <c r="J17" s="86">
        <v>226466.24</v>
      </c>
      <c r="K17" s="86">
        <v>922068.03</v>
      </c>
      <c r="L17" s="12">
        <v>16322.18</v>
      </c>
      <c r="M17" s="12">
        <v>65289.78</v>
      </c>
      <c r="N17" s="12">
        <v>387153.95</v>
      </c>
      <c r="O17" s="12">
        <v>1423740.77</v>
      </c>
      <c r="P17" s="12"/>
      <c r="Q17" s="12"/>
      <c r="R17" s="12"/>
      <c r="S17" s="12"/>
      <c r="T17" s="12">
        <v>1895175.44</v>
      </c>
      <c r="U17" s="12">
        <v>2559454.38</v>
      </c>
      <c r="V17" s="12">
        <v>259631.14</v>
      </c>
      <c r="W17" s="12">
        <v>1057292.6499999999</v>
      </c>
      <c r="X17" s="13"/>
      <c r="Y17" s="13"/>
      <c r="Z17" s="13"/>
      <c r="AA17" s="13"/>
      <c r="AB17" s="13"/>
      <c r="AC17" s="13"/>
      <c r="AD17" s="13"/>
      <c r="AE17" s="4"/>
      <c r="AF17" s="25" t="str">
        <f t="shared" si="1"/>
        <v>二季度</v>
      </c>
    </row>
    <row r="18" spans="1:36" s="24" customFormat="1" ht="28.8" x14ac:dyDescent="0.25">
      <c r="A18" s="27">
        <v>2018</v>
      </c>
      <c r="B18" s="27">
        <v>5</v>
      </c>
      <c r="C18" s="4" t="s">
        <v>18</v>
      </c>
      <c r="D18" s="12">
        <v>3101613.08</v>
      </c>
      <c r="E18" s="12">
        <v>15397513.85</v>
      </c>
      <c r="F18" s="12">
        <v>3101613.08</v>
      </c>
      <c r="G18" s="12">
        <v>15397513.85</v>
      </c>
      <c r="H18" s="12">
        <v>1917850.25</v>
      </c>
      <c r="I18" s="12">
        <v>8185905.4000000004</v>
      </c>
      <c r="J18" s="86">
        <v>231419.39</v>
      </c>
      <c r="K18" s="86">
        <v>1153487.43</v>
      </c>
      <c r="L18" s="12">
        <v>16321.85</v>
      </c>
      <c r="M18" s="12">
        <v>81611.64</v>
      </c>
      <c r="N18" s="12">
        <v>371900.24</v>
      </c>
      <c r="O18" s="12">
        <v>1795641</v>
      </c>
      <c r="P18" s="12"/>
      <c r="Q18" s="12"/>
      <c r="R18" s="12"/>
      <c r="S18" s="12"/>
      <c r="T18" s="12">
        <v>280717.86</v>
      </c>
      <c r="U18" s="12">
        <v>2840172.24</v>
      </c>
      <c r="V18" s="12">
        <v>283403.49</v>
      </c>
      <c r="W18" s="12">
        <v>1340696.1399999999</v>
      </c>
      <c r="X18" s="13"/>
      <c r="Y18" s="13"/>
      <c r="Z18" s="13"/>
      <c r="AA18" s="13"/>
      <c r="AB18" s="13"/>
      <c r="AC18" s="13"/>
      <c r="AD18" s="13"/>
      <c r="AE18" s="4"/>
      <c r="AF18" s="4" t="str">
        <f t="shared" si="1"/>
        <v>二季度</v>
      </c>
    </row>
    <row r="19" spans="1:36" ht="28.8" x14ac:dyDescent="0.25">
      <c r="A19" s="4">
        <v>2018</v>
      </c>
      <c r="B19" s="4">
        <v>6</v>
      </c>
      <c r="C19" s="4" t="s">
        <v>18</v>
      </c>
      <c r="D19" s="12">
        <v>2765648.05</v>
      </c>
      <c r="E19" s="12">
        <v>18163161.920000002</v>
      </c>
      <c r="F19" s="12">
        <v>2765648.05</v>
      </c>
      <c r="G19" s="12">
        <v>18163161.920000002</v>
      </c>
      <c r="H19" s="12">
        <v>1616192.05</v>
      </c>
      <c r="I19" s="12">
        <v>9802097.4399999995</v>
      </c>
      <c r="J19" s="86">
        <v>224158.34</v>
      </c>
      <c r="K19" s="86">
        <v>1377645.77</v>
      </c>
      <c r="L19" s="12">
        <v>16321.93</v>
      </c>
      <c r="M19" s="12">
        <v>97933.57</v>
      </c>
      <c r="N19" s="12">
        <v>367973.63</v>
      </c>
      <c r="O19" s="12">
        <v>2163614.66</v>
      </c>
      <c r="P19" s="12"/>
      <c r="Q19" s="12"/>
      <c r="R19" s="12"/>
      <c r="S19" s="12"/>
      <c r="T19" s="12">
        <v>261849.85</v>
      </c>
      <c r="U19" s="12">
        <v>3102022.09</v>
      </c>
      <c r="V19" s="12">
        <v>279152.25</v>
      </c>
      <c r="W19" s="12">
        <v>1619848.39</v>
      </c>
      <c r="X19" s="13"/>
      <c r="Y19" s="13"/>
      <c r="Z19" s="13"/>
      <c r="AA19" s="13"/>
      <c r="AB19" s="13"/>
      <c r="AC19" s="13"/>
      <c r="AD19" s="13"/>
      <c r="AE19" s="4"/>
      <c r="AF19" s="4" t="str">
        <f t="shared" si="1"/>
        <v>二季度</v>
      </c>
    </row>
    <row r="20" spans="1:36" ht="28.8" x14ac:dyDescent="0.25">
      <c r="A20" s="69">
        <v>2018</v>
      </c>
      <c r="B20" s="69">
        <v>7</v>
      </c>
      <c r="C20" s="69" t="s">
        <v>18</v>
      </c>
      <c r="D20" s="84">
        <v>2822326.41</v>
      </c>
      <c r="E20" s="84">
        <v>20985488.32</v>
      </c>
      <c r="F20" s="84">
        <v>2822326.41</v>
      </c>
      <c r="G20" s="84">
        <v>20985488.32</v>
      </c>
      <c r="H20" s="84">
        <v>1607702.45</v>
      </c>
      <c r="I20" s="84">
        <v>11409799.880000001</v>
      </c>
      <c r="J20" s="87">
        <v>224592</v>
      </c>
      <c r="K20" s="87">
        <v>1602237.76</v>
      </c>
      <c r="L20" s="84">
        <v>16321.95</v>
      </c>
      <c r="M20" s="84">
        <v>114255.52</v>
      </c>
      <c r="N20" s="84">
        <v>386874.66</v>
      </c>
      <c r="O20" s="84">
        <v>2550489.33</v>
      </c>
      <c r="P20" s="84"/>
      <c r="Q20" s="84"/>
      <c r="R20" s="84"/>
      <c r="S20" s="84"/>
      <c r="T20" s="84">
        <v>262612.32</v>
      </c>
      <c r="U20" s="84">
        <v>3364634.41</v>
      </c>
      <c r="V20" s="84">
        <v>324223.03000000003</v>
      </c>
      <c r="W20" s="84">
        <v>1944071.42</v>
      </c>
      <c r="X20" s="88"/>
      <c r="Y20" s="88"/>
      <c r="Z20" s="88"/>
      <c r="AA20" s="88"/>
      <c r="AB20" s="88"/>
      <c r="AC20" s="88"/>
      <c r="AD20" s="88"/>
      <c r="AE20" s="69"/>
      <c r="AF20" s="4" t="str">
        <f t="shared" si="1"/>
        <v>三季度</v>
      </c>
    </row>
    <row r="21" spans="1:36" ht="28.8" x14ac:dyDescent="0.25">
      <c r="A21" s="69">
        <v>2018</v>
      </c>
      <c r="B21" s="69">
        <v>8</v>
      </c>
      <c r="C21" s="69" t="s">
        <v>18</v>
      </c>
      <c r="D21" s="84">
        <v>2793288.98</v>
      </c>
      <c r="E21" s="84">
        <v>23778777.34</v>
      </c>
      <c r="F21" s="84">
        <v>2793288.98</v>
      </c>
      <c r="G21" s="84">
        <v>23778777.34</v>
      </c>
      <c r="H21" s="84">
        <v>1576258.01</v>
      </c>
      <c r="I21" s="84">
        <v>12986057.91</v>
      </c>
      <c r="J21" s="87">
        <v>223874.09</v>
      </c>
      <c r="K21" s="87">
        <v>1826111.88</v>
      </c>
      <c r="L21" s="84">
        <v>16409.169999999998</v>
      </c>
      <c r="M21" s="84">
        <v>130664.68</v>
      </c>
      <c r="N21" s="84">
        <v>389737.76</v>
      </c>
      <c r="O21" s="84">
        <v>2940227.09</v>
      </c>
      <c r="P21" s="84"/>
      <c r="Q21" s="84"/>
      <c r="R21" s="84"/>
      <c r="S21" s="84"/>
      <c r="T21" s="84">
        <v>252123.04</v>
      </c>
      <c r="U21" s="84">
        <v>3616757.45</v>
      </c>
      <c r="V21" s="84">
        <v>334886.90999999997</v>
      </c>
      <c r="W21" s="84">
        <v>2278958.33</v>
      </c>
      <c r="X21" s="88"/>
      <c r="Y21" s="88"/>
      <c r="Z21" s="88"/>
      <c r="AA21" s="88"/>
      <c r="AB21" s="88"/>
      <c r="AC21" s="88"/>
      <c r="AD21" s="88"/>
      <c r="AE21" s="69"/>
      <c r="AF21" s="4" t="str">
        <f t="shared" si="1"/>
        <v>三季度</v>
      </c>
    </row>
    <row r="22" spans="1:36" ht="28.8" x14ac:dyDescent="0.25">
      <c r="A22" s="69">
        <v>2018</v>
      </c>
      <c r="B22" s="69">
        <v>9</v>
      </c>
      <c r="C22" s="69" t="s">
        <v>18</v>
      </c>
      <c r="D22" s="84">
        <v>2728391.47</v>
      </c>
      <c r="E22" s="84">
        <v>26507168.829999998</v>
      </c>
      <c r="F22" s="84">
        <v>2728391.47</v>
      </c>
      <c r="G22" s="84">
        <v>26507168.829999998</v>
      </c>
      <c r="H22" s="84">
        <v>1554151.01</v>
      </c>
      <c r="I22" s="84">
        <v>14540208.93</v>
      </c>
      <c r="J22" s="87">
        <v>215325.94</v>
      </c>
      <c r="K22" s="87">
        <v>2041437.84</v>
      </c>
      <c r="L22" s="84">
        <v>16409.400000000001</v>
      </c>
      <c r="M22" s="84">
        <v>147074.07</v>
      </c>
      <c r="N22" s="84">
        <v>372539.46</v>
      </c>
      <c r="O22" s="84">
        <v>3312766.55</v>
      </c>
      <c r="P22" s="84"/>
      <c r="Q22" s="84"/>
      <c r="R22" s="84"/>
      <c r="S22" s="84"/>
      <c r="T22" s="84">
        <v>246196.34</v>
      </c>
      <c r="U22" s="84">
        <v>3862953.79</v>
      </c>
      <c r="V22" s="84">
        <v>323769.32</v>
      </c>
      <c r="W22" s="84">
        <v>2602727.65</v>
      </c>
      <c r="X22" s="88"/>
      <c r="Y22" s="88"/>
      <c r="Z22" s="88"/>
      <c r="AA22" s="88"/>
      <c r="AB22" s="88"/>
      <c r="AC22" s="88"/>
      <c r="AD22" s="88"/>
      <c r="AE22" s="69"/>
      <c r="AF22" s="4" t="str">
        <f t="shared" si="1"/>
        <v>三季度</v>
      </c>
    </row>
    <row r="23" spans="1:36" ht="28.8" x14ac:dyDescent="0.25">
      <c r="A23" s="4">
        <v>2018</v>
      </c>
      <c r="B23" s="4">
        <v>10</v>
      </c>
      <c r="C23" s="4" t="s">
        <v>18</v>
      </c>
      <c r="D23" s="12">
        <v>5350129.5199999996</v>
      </c>
      <c r="E23" s="12">
        <v>31857298.27</v>
      </c>
      <c r="F23" s="12">
        <v>5350129.5199999996</v>
      </c>
      <c r="G23" s="12">
        <v>31857298.27</v>
      </c>
      <c r="H23" s="12">
        <v>1607728.27</v>
      </c>
      <c r="I23" s="12">
        <v>16147937.16</v>
      </c>
      <c r="J23" s="12">
        <v>221427.08</v>
      </c>
      <c r="K23" s="12">
        <v>2262864.9</v>
      </c>
      <c r="L23" s="12">
        <v>15730.45</v>
      </c>
      <c r="M23" s="12">
        <v>162804.51</v>
      </c>
      <c r="N23" s="12">
        <v>409037.56</v>
      </c>
      <c r="O23" s="12">
        <v>3721804.1</v>
      </c>
      <c r="P23" s="12"/>
      <c r="Q23" s="12"/>
      <c r="R23" s="12"/>
      <c r="S23" s="12"/>
      <c r="T23" s="12">
        <v>2760190.93</v>
      </c>
      <c r="U23" s="12">
        <v>6623144.7199999997</v>
      </c>
      <c r="V23" s="12">
        <v>336015.23</v>
      </c>
      <c r="W23" s="12">
        <v>2938742.88</v>
      </c>
      <c r="X23" s="13"/>
      <c r="Y23" s="13"/>
      <c r="Z23" s="13"/>
      <c r="AA23" s="13"/>
      <c r="AB23" s="13"/>
      <c r="AC23" s="13"/>
      <c r="AD23" s="13"/>
      <c r="AE23" s="13"/>
      <c r="AF23" s="4" t="str">
        <f t="shared" si="1"/>
        <v>四季度</v>
      </c>
    </row>
    <row r="24" spans="1:36" ht="28.8" x14ac:dyDescent="0.25">
      <c r="A24" s="4">
        <v>2018</v>
      </c>
      <c r="B24" s="4">
        <v>11</v>
      </c>
      <c r="C24" s="4" t="s">
        <v>18</v>
      </c>
      <c r="D24" s="12">
        <v>3479959.93</v>
      </c>
      <c r="E24" s="12">
        <v>35337258.240000002</v>
      </c>
      <c r="F24" s="12">
        <v>3479959.93</v>
      </c>
      <c r="G24" s="12">
        <v>35337258.240000002</v>
      </c>
      <c r="H24" s="12">
        <v>1561470.99</v>
      </c>
      <c r="I24" s="12">
        <v>17709408.16</v>
      </c>
      <c r="J24" s="12">
        <v>217924.02</v>
      </c>
      <c r="K24" s="12">
        <v>2480788.9300000002</v>
      </c>
      <c r="L24" s="12">
        <v>15729.66</v>
      </c>
      <c r="M24" s="12">
        <v>178534.19</v>
      </c>
      <c r="N24" s="12">
        <v>384456.04</v>
      </c>
      <c r="O24" s="12">
        <v>4106260.14</v>
      </c>
      <c r="P24" s="12"/>
      <c r="Q24" s="12"/>
      <c r="R24" s="12"/>
      <c r="S24" s="12"/>
      <c r="T24" s="12">
        <v>963445.4</v>
      </c>
      <c r="U24" s="12">
        <v>7586590.1200000001</v>
      </c>
      <c r="V24" s="12">
        <v>336933.82</v>
      </c>
      <c r="W24" s="12">
        <v>3275676.7</v>
      </c>
      <c r="X24" s="13"/>
      <c r="Y24" s="13"/>
      <c r="Z24" s="13"/>
      <c r="AA24" s="13"/>
      <c r="AB24" s="13"/>
      <c r="AC24" s="13"/>
      <c r="AD24" s="13"/>
      <c r="AE24" s="13"/>
      <c r="AF24" s="13" t="str">
        <f t="shared" si="1"/>
        <v>四季度</v>
      </c>
    </row>
    <row r="25" spans="1:36" ht="28.8" x14ac:dyDescent="0.25">
      <c r="A25" s="4">
        <v>2018</v>
      </c>
      <c r="B25" s="4">
        <v>12</v>
      </c>
      <c r="C25" s="4" t="s">
        <v>18</v>
      </c>
      <c r="D25" s="12">
        <v>3055500.98</v>
      </c>
      <c r="E25" s="12">
        <v>38392759.210000001</v>
      </c>
      <c r="F25" s="12">
        <v>3055500.98</v>
      </c>
      <c r="G25" s="12">
        <v>38392759.210000001</v>
      </c>
      <c r="H25" s="12">
        <v>1571320.9</v>
      </c>
      <c r="I25" s="12">
        <v>19280729.07</v>
      </c>
      <c r="J25" s="12">
        <v>223422.01</v>
      </c>
      <c r="K25" s="12">
        <v>2704210.93</v>
      </c>
      <c r="L25" s="12">
        <v>14761.38</v>
      </c>
      <c r="M25" s="12">
        <v>193295.57</v>
      </c>
      <c r="N25" s="12">
        <v>377836.6</v>
      </c>
      <c r="O25" s="12">
        <v>4484096.7300000004</v>
      </c>
      <c r="P25" s="12"/>
      <c r="Q25" s="12"/>
      <c r="R25" s="12"/>
      <c r="S25" s="12"/>
      <c r="T25" s="12">
        <v>517329.67</v>
      </c>
      <c r="U25" s="12">
        <v>8103919.79</v>
      </c>
      <c r="V25" s="12">
        <v>350830.42</v>
      </c>
      <c r="W25" s="12">
        <v>3626507.12</v>
      </c>
      <c r="X25" s="13"/>
      <c r="Y25" s="13"/>
      <c r="Z25" s="13"/>
      <c r="AA25" s="13"/>
      <c r="AB25" s="13"/>
      <c r="AC25" s="13"/>
      <c r="AD25" s="13"/>
      <c r="AE25" s="13"/>
      <c r="AF25" s="13" t="str">
        <f t="shared" si="1"/>
        <v>四季度</v>
      </c>
    </row>
    <row r="26" spans="1:36" ht="28.8" x14ac:dyDescent="0.25">
      <c r="A26" s="4">
        <v>2019</v>
      </c>
      <c r="B26" s="4">
        <v>1</v>
      </c>
      <c r="C26" s="4" t="s">
        <v>18</v>
      </c>
      <c r="D26" s="12">
        <v>2989954.68</v>
      </c>
      <c r="E26" s="12">
        <v>2989954.68</v>
      </c>
      <c r="F26" s="12">
        <v>2989954.68</v>
      </c>
      <c r="G26" s="12">
        <v>2989954.68</v>
      </c>
      <c r="H26" s="12">
        <v>1722748.68</v>
      </c>
      <c r="I26" s="12">
        <v>1722748.68</v>
      </c>
      <c r="J26" s="85">
        <v>231334.23</v>
      </c>
      <c r="K26" s="12">
        <v>231334.23</v>
      </c>
      <c r="L26" s="12">
        <v>15642.45</v>
      </c>
      <c r="M26" s="12">
        <v>15642.45</v>
      </c>
      <c r="N26" s="12">
        <v>417876.88</v>
      </c>
      <c r="O26" s="12">
        <v>417876.88</v>
      </c>
      <c r="P26" s="12"/>
      <c r="Q26" s="12"/>
      <c r="R26" s="12"/>
      <c r="S26" s="12"/>
      <c r="T26" s="12">
        <v>237966.97</v>
      </c>
      <c r="U26" s="12">
        <v>237966.97</v>
      </c>
      <c r="V26" s="12">
        <v>364385.47</v>
      </c>
      <c r="W26" s="12">
        <v>364385.47</v>
      </c>
      <c r="X26" s="13"/>
      <c r="Y26" s="13"/>
      <c r="Z26" s="13"/>
      <c r="AA26" s="13"/>
      <c r="AB26" s="13"/>
      <c r="AC26" s="13"/>
      <c r="AD26" s="13"/>
      <c r="AE26" s="13"/>
      <c r="AF26" s="13" t="str">
        <f t="shared" si="1"/>
        <v>一季度</v>
      </c>
    </row>
    <row r="27" spans="1:36" ht="28.8" x14ac:dyDescent="0.25">
      <c r="A27" s="4">
        <v>2019</v>
      </c>
      <c r="B27" s="4">
        <v>2</v>
      </c>
      <c r="C27" s="4" t="s">
        <v>18</v>
      </c>
      <c r="D27" s="12">
        <v>5746388.0199999996</v>
      </c>
      <c r="E27" s="12">
        <v>8736342.6799999997</v>
      </c>
      <c r="F27" s="12">
        <v>5746388.0199999996</v>
      </c>
      <c r="G27" s="12">
        <v>8736342.6799999997</v>
      </c>
      <c r="H27" s="12">
        <v>1754196.01</v>
      </c>
      <c r="I27" s="12">
        <v>3476944.69</v>
      </c>
      <c r="J27" s="85">
        <v>219239.39</v>
      </c>
      <c r="K27" s="12">
        <v>450573.61</v>
      </c>
      <c r="L27" s="12">
        <v>15642.45</v>
      </c>
      <c r="M27" s="12">
        <v>31284.91</v>
      </c>
      <c r="N27" s="12">
        <v>361903.37</v>
      </c>
      <c r="O27" s="12">
        <v>779780.23</v>
      </c>
      <c r="P27" s="12"/>
      <c r="Q27" s="12"/>
      <c r="R27" s="12"/>
      <c r="S27" s="12"/>
      <c r="T27" s="12">
        <v>3075236.03</v>
      </c>
      <c r="U27" s="12">
        <v>3313203</v>
      </c>
      <c r="V27" s="12">
        <v>320170.77</v>
      </c>
      <c r="W27" s="12">
        <v>684556.24</v>
      </c>
      <c r="X27" s="13"/>
      <c r="Y27" s="13"/>
      <c r="Z27" s="13"/>
      <c r="AA27" s="13"/>
      <c r="AB27" s="13"/>
      <c r="AC27" s="13"/>
      <c r="AD27" s="13"/>
      <c r="AE27" s="13"/>
      <c r="AF27" s="13" t="str">
        <f t="shared" si="1"/>
        <v>一季度</v>
      </c>
    </row>
    <row r="28" spans="1:36" ht="28.8" x14ac:dyDescent="0.25">
      <c r="A28" s="4">
        <v>2019</v>
      </c>
      <c r="B28" s="4">
        <v>3</v>
      </c>
      <c r="C28" s="4" t="s">
        <v>18</v>
      </c>
      <c r="D28" s="12">
        <v>3953881.69</v>
      </c>
      <c r="E28" s="12">
        <v>12690224.380000001</v>
      </c>
      <c r="F28" s="12">
        <v>3953881.69</v>
      </c>
      <c r="G28" s="12">
        <v>12690224.380000001</v>
      </c>
      <c r="H28" s="12">
        <v>1638727.3</v>
      </c>
      <c r="I28" s="12">
        <v>5115671.99</v>
      </c>
      <c r="J28" s="85">
        <v>378700.96</v>
      </c>
      <c r="K28" s="12">
        <v>829274.58</v>
      </c>
      <c r="L28" s="12">
        <v>15642.45</v>
      </c>
      <c r="M28" s="12">
        <v>46927.360000000001</v>
      </c>
      <c r="N28" s="12">
        <v>398516.84</v>
      </c>
      <c r="O28" s="12">
        <v>1178297.07</v>
      </c>
      <c r="P28" s="12"/>
      <c r="Q28" s="12"/>
      <c r="R28" s="12"/>
      <c r="S28" s="12"/>
      <c r="T28" s="12">
        <v>1131757.92</v>
      </c>
      <c r="U28" s="12">
        <v>4444960.92</v>
      </c>
      <c r="V28" s="12">
        <v>390536.22</v>
      </c>
      <c r="W28" s="12">
        <v>1075092.46</v>
      </c>
      <c r="X28" s="13"/>
      <c r="Y28" s="13"/>
      <c r="Z28" s="13"/>
      <c r="AA28" s="13"/>
      <c r="AB28" s="13"/>
      <c r="AC28" s="13"/>
      <c r="AD28" s="13"/>
      <c r="AE28" s="13"/>
      <c r="AF28" s="13" t="str">
        <f t="shared" si="1"/>
        <v>一季度</v>
      </c>
    </row>
    <row r="29" spans="1:36" s="70" customFormat="1" ht="28.8" x14ac:dyDescent="0.25">
      <c r="A29" s="106">
        <v>2019</v>
      </c>
      <c r="B29" s="106">
        <v>4</v>
      </c>
      <c r="C29" s="106" t="s">
        <v>18</v>
      </c>
      <c r="D29" s="107">
        <v>7389644.25</v>
      </c>
      <c r="E29" s="107">
        <v>18941509.18</v>
      </c>
      <c r="F29" s="107">
        <v>7389644.25</v>
      </c>
      <c r="G29" s="107">
        <v>18941509.18</v>
      </c>
      <c r="H29" s="107">
        <v>2800781.05</v>
      </c>
      <c r="I29" s="107">
        <v>7916453.0199999996</v>
      </c>
      <c r="J29" s="107">
        <v>290449.53000000003</v>
      </c>
      <c r="K29" s="107">
        <v>1149493.4099999999</v>
      </c>
      <c r="L29" s="107">
        <v>15642.45</v>
      </c>
      <c r="M29" s="107">
        <v>62569.81</v>
      </c>
      <c r="N29" s="107">
        <v>435387.67</v>
      </c>
      <c r="O29" s="107">
        <v>1613684.73</v>
      </c>
      <c r="P29" s="107"/>
      <c r="Q29" s="107"/>
      <c r="R29" s="107"/>
      <c r="S29" s="107"/>
      <c r="T29" s="107">
        <v>3408346.92</v>
      </c>
      <c r="U29" s="107">
        <v>6685179.1200000001</v>
      </c>
      <c r="V29" s="107">
        <v>439036.63</v>
      </c>
      <c r="W29" s="107">
        <v>1514129.09</v>
      </c>
      <c r="X29" s="107"/>
      <c r="Y29" s="107"/>
      <c r="Z29" s="107"/>
      <c r="AA29" s="107"/>
      <c r="AB29" s="107"/>
      <c r="AC29" s="107"/>
      <c r="AD29" s="107"/>
      <c r="AE29" s="107"/>
      <c r="AF29" s="107" t="s">
        <v>273</v>
      </c>
      <c r="AH29" s="70">
        <v>2019</v>
      </c>
      <c r="AI29" s="70">
        <v>4</v>
      </c>
      <c r="AJ29" s="70" t="s">
        <v>18</v>
      </c>
    </row>
    <row r="30" spans="1:36" ht="28.8" x14ac:dyDescent="0.25">
      <c r="A30" s="4">
        <v>2019</v>
      </c>
      <c r="B30" s="4">
        <v>5</v>
      </c>
      <c r="C30" s="4" t="s">
        <v>18</v>
      </c>
      <c r="D30" s="12">
        <v>3939509.97</v>
      </c>
      <c r="E30" s="12">
        <v>22881019.129999999</v>
      </c>
      <c r="F30" s="12">
        <v>3939509.97</v>
      </c>
      <c r="G30" s="12">
        <v>22881019.129999999</v>
      </c>
      <c r="H30" s="12">
        <v>1817484.9</v>
      </c>
      <c r="I30" s="12">
        <v>9733937.9299999997</v>
      </c>
      <c r="J30" s="12">
        <v>293772.78999999998</v>
      </c>
      <c r="K30" s="12">
        <v>1443266.2</v>
      </c>
      <c r="L30" s="12">
        <v>15642.45</v>
      </c>
      <c r="M30" s="12">
        <v>78212.259999999995</v>
      </c>
      <c r="N30" s="12">
        <v>397310.3</v>
      </c>
      <c r="O30" s="12">
        <v>2010995</v>
      </c>
      <c r="P30" s="12"/>
      <c r="Q30" s="12"/>
      <c r="R30" s="12"/>
      <c r="S30" s="12"/>
      <c r="T30" s="12">
        <v>965785.57</v>
      </c>
      <c r="U30" s="12">
        <v>7650964.6900000004</v>
      </c>
      <c r="V30" s="12">
        <v>449513.96</v>
      </c>
      <c r="W30" s="12">
        <v>1963643.05</v>
      </c>
      <c r="X30" s="13"/>
      <c r="Y30" s="13"/>
      <c r="Z30" s="13"/>
      <c r="AA30" s="13"/>
      <c r="AB30" s="13"/>
      <c r="AC30" s="13"/>
      <c r="AD30" s="13"/>
      <c r="AE30" s="13"/>
      <c r="AF30" s="13" t="str">
        <f t="shared" si="1"/>
        <v>二季度</v>
      </c>
    </row>
    <row r="31" spans="1:36" ht="28.8" x14ac:dyDescent="0.25">
      <c r="A31" s="4">
        <v>2019</v>
      </c>
      <c r="B31" s="4">
        <v>6</v>
      </c>
      <c r="C31" s="4" t="s">
        <v>18</v>
      </c>
      <c r="D31" s="12">
        <v>3532449.45</v>
      </c>
      <c r="E31" s="12">
        <v>26413468.600000001</v>
      </c>
      <c r="F31" s="12">
        <v>3532449.45</v>
      </c>
      <c r="G31" s="12">
        <v>26413468.600000001</v>
      </c>
      <c r="H31" s="12">
        <v>1897537.38</v>
      </c>
      <c r="I31" s="12">
        <v>11631475.289999999</v>
      </c>
      <c r="J31" s="12">
        <v>286221.11</v>
      </c>
      <c r="K31" s="12">
        <v>1729487.33</v>
      </c>
      <c r="L31" s="12">
        <v>15642.45</v>
      </c>
      <c r="M31" s="12">
        <v>93854.720000000001</v>
      </c>
      <c r="N31" s="12">
        <v>407116.12</v>
      </c>
      <c r="O31" s="12">
        <v>2418111.13</v>
      </c>
      <c r="P31" s="12"/>
      <c r="Q31" s="12"/>
      <c r="R31" s="12"/>
      <c r="S31" s="12"/>
      <c r="T31" s="12">
        <v>454142.97</v>
      </c>
      <c r="U31" s="12">
        <v>8105107.6600000001</v>
      </c>
      <c r="V31" s="12">
        <v>471789.42</v>
      </c>
      <c r="W31" s="12">
        <v>2435432.4700000002</v>
      </c>
      <c r="X31" s="13"/>
      <c r="Y31" s="13"/>
      <c r="Z31" s="13"/>
      <c r="AA31" s="13"/>
      <c r="AB31" s="13"/>
      <c r="AC31" s="13"/>
      <c r="AD31" s="13"/>
      <c r="AE31" s="13"/>
      <c r="AF31" s="13" t="str">
        <f t="shared" si="1"/>
        <v>二季度</v>
      </c>
    </row>
    <row r="32" spans="1:36" ht="28.8" x14ac:dyDescent="0.25">
      <c r="A32" s="4">
        <v>2019</v>
      </c>
      <c r="B32" s="4">
        <v>7</v>
      </c>
      <c r="C32" s="4" t="s">
        <v>18</v>
      </c>
      <c r="D32" s="12">
        <v>3611193.3</v>
      </c>
      <c r="E32" s="12">
        <v>30015406.539999999</v>
      </c>
      <c r="F32" s="12">
        <v>3611193.3</v>
      </c>
      <c r="G32" s="12">
        <v>30015406.539999999</v>
      </c>
      <c r="H32" s="12">
        <v>1710079.05</v>
      </c>
      <c r="I32" s="12">
        <v>13341554.33</v>
      </c>
      <c r="J32" s="12">
        <v>292477.52</v>
      </c>
      <c r="K32" s="12">
        <v>2012709.5</v>
      </c>
      <c r="L32" s="12">
        <v>15712.26</v>
      </c>
      <c r="M32" s="12">
        <v>109566.98</v>
      </c>
      <c r="N32" s="12">
        <v>444916.71</v>
      </c>
      <c r="O32" s="12">
        <v>2863027.84</v>
      </c>
      <c r="P32" s="12"/>
      <c r="Q32" s="12"/>
      <c r="R32" s="12"/>
      <c r="S32" s="12"/>
      <c r="T32" s="12">
        <v>681642.1</v>
      </c>
      <c r="U32" s="12">
        <v>8786749.7599999998</v>
      </c>
      <c r="V32" s="12">
        <v>466365.66</v>
      </c>
      <c r="W32" s="12">
        <v>2901798.13</v>
      </c>
      <c r="X32" s="13"/>
      <c r="Y32" s="13"/>
      <c r="Z32" s="13"/>
      <c r="AA32" s="13"/>
      <c r="AB32" s="13"/>
      <c r="AC32" s="13"/>
      <c r="AD32" s="13"/>
      <c r="AE32" s="13"/>
      <c r="AF32" s="13" t="str">
        <f t="shared" si="1"/>
        <v>三季度</v>
      </c>
    </row>
    <row r="33" spans="1:35" ht="28.8" x14ac:dyDescent="0.25">
      <c r="A33" s="4">
        <v>2019</v>
      </c>
      <c r="B33" s="4">
        <v>8</v>
      </c>
      <c r="C33" s="4" t="s">
        <v>18</v>
      </c>
      <c r="D33" s="12">
        <v>3867795.62</v>
      </c>
      <c r="E33" s="12">
        <v>33892457.520000003</v>
      </c>
      <c r="F33" s="12">
        <v>3867795.62</v>
      </c>
      <c r="G33" s="12">
        <v>33892457.520000003</v>
      </c>
      <c r="H33" s="12">
        <v>1280707.08</v>
      </c>
      <c r="I33" s="12">
        <v>14622261.439999999</v>
      </c>
      <c r="J33" s="12">
        <v>300413.67</v>
      </c>
      <c r="K33" s="12">
        <v>2322378.4700000002</v>
      </c>
      <c r="L33" s="12">
        <v>14911.32</v>
      </c>
      <c r="M33" s="12">
        <v>124478.3</v>
      </c>
      <c r="N33" s="12">
        <v>423681.72</v>
      </c>
      <c r="O33" s="12">
        <v>3286709.59</v>
      </c>
      <c r="P33" s="12"/>
      <c r="Q33" s="12"/>
      <c r="R33" s="12"/>
      <c r="S33" s="12"/>
      <c r="T33" s="12">
        <v>851811.65</v>
      </c>
      <c r="U33" s="12">
        <v>9638561.4100000001</v>
      </c>
      <c r="V33" s="12">
        <v>996270.18</v>
      </c>
      <c r="W33" s="12">
        <v>3898068.31</v>
      </c>
      <c r="X33" s="13"/>
      <c r="Y33" s="13"/>
      <c r="Z33" s="13"/>
      <c r="AA33" s="13"/>
      <c r="AB33" s="13"/>
      <c r="AC33" s="13"/>
      <c r="AD33" s="13"/>
      <c r="AE33" s="13"/>
      <c r="AF33" s="13" t="str">
        <f t="shared" si="1"/>
        <v>三季度</v>
      </c>
    </row>
    <row r="34" spans="1:35" ht="28.8" x14ac:dyDescent="0.25">
      <c r="A34" s="4">
        <v>2019</v>
      </c>
      <c r="B34" s="4">
        <v>9</v>
      </c>
      <c r="C34" s="4" t="s">
        <v>18</v>
      </c>
      <c r="D34" s="12">
        <v>4811143.72</v>
      </c>
      <c r="E34" s="12">
        <v>38703601.280000001</v>
      </c>
      <c r="F34" s="12">
        <v>4811143.72</v>
      </c>
      <c r="G34" s="12">
        <v>38703601.280000001</v>
      </c>
      <c r="H34" s="12">
        <v>1608307.42</v>
      </c>
      <c r="I34" s="12">
        <v>16230568.859999999</v>
      </c>
      <c r="J34" s="12">
        <v>301751.76</v>
      </c>
      <c r="K34" s="12">
        <v>2624130.27</v>
      </c>
      <c r="L34" s="12">
        <v>14912.26</v>
      </c>
      <c r="M34" s="12">
        <v>139390.57</v>
      </c>
      <c r="N34" s="12">
        <v>427663.73</v>
      </c>
      <c r="O34" s="12">
        <v>3714373.31</v>
      </c>
      <c r="P34" s="12"/>
      <c r="Q34" s="12"/>
      <c r="R34" s="12"/>
      <c r="S34" s="12"/>
      <c r="T34" s="12">
        <v>1407627.56</v>
      </c>
      <c r="U34" s="12">
        <v>11046188.970000001</v>
      </c>
      <c r="V34" s="12">
        <v>1050880.99</v>
      </c>
      <c r="W34" s="12">
        <v>4948949.3</v>
      </c>
      <c r="X34" s="13"/>
      <c r="Y34" s="13"/>
      <c r="Z34" s="13"/>
      <c r="AA34" s="13"/>
      <c r="AB34" s="13"/>
      <c r="AC34" s="13"/>
      <c r="AD34" s="13"/>
      <c r="AE34" s="13"/>
      <c r="AF34" s="13" t="str">
        <f t="shared" si="1"/>
        <v>三季度</v>
      </c>
    </row>
    <row r="35" spans="1:35" ht="28.8" x14ac:dyDescent="0.25">
      <c r="A35" s="4">
        <v>2019</v>
      </c>
      <c r="B35" s="4">
        <v>10</v>
      </c>
      <c r="C35" s="4" t="s">
        <v>18</v>
      </c>
      <c r="D35" s="12">
        <v>3634951.69</v>
      </c>
      <c r="E35" s="12">
        <v>42338552.950000003</v>
      </c>
      <c r="F35" s="12">
        <v>3634951.69</v>
      </c>
      <c r="G35" s="12">
        <v>42338552.950000003</v>
      </c>
      <c r="H35" s="12">
        <v>753081.87</v>
      </c>
      <c r="I35" s="12">
        <v>16983650.75</v>
      </c>
      <c r="J35" s="12">
        <v>308129.96000000002</v>
      </c>
      <c r="K35" s="12">
        <v>2932260.19</v>
      </c>
      <c r="L35" s="12">
        <v>14986.83</v>
      </c>
      <c r="M35" s="12">
        <v>154377.4</v>
      </c>
      <c r="N35" s="12">
        <v>417693.47</v>
      </c>
      <c r="O35" s="12">
        <v>4132066.78</v>
      </c>
      <c r="P35" s="12"/>
      <c r="Q35" s="12"/>
      <c r="R35" s="12"/>
      <c r="S35" s="12"/>
      <c r="T35" s="12">
        <v>1005614.97</v>
      </c>
      <c r="U35" s="12">
        <v>12051803.939999999</v>
      </c>
      <c r="V35" s="12">
        <v>1135444.5900000001</v>
      </c>
      <c r="W35" s="12">
        <v>6084393.8899999997</v>
      </c>
      <c r="X35" s="13"/>
      <c r="Y35" s="13"/>
      <c r="Z35" s="13"/>
      <c r="AA35" s="13"/>
      <c r="AB35" s="13"/>
      <c r="AC35" s="13"/>
      <c r="AD35" s="13"/>
      <c r="AE35" s="13"/>
      <c r="AF35" s="13" t="str">
        <f t="shared" si="1"/>
        <v>四季度</v>
      </c>
    </row>
    <row r="36" spans="1:35" ht="28.8" x14ac:dyDescent="0.25">
      <c r="A36" s="4">
        <v>2019</v>
      </c>
      <c r="B36" s="4">
        <v>11</v>
      </c>
      <c r="C36" s="4" t="s">
        <v>18</v>
      </c>
      <c r="D36" s="12">
        <v>4181479.94</v>
      </c>
      <c r="E36" s="12">
        <v>46520032.920000002</v>
      </c>
      <c r="F36" s="12">
        <v>4181479.94</v>
      </c>
      <c r="G36" s="12">
        <v>46520032.920000002</v>
      </c>
      <c r="H36" s="12">
        <v>1437640.95</v>
      </c>
      <c r="I36" s="12">
        <v>18421291.699999999</v>
      </c>
      <c r="J36" s="12">
        <v>296679.14</v>
      </c>
      <c r="K36" s="12">
        <v>3228939.36</v>
      </c>
      <c r="L36" s="12">
        <v>14987.57</v>
      </c>
      <c r="M36" s="12">
        <v>169364.97</v>
      </c>
      <c r="N36" s="12">
        <v>425128.29</v>
      </c>
      <c r="O36" s="12">
        <v>4557195.07</v>
      </c>
      <c r="P36" s="12"/>
      <c r="Q36" s="12"/>
      <c r="R36" s="12"/>
      <c r="S36" s="12"/>
      <c r="T36" s="12">
        <v>912687.07</v>
      </c>
      <c r="U36" s="12">
        <v>12964491.01</v>
      </c>
      <c r="V36" s="12">
        <v>1094356.92</v>
      </c>
      <c r="W36" s="12">
        <v>7178750.8099999996</v>
      </c>
      <c r="X36" s="13"/>
      <c r="Y36" s="13"/>
      <c r="Z36" s="13"/>
      <c r="AA36" s="13"/>
      <c r="AB36" s="13"/>
      <c r="AC36" s="13"/>
      <c r="AD36" s="13"/>
      <c r="AE36" s="13"/>
      <c r="AF36" s="13" t="str">
        <f t="shared" si="1"/>
        <v>四季度</v>
      </c>
    </row>
    <row r="37" spans="1:35" ht="28.8" x14ac:dyDescent="0.25">
      <c r="A37" s="4">
        <v>2019</v>
      </c>
      <c r="B37" s="4">
        <v>12</v>
      </c>
      <c r="C37" s="4" t="s">
        <v>18</v>
      </c>
      <c r="D37" s="12">
        <v>3851891.03</v>
      </c>
      <c r="E37" s="12">
        <v>50371923.93</v>
      </c>
      <c r="F37" s="12">
        <v>3851891.03</v>
      </c>
      <c r="G37" s="12">
        <v>50371923.93</v>
      </c>
      <c r="H37" s="12">
        <v>1459819.55</v>
      </c>
      <c r="I37" s="12">
        <v>19881111.239999998</v>
      </c>
      <c r="J37" s="12">
        <v>302564.34999999998</v>
      </c>
      <c r="K37" s="12">
        <v>3531503.7</v>
      </c>
      <c r="L37" s="12">
        <v>15077.24</v>
      </c>
      <c r="M37" s="12">
        <v>184442.22</v>
      </c>
      <c r="N37" s="12">
        <v>425883.36</v>
      </c>
      <c r="O37" s="12">
        <v>4983078.42</v>
      </c>
      <c r="P37" s="12"/>
      <c r="Q37" s="12"/>
      <c r="R37" s="12"/>
      <c r="S37" s="12"/>
      <c r="T37" s="12">
        <v>427264.67</v>
      </c>
      <c r="U37" s="12">
        <v>13391755.68</v>
      </c>
      <c r="V37" s="12">
        <v>1221281.8600000001</v>
      </c>
      <c r="W37" s="12">
        <v>8400032.6699999999</v>
      </c>
      <c r="X37" s="13"/>
      <c r="Y37" s="13"/>
      <c r="Z37" s="13"/>
      <c r="AA37" s="13"/>
      <c r="AB37" s="13"/>
      <c r="AC37" s="13"/>
      <c r="AD37" s="13"/>
      <c r="AE37" s="13"/>
      <c r="AF37" s="13" t="str">
        <f t="shared" si="1"/>
        <v>四季度</v>
      </c>
    </row>
    <row r="38" spans="1:35" ht="28.8" x14ac:dyDescent="0.25">
      <c r="A38" s="4">
        <v>2020</v>
      </c>
      <c r="B38" s="4">
        <v>1</v>
      </c>
      <c r="C38" s="4" t="s">
        <v>18</v>
      </c>
      <c r="D38" s="12">
        <v>3044873.43</v>
      </c>
      <c r="E38" s="12">
        <v>3044873.43</v>
      </c>
      <c r="F38" s="12">
        <v>3044873.43</v>
      </c>
      <c r="G38" s="12">
        <v>3044873.43</v>
      </c>
      <c r="H38" s="12">
        <v>850224.88</v>
      </c>
      <c r="I38" s="12">
        <v>850224.88</v>
      </c>
      <c r="J38" s="12">
        <v>314981.82</v>
      </c>
      <c r="K38" s="12">
        <v>314981.82</v>
      </c>
      <c r="L38" s="12">
        <v>14988.76</v>
      </c>
      <c r="M38" s="12">
        <v>14988.76</v>
      </c>
      <c r="N38" s="12">
        <v>375046.93</v>
      </c>
      <c r="O38" s="12">
        <v>375046.93</v>
      </c>
      <c r="P38" s="12"/>
      <c r="Q38" s="12"/>
      <c r="R38" s="12"/>
      <c r="S38" s="12"/>
      <c r="T38" s="12">
        <v>223600.7</v>
      </c>
      <c r="U38" s="12">
        <v>223600.7</v>
      </c>
      <c r="V38" s="12">
        <v>1266030.3400000001</v>
      </c>
      <c r="W38" s="12">
        <v>1266030.3400000001</v>
      </c>
      <c r="X38" s="13"/>
      <c r="Y38" s="13"/>
      <c r="Z38" s="13"/>
      <c r="AA38" s="13"/>
      <c r="AB38" s="13"/>
      <c r="AC38" s="13"/>
      <c r="AD38" s="13"/>
      <c r="AE38" s="13"/>
      <c r="AF38" s="13" t="str">
        <f t="shared" si="1"/>
        <v>一季度</v>
      </c>
      <c r="AG38" s="4"/>
    </row>
    <row r="39" spans="1:35" ht="28.8" x14ac:dyDescent="0.25">
      <c r="A39" s="4">
        <v>2020</v>
      </c>
      <c r="B39" s="4">
        <v>2</v>
      </c>
      <c r="C39" s="4" t="s">
        <v>18</v>
      </c>
      <c r="D39" s="12">
        <v>5002163.37</v>
      </c>
      <c r="E39" s="12">
        <v>8047036.7800000003</v>
      </c>
      <c r="F39" s="12">
        <v>5002163.37</v>
      </c>
      <c r="G39" s="12">
        <v>8047036.7800000003</v>
      </c>
      <c r="H39" s="12">
        <v>852423.27</v>
      </c>
      <c r="I39" s="12">
        <v>1702648.15</v>
      </c>
      <c r="J39" s="12">
        <v>317946.83</v>
      </c>
      <c r="K39" s="12">
        <v>632928.64</v>
      </c>
      <c r="L39" s="12">
        <v>14989.17</v>
      </c>
      <c r="M39" s="12">
        <v>29977.93</v>
      </c>
      <c r="N39" s="12">
        <v>378172.02</v>
      </c>
      <c r="O39" s="12">
        <v>753218.94</v>
      </c>
      <c r="P39" s="12"/>
      <c r="Q39" s="12"/>
      <c r="R39" s="12"/>
      <c r="S39" s="12"/>
      <c r="T39" s="12">
        <v>2225243.7200000002</v>
      </c>
      <c r="U39" s="12">
        <v>2448844.42</v>
      </c>
      <c r="V39" s="12">
        <v>1213388.3600000001</v>
      </c>
      <c r="W39" s="12">
        <v>2479418.7000000002</v>
      </c>
      <c r="X39" s="13"/>
      <c r="Y39" s="13"/>
      <c r="Z39" s="13"/>
      <c r="AA39" s="13"/>
      <c r="AB39" s="13"/>
      <c r="AC39" s="13"/>
      <c r="AD39" s="13"/>
      <c r="AE39" s="13"/>
      <c r="AF39" s="13" t="str">
        <f t="shared" si="1"/>
        <v>一季度</v>
      </c>
      <c r="AG39" s="4"/>
      <c r="AH39" s="4"/>
      <c r="AI39" s="4"/>
    </row>
    <row r="40" spans="1:35" ht="28.8" x14ac:dyDescent="0.25">
      <c r="A40" s="4">
        <v>2020</v>
      </c>
      <c r="B40" s="4">
        <v>3</v>
      </c>
      <c r="C40" s="4" t="s">
        <v>18</v>
      </c>
      <c r="D40" s="12">
        <v>3310474.01</v>
      </c>
      <c r="E40" s="12">
        <v>11357510.82</v>
      </c>
      <c r="F40" s="12">
        <v>3310474.01</v>
      </c>
      <c r="G40" s="12">
        <v>11357510.82</v>
      </c>
      <c r="H40" s="12">
        <v>777221.29</v>
      </c>
      <c r="I40" s="12">
        <v>2479869.4500000002</v>
      </c>
      <c r="J40" s="12">
        <v>331593.39</v>
      </c>
      <c r="K40" s="12">
        <v>964522.05</v>
      </c>
      <c r="L40" s="12">
        <v>14990.35</v>
      </c>
      <c r="M40" s="12">
        <v>44968.28</v>
      </c>
      <c r="N40" s="12">
        <v>407608.77</v>
      </c>
      <c r="O40" s="12">
        <v>1160827.71</v>
      </c>
      <c r="P40" s="12"/>
      <c r="Q40" s="12"/>
      <c r="R40" s="12"/>
      <c r="S40" s="12"/>
      <c r="T40" s="12">
        <v>449175.32</v>
      </c>
      <c r="U40" s="12">
        <v>2898019.74</v>
      </c>
      <c r="V40" s="12">
        <v>1329884.8899999999</v>
      </c>
      <c r="W40" s="12">
        <v>3809303.59</v>
      </c>
      <c r="X40" s="13"/>
      <c r="Y40" s="13"/>
      <c r="Z40" s="13"/>
      <c r="AA40" s="13"/>
      <c r="AB40" s="13"/>
      <c r="AC40" s="13"/>
      <c r="AD40" s="13"/>
      <c r="AE40" s="13"/>
      <c r="AF40" s="13" t="str">
        <f t="shared" si="1"/>
        <v>一季度</v>
      </c>
      <c r="AG40" s="4"/>
      <c r="AH40" s="4"/>
      <c r="AI40" s="4"/>
    </row>
    <row r="41" spans="1:35" ht="28.8" x14ac:dyDescent="0.25">
      <c r="A41" s="4">
        <v>2020</v>
      </c>
      <c r="B41" s="4">
        <v>4</v>
      </c>
      <c r="C41" s="4" t="s">
        <v>18</v>
      </c>
      <c r="D41" s="12">
        <v>6453174.3099999996</v>
      </c>
      <c r="E41" s="12">
        <v>17810685.100000001</v>
      </c>
      <c r="F41" s="12">
        <v>6453174.3099999996</v>
      </c>
      <c r="G41" s="12">
        <v>17810685.100000001</v>
      </c>
      <c r="H41" s="12">
        <v>4282398.2699999996</v>
      </c>
      <c r="I41" s="12">
        <v>6762267.71</v>
      </c>
      <c r="J41" s="12">
        <v>326580.78999999998</v>
      </c>
      <c r="K41" s="12">
        <v>1291102.83</v>
      </c>
      <c r="L41" s="12">
        <v>14995.03</v>
      </c>
      <c r="M41" s="12">
        <v>59963.31</v>
      </c>
      <c r="N41" s="12">
        <v>15422.21</v>
      </c>
      <c r="O41" s="12">
        <v>1176249.9099999999</v>
      </c>
      <c r="P41" s="12"/>
      <c r="Q41" s="12"/>
      <c r="R41" s="12"/>
      <c r="S41" s="12"/>
      <c r="T41" s="12">
        <v>500104.09</v>
      </c>
      <c r="U41" s="12">
        <v>3398123.83</v>
      </c>
      <c r="V41" s="12">
        <v>1313673.92</v>
      </c>
      <c r="W41" s="12">
        <v>5122977.51</v>
      </c>
      <c r="X41" s="13"/>
      <c r="Y41" s="13"/>
      <c r="Z41" s="13"/>
      <c r="AA41" s="13"/>
      <c r="AB41" s="13"/>
      <c r="AC41" s="13"/>
      <c r="AD41" s="13"/>
      <c r="AE41" s="13"/>
      <c r="AF41" s="13" t="str">
        <f t="shared" si="1"/>
        <v>二季度</v>
      </c>
      <c r="AG41" s="4"/>
      <c r="AH41" s="4"/>
      <c r="AI41" s="4"/>
    </row>
    <row r="42" spans="1:35" ht="28.8" x14ac:dyDescent="0.25">
      <c r="A42" s="106">
        <v>2020</v>
      </c>
      <c r="B42" s="106">
        <v>5</v>
      </c>
      <c r="C42" s="106" t="s">
        <v>18</v>
      </c>
      <c r="D42" s="85">
        <v>2199805.16</v>
      </c>
      <c r="E42" s="85">
        <v>9324079.1999999993</v>
      </c>
      <c r="F42" s="85">
        <v>1102895.17</v>
      </c>
      <c r="G42" s="85">
        <v>4818728.68</v>
      </c>
      <c r="H42" s="85">
        <v>0</v>
      </c>
      <c r="I42" s="85">
        <v>0</v>
      </c>
      <c r="J42" s="85">
        <v>544741.4</v>
      </c>
      <c r="K42" s="85">
        <v>1903990.94</v>
      </c>
      <c r="L42" s="85">
        <v>552168.57999999996</v>
      </c>
      <c r="M42" s="85">
        <v>2601359.59</v>
      </c>
      <c r="N42" s="85"/>
      <c r="O42" s="85"/>
      <c r="P42" s="108"/>
      <c r="Q42" s="108"/>
      <c r="R42" s="108"/>
      <c r="S42" s="108"/>
      <c r="T42" s="108"/>
      <c r="U42" s="108"/>
      <c r="V42" s="108"/>
      <c r="W42" s="108"/>
      <c r="X42" s="107"/>
      <c r="Y42" s="107"/>
      <c r="Z42" s="107"/>
      <c r="AA42" s="107"/>
      <c r="AB42" s="107"/>
      <c r="AC42" s="107"/>
      <c r="AD42" s="107"/>
      <c r="AE42" s="107"/>
      <c r="AF42" s="108" t="str">
        <f t="shared" si="1"/>
        <v>二季度</v>
      </c>
    </row>
    <row r="43" spans="1:35" ht="28.8" x14ac:dyDescent="0.25">
      <c r="A43" s="106">
        <v>2020</v>
      </c>
      <c r="B43" s="106">
        <v>6</v>
      </c>
      <c r="C43" s="106" t="s">
        <v>18</v>
      </c>
      <c r="D43" s="85">
        <v>2292069.7999999998</v>
      </c>
      <c r="E43" s="85">
        <v>11616148.98</v>
      </c>
      <c r="F43" s="85">
        <v>1080220.3799999999</v>
      </c>
      <c r="G43" s="85">
        <v>5898949.04</v>
      </c>
      <c r="H43" s="85">
        <v>0</v>
      </c>
      <c r="I43" s="85">
        <v>0</v>
      </c>
      <c r="J43" s="85">
        <v>634324.03</v>
      </c>
      <c r="K43" s="85">
        <v>2538314.9700000002</v>
      </c>
      <c r="L43" s="85">
        <v>577525.38</v>
      </c>
      <c r="M43" s="85">
        <v>3178884.97</v>
      </c>
      <c r="N43" s="85"/>
      <c r="O43" s="85"/>
      <c r="P43" s="108"/>
      <c r="Q43" s="108"/>
      <c r="R43" s="108"/>
      <c r="S43" s="108"/>
      <c r="T43" s="108"/>
      <c r="U43" s="108"/>
      <c r="V43" s="108"/>
      <c r="W43" s="108"/>
      <c r="X43" s="107"/>
      <c r="Y43" s="107"/>
      <c r="Z43" s="107"/>
      <c r="AA43" s="107"/>
      <c r="AB43" s="107"/>
      <c r="AC43" s="107"/>
      <c r="AD43" s="107"/>
      <c r="AE43" s="107"/>
      <c r="AF43" s="108" t="str">
        <f t="shared" si="1"/>
        <v>二季度</v>
      </c>
    </row>
    <row r="44" spans="1:35" ht="14.4" x14ac:dyDescent="0.25">
      <c r="A44">
        <v>2020</v>
      </c>
      <c r="B44">
        <v>7</v>
      </c>
      <c r="C44" t="s">
        <v>18</v>
      </c>
      <c r="D44" s="17">
        <v>5135990.46</v>
      </c>
      <c r="E44" s="17">
        <v>34810673.270000003</v>
      </c>
      <c r="F44" s="17">
        <v>5135990.46</v>
      </c>
      <c r="G44" s="17">
        <v>34810673.270000003</v>
      </c>
      <c r="H44" s="17">
        <v>1515031.87</v>
      </c>
      <c r="I44" s="17">
        <v>9124456.4199999999</v>
      </c>
      <c r="J44" s="17">
        <v>400562.17</v>
      </c>
      <c r="K44" s="17">
        <v>2360341.56</v>
      </c>
      <c r="L44" s="17">
        <v>14995.7</v>
      </c>
      <c r="M44" s="17">
        <v>104950.24</v>
      </c>
      <c r="N44" s="17">
        <v>529240.94999999995</v>
      </c>
      <c r="O44" s="17">
        <v>2966044.74</v>
      </c>
      <c r="P44" s="17">
        <v>352467.23</v>
      </c>
      <c r="Q44" s="17">
        <v>2238522.7799999998</v>
      </c>
      <c r="R44" s="17">
        <v>295839.07</v>
      </c>
      <c r="S44" s="17">
        <v>1695504.22</v>
      </c>
      <c r="T44" s="17">
        <v>558580.29</v>
      </c>
      <c r="U44" s="17">
        <v>6904367.71</v>
      </c>
      <c r="V44" s="17">
        <v>1469273.18</v>
      </c>
      <c r="W44" s="17">
        <v>9416485.5999999996</v>
      </c>
      <c r="AF44" s="108" t="str">
        <f t="shared" si="1"/>
        <v>三季度</v>
      </c>
    </row>
    <row r="45" spans="1:35" ht="14.4" x14ac:dyDescent="0.25">
      <c r="A45">
        <v>2020</v>
      </c>
      <c r="B45">
        <v>8</v>
      </c>
      <c r="C45" t="s">
        <v>18</v>
      </c>
      <c r="D45" s="17">
        <v>5246232.3499999996</v>
      </c>
      <c r="E45" s="17">
        <v>40056905.619999997</v>
      </c>
      <c r="F45" s="17">
        <v>5246232.3499999996</v>
      </c>
      <c r="G45" s="17">
        <v>40056905.619999997</v>
      </c>
      <c r="H45" s="17">
        <v>1574937.25</v>
      </c>
      <c r="I45" s="17">
        <v>10699393.699999999</v>
      </c>
      <c r="J45" s="17">
        <v>390526.9</v>
      </c>
      <c r="K45" s="17">
        <v>2750868.44</v>
      </c>
      <c r="L45" s="17">
        <v>15101.88</v>
      </c>
      <c r="M45" s="17">
        <v>120052.12</v>
      </c>
      <c r="N45" s="17">
        <v>473223.03</v>
      </c>
      <c r="O45" s="17">
        <v>3439267.76</v>
      </c>
      <c r="P45" s="17">
        <v>379316.73</v>
      </c>
      <c r="Q45" s="17">
        <v>2617839.5099999998</v>
      </c>
      <c r="R45" s="17">
        <v>314861.98</v>
      </c>
      <c r="S45" s="17">
        <v>2010366.2</v>
      </c>
      <c r="T45" s="17">
        <v>585265.13</v>
      </c>
      <c r="U45" s="17">
        <v>7489632.8399999999</v>
      </c>
      <c r="V45" s="17">
        <v>1512999.45</v>
      </c>
      <c r="W45" s="17">
        <v>10929485.050000001</v>
      </c>
      <c r="AF45" s="108" t="str">
        <f t="shared" si="1"/>
        <v>三季度</v>
      </c>
    </row>
    <row r="46" spans="1:35" ht="14.4" x14ac:dyDescent="0.25">
      <c r="A46">
        <v>2020</v>
      </c>
      <c r="B46">
        <v>9</v>
      </c>
      <c r="C46" t="s">
        <v>18</v>
      </c>
      <c r="D46" s="17">
        <v>4984381</v>
      </c>
      <c r="E46" s="17">
        <v>45041279.640000001</v>
      </c>
      <c r="F46" s="17">
        <v>4984381</v>
      </c>
      <c r="G46" s="17">
        <v>45041279.640000001</v>
      </c>
      <c r="H46" s="17">
        <v>1231224.54</v>
      </c>
      <c r="I46" s="17">
        <v>11930611.279999999</v>
      </c>
      <c r="J46" s="17">
        <v>370995.26</v>
      </c>
      <c r="K46" s="17">
        <v>3121863.68</v>
      </c>
      <c r="L46" s="17">
        <v>14204.16</v>
      </c>
      <c r="M46" s="17">
        <v>134256.26999999999</v>
      </c>
      <c r="N46" s="17">
        <v>500856.81</v>
      </c>
      <c r="O46" s="17">
        <v>3940124.58</v>
      </c>
      <c r="P46" s="17">
        <v>391251.86</v>
      </c>
      <c r="Q46" s="17">
        <v>3009091.36</v>
      </c>
      <c r="R46" s="17">
        <v>329230.69</v>
      </c>
      <c r="S46" s="17">
        <v>2339596.9</v>
      </c>
      <c r="T46" s="17">
        <v>576191.93000000005</v>
      </c>
      <c r="U46" s="17">
        <v>8065824.7699999996</v>
      </c>
      <c r="V46" s="17">
        <v>1570425.75</v>
      </c>
      <c r="W46" s="17">
        <v>12499910.800000001</v>
      </c>
      <c r="AF46" s="108" t="str">
        <f t="shared" si="1"/>
        <v>三季度</v>
      </c>
    </row>
    <row r="47" spans="1:35" ht="14.4" x14ac:dyDescent="0.25">
      <c r="A47">
        <v>2020</v>
      </c>
      <c r="B47">
        <v>10</v>
      </c>
      <c r="C47" t="s">
        <v>18</v>
      </c>
      <c r="D47" s="17">
        <v>5603424.54</v>
      </c>
      <c r="E47" s="17">
        <v>50644704.189999998</v>
      </c>
      <c r="F47" s="17">
        <v>5603424.54</v>
      </c>
      <c r="G47" s="17">
        <v>50644704.189999998</v>
      </c>
      <c r="H47" s="17">
        <v>1753151.52</v>
      </c>
      <c r="I47" s="17">
        <v>13683762.810000001</v>
      </c>
      <c r="J47" s="17">
        <v>372205.42</v>
      </c>
      <c r="K47" s="17">
        <v>3494069.11</v>
      </c>
      <c r="L47" s="17">
        <v>14204.34</v>
      </c>
      <c r="M47" s="17">
        <v>148460.60999999999</v>
      </c>
      <c r="N47" s="17">
        <v>544247.26</v>
      </c>
      <c r="O47" s="17">
        <v>4484371.84</v>
      </c>
      <c r="P47" s="17">
        <v>387064.26</v>
      </c>
      <c r="Q47" s="17">
        <v>3396155.62</v>
      </c>
      <c r="R47" s="17">
        <v>336712.19</v>
      </c>
      <c r="S47" s="17">
        <v>2676309.08</v>
      </c>
      <c r="T47" s="17">
        <v>560258.89</v>
      </c>
      <c r="U47" s="17">
        <v>8626083.6600000001</v>
      </c>
      <c r="V47" s="17">
        <v>1635580.66</v>
      </c>
      <c r="W47" s="17">
        <v>14135491.460000001</v>
      </c>
      <c r="AF47" s="108"/>
    </row>
    <row r="48" spans="1:35" ht="14.4" x14ac:dyDescent="0.25">
      <c r="A48">
        <v>2020</v>
      </c>
      <c r="B48">
        <v>11</v>
      </c>
      <c r="C48" t="s">
        <v>18</v>
      </c>
      <c r="D48" s="17">
        <v>5330232.71</v>
      </c>
      <c r="E48" s="17">
        <v>55974971.789999999</v>
      </c>
      <c r="F48" s="17">
        <v>5330232.71</v>
      </c>
      <c r="G48" s="17">
        <v>55974971.789999999</v>
      </c>
      <c r="H48" s="17">
        <v>1581639.78</v>
      </c>
      <c r="I48" s="17">
        <v>15265437.470000001</v>
      </c>
      <c r="J48" s="17">
        <v>371356.01</v>
      </c>
      <c r="K48" s="17">
        <v>3865425.11</v>
      </c>
      <c r="L48" s="17">
        <v>14204.24</v>
      </c>
      <c r="M48" s="17">
        <v>162664.85</v>
      </c>
      <c r="N48" s="17">
        <v>499434.33</v>
      </c>
      <c r="O48" s="17">
        <v>4983806.18</v>
      </c>
      <c r="P48" s="17">
        <v>395807.11</v>
      </c>
      <c r="Q48" s="17">
        <v>3791962.73</v>
      </c>
      <c r="R48" s="17">
        <v>335640.43</v>
      </c>
      <c r="S48" s="17">
        <v>3011949.52</v>
      </c>
      <c r="T48" s="17">
        <v>568878.79</v>
      </c>
      <c r="U48" s="17">
        <v>9194962.4499999993</v>
      </c>
      <c r="V48" s="17">
        <v>1563272.02</v>
      </c>
      <c r="W48" s="17">
        <v>15698763.48</v>
      </c>
      <c r="AF48" s="108" t="str">
        <f t="shared" si="1"/>
        <v>四季度</v>
      </c>
    </row>
    <row r="49" spans="1:23" x14ac:dyDescent="0.25">
      <c r="A49">
        <v>2020</v>
      </c>
      <c r="B49">
        <v>12</v>
      </c>
      <c r="C49" t="s">
        <v>18</v>
      </c>
      <c r="D49" s="17">
        <v>5592763.9800000004</v>
      </c>
      <c r="E49" s="17">
        <v>61567735.75</v>
      </c>
      <c r="F49" s="17">
        <v>5592763.9800000004</v>
      </c>
      <c r="G49" s="17">
        <v>61567735.75</v>
      </c>
      <c r="H49" s="17">
        <v>1409389.68</v>
      </c>
      <c r="I49" s="17">
        <v>16674827.15</v>
      </c>
      <c r="J49" s="17">
        <v>382175.78</v>
      </c>
      <c r="K49" s="17">
        <v>4247600.9000000004</v>
      </c>
      <c r="L49" s="17">
        <v>14289.32</v>
      </c>
      <c r="M49" s="17">
        <v>176954.17</v>
      </c>
      <c r="N49" s="17">
        <v>524627.11</v>
      </c>
      <c r="O49" s="17">
        <v>5508433.29</v>
      </c>
      <c r="P49" s="17">
        <v>372700.94</v>
      </c>
      <c r="Q49" s="17">
        <v>4164663.66</v>
      </c>
      <c r="R49" s="17">
        <v>349693.81</v>
      </c>
      <c r="S49" s="17">
        <v>3361643.31</v>
      </c>
      <c r="T49" s="17">
        <v>933303.68</v>
      </c>
      <c r="U49" s="17">
        <v>10128266.130000001</v>
      </c>
      <c r="V49" s="17">
        <v>1606583.66</v>
      </c>
      <c r="W49" s="17">
        <v>17305347.140000001</v>
      </c>
    </row>
  </sheetData>
  <autoFilter ref="A1:AF42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3"/>
  <sheetViews>
    <sheetView zoomScale="110" zoomScaleNormal="110" workbookViewId="0">
      <pane ySplit="1" topLeftCell="A399" activePane="bottomLeft" state="frozen"/>
      <selection pane="bottomLeft" activeCell="A405" sqref="A405:T413"/>
    </sheetView>
  </sheetViews>
  <sheetFormatPr defaultRowHeight="13.8" x14ac:dyDescent="0.25"/>
  <cols>
    <col min="1" max="2" width="8" bestFit="1" customWidth="1"/>
    <col min="3" max="3" width="13.88671875" bestFit="1" customWidth="1"/>
    <col min="4" max="4" width="18.33203125" bestFit="1" customWidth="1"/>
    <col min="5" max="5" width="46.77734375" bestFit="1" customWidth="1"/>
    <col min="6" max="6" width="12" bestFit="1" customWidth="1"/>
    <col min="7" max="7" width="19.44140625" style="17" bestFit="1" customWidth="1"/>
    <col min="8" max="8" width="13.77734375" bestFit="1" customWidth="1"/>
    <col min="9" max="9" width="12.6640625" bestFit="1" customWidth="1"/>
    <col min="10" max="12" width="16.109375" style="34" bestFit="1" customWidth="1"/>
    <col min="13" max="14" width="16.109375" bestFit="1" customWidth="1"/>
    <col min="15" max="20" width="12" bestFit="1" customWidth="1"/>
  </cols>
  <sheetData>
    <row r="1" spans="1:20" ht="57.6" x14ac:dyDescent="0.25">
      <c r="A1" s="1" t="s">
        <v>135</v>
      </c>
      <c r="B1" s="1" t="s">
        <v>134</v>
      </c>
      <c r="C1" s="1" t="s">
        <v>138</v>
      </c>
      <c r="D1" s="1" t="s">
        <v>137</v>
      </c>
      <c r="E1" s="1" t="s">
        <v>136</v>
      </c>
      <c r="F1" s="1" t="s">
        <v>62</v>
      </c>
      <c r="G1" s="16" t="s">
        <v>81</v>
      </c>
      <c r="H1" s="3" t="s">
        <v>82</v>
      </c>
      <c r="I1" s="3" t="s">
        <v>58</v>
      </c>
      <c r="J1" s="32" t="s">
        <v>83</v>
      </c>
      <c r="K1" s="32" t="s">
        <v>84</v>
      </c>
      <c r="L1" s="32" t="s">
        <v>85</v>
      </c>
      <c r="M1" s="1" t="s">
        <v>63</v>
      </c>
      <c r="N1" s="1" t="s">
        <v>64</v>
      </c>
      <c r="O1" s="1" t="s">
        <v>65</v>
      </c>
      <c r="P1" s="1" t="s">
        <v>66</v>
      </c>
      <c r="Q1" s="1" t="s">
        <v>67</v>
      </c>
      <c r="R1" s="1" t="s">
        <v>68</v>
      </c>
      <c r="S1" s="1" t="s">
        <v>69</v>
      </c>
      <c r="T1" s="1" t="s">
        <v>70</v>
      </c>
    </row>
    <row r="2" spans="1:20" ht="14.4" x14ac:dyDescent="0.25">
      <c r="A2" s="4">
        <v>2017</v>
      </c>
      <c r="B2" s="11">
        <v>1</v>
      </c>
      <c r="C2" s="4" t="s">
        <v>18</v>
      </c>
      <c r="D2" s="11">
        <v>643</v>
      </c>
      <c r="E2" s="5" t="s">
        <v>72</v>
      </c>
      <c r="F2" s="4" t="s">
        <v>23</v>
      </c>
      <c r="G2" s="12">
        <v>921531.72</v>
      </c>
      <c r="H2" s="6">
        <v>343115.72</v>
      </c>
      <c r="I2" s="6">
        <v>578416</v>
      </c>
      <c r="J2" s="33">
        <v>921531.72</v>
      </c>
      <c r="K2" s="33">
        <v>343115.72</v>
      </c>
      <c r="L2" s="33">
        <v>578416</v>
      </c>
      <c r="M2" s="6">
        <v>5350510209.1999998</v>
      </c>
      <c r="N2" s="6">
        <v>5351237463.8999996</v>
      </c>
      <c r="O2" s="6">
        <v>5.5E-2</v>
      </c>
      <c r="P2" s="6" t="s">
        <v>17</v>
      </c>
      <c r="Q2" s="6">
        <v>2.75E-2</v>
      </c>
      <c r="R2" s="6">
        <v>0.05</v>
      </c>
      <c r="S2" s="6"/>
      <c r="T2" s="6">
        <v>613120.96</v>
      </c>
    </row>
    <row r="3" spans="1:20" ht="14.4" x14ac:dyDescent="0.25">
      <c r="A3" s="4">
        <v>2017</v>
      </c>
      <c r="B3" s="11">
        <v>1</v>
      </c>
      <c r="C3" s="4" t="s">
        <v>18</v>
      </c>
      <c r="D3" s="11">
        <v>652</v>
      </c>
      <c r="E3" s="5" t="s">
        <v>74</v>
      </c>
      <c r="F3" s="4" t="s">
        <v>23</v>
      </c>
      <c r="G3" s="12">
        <v>589674.06000000006</v>
      </c>
      <c r="H3" s="6">
        <v>99437.59</v>
      </c>
      <c r="I3" s="6">
        <v>490236.47</v>
      </c>
      <c r="J3" s="33">
        <v>589674.06000000006</v>
      </c>
      <c r="K3" s="33">
        <v>99437.59</v>
      </c>
      <c r="L3" s="33">
        <v>490236.47</v>
      </c>
      <c r="M3" s="6">
        <v>3110433494.71</v>
      </c>
      <c r="N3" s="6">
        <v>3125374391</v>
      </c>
      <c r="O3" s="6">
        <v>5.5E-2</v>
      </c>
      <c r="P3" s="6" t="s">
        <v>75</v>
      </c>
      <c r="Q3" s="6">
        <v>1.4999999999999999E-2</v>
      </c>
      <c r="R3" s="6">
        <v>0.05</v>
      </c>
      <c r="S3" s="6"/>
      <c r="T3" s="6">
        <v>519650.66</v>
      </c>
    </row>
    <row r="4" spans="1:20" ht="14.4" x14ac:dyDescent="0.25">
      <c r="A4" s="4">
        <v>2017</v>
      </c>
      <c r="B4" s="11">
        <v>1</v>
      </c>
      <c r="C4" s="4" t="s">
        <v>18</v>
      </c>
      <c r="D4" s="11">
        <v>44321</v>
      </c>
      <c r="E4" s="5" t="s">
        <v>26</v>
      </c>
      <c r="F4" s="4" t="s">
        <v>23</v>
      </c>
      <c r="G4" s="12">
        <v>62141.1</v>
      </c>
      <c r="H4" s="6">
        <v>35735.550000000003</v>
      </c>
      <c r="I4" s="6">
        <v>26405.55</v>
      </c>
      <c r="J4" s="33">
        <v>62141.1</v>
      </c>
      <c r="K4" s="33">
        <v>35735.550000000003</v>
      </c>
      <c r="L4" s="33">
        <v>26405.55</v>
      </c>
      <c r="M4" s="6">
        <v>810538005.41999996</v>
      </c>
      <c r="N4" s="6">
        <v>817964067.37</v>
      </c>
      <c r="O4" s="6">
        <v>5.5E-2</v>
      </c>
      <c r="P4" s="6" t="s">
        <v>17</v>
      </c>
      <c r="Q4" s="6">
        <v>2.75E-2</v>
      </c>
      <c r="R4" s="6">
        <v>1.4999999999999999E-2</v>
      </c>
      <c r="S4" s="6"/>
      <c r="T4" s="6">
        <v>27989.88</v>
      </c>
    </row>
    <row r="5" spans="1:20" ht="14.4" x14ac:dyDescent="0.25">
      <c r="A5" s="4">
        <v>2017</v>
      </c>
      <c r="B5" s="11">
        <v>1</v>
      </c>
      <c r="C5" s="4" t="s">
        <v>18</v>
      </c>
      <c r="D5" s="11">
        <v>650</v>
      </c>
      <c r="E5" s="5" t="s">
        <v>20</v>
      </c>
      <c r="F5" s="4" t="s">
        <v>34</v>
      </c>
      <c r="G5" s="12">
        <v>0</v>
      </c>
      <c r="H5" s="6"/>
      <c r="I5" s="6"/>
      <c r="J5" s="33">
        <v>0</v>
      </c>
      <c r="K5" s="33"/>
      <c r="L5" s="33"/>
      <c r="M5" s="6"/>
      <c r="N5" s="6"/>
      <c r="O5" s="6"/>
      <c r="P5" s="6"/>
      <c r="Q5" s="6"/>
      <c r="R5" s="6"/>
      <c r="S5" s="6"/>
      <c r="T5" s="6"/>
    </row>
    <row r="6" spans="1:20" ht="14.4" x14ac:dyDescent="0.25">
      <c r="A6" s="4">
        <v>2017</v>
      </c>
      <c r="B6" s="11">
        <v>1</v>
      </c>
      <c r="C6" s="4" t="s">
        <v>18</v>
      </c>
      <c r="D6" s="11">
        <v>999</v>
      </c>
      <c r="E6" s="5" t="s">
        <v>117</v>
      </c>
      <c r="F6" s="4" t="s">
        <v>34</v>
      </c>
      <c r="G6" s="12">
        <v>0</v>
      </c>
      <c r="H6" s="6"/>
      <c r="I6" s="6"/>
      <c r="J6" s="33">
        <v>0</v>
      </c>
      <c r="K6" s="33"/>
      <c r="L6" s="33"/>
      <c r="M6" s="6"/>
      <c r="N6" s="6"/>
      <c r="O6" s="6"/>
      <c r="P6" s="6"/>
      <c r="Q6" s="6"/>
      <c r="R6" s="6"/>
      <c r="S6" s="6"/>
      <c r="T6" s="6"/>
    </row>
    <row r="7" spans="1:20" ht="14.4" x14ac:dyDescent="0.25">
      <c r="A7" s="4">
        <v>2017</v>
      </c>
      <c r="B7" s="11">
        <v>1</v>
      </c>
      <c r="C7" s="4" t="s">
        <v>18</v>
      </c>
      <c r="D7" s="11">
        <v>7605</v>
      </c>
      <c r="E7" s="5" t="s">
        <v>77</v>
      </c>
      <c r="F7" s="4" t="s">
        <v>34</v>
      </c>
      <c r="G7" s="12">
        <v>13402.55</v>
      </c>
      <c r="H7" s="6">
        <v>13402.55</v>
      </c>
      <c r="I7" s="6"/>
      <c r="J7" s="33">
        <v>13402.55</v>
      </c>
      <c r="K7" s="33">
        <v>13402.55</v>
      </c>
      <c r="L7" s="33"/>
      <c r="M7" s="6"/>
      <c r="N7" s="6"/>
      <c r="O7" s="6"/>
      <c r="P7" s="6"/>
      <c r="Q7" s="6"/>
      <c r="R7" s="6"/>
      <c r="S7" s="6"/>
      <c r="T7" s="6"/>
    </row>
    <row r="8" spans="1:20" ht="14.4" x14ac:dyDescent="0.25">
      <c r="A8" s="4">
        <v>2017</v>
      </c>
      <c r="B8" s="11">
        <v>1</v>
      </c>
      <c r="C8" s="4" t="s">
        <v>18</v>
      </c>
      <c r="D8" s="11">
        <v>9653</v>
      </c>
      <c r="E8" s="5" t="s">
        <v>118</v>
      </c>
      <c r="F8" s="4" t="s">
        <v>34</v>
      </c>
      <c r="G8" s="12">
        <v>48590.69</v>
      </c>
      <c r="H8" s="6">
        <v>48590.69</v>
      </c>
      <c r="I8" s="6"/>
      <c r="J8" s="33">
        <v>48590.69</v>
      </c>
      <c r="K8" s="33">
        <v>48590.69</v>
      </c>
      <c r="L8" s="33"/>
      <c r="M8" s="6"/>
      <c r="N8" s="6"/>
      <c r="O8" s="6"/>
      <c r="P8" s="6"/>
      <c r="Q8" s="6"/>
      <c r="R8" s="6"/>
      <c r="S8" s="6"/>
      <c r="T8" s="6"/>
    </row>
    <row r="9" spans="1:20" ht="14.4" x14ac:dyDescent="0.25">
      <c r="A9" s="4">
        <v>2017</v>
      </c>
      <c r="B9" s="11">
        <v>1</v>
      </c>
      <c r="C9" s="4" t="s">
        <v>18</v>
      </c>
      <c r="D9" s="11">
        <v>40508</v>
      </c>
      <c r="E9" s="5" t="s">
        <v>119</v>
      </c>
      <c r="F9" s="4" t="s">
        <v>34</v>
      </c>
      <c r="G9" s="12">
        <v>2973.37</v>
      </c>
      <c r="H9" s="6">
        <v>2973.37</v>
      </c>
      <c r="I9" s="6"/>
      <c r="J9" s="33">
        <v>2973.37</v>
      </c>
      <c r="K9" s="33">
        <v>2973.37</v>
      </c>
      <c r="L9" s="33"/>
      <c r="M9" s="6"/>
      <c r="N9" s="6"/>
      <c r="O9" s="6"/>
      <c r="P9" s="6"/>
      <c r="Q9" s="6"/>
      <c r="R9" s="6"/>
      <c r="S9" s="6"/>
      <c r="T9" s="6"/>
    </row>
    <row r="10" spans="1:20" ht="14.4" x14ac:dyDescent="0.25">
      <c r="A10" s="4">
        <v>2017</v>
      </c>
      <c r="B10" s="11">
        <v>1</v>
      </c>
      <c r="C10" s="4" t="s">
        <v>18</v>
      </c>
      <c r="D10" s="11">
        <v>41958</v>
      </c>
      <c r="E10" s="5" t="s">
        <v>78</v>
      </c>
      <c r="F10" s="4" t="s">
        <v>34</v>
      </c>
      <c r="G10" s="12">
        <v>40532.720000000001</v>
      </c>
      <c r="H10" s="6">
        <v>40532.720000000001</v>
      </c>
      <c r="I10" s="6"/>
      <c r="J10" s="33">
        <v>40532.720000000001</v>
      </c>
      <c r="K10" s="33">
        <v>40532.720000000001</v>
      </c>
      <c r="L10" s="33"/>
      <c r="M10" s="6"/>
      <c r="N10" s="6"/>
      <c r="O10" s="6"/>
      <c r="P10" s="6"/>
      <c r="Q10" s="6"/>
      <c r="R10" s="6"/>
      <c r="S10" s="6"/>
      <c r="T10" s="6"/>
    </row>
    <row r="11" spans="1:20" ht="14.4" x14ac:dyDescent="0.25">
      <c r="A11" s="4">
        <v>2017</v>
      </c>
      <c r="B11" s="11">
        <v>1</v>
      </c>
      <c r="C11" s="4" t="s">
        <v>18</v>
      </c>
      <c r="D11" s="11">
        <v>43139</v>
      </c>
      <c r="E11" s="5" t="s">
        <v>120</v>
      </c>
      <c r="F11" s="4" t="s">
        <v>34</v>
      </c>
      <c r="G11" s="12">
        <v>147.69</v>
      </c>
      <c r="H11" s="6">
        <v>147.69</v>
      </c>
      <c r="I11" s="6"/>
      <c r="J11" s="33">
        <v>147.69</v>
      </c>
      <c r="K11" s="33">
        <v>147.69</v>
      </c>
      <c r="L11" s="33"/>
      <c r="M11" s="6"/>
      <c r="N11" s="6"/>
      <c r="O11" s="6"/>
      <c r="P11" s="6"/>
      <c r="Q11" s="6"/>
      <c r="R11" s="6"/>
      <c r="S11" s="6"/>
      <c r="T11" s="6"/>
    </row>
    <row r="12" spans="1:20" ht="14.4" x14ac:dyDescent="0.25">
      <c r="A12" s="4">
        <v>2017</v>
      </c>
      <c r="B12" s="11">
        <v>2</v>
      </c>
      <c r="C12" s="4" t="s">
        <v>18</v>
      </c>
      <c r="D12" s="11">
        <v>643</v>
      </c>
      <c r="E12" s="5" t="s">
        <v>72</v>
      </c>
      <c r="F12" s="4" t="s">
        <v>23</v>
      </c>
      <c r="G12" s="12">
        <v>1843598.43</v>
      </c>
      <c r="H12" s="6">
        <v>686231.43</v>
      </c>
      <c r="I12" s="6">
        <v>1157367</v>
      </c>
      <c r="J12" s="33">
        <v>922066.72</v>
      </c>
      <c r="K12" s="33">
        <v>343115.72</v>
      </c>
      <c r="L12" s="33">
        <v>578951</v>
      </c>
      <c r="M12" s="6">
        <v>5351237463.8999996</v>
      </c>
      <c r="N12" s="6">
        <v>5360408622.8299999</v>
      </c>
      <c r="O12" s="6">
        <v>5.5E-2</v>
      </c>
      <c r="P12" s="6" t="s">
        <v>17</v>
      </c>
      <c r="Q12" s="6">
        <v>2.75E-2</v>
      </c>
      <c r="R12" s="6">
        <v>0.05</v>
      </c>
      <c r="S12" s="6"/>
      <c r="T12" s="6">
        <v>613688.06000000006</v>
      </c>
    </row>
    <row r="13" spans="1:20" ht="14.4" x14ac:dyDescent="0.25">
      <c r="A13" s="4">
        <v>2017</v>
      </c>
      <c r="B13" s="11">
        <v>2</v>
      </c>
      <c r="C13" s="4" t="s">
        <v>18</v>
      </c>
      <c r="D13" s="11">
        <v>652</v>
      </c>
      <c r="E13" s="5" t="s">
        <v>74</v>
      </c>
      <c r="F13" s="4" t="s">
        <v>23</v>
      </c>
      <c r="G13" s="12">
        <v>1180697.49</v>
      </c>
      <c r="H13" s="6">
        <v>198875.19</v>
      </c>
      <c r="I13" s="6">
        <v>981822.3</v>
      </c>
      <c r="J13" s="33">
        <v>591023.43000000005</v>
      </c>
      <c r="K13" s="33">
        <v>99437.59</v>
      </c>
      <c r="L13" s="33">
        <v>491585.84</v>
      </c>
      <c r="M13" s="6">
        <v>3125374391</v>
      </c>
      <c r="N13" s="6">
        <v>3127597432</v>
      </c>
      <c r="O13" s="6">
        <v>5.5E-2</v>
      </c>
      <c r="P13" s="6" t="s">
        <v>75</v>
      </c>
      <c r="Q13" s="6">
        <v>1.4999999999999999E-2</v>
      </c>
      <c r="R13" s="6">
        <v>0.05</v>
      </c>
      <c r="S13" s="6"/>
      <c r="T13" s="6">
        <v>521080.99</v>
      </c>
    </row>
    <row r="14" spans="1:20" ht="14.4" x14ac:dyDescent="0.25">
      <c r="A14" s="4">
        <v>2017</v>
      </c>
      <c r="B14" s="11">
        <v>2</v>
      </c>
      <c r="C14" s="4" t="s">
        <v>18</v>
      </c>
      <c r="D14" s="11">
        <v>44321</v>
      </c>
      <c r="E14" s="5" t="s">
        <v>26</v>
      </c>
      <c r="F14" s="4" t="s">
        <v>23</v>
      </c>
      <c r="G14" s="12">
        <v>124538.99</v>
      </c>
      <c r="H14" s="6">
        <v>71471.09</v>
      </c>
      <c r="I14" s="6">
        <v>53067.9</v>
      </c>
      <c r="J14" s="33">
        <v>62397.9</v>
      </c>
      <c r="K14" s="33">
        <v>35735.550000000003</v>
      </c>
      <c r="L14" s="33">
        <v>26662.35</v>
      </c>
      <c r="M14" s="6">
        <v>817964067.37</v>
      </c>
      <c r="N14" s="6">
        <v>826375897.29999995</v>
      </c>
      <c r="O14" s="6">
        <v>5.5E-2</v>
      </c>
      <c r="P14" s="6" t="s">
        <v>17</v>
      </c>
      <c r="Q14" s="6">
        <v>2.75E-2</v>
      </c>
      <c r="R14" s="6">
        <v>1.4999999999999999E-2</v>
      </c>
      <c r="S14" s="6"/>
      <c r="T14" s="6">
        <v>28262.09</v>
      </c>
    </row>
    <row r="15" spans="1:20" ht="14.4" x14ac:dyDescent="0.25">
      <c r="A15" s="4">
        <v>2017</v>
      </c>
      <c r="B15" s="11">
        <v>2</v>
      </c>
      <c r="C15" s="4" t="s">
        <v>18</v>
      </c>
      <c r="D15" s="11">
        <v>650</v>
      </c>
      <c r="E15" s="5" t="s">
        <v>20</v>
      </c>
      <c r="F15" s="4" t="s">
        <v>34</v>
      </c>
      <c r="G15" s="12">
        <v>0</v>
      </c>
      <c r="H15" s="6"/>
      <c r="I15" s="6"/>
      <c r="J15" s="33">
        <v>0</v>
      </c>
      <c r="K15" s="33"/>
      <c r="L15" s="33"/>
      <c r="M15" s="6"/>
      <c r="N15" s="6"/>
      <c r="O15" s="6"/>
      <c r="P15" s="6"/>
      <c r="Q15" s="6"/>
      <c r="R15" s="6"/>
      <c r="S15" s="6"/>
      <c r="T15" s="6"/>
    </row>
    <row r="16" spans="1:20" ht="14.4" x14ac:dyDescent="0.25">
      <c r="A16" s="4">
        <v>2017</v>
      </c>
      <c r="B16" s="11">
        <v>2</v>
      </c>
      <c r="C16" s="4" t="s">
        <v>18</v>
      </c>
      <c r="D16" s="11">
        <v>999</v>
      </c>
      <c r="E16" s="5" t="s">
        <v>117</v>
      </c>
      <c r="F16" s="4" t="s">
        <v>34</v>
      </c>
      <c r="G16" s="12">
        <v>0</v>
      </c>
      <c r="H16" s="6"/>
      <c r="I16" s="6"/>
      <c r="J16" s="33">
        <v>0</v>
      </c>
      <c r="K16" s="33"/>
      <c r="L16" s="33"/>
      <c r="M16" s="6"/>
      <c r="N16" s="6"/>
      <c r="O16" s="6"/>
      <c r="P16" s="6"/>
      <c r="Q16" s="6"/>
      <c r="R16" s="6"/>
      <c r="S16" s="6"/>
      <c r="T16" s="6"/>
    </row>
    <row r="17" spans="1:20" ht="14.4" x14ac:dyDescent="0.25">
      <c r="A17" s="4">
        <v>2017</v>
      </c>
      <c r="B17" s="11">
        <v>2</v>
      </c>
      <c r="C17" s="4" t="s">
        <v>18</v>
      </c>
      <c r="D17" s="11">
        <v>7605</v>
      </c>
      <c r="E17" s="5" t="s">
        <v>77</v>
      </c>
      <c r="F17" s="4" t="s">
        <v>34</v>
      </c>
      <c r="G17" s="12">
        <v>26805.09</v>
      </c>
      <c r="H17" s="6">
        <v>26805.09</v>
      </c>
      <c r="I17" s="6"/>
      <c r="J17" s="33">
        <v>13402.55</v>
      </c>
      <c r="K17" s="33">
        <v>13402.55</v>
      </c>
      <c r="L17" s="33"/>
      <c r="M17" s="6"/>
      <c r="N17" s="6"/>
      <c r="O17" s="6"/>
      <c r="P17" s="6"/>
      <c r="Q17" s="6"/>
      <c r="R17" s="6"/>
      <c r="S17" s="6"/>
      <c r="T17" s="6"/>
    </row>
    <row r="18" spans="1:20" ht="14.4" x14ac:dyDescent="0.25">
      <c r="A18" s="4">
        <v>2017</v>
      </c>
      <c r="B18" s="11">
        <v>2</v>
      </c>
      <c r="C18" s="4" t="s">
        <v>18</v>
      </c>
      <c r="D18" s="11">
        <v>9653</v>
      </c>
      <c r="E18" s="5" t="s">
        <v>118</v>
      </c>
      <c r="F18" s="4" t="s">
        <v>34</v>
      </c>
      <c r="G18" s="12">
        <v>97181.38</v>
      </c>
      <c r="H18" s="6">
        <v>97181.38</v>
      </c>
      <c r="I18" s="6"/>
      <c r="J18" s="33">
        <v>48590.69</v>
      </c>
      <c r="K18" s="33">
        <v>48590.69</v>
      </c>
      <c r="L18" s="33"/>
      <c r="M18" s="6"/>
      <c r="N18" s="6"/>
      <c r="O18" s="6"/>
      <c r="P18" s="6"/>
      <c r="Q18" s="6"/>
      <c r="R18" s="6"/>
      <c r="S18" s="6"/>
      <c r="T18" s="6"/>
    </row>
    <row r="19" spans="1:20" ht="14.4" x14ac:dyDescent="0.25">
      <c r="A19" s="4">
        <v>2017</v>
      </c>
      <c r="B19" s="11">
        <v>2</v>
      </c>
      <c r="C19" s="4" t="s">
        <v>18</v>
      </c>
      <c r="D19" s="11">
        <v>40508</v>
      </c>
      <c r="E19" s="5" t="s">
        <v>119</v>
      </c>
      <c r="F19" s="4" t="s">
        <v>34</v>
      </c>
      <c r="G19" s="12">
        <v>5946.74</v>
      </c>
      <c r="H19" s="6">
        <v>5946.74</v>
      </c>
      <c r="I19" s="6"/>
      <c r="J19" s="33">
        <v>2973.37</v>
      </c>
      <c r="K19" s="33">
        <v>2973.37</v>
      </c>
      <c r="L19" s="33"/>
      <c r="M19" s="6"/>
      <c r="N19" s="6"/>
      <c r="O19" s="6"/>
      <c r="P19" s="6"/>
      <c r="Q19" s="6"/>
      <c r="R19" s="6"/>
      <c r="S19" s="6"/>
      <c r="T19" s="6"/>
    </row>
    <row r="20" spans="1:20" ht="14.4" x14ac:dyDescent="0.25">
      <c r="A20" s="4">
        <v>2017</v>
      </c>
      <c r="B20" s="11">
        <v>2</v>
      </c>
      <c r="C20" s="4" t="s">
        <v>18</v>
      </c>
      <c r="D20" s="11">
        <v>41958</v>
      </c>
      <c r="E20" s="5" t="s">
        <v>78</v>
      </c>
      <c r="F20" s="4" t="s">
        <v>34</v>
      </c>
      <c r="G20" s="12">
        <v>81065.429999999993</v>
      </c>
      <c r="H20" s="6">
        <v>81065.429999999993</v>
      </c>
      <c r="I20" s="6"/>
      <c r="J20" s="33">
        <v>40532.720000000001</v>
      </c>
      <c r="K20" s="33">
        <v>40532.720000000001</v>
      </c>
      <c r="L20" s="33"/>
      <c r="M20" s="6"/>
      <c r="N20" s="6"/>
      <c r="O20" s="6"/>
      <c r="P20" s="6"/>
      <c r="Q20" s="6"/>
      <c r="R20" s="6"/>
      <c r="S20" s="6"/>
      <c r="T20" s="6"/>
    </row>
    <row r="21" spans="1:20" ht="14.4" x14ac:dyDescent="0.25">
      <c r="A21" s="4">
        <v>2017</v>
      </c>
      <c r="B21" s="11">
        <v>2</v>
      </c>
      <c r="C21" s="4" t="s">
        <v>18</v>
      </c>
      <c r="D21" s="11">
        <v>43139</v>
      </c>
      <c r="E21" s="5" t="s">
        <v>120</v>
      </c>
      <c r="F21" s="4" t="s">
        <v>34</v>
      </c>
      <c r="G21" s="12">
        <v>295.38</v>
      </c>
      <c r="H21" s="6">
        <v>295.38</v>
      </c>
      <c r="I21" s="6"/>
      <c r="J21" s="33">
        <v>147.69</v>
      </c>
      <c r="K21" s="33">
        <v>147.69</v>
      </c>
      <c r="L21" s="33"/>
      <c r="M21" s="6"/>
      <c r="N21" s="6"/>
      <c r="O21" s="6"/>
      <c r="P21" s="6"/>
      <c r="Q21" s="6"/>
      <c r="R21" s="6"/>
      <c r="S21" s="6"/>
      <c r="T21" s="6"/>
    </row>
    <row r="22" spans="1:20" ht="14.4" x14ac:dyDescent="0.25">
      <c r="A22" s="4">
        <v>2017</v>
      </c>
      <c r="B22" s="11">
        <v>3</v>
      </c>
      <c r="C22" s="4" t="s">
        <v>18</v>
      </c>
      <c r="D22" s="11">
        <v>643</v>
      </c>
      <c r="E22" s="5" t="s">
        <v>72</v>
      </c>
      <c r="F22" s="4" t="s">
        <v>23</v>
      </c>
      <c r="G22" s="12">
        <v>2700413.41</v>
      </c>
      <c r="H22" s="6">
        <v>963582.46</v>
      </c>
      <c r="I22" s="6">
        <v>1736830.95</v>
      </c>
      <c r="J22" s="33">
        <v>856814.98</v>
      </c>
      <c r="K22" s="33">
        <v>277351.03000000003</v>
      </c>
      <c r="L22" s="33">
        <v>579463.94999999995</v>
      </c>
      <c r="M22" s="6">
        <v>5360408622.8299999</v>
      </c>
      <c r="N22" s="6">
        <v>5360728053.6999998</v>
      </c>
      <c r="O22" s="6">
        <v>5.5E-2</v>
      </c>
      <c r="P22" s="6" t="s">
        <v>17</v>
      </c>
      <c r="Q22" s="6">
        <v>2.75E-2</v>
      </c>
      <c r="R22" s="6">
        <v>0.05</v>
      </c>
      <c r="S22" s="6"/>
      <c r="T22" s="6">
        <v>614231.79</v>
      </c>
    </row>
    <row r="23" spans="1:20" ht="14.4" x14ac:dyDescent="0.25">
      <c r="A23" s="4">
        <v>2017</v>
      </c>
      <c r="B23" s="11">
        <v>3</v>
      </c>
      <c r="C23" s="4" t="s">
        <v>18</v>
      </c>
      <c r="D23" s="11">
        <v>652</v>
      </c>
      <c r="E23" s="5" t="s">
        <v>74</v>
      </c>
      <c r="F23" s="4" t="s">
        <v>23</v>
      </c>
      <c r="G23" s="12">
        <v>1753730.83</v>
      </c>
      <c r="H23" s="6">
        <v>279066.78000000003</v>
      </c>
      <c r="I23" s="6">
        <v>1474664.05</v>
      </c>
      <c r="J23" s="33">
        <v>573033.34</v>
      </c>
      <c r="K23" s="33">
        <v>80191.59</v>
      </c>
      <c r="L23" s="33">
        <v>492841.75</v>
      </c>
      <c r="M23" s="6">
        <v>3127597562.98</v>
      </c>
      <c r="N23" s="6">
        <v>3141349468.1799998</v>
      </c>
      <c r="O23" s="6">
        <v>5.5E-2</v>
      </c>
      <c r="P23" s="6" t="s">
        <v>75</v>
      </c>
      <c r="Q23" s="6">
        <v>1.4999999999999999E-2</v>
      </c>
      <c r="R23" s="6">
        <v>0.05</v>
      </c>
      <c r="S23" s="6"/>
      <c r="T23" s="6">
        <v>522412.25</v>
      </c>
    </row>
    <row r="24" spans="1:20" ht="14.4" x14ac:dyDescent="0.25">
      <c r="A24" s="4">
        <v>2017</v>
      </c>
      <c r="B24" s="11">
        <v>3</v>
      </c>
      <c r="C24" s="4" t="s">
        <v>18</v>
      </c>
      <c r="D24" s="11">
        <v>44321</v>
      </c>
      <c r="E24" s="5" t="s">
        <v>26</v>
      </c>
      <c r="F24" s="4" t="s">
        <v>23</v>
      </c>
      <c r="G24" s="12">
        <v>181344.58</v>
      </c>
      <c r="H24" s="6">
        <v>101368.3</v>
      </c>
      <c r="I24" s="6">
        <v>79976.28</v>
      </c>
      <c r="J24" s="33">
        <v>56805.59</v>
      </c>
      <c r="K24" s="33">
        <v>29897.21</v>
      </c>
      <c r="L24" s="33">
        <v>26908.38</v>
      </c>
      <c r="M24" s="6">
        <v>826375897.29999995</v>
      </c>
      <c r="N24" s="6">
        <v>833137198.59000003</v>
      </c>
      <c r="O24" s="6">
        <v>5.5E-2</v>
      </c>
      <c r="P24" s="6" t="s">
        <v>17</v>
      </c>
      <c r="Q24" s="6">
        <v>2.75E-2</v>
      </c>
      <c r="R24" s="6">
        <v>1.4999999999999999E-2</v>
      </c>
      <c r="S24" s="6"/>
      <c r="T24" s="6">
        <v>28522.880000000001</v>
      </c>
    </row>
    <row r="25" spans="1:20" ht="14.4" x14ac:dyDescent="0.25">
      <c r="A25" s="4">
        <v>2017</v>
      </c>
      <c r="B25" s="11">
        <v>3</v>
      </c>
      <c r="C25" s="4" t="s">
        <v>18</v>
      </c>
      <c r="D25" s="11">
        <v>650</v>
      </c>
      <c r="E25" s="5" t="s">
        <v>20</v>
      </c>
      <c r="F25" s="4" t="s">
        <v>34</v>
      </c>
      <c r="G25" s="12">
        <v>4377.55</v>
      </c>
      <c r="H25" s="6">
        <v>4377.55</v>
      </c>
      <c r="I25" s="6"/>
      <c r="J25" s="33">
        <v>4377.55</v>
      </c>
      <c r="K25" s="33">
        <v>4377.55</v>
      </c>
      <c r="L25" s="33"/>
      <c r="M25" s="6"/>
      <c r="N25" s="6"/>
      <c r="O25" s="6"/>
      <c r="P25" s="6"/>
      <c r="Q25" s="6"/>
      <c r="R25" s="6"/>
      <c r="S25" s="6"/>
      <c r="T25" s="6"/>
    </row>
    <row r="26" spans="1:20" ht="14.4" x14ac:dyDescent="0.25">
      <c r="A26" s="4">
        <v>2017</v>
      </c>
      <c r="B26" s="11">
        <v>3</v>
      </c>
      <c r="C26" s="4" t="s">
        <v>18</v>
      </c>
      <c r="D26" s="11">
        <v>999</v>
      </c>
      <c r="E26" s="5" t="s">
        <v>117</v>
      </c>
      <c r="F26" s="4" t="s">
        <v>34</v>
      </c>
      <c r="G26" s="12">
        <v>0</v>
      </c>
      <c r="H26" s="6"/>
      <c r="I26" s="6"/>
      <c r="J26" s="33">
        <v>0</v>
      </c>
      <c r="K26" s="33"/>
      <c r="L26" s="33"/>
      <c r="M26" s="6"/>
      <c r="N26" s="6"/>
      <c r="O26" s="6"/>
      <c r="P26" s="6"/>
      <c r="Q26" s="6"/>
      <c r="R26" s="6"/>
      <c r="S26" s="6"/>
      <c r="T26" s="6"/>
    </row>
    <row r="27" spans="1:20" ht="14.4" x14ac:dyDescent="0.25">
      <c r="A27" s="4">
        <v>2017</v>
      </c>
      <c r="B27" s="11">
        <v>3</v>
      </c>
      <c r="C27" s="4" t="s">
        <v>18</v>
      </c>
      <c r="D27" s="11">
        <v>7605</v>
      </c>
      <c r="E27" s="5" t="s">
        <v>77</v>
      </c>
      <c r="F27" s="4" t="s">
        <v>34</v>
      </c>
      <c r="G27" s="12">
        <v>37613.58</v>
      </c>
      <c r="H27" s="6">
        <v>37613.58</v>
      </c>
      <c r="I27" s="6"/>
      <c r="J27" s="33">
        <v>10808.49</v>
      </c>
      <c r="K27" s="33">
        <v>10808.49</v>
      </c>
      <c r="L27" s="33"/>
      <c r="M27" s="6"/>
      <c r="N27" s="6"/>
      <c r="O27" s="6"/>
      <c r="P27" s="6"/>
      <c r="Q27" s="6"/>
      <c r="R27" s="6"/>
      <c r="S27" s="6"/>
      <c r="T27" s="6"/>
    </row>
    <row r="28" spans="1:20" ht="14.4" x14ac:dyDescent="0.25">
      <c r="A28" s="4">
        <v>2017</v>
      </c>
      <c r="B28" s="11">
        <v>3</v>
      </c>
      <c r="C28" s="4" t="s">
        <v>18</v>
      </c>
      <c r="D28" s="11">
        <v>9653</v>
      </c>
      <c r="E28" s="5" t="s">
        <v>118</v>
      </c>
      <c r="F28" s="4" t="s">
        <v>34</v>
      </c>
      <c r="G28" s="12">
        <v>137048.88</v>
      </c>
      <c r="H28" s="6">
        <v>137048.88</v>
      </c>
      <c r="I28" s="6"/>
      <c r="J28" s="33">
        <v>39867.5</v>
      </c>
      <c r="K28" s="33">
        <v>39867.5</v>
      </c>
      <c r="L28" s="33"/>
      <c r="M28" s="6"/>
      <c r="N28" s="6"/>
      <c r="O28" s="6"/>
      <c r="P28" s="6"/>
      <c r="Q28" s="6"/>
      <c r="R28" s="6"/>
      <c r="S28" s="6"/>
      <c r="T28" s="6"/>
    </row>
    <row r="29" spans="1:20" ht="14.4" x14ac:dyDescent="0.25">
      <c r="A29" s="4">
        <v>2017</v>
      </c>
      <c r="B29" s="11">
        <v>3</v>
      </c>
      <c r="C29" s="4" t="s">
        <v>18</v>
      </c>
      <c r="D29" s="11">
        <v>40508</v>
      </c>
      <c r="E29" s="5" t="s">
        <v>119</v>
      </c>
      <c r="F29" s="4" t="s">
        <v>34</v>
      </c>
      <c r="G29" s="12">
        <v>8344.61</v>
      </c>
      <c r="H29" s="6">
        <v>8344.61</v>
      </c>
      <c r="I29" s="6"/>
      <c r="J29" s="33">
        <v>2397.88</v>
      </c>
      <c r="K29" s="33">
        <v>2397.88</v>
      </c>
      <c r="L29" s="33"/>
      <c r="M29" s="6"/>
      <c r="N29" s="6"/>
      <c r="O29" s="6"/>
      <c r="P29" s="6"/>
      <c r="Q29" s="6"/>
      <c r="R29" s="6"/>
      <c r="S29" s="6"/>
      <c r="T29" s="6"/>
    </row>
    <row r="30" spans="1:20" ht="14.4" x14ac:dyDescent="0.25">
      <c r="A30" s="4">
        <v>2017</v>
      </c>
      <c r="B30" s="11">
        <v>3</v>
      </c>
      <c r="C30" s="4" t="s">
        <v>18</v>
      </c>
      <c r="D30" s="11">
        <v>41958</v>
      </c>
      <c r="E30" s="5" t="s">
        <v>78</v>
      </c>
      <c r="F30" s="4" t="s">
        <v>34</v>
      </c>
      <c r="G30" s="12">
        <v>113753.11</v>
      </c>
      <c r="H30" s="6">
        <v>113753.11</v>
      </c>
      <c r="I30" s="6"/>
      <c r="J30" s="33">
        <v>32687.68</v>
      </c>
      <c r="K30" s="33">
        <v>32687.68</v>
      </c>
      <c r="L30" s="33"/>
      <c r="M30" s="6"/>
      <c r="N30" s="6"/>
      <c r="O30" s="6"/>
      <c r="P30" s="6"/>
      <c r="Q30" s="6"/>
      <c r="R30" s="6"/>
      <c r="S30" s="6"/>
      <c r="T30" s="6"/>
    </row>
    <row r="31" spans="1:20" ht="14.4" x14ac:dyDescent="0.25">
      <c r="A31" s="4">
        <v>2017</v>
      </c>
      <c r="B31" s="11">
        <v>3</v>
      </c>
      <c r="C31" s="4" t="s">
        <v>18</v>
      </c>
      <c r="D31" s="11">
        <v>43139</v>
      </c>
      <c r="E31" s="5" t="s">
        <v>120</v>
      </c>
      <c r="F31" s="4" t="s">
        <v>34</v>
      </c>
      <c r="G31" s="12">
        <v>435.75</v>
      </c>
      <c r="H31" s="6">
        <v>435.75</v>
      </c>
      <c r="I31" s="6"/>
      <c r="J31" s="33">
        <v>140.38</v>
      </c>
      <c r="K31" s="33">
        <v>140.38</v>
      </c>
      <c r="L31" s="33"/>
      <c r="M31" s="6"/>
      <c r="N31" s="6"/>
      <c r="O31" s="6"/>
      <c r="P31" s="6"/>
      <c r="Q31" s="6"/>
      <c r="R31" s="6"/>
      <c r="S31" s="6"/>
      <c r="T31" s="6"/>
    </row>
    <row r="32" spans="1:20" ht="14.4" x14ac:dyDescent="0.25">
      <c r="A32" s="4">
        <v>2017</v>
      </c>
      <c r="B32" s="4">
        <v>4</v>
      </c>
      <c r="C32" s="4" t="s">
        <v>18</v>
      </c>
      <c r="D32" s="11">
        <v>643</v>
      </c>
      <c r="E32" s="5" t="s">
        <v>72</v>
      </c>
      <c r="F32" s="4" t="s">
        <v>23</v>
      </c>
      <c r="G32" s="12">
        <v>3657237.33</v>
      </c>
      <c r="H32" s="6">
        <v>1342744.69</v>
      </c>
      <c r="I32" s="6">
        <v>2314492.64</v>
      </c>
      <c r="J32" s="33">
        <v>956823.92</v>
      </c>
      <c r="K32" s="33">
        <v>379162.23</v>
      </c>
      <c r="L32" s="33">
        <v>577661.68999999994</v>
      </c>
      <c r="M32" s="6">
        <v>5350197346.71</v>
      </c>
      <c r="N32" s="6">
        <v>5337594139</v>
      </c>
      <c r="O32" s="6">
        <v>5.5E-2</v>
      </c>
      <c r="P32" s="6" t="s">
        <v>17</v>
      </c>
      <c r="Q32" s="6">
        <v>2.75E-2</v>
      </c>
      <c r="R32" s="6">
        <v>0.05</v>
      </c>
      <c r="S32" s="6"/>
      <c r="T32" s="6">
        <v>612321.39</v>
      </c>
    </row>
    <row r="33" spans="1:20" ht="14.4" x14ac:dyDescent="0.25">
      <c r="A33" s="4">
        <v>2017</v>
      </c>
      <c r="B33" s="4">
        <v>4</v>
      </c>
      <c r="C33" s="4" t="s">
        <v>18</v>
      </c>
      <c r="D33" s="11">
        <v>652</v>
      </c>
      <c r="E33" s="5" t="s">
        <v>74</v>
      </c>
      <c r="F33" s="4" t="s">
        <v>23</v>
      </c>
      <c r="G33" s="12">
        <v>2346470.12</v>
      </c>
      <c r="H33" s="6">
        <v>378504.38</v>
      </c>
      <c r="I33" s="6">
        <v>1967965.74</v>
      </c>
      <c r="J33" s="33">
        <v>592739.28</v>
      </c>
      <c r="K33" s="33">
        <v>99437.59</v>
      </c>
      <c r="L33" s="33">
        <v>493301.69</v>
      </c>
      <c r="M33" s="6">
        <v>3133845715.8099999</v>
      </c>
      <c r="N33" s="6">
        <v>3140951759.2399998</v>
      </c>
      <c r="O33" s="6">
        <v>5.5E-2</v>
      </c>
      <c r="P33" s="6" t="s">
        <v>75</v>
      </c>
      <c r="Q33" s="6">
        <v>1.4999999999999999E-2</v>
      </c>
      <c r="R33" s="6">
        <v>0.05</v>
      </c>
      <c r="S33" s="6"/>
      <c r="T33" s="6">
        <v>522899.79</v>
      </c>
    </row>
    <row r="34" spans="1:20" ht="14.4" x14ac:dyDescent="0.25">
      <c r="A34" s="4">
        <v>2017</v>
      </c>
      <c r="B34" s="4">
        <v>4</v>
      </c>
      <c r="C34" s="4" t="s">
        <v>18</v>
      </c>
      <c r="D34" s="11">
        <v>44321</v>
      </c>
      <c r="E34" s="5" t="s">
        <v>26</v>
      </c>
      <c r="F34" s="4" t="s">
        <v>23</v>
      </c>
      <c r="G34" s="12">
        <v>238547.88</v>
      </c>
      <c r="H34" s="6">
        <v>131634.06</v>
      </c>
      <c r="I34" s="6">
        <v>106913.82</v>
      </c>
      <c r="J34" s="33">
        <v>57203.3</v>
      </c>
      <c r="K34" s="33">
        <v>30265.75</v>
      </c>
      <c r="L34" s="33">
        <v>26937.55</v>
      </c>
      <c r="M34" s="6">
        <v>832162304.95000005</v>
      </c>
      <c r="N34" s="6">
        <v>829149581.87</v>
      </c>
      <c r="O34" s="6">
        <v>5.5E-2</v>
      </c>
      <c r="P34" s="6" t="s">
        <v>17</v>
      </c>
      <c r="Q34" s="6">
        <v>2.75E-2</v>
      </c>
      <c r="R34" s="6">
        <v>1.4999999999999999E-2</v>
      </c>
      <c r="S34" s="6"/>
      <c r="T34" s="6">
        <v>28553.8</v>
      </c>
    </row>
    <row r="35" spans="1:20" ht="14.4" x14ac:dyDescent="0.25">
      <c r="A35" s="4">
        <v>2017</v>
      </c>
      <c r="B35" s="4">
        <v>4</v>
      </c>
      <c r="C35" s="4" t="s">
        <v>18</v>
      </c>
      <c r="D35" s="11">
        <v>650</v>
      </c>
      <c r="E35" s="5" t="s">
        <v>20</v>
      </c>
      <c r="F35" s="4" t="s">
        <v>34</v>
      </c>
      <c r="G35" s="12">
        <v>4377.55</v>
      </c>
      <c r="H35" s="6">
        <v>4377.55</v>
      </c>
      <c r="I35" s="6"/>
      <c r="J35" s="33">
        <v>0</v>
      </c>
      <c r="K35" s="33"/>
      <c r="L35" s="33"/>
      <c r="M35" s="6"/>
      <c r="N35" s="6"/>
      <c r="O35" s="6"/>
      <c r="P35" s="6"/>
      <c r="Q35" s="6"/>
      <c r="R35" s="6"/>
      <c r="S35" s="6"/>
      <c r="T35" s="6"/>
    </row>
    <row r="36" spans="1:20" ht="14.4" x14ac:dyDescent="0.25">
      <c r="A36" s="4">
        <v>2017</v>
      </c>
      <c r="B36" s="4">
        <v>4</v>
      </c>
      <c r="C36" s="4" t="s">
        <v>18</v>
      </c>
      <c r="D36" s="11">
        <v>999</v>
      </c>
      <c r="E36" s="5" t="s">
        <v>117</v>
      </c>
      <c r="F36" s="4" t="s">
        <v>34</v>
      </c>
      <c r="G36" s="12">
        <v>23442.26</v>
      </c>
      <c r="H36" s="6">
        <v>23442.26</v>
      </c>
      <c r="I36" s="6"/>
      <c r="J36" s="33">
        <v>23442.26</v>
      </c>
      <c r="K36" s="33">
        <v>23442.26</v>
      </c>
      <c r="L36" s="33"/>
      <c r="M36" s="6"/>
      <c r="N36" s="6"/>
      <c r="O36" s="6"/>
      <c r="P36" s="6"/>
      <c r="Q36" s="6"/>
      <c r="R36" s="6"/>
      <c r="S36" s="6"/>
      <c r="T36" s="6"/>
    </row>
    <row r="37" spans="1:20" ht="14.4" x14ac:dyDescent="0.25">
      <c r="A37" s="4">
        <v>2017</v>
      </c>
      <c r="B37" s="4">
        <v>4</v>
      </c>
      <c r="C37" s="4" t="s">
        <v>18</v>
      </c>
      <c r="D37" s="11">
        <v>7605</v>
      </c>
      <c r="E37" s="5" t="s">
        <v>77</v>
      </c>
      <c r="F37" s="4" t="s">
        <v>34</v>
      </c>
      <c r="G37" s="12">
        <v>52868.33</v>
      </c>
      <c r="H37" s="6">
        <v>52868.33</v>
      </c>
      <c r="I37" s="6"/>
      <c r="J37" s="33">
        <v>15254.75</v>
      </c>
      <c r="K37" s="33">
        <v>15254.75</v>
      </c>
      <c r="L37" s="33"/>
      <c r="M37" s="6"/>
      <c r="N37" s="6"/>
      <c r="O37" s="6"/>
      <c r="P37" s="6"/>
      <c r="Q37" s="6"/>
      <c r="R37" s="6"/>
      <c r="S37" s="6"/>
      <c r="T37" s="6"/>
    </row>
    <row r="38" spans="1:20" ht="14.4" x14ac:dyDescent="0.25">
      <c r="A38" s="4">
        <v>2017</v>
      </c>
      <c r="B38" s="4">
        <v>4</v>
      </c>
      <c r="C38" s="4" t="s">
        <v>18</v>
      </c>
      <c r="D38" s="11">
        <v>9653</v>
      </c>
      <c r="E38" s="5" t="s">
        <v>118</v>
      </c>
      <c r="F38" s="4" t="s">
        <v>34</v>
      </c>
      <c r="G38" s="12">
        <v>137048.88</v>
      </c>
      <c r="H38" s="6">
        <v>137048.88</v>
      </c>
      <c r="I38" s="6"/>
      <c r="J38" s="33">
        <v>0</v>
      </c>
      <c r="K38" s="33"/>
      <c r="L38" s="33"/>
      <c r="M38" s="6"/>
      <c r="N38" s="6"/>
      <c r="O38" s="6"/>
      <c r="P38" s="6"/>
      <c r="Q38" s="6"/>
      <c r="R38" s="6"/>
      <c r="S38" s="6"/>
      <c r="T38" s="6"/>
    </row>
    <row r="39" spans="1:20" ht="14.4" x14ac:dyDescent="0.25">
      <c r="A39" s="4">
        <v>2017</v>
      </c>
      <c r="B39" s="4">
        <v>4</v>
      </c>
      <c r="C39" s="4" t="s">
        <v>18</v>
      </c>
      <c r="D39" s="11">
        <v>40508</v>
      </c>
      <c r="E39" s="5" t="s">
        <v>119</v>
      </c>
      <c r="F39" s="4" t="s">
        <v>34</v>
      </c>
      <c r="G39" s="12">
        <v>8344.61</v>
      </c>
      <c r="H39" s="6">
        <v>8344.61</v>
      </c>
      <c r="I39" s="6"/>
      <c r="J39" s="33">
        <v>0</v>
      </c>
      <c r="K39" s="33"/>
      <c r="L39" s="33"/>
      <c r="M39" s="6"/>
      <c r="N39" s="6"/>
      <c r="O39" s="6"/>
      <c r="P39" s="6"/>
      <c r="Q39" s="6"/>
      <c r="R39" s="6"/>
      <c r="S39" s="6"/>
      <c r="T39" s="6"/>
    </row>
    <row r="40" spans="1:20" ht="14.4" x14ac:dyDescent="0.25">
      <c r="A40" s="4">
        <v>2017</v>
      </c>
      <c r="B40" s="4">
        <v>4</v>
      </c>
      <c r="C40" s="4" t="s">
        <v>18</v>
      </c>
      <c r="D40" s="11">
        <v>41958</v>
      </c>
      <c r="E40" s="5" t="s">
        <v>78</v>
      </c>
      <c r="F40" s="4" t="s">
        <v>34</v>
      </c>
      <c r="G40" s="12">
        <v>174786.05</v>
      </c>
      <c r="H40" s="6">
        <v>174786.05</v>
      </c>
      <c r="I40" s="6"/>
      <c r="J40" s="33">
        <v>61032.93</v>
      </c>
      <c r="K40" s="33">
        <v>61032.93</v>
      </c>
      <c r="L40" s="33"/>
      <c r="M40" s="6"/>
      <c r="N40" s="6"/>
      <c r="O40" s="6"/>
      <c r="P40" s="6"/>
      <c r="Q40" s="6"/>
      <c r="R40" s="6"/>
      <c r="S40" s="6"/>
      <c r="T40" s="6"/>
    </row>
    <row r="41" spans="1:20" ht="14.4" x14ac:dyDescent="0.25">
      <c r="A41" s="4">
        <v>2017</v>
      </c>
      <c r="B41" s="4">
        <v>4</v>
      </c>
      <c r="C41" s="4" t="s">
        <v>18</v>
      </c>
      <c r="D41" s="11">
        <v>43139</v>
      </c>
      <c r="E41" s="5" t="s">
        <v>120</v>
      </c>
      <c r="F41" s="4" t="s">
        <v>34</v>
      </c>
      <c r="G41" s="12">
        <v>635.98</v>
      </c>
      <c r="H41" s="6">
        <v>635.98</v>
      </c>
      <c r="I41" s="6"/>
      <c r="J41" s="33">
        <v>200.23</v>
      </c>
      <c r="K41" s="33">
        <v>200.23</v>
      </c>
      <c r="L41" s="33"/>
      <c r="M41" s="6"/>
      <c r="N41" s="6"/>
      <c r="O41" s="6"/>
      <c r="P41" s="6"/>
      <c r="Q41" s="6"/>
      <c r="R41" s="6"/>
      <c r="S41" s="6"/>
      <c r="T41" s="6"/>
    </row>
    <row r="42" spans="1:20" ht="14.4" x14ac:dyDescent="0.25">
      <c r="A42" s="4">
        <v>2017</v>
      </c>
      <c r="B42" s="4">
        <v>5</v>
      </c>
      <c r="C42" s="4" t="s">
        <v>18</v>
      </c>
      <c r="D42" s="11">
        <v>643</v>
      </c>
      <c r="E42" s="5" t="s">
        <v>72</v>
      </c>
      <c r="F42" s="4" t="s">
        <v>23</v>
      </c>
      <c r="G42" s="12">
        <v>4554187.5599999996</v>
      </c>
      <c r="H42" s="6">
        <v>1663250.28</v>
      </c>
      <c r="I42" s="6">
        <v>2890937.28</v>
      </c>
      <c r="J42" s="33">
        <v>896950.24</v>
      </c>
      <c r="K42" s="33">
        <v>320505.59000000003</v>
      </c>
      <c r="L42" s="33">
        <v>576444.65</v>
      </c>
      <c r="M42" s="6">
        <v>5337594139</v>
      </c>
      <c r="N42" s="6">
        <v>5327679940.5900002</v>
      </c>
      <c r="O42" s="6">
        <v>5.5E-2</v>
      </c>
      <c r="P42" s="6" t="s">
        <v>17</v>
      </c>
      <c r="Q42" s="6">
        <v>2.75E-2</v>
      </c>
      <c r="R42" s="6">
        <v>0.05</v>
      </c>
      <c r="S42" s="6"/>
      <c r="T42" s="6">
        <v>611031.32999999996</v>
      </c>
    </row>
    <row r="43" spans="1:20" ht="14.4" x14ac:dyDescent="0.25">
      <c r="A43" s="4">
        <v>2017</v>
      </c>
      <c r="B43" s="4">
        <v>5</v>
      </c>
      <c r="C43" s="4" t="s">
        <v>18</v>
      </c>
      <c r="D43" s="11">
        <v>652</v>
      </c>
      <c r="E43" s="5" t="s">
        <v>74</v>
      </c>
      <c r="F43" s="4" t="s">
        <v>23</v>
      </c>
      <c r="G43" s="12">
        <v>5137639.3099999996</v>
      </c>
      <c r="H43" s="6">
        <v>2676749.5</v>
      </c>
      <c r="I43" s="6">
        <v>2460889.81</v>
      </c>
      <c r="J43" s="33">
        <v>2791169.19</v>
      </c>
      <c r="K43" s="33">
        <v>2298245.1200000001</v>
      </c>
      <c r="L43" s="33">
        <v>492924.07</v>
      </c>
      <c r="M43" s="6">
        <v>3140951759.2399998</v>
      </c>
      <c r="N43" s="6">
        <v>3129042455.75</v>
      </c>
      <c r="O43" s="6">
        <v>5.5E-2</v>
      </c>
      <c r="P43" s="6" t="s">
        <v>75</v>
      </c>
      <c r="Q43" s="6">
        <v>1.4999999999999999E-2</v>
      </c>
      <c r="R43" s="6">
        <v>0.05</v>
      </c>
      <c r="S43" s="6"/>
      <c r="T43" s="6">
        <v>522499.52</v>
      </c>
    </row>
    <row r="44" spans="1:20" ht="14.4" x14ac:dyDescent="0.25">
      <c r="A44" s="4">
        <v>2017</v>
      </c>
      <c r="B44" s="4">
        <v>5</v>
      </c>
      <c r="C44" s="4" t="s">
        <v>18</v>
      </c>
      <c r="D44" s="11">
        <v>44321</v>
      </c>
      <c r="E44" s="5" t="s">
        <v>26</v>
      </c>
      <c r="F44" s="4" t="s">
        <v>23</v>
      </c>
      <c r="G44" s="12">
        <v>548942.63</v>
      </c>
      <c r="H44" s="6">
        <v>415180.96</v>
      </c>
      <c r="I44" s="6">
        <v>133761.67000000001</v>
      </c>
      <c r="J44" s="33">
        <v>310394.76</v>
      </c>
      <c r="K44" s="33">
        <v>283546.90999999997</v>
      </c>
      <c r="L44" s="33">
        <v>26847.85</v>
      </c>
      <c r="M44" s="6">
        <v>829149581.87</v>
      </c>
      <c r="N44" s="6">
        <v>826630459.52999997</v>
      </c>
      <c r="O44" s="6">
        <v>5.5E-2</v>
      </c>
      <c r="P44" s="6" t="s">
        <v>17</v>
      </c>
      <c r="Q44" s="6">
        <v>2.75E-2</v>
      </c>
      <c r="R44" s="6">
        <v>1.4999999999999999E-2</v>
      </c>
      <c r="S44" s="6"/>
      <c r="T44" s="6">
        <v>28458.720000000001</v>
      </c>
    </row>
    <row r="45" spans="1:20" ht="14.4" x14ac:dyDescent="0.25">
      <c r="A45" s="4">
        <v>2017</v>
      </c>
      <c r="B45" s="4">
        <v>5</v>
      </c>
      <c r="C45" s="4" t="s">
        <v>18</v>
      </c>
      <c r="D45" s="11">
        <v>650</v>
      </c>
      <c r="E45" s="5" t="s">
        <v>20</v>
      </c>
      <c r="F45" s="4" t="s">
        <v>34</v>
      </c>
      <c r="G45" s="12">
        <v>4377.55</v>
      </c>
      <c r="H45" s="6">
        <v>4377.55</v>
      </c>
      <c r="I45" s="6"/>
      <c r="J45" s="33">
        <v>0</v>
      </c>
      <c r="K45" s="33"/>
      <c r="L45" s="33"/>
      <c r="M45" s="6"/>
      <c r="N45" s="6"/>
      <c r="O45" s="6"/>
      <c r="P45" s="6"/>
      <c r="Q45" s="6"/>
      <c r="R45" s="6"/>
      <c r="S45" s="6"/>
      <c r="T45" s="6"/>
    </row>
    <row r="46" spans="1:20" ht="14.4" x14ac:dyDescent="0.25">
      <c r="A46" s="4">
        <v>2017</v>
      </c>
      <c r="B46" s="4">
        <v>5</v>
      </c>
      <c r="C46" s="4" t="s">
        <v>18</v>
      </c>
      <c r="D46" s="11">
        <v>999</v>
      </c>
      <c r="E46" s="5" t="s">
        <v>117</v>
      </c>
      <c r="F46" s="4" t="s">
        <v>34</v>
      </c>
      <c r="G46" s="12">
        <v>23442.26</v>
      </c>
      <c r="H46" s="6">
        <v>23442.26</v>
      </c>
      <c r="I46" s="6"/>
      <c r="J46" s="33">
        <v>0</v>
      </c>
      <c r="K46" s="33"/>
      <c r="L46" s="33"/>
      <c r="M46" s="6"/>
      <c r="N46" s="6"/>
      <c r="O46" s="6"/>
      <c r="P46" s="6"/>
      <c r="Q46" s="6"/>
      <c r="R46" s="6"/>
      <c r="S46" s="6"/>
      <c r="T46" s="6"/>
    </row>
    <row r="47" spans="1:20" ht="14.4" x14ac:dyDescent="0.25">
      <c r="A47" s="4">
        <v>2017</v>
      </c>
      <c r="B47" s="4">
        <v>5</v>
      </c>
      <c r="C47" s="4" t="s">
        <v>18</v>
      </c>
      <c r="D47" s="11">
        <v>7605</v>
      </c>
      <c r="E47" s="5" t="s">
        <v>77</v>
      </c>
      <c r="F47" s="4" t="s">
        <v>34</v>
      </c>
      <c r="G47" s="12">
        <v>65313.67</v>
      </c>
      <c r="H47" s="6">
        <v>65313.67</v>
      </c>
      <c r="I47" s="6"/>
      <c r="J47" s="33">
        <v>12445.34</v>
      </c>
      <c r="K47" s="33">
        <v>12445.34</v>
      </c>
      <c r="L47" s="33"/>
      <c r="M47" s="6"/>
      <c r="N47" s="6"/>
      <c r="O47" s="6"/>
      <c r="P47" s="6"/>
      <c r="Q47" s="6"/>
      <c r="R47" s="6"/>
      <c r="S47" s="6"/>
      <c r="T47" s="6"/>
    </row>
    <row r="48" spans="1:20" ht="14.4" x14ac:dyDescent="0.25">
      <c r="A48" s="4">
        <v>2017</v>
      </c>
      <c r="B48" s="4">
        <v>5</v>
      </c>
      <c r="C48" s="4" t="s">
        <v>18</v>
      </c>
      <c r="D48" s="11">
        <v>9653</v>
      </c>
      <c r="E48" s="5" t="s">
        <v>118</v>
      </c>
      <c r="F48" s="4" t="s">
        <v>34</v>
      </c>
      <c r="G48" s="12">
        <v>137048.88</v>
      </c>
      <c r="H48" s="6">
        <v>137048.88</v>
      </c>
      <c r="I48" s="6"/>
      <c r="J48" s="33">
        <v>0</v>
      </c>
      <c r="K48" s="33"/>
      <c r="L48" s="33"/>
      <c r="M48" s="6"/>
      <c r="N48" s="6"/>
      <c r="O48" s="6"/>
      <c r="P48" s="6"/>
      <c r="Q48" s="6"/>
      <c r="R48" s="6"/>
      <c r="S48" s="6"/>
      <c r="T48" s="6"/>
    </row>
    <row r="49" spans="1:31" ht="14.4" x14ac:dyDescent="0.25">
      <c r="A49" s="4">
        <v>2017</v>
      </c>
      <c r="B49" s="4">
        <v>5</v>
      </c>
      <c r="C49" s="4" t="s">
        <v>18</v>
      </c>
      <c r="D49" s="11">
        <v>40508</v>
      </c>
      <c r="E49" s="5" t="s">
        <v>119</v>
      </c>
      <c r="F49" s="4" t="s">
        <v>34</v>
      </c>
      <c r="G49" s="12">
        <v>8344.61</v>
      </c>
      <c r="H49" s="6">
        <v>8344.61</v>
      </c>
      <c r="I49" s="6"/>
      <c r="J49" s="33">
        <v>0</v>
      </c>
      <c r="K49" s="33"/>
      <c r="L49" s="33"/>
      <c r="M49" s="6"/>
      <c r="N49" s="6"/>
      <c r="O49" s="6"/>
      <c r="P49" s="6"/>
      <c r="Q49" s="6"/>
      <c r="R49" s="6"/>
      <c r="S49" s="6"/>
      <c r="T49" s="6"/>
    </row>
    <row r="50" spans="1:31" ht="14.4" x14ac:dyDescent="0.25">
      <c r="A50" s="4">
        <v>2017</v>
      </c>
      <c r="B50" s="4">
        <v>5</v>
      </c>
      <c r="C50" s="4" t="s">
        <v>18</v>
      </c>
      <c r="D50" s="11">
        <v>41958</v>
      </c>
      <c r="E50" s="5" t="s">
        <v>78</v>
      </c>
      <c r="F50" s="4" t="s">
        <v>34</v>
      </c>
      <c r="G50" s="12">
        <v>209940.78</v>
      </c>
      <c r="H50" s="6">
        <v>209940.78</v>
      </c>
      <c r="I50" s="6"/>
      <c r="J50" s="33">
        <v>35154.74</v>
      </c>
      <c r="K50" s="33">
        <v>35154.74</v>
      </c>
      <c r="L50" s="33"/>
      <c r="M50" s="6"/>
      <c r="N50" s="6"/>
      <c r="O50" s="6"/>
      <c r="P50" s="6"/>
      <c r="Q50" s="6"/>
      <c r="R50" s="6"/>
      <c r="S50" s="6"/>
      <c r="T50" s="6"/>
    </row>
    <row r="51" spans="1:31" ht="14.4" x14ac:dyDescent="0.25">
      <c r="A51" s="4">
        <v>2017</v>
      </c>
      <c r="B51" s="4">
        <v>5</v>
      </c>
      <c r="C51" s="4" t="s">
        <v>18</v>
      </c>
      <c r="D51" s="11">
        <v>43139</v>
      </c>
      <c r="E51" s="5" t="s">
        <v>120</v>
      </c>
      <c r="F51" s="4" t="s">
        <v>34</v>
      </c>
      <c r="G51" s="12">
        <v>767.77</v>
      </c>
      <c r="H51" s="6">
        <v>767.77</v>
      </c>
      <c r="I51" s="6"/>
      <c r="J51" s="33">
        <v>131.79</v>
      </c>
      <c r="K51" s="33">
        <v>131.79</v>
      </c>
      <c r="L51" s="33"/>
      <c r="M51" s="6"/>
      <c r="N51" s="6"/>
      <c r="O51" s="6"/>
      <c r="P51" s="6"/>
      <c r="Q51" s="6"/>
      <c r="R51" s="6"/>
      <c r="S51" s="6"/>
      <c r="T51" s="6"/>
    </row>
    <row r="52" spans="1:31" ht="14.4" x14ac:dyDescent="0.25">
      <c r="A52" s="4">
        <v>2017</v>
      </c>
      <c r="B52" s="4">
        <v>6</v>
      </c>
      <c r="C52" s="4" t="s">
        <v>18</v>
      </c>
      <c r="D52" s="11">
        <v>643</v>
      </c>
      <c r="E52" s="5" t="s">
        <v>72</v>
      </c>
      <c r="F52" s="4" t="s">
        <v>23</v>
      </c>
      <c r="G52" s="12">
        <v>5486768.71</v>
      </c>
      <c r="H52" s="6">
        <v>2017939.45</v>
      </c>
      <c r="I52" s="6">
        <v>3468829.26</v>
      </c>
      <c r="J52" s="6">
        <v>932581.14</v>
      </c>
      <c r="K52" s="6">
        <v>354689.17</v>
      </c>
      <c r="L52" s="6">
        <v>577891.97</v>
      </c>
      <c r="M52" s="6">
        <v>5330915497.0699997</v>
      </c>
      <c r="N52" s="6">
        <v>5361136748.8199997</v>
      </c>
      <c r="O52" s="6">
        <v>5.5E-2</v>
      </c>
      <c r="P52" s="6" t="s">
        <v>17</v>
      </c>
      <c r="Q52" s="6">
        <v>2.75E-2</v>
      </c>
      <c r="R52" s="6">
        <v>0.05</v>
      </c>
      <c r="S52" s="6"/>
      <c r="T52" s="6">
        <v>612565.49</v>
      </c>
    </row>
    <row r="53" spans="1:31" ht="14.4" x14ac:dyDescent="0.25">
      <c r="A53" s="4">
        <v>2017</v>
      </c>
      <c r="B53" s="4">
        <v>6</v>
      </c>
      <c r="C53" s="4" t="s">
        <v>18</v>
      </c>
      <c r="D53" s="11">
        <v>652</v>
      </c>
      <c r="E53" s="5" t="s">
        <v>74</v>
      </c>
      <c r="F53" s="4" t="s">
        <v>23</v>
      </c>
      <c r="G53" s="12">
        <v>5733424.1299999999</v>
      </c>
      <c r="H53" s="6">
        <v>2777536.8</v>
      </c>
      <c r="I53" s="6">
        <v>2955887.33</v>
      </c>
      <c r="J53" s="6">
        <v>595784.81000000006</v>
      </c>
      <c r="K53" s="6">
        <v>100787.3</v>
      </c>
      <c r="L53" s="6">
        <v>494997.51</v>
      </c>
      <c r="M53" s="6">
        <v>3134210476.1799998</v>
      </c>
      <c r="N53" s="6">
        <v>3162157883.04</v>
      </c>
      <c r="O53" s="6">
        <v>5.5E-2</v>
      </c>
      <c r="P53" s="6" t="s">
        <v>75</v>
      </c>
      <c r="Q53" s="6">
        <v>1.4999999999999999E-2</v>
      </c>
      <c r="R53" s="6">
        <v>0.05</v>
      </c>
      <c r="S53" s="6"/>
      <c r="T53" s="6">
        <v>524697.36</v>
      </c>
    </row>
    <row r="54" spans="1:31" ht="14.4" x14ac:dyDescent="0.25">
      <c r="A54" s="4">
        <v>2017</v>
      </c>
      <c r="B54" s="4">
        <v>6</v>
      </c>
      <c r="C54" s="4" t="s">
        <v>18</v>
      </c>
      <c r="D54" s="11">
        <v>44321</v>
      </c>
      <c r="E54" s="5" t="s">
        <v>26</v>
      </c>
      <c r="F54" s="4" t="s">
        <v>23</v>
      </c>
      <c r="G54" s="12">
        <v>611415.86</v>
      </c>
      <c r="H54" s="6">
        <v>450660.97</v>
      </c>
      <c r="I54" s="6">
        <v>160754.89000000001</v>
      </c>
      <c r="J54" s="6">
        <v>62473.23</v>
      </c>
      <c r="K54" s="6">
        <v>35480.01</v>
      </c>
      <c r="L54" s="6">
        <v>26993.22</v>
      </c>
      <c r="M54" s="6">
        <v>827701710.5</v>
      </c>
      <c r="N54" s="6">
        <v>837043893.11000001</v>
      </c>
      <c r="O54" s="6">
        <v>5.5E-2</v>
      </c>
      <c r="P54" s="6" t="s">
        <v>17</v>
      </c>
      <c r="Q54" s="6">
        <v>2.75E-2</v>
      </c>
      <c r="R54" s="6">
        <v>1.4999999999999999E-2</v>
      </c>
      <c r="S54" s="6"/>
      <c r="T54" s="6">
        <v>28612.82</v>
      </c>
    </row>
    <row r="55" spans="1:31" ht="14.4" x14ac:dyDescent="0.25">
      <c r="A55" s="4">
        <v>2017</v>
      </c>
      <c r="B55" s="4">
        <v>6</v>
      </c>
      <c r="C55" s="4" t="s">
        <v>18</v>
      </c>
      <c r="D55" s="11">
        <v>650</v>
      </c>
      <c r="E55" s="5" t="s">
        <v>20</v>
      </c>
      <c r="F55" s="4" t="s">
        <v>34</v>
      </c>
      <c r="G55" s="12">
        <v>4377.55</v>
      </c>
      <c r="H55" s="6">
        <v>4377.55</v>
      </c>
      <c r="I55" s="6"/>
      <c r="J55" s="6">
        <v>0</v>
      </c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31" ht="14.4" x14ac:dyDescent="0.25">
      <c r="A56" s="4">
        <v>2017</v>
      </c>
      <c r="B56" s="4">
        <v>6</v>
      </c>
      <c r="C56" s="4" t="s">
        <v>18</v>
      </c>
      <c r="D56" s="11">
        <v>999</v>
      </c>
      <c r="E56" s="5" t="s">
        <v>117</v>
      </c>
      <c r="F56" s="4" t="s">
        <v>34</v>
      </c>
      <c r="G56" s="12">
        <v>23702.75</v>
      </c>
      <c r="H56" s="6">
        <v>23702.75</v>
      </c>
      <c r="I56" s="6"/>
      <c r="J56" s="6">
        <v>260.49</v>
      </c>
      <c r="K56" s="6">
        <v>260.49</v>
      </c>
      <c r="L56" s="6"/>
      <c r="M56" s="6"/>
      <c r="N56" s="6"/>
      <c r="O56" s="6"/>
      <c r="P56" s="6"/>
      <c r="Q56" s="6"/>
      <c r="R56" s="6"/>
      <c r="S56" s="6"/>
      <c r="T56" s="6"/>
    </row>
    <row r="57" spans="1:31" ht="14.4" x14ac:dyDescent="0.25">
      <c r="A57" s="4">
        <v>2017</v>
      </c>
      <c r="B57" s="4">
        <v>6</v>
      </c>
      <c r="C57" s="4" t="s">
        <v>18</v>
      </c>
      <c r="D57" s="11">
        <v>7605</v>
      </c>
      <c r="E57" s="5" t="s">
        <v>77</v>
      </c>
      <c r="F57" s="4" t="s">
        <v>34</v>
      </c>
      <c r="G57" s="12">
        <v>79247.240000000005</v>
      </c>
      <c r="H57" s="6">
        <v>79247.240000000005</v>
      </c>
      <c r="I57" s="6"/>
      <c r="J57" s="6">
        <v>13933.57</v>
      </c>
      <c r="K57" s="6">
        <v>13933.57</v>
      </c>
      <c r="L57" s="6"/>
      <c r="M57" s="6"/>
      <c r="N57" s="6"/>
      <c r="O57" s="6"/>
      <c r="P57" s="6"/>
      <c r="Q57" s="6"/>
      <c r="R57" s="6"/>
      <c r="S57" s="6"/>
      <c r="T57" s="6"/>
    </row>
    <row r="58" spans="1:31" ht="14.4" x14ac:dyDescent="0.25">
      <c r="A58" s="4">
        <v>2017</v>
      </c>
      <c r="B58" s="4">
        <v>6</v>
      </c>
      <c r="C58" s="4" t="s">
        <v>18</v>
      </c>
      <c r="D58" s="11">
        <v>9653</v>
      </c>
      <c r="E58" s="5" t="s">
        <v>118</v>
      </c>
      <c r="F58" s="4" t="s">
        <v>34</v>
      </c>
      <c r="G58" s="12">
        <v>137048.88</v>
      </c>
      <c r="H58" s="6">
        <v>137048.88</v>
      </c>
      <c r="I58" s="6"/>
      <c r="J58" s="6">
        <v>0</v>
      </c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31" ht="14.4" x14ac:dyDescent="0.25">
      <c r="A59" s="4">
        <v>2017</v>
      </c>
      <c r="B59" s="4">
        <v>6</v>
      </c>
      <c r="C59" s="4" t="s">
        <v>18</v>
      </c>
      <c r="D59" s="11">
        <v>40508</v>
      </c>
      <c r="E59" s="5" t="s">
        <v>119</v>
      </c>
      <c r="F59" s="4" t="s">
        <v>34</v>
      </c>
      <c r="G59" s="12">
        <v>8344.61</v>
      </c>
      <c r="H59" s="6">
        <v>8344.61</v>
      </c>
      <c r="I59" s="6"/>
      <c r="J59" s="6">
        <v>0</v>
      </c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31" ht="14.4" x14ac:dyDescent="0.25">
      <c r="A60" s="4">
        <v>2017</v>
      </c>
      <c r="B60" s="4">
        <v>6</v>
      </c>
      <c r="C60" s="4" t="s">
        <v>18</v>
      </c>
      <c r="D60" s="11">
        <v>41958</v>
      </c>
      <c r="E60" s="5" t="s">
        <v>78</v>
      </c>
      <c r="F60" s="4" t="s">
        <v>34</v>
      </c>
      <c r="G60" s="12">
        <v>254728.18</v>
      </c>
      <c r="H60" s="6">
        <v>254728.18</v>
      </c>
      <c r="I60" s="6"/>
      <c r="J60" s="6">
        <v>44787.4</v>
      </c>
      <c r="K60" s="6">
        <v>44787.4</v>
      </c>
      <c r="L60" s="6"/>
      <c r="M60" s="6"/>
      <c r="N60" s="6"/>
      <c r="O60" s="6"/>
      <c r="P60" s="6"/>
      <c r="Q60" s="6"/>
      <c r="R60" s="6"/>
      <c r="S60" s="6"/>
      <c r="T60" s="6"/>
    </row>
    <row r="61" spans="1:31" ht="14.4" x14ac:dyDescent="0.25">
      <c r="A61" s="4">
        <v>2017</v>
      </c>
      <c r="B61" s="4">
        <v>6</v>
      </c>
      <c r="C61" s="4" t="s">
        <v>18</v>
      </c>
      <c r="D61" s="11">
        <v>43139</v>
      </c>
      <c r="E61" s="5" t="s">
        <v>120</v>
      </c>
      <c r="F61" s="4" t="s">
        <v>34</v>
      </c>
      <c r="G61" s="12">
        <v>927.02</v>
      </c>
      <c r="H61" s="6">
        <v>927.02</v>
      </c>
      <c r="I61" s="6"/>
      <c r="J61" s="6">
        <v>159.25</v>
      </c>
      <c r="K61" s="6">
        <v>159.25</v>
      </c>
      <c r="L61" s="6"/>
      <c r="M61" s="6"/>
      <c r="N61" s="6"/>
      <c r="O61" s="6"/>
      <c r="P61" s="6"/>
      <c r="Q61" s="6"/>
      <c r="R61" s="6"/>
      <c r="S61" s="6"/>
      <c r="T61" s="6"/>
    </row>
    <row r="62" spans="1:31" ht="14.4" x14ac:dyDescent="0.25">
      <c r="A62" s="4">
        <v>2017</v>
      </c>
      <c r="B62" s="4">
        <v>7</v>
      </c>
      <c r="C62" s="4" t="s">
        <v>18</v>
      </c>
      <c r="D62" s="11">
        <v>643</v>
      </c>
      <c r="E62" s="5" t="s">
        <v>72</v>
      </c>
      <c r="F62" s="4" t="s">
        <v>23</v>
      </c>
      <c r="G62" s="12">
        <v>6379777.0999999996</v>
      </c>
      <c r="H62" s="6">
        <v>2332732.2999999998</v>
      </c>
      <c r="I62" s="6">
        <v>4047044.8</v>
      </c>
      <c r="J62" s="6">
        <v>893008.4</v>
      </c>
      <c r="K62" s="6">
        <v>314792.84999999998</v>
      </c>
      <c r="L62" s="6">
        <v>578215.55000000005</v>
      </c>
      <c r="M62" s="6">
        <v>5349517755.1400003</v>
      </c>
      <c r="N62" s="6">
        <v>5348521144.9499998</v>
      </c>
      <c r="O62" s="6">
        <v>5.5E-2</v>
      </c>
      <c r="P62" s="6" t="s">
        <v>17</v>
      </c>
      <c r="Q62" s="6">
        <v>2.75E-2</v>
      </c>
      <c r="R62" s="6">
        <v>0.05</v>
      </c>
      <c r="S62" s="6"/>
      <c r="T62" s="6">
        <v>612908.48</v>
      </c>
    </row>
    <row r="63" spans="1:31" ht="14.4" x14ac:dyDescent="0.25">
      <c r="A63" s="4">
        <v>2017</v>
      </c>
      <c r="B63" s="4">
        <v>7</v>
      </c>
      <c r="C63" s="4" t="s">
        <v>18</v>
      </c>
      <c r="D63" s="11">
        <v>652</v>
      </c>
      <c r="E63" s="5" t="s">
        <v>74</v>
      </c>
      <c r="F63" s="4" t="s">
        <v>23</v>
      </c>
      <c r="G63" s="12">
        <v>6331428.3200000003</v>
      </c>
      <c r="H63" s="6">
        <v>2876974.38</v>
      </c>
      <c r="I63" s="6">
        <v>3454453.94</v>
      </c>
      <c r="J63" s="6">
        <v>598004.19999999995</v>
      </c>
      <c r="K63" s="6">
        <v>99437.58</v>
      </c>
      <c r="L63" s="6">
        <v>498566.62</v>
      </c>
      <c r="M63" s="6">
        <v>3165571055.5100002</v>
      </c>
      <c r="N63" s="6">
        <v>3176196310.2800002</v>
      </c>
      <c r="O63" s="6">
        <v>5.5E-2</v>
      </c>
      <c r="P63" s="6" t="s">
        <v>75</v>
      </c>
      <c r="Q63" s="6">
        <v>1.4999999999999999E-2</v>
      </c>
      <c r="R63" s="6">
        <v>0.05</v>
      </c>
      <c r="S63" s="6"/>
      <c r="T63" s="6">
        <v>528480.61</v>
      </c>
      <c r="X63" s="28"/>
      <c r="Y63" s="28"/>
      <c r="Z63" s="28"/>
      <c r="AA63" s="28"/>
      <c r="AB63" s="28"/>
      <c r="AC63" s="28"/>
      <c r="AD63" s="28"/>
      <c r="AE63" s="28"/>
    </row>
    <row r="64" spans="1:31" ht="14.4" x14ac:dyDescent="0.25">
      <c r="A64" s="4">
        <v>2017</v>
      </c>
      <c r="B64" s="4">
        <v>7</v>
      </c>
      <c r="C64" s="4" t="s">
        <v>18</v>
      </c>
      <c r="D64" s="11">
        <v>44321</v>
      </c>
      <c r="E64" s="5" t="s">
        <v>26</v>
      </c>
      <c r="F64" s="4" t="s">
        <v>23</v>
      </c>
      <c r="G64" s="12">
        <v>549357.75</v>
      </c>
      <c r="H64" s="6">
        <v>361335.38</v>
      </c>
      <c r="I64" s="6">
        <v>188022.37</v>
      </c>
      <c r="J64" s="6">
        <v>-62058.12</v>
      </c>
      <c r="K64" s="6">
        <v>-89325.59</v>
      </c>
      <c r="L64" s="6">
        <v>27267.47</v>
      </c>
      <c r="M64" s="6">
        <v>837609152.32000005</v>
      </c>
      <c r="N64" s="6">
        <v>844050361.00999999</v>
      </c>
      <c r="O64" s="6">
        <v>5.5E-2</v>
      </c>
      <c r="P64" s="6" t="s">
        <v>17</v>
      </c>
      <c r="Q64" s="6">
        <v>2.75E-2</v>
      </c>
      <c r="R64" s="6">
        <v>1.4999999999999999E-2</v>
      </c>
      <c r="S64" s="6"/>
      <c r="T64" s="6">
        <v>28903.52</v>
      </c>
      <c r="X64" s="28"/>
      <c r="Y64" s="28"/>
      <c r="Z64" s="28"/>
      <c r="AA64" s="28"/>
      <c r="AB64" s="28"/>
      <c r="AC64" s="28"/>
      <c r="AD64" s="28"/>
      <c r="AE64" s="28"/>
    </row>
    <row r="65" spans="1:31" ht="14.4" x14ac:dyDescent="0.25">
      <c r="A65" s="4">
        <v>2017</v>
      </c>
      <c r="B65" s="4">
        <v>7</v>
      </c>
      <c r="C65" s="4" t="s">
        <v>18</v>
      </c>
      <c r="D65" s="11">
        <v>650</v>
      </c>
      <c r="E65" s="5" t="s">
        <v>20</v>
      </c>
      <c r="F65" s="4" t="s">
        <v>34</v>
      </c>
      <c r="G65" s="12">
        <v>4377.55</v>
      </c>
      <c r="H65" s="6">
        <v>4377.55</v>
      </c>
      <c r="I65" s="6"/>
      <c r="J65" s="6">
        <v>0</v>
      </c>
      <c r="K65" s="6"/>
      <c r="L65" s="6"/>
      <c r="M65" s="6"/>
      <c r="N65" s="6"/>
      <c r="O65" s="6"/>
      <c r="P65" s="6"/>
      <c r="Q65" s="6"/>
      <c r="R65" s="6"/>
      <c r="S65" s="6"/>
      <c r="T65" s="6"/>
      <c r="X65" s="28"/>
      <c r="Y65" s="28"/>
      <c r="Z65" s="28"/>
      <c r="AA65" s="28"/>
      <c r="AB65" s="28"/>
      <c r="AC65" s="28"/>
      <c r="AD65" s="28"/>
      <c r="AE65" s="28"/>
    </row>
    <row r="66" spans="1:31" ht="14.4" x14ac:dyDescent="0.25">
      <c r="A66" s="4">
        <v>2017</v>
      </c>
      <c r="B66" s="4">
        <v>7</v>
      </c>
      <c r="C66" s="4" t="s">
        <v>18</v>
      </c>
      <c r="D66" s="11">
        <v>999</v>
      </c>
      <c r="E66" s="5" t="s">
        <v>117</v>
      </c>
      <c r="F66" s="4" t="s">
        <v>34</v>
      </c>
      <c r="G66" s="12">
        <v>23702.75</v>
      </c>
      <c r="H66" s="6">
        <v>23702.75</v>
      </c>
      <c r="I66" s="6"/>
      <c r="J66" s="6">
        <v>0</v>
      </c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31" ht="14.4" x14ac:dyDescent="0.25">
      <c r="A67" s="4">
        <v>2017</v>
      </c>
      <c r="B67" s="4">
        <v>7</v>
      </c>
      <c r="C67" s="4" t="s">
        <v>18</v>
      </c>
      <c r="D67" s="11">
        <v>7605</v>
      </c>
      <c r="E67" s="5" t="s">
        <v>77</v>
      </c>
      <c r="F67" s="4" t="s">
        <v>34</v>
      </c>
      <c r="G67" s="12">
        <v>92474.67</v>
      </c>
      <c r="H67" s="6">
        <v>92474.67</v>
      </c>
      <c r="I67" s="6"/>
      <c r="J67" s="6">
        <v>13227.43</v>
      </c>
      <c r="K67" s="6">
        <v>13227.43</v>
      </c>
      <c r="L67" s="6"/>
      <c r="M67" s="6"/>
      <c r="N67" s="6"/>
      <c r="O67" s="6"/>
      <c r="P67" s="6"/>
      <c r="Q67" s="6"/>
      <c r="R67" s="6"/>
      <c r="S67" s="6"/>
      <c r="T67" s="6"/>
    </row>
    <row r="68" spans="1:31" ht="14.4" x14ac:dyDescent="0.25">
      <c r="A68" s="4">
        <v>2017</v>
      </c>
      <c r="B68" s="4">
        <v>7</v>
      </c>
      <c r="C68" s="4" t="s">
        <v>18</v>
      </c>
      <c r="D68" s="11">
        <v>9653</v>
      </c>
      <c r="E68" s="5" t="s">
        <v>118</v>
      </c>
      <c r="F68" s="4" t="s">
        <v>34</v>
      </c>
      <c r="G68" s="12">
        <v>137048.88</v>
      </c>
      <c r="H68" s="6">
        <v>137048.88</v>
      </c>
      <c r="I68" s="6"/>
      <c r="J68" s="6">
        <v>0</v>
      </c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31" ht="14.4" x14ac:dyDescent="0.25">
      <c r="A69" s="4">
        <v>2017</v>
      </c>
      <c r="B69" s="4">
        <v>7</v>
      </c>
      <c r="C69" s="4" t="s">
        <v>18</v>
      </c>
      <c r="D69" s="11">
        <v>40508</v>
      </c>
      <c r="E69" s="5" t="s">
        <v>119</v>
      </c>
      <c r="F69" s="4" t="s">
        <v>34</v>
      </c>
      <c r="G69" s="12">
        <v>8344.61</v>
      </c>
      <c r="H69" s="6">
        <v>8344.61</v>
      </c>
      <c r="I69" s="6"/>
      <c r="J69" s="6">
        <v>0</v>
      </c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31" ht="14.4" x14ac:dyDescent="0.25">
      <c r="A70" s="4">
        <v>2017</v>
      </c>
      <c r="B70" s="4">
        <v>7</v>
      </c>
      <c r="C70" s="4" t="s">
        <v>18</v>
      </c>
      <c r="D70" s="11">
        <v>41958</v>
      </c>
      <c r="E70" s="5" t="s">
        <v>78</v>
      </c>
      <c r="F70" s="4" t="s">
        <v>34</v>
      </c>
      <c r="G70" s="12">
        <v>303719.46000000002</v>
      </c>
      <c r="H70" s="6">
        <v>303719.46000000002</v>
      </c>
      <c r="I70" s="6"/>
      <c r="J70" s="6">
        <v>48991.28</v>
      </c>
      <c r="K70" s="6">
        <v>48991.28</v>
      </c>
      <c r="L70" s="6"/>
      <c r="M70" s="6"/>
      <c r="N70" s="6"/>
      <c r="O70" s="6"/>
      <c r="P70" s="6"/>
      <c r="Q70" s="6"/>
      <c r="R70" s="6"/>
      <c r="S70" s="6"/>
      <c r="T70" s="6"/>
    </row>
    <row r="71" spans="1:31" ht="14.4" x14ac:dyDescent="0.25">
      <c r="A71" s="4">
        <v>2017</v>
      </c>
      <c r="B71" s="4">
        <v>7</v>
      </c>
      <c r="C71" s="4" t="s">
        <v>18</v>
      </c>
      <c r="D71" s="11">
        <v>43139</v>
      </c>
      <c r="E71" s="5" t="s">
        <v>120</v>
      </c>
      <c r="F71" s="4" t="s">
        <v>34</v>
      </c>
      <c r="G71" s="12">
        <v>933.22</v>
      </c>
      <c r="H71" s="6">
        <v>933.22</v>
      </c>
      <c r="I71" s="6"/>
      <c r="J71" s="6">
        <v>6.2</v>
      </c>
      <c r="K71" s="6">
        <v>6.2</v>
      </c>
      <c r="L71" s="6"/>
      <c r="M71" s="6"/>
      <c r="N71" s="6"/>
      <c r="O71" s="6"/>
      <c r="P71" s="6"/>
      <c r="Q71" s="6"/>
      <c r="R71" s="6"/>
      <c r="S71" s="6"/>
      <c r="T71" s="6"/>
    </row>
    <row r="72" spans="1:31" ht="14.4" x14ac:dyDescent="0.25">
      <c r="A72" s="4">
        <v>2017</v>
      </c>
      <c r="B72" s="4">
        <v>8</v>
      </c>
      <c r="C72" s="4" t="s">
        <v>18</v>
      </c>
      <c r="D72" s="11">
        <v>643</v>
      </c>
      <c r="E72" s="5" t="s">
        <v>72</v>
      </c>
      <c r="F72" s="4" t="s">
        <v>23</v>
      </c>
      <c r="G72" s="12">
        <v>7306240.1600000001</v>
      </c>
      <c r="H72" s="6">
        <v>2688480.18</v>
      </c>
      <c r="I72" s="6">
        <v>4617759.9800000004</v>
      </c>
      <c r="J72" s="6">
        <v>926463.06</v>
      </c>
      <c r="K72" s="6">
        <v>355747.88</v>
      </c>
      <c r="L72" s="6">
        <v>570715.18000000005</v>
      </c>
      <c r="M72" s="6">
        <v>5356482381.8599997</v>
      </c>
      <c r="N72" s="6">
        <v>5202786074.9799995</v>
      </c>
      <c r="O72" s="6">
        <v>5.5E-2</v>
      </c>
      <c r="P72" s="6" t="s">
        <v>17</v>
      </c>
      <c r="Q72" s="6">
        <v>2.75E-2</v>
      </c>
      <c r="R72" s="6">
        <v>0.05</v>
      </c>
      <c r="S72" s="6"/>
      <c r="T72" s="6">
        <v>604958.09</v>
      </c>
    </row>
    <row r="73" spans="1:31" ht="14.4" x14ac:dyDescent="0.25">
      <c r="A73" s="4">
        <v>2017</v>
      </c>
      <c r="B73" s="4">
        <v>8</v>
      </c>
      <c r="C73" s="4" t="s">
        <v>18</v>
      </c>
      <c r="D73" s="11">
        <v>652</v>
      </c>
      <c r="E73" s="5" t="s">
        <v>74</v>
      </c>
      <c r="F73" s="4" t="s">
        <v>23</v>
      </c>
      <c r="G73" s="12">
        <v>7382508.4199999999</v>
      </c>
      <c r="H73" s="6">
        <v>3427781.65</v>
      </c>
      <c r="I73" s="6">
        <v>3954726.77</v>
      </c>
      <c r="J73" s="6">
        <v>1051080.1000000001</v>
      </c>
      <c r="K73" s="6">
        <v>550807.27</v>
      </c>
      <c r="L73" s="6">
        <v>500272.83</v>
      </c>
      <c r="M73" s="6">
        <v>3180254775.7399998</v>
      </c>
      <c r="N73" s="6">
        <v>3183215563.1199999</v>
      </c>
      <c r="O73" s="6">
        <v>5.5E-2</v>
      </c>
      <c r="P73" s="6" t="s">
        <v>75</v>
      </c>
      <c r="Q73" s="6">
        <v>1.4999999999999999E-2</v>
      </c>
      <c r="R73" s="6">
        <v>0.05</v>
      </c>
      <c r="S73" s="6"/>
      <c r="T73" s="6">
        <v>530289.18999999994</v>
      </c>
    </row>
    <row r="74" spans="1:31" ht="14.4" x14ac:dyDescent="0.25">
      <c r="A74" s="4">
        <v>2017</v>
      </c>
      <c r="B74" s="4">
        <v>8</v>
      </c>
      <c r="C74" s="4" t="s">
        <v>18</v>
      </c>
      <c r="D74" s="11">
        <v>44321</v>
      </c>
      <c r="E74" s="5" t="s">
        <v>26</v>
      </c>
      <c r="F74" s="4" t="s">
        <v>23</v>
      </c>
      <c r="G74" s="12">
        <v>613683</v>
      </c>
      <c r="H74" s="6">
        <v>398131.23</v>
      </c>
      <c r="I74" s="6">
        <v>215551.77</v>
      </c>
      <c r="J74" s="6">
        <v>64325.25</v>
      </c>
      <c r="K74" s="6">
        <v>36795.85</v>
      </c>
      <c r="L74" s="6">
        <v>27529.4</v>
      </c>
      <c r="M74" s="6">
        <v>845162123.80999994</v>
      </c>
      <c r="N74" s="6">
        <v>852651040.75999999</v>
      </c>
      <c r="O74" s="6">
        <v>5.5E-2</v>
      </c>
      <c r="P74" s="6" t="s">
        <v>17</v>
      </c>
      <c r="Q74" s="6">
        <v>2.75E-2</v>
      </c>
      <c r="R74" s="6">
        <v>1.4999999999999999E-2</v>
      </c>
      <c r="S74" s="6"/>
      <c r="T74" s="6">
        <v>29181.16</v>
      </c>
    </row>
    <row r="75" spans="1:31" ht="14.4" x14ac:dyDescent="0.25">
      <c r="A75" s="4">
        <v>2017</v>
      </c>
      <c r="B75" s="4">
        <v>8</v>
      </c>
      <c r="C75" s="4" t="s">
        <v>18</v>
      </c>
      <c r="D75" s="11">
        <v>650</v>
      </c>
      <c r="E75" s="5" t="s">
        <v>20</v>
      </c>
      <c r="F75" s="4" t="s">
        <v>34</v>
      </c>
      <c r="G75" s="12">
        <v>4377.55</v>
      </c>
      <c r="H75" s="6">
        <v>4377.55</v>
      </c>
      <c r="I75" s="6"/>
      <c r="J75" s="6">
        <v>0</v>
      </c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31" ht="14.4" x14ac:dyDescent="0.25">
      <c r="A76" s="4">
        <v>2017</v>
      </c>
      <c r="B76" s="4">
        <v>8</v>
      </c>
      <c r="C76" s="4" t="s">
        <v>18</v>
      </c>
      <c r="D76" s="11">
        <v>999</v>
      </c>
      <c r="E76" s="5" t="s">
        <v>117</v>
      </c>
      <c r="F76" s="4" t="s">
        <v>34</v>
      </c>
      <c r="G76" s="12">
        <v>28630.79</v>
      </c>
      <c r="H76" s="6">
        <v>28630.79</v>
      </c>
      <c r="I76" s="6"/>
      <c r="J76" s="6">
        <v>4928.04</v>
      </c>
      <c r="K76" s="6">
        <v>4928.04</v>
      </c>
      <c r="L76" s="6"/>
      <c r="M76" s="6"/>
      <c r="N76" s="6"/>
      <c r="O76" s="6"/>
      <c r="P76" s="6"/>
      <c r="Q76" s="6"/>
      <c r="R76" s="6"/>
      <c r="S76" s="6"/>
      <c r="T76" s="6"/>
    </row>
    <row r="77" spans="1:31" ht="14.4" x14ac:dyDescent="0.25">
      <c r="A77" s="4">
        <v>2017</v>
      </c>
      <c r="B77" s="4">
        <v>8</v>
      </c>
      <c r="C77" s="4" t="s">
        <v>18</v>
      </c>
      <c r="D77" s="11">
        <v>7605</v>
      </c>
      <c r="E77" s="5" t="s">
        <v>77</v>
      </c>
      <c r="F77" s="4" t="s">
        <v>34</v>
      </c>
      <c r="G77" s="12">
        <v>106312.63</v>
      </c>
      <c r="H77" s="6">
        <v>106312.63</v>
      </c>
      <c r="I77" s="6"/>
      <c r="J77" s="6">
        <v>13837.96</v>
      </c>
      <c r="K77" s="6">
        <v>13837.96</v>
      </c>
      <c r="L77" s="6"/>
      <c r="M77" s="6"/>
      <c r="N77" s="6"/>
      <c r="O77" s="6"/>
      <c r="P77" s="6"/>
      <c r="Q77" s="6"/>
      <c r="R77" s="6"/>
      <c r="S77" s="6"/>
      <c r="T77" s="6"/>
    </row>
    <row r="78" spans="1:31" ht="14.4" x14ac:dyDescent="0.25">
      <c r="A78" s="4">
        <v>2017</v>
      </c>
      <c r="B78" s="4">
        <v>8</v>
      </c>
      <c r="C78" s="4" t="s">
        <v>18</v>
      </c>
      <c r="D78" s="11">
        <v>9653</v>
      </c>
      <c r="E78" s="5" t="s">
        <v>118</v>
      </c>
      <c r="F78" s="4" t="s">
        <v>34</v>
      </c>
      <c r="G78" s="12">
        <v>137048.88</v>
      </c>
      <c r="H78" s="6">
        <v>137048.88</v>
      </c>
      <c r="I78" s="6"/>
      <c r="J78" s="6">
        <v>0</v>
      </c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31" ht="14.4" x14ac:dyDescent="0.25">
      <c r="A79" s="4">
        <v>2017</v>
      </c>
      <c r="B79" s="4">
        <v>8</v>
      </c>
      <c r="C79" s="4" t="s">
        <v>18</v>
      </c>
      <c r="D79" s="11">
        <v>40508</v>
      </c>
      <c r="E79" s="5" t="s">
        <v>119</v>
      </c>
      <c r="F79" s="4" t="s">
        <v>34</v>
      </c>
      <c r="G79" s="12">
        <v>8344.61</v>
      </c>
      <c r="H79" s="6">
        <v>8344.61</v>
      </c>
      <c r="I79" s="6"/>
      <c r="J79" s="6">
        <v>0</v>
      </c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31" ht="14.4" x14ac:dyDescent="0.25">
      <c r="A80" s="4">
        <v>2017</v>
      </c>
      <c r="B80" s="4">
        <v>8</v>
      </c>
      <c r="C80" s="4" t="s">
        <v>18</v>
      </c>
      <c r="D80" s="11">
        <v>41958</v>
      </c>
      <c r="E80" s="5" t="s">
        <v>78</v>
      </c>
      <c r="F80" s="4" t="s">
        <v>34</v>
      </c>
      <c r="G80" s="12">
        <v>347167.93</v>
      </c>
      <c r="H80" s="6">
        <v>347167.93</v>
      </c>
      <c r="I80" s="6"/>
      <c r="J80" s="6">
        <v>43448.47</v>
      </c>
      <c r="K80" s="6">
        <v>43448.47</v>
      </c>
      <c r="L80" s="6"/>
      <c r="M80" s="6"/>
      <c r="N80" s="6"/>
      <c r="O80" s="6"/>
      <c r="P80" s="6"/>
      <c r="Q80" s="6"/>
      <c r="R80" s="6"/>
      <c r="S80" s="6"/>
      <c r="T80" s="6"/>
    </row>
    <row r="81" spans="1:20" ht="14.4" x14ac:dyDescent="0.25">
      <c r="A81" s="4">
        <v>2017</v>
      </c>
      <c r="B81" s="4">
        <v>8</v>
      </c>
      <c r="C81" s="4" t="s">
        <v>18</v>
      </c>
      <c r="D81" s="11">
        <v>43139</v>
      </c>
      <c r="E81" s="5" t="s">
        <v>120</v>
      </c>
      <c r="F81" s="4" t="s">
        <v>34</v>
      </c>
      <c r="G81" s="12">
        <v>933.22</v>
      </c>
      <c r="H81" s="6">
        <v>933.22</v>
      </c>
      <c r="I81" s="6"/>
      <c r="J81" s="6">
        <v>0</v>
      </c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ht="14.4" x14ac:dyDescent="0.25">
      <c r="A82" s="4">
        <v>2017</v>
      </c>
      <c r="B82" s="4">
        <v>9</v>
      </c>
      <c r="C82" s="4" t="s">
        <v>18</v>
      </c>
      <c r="D82" s="11">
        <v>643</v>
      </c>
      <c r="E82" s="5" t="s">
        <v>72</v>
      </c>
      <c r="F82" s="4" t="s">
        <v>23</v>
      </c>
      <c r="G82" s="12">
        <v>8208672.5099999998</v>
      </c>
      <c r="H82" s="6">
        <v>3030953.61</v>
      </c>
      <c r="I82" s="6">
        <v>5177718.9000000004</v>
      </c>
      <c r="J82" s="6">
        <v>902432.34</v>
      </c>
      <c r="K82" s="6">
        <v>342473.43</v>
      </c>
      <c r="L82" s="6">
        <v>559958.91</v>
      </c>
      <c r="M82" s="6">
        <v>5347702871.0699997</v>
      </c>
      <c r="N82" s="6">
        <v>5358060183.9899998</v>
      </c>
      <c r="O82" s="6">
        <v>5.5E-2</v>
      </c>
      <c r="P82" s="6" t="s">
        <v>17</v>
      </c>
      <c r="Q82" s="6">
        <v>2.75E-2</v>
      </c>
      <c r="R82" s="6">
        <v>0.05</v>
      </c>
      <c r="S82" s="6"/>
      <c r="T82" s="6">
        <v>593556.44999999995</v>
      </c>
    </row>
    <row r="83" spans="1:20" ht="14.4" x14ac:dyDescent="0.25">
      <c r="A83" s="4">
        <v>2017</v>
      </c>
      <c r="B83" s="4">
        <v>9</v>
      </c>
      <c r="C83" s="4" t="s">
        <v>18</v>
      </c>
      <c r="D83" s="11">
        <v>652</v>
      </c>
      <c r="E83" s="5" t="s">
        <v>74</v>
      </c>
      <c r="F83" s="4" t="s">
        <v>23</v>
      </c>
      <c r="G83" s="12">
        <v>8009572.7800000003</v>
      </c>
      <c r="H83" s="6">
        <v>3552804.13</v>
      </c>
      <c r="I83" s="6">
        <v>4456768.6500000004</v>
      </c>
      <c r="J83" s="6">
        <v>627064.36</v>
      </c>
      <c r="K83" s="6">
        <v>125022.48</v>
      </c>
      <c r="L83" s="6">
        <v>502041.88</v>
      </c>
      <c r="M83" s="6">
        <v>3186280486.54</v>
      </c>
      <c r="N83" s="6">
        <v>3199692213.6100001</v>
      </c>
      <c r="O83" s="6">
        <v>5.5E-2</v>
      </c>
      <c r="P83" s="6" t="s">
        <v>75</v>
      </c>
      <c r="Q83" s="6">
        <v>1.4999999999999999E-2</v>
      </c>
      <c r="R83" s="6">
        <v>0.05</v>
      </c>
      <c r="S83" s="6"/>
      <c r="T83" s="6">
        <v>532164.39</v>
      </c>
    </row>
    <row r="84" spans="1:20" ht="14.4" x14ac:dyDescent="0.25">
      <c r="A84" s="4">
        <v>2017</v>
      </c>
      <c r="B84" s="4">
        <v>9</v>
      </c>
      <c r="C84" s="4" t="s">
        <v>18</v>
      </c>
      <c r="D84" s="11">
        <v>44321</v>
      </c>
      <c r="E84" s="5" t="s">
        <v>26</v>
      </c>
      <c r="F84" s="4" t="s">
        <v>23</v>
      </c>
      <c r="G84" s="12">
        <v>701478.48</v>
      </c>
      <c r="H84" s="6">
        <v>458153.92</v>
      </c>
      <c r="I84" s="6">
        <v>243324.56</v>
      </c>
      <c r="J84" s="6">
        <v>87795.48</v>
      </c>
      <c r="K84" s="6">
        <v>60022.69</v>
      </c>
      <c r="L84" s="6">
        <v>27772.79</v>
      </c>
      <c r="M84" s="6">
        <v>853234160.57000005</v>
      </c>
      <c r="N84" s="6">
        <v>859589482.67999995</v>
      </c>
      <c r="O84" s="6">
        <v>5.5E-2</v>
      </c>
      <c r="P84" s="6" t="s">
        <v>17</v>
      </c>
      <c r="Q84" s="6">
        <v>2.75E-2</v>
      </c>
      <c r="R84" s="6">
        <v>1.4999999999999999E-2</v>
      </c>
      <c r="S84" s="6"/>
      <c r="T84" s="6">
        <v>29439.16</v>
      </c>
    </row>
    <row r="85" spans="1:20" ht="14.4" x14ac:dyDescent="0.25">
      <c r="A85" s="4">
        <v>2017</v>
      </c>
      <c r="B85" s="4">
        <v>9</v>
      </c>
      <c r="C85" s="4" t="s">
        <v>18</v>
      </c>
      <c r="D85" s="11">
        <v>650</v>
      </c>
      <c r="E85" s="5" t="s">
        <v>20</v>
      </c>
      <c r="F85" s="4" t="s">
        <v>34</v>
      </c>
      <c r="G85" s="12">
        <v>4377.55</v>
      </c>
      <c r="H85" s="6">
        <v>4377.55</v>
      </c>
      <c r="I85" s="6"/>
      <c r="J85" s="6">
        <v>0</v>
      </c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ht="14.4" x14ac:dyDescent="0.25">
      <c r="A86" s="4">
        <v>2017</v>
      </c>
      <c r="B86" s="4">
        <v>9</v>
      </c>
      <c r="C86" s="4" t="s">
        <v>18</v>
      </c>
      <c r="D86" s="11">
        <v>999</v>
      </c>
      <c r="E86" s="5" t="s">
        <v>117</v>
      </c>
      <c r="F86" s="4" t="s">
        <v>34</v>
      </c>
      <c r="G86" s="12">
        <v>28630.79</v>
      </c>
      <c r="H86" s="6">
        <v>28630.79</v>
      </c>
      <c r="I86" s="6"/>
      <c r="J86" s="6">
        <v>0</v>
      </c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ht="14.4" x14ac:dyDescent="0.25">
      <c r="A87" s="4">
        <v>2017</v>
      </c>
      <c r="B87" s="4">
        <v>9</v>
      </c>
      <c r="C87" s="4" t="s">
        <v>18</v>
      </c>
      <c r="D87" s="11">
        <v>7605</v>
      </c>
      <c r="E87" s="5" t="s">
        <v>77</v>
      </c>
      <c r="F87" s="4" t="s">
        <v>34</v>
      </c>
      <c r="G87" s="12">
        <v>119913.01</v>
      </c>
      <c r="H87" s="6">
        <v>119913.01</v>
      </c>
      <c r="I87" s="6"/>
      <c r="J87" s="6">
        <v>13600.38</v>
      </c>
      <c r="K87" s="6">
        <v>13600.38</v>
      </c>
      <c r="L87" s="6"/>
      <c r="M87" s="6"/>
      <c r="N87" s="6"/>
      <c r="O87" s="6"/>
      <c r="P87" s="6"/>
      <c r="Q87" s="6"/>
      <c r="R87" s="6"/>
      <c r="S87" s="6"/>
      <c r="T87" s="6"/>
    </row>
    <row r="88" spans="1:20" ht="14.4" x14ac:dyDescent="0.25">
      <c r="A88" s="4">
        <v>2017</v>
      </c>
      <c r="B88" s="4">
        <v>9</v>
      </c>
      <c r="C88" s="4" t="s">
        <v>18</v>
      </c>
      <c r="D88" s="11">
        <v>9653</v>
      </c>
      <c r="E88" s="5" t="s">
        <v>118</v>
      </c>
      <c r="F88" s="4" t="s">
        <v>34</v>
      </c>
      <c r="G88" s="12">
        <v>137048.88</v>
      </c>
      <c r="H88" s="6">
        <v>137048.88</v>
      </c>
      <c r="I88" s="6"/>
      <c r="J88" s="6">
        <v>0</v>
      </c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ht="14.4" x14ac:dyDescent="0.25">
      <c r="A89" s="4">
        <v>2017</v>
      </c>
      <c r="B89" s="4">
        <v>9</v>
      </c>
      <c r="C89" s="4" t="s">
        <v>18</v>
      </c>
      <c r="D89" s="11">
        <v>40508</v>
      </c>
      <c r="E89" s="5" t="s">
        <v>119</v>
      </c>
      <c r="F89" s="4" t="s">
        <v>34</v>
      </c>
      <c r="G89" s="12">
        <v>8344.61</v>
      </c>
      <c r="H89" s="6">
        <v>8344.61</v>
      </c>
      <c r="I89" s="6"/>
      <c r="J89" s="6">
        <v>0</v>
      </c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ht="14.4" x14ac:dyDescent="0.25">
      <c r="A90" s="4">
        <v>2017</v>
      </c>
      <c r="B90" s="4">
        <v>9</v>
      </c>
      <c r="C90" s="4" t="s">
        <v>18</v>
      </c>
      <c r="D90" s="11">
        <v>41958</v>
      </c>
      <c r="E90" s="5" t="s">
        <v>78</v>
      </c>
      <c r="F90" s="4" t="s">
        <v>34</v>
      </c>
      <c r="G90" s="12">
        <v>391986.93</v>
      </c>
      <c r="H90" s="6">
        <v>391986.93</v>
      </c>
      <c r="I90" s="6"/>
      <c r="J90" s="6">
        <v>44819</v>
      </c>
      <c r="K90" s="6">
        <v>44819</v>
      </c>
      <c r="L90" s="6"/>
      <c r="M90" s="6"/>
      <c r="N90" s="6"/>
      <c r="O90" s="6"/>
      <c r="P90" s="6"/>
      <c r="Q90" s="6"/>
      <c r="R90" s="6"/>
      <c r="S90" s="6"/>
      <c r="T90" s="6"/>
    </row>
    <row r="91" spans="1:20" ht="14.4" x14ac:dyDescent="0.25">
      <c r="A91" s="4">
        <v>2017</v>
      </c>
      <c r="B91" s="4">
        <v>9</v>
      </c>
      <c r="C91" s="4" t="s">
        <v>18</v>
      </c>
      <c r="D91" s="11">
        <v>43139</v>
      </c>
      <c r="E91" s="5" t="s">
        <v>120</v>
      </c>
      <c r="F91" s="4" t="s">
        <v>34</v>
      </c>
      <c r="G91" s="12">
        <v>933.22</v>
      </c>
      <c r="H91" s="6">
        <v>933.22</v>
      </c>
      <c r="I91" s="6"/>
      <c r="J91" s="6">
        <v>0</v>
      </c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ht="14.4" x14ac:dyDescent="0.25">
      <c r="A92" s="4">
        <v>2017</v>
      </c>
      <c r="B92" s="4">
        <v>10</v>
      </c>
      <c r="C92" s="4" t="s">
        <v>18</v>
      </c>
      <c r="D92" s="11">
        <v>643</v>
      </c>
      <c r="E92" s="5" t="s">
        <v>72</v>
      </c>
      <c r="F92" s="4" t="s">
        <v>23</v>
      </c>
      <c r="G92" s="12">
        <v>9069127.4399999995</v>
      </c>
      <c r="H92" s="6">
        <v>3353346.08</v>
      </c>
      <c r="I92" s="6">
        <v>5715781.3600000003</v>
      </c>
      <c r="J92" s="6">
        <v>860454.93</v>
      </c>
      <c r="K92" s="6">
        <v>322392.46999999997</v>
      </c>
      <c r="L92" s="6">
        <v>538062.46</v>
      </c>
      <c r="M92" s="6">
        <v>5332812046.3500004</v>
      </c>
      <c r="N92" s="6">
        <v>5366430729.0200005</v>
      </c>
      <c r="O92" s="6">
        <v>5.5E-2</v>
      </c>
      <c r="P92" s="6" t="s">
        <v>17</v>
      </c>
      <c r="Q92" s="6">
        <v>2.75E-2</v>
      </c>
      <c r="R92" s="6">
        <v>0.05</v>
      </c>
      <c r="S92" s="6"/>
      <c r="T92" s="6">
        <v>570346.21</v>
      </c>
    </row>
    <row r="93" spans="1:20" ht="14.4" x14ac:dyDescent="0.25">
      <c r="A93" s="4">
        <v>2017</v>
      </c>
      <c r="B93" s="4">
        <v>10</v>
      </c>
      <c r="C93" s="4" t="s">
        <v>18</v>
      </c>
      <c r="D93" s="11">
        <v>652</v>
      </c>
      <c r="E93" s="5" t="s">
        <v>74</v>
      </c>
      <c r="F93" s="4" t="s">
        <v>23</v>
      </c>
      <c r="G93" s="12">
        <v>8717655.2899999991</v>
      </c>
      <c r="H93" s="6">
        <v>3755802.45</v>
      </c>
      <c r="I93" s="6">
        <v>4961852.84</v>
      </c>
      <c r="J93" s="6">
        <v>708082.51</v>
      </c>
      <c r="K93" s="6">
        <v>202998.32</v>
      </c>
      <c r="L93" s="6">
        <v>505084.19</v>
      </c>
      <c r="M93" s="6">
        <v>3198342882.8099999</v>
      </c>
      <c r="N93" s="6">
        <v>3226328044.3099999</v>
      </c>
      <c r="O93" s="6">
        <v>5.5E-2</v>
      </c>
      <c r="P93" s="6" t="s">
        <v>75</v>
      </c>
      <c r="Q93" s="6">
        <v>1.4999999999999999E-2</v>
      </c>
      <c r="R93" s="6">
        <v>0.05</v>
      </c>
      <c r="S93" s="6"/>
      <c r="T93" s="6">
        <v>535389.24</v>
      </c>
    </row>
    <row r="94" spans="1:20" ht="14.4" x14ac:dyDescent="0.25">
      <c r="A94" s="4">
        <v>2017</v>
      </c>
      <c r="B94" s="4">
        <v>10</v>
      </c>
      <c r="C94" s="4" t="s">
        <v>18</v>
      </c>
      <c r="D94" s="11">
        <v>44321</v>
      </c>
      <c r="E94" s="5" t="s">
        <v>26</v>
      </c>
      <c r="F94" s="4" t="s">
        <v>23</v>
      </c>
      <c r="G94" s="12">
        <v>767601.41</v>
      </c>
      <c r="H94" s="6">
        <v>496432.92</v>
      </c>
      <c r="I94" s="6">
        <v>271168.49</v>
      </c>
      <c r="J94" s="6">
        <v>66122.94</v>
      </c>
      <c r="K94" s="6">
        <v>38279</v>
      </c>
      <c r="L94" s="6">
        <v>27843.94</v>
      </c>
      <c r="M94" s="6">
        <v>857924906.77999997</v>
      </c>
      <c r="N94" s="6">
        <v>859286571.77999997</v>
      </c>
      <c r="O94" s="6">
        <v>5.5E-2</v>
      </c>
      <c r="P94" s="6" t="s">
        <v>17</v>
      </c>
      <c r="Q94" s="6">
        <v>2.75E-2</v>
      </c>
      <c r="R94" s="6">
        <v>1.4999999999999999E-2</v>
      </c>
      <c r="S94" s="6"/>
      <c r="T94" s="6">
        <v>29514.57</v>
      </c>
    </row>
    <row r="95" spans="1:20" ht="14.4" x14ac:dyDescent="0.25">
      <c r="A95" s="4">
        <v>2017</v>
      </c>
      <c r="B95" s="4">
        <v>10</v>
      </c>
      <c r="C95" s="4" t="s">
        <v>18</v>
      </c>
      <c r="D95" s="11">
        <v>650</v>
      </c>
      <c r="E95" s="5" t="s">
        <v>20</v>
      </c>
      <c r="F95" s="4" t="s">
        <v>34</v>
      </c>
      <c r="G95" s="12">
        <v>4377.55</v>
      </c>
      <c r="H95" s="6">
        <v>4377.55</v>
      </c>
      <c r="I95" s="6"/>
      <c r="J95" s="6">
        <v>0</v>
      </c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ht="14.4" x14ac:dyDescent="0.25">
      <c r="A96" s="4">
        <v>2017</v>
      </c>
      <c r="B96" s="4">
        <v>10</v>
      </c>
      <c r="C96" s="4" t="s">
        <v>18</v>
      </c>
      <c r="D96" s="11">
        <v>999</v>
      </c>
      <c r="E96" s="5" t="s">
        <v>117</v>
      </c>
      <c r="F96" s="4" t="s">
        <v>34</v>
      </c>
      <c r="G96" s="12">
        <v>28630.79</v>
      </c>
      <c r="H96" s="6">
        <v>28630.79</v>
      </c>
      <c r="I96" s="6"/>
      <c r="J96" s="6">
        <v>0</v>
      </c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ht="14.4" x14ac:dyDescent="0.25">
      <c r="A97" s="4">
        <v>2017</v>
      </c>
      <c r="B97" s="4">
        <v>10</v>
      </c>
      <c r="C97" s="4" t="s">
        <v>18</v>
      </c>
      <c r="D97" s="11">
        <v>7605</v>
      </c>
      <c r="E97" s="5" t="s">
        <v>77</v>
      </c>
      <c r="F97" s="4" t="s">
        <v>34</v>
      </c>
      <c r="G97" s="12">
        <v>136271.39000000001</v>
      </c>
      <c r="H97" s="6">
        <v>136271.39000000001</v>
      </c>
      <c r="I97" s="6"/>
      <c r="J97" s="6">
        <v>16358.38</v>
      </c>
      <c r="K97" s="6">
        <v>16358.38</v>
      </c>
      <c r="L97" s="6"/>
      <c r="M97" s="6"/>
      <c r="N97" s="6"/>
      <c r="O97" s="6"/>
      <c r="P97" s="6"/>
      <c r="Q97" s="6"/>
      <c r="R97" s="6"/>
      <c r="S97" s="6"/>
      <c r="T97" s="6"/>
    </row>
    <row r="98" spans="1:20" ht="14.4" x14ac:dyDescent="0.25">
      <c r="A98" s="4">
        <v>2017</v>
      </c>
      <c r="B98" s="4">
        <v>10</v>
      </c>
      <c r="C98" s="4" t="s">
        <v>18</v>
      </c>
      <c r="D98" s="11">
        <v>9653</v>
      </c>
      <c r="E98" s="5" t="s">
        <v>118</v>
      </c>
      <c r="F98" s="4" t="s">
        <v>34</v>
      </c>
      <c r="G98" s="12">
        <v>137048.88</v>
      </c>
      <c r="H98" s="6">
        <v>137048.88</v>
      </c>
      <c r="I98" s="6"/>
      <c r="J98" s="6">
        <v>0</v>
      </c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ht="14.4" x14ac:dyDescent="0.25">
      <c r="A99" s="4">
        <v>2017</v>
      </c>
      <c r="B99" s="4">
        <v>10</v>
      </c>
      <c r="C99" s="4" t="s">
        <v>18</v>
      </c>
      <c r="D99" s="11">
        <v>40508</v>
      </c>
      <c r="E99" s="5" t="s">
        <v>119</v>
      </c>
      <c r="F99" s="4" t="s">
        <v>34</v>
      </c>
      <c r="G99" s="12">
        <v>8344.61</v>
      </c>
      <c r="H99" s="6">
        <v>8344.61</v>
      </c>
      <c r="I99" s="6"/>
      <c r="J99" s="6">
        <v>0</v>
      </c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ht="14.4" x14ac:dyDescent="0.25">
      <c r="A100" s="4">
        <v>2017</v>
      </c>
      <c r="B100" s="4">
        <v>10</v>
      </c>
      <c r="C100" s="4" t="s">
        <v>18</v>
      </c>
      <c r="D100" s="11">
        <v>41958</v>
      </c>
      <c r="E100" s="5" t="s">
        <v>78</v>
      </c>
      <c r="F100" s="4" t="s">
        <v>34</v>
      </c>
      <c r="G100" s="12">
        <v>437727.73</v>
      </c>
      <c r="H100" s="6">
        <v>437727.73</v>
      </c>
      <c r="I100" s="6"/>
      <c r="J100" s="6">
        <v>45740.79</v>
      </c>
      <c r="K100" s="6">
        <v>45740.79</v>
      </c>
      <c r="L100" s="6"/>
      <c r="M100" s="6"/>
      <c r="N100" s="6"/>
      <c r="O100" s="6"/>
      <c r="P100" s="6"/>
      <c r="Q100" s="6"/>
      <c r="R100" s="6"/>
      <c r="S100" s="6"/>
      <c r="T100" s="6"/>
    </row>
    <row r="101" spans="1:20" ht="14.4" x14ac:dyDescent="0.25">
      <c r="A101" s="4">
        <v>2017</v>
      </c>
      <c r="B101" s="4">
        <v>10</v>
      </c>
      <c r="C101" s="4" t="s">
        <v>18</v>
      </c>
      <c r="D101" s="11">
        <v>43139</v>
      </c>
      <c r="E101" s="5" t="s">
        <v>120</v>
      </c>
      <c r="F101" s="4" t="s">
        <v>34</v>
      </c>
      <c r="G101" s="12">
        <v>933.22</v>
      </c>
      <c r="H101" s="6">
        <v>933.22</v>
      </c>
      <c r="I101" s="6"/>
      <c r="J101" s="6">
        <v>0</v>
      </c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ht="14.4" x14ac:dyDescent="0.25">
      <c r="A102" s="4">
        <v>2017</v>
      </c>
      <c r="B102" s="4">
        <v>11</v>
      </c>
      <c r="C102" s="4" t="s">
        <v>18</v>
      </c>
      <c r="D102" s="11">
        <v>643</v>
      </c>
      <c r="E102" s="5" t="s">
        <v>72</v>
      </c>
      <c r="F102" s="4" t="s">
        <v>23</v>
      </c>
      <c r="G102" s="12">
        <v>9952645.4700000007</v>
      </c>
      <c r="H102" s="6">
        <v>3706538.68</v>
      </c>
      <c r="I102" s="6">
        <v>6246106.79</v>
      </c>
      <c r="J102" s="6">
        <v>883518.02</v>
      </c>
      <c r="K102" s="6">
        <v>353192.59</v>
      </c>
      <c r="L102" s="6">
        <v>530325.43000000005</v>
      </c>
      <c r="M102" s="6">
        <v>5291368911.7700005</v>
      </c>
      <c r="N102" s="6">
        <v>5323011283.6800003</v>
      </c>
      <c r="O102" s="6">
        <v>5.5E-2</v>
      </c>
      <c r="P102" s="6" t="s">
        <v>17</v>
      </c>
      <c r="Q102" s="6">
        <v>2.75E-2</v>
      </c>
      <c r="R102" s="6">
        <v>0.05</v>
      </c>
      <c r="S102" s="6"/>
      <c r="T102" s="6">
        <v>562144.96</v>
      </c>
    </row>
    <row r="103" spans="1:20" ht="14.4" x14ac:dyDescent="0.25">
      <c r="A103" s="4">
        <v>2017</v>
      </c>
      <c r="B103" s="4">
        <v>11</v>
      </c>
      <c r="C103" s="4" t="s">
        <v>18</v>
      </c>
      <c r="D103" s="11">
        <v>652</v>
      </c>
      <c r="E103" s="5" t="s">
        <v>74</v>
      </c>
      <c r="F103" s="4" t="s">
        <v>23</v>
      </c>
      <c r="G103" s="12">
        <v>9433530.3499999996</v>
      </c>
      <c r="H103" s="6">
        <v>3964284.23</v>
      </c>
      <c r="I103" s="6">
        <v>5469246.1200000001</v>
      </c>
      <c r="J103" s="6">
        <v>715875.05</v>
      </c>
      <c r="K103" s="6">
        <v>208481.77</v>
      </c>
      <c r="L103" s="6">
        <v>507393.28000000003</v>
      </c>
      <c r="M103" s="6">
        <v>3227875803.6199999</v>
      </c>
      <c r="N103" s="6">
        <v>3226166697.25</v>
      </c>
      <c r="O103" s="6">
        <v>5.5E-2</v>
      </c>
      <c r="P103" s="6" t="s">
        <v>75</v>
      </c>
      <c r="Q103" s="6">
        <v>1.4999999999999999E-2</v>
      </c>
      <c r="R103" s="6">
        <v>0.05</v>
      </c>
      <c r="S103" s="6"/>
      <c r="T103" s="6">
        <v>537836.88</v>
      </c>
    </row>
    <row r="104" spans="1:20" ht="14.4" x14ac:dyDescent="0.25">
      <c r="A104" s="4">
        <v>2017</v>
      </c>
      <c r="B104" s="4">
        <v>11</v>
      </c>
      <c r="C104" s="4" t="s">
        <v>18</v>
      </c>
      <c r="D104" s="11">
        <v>44321</v>
      </c>
      <c r="E104" s="5" t="s">
        <v>26</v>
      </c>
      <c r="F104" s="4" t="s">
        <v>23</v>
      </c>
      <c r="G104" s="12">
        <v>831995.69</v>
      </c>
      <c r="H104" s="6">
        <v>532815.82999999996</v>
      </c>
      <c r="I104" s="6">
        <v>299179.86</v>
      </c>
      <c r="J104" s="6">
        <v>64394.29</v>
      </c>
      <c r="K104" s="6">
        <v>36382.92</v>
      </c>
      <c r="L104" s="6">
        <v>28011.37</v>
      </c>
      <c r="M104" s="6">
        <v>865889961.86000001</v>
      </c>
      <c r="N104" s="6">
        <v>861647456.63</v>
      </c>
      <c r="O104" s="6">
        <v>5.5E-2</v>
      </c>
      <c r="P104" s="6" t="s">
        <v>17</v>
      </c>
      <c r="Q104" s="6">
        <v>2.75E-2</v>
      </c>
      <c r="R104" s="6">
        <v>1.4999999999999999E-2</v>
      </c>
      <c r="S104" s="6"/>
      <c r="T104" s="6">
        <v>29692.05</v>
      </c>
    </row>
    <row r="105" spans="1:20" ht="14.4" x14ac:dyDescent="0.25">
      <c r="A105" s="4">
        <v>2017</v>
      </c>
      <c r="B105" s="4">
        <v>11</v>
      </c>
      <c r="C105" s="4" t="s">
        <v>18</v>
      </c>
      <c r="D105" s="11">
        <v>650</v>
      </c>
      <c r="E105" s="5" t="s">
        <v>20</v>
      </c>
      <c r="F105" s="4" t="s">
        <v>34</v>
      </c>
      <c r="G105" s="12">
        <v>4377.55</v>
      </c>
      <c r="H105" s="6">
        <v>4377.55</v>
      </c>
      <c r="I105" s="6"/>
      <c r="J105" s="6">
        <v>0</v>
      </c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1:20" ht="14.4" x14ac:dyDescent="0.25">
      <c r="A106" s="4">
        <v>2017</v>
      </c>
      <c r="B106" s="4">
        <v>11</v>
      </c>
      <c r="C106" s="4" t="s">
        <v>18</v>
      </c>
      <c r="D106" s="11">
        <v>999</v>
      </c>
      <c r="E106" s="5" t="s">
        <v>117</v>
      </c>
      <c r="F106" s="4" t="s">
        <v>34</v>
      </c>
      <c r="G106" s="12">
        <v>38678.04</v>
      </c>
      <c r="H106" s="6">
        <v>38678.04</v>
      </c>
      <c r="I106" s="6"/>
      <c r="J106" s="6">
        <v>10047.25</v>
      </c>
      <c r="K106" s="6">
        <v>10047.25</v>
      </c>
      <c r="L106" s="6"/>
      <c r="M106" s="6"/>
      <c r="N106" s="6"/>
      <c r="O106" s="6"/>
      <c r="P106" s="6"/>
      <c r="Q106" s="6"/>
      <c r="R106" s="6"/>
      <c r="S106" s="6"/>
      <c r="T106" s="6"/>
    </row>
    <row r="107" spans="1:20" ht="14.4" x14ac:dyDescent="0.25">
      <c r="A107" s="4">
        <v>2017</v>
      </c>
      <c r="B107" s="4">
        <v>11</v>
      </c>
      <c r="C107" s="4" t="s">
        <v>18</v>
      </c>
      <c r="D107" s="11">
        <v>7605</v>
      </c>
      <c r="E107" s="5" t="s">
        <v>77</v>
      </c>
      <c r="F107" s="4" t="s">
        <v>34</v>
      </c>
      <c r="G107" s="12">
        <v>149717.73000000001</v>
      </c>
      <c r="H107" s="6">
        <v>149717.73000000001</v>
      </c>
      <c r="I107" s="6"/>
      <c r="J107" s="6">
        <v>13446.34</v>
      </c>
      <c r="K107" s="6">
        <v>13446.34</v>
      </c>
      <c r="L107" s="6"/>
      <c r="M107" s="6"/>
      <c r="N107" s="6"/>
      <c r="O107" s="6"/>
      <c r="P107" s="6"/>
      <c r="Q107" s="6"/>
      <c r="R107" s="6"/>
      <c r="S107" s="6"/>
      <c r="T107" s="6"/>
    </row>
    <row r="108" spans="1:20" ht="14.4" x14ac:dyDescent="0.25">
      <c r="A108" s="4">
        <v>2017</v>
      </c>
      <c r="B108" s="4">
        <v>11</v>
      </c>
      <c r="C108" s="4" t="s">
        <v>18</v>
      </c>
      <c r="D108" s="11">
        <v>9653</v>
      </c>
      <c r="E108" s="5" t="s">
        <v>118</v>
      </c>
      <c r="F108" s="4" t="s">
        <v>34</v>
      </c>
      <c r="G108" s="12">
        <v>137048.88</v>
      </c>
      <c r="H108" s="6">
        <v>137048.88</v>
      </c>
      <c r="I108" s="6"/>
      <c r="J108" s="6">
        <v>0</v>
      </c>
      <c r="K108" s="6"/>
      <c r="L108" s="6"/>
      <c r="M108" s="6"/>
      <c r="N108" s="6"/>
      <c r="O108" s="6"/>
      <c r="P108" s="6"/>
      <c r="Q108" s="6"/>
      <c r="R108" s="6"/>
      <c r="S108" s="6"/>
      <c r="T108" s="6"/>
    </row>
    <row r="109" spans="1:20" ht="14.4" x14ac:dyDescent="0.25">
      <c r="A109" s="4">
        <v>2017</v>
      </c>
      <c r="B109" s="4">
        <v>11</v>
      </c>
      <c r="C109" s="4" t="s">
        <v>18</v>
      </c>
      <c r="D109" s="11">
        <v>40508</v>
      </c>
      <c r="E109" s="5" t="s">
        <v>119</v>
      </c>
      <c r="F109" s="4" t="s">
        <v>34</v>
      </c>
      <c r="G109" s="12">
        <v>8344.61</v>
      </c>
      <c r="H109" s="6">
        <v>8344.61</v>
      </c>
      <c r="I109" s="6"/>
      <c r="J109" s="6">
        <v>0</v>
      </c>
      <c r="K109" s="6"/>
      <c r="L109" s="6"/>
      <c r="M109" s="6"/>
      <c r="N109" s="6"/>
      <c r="O109" s="6"/>
      <c r="P109" s="6"/>
      <c r="Q109" s="6"/>
      <c r="R109" s="6"/>
      <c r="S109" s="6"/>
      <c r="T109" s="6"/>
    </row>
    <row r="110" spans="1:20" ht="14.4" x14ac:dyDescent="0.25">
      <c r="A110" s="4">
        <v>2017</v>
      </c>
      <c r="B110" s="4">
        <v>11</v>
      </c>
      <c r="C110" s="4" t="s">
        <v>18</v>
      </c>
      <c r="D110" s="11">
        <v>41958</v>
      </c>
      <c r="E110" s="5" t="s">
        <v>78</v>
      </c>
      <c r="F110" s="4" t="s">
        <v>34</v>
      </c>
      <c r="G110" s="12">
        <v>483370.75</v>
      </c>
      <c r="H110" s="6">
        <v>483370.75</v>
      </c>
      <c r="I110" s="6"/>
      <c r="J110" s="6">
        <v>45643.03</v>
      </c>
      <c r="K110" s="6">
        <v>45643.03</v>
      </c>
      <c r="L110" s="6"/>
      <c r="M110" s="6"/>
      <c r="N110" s="6"/>
      <c r="O110" s="6"/>
      <c r="P110" s="6"/>
      <c r="Q110" s="6"/>
      <c r="R110" s="6"/>
      <c r="S110" s="6"/>
      <c r="T110" s="6"/>
    </row>
    <row r="111" spans="1:20" ht="14.4" x14ac:dyDescent="0.25">
      <c r="A111" s="4">
        <v>2017</v>
      </c>
      <c r="B111" s="4">
        <v>11</v>
      </c>
      <c r="C111" s="4" t="s">
        <v>18</v>
      </c>
      <c r="D111" s="11">
        <v>43139</v>
      </c>
      <c r="E111" s="5" t="s">
        <v>120</v>
      </c>
      <c r="F111" s="4" t="s">
        <v>34</v>
      </c>
      <c r="G111" s="12">
        <v>933.22</v>
      </c>
      <c r="H111" s="6">
        <v>933.22</v>
      </c>
      <c r="I111" s="6"/>
      <c r="J111" s="6">
        <v>0</v>
      </c>
      <c r="K111" s="6"/>
      <c r="L111" s="6"/>
      <c r="M111" s="6"/>
      <c r="N111" s="6"/>
      <c r="O111" s="6"/>
      <c r="P111" s="6"/>
      <c r="Q111" s="6"/>
      <c r="R111" s="6"/>
      <c r="S111" s="6"/>
      <c r="T111" s="6"/>
    </row>
    <row r="112" spans="1:20" ht="14.4" x14ac:dyDescent="0.25">
      <c r="A112" s="4">
        <v>2017</v>
      </c>
      <c r="B112" s="4">
        <v>12</v>
      </c>
      <c r="C112" s="4" t="s">
        <v>18</v>
      </c>
      <c r="D112" s="11">
        <v>643</v>
      </c>
      <c r="E112" s="5" t="s">
        <v>72</v>
      </c>
      <c r="F112" s="4" t="s">
        <v>23</v>
      </c>
      <c r="G112" s="12">
        <v>10809913.67</v>
      </c>
      <c r="H112" s="6">
        <v>4033722.92</v>
      </c>
      <c r="I112" s="6">
        <v>6776190.75</v>
      </c>
      <c r="J112" s="6">
        <v>857268.2</v>
      </c>
      <c r="K112" s="6">
        <v>327184.25</v>
      </c>
      <c r="L112" s="6">
        <v>530083.94999999995</v>
      </c>
      <c r="M112" s="6">
        <v>5289073525.6099997</v>
      </c>
      <c r="N112" s="6">
        <v>5264362509.8800001</v>
      </c>
      <c r="O112" s="6">
        <v>5.5E-2</v>
      </c>
      <c r="P112" s="6" t="s">
        <v>17</v>
      </c>
      <c r="Q112" s="6">
        <v>2.75E-2</v>
      </c>
      <c r="R112" s="6">
        <v>0.05</v>
      </c>
      <c r="S112" s="6"/>
      <c r="T112" s="6">
        <v>561888.99</v>
      </c>
    </row>
    <row r="113" spans="1:20" ht="14.4" x14ac:dyDescent="0.25">
      <c r="A113" s="4">
        <v>2017</v>
      </c>
      <c r="B113" s="4">
        <v>12</v>
      </c>
      <c r="C113" s="4" t="s">
        <v>18</v>
      </c>
      <c r="D113" s="11">
        <v>652</v>
      </c>
      <c r="E113" s="5" t="s">
        <v>74</v>
      </c>
      <c r="F113" s="4" t="s">
        <v>23</v>
      </c>
      <c r="G113" s="12">
        <v>11957338.810000001</v>
      </c>
      <c r="H113" s="6">
        <v>5980549.0899999999</v>
      </c>
      <c r="I113" s="6">
        <v>5976789.7199999997</v>
      </c>
      <c r="J113" s="6">
        <v>2523808.4700000002</v>
      </c>
      <c r="K113" s="6">
        <v>2016264.87</v>
      </c>
      <c r="L113" s="6">
        <v>507543.6</v>
      </c>
      <c r="M113" s="6">
        <v>3223696651.02</v>
      </c>
      <c r="N113" s="6">
        <v>3232257980.0799999</v>
      </c>
      <c r="O113" s="6">
        <v>5.5E-2</v>
      </c>
      <c r="P113" s="6" t="s">
        <v>75</v>
      </c>
      <c r="Q113" s="6">
        <v>1.4999999999999999E-2</v>
      </c>
      <c r="R113" s="6">
        <v>0.05</v>
      </c>
      <c r="S113" s="6"/>
      <c r="T113" s="6">
        <v>537996.22</v>
      </c>
    </row>
    <row r="114" spans="1:20" ht="14.4" x14ac:dyDescent="0.25">
      <c r="A114" s="4">
        <v>2017</v>
      </c>
      <c r="B114" s="4">
        <v>12</v>
      </c>
      <c r="C114" s="4" t="s">
        <v>18</v>
      </c>
      <c r="D114" s="11">
        <v>44321</v>
      </c>
      <c r="E114" s="5" t="s">
        <v>26</v>
      </c>
      <c r="F114" s="4" t="s">
        <v>23</v>
      </c>
      <c r="G114" s="12">
        <v>934278.37</v>
      </c>
      <c r="H114" s="6">
        <v>607016</v>
      </c>
      <c r="I114" s="6">
        <v>327262.37</v>
      </c>
      <c r="J114" s="6">
        <v>102282.68</v>
      </c>
      <c r="K114" s="6">
        <v>74200.17</v>
      </c>
      <c r="L114" s="6">
        <v>28082.51</v>
      </c>
      <c r="M114" s="6">
        <v>861314028.46000004</v>
      </c>
      <c r="N114" s="6">
        <v>870611078.76999998</v>
      </c>
      <c r="O114" s="6">
        <v>5.5E-2</v>
      </c>
      <c r="P114" s="6" t="s">
        <v>17</v>
      </c>
      <c r="Q114" s="6">
        <v>2.75E-2</v>
      </c>
      <c r="R114" s="6">
        <v>1.4999999999999999E-2</v>
      </c>
      <c r="S114" s="6"/>
      <c r="T114" s="6">
        <v>29767.46</v>
      </c>
    </row>
    <row r="115" spans="1:20" ht="14.4" x14ac:dyDescent="0.25">
      <c r="A115" s="4">
        <v>2017</v>
      </c>
      <c r="B115" s="4">
        <v>12</v>
      </c>
      <c r="C115" s="4" t="s">
        <v>18</v>
      </c>
      <c r="D115" s="11">
        <v>650</v>
      </c>
      <c r="E115" s="5" t="s">
        <v>20</v>
      </c>
      <c r="F115" s="4" t="s">
        <v>34</v>
      </c>
      <c r="G115" s="12">
        <v>978158.65</v>
      </c>
      <c r="H115" s="6">
        <v>978158.65</v>
      </c>
      <c r="I115" s="6"/>
      <c r="J115" s="6">
        <v>973781.1</v>
      </c>
      <c r="K115" s="6">
        <v>973781.1</v>
      </c>
      <c r="L115" s="6"/>
      <c r="M115" s="6"/>
      <c r="N115" s="6"/>
      <c r="O115" s="6"/>
      <c r="P115" s="6"/>
      <c r="Q115" s="6"/>
      <c r="R115" s="6"/>
      <c r="S115" s="6"/>
      <c r="T115" s="6"/>
    </row>
    <row r="116" spans="1:20" ht="14.4" x14ac:dyDescent="0.25">
      <c r="A116" s="4">
        <v>2017</v>
      </c>
      <c r="B116" s="4">
        <v>12</v>
      </c>
      <c r="C116" s="4" t="s">
        <v>18</v>
      </c>
      <c r="D116" s="11">
        <v>999</v>
      </c>
      <c r="E116" s="5" t="s">
        <v>117</v>
      </c>
      <c r="F116" s="4" t="s">
        <v>34</v>
      </c>
      <c r="G116" s="12">
        <v>41973.96</v>
      </c>
      <c r="H116" s="6">
        <v>41973.96</v>
      </c>
      <c r="I116" s="6"/>
      <c r="J116" s="6">
        <v>3295.92</v>
      </c>
      <c r="K116" s="6">
        <v>3295.92</v>
      </c>
      <c r="L116" s="6"/>
      <c r="M116" s="6"/>
      <c r="N116" s="6"/>
      <c r="O116" s="6"/>
      <c r="P116" s="6"/>
      <c r="Q116" s="6"/>
      <c r="R116" s="6"/>
      <c r="S116" s="6"/>
      <c r="T116" s="6"/>
    </row>
    <row r="117" spans="1:20" ht="14.4" x14ac:dyDescent="0.25">
      <c r="A117" s="4">
        <v>2017</v>
      </c>
      <c r="B117" s="4">
        <v>12</v>
      </c>
      <c r="C117" s="4" t="s">
        <v>18</v>
      </c>
      <c r="D117" s="11">
        <v>7605</v>
      </c>
      <c r="E117" s="5" t="s">
        <v>77</v>
      </c>
      <c r="F117" s="4" t="s">
        <v>34</v>
      </c>
      <c r="G117" s="12">
        <v>164376.56</v>
      </c>
      <c r="H117" s="6">
        <v>164376.56</v>
      </c>
      <c r="I117" s="6"/>
      <c r="J117" s="6">
        <v>14658.83</v>
      </c>
      <c r="K117" s="6">
        <v>14658.83</v>
      </c>
      <c r="L117" s="6"/>
      <c r="M117" s="6"/>
      <c r="N117" s="6"/>
      <c r="O117" s="6"/>
      <c r="P117" s="6"/>
      <c r="Q117" s="6"/>
      <c r="R117" s="6"/>
      <c r="S117" s="6"/>
      <c r="T117" s="6"/>
    </row>
    <row r="118" spans="1:20" ht="14.4" x14ac:dyDescent="0.25">
      <c r="A118" s="4">
        <v>2017</v>
      </c>
      <c r="B118" s="4">
        <v>12</v>
      </c>
      <c r="C118" s="4" t="s">
        <v>18</v>
      </c>
      <c r="D118" s="11">
        <v>9653</v>
      </c>
      <c r="E118" s="5" t="s">
        <v>118</v>
      </c>
      <c r="F118" s="4" t="s">
        <v>34</v>
      </c>
      <c r="G118" s="12">
        <v>48590.69</v>
      </c>
      <c r="H118" s="6">
        <v>48590.69</v>
      </c>
      <c r="I118" s="6"/>
      <c r="J118" s="6">
        <v>0</v>
      </c>
      <c r="K118" s="6"/>
      <c r="L118" s="6"/>
      <c r="M118" s="6"/>
      <c r="N118" s="6"/>
      <c r="O118" s="6"/>
      <c r="P118" s="6"/>
      <c r="Q118" s="6"/>
      <c r="R118" s="6"/>
      <c r="S118" s="6"/>
      <c r="T118" s="6"/>
    </row>
    <row r="119" spans="1:20" ht="14.4" x14ac:dyDescent="0.25">
      <c r="A119" s="4">
        <v>2017</v>
      </c>
      <c r="B119" s="4">
        <v>12</v>
      </c>
      <c r="C119" s="4" t="s">
        <v>18</v>
      </c>
      <c r="D119" s="11">
        <v>9653</v>
      </c>
      <c r="E119" s="5" t="s">
        <v>40</v>
      </c>
      <c r="F119" s="4" t="s">
        <v>34</v>
      </c>
      <c r="G119" s="12">
        <v>52852.75</v>
      </c>
      <c r="H119" s="6">
        <v>52852.75</v>
      </c>
      <c r="I119" s="6"/>
      <c r="J119" s="6">
        <v>-35605.43</v>
      </c>
      <c r="K119" s="6">
        <v>-35605.43</v>
      </c>
      <c r="L119" s="6"/>
      <c r="M119" s="6"/>
      <c r="N119" s="6"/>
      <c r="O119" s="6"/>
      <c r="P119" s="6"/>
      <c r="Q119" s="6"/>
      <c r="R119" s="6"/>
      <c r="S119" s="6"/>
      <c r="T119" s="6"/>
    </row>
    <row r="120" spans="1:20" ht="14.4" x14ac:dyDescent="0.25">
      <c r="A120" s="4">
        <v>2017</v>
      </c>
      <c r="B120" s="4">
        <v>12</v>
      </c>
      <c r="C120" s="4" t="s">
        <v>18</v>
      </c>
      <c r="D120" s="11">
        <v>40508</v>
      </c>
      <c r="E120" s="5" t="s">
        <v>119</v>
      </c>
      <c r="F120" s="4" t="s">
        <v>34</v>
      </c>
      <c r="G120" s="12">
        <v>8793.35</v>
      </c>
      <c r="H120" s="6">
        <v>8793.35</v>
      </c>
      <c r="I120" s="6"/>
      <c r="J120" s="6">
        <v>448.74</v>
      </c>
      <c r="K120" s="6">
        <v>448.74</v>
      </c>
      <c r="L120" s="6"/>
      <c r="M120" s="6"/>
      <c r="N120" s="6"/>
      <c r="O120" s="6"/>
      <c r="P120" s="6"/>
      <c r="Q120" s="6"/>
      <c r="R120" s="6"/>
      <c r="S120" s="6"/>
      <c r="T120" s="6"/>
    </row>
    <row r="121" spans="1:20" ht="14.4" x14ac:dyDescent="0.25">
      <c r="A121" s="4">
        <v>2017</v>
      </c>
      <c r="B121" s="4">
        <v>12</v>
      </c>
      <c r="C121" s="4" t="s">
        <v>18</v>
      </c>
      <c r="D121" s="11">
        <v>41958</v>
      </c>
      <c r="E121" s="5" t="s">
        <v>78</v>
      </c>
      <c r="F121" s="4" t="s">
        <v>34</v>
      </c>
      <c r="G121" s="12">
        <v>530014.81000000006</v>
      </c>
      <c r="H121" s="6">
        <v>530014.81000000006</v>
      </c>
      <c r="I121" s="6"/>
      <c r="J121" s="6">
        <v>46644.06</v>
      </c>
      <c r="K121" s="6">
        <v>46644.06</v>
      </c>
      <c r="L121" s="6"/>
      <c r="M121" s="6"/>
      <c r="N121" s="6"/>
      <c r="O121" s="6"/>
      <c r="P121" s="6"/>
      <c r="Q121" s="6"/>
      <c r="R121" s="6"/>
      <c r="S121" s="6"/>
      <c r="T121" s="6"/>
    </row>
    <row r="122" spans="1:20" ht="14.4" x14ac:dyDescent="0.25">
      <c r="A122" s="4">
        <v>2017</v>
      </c>
      <c r="B122" s="4">
        <v>12</v>
      </c>
      <c r="C122" s="4" t="s">
        <v>18</v>
      </c>
      <c r="D122" s="11">
        <v>43139</v>
      </c>
      <c r="E122" s="5" t="s">
        <v>120</v>
      </c>
      <c r="F122" s="4" t="s">
        <v>34</v>
      </c>
      <c r="G122" s="12">
        <v>915.18</v>
      </c>
      <c r="H122" s="6">
        <v>915.18</v>
      </c>
      <c r="I122" s="6"/>
      <c r="J122" s="6">
        <v>-18.04</v>
      </c>
      <c r="K122" s="6">
        <v>-18.04</v>
      </c>
      <c r="L122" s="6"/>
      <c r="M122" s="6"/>
      <c r="N122" s="6"/>
      <c r="O122" s="6"/>
      <c r="P122" s="6"/>
      <c r="Q122" s="6"/>
      <c r="R122" s="6"/>
      <c r="S122" s="6"/>
      <c r="T122" s="6"/>
    </row>
    <row r="123" spans="1:20" ht="14.4" x14ac:dyDescent="0.25">
      <c r="A123" s="4">
        <v>2017</v>
      </c>
      <c r="B123" s="4">
        <v>12</v>
      </c>
      <c r="C123" s="4" t="s">
        <v>18</v>
      </c>
      <c r="D123" s="11">
        <v>53317</v>
      </c>
      <c r="E123" s="5" t="s">
        <v>80</v>
      </c>
      <c r="F123" s="4" t="s">
        <v>34</v>
      </c>
      <c r="G123" s="12">
        <v>43892.28</v>
      </c>
      <c r="H123" s="6">
        <v>43892.28</v>
      </c>
      <c r="I123" s="6"/>
      <c r="J123" s="6">
        <v>43892.28</v>
      </c>
      <c r="K123" s="6">
        <v>43892.28</v>
      </c>
      <c r="L123" s="6"/>
      <c r="M123" s="6"/>
      <c r="N123" s="6"/>
      <c r="O123" s="6"/>
      <c r="P123" s="6"/>
      <c r="Q123" s="6"/>
      <c r="R123" s="6"/>
      <c r="S123" s="6"/>
      <c r="T123" s="6"/>
    </row>
    <row r="124" spans="1:20" ht="14.4" x14ac:dyDescent="0.25">
      <c r="A124" s="4">
        <v>2018</v>
      </c>
      <c r="B124" s="4">
        <v>1</v>
      </c>
      <c r="C124" s="4" t="s">
        <v>18</v>
      </c>
      <c r="D124" s="11">
        <v>643</v>
      </c>
      <c r="E124" s="5" t="s">
        <v>72</v>
      </c>
      <c r="F124" s="4" t="s">
        <v>23</v>
      </c>
      <c r="G124" s="12">
        <v>867418</v>
      </c>
      <c r="H124" s="6">
        <v>339120.23</v>
      </c>
      <c r="I124" s="6">
        <v>528297.77</v>
      </c>
      <c r="J124" s="35">
        <v>867418</v>
      </c>
      <c r="K124" s="35">
        <v>339120.23</v>
      </c>
      <c r="L124" s="35">
        <v>528297.77</v>
      </c>
      <c r="M124" s="6">
        <v>5264710943.79</v>
      </c>
      <c r="N124" s="6">
        <v>5276383473.8699999</v>
      </c>
      <c r="O124" s="6">
        <v>5.2999999999999999E-2</v>
      </c>
      <c r="P124" s="6" t="s">
        <v>17</v>
      </c>
      <c r="Q124" s="6">
        <v>2.75E-2</v>
      </c>
      <c r="R124" s="6">
        <v>0.05</v>
      </c>
      <c r="S124" s="6"/>
      <c r="T124" s="6">
        <v>559995.64</v>
      </c>
    </row>
    <row r="125" spans="1:20" ht="14.4" x14ac:dyDescent="0.25">
      <c r="A125" s="4">
        <v>2018</v>
      </c>
      <c r="B125" s="4">
        <v>1</v>
      </c>
      <c r="C125" s="4" t="s">
        <v>18</v>
      </c>
      <c r="D125" s="11">
        <v>652</v>
      </c>
      <c r="E125" s="5" t="s">
        <v>74</v>
      </c>
      <c r="F125" s="4" t="s">
        <v>23</v>
      </c>
      <c r="G125" s="12">
        <v>589550.89</v>
      </c>
      <c r="H125" s="6">
        <v>103488.06</v>
      </c>
      <c r="I125" s="6">
        <v>486062.83</v>
      </c>
      <c r="J125" s="35">
        <v>589550.89</v>
      </c>
      <c r="K125" s="35">
        <v>103488.06</v>
      </c>
      <c r="L125" s="35">
        <v>486062.83</v>
      </c>
      <c r="M125" s="6">
        <v>3233567373.0700002</v>
      </c>
      <c r="N125" s="6">
        <v>3274558138.6500001</v>
      </c>
      <c r="O125" s="6">
        <v>5.2999999999999999E-2</v>
      </c>
      <c r="P125" s="6" t="s">
        <v>75</v>
      </c>
      <c r="Q125" s="6">
        <v>1.4999999999999999E-2</v>
      </c>
      <c r="R125" s="6">
        <v>0.05</v>
      </c>
      <c r="S125" s="6"/>
      <c r="T125" s="6">
        <v>515226.6</v>
      </c>
    </row>
    <row r="126" spans="1:20" ht="14.4" x14ac:dyDescent="0.25">
      <c r="A126" s="4">
        <v>2018</v>
      </c>
      <c r="B126" s="4">
        <v>1</v>
      </c>
      <c r="C126" s="4" t="s">
        <v>18</v>
      </c>
      <c r="D126" s="11">
        <v>44321</v>
      </c>
      <c r="E126" s="5" t="s">
        <v>26</v>
      </c>
      <c r="F126" s="4" t="s">
        <v>23</v>
      </c>
      <c r="G126" s="12">
        <v>61177.47</v>
      </c>
      <c r="H126" s="6">
        <v>34851.910000000003</v>
      </c>
      <c r="I126" s="6">
        <v>26325.56</v>
      </c>
      <c r="J126" s="35">
        <v>61177.47</v>
      </c>
      <c r="K126" s="35">
        <v>34851.910000000003</v>
      </c>
      <c r="L126" s="35">
        <v>26325.56</v>
      </c>
      <c r="M126" s="6">
        <v>871296196.26999998</v>
      </c>
      <c r="N126" s="6">
        <v>879611598.57000005</v>
      </c>
      <c r="O126" s="6">
        <v>5.2999999999999999E-2</v>
      </c>
      <c r="P126" s="6" t="s">
        <v>17</v>
      </c>
      <c r="Q126" s="6">
        <v>2.75E-2</v>
      </c>
      <c r="R126" s="6">
        <v>1.4999999999999999E-2</v>
      </c>
      <c r="S126" s="6"/>
      <c r="T126" s="6">
        <v>27905.09</v>
      </c>
    </row>
    <row r="127" spans="1:20" ht="14.4" x14ac:dyDescent="0.25">
      <c r="A127" s="4">
        <v>2018</v>
      </c>
      <c r="B127" s="4">
        <v>1</v>
      </c>
      <c r="C127" s="4" t="s">
        <v>18</v>
      </c>
      <c r="D127" s="11">
        <v>7605</v>
      </c>
      <c r="E127" s="5" t="s">
        <v>77</v>
      </c>
      <c r="F127" s="4" t="s">
        <v>34</v>
      </c>
      <c r="G127" s="12">
        <v>14524.42</v>
      </c>
      <c r="H127" s="6">
        <v>14524.42</v>
      </c>
      <c r="I127" s="6"/>
      <c r="J127" s="35">
        <v>14524.42</v>
      </c>
      <c r="K127" s="35">
        <v>14524.42</v>
      </c>
      <c r="L127" s="35"/>
      <c r="M127" s="6"/>
      <c r="N127" s="6"/>
      <c r="O127" s="6"/>
      <c r="P127" s="6"/>
      <c r="Q127" s="6"/>
      <c r="R127" s="6"/>
      <c r="S127" s="6"/>
      <c r="T127" s="6"/>
    </row>
    <row r="128" spans="1:20" ht="14.4" x14ac:dyDescent="0.25">
      <c r="A128" s="4">
        <v>2018</v>
      </c>
      <c r="B128" s="4">
        <v>1</v>
      </c>
      <c r="C128" s="4" t="s">
        <v>18</v>
      </c>
      <c r="D128" s="11">
        <v>41958</v>
      </c>
      <c r="E128" s="5" t="s">
        <v>78</v>
      </c>
      <c r="F128" s="4" t="s">
        <v>34</v>
      </c>
      <c r="G128" s="12">
        <v>47128.67</v>
      </c>
      <c r="H128" s="6">
        <v>47128.67</v>
      </c>
      <c r="I128" s="6"/>
      <c r="J128" s="35">
        <v>47128.67</v>
      </c>
      <c r="K128" s="35">
        <v>47128.67</v>
      </c>
      <c r="L128" s="35"/>
      <c r="M128" s="6"/>
      <c r="N128" s="6"/>
      <c r="O128" s="6"/>
      <c r="P128" s="6"/>
      <c r="Q128" s="6"/>
      <c r="R128" s="6"/>
      <c r="S128" s="6"/>
      <c r="T128" s="6"/>
    </row>
    <row r="129" spans="1:20" ht="14.4" x14ac:dyDescent="0.25">
      <c r="A129" s="4">
        <v>2018</v>
      </c>
      <c r="B129" s="4">
        <v>1</v>
      </c>
      <c r="C129" s="4" t="s">
        <v>18</v>
      </c>
      <c r="D129" s="11">
        <v>53317</v>
      </c>
      <c r="E129" s="5" t="s">
        <v>80</v>
      </c>
      <c r="F129" s="4" t="s">
        <v>34</v>
      </c>
      <c r="G129" s="12">
        <v>13238</v>
      </c>
      <c r="H129" s="6">
        <v>13238</v>
      </c>
      <c r="I129" s="6"/>
      <c r="J129" s="35">
        <v>13238</v>
      </c>
      <c r="K129" s="35">
        <v>13238</v>
      </c>
      <c r="L129" s="35"/>
      <c r="M129" s="6"/>
      <c r="N129" s="6"/>
      <c r="O129" s="6"/>
      <c r="P129" s="6"/>
      <c r="Q129" s="6"/>
      <c r="R129" s="6"/>
      <c r="S129" s="6"/>
      <c r="T129" s="6"/>
    </row>
    <row r="130" spans="1:20" ht="14.4" x14ac:dyDescent="0.25">
      <c r="A130" s="4">
        <v>2018</v>
      </c>
      <c r="B130" s="4">
        <v>2</v>
      </c>
      <c r="C130" s="4" t="s">
        <v>18</v>
      </c>
      <c r="D130" s="11">
        <v>643</v>
      </c>
      <c r="E130" s="5" t="s">
        <v>72</v>
      </c>
      <c r="F130" s="4" t="s">
        <v>23</v>
      </c>
      <c r="G130" s="12">
        <v>1733886.66</v>
      </c>
      <c r="H130" s="6">
        <v>678240.45</v>
      </c>
      <c r="I130" s="6">
        <v>1055646.21</v>
      </c>
      <c r="J130" s="33">
        <v>866468.66</v>
      </c>
      <c r="K130" s="33">
        <v>339120.23</v>
      </c>
      <c r="L130" s="33">
        <v>527348.43000000005</v>
      </c>
      <c r="M130" s="6">
        <v>5265084004.7299995</v>
      </c>
      <c r="N130" s="6">
        <v>5257068259.4499998</v>
      </c>
      <c r="O130" s="6">
        <v>5.2999999999999999E-2</v>
      </c>
      <c r="P130" s="6" t="s">
        <v>17</v>
      </c>
      <c r="Q130" s="6">
        <v>2.75E-2</v>
      </c>
      <c r="R130" s="6">
        <v>0.05</v>
      </c>
      <c r="S130" s="6"/>
      <c r="T130" s="6">
        <v>558989.34</v>
      </c>
    </row>
    <row r="131" spans="1:20" ht="14.4" x14ac:dyDescent="0.25">
      <c r="A131" s="4">
        <v>2018</v>
      </c>
      <c r="B131" s="4">
        <v>2</v>
      </c>
      <c r="C131" s="4" t="s">
        <v>18</v>
      </c>
      <c r="D131" s="11">
        <v>652</v>
      </c>
      <c r="E131" s="5" t="s">
        <v>74</v>
      </c>
      <c r="F131" s="4" t="s">
        <v>23</v>
      </c>
      <c r="G131" s="12">
        <v>1179871.52</v>
      </c>
      <c r="H131" s="6">
        <v>206976.11</v>
      </c>
      <c r="I131" s="6">
        <v>972895.41</v>
      </c>
      <c r="J131" s="33">
        <v>590320.63</v>
      </c>
      <c r="K131" s="33">
        <v>103488.06</v>
      </c>
      <c r="L131" s="33">
        <v>486832.57</v>
      </c>
      <c r="M131" s="6">
        <v>3265662431.0500002</v>
      </c>
      <c r="N131" s="6">
        <v>3252769511.0300002</v>
      </c>
      <c r="O131" s="6">
        <v>5.2999999999999999E-2</v>
      </c>
      <c r="P131" s="6" t="s">
        <v>75</v>
      </c>
      <c r="Q131" s="6">
        <v>1.4999999999999999E-2</v>
      </c>
      <c r="R131" s="6">
        <v>0.05</v>
      </c>
      <c r="S131" s="6"/>
      <c r="T131" s="6">
        <v>516042.53</v>
      </c>
    </row>
    <row r="132" spans="1:20" ht="14.4" x14ac:dyDescent="0.25">
      <c r="A132" s="4">
        <v>2018</v>
      </c>
      <c r="B132" s="4">
        <v>2</v>
      </c>
      <c r="C132" s="4" t="s">
        <v>18</v>
      </c>
      <c r="D132" s="11">
        <v>44321</v>
      </c>
      <c r="E132" s="5" t="s">
        <v>26</v>
      </c>
      <c r="F132" s="4" t="s">
        <v>23</v>
      </c>
      <c r="G132" s="12">
        <v>122517.42</v>
      </c>
      <c r="H132" s="6">
        <v>69703.81</v>
      </c>
      <c r="I132" s="6">
        <v>52813.61</v>
      </c>
      <c r="J132" s="33">
        <v>61339.97</v>
      </c>
      <c r="K132" s="33">
        <v>34851.910000000003</v>
      </c>
      <c r="L132" s="33">
        <v>26488.06</v>
      </c>
      <c r="M132" s="6">
        <v>880593588.86000001</v>
      </c>
      <c r="N132" s="6">
        <v>881121765.59000003</v>
      </c>
      <c r="O132" s="6">
        <v>5.2999999999999999E-2</v>
      </c>
      <c r="P132" s="6" t="s">
        <v>17</v>
      </c>
      <c r="Q132" s="6">
        <v>2.75E-2</v>
      </c>
      <c r="R132" s="6">
        <v>1.4999999999999999E-2</v>
      </c>
      <c r="S132" s="6"/>
      <c r="T132" s="6">
        <v>28077.34</v>
      </c>
    </row>
    <row r="133" spans="1:20" ht="14.4" x14ac:dyDescent="0.25">
      <c r="A133" s="4">
        <v>2018</v>
      </c>
      <c r="B133" s="4">
        <v>2</v>
      </c>
      <c r="C133" s="4" t="s">
        <v>18</v>
      </c>
      <c r="D133" s="11">
        <v>7605</v>
      </c>
      <c r="E133" s="5" t="s">
        <v>77</v>
      </c>
      <c r="F133" s="4" t="s">
        <v>34</v>
      </c>
      <c r="G133" s="12">
        <v>29048.83</v>
      </c>
      <c r="H133" s="6">
        <v>29048.83</v>
      </c>
      <c r="I133" s="6"/>
      <c r="J133" s="33">
        <v>14524.42</v>
      </c>
      <c r="K133" s="33">
        <v>14524.42</v>
      </c>
      <c r="L133" s="33"/>
      <c r="M133" s="6"/>
      <c r="N133" s="6"/>
      <c r="O133" s="6"/>
      <c r="P133" s="6"/>
      <c r="Q133" s="6"/>
      <c r="R133" s="6"/>
      <c r="S133" s="6"/>
      <c r="T133" s="6"/>
    </row>
    <row r="134" spans="1:20" ht="14.4" x14ac:dyDescent="0.25">
      <c r="A134" s="4">
        <v>2018</v>
      </c>
      <c r="B134" s="4">
        <v>2</v>
      </c>
      <c r="C134" s="4" t="s">
        <v>18</v>
      </c>
      <c r="D134" s="11">
        <v>41958</v>
      </c>
      <c r="E134" s="5" t="s">
        <v>78</v>
      </c>
      <c r="F134" s="4" t="s">
        <v>34</v>
      </c>
      <c r="G134" s="12">
        <v>94257.34</v>
      </c>
      <c r="H134" s="6">
        <v>94257.34</v>
      </c>
      <c r="I134" s="6"/>
      <c r="J134" s="33">
        <v>47128.67</v>
      </c>
      <c r="K134" s="33">
        <v>47128.67</v>
      </c>
      <c r="L134" s="33"/>
      <c r="M134" s="6"/>
      <c r="N134" s="6"/>
      <c r="O134" s="6"/>
      <c r="P134" s="6"/>
      <c r="Q134" s="6"/>
      <c r="R134" s="6"/>
      <c r="S134" s="6"/>
      <c r="T134" s="6"/>
    </row>
    <row r="135" spans="1:20" ht="14.4" x14ac:dyDescent="0.25">
      <c r="A135" s="4">
        <v>2018</v>
      </c>
      <c r="B135" s="4">
        <v>2</v>
      </c>
      <c r="C135" s="4" t="s">
        <v>18</v>
      </c>
      <c r="D135" s="11">
        <v>53317</v>
      </c>
      <c r="E135" s="5" t="s">
        <v>80</v>
      </c>
      <c r="F135" s="4" t="s">
        <v>34</v>
      </c>
      <c r="G135" s="12">
        <v>26476</v>
      </c>
      <c r="H135" s="6">
        <v>26476</v>
      </c>
      <c r="I135" s="6"/>
      <c r="J135" s="33">
        <v>13238</v>
      </c>
      <c r="K135" s="33">
        <v>13238</v>
      </c>
      <c r="L135" s="33"/>
      <c r="M135" s="6"/>
      <c r="N135" s="6"/>
      <c r="O135" s="6"/>
      <c r="P135" s="6"/>
      <c r="Q135" s="6"/>
      <c r="R135" s="6"/>
      <c r="S135" s="6"/>
      <c r="T135" s="6"/>
    </row>
    <row r="136" spans="1:20" ht="14.4" x14ac:dyDescent="0.25">
      <c r="A136" s="4">
        <v>2018</v>
      </c>
      <c r="B136" s="4">
        <v>3</v>
      </c>
      <c r="C136" s="4" t="s">
        <v>18</v>
      </c>
      <c r="D136" s="11">
        <v>643</v>
      </c>
      <c r="E136" s="5" t="s">
        <v>72</v>
      </c>
      <c r="F136" s="4" t="s">
        <v>23</v>
      </c>
      <c r="G136" s="12">
        <v>2533769.92</v>
      </c>
      <c r="H136" s="6">
        <v>951724.49</v>
      </c>
      <c r="I136" s="6">
        <v>1582045.43</v>
      </c>
      <c r="J136" s="33">
        <v>799883.27</v>
      </c>
      <c r="K136" s="33">
        <v>273484.03999999998</v>
      </c>
      <c r="L136" s="33">
        <v>526399.23</v>
      </c>
      <c r="M136" s="6">
        <v>5257231275.8999996</v>
      </c>
      <c r="N136" s="6">
        <v>5245981540.5</v>
      </c>
      <c r="O136" s="6">
        <v>5.2999999999999999E-2</v>
      </c>
      <c r="P136" s="6" t="s">
        <v>17</v>
      </c>
      <c r="Q136" s="6">
        <v>2.75E-2</v>
      </c>
      <c r="R136" s="6">
        <v>0.05</v>
      </c>
      <c r="S136" s="6"/>
      <c r="T136" s="6">
        <v>557983.18000000005</v>
      </c>
    </row>
    <row r="137" spans="1:20" ht="14.4" x14ac:dyDescent="0.25">
      <c r="A137" s="4">
        <v>2018</v>
      </c>
      <c r="B137" s="4">
        <v>3</v>
      </c>
      <c r="C137" s="4" t="s">
        <v>18</v>
      </c>
      <c r="D137" s="11">
        <v>652</v>
      </c>
      <c r="E137" s="5" t="s">
        <v>74</v>
      </c>
      <c r="F137" s="4" t="s">
        <v>23</v>
      </c>
      <c r="G137" s="12">
        <v>1768028.05</v>
      </c>
      <c r="H137" s="6">
        <v>310464.17</v>
      </c>
      <c r="I137" s="6">
        <v>1457563.88</v>
      </c>
      <c r="J137" s="33">
        <v>588156.53</v>
      </c>
      <c r="K137" s="33">
        <v>103488.06</v>
      </c>
      <c r="L137" s="33">
        <v>484668.47</v>
      </c>
      <c r="M137" s="6">
        <v>3249366562.5599999</v>
      </c>
      <c r="N137" s="6">
        <v>3240089222.6399999</v>
      </c>
      <c r="O137" s="6">
        <v>5.2999999999999999E-2</v>
      </c>
      <c r="P137" s="6" t="s">
        <v>75</v>
      </c>
      <c r="Q137" s="6">
        <v>1.4999999999999999E-2</v>
      </c>
      <c r="R137" s="6">
        <v>0.05</v>
      </c>
      <c r="S137" s="6"/>
      <c r="T137" s="6">
        <v>513748.58</v>
      </c>
    </row>
    <row r="138" spans="1:20" ht="14.4" x14ac:dyDescent="0.25">
      <c r="A138" s="4">
        <v>2018</v>
      </c>
      <c r="B138" s="4">
        <v>3</v>
      </c>
      <c r="C138" s="4" t="s">
        <v>18</v>
      </c>
      <c r="D138" s="11">
        <v>44321</v>
      </c>
      <c r="E138" s="5" t="s">
        <v>26</v>
      </c>
      <c r="F138" s="4" t="s">
        <v>23</v>
      </c>
      <c r="G138" s="12">
        <v>177280.63</v>
      </c>
      <c r="H138" s="6">
        <v>97810.19</v>
      </c>
      <c r="I138" s="6">
        <v>79470.44</v>
      </c>
      <c r="J138" s="33">
        <v>54763.199999999997</v>
      </c>
      <c r="K138" s="33">
        <v>28106.38</v>
      </c>
      <c r="L138" s="33">
        <v>26656.82</v>
      </c>
      <c r="M138" s="6">
        <v>885232644.97000003</v>
      </c>
      <c r="N138" s="6">
        <v>887707489.11000001</v>
      </c>
      <c r="O138" s="6">
        <v>5.2999999999999999E-2</v>
      </c>
      <c r="P138" s="6" t="s">
        <v>17</v>
      </c>
      <c r="Q138" s="6">
        <v>2.75E-2</v>
      </c>
      <c r="R138" s="6">
        <v>1.4999999999999999E-2</v>
      </c>
      <c r="S138" s="6"/>
      <c r="T138" s="6">
        <v>28256.23</v>
      </c>
    </row>
    <row r="139" spans="1:20" ht="14.4" x14ac:dyDescent="0.25">
      <c r="A139" s="4">
        <v>2018</v>
      </c>
      <c r="B139" s="4">
        <v>3</v>
      </c>
      <c r="C139" s="4" t="s">
        <v>18</v>
      </c>
      <c r="D139" s="11">
        <v>7605</v>
      </c>
      <c r="E139" s="5" t="s">
        <v>77</v>
      </c>
      <c r="F139" s="4" t="s">
        <v>34</v>
      </c>
      <c r="G139" s="12">
        <v>41185.68</v>
      </c>
      <c r="H139" s="6">
        <v>41185.68</v>
      </c>
      <c r="I139" s="6"/>
      <c r="J139" s="33">
        <v>12136.85</v>
      </c>
      <c r="K139" s="33">
        <v>12136.85</v>
      </c>
      <c r="L139" s="33"/>
      <c r="M139" s="6"/>
      <c r="N139" s="6"/>
      <c r="O139" s="6"/>
      <c r="P139" s="6"/>
      <c r="Q139" s="6"/>
      <c r="R139" s="6"/>
      <c r="S139" s="6"/>
      <c r="T139" s="6"/>
    </row>
    <row r="140" spans="1:20" ht="14.4" x14ac:dyDescent="0.25">
      <c r="A140" s="4">
        <v>2018</v>
      </c>
      <c r="B140" s="4">
        <v>3</v>
      </c>
      <c r="C140" s="4" t="s">
        <v>18</v>
      </c>
      <c r="D140" s="11">
        <v>41958</v>
      </c>
      <c r="E140" s="5" t="s">
        <v>78</v>
      </c>
      <c r="F140" s="4" t="s">
        <v>34</v>
      </c>
      <c r="G140" s="12">
        <v>132264.32999999999</v>
      </c>
      <c r="H140" s="6">
        <v>132264.32999999999</v>
      </c>
      <c r="I140" s="6"/>
      <c r="J140" s="33">
        <v>38006.99</v>
      </c>
      <c r="K140" s="33">
        <v>38006.99</v>
      </c>
      <c r="L140" s="33"/>
      <c r="M140" s="6"/>
      <c r="N140" s="6"/>
      <c r="O140" s="6"/>
      <c r="P140" s="6"/>
      <c r="Q140" s="6"/>
      <c r="R140" s="6"/>
      <c r="S140" s="6"/>
      <c r="T140" s="6"/>
    </row>
    <row r="141" spans="1:20" ht="14.4" x14ac:dyDescent="0.25">
      <c r="A141" s="4">
        <v>2018</v>
      </c>
      <c r="B141" s="4">
        <v>3</v>
      </c>
      <c r="C141" s="4" t="s">
        <v>18</v>
      </c>
      <c r="D141" s="11">
        <v>53317</v>
      </c>
      <c r="E141" s="5" t="s">
        <v>80</v>
      </c>
      <c r="F141" s="4" t="s">
        <v>34</v>
      </c>
      <c r="G141" s="12">
        <v>37151.81</v>
      </c>
      <c r="H141" s="6">
        <v>37151.81</v>
      </c>
      <c r="I141" s="6"/>
      <c r="J141" s="33">
        <v>10675.81</v>
      </c>
      <c r="K141" s="33">
        <v>10675.81</v>
      </c>
      <c r="L141" s="33"/>
      <c r="M141" s="6"/>
      <c r="N141" s="6"/>
      <c r="O141" s="6"/>
      <c r="P141" s="6"/>
      <c r="Q141" s="6"/>
      <c r="R141" s="6"/>
      <c r="S141" s="6"/>
      <c r="T141" s="6"/>
    </row>
    <row r="142" spans="1:20" ht="14.4" x14ac:dyDescent="0.25">
      <c r="A142" s="4">
        <v>2018</v>
      </c>
      <c r="B142" s="4">
        <v>4</v>
      </c>
      <c r="C142" s="4" t="s">
        <v>18</v>
      </c>
      <c r="D142" s="11">
        <v>643</v>
      </c>
      <c r="E142" s="5" t="s">
        <v>72</v>
      </c>
      <c r="F142" s="4" t="s">
        <v>23</v>
      </c>
      <c r="G142" s="12">
        <v>3422104.34</v>
      </c>
      <c r="H142" s="6">
        <v>1313934.3999999999</v>
      </c>
      <c r="I142" s="6">
        <v>2108169.94</v>
      </c>
      <c r="J142" s="33">
        <v>888334.42</v>
      </c>
      <c r="K142" s="33">
        <v>362209.91</v>
      </c>
      <c r="L142" s="33">
        <v>526124.51</v>
      </c>
      <c r="M142" s="6">
        <v>5241060918</v>
      </c>
      <c r="N142" s="6">
        <v>5256670449.6599998</v>
      </c>
      <c r="O142" s="6">
        <v>5.2999999999999999E-2</v>
      </c>
      <c r="P142" s="6" t="s">
        <v>17</v>
      </c>
      <c r="Q142" s="6">
        <v>2.75E-2</v>
      </c>
      <c r="R142" s="6">
        <v>0.05</v>
      </c>
      <c r="S142" s="6"/>
      <c r="T142" s="6">
        <v>557691.98</v>
      </c>
    </row>
    <row r="143" spans="1:20" ht="14.4" x14ac:dyDescent="0.25">
      <c r="A143" s="4">
        <v>2018</v>
      </c>
      <c r="B143" s="4">
        <v>4</v>
      </c>
      <c r="C143" s="4" t="s">
        <v>18</v>
      </c>
      <c r="D143" s="11">
        <v>652</v>
      </c>
      <c r="E143" s="5" t="s">
        <v>74</v>
      </c>
      <c r="F143" s="4" t="s">
        <v>23</v>
      </c>
      <c r="G143" s="12">
        <v>2355358.5299999998</v>
      </c>
      <c r="H143" s="6">
        <v>413952.23</v>
      </c>
      <c r="I143" s="6">
        <v>1941406.3</v>
      </c>
      <c r="J143" s="33">
        <v>587330.48</v>
      </c>
      <c r="K143" s="33">
        <v>103488.06</v>
      </c>
      <c r="L143" s="33">
        <v>483842.42</v>
      </c>
      <c r="M143" s="6">
        <v>3237508861.4899998</v>
      </c>
      <c r="N143" s="6">
        <v>3240886519.48</v>
      </c>
      <c r="O143" s="6">
        <v>5.2999999999999999E-2</v>
      </c>
      <c r="P143" s="6" t="s">
        <v>75</v>
      </c>
      <c r="Q143" s="6">
        <v>1.4999999999999999E-2</v>
      </c>
      <c r="R143" s="6">
        <v>0.05</v>
      </c>
      <c r="S143" s="6"/>
      <c r="T143" s="6">
        <v>512872.97</v>
      </c>
    </row>
    <row r="144" spans="1:20" ht="14.4" x14ac:dyDescent="0.25">
      <c r="A144" s="4">
        <v>2018</v>
      </c>
      <c r="B144" s="4">
        <v>4</v>
      </c>
      <c r="C144" s="4" t="s">
        <v>18</v>
      </c>
      <c r="D144" s="11">
        <v>44321</v>
      </c>
      <c r="E144" s="5" t="s">
        <v>26</v>
      </c>
      <c r="F144" s="4" t="s">
        <v>23</v>
      </c>
      <c r="G144" s="12">
        <v>237634.33</v>
      </c>
      <c r="H144" s="6">
        <v>131355.54</v>
      </c>
      <c r="I144" s="6">
        <v>106278.79</v>
      </c>
      <c r="J144" s="33">
        <v>60353.7</v>
      </c>
      <c r="K144" s="33">
        <v>33545.35</v>
      </c>
      <c r="L144" s="33">
        <v>26808.35</v>
      </c>
      <c r="M144" s="6">
        <v>891130660.78999996</v>
      </c>
      <c r="N144" s="6">
        <v>891887691.07000005</v>
      </c>
      <c r="O144" s="6">
        <v>5.2999999999999999E-2</v>
      </c>
      <c r="P144" s="6" t="s">
        <v>17</v>
      </c>
      <c r="Q144" s="6">
        <v>2.75E-2</v>
      </c>
      <c r="R144" s="6">
        <v>1.4999999999999999E-2</v>
      </c>
      <c r="S144" s="6"/>
      <c r="T144" s="6">
        <v>28416.85</v>
      </c>
    </row>
    <row r="145" spans="1:20" ht="14.4" x14ac:dyDescent="0.25">
      <c r="A145" s="4">
        <v>2018</v>
      </c>
      <c r="B145" s="4">
        <v>4</v>
      </c>
      <c r="C145" s="4" t="s">
        <v>18</v>
      </c>
      <c r="D145" s="11">
        <v>7605</v>
      </c>
      <c r="E145" s="5" t="s">
        <v>77</v>
      </c>
      <c r="F145" s="4" t="s">
        <v>34</v>
      </c>
      <c r="G145" s="12">
        <v>61329.39</v>
      </c>
      <c r="H145" s="6">
        <v>61329.39</v>
      </c>
      <c r="I145" s="6"/>
      <c r="J145" s="33">
        <v>20143.71</v>
      </c>
      <c r="K145" s="33">
        <v>20143.71</v>
      </c>
      <c r="L145" s="33"/>
      <c r="M145" s="6"/>
      <c r="N145" s="6"/>
      <c r="O145" s="6"/>
      <c r="P145" s="6"/>
      <c r="Q145" s="6"/>
      <c r="R145" s="6"/>
      <c r="S145" s="6"/>
      <c r="T145" s="6"/>
    </row>
    <row r="146" spans="1:20" ht="14.4" x14ac:dyDescent="0.25">
      <c r="A146" s="4">
        <v>2018</v>
      </c>
      <c r="B146" s="4">
        <v>4</v>
      </c>
      <c r="C146" s="4" t="s">
        <v>18</v>
      </c>
      <c r="D146" s="11">
        <v>41958</v>
      </c>
      <c r="E146" s="5" t="s">
        <v>78</v>
      </c>
      <c r="F146" s="4" t="s">
        <v>34</v>
      </c>
      <c r="G146" s="12">
        <v>194624.35</v>
      </c>
      <c r="H146" s="6">
        <v>194624.35</v>
      </c>
      <c r="I146" s="6"/>
      <c r="J146" s="33">
        <v>62360.02</v>
      </c>
      <c r="K146" s="33">
        <v>62360.02</v>
      </c>
      <c r="L146" s="33"/>
      <c r="M146" s="6"/>
      <c r="N146" s="6"/>
      <c r="O146" s="6"/>
      <c r="P146" s="6"/>
      <c r="Q146" s="6"/>
      <c r="R146" s="6"/>
      <c r="S146" s="6"/>
      <c r="T146" s="6"/>
    </row>
    <row r="147" spans="1:20" ht="14.4" x14ac:dyDescent="0.25">
      <c r="A147" s="4">
        <v>2018</v>
      </c>
      <c r="B147" s="4">
        <v>4</v>
      </c>
      <c r="C147" s="4" t="s">
        <v>18</v>
      </c>
      <c r="D147" s="11">
        <v>53317</v>
      </c>
      <c r="E147" s="5" t="s">
        <v>80</v>
      </c>
      <c r="F147" s="4" t="s">
        <v>34</v>
      </c>
      <c r="G147" s="12">
        <v>-2995.75</v>
      </c>
      <c r="H147" s="6">
        <v>-2995.75</v>
      </c>
      <c r="I147" s="6"/>
      <c r="J147" s="33">
        <v>-40147.57</v>
      </c>
      <c r="K147" s="33">
        <v>-40147.57</v>
      </c>
      <c r="L147" s="33"/>
      <c r="M147" s="6"/>
      <c r="N147" s="6"/>
      <c r="O147" s="6"/>
      <c r="P147" s="6"/>
      <c r="Q147" s="6"/>
      <c r="R147" s="6"/>
      <c r="S147" s="6"/>
      <c r="T147" s="6"/>
    </row>
    <row r="148" spans="1:20" ht="14.4" x14ac:dyDescent="0.25">
      <c r="A148" s="4">
        <v>2018</v>
      </c>
      <c r="B148" s="4">
        <v>5</v>
      </c>
      <c r="C148" s="4" t="s">
        <v>18</v>
      </c>
      <c r="D148" s="11">
        <v>643</v>
      </c>
      <c r="E148" s="5" t="s">
        <v>72</v>
      </c>
      <c r="F148" s="4" t="s">
        <v>23</v>
      </c>
      <c r="G148" s="12">
        <v>4267517.41</v>
      </c>
      <c r="H148" s="6">
        <v>1632797.3</v>
      </c>
      <c r="I148" s="6">
        <v>2634720.11</v>
      </c>
      <c r="J148" s="33">
        <v>845413.08</v>
      </c>
      <c r="K148" s="33">
        <v>318862.90999999997</v>
      </c>
      <c r="L148" s="33">
        <v>526550.17000000004</v>
      </c>
      <c r="M148" s="6">
        <v>5257499005.6000004</v>
      </c>
      <c r="N148" s="6">
        <v>5248725503.0699997</v>
      </c>
      <c r="O148" s="6">
        <v>5.2999999999999999E-2</v>
      </c>
      <c r="P148" s="6" t="s">
        <v>17</v>
      </c>
      <c r="Q148" s="6">
        <v>2.75E-2</v>
      </c>
      <c r="R148" s="6">
        <v>0.05</v>
      </c>
      <c r="S148" s="6"/>
      <c r="T148" s="6">
        <v>558143.18000000005</v>
      </c>
    </row>
    <row r="149" spans="1:20" ht="14.4" x14ac:dyDescent="0.25">
      <c r="A149" s="4">
        <v>2018</v>
      </c>
      <c r="B149" s="4">
        <v>5</v>
      </c>
      <c r="C149" s="4" t="s">
        <v>18</v>
      </c>
      <c r="D149" s="11">
        <v>652</v>
      </c>
      <c r="E149" s="5" t="s">
        <v>74</v>
      </c>
      <c r="F149" s="4" t="s">
        <v>23</v>
      </c>
      <c r="G149" s="12">
        <v>2943304.98</v>
      </c>
      <c r="H149" s="6">
        <v>517440.28</v>
      </c>
      <c r="I149" s="6">
        <v>2425864.7000000002</v>
      </c>
      <c r="J149" s="33">
        <v>587946.46</v>
      </c>
      <c r="K149" s="33">
        <v>103488.06</v>
      </c>
      <c r="L149" s="33">
        <v>484458.4</v>
      </c>
      <c r="M149" s="6">
        <v>3235544737</v>
      </c>
      <c r="N149" s="6">
        <v>3251098195.52</v>
      </c>
      <c r="O149" s="6">
        <v>5.2999999999999999E-2</v>
      </c>
      <c r="P149" s="6" t="s">
        <v>75</v>
      </c>
      <c r="Q149" s="6">
        <v>1.4999999999999999E-2</v>
      </c>
      <c r="R149" s="6">
        <v>0.05</v>
      </c>
      <c r="S149" s="6"/>
      <c r="T149" s="6">
        <v>513525.9</v>
      </c>
    </row>
    <row r="150" spans="1:20" ht="14.4" x14ac:dyDescent="0.25">
      <c r="A150" s="4">
        <v>2018</v>
      </c>
      <c r="B150" s="4">
        <v>5</v>
      </c>
      <c r="C150" s="4" t="s">
        <v>18</v>
      </c>
      <c r="D150" s="11">
        <v>44321</v>
      </c>
      <c r="E150" s="5" t="s">
        <v>26</v>
      </c>
      <c r="F150" s="4" t="s">
        <v>23</v>
      </c>
      <c r="G150" s="12">
        <v>629312.43000000005</v>
      </c>
      <c r="H150" s="6">
        <v>496177.78</v>
      </c>
      <c r="I150" s="6">
        <v>133134.65</v>
      </c>
      <c r="J150" s="33">
        <v>391678.11</v>
      </c>
      <c r="K150" s="33">
        <v>364822.25</v>
      </c>
      <c r="L150" s="33">
        <v>26855.86</v>
      </c>
      <c r="M150" s="6">
        <v>891603584.85000002</v>
      </c>
      <c r="N150" s="6">
        <v>894574198.24000001</v>
      </c>
      <c r="O150" s="6">
        <v>5.2999999999999999E-2</v>
      </c>
      <c r="P150" s="6" t="s">
        <v>17</v>
      </c>
      <c r="Q150" s="6">
        <v>2.75E-2</v>
      </c>
      <c r="R150" s="6">
        <v>1.4999999999999999E-2</v>
      </c>
      <c r="S150" s="6"/>
      <c r="T150" s="6">
        <v>28467.21</v>
      </c>
    </row>
    <row r="151" spans="1:20" ht="14.4" x14ac:dyDescent="0.25">
      <c r="A151" s="4">
        <v>2018</v>
      </c>
      <c r="B151" s="4">
        <v>5</v>
      </c>
      <c r="C151" s="4" t="s">
        <v>18</v>
      </c>
      <c r="D151" s="11">
        <v>999</v>
      </c>
      <c r="E151" s="5" t="s">
        <v>117</v>
      </c>
      <c r="F151" s="4" t="s">
        <v>34</v>
      </c>
      <c r="G151" s="12">
        <v>19664.75</v>
      </c>
      <c r="H151" s="6">
        <v>19664.75</v>
      </c>
      <c r="I151" s="6"/>
      <c r="J151" s="33">
        <v>19664.75</v>
      </c>
      <c r="K151" s="33">
        <v>19664.75</v>
      </c>
      <c r="L151" s="33"/>
      <c r="M151" s="6"/>
      <c r="N151" s="6"/>
      <c r="O151" s="6"/>
      <c r="P151" s="6"/>
      <c r="Q151" s="6"/>
      <c r="R151" s="6"/>
      <c r="S151" s="6"/>
      <c r="T151" s="6"/>
    </row>
    <row r="152" spans="1:20" ht="14.4" x14ac:dyDescent="0.25">
      <c r="A152" s="4">
        <v>2018</v>
      </c>
      <c r="B152" s="4">
        <v>5</v>
      </c>
      <c r="C152" s="4" t="s">
        <v>18</v>
      </c>
      <c r="D152" s="11">
        <v>7605</v>
      </c>
      <c r="E152" s="5" t="s">
        <v>77</v>
      </c>
      <c r="F152" s="4" t="s">
        <v>34</v>
      </c>
      <c r="G152" s="12">
        <v>70672.509999999995</v>
      </c>
      <c r="H152" s="6">
        <v>70672.509999999995</v>
      </c>
      <c r="I152" s="6"/>
      <c r="J152" s="33">
        <v>9343.1200000000008</v>
      </c>
      <c r="K152" s="33">
        <v>9343.1200000000008</v>
      </c>
      <c r="L152" s="33"/>
      <c r="M152" s="6"/>
      <c r="N152" s="6"/>
      <c r="O152" s="6"/>
      <c r="P152" s="6"/>
      <c r="Q152" s="6"/>
      <c r="R152" s="6"/>
      <c r="S152" s="6"/>
      <c r="T152" s="6"/>
    </row>
    <row r="153" spans="1:20" ht="14.4" x14ac:dyDescent="0.25">
      <c r="A153" s="4">
        <v>2018</v>
      </c>
      <c r="B153" s="4">
        <v>5</v>
      </c>
      <c r="C153" s="4" t="s">
        <v>18</v>
      </c>
      <c r="D153" s="11">
        <v>41958</v>
      </c>
      <c r="E153" s="5" t="s">
        <v>78</v>
      </c>
      <c r="F153" s="4" t="s">
        <v>34</v>
      </c>
      <c r="G153" s="12">
        <v>236934.03</v>
      </c>
      <c r="H153" s="6">
        <v>236934.03</v>
      </c>
      <c r="I153" s="6"/>
      <c r="J153" s="33">
        <v>42309.68</v>
      </c>
      <c r="K153" s="33">
        <v>42309.68</v>
      </c>
      <c r="L153" s="33"/>
      <c r="M153" s="6"/>
      <c r="N153" s="6"/>
      <c r="O153" s="6"/>
      <c r="P153" s="6"/>
      <c r="Q153" s="6"/>
      <c r="R153" s="6"/>
      <c r="S153" s="6"/>
      <c r="T153" s="6"/>
    </row>
    <row r="154" spans="1:20" ht="14.4" x14ac:dyDescent="0.25">
      <c r="A154" s="4">
        <v>2018</v>
      </c>
      <c r="B154" s="4">
        <v>5</v>
      </c>
      <c r="C154" s="4" t="s">
        <v>18</v>
      </c>
      <c r="D154" s="11">
        <v>53317</v>
      </c>
      <c r="E154" s="5" t="s">
        <v>80</v>
      </c>
      <c r="F154" s="4" t="s">
        <v>34</v>
      </c>
      <c r="G154" s="12">
        <v>18499.29</v>
      </c>
      <c r="H154" s="6">
        <v>18499.29</v>
      </c>
      <c r="I154" s="6"/>
      <c r="J154" s="33">
        <v>21495.05</v>
      </c>
      <c r="K154" s="33">
        <v>21495.05</v>
      </c>
      <c r="L154" s="33"/>
      <c r="M154" s="6"/>
      <c r="N154" s="6"/>
      <c r="O154" s="6"/>
      <c r="P154" s="6"/>
      <c r="Q154" s="6"/>
      <c r="R154" s="6"/>
      <c r="S154" s="6"/>
      <c r="T154" s="6"/>
    </row>
    <row r="155" spans="1:20" ht="14.4" x14ac:dyDescent="0.25">
      <c r="A155" s="4">
        <v>2018</v>
      </c>
      <c r="B155" s="4">
        <v>6</v>
      </c>
      <c r="C155" s="4" t="s">
        <v>18</v>
      </c>
      <c r="D155" s="11">
        <v>643</v>
      </c>
      <c r="E155" s="5" t="s">
        <v>72</v>
      </c>
      <c r="F155" s="4" t="s">
        <v>23</v>
      </c>
      <c r="G155" s="12">
        <v>5121384.3499999996</v>
      </c>
      <c r="H155" s="6">
        <v>1959356.76</v>
      </c>
      <c r="I155" s="6">
        <v>3162027.59</v>
      </c>
      <c r="J155" s="6">
        <v>853866.94</v>
      </c>
      <c r="K155" s="6">
        <v>326559.46000000002</v>
      </c>
      <c r="L155" s="6">
        <v>527307.48</v>
      </c>
      <c r="M155" s="6">
        <v>5289881944.3999996</v>
      </c>
      <c r="N155" s="6">
        <v>5231453091.8900003</v>
      </c>
      <c r="O155" s="6">
        <v>5.2999999999999999E-2</v>
      </c>
      <c r="P155" s="6" t="s">
        <v>17</v>
      </c>
      <c r="Q155" s="6">
        <v>2.75E-2</v>
      </c>
      <c r="R155" s="6">
        <v>0.05</v>
      </c>
      <c r="S155" s="6"/>
      <c r="T155" s="6">
        <v>558945.92000000004</v>
      </c>
    </row>
    <row r="156" spans="1:20" ht="14.4" x14ac:dyDescent="0.25">
      <c r="A156" s="4">
        <v>2018</v>
      </c>
      <c r="B156" s="4">
        <v>6</v>
      </c>
      <c r="C156" s="4" t="s">
        <v>18</v>
      </c>
      <c r="D156" s="11">
        <v>652</v>
      </c>
      <c r="E156" s="5" t="s">
        <v>74</v>
      </c>
      <c r="F156" s="4" t="s">
        <v>23</v>
      </c>
      <c r="G156" s="12">
        <v>3528734.29</v>
      </c>
      <c r="H156" s="6">
        <v>620928.34</v>
      </c>
      <c r="I156" s="6">
        <v>2907805.95</v>
      </c>
      <c r="J156" s="6">
        <v>585429.31000000006</v>
      </c>
      <c r="K156" s="6">
        <v>103488.06</v>
      </c>
      <c r="L156" s="6">
        <v>481941.25</v>
      </c>
      <c r="M156" s="6">
        <v>3234947072.3899999</v>
      </c>
      <c r="N156" s="6">
        <v>3217992619.5500002</v>
      </c>
      <c r="O156" s="6">
        <v>5.2999999999999999E-2</v>
      </c>
      <c r="P156" s="6" t="s">
        <v>75</v>
      </c>
      <c r="Q156" s="6">
        <v>1.4999999999999999E-2</v>
      </c>
      <c r="R156" s="6">
        <v>0.05</v>
      </c>
      <c r="S156" s="6"/>
      <c r="T156" s="6">
        <v>510857.73</v>
      </c>
    </row>
    <row r="157" spans="1:20" ht="14.4" x14ac:dyDescent="0.25">
      <c r="A157" s="4">
        <v>2018</v>
      </c>
      <c r="B157" s="4">
        <v>6</v>
      </c>
      <c r="C157" s="4" t="s">
        <v>18</v>
      </c>
      <c r="D157" s="11">
        <v>44321</v>
      </c>
      <c r="E157" s="5" t="s">
        <v>26</v>
      </c>
      <c r="F157" s="4" t="s">
        <v>23</v>
      </c>
      <c r="G157" s="12">
        <v>755866.29</v>
      </c>
      <c r="H157" s="6">
        <v>595891.18000000005</v>
      </c>
      <c r="I157" s="6">
        <v>159975.10999999999</v>
      </c>
      <c r="J157" s="6">
        <v>126553.87</v>
      </c>
      <c r="K157" s="6">
        <v>99713.4</v>
      </c>
      <c r="L157" s="6">
        <v>26840.47</v>
      </c>
      <c r="M157" s="6">
        <v>892545200.20000005</v>
      </c>
      <c r="N157" s="6">
        <v>892608906.63</v>
      </c>
      <c r="O157" s="6">
        <v>5.2999999999999999E-2</v>
      </c>
      <c r="P157" s="6" t="s">
        <v>17</v>
      </c>
      <c r="Q157" s="6">
        <v>2.75E-2</v>
      </c>
      <c r="R157" s="6">
        <v>1.4999999999999999E-2</v>
      </c>
      <c r="S157" s="6"/>
      <c r="T157" s="6">
        <v>28450.89</v>
      </c>
    </row>
    <row r="158" spans="1:20" ht="14.4" x14ac:dyDescent="0.25">
      <c r="A158" s="4">
        <v>2018</v>
      </c>
      <c r="B158" s="4">
        <v>6</v>
      </c>
      <c r="C158" s="4" t="s">
        <v>18</v>
      </c>
      <c r="D158" s="11">
        <v>999</v>
      </c>
      <c r="E158" s="5" t="s">
        <v>117</v>
      </c>
      <c r="F158" s="4" t="s">
        <v>34</v>
      </c>
      <c r="G158" s="12">
        <v>19664.75</v>
      </c>
      <c r="H158" s="6">
        <v>19664.75</v>
      </c>
      <c r="I158" s="6"/>
      <c r="J158" s="6">
        <v>0</v>
      </c>
      <c r="K158" s="6"/>
      <c r="L158" s="6"/>
      <c r="M158" s="6"/>
      <c r="N158" s="6"/>
      <c r="O158" s="6"/>
      <c r="P158" s="6"/>
      <c r="Q158" s="6"/>
      <c r="R158" s="6"/>
      <c r="S158" s="6"/>
      <c r="T158" s="6"/>
    </row>
    <row r="159" spans="1:20" ht="14.4" x14ac:dyDescent="0.25">
      <c r="A159" s="4">
        <v>2018</v>
      </c>
      <c r="B159" s="4">
        <v>6</v>
      </c>
      <c r="C159" s="4" t="s">
        <v>18</v>
      </c>
      <c r="D159" s="11">
        <v>7605</v>
      </c>
      <c r="E159" s="5" t="s">
        <v>77</v>
      </c>
      <c r="F159" s="4" t="s">
        <v>34</v>
      </c>
      <c r="G159" s="12">
        <v>84807.02</v>
      </c>
      <c r="H159" s="6">
        <v>84807.02</v>
      </c>
      <c r="I159" s="6"/>
      <c r="J159" s="6">
        <v>14134.51</v>
      </c>
      <c r="K159" s="6">
        <v>14134.51</v>
      </c>
      <c r="L159" s="6"/>
      <c r="M159" s="6"/>
      <c r="N159" s="6"/>
      <c r="O159" s="6"/>
      <c r="P159" s="6"/>
      <c r="Q159" s="6"/>
      <c r="R159" s="6"/>
      <c r="S159" s="6"/>
      <c r="T159" s="6"/>
    </row>
    <row r="160" spans="1:20" ht="14.4" x14ac:dyDescent="0.25">
      <c r="A160" s="4">
        <v>2018</v>
      </c>
      <c r="B160" s="4">
        <v>6</v>
      </c>
      <c r="C160" s="4" t="s">
        <v>18</v>
      </c>
      <c r="D160" s="11">
        <v>41958</v>
      </c>
      <c r="E160" s="5" t="s">
        <v>78</v>
      </c>
      <c r="F160" s="4" t="s">
        <v>34</v>
      </c>
      <c r="G160" s="12">
        <v>269203.07</v>
      </c>
      <c r="H160" s="6">
        <v>269203.07</v>
      </c>
      <c r="I160" s="6"/>
      <c r="J160" s="6">
        <v>32269.040000000001</v>
      </c>
      <c r="K160" s="6">
        <v>32269.040000000001</v>
      </c>
      <c r="L160" s="6"/>
      <c r="M160" s="6"/>
      <c r="N160" s="6"/>
      <c r="O160" s="6"/>
      <c r="P160" s="6"/>
      <c r="Q160" s="6"/>
      <c r="R160" s="6"/>
      <c r="S160" s="6"/>
      <c r="T160" s="6"/>
    </row>
    <row r="161" spans="1:20" ht="14.4" x14ac:dyDescent="0.25">
      <c r="A161" s="4">
        <v>2018</v>
      </c>
      <c r="B161" s="4">
        <v>6</v>
      </c>
      <c r="C161" s="4" t="s">
        <v>18</v>
      </c>
      <c r="D161" s="11">
        <v>53317</v>
      </c>
      <c r="E161" s="5" t="s">
        <v>80</v>
      </c>
      <c r="F161" s="4" t="s">
        <v>34</v>
      </c>
      <c r="G161" s="12">
        <v>22437.67</v>
      </c>
      <c r="H161" s="6">
        <v>22437.67</v>
      </c>
      <c r="I161" s="6"/>
      <c r="J161" s="6">
        <v>3938.38</v>
      </c>
      <c r="K161" s="6">
        <v>3938.38</v>
      </c>
      <c r="L161" s="6"/>
      <c r="M161" s="6"/>
      <c r="N161" s="6"/>
      <c r="O161" s="6"/>
      <c r="P161" s="6"/>
      <c r="Q161" s="6"/>
      <c r="R161" s="6"/>
      <c r="S161" s="6"/>
      <c r="T161" s="6"/>
    </row>
    <row r="162" spans="1:20" ht="14.4" x14ac:dyDescent="0.25">
      <c r="A162" s="4">
        <v>2018</v>
      </c>
      <c r="B162" s="4">
        <v>7</v>
      </c>
      <c r="C162" s="4" t="s">
        <v>18</v>
      </c>
      <c r="D162" s="11">
        <v>643</v>
      </c>
      <c r="E162" s="5" t="s">
        <v>72</v>
      </c>
      <c r="F162" s="4" t="s">
        <v>23</v>
      </c>
      <c r="G162" s="12">
        <v>6001224.2599999998</v>
      </c>
      <c r="H162" s="6">
        <v>2307987.02</v>
      </c>
      <c r="I162" s="6">
        <v>3693237.24</v>
      </c>
      <c r="J162" s="6">
        <v>879839.9</v>
      </c>
      <c r="K162" s="6">
        <v>348630.25</v>
      </c>
      <c r="L162" s="6">
        <v>531209.65</v>
      </c>
      <c r="M162" s="6">
        <v>5279075555.25</v>
      </c>
      <c r="N162" s="6">
        <v>5320119429.6800003</v>
      </c>
      <c r="O162" s="6">
        <v>5.2999999999999999E-2</v>
      </c>
      <c r="P162" s="6" t="s">
        <v>17</v>
      </c>
      <c r="Q162" s="6">
        <v>2.75E-2</v>
      </c>
      <c r="R162" s="6">
        <v>0.05</v>
      </c>
      <c r="S162" s="6"/>
      <c r="T162" s="6">
        <v>563082.23</v>
      </c>
    </row>
    <row r="163" spans="1:20" ht="14.4" x14ac:dyDescent="0.25">
      <c r="A163" s="4">
        <v>2018</v>
      </c>
      <c r="B163" s="4">
        <v>7</v>
      </c>
      <c r="C163" s="4" t="s">
        <v>18</v>
      </c>
      <c r="D163" s="11">
        <v>652</v>
      </c>
      <c r="E163" s="5" t="s">
        <v>74</v>
      </c>
      <c r="F163" s="4" t="s">
        <v>23</v>
      </c>
      <c r="G163" s="12">
        <v>4114129.1</v>
      </c>
      <c r="H163" s="6">
        <v>724416.4</v>
      </c>
      <c r="I163" s="6">
        <v>3389712.7</v>
      </c>
      <c r="J163" s="6">
        <v>585394.81000000006</v>
      </c>
      <c r="K163" s="6">
        <v>103488.06</v>
      </c>
      <c r="L163" s="6">
        <v>481906.75</v>
      </c>
      <c r="M163" s="6">
        <v>3218737316.3699999</v>
      </c>
      <c r="N163" s="6">
        <v>3233740490.0300002</v>
      </c>
      <c r="O163" s="6">
        <v>5.2999999999999999E-2</v>
      </c>
      <c r="P163" s="6" t="s">
        <v>75</v>
      </c>
      <c r="Q163" s="6">
        <v>1.4999999999999999E-2</v>
      </c>
      <c r="R163" s="6">
        <v>0.05</v>
      </c>
      <c r="S163" s="6"/>
      <c r="T163" s="6">
        <v>510821.16</v>
      </c>
    </row>
    <row r="164" spans="1:20" ht="14.4" x14ac:dyDescent="0.25">
      <c r="A164" s="4">
        <v>2018</v>
      </c>
      <c r="B164" s="4">
        <v>7</v>
      </c>
      <c r="C164" s="4" t="s">
        <v>18</v>
      </c>
      <c r="D164" s="11">
        <v>44321</v>
      </c>
      <c r="E164" s="5" t="s">
        <v>26</v>
      </c>
      <c r="F164" s="4" t="s">
        <v>23</v>
      </c>
      <c r="G164" s="12">
        <v>817336.97</v>
      </c>
      <c r="H164" s="6">
        <v>630474.09</v>
      </c>
      <c r="I164" s="6">
        <v>186862.88</v>
      </c>
      <c r="J164" s="6">
        <v>61470.69</v>
      </c>
      <c r="K164" s="6">
        <v>34582.92</v>
      </c>
      <c r="L164" s="6">
        <v>26887.77</v>
      </c>
      <c r="M164" s="6">
        <v>891238967.49000001</v>
      </c>
      <c r="N164" s="6">
        <v>897061051.26999998</v>
      </c>
      <c r="O164" s="6">
        <v>5.2999999999999999E-2</v>
      </c>
      <c r="P164" s="6" t="s">
        <v>17</v>
      </c>
      <c r="Q164" s="6">
        <v>2.75E-2</v>
      </c>
      <c r="R164" s="6">
        <v>1.4999999999999999E-2</v>
      </c>
      <c r="S164" s="6"/>
      <c r="T164" s="6">
        <v>28501.03</v>
      </c>
    </row>
    <row r="165" spans="1:20" ht="14.4" x14ac:dyDescent="0.25">
      <c r="A165" s="4">
        <v>2018</v>
      </c>
      <c r="B165" s="4">
        <v>7</v>
      </c>
      <c r="C165" s="4" t="s">
        <v>18</v>
      </c>
      <c r="D165" s="11">
        <v>999</v>
      </c>
      <c r="E165" s="5" t="s">
        <v>117</v>
      </c>
      <c r="F165" s="4" t="s">
        <v>34</v>
      </c>
      <c r="G165" s="12">
        <v>19664.75</v>
      </c>
      <c r="H165" s="6">
        <v>19664.75</v>
      </c>
      <c r="I165" s="6"/>
      <c r="J165" s="6">
        <v>0</v>
      </c>
      <c r="K165" s="6"/>
      <c r="L165" s="6"/>
      <c r="M165" s="6"/>
      <c r="N165" s="6"/>
      <c r="O165" s="6"/>
      <c r="P165" s="6"/>
      <c r="Q165" s="6"/>
      <c r="R165" s="6"/>
      <c r="S165" s="6"/>
      <c r="T165" s="6"/>
    </row>
    <row r="166" spans="1:20" ht="14.4" x14ac:dyDescent="0.25">
      <c r="A166" s="4">
        <v>2018</v>
      </c>
      <c r="B166" s="4">
        <v>7</v>
      </c>
      <c r="C166" s="4" t="s">
        <v>18</v>
      </c>
      <c r="D166" s="11">
        <v>7605</v>
      </c>
      <c r="E166" s="5" t="s">
        <v>77</v>
      </c>
      <c r="F166" s="4" t="s">
        <v>34</v>
      </c>
      <c r="G166" s="12">
        <v>99963.04</v>
      </c>
      <c r="H166" s="6">
        <v>99963.04</v>
      </c>
      <c r="I166" s="6"/>
      <c r="J166" s="6">
        <v>15156.02</v>
      </c>
      <c r="K166" s="6">
        <v>15156.02</v>
      </c>
      <c r="L166" s="6"/>
      <c r="M166" s="6"/>
      <c r="N166" s="6"/>
      <c r="O166" s="6"/>
      <c r="P166" s="6"/>
      <c r="Q166" s="6"/>
      <c r="R166" s="6"/>
      <c r="S166" s="6"/>
      <c r="T166" s="6"/>
    </row>
    <row r="167" spans="1:20" ht="14.4" x14ac:dyDescent="0.25">
      <c r="A167" s="4">
        <v>2018</v>
      </c>
      <c r="B167" s="4">
        <v>7</v>
      </c>
      <c r="C167" s="4" t="s">
        <v>18</v>
      </c>
      <c r="D167" s="11">
        <v>41958</v>
      </c>
      <c r="E167" s="5" t="s">
        <v>78</v>
      </c>
      <c r="F167" s="4" t="s">
        <v>34</v>
      </c>
      <c r="G167" s="12">
        <v>301472.09999999998</v>
      </c>
      <c r="H167" s="6">
        <v>301472.09999999998</v>
      </c>
      <c r="I167" s="6"/>
      <c r="J167" s="6">
        <v>32269.040000000001</v>
      </c>
      <c r="K167" s="6">
        <v>32269.040000000001</v>
      </c>
      <c r="L167" s="6"/>
      <c r="M167" s="6"/>
      <c r="N167" s="6"/>
      <c r="O167" s="6"/>
      <c r="P167" s="6"/>
      <c r="Q167" s="6"/>
      <c r="R167" s="6"/>
      <c r="S167" s="6"/>
      <c r="T167" s="6"/>
    </row>
    <row r="168" spans="1:20" ht="14.4" x14ac:dyDescent="0.25">
      <c r="A168" s="4">
        <v>2018</v>
      </c>
      <c r="B168" s="4">
        <v>7</v>
      </c>
      <c r="C168" s="4" t="s">
        <v>18</v>
      </c>
      <c r="D168" s="11">
        <v>53317</v>
      </c>
      <c r="E168" s="5" t="s">
        <v>80</v>
      </c>
      <c r="F168" s="4" t="s">
        <v>34</v>
      </c>
      <c r="G168" s="12">
        <v>56009.66</v>
      </c>
      <c r="H168" s="6">
        <v>56009.66</v>
      </c>
      <c r="I168" s="6"/>
      <c r="J168" s="6">
        <v>33571.99</v>
      </c>
      <c r="K168" s="6">
        <v>33571.99</v>
      </c>
      <c r="L168" s="6"/>
      <c r="M168" s="6"/>
      <c r="N168" s="6"/>
      <c r="O168" s="6"/>
      <c r="P168" s="6"/>
      <c r="Q168" s="6"/>
      <c r="R168" s="6"/>
      <c r="S168" s="6"/>
      <c r="T168" s="6"/>
    </row>
    <row r="169" spans="1:20" ht="14.4" x14ac:dyDescent="0.25">
      <c r="A169" s="4">
        <v>2018</v>
      </c>
      <c r="B169" s="4">
        <v>8</v>
      </c>
      <c r="C169" s="4" t="s">
        <v>18</v>
      </c>
      <c r="D169" s="11">
        <v>643</v>
      </c>
      <c r="E169" s="5" t="s">
        <v>72</v>
      </c>
      <c r="F169" s="4" t="s">
        <v>23</v>
      </c>
      <c r="G169" s="12">
        <v>6873116.2300000004</v>
      </c>
      <c r="H169" s="6">
        <v>2645383.9900000002</v>
      </c>
      <c r="I169" s="6">
        <v>4227732.24</v>
      </c>
      <c r="J169" s="6">
        <v>871891.97</v>
      </c>
      <c r="K169" s="6">
        <v>337396.97</v>
      </c>
      <c r="L169" s="6">
        <v>534495</v>
      </c>
      <c r="M169" s="6">
        <v>5320119429.6800003</v>
      </c>
      <c r="N169" s="6">
        <v>5344627957.0299997</v>
      </c>
      <c r="O169" s="6">
        <v>5.2999999999999999E-2</v>
      </c>
      <c r="P169" s="6" t="s">
        <v>17</v>
      </c>
      <c r="Q169" s="6">
        <v>2.75E-2</v>
      </c>
      <c r="R169" s="6">
        <v>0.05</v>
      </c>
      <c r="S169" s="6"/>
      <c r="T169" s="6">
        <v>566564.69999999995</v>
      </c>
    </row>
    <row r="170" spans="1:20" ht="14.4" x14ac:dyDescent="0.25">
      <c r="A170" s="4">
        <v>2018</v>
      </c>
      <c r="B170" s="4">
        <v>8</v>
      </c>
      <c r="C170" s="4" t="s">
        <v>18</v>
      </c>
      <c r="D170" s="11">
        <v>652</v>
      </c>
      <c r="E170" s="5" t="s">
        <v>74</v>
      </c>
      <c r="F170" s="4" t="s">
        <v>23</v>
      </c>
      <c r="G170" s="12">
        <v>4700183.5599999996</v>
      </c>
      <c r="H170" s="6">
        <v>828279.33</v>
      </c>
      <c r="I170" s="6">
        <v>3871904.23</v>
      </c>
      <c r="J170" s="6">
        <v>586054.46</v>
      </c>
      <c r="K170" s="6">
        <v>103862.93</v>
      </c>
      <c r="L170" s="6">
        <v>482191.53</v>
      </c>
      <c r="M170" s="6">
        <v>3233740490.0300002</v>
      </c>
      <c r="N170" s="6">
        <v>3222550277.3699999</v>
      </c>
      <c r="O170" s="6">
        <v>5.2999999999999999E-2</v>
      </c>
      <c r="P170" s="6" t="s">
        <v>75</v>
      </c>
      <c r="Q170" s="6">
        <v>1.4999999999999999E-2</v>
      </c>
      <c r="R170" s="6">
        <v>0.05</v>
      </c>
      <c r="S170" s="6"/>
      <c r="T170" s="6">
        <v>511123.02</v>
      </c>
    </row>
    <row r="171" spans="1:20" ht="14.4" x14ac:dyDescent="0.25">
      <c r="A171" s="4">
        <v>2018</v>
      </c>
      <c r="B171" s="4">
        <v>8</v>
      </c>
      <c r="C171" s="4" t="s">
        <v>18</v>
      </c>
      <c r="D171" s="11">
        <v>44321</v>
      </c>
      <c r="E171" s="5" t="s">
        <v>26</v>
      </c>
      <c r="F171" s="4" t="s">
        <v>23</v>
      </c>
      <c r="G171" s="12">
        <v>880211.26</v>
      </c>
      <c r="H171" s="6">
        <v>666318.41</v>
      </c>
      <c r="I171" s="6">
        <v>213892.85</v>
      </c>
      <c r="J171" s="6">
        <v>62874.28</v>
      </c>
      <c r="K171" s="6">
        <v>35844.31</v>
      </c>
      <c r="L171" s="6">
        <v>27029.97</v>
      </c>
      <c r="M171" s="6">
        <v>897061051.26999998</v>
      </c>
      <c r="N171" s="6">
        <v>900697193.42999995</v>
      </c>
      <c r="O171" s="6">
        <v>5.2999999999999999E-2</v>
      </c>
      <c r="P171" s="6" t="s">
        <v>17</v>
      </c>
      <c r="Q171" s="6">
        <v>2.75E-2</v>
      </c>
      <c r="R171" s="6">
        <v>1.4999999999999999E-2</v>
      </c>
      <c r="S171" s="6"/>
      <c r="T171" s="6">
        <v>28651.77</v>
      </c>
    </row>
    <row r="172" spans="1:20" ht="14.4" x14ac:dyDescent="0.25">
      <c r="A172" s="4">
        <v>2018</v>
      </c>
      <c r="B172" s="4">
        <v>8</v>
      </c>
      <c r="C172" s="4" t="s">
        <v>18</v>
      </c>
      <c r="D172" s="11">
        <v>999</v>
      </c>
      <c r="E172" s="5" t="s">
        <v>117</v>
      </c>
      <c r="F172" s="4" t="s">
        <v>34</v>
      </c>
      <c r="G172" s="12">
        <v>29137.360000000001</v>
      </c>
      <c r="H172" s="6">
        <v>29137.360000000001</v>
      </c>
      <c r="I172" s="6"/>
      <c r="J172" s="6">
        <v>9472.6</v>
      </c>
      <c r="K172" s="6">
        <v>9472.6</v>
      </c>
      <c r="L172" s="6"/>
      <c r="M172" s="6"/>
      <c r="N172" s="6"/>
      <c r="O172" s="6"/>
      <c r="P172" s="6"/>
      <c r="Q172" s="6"/>
      <c r="R172" s="6"/>
      <c r="S172" s="6"/>
      <c r="T172" s="6"/>
    </row>
    <row r="173" spans="1:20" ht="14.4" x14ac:dyDescent="0.25">
      <c r="A173" s="4">
        <v>2018</v>
      </c>
      <c r="B173" s="4">
        <v>8</v>
      </c>
      <c r="C173" s="4" t="s">
        <v>18</v>
      </c>
      <c r="D173" s="11">
        <v>7605</v>
      </c>
      <c r="E173" s="5" t="s">
        <v>77</v>
      </c>
      <c r="F173" s="4" t="s">
        <v>34</v>
      </c>
      <c r="G173" s="12">
        <v>114556.06</v>
      </c>
      <c r="H173" s="6">
        <v>114556.06</v>
      </c>
      <c r="I173" s="6"/>
      <c r="J173" s="6">
        <v>14593.02</v>
      </c>
      <c r="K173" s="6">
        <v>14593.02</v>
      </c>
      <c r="L173" s="6"/>
      <c r="M173" s="6"/>
      <c r="N173" s="6"/>
      <c r="O173" s="6"/>
      <c r="P173" s="6"/>
      <c r="Q173" s="6"/>
      <c r="R173" s="6"/>
      <c r="S173" s="6"/>
      <c r="T173" s="6"/>
    </row>
    <row r="174" spans="1:20" ht="14.4" x14ac:dyDescent="0.25">
      <c r="A174" s="4">
        <v>2018</v>
      </c>
      <c r="B174" s="4">
        <v>8</v>
      </c>
      <c r="C174" s="4" t="s">
        <v>18</v>
      </c>
      <c r="D174" s="11">
        <v>41958</v>
      </c>
      <c r="E174" s="5" t="s">
        <v>78</v>
      </c>
      <c r="F174" s="4" t="s">
        <v>34</v>
      </c>
      <c r="G174" s="12">
        <v>333741.14</v>
      </c>
      <c r="H174" s="6">
        <v>333741.14</v>
      </c>
      <c r="I174" s="6"/>
      <c r="J174" s="6">
        <v>32269.040000000001</v>
      </c>
      <c r="K174" s="6">
        <v>32269.040000000001</v>
      </c>
      <c r="L174" s="6"/>
      <c r="M174" s="6"/>
      <c r="N174" s="6"/>
      <c r="O174" s="6"/>
      <c r="P174" s="6"/>
      <c r="Q174" s="6"/>
      <c r="R174" s="6"/>
      <c r="S174" s="6"/>
      <c r="T174" s="6"/>
    </row>
    <row r="175" spans="1:20" ht="14.4" x14ac:dyDescent="0.25">
      <c r="A175" s="4">
        <v>2018</v>
      </c>
      <c r="B175" s="4">
        <v>8</v>
      </c>
      <c r="C175" s="4" t="s">
        <v>18</v>
      </c>
      <c r="D175" s="11">
        <v>53317</v>
      </c>
      <c r="E175" s="5" t="s">
        <v>80</v>
      </c>
      <c r="F175" s="4" t="s">
        <v>34</v>
      </c>
      <c r="G175" s="12">
        <v>55112.3</v>
      </c>
      <c r="H175" s="6">
        <v>55112.3</v>
      </c>
      <c r="I175" s="6"/>
      <c r="J175" s="6">
        <v>-897.36</v>
      </c>
      <c r="K175" s="6">
        <v>-897.36</v>
      </c>
      <c r="L175" s="6"/>
      <c r="M175" s="6"/>
      <c r="N175" s="6"/>
      <c r="O175" s="6"/>
      <c r="P175" s="6"/>
      <c r="Q175" s="6"/>
      <c r="R175" s="6"/>
      <c r="S175" s="6"/>
      <c r="T175" s="6"/>
    </row>
    <row r="176" spans="1:20" ht="14.4" x14ac:dyDescent="0.25">
      <c r="A176" s="4">
        <v>2018</v>
      </c>
      <c r="B176" s="4">
        <v>9</v>
      </c>
      <c r="C176" s="4" t="s">
        <v>18</v>
      </c>
      <c r="D176" s="11">
        <v>643</v>
      </c>
      <c r="E176" s="5" t="s">
        <v>72</v>
      </c>
      <c r="F176" s="4" t="s">
        <v>23</v>
      </c>
      <c r="G176" s="12">
        <v>7729450.2800000003</v>
      </c>
      <c r="H176" s="6">
        <v>2964947.71</v>
      </c>
      <c r="I176" s="6">
        <v>4764502.57</v>
      </c>
      <c r="J176" s="6">
        <v>856334.04</v>
      </c>
      <c r="K176" s="6">
        <v>319563.71999999997</v>
      </c>
      <c r="L176" s="6">
        <v>536770.31999999995</v>
      </c>
      <c r="M176" s="6">
        <v>5340276898.1599998</v>
      </c>
      <c r="N176" s="6">
        <v>5369869785.7399998</v>
      </c>
      <c r="O176" s="6">
        <v>5.2999999999999999E-2</v>
      </c>
      <c r="P176" s="6" t="s">
        <v>17</v>
      </c>
      <c r="Q176" s="6">
        <v>2.75E-2</v>
      </c>
      <c r="R176" s="6">
        <v>0.05</v>
      </c>
      <c r="S176" s="6"/>
      <c r="T176" s="6">
        <v>568976.54</v>
      </c>
    </row>
    <row r="177" spans="1:20" ht="14.4" x14ac:dyDescent="0.25">
      <c r="A177" s="4">
        <v>2018</v>
      </c>
      <c r="B177" s="4">
        <v>9</v>
      </c>
      <c r="C177" s="4" t="s">
        <v>18</v>
      </c>
      <c r="D177" s="11">
        <v>652</v>
      </c>
      <c r="E177" s="5" t="s">
        <v>74</v>
      </c>
      <c r="F177" s="4" t="s">
        <v>23</v>
      </c>
      <c r="G177" s="12">
        <v>5281951.66</v>
      </c>
      <c r="H177" s="6">
        <v>928791.84</v>
      </c>
      <c r="I177" s="6">
        <v>4353159.82</v>
      </c>
      <c r="J177" s="6">
        <v>581768.1</v>
      </c>
      <c r="K177" s="6">
        <v>100512.51</v>
      </c>
      <c r="L177" s="6">
        <v>481255.59</v>
      </c>
      <c r="M177" s="6">
        <v>3218687501.6199999</v>
      </c>
      <c r="N177" s="6">
        <v>3225071534.2800002</v>
      </c>
      <c r="O177" s="6">
        <v>5.2999999999999999E-2</v>
      </c>
      <c r="P177" s="6" t="s">
        <v>75</v>
      </c>
      <c r="Q177" s="6">
        <v>1.4999999999999999E-2</v>
      </c>
      <c r="R177" s="6">
        <v>0.05</v>
      </c>
      <c r="S177" s="6"/>
      <c r="T177" s="6">
        <v>510130.92</v>
      </c>
    </row>
    <row r="178" spans="1:20" ht="14.4" x14ac:dyDescent="0.25">
      <c r="A178" s="4">
        <v>2018</v>
      </c>
      <c r="B178" s="4">
        <v>9</v>
      </c>
      <c r="C178" s="4" t="s">
        <v>18</v>
      </c>
      <c r="D178" s="11">
        <v>44321</v>
      </c>
      <c r="E178" s="5" t="s">
        <v>26</v>
      </c>
      <c r="F178" s="4" t="s">
        <v>23</v>
      </c>
      <c r="G178" s="12">
        <v>942018.02</v>
      </c>
      <c r="H178" s="6">
        <v>701033.62</v>
      </c>
      <c r="I178" s="6">
        <v>240984.4</v>
      </c>
      <c r="J178" s="6">
        <v>61806.76</v>
      </c>
      <c r="K178" s="6">
        <v>34715.22</v>
      </c>
      <c r="L178" s="6">
        <v>27091.54</v>
      </c>
      <c r="M178" s="6">
        <v>899210951.57000005</v>
      </c>
      <c r="N178" s="6">
        <v>902642238.99000001</v>
      </c>
      <c r="O178" s="6">
        <v>5.2999999999999999E-2</v>
      </c>
      <c r="P178" s="6" t="s">
        <v>17</v>
      </c>
      <c r="Q178" s="6">
        <v>2.75E-2</v>
      </c>
      <c r="R178" s="6">
        <v>1.4999999999999999E-2</v>
      </c>
      <c r="S178" s="6"/>
      <c r="T178" s="6">
        <v>28717.040000000001</v>
      </c>
    </row>
    <row r="179" spans="1:20" ht="14.4" x14ac:dyDescent="0.25">
      <c r="A179" s="4">
        <v>2018</v>
      </c>
      <c r="B179" s="4">
        <v>9</v>
      </c>
      <c r="C179" s="4" t="s">
        <v>18</v>
      </c>
      <c r="D179" s="11">
        <v>999</v>
      </c>
      <c r="E179" s="5" t="s">
        <v>117</v>
      </c>
      <c r="F179" s="4" t="s">
        <v>34</v>
      </c>
      <c r="G179" s="12">
        <v>29137.360000000001</v>
      </c>
      <c r="H179" s="6">
        <v>29137.360000000001</v>
      </c>
      <c r="I179" s="6"/>
      <c r="J179" s="6">
        <v>0</v>
      </c>
      <c r="K179" s="6"/>
      <c r="L179" s="6"/>
      <c r="M179" s="6"/>
      <c r="N179" s="6"/>
      <c r="O179" s="6"/>
      <c r="P179" s="6"/>
      <c r="Q179" s="6"/>
      <c r="R179" s="6"/>
      <c r="S179" s="6"/>
      <c r="T179" s="6"/>
    </row>
    <row r="180" spans="1:20" ht="14.4" x14ac:dyDescent="0.25">
      <c r="A180" s="4">
        <v>2018</v>
      </c>
      <c r="B180" s="4">
        <v>9</v>
      </c>
      <c r="C180" s="4" t="s">
        <v>18</v>
      </c>
      <c r="D180" s="11">
        <v>7605</v>
      </c>
      <c r="E180" s="5" t="s">
        <v>77</v>
      </c>
      <c r="F180" s="4" t="s">
        <v>34</v>
      </c>
      <c r="G180" s="12">
        <v>128232.05</v>
      </c>
      <c r="H180" s="6">
        <v>128232.05</v>
      </c>
      <c r="I180" s="6"/>
      <c r="J180" s="6">
        <v>13675.99</v>
      </c>
      <c r="K180" s="6">
        <v>13675.99</v>
      </c>
      <c r="L180" s="6"/>
      <c r="M180" s="6"/>
      <c r="N180" s="6"/>
      <c r="O180" s="6"/>
      <c r="P180" s="6"/>
      <c r="Q180" s="6"/>
      <c r="R180" s="6"/>
      <c r="S180" s="6"/>
      <c r="T180" s="6"/>
    </row>
    <row r="181" spans="1:20" ht="14.4" x14ac:dyDescent="0.25">
      <c r="A181" s="4">
        <v>2018</v>
      </c>
      <c r="B181" s="4">
        <v>9</v>
      </c>
      <c r="C181" s="4" t="s">
        <v>18</v>
      </c>
      <c r="D181" s="11">
        <v>41958</v>
      </c>
      <c r="E181" s="5" t="s">
        <v>78</v>
      </c>
      <c r="F181" s="4" t="s">
        <v>34</v>
      </c>
      <c r="G181" s="12">
        <v>366010.18</v>
      </c>
      <c r="H181" s="6">
        <v>366010.18</v>
      </c>
      <c r="I181" s="6"/>
      <c r="J181" s="6">
        <v>32269.040000000001</v>
      </c>
      <c r="K181" s="6">
        <v>32269.040000000001</v>
      </c>
      <c r="L181" s="6"/>
      <c r="M181" s="6"/>
      <c r="N181" s="6"/>
      <c r="O181" s="6"/>
      <c r="P181" s="6"/>
      <c r="Q181" s="6"/>
      <c r="R181" s="6"/>
      <c r="S181" s="6"/>
      <c r="T181" s="6"/>
    </row>
    <row r="182" spans="1:20" ht="14.4" x14ac:dyDescent="0.25">
      <c r="A182" s="4">
        <v>2018</v>
      </c>
      <c r="B182" s="4">
        <v>9</v>
      </c>
      <c r="C182" s="4" t="s">
        <v>18</v>
      </c>
      <c r="D182" s="11">
        <v>53317</v>
      </c>
      <c r="E182" s="5" t="s">
        <v>80</v>
      </c>
      <c r="F182" s="4" t="s">
        <v>34</v>
      </c>
      <c r="G182" s="12">
        <v>63409.38</v>
      </c>
      <c r="H182" s="6">
        <v>63409.38</v>
      </c>
      <c r="I182" s="6"/>
      <c r="J182" s="6">
        <v>8297.08</v>
      </c>
      <c r="K182" s="6">
        <v>8297.08</v>
      </c>
      <c r="L182" s="6"/>
      <c r="M182" s="6"/>
      <c r="N182" s="6"/>
      <c r="O182" s="6"/>
      <c r="P182" s="6"/>
      <c r="Q182" s="6"/>
      <c r="R182" s="6"/>
      <c r="S182" s="6"/>
      <c r="T182" s="6"/>
    </row>
    <row r="183" spans="1:20" ht="14.4" x14ac:dyDescent="0.25">
      <c r="A183" s="4">
        <v>2018</v>
      </c>
      <c r="B183" s="4">
        <v>10</v>
      </c>
      <c r="C183" s="4" t="s">
        <v>18</v>
      </c>
      <c r="D183" s="11">
        <v>643</v>
      </c>
      <c r="E183" s="5" t="s">
        <v>72</v>
      </c>
      <c r="F183" s="4" t="s">
        <v>23</v>
      </c>
      <c r="G183" s="12">
        <v>8634555.5299999993</v>
      </c>
      <c r="H183" s="6">
        <v>3331241.78</v>
      </c>
      <c r="I183" s="6">
        <v>5303313.75</v>
      </c>
      <c r="J183" s="6">
        <v>905105.27</v>
      </c>
      <c r="K183" s="6">
        <v>366294.08</v>
      </c>
      <c r="L183" s="6">
        <v>538811.18999999994</v>
      </c>
      <c r="M183" s="6">
        <v>5373225795.3999996</v>
      </c>
      <c r="N183" s="6">
        <v>5377642087.1499996</v>
      </c>
      <c r="O183" s="6">
        <v>5.2999999999999999E-2</v>
      </c>
      <c r="P183" s="6" t="s">
        <v>17</v>
      </c>
      <c r="Q183" s="6">
        <v>2.75E-2</v>
      </c>
      <c r="R183" s="6">
        <v>0.05</v>
      </c>
      <c r="S183" s="6"/>
      <c r="T183" s="6">
        <v>571139.86</v>
      </c>
    </row>
    <row r="184" spans="1:20" ht="14.4" x14ac:dyDescent="0.25">
      <c r="A184" s="4">
        <v>2018</v>
      </c>
      <c r="B184" s="4">
        <v>10</v>
      </c>
      <c r="C184" s="4" t="s">
        <v>18</v>
      </c>
      <c r="D184" s="11">
        <v>652</v>
      </c>
      <c r="E184" s="5" t="s">
        <v>74</v>
      </c>
      <c r="F184" s="4" t="s">
        <v>23</v>
      </c>
      <c r="G184" s="12">
        <v>5864999.2999999998</v>
      </c>
      <c r="H184" s="6">
        <v>1030820.9</v>
      </c>
      <c r="I184" s="6">
        <v>4834178.4000000004</v>
      </c>
      <c r="J184" s="6">
        <v>583047.64</v>
      </c>
      <c r="K184" s="6">
        <v>102029.06</v>
      </c>
      <c r="L184" s="6">
        <v>481018.58</v>
      </c>
      <c r="M184" s="6">
        <v>3227398066.23</v>
      </c>
      <c r="N184" s="6">
        <v>3213187611.1500001</v>
      </c>
      <c r="O184" s="6">
        <v>5.2999999999999999E-2</v>
      </c>
      <c r="P184" s="6" t="s">
        <v>75</v>
      </c>
      <c r="Q184" s="6">
        <v>1.4999999999999999E-2</v>
      </c>
      <c r="R184" s="6">
        <v>0.05</v>
      </c>
      <c r="S184" s="6"/>
      <c r="T184" s="6">
        <v>509879.7</v>
      </c>
    </row>
    <row r="185" spans="1:20" ht="14.4" x14ac:dyDescent="0.25">
      <c r="A185" s="4">
        <v>2018</v>
      </c>
      <c r="B185" s="4">
        <v>10</v>
      </c>
      <c r="C185" s="4" t="s">
        <v>18</v>
      </c>
      <c r="D185" s="11">
        <v>44321</v>
      </c>
      <c r="E185" s="5" t="s">
        <v>26</v>
      </c>
      <c r="F185" s="4" t="s">
        <v>23</v>
      </c>
      <c r="G185" s="12">
        <v>1005484.38</v>
      </c>
      <c r="H185" s="6">
        <v>737323.94</v>
      </c>
      <c r="I185" s="6">
        <v>268160.44</v>
      </c>
      <c r="J185" s="6">
        <v>63466.36</v>
      </c>
      <c r="K185" s="6">
        <v>36290.32</v>
      </c>
      <c r="L185" s="6">
        <v>27176.04</v>
      </c>
      <c r="M185" s="6">
        <v>902907174.38999999</v>
      </c>
      <c r="N185" s="6">
        <v>904566204.72000003</v>
      </c>
      <c r="O185" s="6">
        <v>5.2999999999999999E-2</v>
      </c>
      <c r="P185" s="6" t="s">
        <v>17</v>
      </c>
      <c r="Q185" s="6">
        <v>2.75E-2</v>
      </c>
      <c r="R185" s="6">
        <v>1.4999999999999999E-2</v>
      </c>
      <c r="S185" s="6"/>
      <c r="T185" s="6">
        <v>28806.61</v>
      </c>
    </row>
    <row r="186" spans="1:20" ht="14.4" x14ac:dyDescent="0.25">
      <c r="A186" s="4">
        <v>2018</v>
      </c>
      <c r="B186" s="4">
        <v>10</v>
      </c>
      <c r="C186" s="4" t="s">
        <v>18</v>
      </c>
      <c r="D186" s="11">
        <v>999</v>
      </c>
      <c r="E186" s="5" t="s">
        <v>117</v>
      </c>
      <c r="F186" s="4" t="s">
        <v>34</v>
      </c>
      <c r="G186" s="12">
        <v>29137.360000000001</v>
      </c>
      <c r="H186" s="6">
        <v>29137.360000000001</v>
      </c>
      <c r="I186" s="6"/>
      <c r="J186" s="6">
        <v>0</v>
      </c>
      <c r="K186" s="6"/>
      <c r="L186" s="6"/>
      <c r="M186" s="6"/>
      <c r="N186" s="6"/>
      <c r="O186" s="6"/>
      <c r="P186" s="6"/>
      <c r="Q186" s="6"/>
      <c r="R186" s="6"/>
      <c r="S186" s="6"/>
      <c r="T186" s="6"/>
    </row>
    <row r="187" spans="1:20" ht="14.4" x14ac:dyDescent="0.25">
      <c r="A187" s="4">
        <v>2018</v>
      </c>
      <c r="B187" s="4">
        <v>10</v>
      </c>
      <c r="C187" s="4" t="s">
        <v>18</v>
      </c>
      <c r="D187" s="11">
        <v>7605</v>
      </c>
      <c r="E187" s="5" t="s">
        <v>77</v>
      </c>
      <c r="F187" s="4" t="s">
        <v>34</v>
      </c>
      <c r="G187" s="12">
        <v>143212.59</v>
      </c>
      <c r="H187" s="6">
        <v>143212.59</v>
      </c>
      <c r="I187" s="6"/>
      <c r="J187" s="6">
        <v>14980.55</v>
      </c>
      <c r="K187" s="6">
        <v>14980.55</v>
      </c>
      <c r="L187" s="6"/>
      <c r="M187" s="6"/>
      <c r="N187" s="6"/>
      <c r="O187" s="6"/>
      <c r="P187" s="6"/>
      <c r="Q187" s="6"/>
      <c r="R187" s="6"/>
      <c r="S187" s="6"/>
      <c r="T187" s="6"/>
    </row>
    <row r="188" spans="1:20" ht="14.4" x14ac:dyDescent="0.25">
      <c r="A188" s="4">
        <v>2018</v>
      </c>
      <c r="B188" s="4">
        <v>10</v>
      </c>
      <c r="C188" s="4" t="s">
        <v>18</v>
      </c>
      <c r="D188" s="11">
        <v>41958</v>
      </c>
      <c r="E188" s="5" t="s">
        <v>78</v>
      </c>
      <c r="F188" s="4" t="s">
        <v>34</v>
      </c>
      <c r="G188" s="12">
        <v>398279.22</v>
      </c>
      <c r="H188" s="6">
        <v>398279.22</v>
      </c>
      <c r="I188" s="6"/>
      <c r="J188" s="6">
        <v>32269.040000000001</v>
      </c>
      <c r="K188" s="6">
        <v>32269.040000000001</v>
      </c>
      <c r="L188" s="6"/>
      <c r="M188" s="6"/>
      <c r="N188" s="6"/>
      <c r="O188" s="6"/>
      <c r="P188" s="6"/>
      <c r="Q188" s="6"/>
      <c r="R188" s="6"/>
      <c r="S188" s="6"/>
      <c r="T188" s="6"/>
    </row>
    <row r="189" spans="1:20" ht="14.4" x14ac:dyDescent="0.25">
      <c r="A189" s="4">
        <v>2018</v>
      </c>
      <c r="B189" s="4">
        <v>10</v>
      </c>
      <c r="C189" s="4" t="s">
        <v>18</v>
      </c>
      <c r="D189" s="11">
        <v>53317</v>
      </c>
      <c r="E189" s="5" t="s">
        <v>80</v>
      </c>
      <c r="F189" s="4" t="s">
        <v>34</v>
      </c>
      <c r="G189" s="12">
        <v>72268.78</v>
      </c>
      <c r="H189" s="6">
        <v>72268.78</v>
      </c>
      <c r="I189" s="6"/>
      <c r="J189" s="6">
        <v>8859.41</v>
      </c>
      <c r="K189" s="6">
        <v>8859.41</v>
      </c>
      <c r="L189" s="6"/>
      <c r="M189" s="6"/>
      <c r="N189" s="6"/>
      <c r="O189" s="6"/>
      <c r="P189" s="6"/>
      <c r="Q189" s="6"/>
      <c r="R189" s="6"/>
      <c r="S189" s="6"/>
      <c r="T189" s="6"/>
    </row>
    <row r="190" spans="1:20" ht="14.4" x14ac:dyDescent="0.25">
      <c r="A190" s="4">
        <v>2018</v>
      </c>
      <c r="B190" s="4">
        <v>11</v>
      </c>
      <c r="C190" s="4" t="s">
        <v>18</v>
      </c>
      <c r="D190" s="11">
        <v>643</v>
      </c>
      <c r="E190" s="5" t="s">
        <v>72</v>
      </c>
      <c r="F190" s="4" t="s">
        <v>23</v>
      </c>
      <c r="G190" s="12">
        <v>9489070.3100000005</v>
      </c>
      <c r="H190" s="6">
        <v>3643848.76</v>
      </c>
      <c r="I190" s="6">
        <v>5845221.5499999998</v>
      </c>
      <c r="J190" s="6">
        <v>854514.78</v>
      </c>
      <c r="K190" s="6">
        <v>312606.98</v>
      </c>
      <c r="L190" s="6">
        <v>541907.80000000005</v>
      </c>
      <c r="M190" s="6">
        <v>5379600590.25</v>
      </c>
      <c r="N190" s="6">
        <v>5433053772.8100004</v>
      </c>
      <c r="O190" s="6">
        <v>5.2999999999999999E-2</v>
      </c>
      <c r="P190" s="6" t="s">
        <v>17</v>
      </c>
      <c r="Q190" s="6">
        <v>2.75E-2</v>
      </c>
      <c r="R190" s="6">
        <v>0.05</v>
      </c>
      <c r="S190" s="6"/>
      <c r="T190" s="6">
        <v>574422.26</v>
      </c>
    </row>
    <row r="191" spans="1:20" ht="14.4" x14ac:dyDescent="0.25">
      <c r="A191" s="4">
        <v>2018</v>
      </c>
      <c r="B191" s="4">
        <v>11</v>
      </c>
      <c r="C191" s="4" t="s">
        <v>18</v>
      </c>
      <c r="D191" s="11">
        <v>652</v>
      </c>
      <c r="E191" s="5" t="s">
        <v>74</v>
      </c>
      <c r="F191" s="4" t="s">
        <v>23</v>
      </c>
      <c r="G191" s="12">
        <v>6445475.3099999996</v>
      </c>
      <c r="H191" s="6">
        <v>1130735.42</v>
      </c>
      <c r="I191" s="6">
        <v>5314739.8899999997</v>
      </c>
      <c r="J191" s="6">
        <v>580476</v>
      </c>
      <c r="K191" s="6">
        <v>99914.52</v>
      </c>
      <c r="L191" s="6">
        <v>480561.48</v>
      </c>
      <c r="M191" s="6">
        <v>3211037158.3299999</v>
      </c>
      <c r="N191" s="6">
        <v>3223428177.0500002</v>
      </c>
      <c r="O191" s="6">
        <v>5.2999999999999999E-2</v>
      </c>
      <c r="P191" s="6" t="s">
        <v>75</v>
      </c>
      <c r="Q191" s="6">
        <v>1.4999999999999999E-2</v>
      </c>
      <c r="R191" s="6">
        <v>0.05</v>
      </c>
      <c r="S191" s="6"/>
      <c r="T191" s="6">
        <v>509395.17</v>
      </c>
    </row>
    <row r="192" spans="1:20" ht="14.4" x14ac:dyDescent="0.25">
      <c r="A192" s="4">
        <v>2018</v>
      </c>
      <c r="B192" s="4">
        <v>11</v>
      </c>
      <c r="C192" s="4" t="s">
        <v>18</v>
      </c>
      <c r="D192" s="11">
        <v>44321</v>
      </c>
      <c r="E192" s="5" t="s">
        <v>26</v>
      </c>
      <c r="F192" s="4" t="s">
        <v>23</v>
      </c>
      <c r="G192" s="12">
        <v>1067587.6000000001</v>
      </c>
      <c r="H192" s="6">
        <v>772157.42</v>
      </c>
      <c r="I192" s="6">
        <v>295430.18</v>
      </c>
      <c r="J192" s="6">
        <v>62103.22</v>
      </c>
      <c r="K192" s="6">
        <v>34833.480000000003</v>
      </c>
      <c r="L192" s="6">
        <v>27269.74</v>
      </c>
      <c r="M192" s="6">
        <v>904250737.49000001</v>
      </c>
      <c r="N192" s="6">
        <v>909454538.70000005</v>
      </c>
      <c r="O192" s="6">
        <v>5.2999999999999999E-2</v>
      </c>
      <c r="P192" s="6" t="s">
        <v>17</v>
      </c>
      <c r="Q192" s="6">
        <v>2.75E-2</v>
      </c>
      <c r="R192" s="6">
        <v>1.4999999999999999E-2</v>
      </c>
      <c r="S192" s="6"/>
      <c r="T192" s="6">
        <v>28905.93</v>
      </c>
    </row>
    <row r="193" spans="1:20" ht="14.4" x14ac:dyDescent="0.25">
      <c r="A193" s="4">
        <v>2018</v>
      </c>
      <c r="B193" s="4">
        <v>11</v>
      </c>
      <c r="C193" s="4" t="s">
        <v>18</v>
      </c>
      <c r="D193" s="11">
        <v>999</v>
      </c>
      <c r="E193" s="5" t="s">
        <v>117</v>
      </c>
      <c r="F193" s="4" t="s">
        <v>34</v>
      </c>
      <c r="G193" s="12">
        <v>39201.660000000003</v>
      </c>
      <c r="H193" s="6">
        <v>39201.660000000003</v>
      </c>
      <c r="I193" s="6"/>
      <c r="J193" s="6">
        <v>10064.299999999999</v>
      </c>
      <c r="K193" s="6">
        <v>10064.299999999999</v>
      </c>
      <c r="L193" s="6"/>
      <c r="M193" s="6"/>
      <c r="N193" s="6"/>
      <c r="O193" s="6"/>
      <c r="P193" s="6"/>
      <c r="Q193" s="6"/>
      <c r="R193" s="6"/>
      <c r="S193" s="6"/>
      <c r="T193" s="6"/>
    </row>
    <row r="194" spans="1:20" ht="14.4" x14ac:dyDescent="0.25">
      <c r="A194" s="4">
        <v>2018</v>
      </c>
      <c r="B194" s="4">
        <v>11</v>
      </c>
      <c r="C194" s="4" t="s">
        <v>18</v>
      </c>
      <c r="D194" s="11">
        <v>7605</v>
      </c>
      <c r="E194" s="5" t="s">
        <v>77</v>
      </c>
      <c r="F194" s="4" t="s">
        <v>34</v>
      </c>
      <c r="G194" s="12">
        <v>156907.71</v>
      </c>
      <c r="H194" s="6">
        <v>156907.71</v>
      </c>
      <c r="I194" s="6"/>
      <c r="J194" s="6">
        <v>13695.11</v>
      </c>
      <c r="K194" s="6">
        <v>13695.11</v>
      </c>
      <c r="L194" s="6"/>
      <c r="M194" s="6"/>
      <c r="N194" s="6"/>
      <c r="O194" s="6"/>
      <c r="P194" s="6"/>
      <c r="Q194" s="6"/>
      <c r="R194" s="6"/>
      <c r="S194" s="6"/>
      <c r="T194" s="6"/>
    </row>
    <row r="195" spans="1:20" ht="14.4" x14ac:dyDescent="0.25">
      <c r="A195" s="4">
        <v>2018</v>
      </c>
      <c r="B195" s="4">
        <v>11</v>
      </c>
      <c r="C195" s="4" t="s">
        <v>18</v>
      </c>
      <c r="D195" s="11">
        <v>41958</v>
      </c>
      <c r="E195" s="5" t="s">
        <v>78</v>
      </c>
      <c r="F195" s="4" t="s">
        <v>34</v>
      </c>
      <c r="G195" s="12">
        <v>430548.25</v>
      </c>
      <c r="H195" s="6">
        <v>430548.25</v>
      </c>
      <c r="I195" s="6"/>
      <c r="J195" s="6">
        <v>32269.040000000001</v>
      </c>
      <c r="K195" s="6">
        <v>32269.040000000001</v>
      </c>
      <c r="L195" s="6"/>
      <c r="M195" s="6"/>
      <c r="N195" s="6"/>
      <c r="O195" s="6"/>
      <c r="P195" s="6"/>
      <c r="Q195" s="6"/>
      <c r="R195" s="6"/>
      <c r="S195" s="6"/>
      <c r="T195" s="6"/>
    </row>
    <row r="196" spans="1:20" ht="14.4" x14ac:dyDescent="0.25">
      <c r="A196" s="4">
        <v>2018</v>
      </c>
      <c r="B196" s="4">
        <v>11</v>
      </c>
      <c r="C196" s="4" t="s">
        <v>18</v>
      </c>
      <c r="D196" s="11">
        <v>53317</v>
      </c>
      <c r="E196" s="5" t="s">
        <v>80</v>
      </c>
      <c r="F196" s="4" t="s">
        <v>34</v>
      </c>
      <c r="G196" s="12">
        <v>80617.320000000007</v>
      </c>
      <c r="H196" s="6">
        <v>80617.320000000007</v>
      </c>
      <c r="I196" s="6"/>
      <c r="J196" s="6">
        <v>8348.5400000000009</v>
      </c>
      <c r="K196" s="6">
        <v>8348.5400000000009</v>
      </c>
      <c r="L196" s="6"/>
      <c r="M196" s="6"/>
      <c r="N196" s="6"/>
      <c r="O196" s="6"/>
      <c r="P196" s="6"/>
      <c r="Q196" s="6"/>
      <c r="R196" s="6"/>
      <c r="S196" s="6"/>
      <c r="T196" s="6"/>
    </row>
    <row r="197" spans="1:20" ht="14.4" x14ac:dyDescent="0.25">
      <c r="A197" s="4">
        <v>2018</v>
      </c>
      <c r="B197" s="4">
        <v>12</v>
      </c>
      <c r="C197" s="4" t="s">
        <v>18</v>
      </c>
      <c r="D197" s="11">
        <v>643</v>
      </c>
      <c r="E197" s="5" t="s">
        <v>72</v>
      </c>
      <c r="F197" s="4" t="s">
        <v>23</v>
      </c>
      <c r="G197" s="12">
        <v>10343854.67</v>
      </c>
      <c r="H197" s="6">
        <v>3952118.07</v>
      </c>
      <c r="I197" s="6">
        <v>6391736.5999999996</v>
      </c>
      <c r="J197" s="6">
        <v>854784.35</v>
      </c>
      <c r="K197" s="6">
        <v>308269.3</v>
      </c>
      <c r="L197" s="6">
        <v>546515.05000000005</v>
      </c>
      <c r="M197" s="6">
        <v>5437897710.2700005</v>
      </c>
      <c r="N197" s="6">
        <v>5466684997.46</v>
      </c>
      <c r="O197" s="6">
        <v>5.2999999999999999E-2</v>
      </c>
      <c r="P197" s="6" t="s">
        <v>17</v>
      </c>
      <c r="Q197" s="6">
        <v>2.75E-2</v>
      </c>
      <c r="R197" s="6">
        <v>0.05</v>
      </c>
      <c r="S197" s="6"/>
      <c r="T197" s="6">
        <v>579305.96</v>
      </c>
    </row>
    <row r="198" spans="1:20" ht="14.4" x14ac:dyDescent="0.25">
      <c r="A198" s="4">
        <v>2018</v>
      </c>
      <c r="B198" s="4">
        <v>12</v>
      </c>
      <c r="C198" s="4" t="s">
        <v>18</v>
      </c>
      <c r="D198" s="11">
        <v>652</v>
      </c>
      <c r="E198" s="5" t="s">
        <v>74</v>
      </c>
      <c r="F198" s="4" t="s">
        <v>23</v>
      </c>
      <c r="G198" s="12">
        <v>7023854.8099999996</v>
      </c>
      <c r="H198" s="6">
        <v>1227426.8500000001</v>
      </c>
      <c r="I198" s="6">
        <v>5796427.96</v>
      </c>
      <c r="J198" s="6">
        <v>578379.5</v>
      </c>
      <c r="K198" s="6">
        <v>96691.43</v>
      </c>
      <c r="L198" s="6">
        <v>481688.07</v>
      </c>
      <c r="M198" s="6">
        <v>3227828089.6500001</v>
      </c>
      <c r="N198" s="6">
        <v>3221721708.7800002</v>
      </c>
      <c r="O198" s="6">
        <v>5.2999999999999999E-2</v>
      </c>
      <c r="P198" s="6" t="s">
        <v>75</v>
      </c>
      <c r="Q198" s="6">
        <v>1.4999999999999999E-2</v>
      </c>
      <c r="R198" s="6">
        <v>0.05</v>
      </c>
      <c r="S198" s="6"/>
      <c r="T198" s="6">
        <v>510589.36</v>
      </c>
    </row>
    <row r="199" spans="1:20" ht="14.4" x14ac:dyDescent="0.25">
      <c r="A199" s="4">
        <v>2018</v>
      </c>
      <c r="B199" s="4">
        <v>12</v>
      </c>
      <c r="C199" s="4" t="s">
        <v>18</v>
      </c>
      <c r="D199" s="11">
        <v>44321</v>
      </c>
      <c r="E199" s="5" t="s">
        <v>26</v>
      </c>
      <c r="F199" s="4" t="s">
        <v>23</v>
      </c>
      <c r="G199" s="12">
        <v>1128761.8400000001</v>
      </c>
      <c r="H199" s="6">
        <v>805867.25</v>
      </c>
      <c r="I199" s="6">
        <v>322894.59000000003</v>
      </c>
      <c r="J199" s="6">
        <v>61174.239999999998</v>
      </c>
      <c r="K199" s="6">
        <v>33709.83</v>
      </c>
      <c r="L199" s="6">
        <v>27464.41</v>
      </c>
      <c r="M199" s="6">
        <v>913557756.10000002</v>
      </c>
      <c r="N199" s="6">
        <v>913094774.87</v>
      </c>
      <c r="O199" s="6">
        <v>5.2999999999999999E-2</v>
      </c>
      <c r="P199" s="6" t="s">
        <v>17</v>
      </c>
      <c r="Q199" s="6">
        <v>2.75E-2</v>
      </c>
      <c r="R199" s="6">
        <v>1.4999999999999999E-2</v>
      </c>
      <c r="S199" s="6"/>
      <c r="T199" s="6">
        <v>29112.27</v>
      </c>
    </row>
    <row r="200" spans="1:20" ht="14.4" x14ac:dyDescent="0.25">
      <c r="A200" s="4">
        <v>2018</v>
      </c>
      <c r="B200" s="4">
        <v>12</v>
      </c>
      <c r="C200" s="4" t="s">
        <v>18</v>
      </c>
      <c r="D200" s="11">
        <v>999</v>
      </c>
      <c r="E200" s="5" t="s">
        <v>117</v>
      </c>
      <c r="F200" s="4" t="s">
        <v>34</v>
      </c>
      <c r="G200" s="12">
        <v>39201.660000000003</v>
      </c>
      <c r="H200" s="6">
        <v>39201.660000000003</v>
      </c>
      <c r="I200" s="6"/>
      <c r="J200" s="6">
        <v>0</v>
      </c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ht="14.4" x14ac:dyDescent="0.25">
      <c r="A201" s="4">
        <v>2018</v>
      </c>
      <c r="B201" s="4">
        <v>12</v>
      </c>
      <c r="C201" s="4" t="s">
        <v>18</v>
      </c>
      <c r="D201" s="11">
        <v>7605</v>
      </c>
      <c r="E201" s="5" t="s">
        <v>77</v>
      </c>
      <c r="F201" s="4" t="s">
        <v>34</v>
      </c>
      <c r="G201" s="12">
        <v>170125.71</v>
      </c>
      <c r="H201" s="6">
        <v>170125.71</v>
      </c>
      <c r="I201" s="6"/>
      <c r="J201" s="6">
        <v>13218</v>
      </c>
      <c r="K201" s="6">
        <v>13218</v>
      </c>
      <c r="L201" s="6"/>
      <c r="M201" s="6"/>
      <c r="N201" s="6"/>
      <c r="O201" s="6"/>
      <c r="P201" s="6"/>
      <c r="Q201" s="6"/>
      <c r="R201" s="6"/>
      <c r="S201" s="6"/>
      <c r="T201" s="6"/>
    </row>
    <row r="202" spans="1:20" ht="14.4" x14ac:dyDescent="0.25">
      <c r="A202" s="4">
        <v>2018</v>
      </c>
      <c r="B202" s="4">
        <v>12</v>
      </c>
      <c r="C202" s="4" t="s">
        <v>18</v>
      </c>
      <c r="D202" s="11">
        <v>41958</v>
      </c>
      <c r="E202" s="5" t="s">
        <v>78</v>
      </c>
      <c r="F202" s="4" t="s">
        <v>34</v>
      </c>
      <c r="G202" s="12">
        <v>486328.79</v>
      </c>
      <c r="H202" s="6">
        <v>486328.79</v>
      </c>
      <c r="I202" s="6"/>
      <c r="J202" s="6">
        <v>55780.54</v>
      </c>
      <c r="K202" s="6">
        <v>55780.54</v>
      </c>
      <c r="L202" s="6"/>
      <c r="M202" s="6"/>
      <c r="N202" s="6"/>
      <c r="O202" s="6"/>
      <c r="P202" s="6"/>
      <c r="Q202" s="6"/>
      <c r="R202" s="6"/>
      <c r="S202" s="6"/>
      <c r="T202" s="6"/>
    </row>
    <row r="203" spans="1:20" ht="14.4" x14ac:dyDescent="0.25">
      <c r="A203" s="4">
        <v>2018</v>
      </c>
      <c r="B203" s="4">
        <v>12</v>
      </c>
      <c r="C203" s="4" t="s">
        <v>18</v>
      </c>
      <c r="D203" s="11">
        <v>53317</v>
      </c>
      <c r="E203" s="5" t="s">
        <v>80</v>
      </c>
      <c r="F203" s="4" t="s">
        <v>34</v>
      </c>
      <c r="G203" s="12">
        <v>88601.59</v>
      </c>
      <c r="H203" s="6">
        <v>88601.59</v>
      </c>
      <c r="I203" s="6"/>
      <c r="J203" s="6">
        <v>7984.27</v>
      </c>
      <c r="K203" s="6">
        <v>7984.27</v>
      </c>
      <c r="L203" s="6"/>
      <c r="M203" s="6"/>
      <c r="N203" s="6"/>
      <c r="O203" s="6"/>
      <c r="P203" s="6"/>
      <c r="Q203" s="6"/>
      <c r="R203" s="6"/>
      <c r="S203" s="6"/>
      <c r="T203" s="6"/>
    </row>
    <row r="204" spans="1:20" ht="14.4" x14ac:dyDescent="0.25">
      <c r="A204" s="4">
        <v>2019</v>
      </c>
      <c r="B204" s="4">
        <v>1</v>
      </c>
      <c r="C204" s="4" t="s">
        <v>18</v>
      </c>
      <c r="D204" s="11">
        <v>643</v>
      </c>
      <c r="E204" s="5" t="s">
        <v>72</v>
      </c>
      <c r="F204" s="4" t="s">
        <v>23</v>
      </c>
      <c r="G204" s="12">
        <v>900228.27</v>
      </c>
      <c r="H204" s="6">
        <v>349889.57</v>
      </c>
      <c r="I204" s="6">
        <v>550338.69999999995</v>
      </c>
      <c r="J204" s="6">
        <v>900228.27</v>
      </c>
      <c r="K204" s="6">
        <v>349889.57</v>
      </c>
      <c r="L204" s="6">
        <v>550338.69999999995</v>
      </c>
      <c r="M204" s="6">
        <v>5469979378.2399998</v>
      </c>
      <c r="N204" s="6">
        <v>5510896307.9799995</v>
      </c>
      <c r="O204" s="6">
        <v>5.2999999999999999E-2</v>
      </c>
      <c r="P204" s="6" t="s">
        <v>17</v>
      </c>
      <c r="Q204" s="6">
        <v>2.75E-2</v>
      </c>
      <c r="R204" s="6">
        <v>0.05</v>
      </c>
      <c r="S204" s="6"/>
      <c r="T204" s="6">
        <v>583359.02</v>
      </c>
    </row>
    <row r="205" spans="1:20" ht="14.4" x14ac:dyDescent="0.25">
      <c r="A205" s="4">
        <v>2019</v>
      </c>
      <c r="B205" s="4">
        <v>1</v>
      </c>
      <c r="C205" s="4" t="s">
        <v>18</v>
      </c>
      <c r="D205" s="11">
        <v>652</v>
      </c>
      <c r="E205" s="5" t="s">
        <v>74</v>
      </c>
      <c r="F205" s="4" t="s">
        <v>23</v>
      </c>
      <c r="G205" s="12">
        <v>428009.56</v>
      </c>
      <c r="H205" s="6">
        <v>103477.9</v>
      </c>
      <c r="I205" s="6">
        <v>324531.65999999997</v>
      </c>
      <c r="J205" s="6">
        <v>428009.56</v>
      </c>
      <c r="K205" s="6">
        <v>103477.9</v>
      </c>
      <c r="L205" s="6">
        <v>324531.65999999997</v>
      </c>
      <c r="M205" s="6">
        <v>3229476907.8200002</v>
      </c>
      <c r="N205" s="6">
        <v>3245884233.6399999</v>
      </c>
      <c r="O205" s="6">
        <v>5.2999999999999999E-2</v>
      </c>
      <c r="P205" s="6" t="s">
        <v>17</v>
      </c>
      <c r="Q205" s="6">
        <v>2.75E-2</v>
      </c>
      <c r="R205" s="6">
        <v>0.05</v>
      </c>
      <c r="S205" s="6"/>
      <c r="T205" s="6">
        <v>344003.56</v>
      </c>
    </row>
    <row r="206" spans="1:20" ht="14.4" x14ac:dyDescent="0.25">
      <c r="A206" s="4">
        <v>2019</v>
      </c>
      <c r="B206" s="4">
        <v>1</v>
      </c>
      <c r="C206" s="4" t="s">
        <v>18</v>
      </c>
      <c r="D206" s="11">
        <v>44321</v>
      </c>
      <c r="E206" s="5" t="s">
        <v>26</v>
      </c>
      <c r="F206" s="4" t="s">
        <v>23</v>
      </c>
      <c r="G206" s="12">
        <v>64206.85</v>
      </c>
      <c r="H206" s="6">
        <v>36655.120000000003</v>
      </c>
      <c r="I206" s="6">
        <v>27551.73</v>
      </c>
      <c r="J206" s="6">
        <v>64206.85</v>
      </c>
      <c r="K206" s="6">
        <v>36655.120000000003</v>
      </c>
      <c r="L206" s="6">
        <v>27551.73</v>
      </c>
      <c r="M206" s="6">
        <v>913453091.34000003</v>
      </c>
      <c r="N206" s="6">
        <v>919006806.88</v>
      </c>
      <c r="O206" s="6">
        <v>5.2999999999999999E-2</v>
      </c>
      <c r="P206" s="6" t="s">
        <v>17</v>
      </c>
      <c r="Q206" s="6">
        <v>2.75E-2</v>
      </c>
      <c r="R206" s="6">
        <v>1.4999999999999999E-2</v>
      </c>
      <c r="S206" s="6"/>
      <c r="T206" s="6">
        <v>29204.83</v>
      </c>
    </row>
    <row r="207" spans="1:20" ht="14.4" x14ac:dyDescent="0.25">
      <c r="A207" s="4">
        <v>2019</v>
      </c>
      <c r="B207" s="4">
        <v>1</v>
      </c>
      <c r="C207" s="4" t="s">
        <v>18</v>
      </c>
      <c r="D207" s="11">
        <v>650</v>
      </c>
      <c r="E207" s="5" t="s">
        <v>20</v>
      </c>
      <c r="F207" s="4" t="s">
        <v>34</v>
      </c>
      <c r="G207" s="12">
        <v>56380.44</v>
      </c>
      <c r="H207" s="6">
        <v>56380.44</v>
      </c>
      <c r="I207" s="6"/>
      <c r="J207" s="6">
        <v>56380.44</v>
      </c>
      <c r="K207" s="6">
        <v>56380.44</v>
      </c>
      <c r="L207" s="6"/>
      <c r="M207" s="6"/>
      <c r="N207" s="6"/>
      <c r="O207" s="6"/>
      <c r="P207" s="6"/>
      <c r="Q207" s="6"/>
      <c r="R207" s="6"/>
      <c r="S207" s="6"/>
      <c r="T207" s="6"/>
    </row>
    <row r="208" spans="1:20" ht="14.4" x14ac:dyDescent="0.25">
      <c r="A208" s="4">
        <v>2019</v>
      </c>
      <c r="B208" s="4">
        <v>1</v>
      </c>
      <c r="C208" s="4" t="s">
        <v>18</v>
      </c>
      <c r="D208" s="11">
        <v>999</v>
      </c>
      <c r="E208" s="5" t="s">
        <v>117</v>
      </c>
      <c r="F208" s="4" t="s">
        <v>34</v>
      </c>
      <c r="G208" s="12">
        <v>0</v>
      </c>
      <c r="H208" s="6"/>
      <c r="I208" s="6"/>
      <c r="J208" s="6">
        <v>0</v>
      </c>
      <c r="K208" s="6"/>
      <c r="L208" s="6"/>
      <c r="M208" s="6"/>
      <c r="N208" s="6"/>
      <c r="O208" s="6"/>
      <c r="P208" s="6"/>
      <c r="Q208" s="6"/>
      <c r="R208" s="6"/>
      <c r="S208" s="6"/>
      <c r="T208" s="6"/>
    </row>
    <row r="209" spans="1:20" ht="14.4" x14ac:dyDescent="0.25">
      <c r="A209" s="4">
        <v>2019</v>
      </c>
      <c r="B209" s="4">
        <v>1</v>
      </c>
      <c r="C209" s="4" t="s">
        <v>18</v>
      </c>
      <c r="D209" s="11">
        <v>7605</v>
      </c>
      <c r="E209" s="5" t="s">
        <v>77</v>
      </c>
      <c r="F209" s="4" t="s">
        <v>34</v>
      </c>
      <c r="G209" s="12">
        <v>14937.31</v>
      </c>
      <c r="H209" s="6">
        <v>14937.31</v>
      </c>
      <c r="I209" s="6"/>
      <c r="J209" s="6">
        <v>14937.31</v>
      </c>
      <c r="K209" s="6">
        <v>14937.31</v>
      </c>
      <c r="L209" s="6"/>
      <c r="M209" s="6"/>
      <c r="N209" s="6"/>
      <c r="O209" s="6"/>
      <c r="P209" s="6"/>
      <c r="Q209" s="6"/>
      <c r="R209" s="6"/>
      <c r="S209" s="6"/>
      <c r="T209" s="6"/>
    </row>
    <row r="210" spans="1:20" ht="14.4" x14ac:dyDescent="0.25">
      <c r="A210" s="4">
        <v>2019</v>
      </c>
      <c r="B210" s="4">
        <v>1</v>
      </c>
      <c r="C210" s="4" t="s">
        <v>18</v>
      </c>
      <c r="D210" s="11">
        <v>41958</v>
      </c>
      <c r="E210" s="5" t="s">
        <v>78</v>
      </c>
      <c r="F210" s="4" t="s">
        <v>34</v>
      </c>
      <c r="G210" s="12">
        <v>32269.040000000001</v>
      </c>
      <c r="H210" s="6">
        <v>32269.040000000001</v>
      </c>
      <c r="I210" s="6"/>
      <c r="J210" s="6">
        <v>32269.040000000001</v>
      </c>
      <c r="K210" s="6">
        <v>32269.040000000001</v>
      </c>
      <c r="L210" s="6"/>
      <c r="M210" s="6"/>
      <c r="N210" s="6"/>
      <c r="O210" s="6"/>
      <c r="P210" s="6"/>
      <c r="Q210" s="6"/>
      <c r="R210" s="6"/>
      <c r="S210" s="6"/>
      <c r="T210" s="6"/>
    </row>
    <row r="211" spans="1:20" ht="14.4" x14ac:dyDescent="0.25">
      <c r="A211" s="4">
        <v>2019</v>
      </c>
      <c r="B211" s="4">
        <v>1</v>
      </c>
      <c r="C211" s="4" t="s">
        <v>18</v>
      </c>
      <c r="D211" s="11">
        <v>53317</v>
      </c>
      <c r="E211" s="5" t="s">
        <v>80</v>
      </c>
      <c r="F211" s="4" t="s">
        <v>34</v>
      </c>
      <c r="G211" s="12">
        <v>8776.7099999999991</v>
      </c>
      <c r="H211" s="6">
        <v>8776.7099999999991</v>
      </c>
      <c r="I211" s="6"/>
      <c r="J211" s="6">
        <v>8776.7099999999991</v>
      </c>
      <c r="K211" s="6">
        <v>8776.7099999999991</v>
      </c>
      <c r="L211" s="6"/>
      <c r="M211" s="6"/>
      <c r="N211" s="6"/>
      <c r="O211" s="6"/>
      <c r="P211" s="6"/>
      <c r="Q211" s="6"/>
      <c r="R211" s="6"/>
      <c r="S211" s="6"/>
      <c r="T211" s="6"/>
    </row>
    <row r="212" spans="1:20" ht="14.4" x14ac:dyDescent="0.25">
      <c r="A212" s="4">
        <v>2019</v>
      </c>
      <c r="B212" s="4">
        <v>1</v>
      </c>
      <c r="C212" s="4" t="s">
        <v>18</v>
      </c>
      <c r="D212" s="11">
        <v>57438</v>
      </c>
      <c r="E212" s="5" t="s">
        <v>259</v>
      </c>
      <c r="F212" s="4" t="s">
        <v>34</v>
      </c>
      <c r="G212" s="12">
        <v>217940.5</v>
      </c>
      <c r="H212" s="6">
        <v>217940.5</v>
      </c>
      <c r="I212" s="6"/>
      <c r="J212" s="6">
        <v>217940.5</v>
      </c>
      <c r="K212" s="6">
        <v>217940.5</v>
      </c>
      <c r="L212" s="6"/>
      <c r="M212" s="6"/>
      <c r="N212" s="6"/>
      <c r="O212" s="6"/>
      <c r="P212" s="6"/>
      <c r="Q212" s="6"/>
      <c r="R212" s="6"/>
      <c r="S212" s="6"/>
      <c r="T212" s="6"/>
    </row>
    <row r="213" spans="1:20" ht="14.4" x14ac:dyDescent="0.25">
      <c r="A213" s="4">
        <v>2019</v>
      </c>
      <c r="B213" s="4">
        <v>2</v>
      </c>
      <c r="C213" s="4" t="s">
        <v>18</v>
      </c>
      <c r="D213" s="11">
        <v>643</v>
      </c>
      <c r="E213" s="5" t="s">
        <v>72</v>
      </c>
      <c r="F213" s="4" t="s">
        <v>23</v>
      </c>
      <c r="G213" s="12">
        <v>1808215.04</v>
      </c>
      <c r="H213" s="6">
        <v>699779.13</v>
      </c>
      <c r="I213" s="6">
        <v>1108435.9099999999</v>
      </c>
      <c r="J213" s="6">
        <v>907986.78</v>
      </c>
      <c r="K213" s="6">
        <v>349889.57</v>
      </c>
      <c r="L213" s="6">
        <v>558097.21</v>
      </c>
      <c r="M213" s="6">
        <v>5531369854.1099997</v>
      </c>
      <c r="N213" s="6">
        <v>5604310961.46</v>
      </c>
      <c r="O213" s="6">
        <v>5.2999999999999999E-2</v>
      </c>
      <c r="P213" s="6" t="s">
        <v>17</v>
      </c>
      <c r="Q213" s="6">
        <v>2.75E-2</v>
      </c>
      <c r="R213" s="6">
        <v>0.05</v>
      </c>
      <c r="S213" s="6"/>
      <c r="T213" s="6">
        <v>591583.04</v>
      </c>
    </row>
    <row r="214" spans="1:20" ht="14.4" x14ac:dyDescent="0.25">
      <c r="A214" s="4">
        <v>2019</v>
      </c>
      <c r="B214" s="4">
        <v>2</v>
      </c>
      <c r="C214" s="4" t="s">
        <v>18</v>
      </c>
      <c r="D214" s="11">
        <v>652</v>
      </c>
      <c r="E214" s="5" t="s">
        <v>74</v>
      </c>
      <c r="F214" s="4" t="s">
        <v>23</v>
      </c>
      <c r="G214" s="12">
        <v>858463.75</v>
      </c>
      <c r="H214" s="6">
        <v>206955.79</v>
      </c>
      <c r="I214" s="6">
        <v>651507.96</v>
      </c>
      <c r="J214" s="6">
        <v>430454.2</v>
      </c>
      <c r="K214" s="6">
        <v>103477.9</v>
      </c>
      <c r="L214" s="6">
        <v>326976.3</v>
      </c>
      <c r="M214" s="6">
        <v>3247963484.3899999</v>
      </c>
      <c r="N214" s="6">
        <v>3276175405.1199999</v>
      </c>
      <c r="O214" s="6">
        <v>5.2999999999999999E-2</v>
      </c>
      <c r="P214" s="6" t="s">
        <v>17</v>
      </c>
      <c r="Q214" s="6">
        <v>2.75E-2</v>
      </c>
      <c r="R214" s="6">
        <v>0.05</v>
      </c>
      <c r="S214" s="6"/>
      <c r="T214" s="6">
        <v>346594.88</v>
      </c>
    </row>
    <row r="215" spans="1:20" ht="14.4" x14ac:dyDescent="0.25">
      <c r="A215" s="4">
        <v>2019</v>
      </c>
      <c r="B215" s="4">
        <v>2</v>
      </c>
      <c r="C215" s="4" t="s">
        <v>18</v>
      </c>
      <c r="D215" s="11">
        <v>44321</v>
      </c>
      <c r="E215" s="5" t="s">
        <v>26</v>
      </c>
      <c r="F215" s="4" t="s">
        <v>23</v>
      </c>
      <c r="G215" s="12">
        <v>128811.1</v>
      </c>
      <c r="H215" s="6">
        <v>73310.25</v>
      </c>
      <c r="I215" s="6">
        <v>55500.85</v>
      </c>
      <c r="J215" s="6">
        <v>64604.24</v>
      </c>
      <c r="K215" s="6">
        <v>36655.120000000003</v>
      </c>
      <c r="L215" s="6">
        <v>27949.119999999999</v>
      </c>
      <c r="M215" s="6">
        <v>922385097.85000002</v>
      </c>
      <c r="N215" s="6">
        <v>936505699.45000005</v>
      </c>
      <c r="O215" s="6">
        <v>5.2999999999999999E-2</v>
      </c>
      <c r="P215" s="6" t="s">
        <v>17</v>
      </c>
      <c r="Q215" s="6">
        <v>2.75E-2</v>
      </c>
      <c r="R215" s="6">
        <v>1.4999999999999999E-2</v>
      </c>
      <c r="S215" s="6"/>
      <c r="T215" s="6">
        <v>29626.07</v>
      </c>
    </row>
    <row r="216" spans="1:20" ht="14.4" x14ac:dyDescent="0.25">
      <c r="A216" s="4">
        <v>2019</v>
      </c>
      <c r="B216" s="4">
        <v>2</v>
      </c>
      <c r="C216" s="4" t="s">
        <v>18</v>
      </c>
      <c r="D216" s="11">
        <v>650</v>
      </c>
      <c r="E216" s="5" t="s">
        <v>20</v>
      </c>
      <c r="F216" s="4" t="s">
        <v>34</v>
      </c>
      <c r="G216" s="12">
        <v>112760.89</v>
      </c>
      <c r="H216" s="6">
        <v>112760.89</v>
      </c>
      <c r="I216" s="6"/>
      <c r="J216" s="6">
        <v>56380.44</v>
      </c>
      <c r="K216" s="6">
        <v>56380.44</v>
      </c>
      <c r="L216" s="6"/>
      <c r="M216" s="6"/>
      <c r="N216" s="6"/>
      <c r="O216" s="6"/>
      <c r="P216" s="6"/>
      <c r="Q216" s="6"/>
      <c r="R216" s="6"/>
      <c r="S216" s="6"/>
      <c r="T216" s="6"/>
    </row>
    <row r="217" spans="1:20" ht="14.4" x14ac:dyDescent="0.25">
      <c r="A217" s="4">
        <v>2019</v>
      </c>
      <c r="B217" s="4">
        <v>2</v>
      </c>
      <c r="C217" s="4" t="s">
        <v>18</v>
      </c>
      <c r="D217" s="11">
        <v>999</v>
      </c>
      <c r="E217" s="5" t="s">
        <v>117</v>
      </c>
      <c r="F217" s="4" t="s">
        <v>34</v>
      </c>
      <c r="G217" s="12">
        <v>20846.79</v>
      </c>
      <c r="H217" s="6">
        <v>20846.79</v>
      </c>
      <c r="I217" s="6"/>
      <c r="J217" s="6">
        <v>20846.79</v>
      </c>
      <c r="K217" s="6">
        <v>20846.79</v>
      </c>
      <c r="L217" s="6"/>
      <c r="M217" s="6"/>
      <c r="N217" s="6"/>
      <c r="O217" s="6"/>
      <c r="P217" s="6"/>
      <c r="Q217" s="6"/>
      <c r="R217" s="6"/>
      <c r="S217" s="6"/>
      <c r="T217" s="6"/>
    </row>
    <row r="218" spans="1:20" ht="14.4" x14ac:dyDescent="0.25">
      <c r="A218" s="4">
        <v>2019</v>
      </c>
      <c r="B218" s="4">
        <v>2</v>
      </c>
      <c r="C218" s="4" t="s">
        <v>18</v>
      </c>
      <c r="D218" s="11">
        <v>7605</v>
      </c>
      <c r="E218" s="5" t="s">
        <v>77</v>
      </c>
      <c r="F218" s="4" t="s">
        <v>34</v>
      </c>
      <c r="G218" s="12">
        <v>29874.62</v>
      </c>
      <c r="H218" s="6">
        <v>29874.62</v>
      </c>
      <c r="I218" s="6"/>
      <c r="J218" s="6">
        <v>14937.31</v>
      </c>
      <c r="K218" s="6">
        <v>14937.31</v>
      </c>
      <c r="L218" s="6"/>
      <c r="M218" s="6"/>
      <c r="N218" s="6"/>
      <c r="O218" s="6"/>
      <c r="P218" s="6"/>
      <c r="Q218" s="6"/>
      <c r="R218" s="6"/>
      <c r="S218" s="6"/>
      <c r="T218" s="6"/>
    </row>
    <row r="219" spans="1:20" ht="14.4" x14ac:dyDescent="0.25">
      <c r="A219" s="4">
        <v>2019</v>
      </c>
      <c r="B219" s="4">
        <v>2</v>
      </c>
      <c r="C219" s="4" t="s">
        <v>18</v>
      </c>
      <c r="D219" s="11">
        <v>41958</v>
      </c>
      <c r="E219" s="5" t="s">
        <v>78</v>
      </c>
      <c r="F219" s="4" t="s">
        <v>34</v>
      </c>
      <c r="G219" s="12">
        <v>64538.080000000002</v>
      </c>
      <c r="H219" s="6">
        <v>64538.080000000002</v>
      </c>
      <c r="I219" s="6"/>
      <c r="J219" s="6">
        <v>32269.040000000001</v>
      </c>
      <c r="K219" s="6">
        <v>32269.040000000001</v>
      </c>
      <c r="L219" s="6"/>
      <c r="M219" s="6"/>
      <c r="N219" s="6"/>
      <c r="O219" s="6"/>
      <c r="P219" s="6"/>
      <c r="Q219" s="6"/>
      <c r="R219" s="6"/>
      <c r="S219" s="6"/>
      <c r="T219" s="6"/>
    </row>
    <row r="220" spans="1:20" ht="14.4" x14ac:dyDescent="0.25">
      <c r="A220" s="4">
        <v>2019</v>
      </c>
      <c r="B220" s="4">
        <v>2</v>
      </c>
      <c r="C220" s="4" t="s">
        <v>18</v>
      </c>
      <c r="D220" s="11">
        <v>53317</v>
      </c>
      <c r="E220" s="5" t="s">
        <v>80</v>
      </c>
      <c r="F220" s="4" t="s">
        <v>34</v>
      </c>
      <c r="G220" s="12">
        <v>17553.419999999998</v>
      </c>
      <c r="H220" s="6">
        <v>17553.419999999998</v>
      </c>
      <c r="I220" s="6"/>
      <c r="J220" s="6">
        <v>8776.7099999999991</v>
      </c>
      <c r="K220" s="6">
        <v>8776.7099999999991</v>
      </c>
      <c r="L220" s="6"/>
      <c r="M220" s="6"/>
      <c r="N220" s="6"/>
      <c r="O220" s="6"/>
      <c r="P220" s="6"/>
      <c r="Q220" s="6"/>
      <c r="R220" s="6"/>
      <c r="S220" s="6"/>
      <c r="T220" s="6"/>
    </row>
    <row r="221" spans="1:20" ht="14.4" x14ac:dyDescent="0.25">
      <c r="A221" s="4">
        <v>2019</v>
      </c>
      <c r="B221" s="4">
        <v>2</v>
      </c>
      <c r="C221" s="4" t="s">
        <v>18</v>
      </c>
      <c r="D221" s="11">
        <v>57438</v>
      </c>
      <c r="E221" s="5" t="s">
        <v>259</v>
      </c>
      <c r="F221" s="4" t="s">
        <v>34</v>
      </c>
      <c r="G221" s="12">
        <v>435881</v>
      </c>
      <c r="H221" s="6">
        <v>435881</v>
      </c>
      <c r="I221" s="6"/>
      <c r="J221" s="6">
        <v>217940.5</v>
      </c>
      <c r="K221" s="6">
        <v>217940.5</v>
      </c>
      <c r="L221" s="6"/>
      <c r="M221" s="6"/>
      <c r="N221" s="6"/>
      <c r="O221" s="6"/>
      <c r="P221" s="6"/>
      <c r="Q221" s="6"/>
      <c r="R221" s="6"/>
      <c r="S221" s="6"/>
      <c r="T221" s="6"/>
    </row>
    <row r="222" spans="1:20" ht="14.4" x14ac:dyDescent="0.25">
      <c r="A222" s="4">
        <v>2019</v>
      </c>
      <c r="B222" s="4">
        <v>3</v>
      </c>
      <c r="C222" s="4" t="s">
        <v>18</v>
      </c>
      <c r="D222" s="11">
        <v>643</v>
      </c>
      <c r="E222" s="5" t="s">
        <v>72</v>
      </c>
      <c r="F222" s="4" t="s">
        <v>23</v>
      </c>
      <c r="G222" s="12">
        <v>2657801.39</v>
      </c>
      <c r="H222" s="6">
        <v>983406.74</v>
      </c>
      <c r="I222" s="6">
        <v>1674394.65</v>
      </c>
      <c r="J222" s="6">
        <v>849586.34</v>
      </c>
      <c r="K222" s="6">
        <v>283627.59999999998</v>
      </c>
      <c r="L222" s="6">
        <v>565958.74</v>
      </c>
      <c r="M222" s="6">
        <v>5624988503.3400002</v>
      </c>
      <c r="N222" s="6">
        <v>5667552898.1099997</v>
      </c>
      <c r="O222" s="6">
        <v>5.2999999999999999E-2</v>
      </c>
      <c r="P222" s="6" t="s">
        <v>17</v>
      </c>
      <c r="Q222" s="6">
        <v>2.75E-2</v>
      </c>
      <c r="R222" s="6">
        <v>0.05</v>
      </c>
      <c r="S222" s="6"/>
      <c r="T222" s="6">
        <v>599916.26</v>
      </c>
    </row>
    <row r="223" spans="1:20" ht="14.4" x14ac:dyDescent="0.25">
      <c r="A223" s="4">
        <v>2019</v>
      </c>
      <c r="B223" s="4">
        <v>3</v>
      </c>
      <c r="C223" s="4" t="s">
        <v>18</v>
      </c>
      <c r="D223" s="11">
        <v>652</v>
      </c>
      <c r="E223" s="5" t="s">
        <v>74</v>
      </c>
      <c r="F223" s="4" t="s">
        <v>23</v>
      </c>
      <c r="G223" s="12">
        <v>1292233.67</v>
      </c>
      <c r="H223" s="6">
        <v>310433.69</v>
      </c>
      <c r="I223" s="6">
        <v>981799.98</v>
      </c>
      <c r="J223" s="6">
        <v>433769.92</v>
      </c>
      <c r="K223" s="6">
        <v>103477.9</v>
      </c>
      <c r="L223" s="6">
        <v>330292.02</v>
      </c>
      <c r="M223" s="6">
        <v>3290645569.75</v>
      </c>
      <c r="N223" s="6">
        <v>3299651582.73</v>
      </c>
      <c r="O223" s="6">
        <v>5.2999999999999999E-2</v>
      </c>
      <c r="P223" s="6" t="s">
        <v>17</v>
      </c>
      <c r="Q223" s="6">
        <v>2.75E-2</v>
      </c>
      <c r="R223" s="6">
        <v>0.05</v>
      </c>
      <c r="S223" s="6"/>
      <c r="T223" s="6">
        <v>350109.54</v>
      </c>
    </row>
    <row r="224" spans="1:20" ht="14.4" x14ac:dyDescent="0.25">
      <c r="A224" s="4">
        <v>2019</v>
      </c>
      <c r="B224" s="4">
        <v>3</v>
      </c>
      <c r="C224" s="4" t="s">
        <v>18</v>
      </c>
      <c r="D224" s="11">
        <v>44321</v>
      </c>
      <c r="E224" s="5" t="s">
        <v>26</v>
      </c>
      <c r="F224" s="4" t="s">
        <v>23</v>
      </c>
      <c r="G224" s="12">
        <v>186934.75</v>
      </c>
      <c r="H224" s="6">
        <v>103018.7</v>
      </c>
      <c r="I224" s="6">
        <v>83916.05</v>
      </c>
      <c r="J224" s="6">
        <v>58123.65</v>
      </c>
      <c r="K224" s="6">
        <v>29708.45</v>
      </c>
      <c r="L224" s="6">
        <v>28415.200000000001</v>
      </c>
      <c r="M224" s="6">
        <v>940284038.48000002</v>
      </c>
      <c r="N224" s="6">
        <v>949605184.53999996</v>
      </c>
      <c r="O224" s="6">
        <v>5.2999999999999999E-2</v>
      </c>
      <c r="P224" s="6" t="s">
        <v>17</v>
      </c>
      <c r="Q224" s="6">
        <v>2.75E-2</v>
      </c>
      <c r="R224" s="6">
        <v>1.4999999999999999E-2</v>
      </c>
      <c r="S224" s="6"/>
      <c r="T224" s="6">
        <v>30120.11</v>
      </c>
    </row>
    <row r="225" spans="1:20" ht="14.4" x14ac:dyDescent="0.25">
      <c r="A225" s="4">
        <v>2019</v>
      </c>
      <c r="B225" s="4">
        <v>3</v>
      </c>
      <c r="C225" s="4" t="s">
        <v>18</v>
      </c>
      <c r="D225" s="11">
        <v>650</v>
      </c>
      <c r="E225" s="5" t="s">
        <v>20</v>
      </c>
      <c r="F225" s="4" t="s">
        <v>34</v>
      </c>
      <c r="G225" s="12">
        <v>180781.16</v>
      </c>
      <c r="H225" s="6">
        <v>180781.16</v>
      </c>
      <c r="I225" s="6"/>
      <c r="J225" s="6">
        <v>68020.27</v>
      </c>
      <c r="K225" s="6">
        <v>68020.27</v>
      </c>
      <c r="L225" s="6"/>
      <c r="M225" s="6"/>
      <c r="N225" s="6"/>
      <c r="O225" s="6"/>
      <c r="P225" s="6"/>
      <c r="Q225" s="6"/>
      <c r="R225" s="6"/>
      <c r="S225" s="6"/>
      <c r="T225" s="6"/>
    </row>
    <row r="226" spans="1:20" ht="14.4" x14ac:dyDescent="0.25">
      <c r="A226" s="4">
        <v>2019</v>
      </c>
      <c r="B226" s="4">
        <v>3</v>
      </c>
      <c r="C226" s="4" t="s">
        <v>18</v>
      </c>
      <c r="D226" s="11">
        <v>999</v>
      </c>
      <c r="E226" s="5" t="s">
        <v>117</v>
      </c>
      <c r="F226" s="4" t="s">
        <v>34</v>
      </c>
      <c r="G226" s="12">
        <v>20846.79</v>
      </c>
      <c r="H226" s="6">
        <v>20846.79</v>
      </c>
      <c r="I226" s="6"/>
      <c r="J226" s="6">
        <v>0</v>
      </c>
      <c r="K226" s="6"/>
      <c r="L226" s="6"/>
      <c r="M226" s="6"/>
      <c r="N226" s="6"/>
      <c r="O226" s="6"/>
      <c r="P226" s="6"/>
      <c r="Q226" s="6"/>
      <c r="R226" s="6"/>
      <c r="S226" s="6"/>
      <c r="T226" s="6"/>
    </row>
    <row r="227" spans="1:20" ht="14.4" x14ac:dyDescent="0.25">
      <c r="A227" s="4">
        <v>2019</v>
      </c>
      <c r="B227" s="4">
        <v>3</v>
      </c>
      <c r="C227" s="4" t="s">
        <v>18</v>
      </c>
      <c r="D227" s="11">
        <v>7605</v>
      </c>
      <c r="E227" s="5" t="s">
        <v>77</v>
      </c>
      <c r="F227" s="4" t="s">
        <v>34</v>
      </c>
      <c r="G227" s="12">
        <v>41920.86</v>
      </c>
      <c r="H227" s="6">
        <v>41920.86</v>
      </c>
      <c r="I227" s="6"/>
      <c r="J227" s="6">
        <v>12046.24</v>
      </c>
      <c r="K227" s="6">
        <v>12046.24</v>
      </c>
      <c r="L227" s="6"/>
      <c r="M227" s="6"/>
      <c r="N227" s="6"/>
      <c r="O227" s="6"/>
      <c r="P227" s="6"/>
      <c r="Q227" s="6"/>
      <c r="R227" s="6"/>
      <c r="S227" s="6"/>
      <c r="T227" s="6"/>
    </row>
    <row r="228" spans="1:20" ht="14.4" x14ac:dyDescent="0.25">
      <c r="A228" s="4">
        <v>2019</v>
      </c>
      <c r="B228" s="4">
        <v>3</v>
      </c>
      <c r="C228" s="4" t="s">
        <v>18</v>
      </c>
      <c r="D228" s="11">
        <v>41958</v>
      </c>
      <c r="E228" s="5" t="s">
        <v>78</v>
      </c>
      <c r="F228" s="4" t="s">
        <v>34</v>
      </c>
      <c r="G228" s="12">
        <v>96807.11</v>
      </c>
      <c r="H228" s="6">
        <v>96807.11</v>
      </c>
      <c r="I228" s="6"/>
      <c r="J228" s="6">
        <v>32269.040000000001</v>
      </c>
      <c r="K228" s="6">
        <v>32269.040000000001</v>
      </c>
      <c r="L228" s="6"/>
      <c r="M228" s="6"/>
      <c r="N228" s="6"/>
      <c r="O228" s="6"/>
      <c r="P228" s="6"/>
      <c r="Q228" s="6"/>
      <c r="R228" s="6"/>
      <c r="S228" s="6"/>
      <c r="T228" s="6"/>
    </row>
    <row r="229" spans="1:20" ht="14.4" x14ac:dyDescent="0.25">
      <c r="A229" s="4">
        <v>2019</v>
      </c>
      <c r="B229" s="4">
        <v>3</v>
      </c>
      <c r="C229" s="4" t="s">
        <v>18</v>
      </c>
      <c r="D229" s="11">
        <v>53317</v>
      </c>
      <c r="E229" s="5" t="s">
        <v>80</v>
      </c>
      <c r="F229" s="4" t="s">
        <v>34</v>
      </c>
      <c r="G229" s="12">
        <v>24631.41</v>
      </c>
      <c r="H229" s="6">
        <v>24631.41</v>
      </c>
      <c r="I229" s="6"/>
      <c r="J229" s="6">
        <v>7077.99</v>
      </c>
      <c r="K229" s="6">
        <v>7077.99</v>
      </c>
      <c r="L229" s="6"/>
      <c r="M229" s="6"/>
      <c r="N229" s="6"/>
      <c r="O229" s="6"/>
      <c r="P229" s="6"/>
      <c r="Q229" s="6"/>
      <c r="R229" s="6"/>
      <c r="S229" s="6"/>
      <c r="T229" s="6"/>
    </row>
    <row r="230" spans="1:20" ht="14.4" x14ac:dyDescent="0.25">
      <c r="A230" s="4">
        <v>2019</v>
      </c>
      <c r="B230" s="4">
        <v>3</v>
      </c>
      <c r="C230" s="4" t="s">
        <v>18</v>
      </c>
      <c r="D230" s="11">
        <v>57438</v>
      </c>
      <c r="E230" s="5" t="s">
        <v>259</v>
      </c>
      <c r="F230" s="4" t="s">
        <v>34</v>
      </c>
      <c r="G230" s="12">
        <v>613714.85</v>
      </c>
      <c r="H230" s="6">
        <v>613714.85</v>
      </c>
      <c r="I230" s="6"/>
      <c r="J230" s="6">
        <v>177833.85</v>
      </c>
      <c r="K230" s="6">
        <v>177833.85</v>
      </c>
      <c r="L230" s="6"/>
      <c r="M230" s="6"/>
      <c r="N230" s="6"/>
      <c r="O230" s="6"/>
      <c r="P230" s="6"/>
      <c r="Q230" s="6"/>
      <c r="R230" s="6"/>
      <c r="S230" s="6"/>
      <c r="T230" s="6"/>
    </row>
    <row r="231" spans="1:20" ht="14.4" x14ac:dyDescent="0.25">
      <c r="A231" s="4">
        <v>2019</v>
      </c>
      <c r="B231" s="4">
        <v>4</v>
      </c>
      <c r="C231" s="4" t="s">
        <v>18</v>
      </c>
      <c r="D231" s="11">
        <v>643</v>
      </c>
      <c r="E231" s="5" t="s">
        <v>72</v>
      </c>
      <c r="F231" s="4" t="s">
        <v>23</v>
      </c>
      <c r="G231" s="12">
        <v>4140490.15</v>
      </c>
      <c r="H231" s="6">
        <v>1893912.6</v>
      </c>
      <c r="I231" s="6">
        <v>2246577.5499999998</v>
      </c>
      <c r="J231" s="6">
        <v>1482688.77</v>
      </c>
      <c r="K231" s="6">
        <v>910505.87</v>
      </c>
      <c r="L231" s="6">
        <v>572182.9</v>
      </c>
      <c r="M231" s="6">
        <v>5688065914.1999998</v>
      </c>
      <c r="N231" s="6">
        <v>5728665829.3299999</v>
      </c>
      <c r="O231" s="6">
        <v>5.2999999999999999E-2</v>
      </c>
      <c r="P231" s="6" t="s">
        <v>17</v>
      </c>
      <c r="Q231" s="6">
        <v>2.75E-2</v>
      </c>
      <c r="R231" s="6">
        <v>0.05</v>
      </c>
      <c r="S231" s="6"/>
      <c r="T231" s="6">
        <v>606513.87</v>
      </c>
    </row>
    <row r="232" spans="1:20" ht="14.4" x14ac:dyDescent="0.25">
      <c r="A232" s="4">
        <v>2019</v>
      </c>
      <c r="B232" s="4">
        <v>4</v>
      </c>
      <c r="C232" s="4" t="s">
        <v>18</v>
      </c>
      <c r="D232" s="11">
        <v>652</v>
      </c>
      <c r="E232" s="5" t="s">
        <v>74</v>
      </c>
      <c r="F232" s="4" t="s">
        <v>23</v>
      </c>
      <c r="G232" s="12">
        <v>2146387.92</v>
      </c>
      <c r="H232" s="6">
        <v>832762.17</v>
      </c>
      <c r="I232" s="6">
        <v>1313625.75</v>
      </c>
      <c r="J232" s="6">
        <v>854154.25</v>
      </c>
      <c r="K232" s="6">
        <v>522328.48</v>
      </c>
      <c r="L232" s="6">
        <v>331825.77</v>
      </c>
      <c r="M232" s="6">
        <v>3310001610.3499999</v>
      </c>
      <c r="N232" s="6">
        <v>3310898549.73</v>
      </c>
      <c r="O232" s="6">
        <v>5.2999999999999999E-2</v>
      </c>
      <c r="P232" s="6" t="s">
        <v>17</v>
      </c>
      <c r="Q232" s="6">
        <v>2.75E-2</v>
      </c>
      <c r="R232" s="6">
        <v>0.05</v>
      </c>
      <c r="S232" s="6"/>
      <c r="T232" s="6">
        <v>351735.32</v>
      </c>
    </row>
    <row r="233" spans="1:20" ht="14.4" x14ac:dyDescent="0.25">
      <c r="A233" s="4">
        <v>2019</v>
      </c>
      <c r="B233" s="4">
        <v>4</v>
      </c>
      <c r="C233" s="4" t="s">
        <v>18</v>
      </c>
      <c r="D233" s="11">
        <v>44321</v>
      </c>
      <c r="E233" s="5" t="s">
        <v>26</v>
      </c>
      <c r="F233" s="4" t="s">
        <v>23</v>
      </c>
      <c r="G233" s="12">
        <v>252360.63</v>
      </c>
      <c r="H233" s="6">
        <v>139673.82</v>
      </c>
      <c r="I233" s="6">
        <v>112686.81</v>
      </c>
      <c r="J233" s="6">
        <v>65425.88</v>
      </c>
      <c r="K233" s="6">
        <v>36655.120000000003</v>
      </c>
      <c r="L233" s="6">
        <v>28770.76</v>
      </c>
      <c r="M233" s="6">
        <v>952039480.92999995</v>
      </c>
      <c r="N233" s="6">
        <v>961498084.26999998</v>
      </c>
      <c r="O233" s="6">
        <v>5.2999999999999999E-2</v>
      </c>
      <c r="P233" s="6" t="s">
        <v>17</v>
      </c>
      <c r="Q233" s="6">
        <v>2.75E-2</v>
      </c>
      <c r="R233" s="6">
        <v>1.4999999999999999E-2</v>
      </c>
      <c r="S233" s="6"/>
      <c r="T233" s="6">
        <v>30497</v>
      </c>
    </row>
    <row r="234" spans="1:20" ht="14.4" x14ac:dyDescent="0.25">
      <c r="A234" s="4">
        <v>2019</v>
      </c>
      <c r="B234" s="4">
        <v>4</v>
      </c>
      <c r="C234" s="4" t="s">
        <v>18</v>
      </c>
      <c r="D234" s="11">
        <v>650</v>
      </c>
      <c r="E234" s="5" t="s">
        <v>20</v>
      </c>
      <c r="F234" s="4" t="s">
        <v>34</v>
      </c>
      <c r="G234" s="12">
        <v>257592.65</v>
      </c>
      <c r="H234" s="6">
        <v>257592.65</v>
      </c>
      <c r="I234" s="6"/>
      <c r="J234" s="6">
        <v>76811.490000000005</v>
      </c>
      <c r="K234" s="6">
        <v>76811.490000000005</v>
      </c>
      <c r="L234" s="6"/>
      <c r="M234" s="6"/>
      <c r="N234" s="6"/>
      <c r="O234" s="6"/>
      <c r="P234" s="6"/>
      <c r="Q234" s="6"/>
      <c r="R234" s="6"/>
      <c r="S234" s="6"/>
      <c r="T234" s="6"/>
    </row>
    <row r="235" spans="1:20" ht="14.4" x14ac:dyDescent="0.25">
      <c r="A235" s="4">
        <v>2019</v>
      </c>
      <c r="B235" s="4">
        <v>4</v>
      </c>
      <c r="C235" s="4" t="s">
        <v>18</v>
      </c>
      <c r="D235" s="11">
        <v>999</v>
      </c>
      <c r="E235" s="5" t="s">
        <v>117</v>
      </c>
      <c r="F235" s="4" t="s">
        <v>34</v>
      </c>
      <c r="G235" s="12">
        <v>20846.79</v>
      </c>
      <c r="H235" s="6">
        <v>20846.79</v>
      </c>
      <c r="I235" s="6"/>
      <c r="J235" s="6">
        <v>0</v>
      </c>
      <c r="K235" s="6"/>
      <c r="L235" s="6"/>
      <c r="M235" s="6"/>
      <c r="N235" s="6"/>
      <c r="O235" s="6"/>
      <c r="P235" s="6"/>
      <c r="Q235" s="6"/>
      <c r="R235" s="6"/>
      <c r="S235" s="6"/>
      <c r="T235" s="6"/>
    </row>
    <row r="236" spans="1:20" ht="14.4" x14ac:dyDescent="0.25">
      <c r="A236" s="4">
        <v>2019</v>
      </c>
      <c r="B236" s="4">
        <v>4</v>
      </c>
      <c r="C236" s="4" t="s">
        <v>18</v>
      </c>
      <c r="D236" s="11">
        <v>7605</v>
      </c>
      <c r="E236" s="5" t="s">
        <v>77</v>
      </c>
      <c r="F236" s="4" t="s">
        <v>34</v>
      </c>
      <c r="G236" s="12">
        <v>59857.61</v>
      </c>
      <c r="H236" s="6">
        <v>59857.61</v>
      </c>
      <c r="I236" s="6"/>
      <c r="J236" s="6">
        <v>17936.75</v>
      </c>
      <c r="K236" s="6">
        <v>17936.75</v>
      </c>
      <c r="L236" s="6"/>
      <c r="M236" s="6"/>
      <c r="N236" s="6"/>
      <c r="O236" s="6"/>
      <c r="P236" s="6"/>
      <c r="Q236" s="6"/>
      <c r="R236" s="6"/>
      <c r="S236" s="6"/>
      <c r="T236" s="6"/>
    </row>
    <row r="237" spans="1:20" ht="14.4" x14ac:dyDescent="0.25">
      <c r="A237" s="4">
        <v>2019</v>
      </c>
      <c r="B237" s="4">
        <v>4</v>
      </c>
      <c r="C237" s="4" t="s">
        <v>18</v>
      </c>
      <c r="D237" s="11">
        <v>41958</v>
      </c>
      <c r="E237" s="5" t="s">
        <v>78</v>
      </c>
      <c r="F237" s="4" t="s">
        <v>34</v>
      </c>
      <c r="G237" s="12">
        <v>129076.15</v>
      </c>
      <c r="H237" s="6">
        <v>129076.15</v>
      </c>
      <c r="I237" s="6"/>
      <c r="J237" s="6">
        <v>32269.040000000001</v>
      </c>
      <c r="K237" s="6">
        <v>32269.040000000001</v>
      </c>
      <c r="L237" s="6"/>
      <c r="M237" s="6"/>
      <c r="N237" s="6"/>
      <c r="O237" s="6"/>
      <c r="P237" s="6"/>
      <c r="Q237" s="6"/>
      <c r="R237" s="6"/>
      <c r="S237" s="6"/>
      <c r="T237" s="6"/>
    </row>
    <row r="238" spans="1:20" ht="14.4" x14ac:dyDescent="0.25">
      <c r="A238" s="4">
        <v>2019</v>
      </c>
      <c r="B238" s="4">
        <v>4</v>
      </c>
      <c r="C238" s="4" t="s">
        <v>18</v>
      </c>
      <c r="D238" s="11">
        <v>53317</v>
      </c>
      <c r="E238" s="5" t="s">
        <v>80</v>
      </c>
      <c r="F238" s="4" t="s">
        <v>34</v>
      </c>
      <c r="G238" s="12">
        <v>34466.620000000003</v>
      </c>
      <c r="H238" s="6">
        <v>34466.620000000003</v>
      </c>
      <c r="I238" s="6"/>
      <c r="J238" s="6">
        <v>9835.2199999999993</v>
      </c>
      <c r="K238" s="6">
        <v>9835.2199999999993</v>
      </c>
      <c r="L238" s="6"/>
      <c r="M238" s="6"/>
      <c r="N238" s="6"/>
      <c r="O238" s="6"/>
      <c r="P238" s="6"/>
      <c r="Q238" s="6"/>
      <c r="R238" s="6"/>
      <c r="S238" s="6"/>
      <c r="T238" s="6"/>
    </row>
    <row r="239" spans="1:20" ht="14.4" x14ac:dyDescent="0.25">
      <c r="A239" s="4">
        <v>2019</v>
      </c>
      <c r="B239" s="4">
        <v>4</v>
      </c>
      <c r="C239" s="4" t="s">
        <v>18</v>
      </c>
      <c r="D239" s="11">
        <v>57438</v>
      </c>
      <c r="E239" s="5" t="s">
        <v>259</v>
      </c>
      <c r="F239" s="4" t="s">
        <v>34</v>
      </c>
      <c r="G239" s="12">
        <v>875374.5</v>
      </c>
      <c r="H239" s="6">
        <v>875374.5</v>
      </c>
      <c r="I239" s="6"/>
      <c r="J239" s="6">
        <v>261659.65</v>
      </c>
      <c r="K239" s="6">
        <v>261659.65</v>
      </c>
      <c r="L239" s="6"/>
      <c r="M239" s="6"/>
      <c r="N239" s="6"/>
      <c r="O239" s="6"/>
      <c r="P239" s="6"/>
      <c r="Q239" s="6"/>
      <c r="R239" s="6"/>
      <c r="S239" s="6"/>
      <c r="T239" s="6"/>
    </row>
    <row r="240" spans="1:20" ht="14.4" x14ac:dyDescent="0.25">
      <c r="A240" s="4">
        <v>2019</v>
      </c>
      <c r="B240" s="4">
        <v>5</v>
      </c>
      <c r="C240" s="4" t="s">
        <v>18</v>
      </c>
      <c r="D240" s="11">
        <v>643</v>
      </c>
      <c r="E240" s="5" t="s">
        <v>72</v>
      </c>
      <c r="F240" s="4" t="s">
        <v>23</v>
      </c>
      <c r="G240" s="12">
        <v>5064824.3499999996</v>
      </c>
      <c r="H240" s="6">
        <v>2243802.17</v>
      </c>
      <c r="I240" s="6">
        <v>2821022.18</v>
      </c>
      <c r="J240" s="6">
        <v>924334.2</v>
      </c>
      <c r="K240" s="6">
        <v>349889.57</v>
      </c>
      <c r="L240" s="6">
        <v>574444.63</v>
      </c>
      <c r="M240" s="6">
        <v>5728623167.3199997</v>
      </c>
      <c r="N240" s="6">
        <v>5733236712.4899998</v>
      </c>
      <c r="O240" s="6">
        <v>5.2999999999999999E-2</v>
      </c>
      <c r="P240" s="6" t="s">
        <v>17</v>
      </c>
      <c r="Q240" s="6">
        <v>2.75E-2</v>
      </c>
      <c r="R240" s="6">
        <v>0.05</v>
      </c>
      <c r="S240" s="6"/>
      <c r="T240" s="6">
        <v>608911.31000000006</v>
      </c>
    </row>
    <row r="241" spans="1:20" ht="14.4" x14ac:dyDescent="0.25">
      <c r="A241" s="4">
        <v>2019</v>
      </c>
      <c r="B241" s="4">
        <v>5</v>
      </c>
      <c r="C241" s="4" t="s">
        <v>18</v>
      </c>
      <c r="D241" s="11">
        <v>652</v>
      </c>
      <c r="E241" s="5" t="s">
        <v>74</v>
      </c>
      <c r="F241" s="4" t="s">
        <v>23</v>
      </c>
      <c r="G241" s="12">
        <v>2686051.62</v>
      </c>
      <c r="H241" s="6">
        <v>1041364.29</v>
      </c>
      <c r="I241" s="6">
        <v>1644687.33</v>
      </c>
      <c r="J241" s="6">
        <v>539663.68999999994</v>
      </c>
      <c r="K241" s="6">
        <v>208602.12</v>
      </c>
      <c r="L241" s="6">
        <v>331061.57</v>
      </c>
      <c r="M241" s="6">
        <v>3308072895.6799998</v>
      </c>
      <c r="N241" s="6">
        <v>3297579214.75</v>
      </c>
      <c r="O241" s="6">
        <v>5.2999999999999999E-2</v>
      </c>
      <c r="P241" s="6" t="s">
        <v>17</v>
      </c>
      <c r="Q241" s="6">
        <v>2.75E-2</v>
      </c>
      <c r="R241" s="6">
        <v>0.05</v>
      </c>
      <c r="S241" s="6"/>
      <c r="T241" s="6">
        <v>350925.27</v>
      </c>
    </row>
    <row r="242" spans="1:20" ht="14.4" x14ac:dyDescent="0.25">
      <c r="A242" s="4">
        <v>2019</v>
      </c>
      <c r="B242" s="4">
        <v>5</v>
      </c>
      <c r="C242" s="4" t="s">
        <v>18</v>
      </c>
      <c r="D242" s="11">
        <v>44321</v>
      </c>
      <c r="E242" s="5" t="s">
        <v>26</v>
      </c>
      <c r="F242" s="4" t="s">
        <v>23</v>
      </c>
      <c r="G242" s="12">
        <v>317636.47999999998</v>
      </c>
      <c r="H242" s="6">
        <v>176121.56</v>
      </c>
      <c r="I242" s="6">
        <v>141514.92000000001</v>
      </c>
      <c r="J242" s="6">
        <v>65275.86</v>
      </c>
      <c r="K242" s="6">
        <v>36447.74</v>
      </c>
      <c r="L242" s="6">
        <v>28828.12</v>
      </c>
      <c r="M242" s="6">
        <v>959871053.88999999</v>
      </c>
      <c r="N242" s="6">
        <v>957481302.67999995</v>
      </c>
      <c r="O242" s="6">
        <v>5.2999999999999999E-2</v>
      </c>
      <c r="P242" s="6" t="s">
        <v>17</v>
      </c>
      <c r="Q242" s="6">
        <v>2.75E-2</v>
      </c>
      <c r="R242" s="6">
        <v>1.4999999999999999E-2</v>
      </c>
      <c r="S242" s="6"/>
      <c r="T242" s="6">
        <v>30557.8</v>
      </c>
    </row>
    <row r="243" spans="1:20" ht="14.4" x14ac:dyDescent="0.25">
      <c r="A243" s="4">
        <v>2019</v>
      </c>
      <c r="B243" s="4">
        <v>5</v>
      </c>
      <c r="C243" s="4" t="s">
        <v>18</v>
      </c>
      <c r="D243" s="11">
        <v>650</v>
      </c>
      <c r="E243" s="5" t="s">
        <v>20</v>
      </c>
      <c r="F243" s="4" t="s">
        <v>34</v>
      </c>
      <c r="G243" s="12">
        <v>312382.82</v>
      </c>
      <c r="H243" s="6">
        <v>312382.82</v>
      </c>
      <c r="I243" s="6"/>
      <c r="J243" s="6">
        <v>54790.17</v>
      </c>
      <c r="K243" s="6">
        <v>54790.17</v>
      </c>
      <c r="L243" s="6"/>
      <c r="M243" s="6"/>
      <c r="N243" s="6"/>
      <c r="O243" s="6"/>
      <c r="P243" s="6"/>
      <c r="Q243" s="6"/>
      <c r="R243" s="6"/>
      <c r="S243" s="6"/>
      <c r="T243" s="6"/>
    </row>
    <row r="244" spans="1:20" ht="14.4" x14ac:dyDescent="0.25">
      <c r="A244" s="4">
        <v>2019</v>
      </c>
      <c r="B244" s="4">
        <v>5</v>
      </c>
      <c r="C244" s="4" t="s">
        <v>18</v>
      </c>
      <c r="D244" s="11">
        <v>999</v>
      </c>
      <c r="E244" s="5" t="s">
        <v>117</v>
      </c>
      <c r="F244" s="4" t="s">
        <v>34</v>
      </c>
      <c r="G244" s="12">
        <v>0</v>
      </c>
      <c r="H244" s="6">
        <v>0</v>
      </c>
      <c r="I244" s="6"/>
      <c r="J244" s="6">
        <v>-20846.79</v>
      </c>
      <c r="K244" s="6">
        <v>-20846.79</v>
      </c>
      <c r="L244" s="6"/>
      <c r="M244" s="6"/>
      <c r="N244" s="6"/>
      <c r="O244" s="6"/>
      <c r="P244" s="6"/>
      <c r="Q244" s="6"/>
      <c r="R244" s="6"/>
      <c r="S244" s="6"/>
      <c r="T244" s="6"/>
    </row>
    <row r="245" spans="1:20" ht="14.4" x14ac:dyDescent="0.25">
      <c r="A245" s="4">
        <v>2019</v>
      </c>
      <c r="B245" s="4">
        <v>5</v>
      </c>
      <c r="C245" s="4" t="s">
        <v>18</v>
      </c>
      <c r="D245" s="11">
        <v>7605</v>
      </c>
      <c r="E245" s="5" t="s">
        <v>77</v>
      </c>
      <c r="F245" s="4" t="s">
        <v>34</v>
      </c>
      <c r="G245" s="12">
        <v>73572.27</v>
      </c>
      <c r="H245" s="6">
        <v>73572.27</v>
      </c>
      <c r="I245" s="6"/>
      <c r="J245" s="6">
        <v>13714.66</v>
      </c>
      <c r="K245" s="6">
        <v>13714.66</v>
      </c>
      <c r="L245" s="6"/>
      <c r="M245" s="6"/>
      <c r="N245" s="6"/>
      <c r="O245" s="6"/>
      <c r="P245" s="6"/>
      <c r="Q245" s="6"/>
      <c r="R245" s="6"/>
      <c r="S245" s="6"/>
      <c r="T245" s="6"/>
    </row>
    <row r="246" spans="1:20" ht="14.4" x14ac:dyDescent="0.25">
      <c r="A246" s="4">
        <v>2019</v>
      </c>
      <c r="B246" s="4">
        <v>5</v>
      </c>
      <c r="C246" s="4" t="s">
        <v>18</v>
      </c>
      <c r="D246" s="11">
        <v>41958</v>
      </c>
      <c r="E246" s="5" t="s">
        <v>78</v>
      </c>
      <c r="F246" s="4" t="s">
        <v>34</v>
      </c>
      <c r="G246" s="12">
        <v>161345.19</v>
      </c>
      <c r="H246" s="6">
        <v>161345.19</v>
      </c>
      <c r="I246" s="6"/>
      <c r="J246" s="6">
        <v>32269.040000000001</v>
      </c>
      <c r="K246" s="6">
        <v>32269.040000000001</v>
      </c>
      <c r="L246" s="6"/>
      <c r="M246" s="6"/>
      <c r="N246" s="6"/>
      <c r="O246" s="6"/>
      <c r="P246" s="6"/>
      <c r="Q246" s="6"/>
      <c r="R246" s="6"/>
      <c r="S246" s="6"/>
      <c r="T246" s="6"/>
    </row>
    <row r="247" spans="1:20" ht="14.4" x14ac:dyDescent="0.25">
      <c r="A247" s="4">
        <v>2019</v>
      </c>
      <c r="B247" s="4">
        <v>5</v>
      </c>
      <c r="C247" s="4" t="s">
        <v>18</v>
      </c>
      <c r="D247" s="11">
        <v>53317</v>
      </c>
      <c r="E247" s="5" t="s">
        <v>80</v>
      </c>
      <c r="F247" s="4" t="s">
        <v>34</v>
      </c>
      <c r="G247" s="12">
        <v>42642.23</v>
      </c>
      <c r="H247" s="6">
        <v>42642.23</v>
      </c>
      <c r="I247" s="6"/>
      <c r="J247" s="6">
        <v>8175.6</v>
      </c>
      <c r="K247" s="6">
        <v>8175.6</v>
      </c>
      <c r="L247" s="6"/>
      <c r="M247" s="6"/>
      <c r="N247" s="6"/>
      <c r="O247" s="6"/>
      <c r="P247" s="6"/>
      <c r="Q247" s="6"/>
      <c r="R247" s="6"/>
      <c r="S247" s="6"/>
      <c r="T247" s="6"/>
    </row>
    <row r="248" spans="1:20" ht="14.4" x14ac:dyDescent="0.25">
      <c r="A248" s="4">
        <v>2019</v>
      </c>
      <c r="B248" s="4">
        <v>5</v>
      </c>
      <c r="C248" s="4" t="s">
        <v>18</v>
      </c>
      <c r="D248" s="11">
        <v>57438</v>
      </c>
      <c r="E248" s="5" t="s">
        <v>259</v>
      </c>
      <c r="F248" s="4" t="s">
        <v>34</v>
      </c>
      <c r="G248" s="12">
        <v>1075482.97</v>
      </c>
      <c r="H248" s="6">
        <v>1075482.97</v>
      </c>
      <c r="I248" s="6"/>
      <c r="J248" s="6">
        <v>200108.47</v>
      </c>
      <c r="K248" s="6">
        <v>200108.47</v>
      </c>
      <c r="L248" s="6"/>
      <c r="M248" s="6"/>
      <c r="N248" s="6"/>
      <c r="O248" s="6"/>
      <c r="P248" s="6"/>
      <c r="Q248" s="6"/>
      <c r="R248" s="6"/>
      <c r="S248" s="6"/>
      <c r="T248" s="6"/>
    </row>
    <row r="249" spans="1:20" ht="14.4" x14ac:dyDescent="0.25">
      <c r="A249" s="4">
        <v>2019</v>
      </c>
      <c r="B249" s="4">
        <v>6</v>
      </c>
      <c r="C249" s="4" t="s">
        <v>18</v>
      </c>
      <c r="D249" s="11">
        <v>643</v>
      </c>
      <c r="E249" s="5" t="s">
        <v>72</v>
      </c>
      <c r="F249" s="4" t="s">
        <v>23</v>
      </c>
      <c r="G249" s="12">
        <v>5995212.6799999997</v>
      </c>
      <c r="H249" s="6">
        <v>2593691.7400000002</v>
      </c>
      <c r="I249" s="6">
        <v>3401520.94</v>
      </c>
      <c r="J249" s="6">
        <v>930388.34</v>
      </c>
      <c r="K249" s="6">
        <v>349889.57</v>
      </c>
      <c r="L249" s="6">
        <v>580498.77</v>
      </c>
      <c r="M249" s="6">
        <v>5750164962.4799995</v>
      </c>
      <c r="N249" s="6">
        <v>5832492834.6199999</v>
      </c>
      <c r="O249" s="6">
        <v>5.2999999999999999E-2</v>
      </c>
      <c r="P249" s="6" t="s">
        <v>17</v>
      </c>
      <c r="Q249" s="6">
        <v>2.75E-2</v>
      </c>
      <c r="R249" s="6">
        <v>0.05</v>
      </c>
      <c r="S249" s="6"/>
      <c r="T249" s="6">
        <v>615328.69999999995</v>
      </c>
    </row>
    <row r="250" spans="1:20" ht="14.4" x14ac:dyDescent="0.25">
      <c r="A250" s="4">
        <v>2019</v>
      </c>
      <c r="B250" s="4">
        <v>6</v>
      </c>
      <c r="C250" s="4" t="s">
        <v>18</v>
      </c>
      <c r="D250" s="11">
        <v>652</v>
      </c>
      <c r="E250" s="5" t="s">
        <v>74</v>
      </c>
      <c r="F250" s="4" t="s">
        <v>23</v>
      </c>
      <c r="G250" s="12">
        <v>3233793.66</v>
      </c>
      <c r="H250" s="6">
        <v>1257928.1499999999</v>
      </c>
      <c r="I250" s="6">
        <v>1975865.51</v>
      </c>
      <c r="J250" s="6">
        <v>547742.04</v>
      </c>
      <c r="K250" s="6">
        <v>216563.86</v>
      </c>
      <c r="L250" s="6">
        <v>331178.18</v>
      </c>
      <c r="M250" s="6">
        <v>3294186491.9099998</v>
      </c>
      <c r="N250" s="6">
        <v>3313792291.8699999</v>
      </c>
      <c r="O250" s="6">
        <v>5.2999999999999999E-2</v>
      </c>
      <c r="P250" s="6" t="s">
        <v>17</v>
      </c>
      <c r="Q250" s="6">
        <v>2.75E-2</v>
      </c>
      <c r="R250" s="6">
        <v>0.05</v>
      </c>
      <c r="S250" s="6"/>
      <c r="T250" s="6">
        <v>351048.87</v>
      </c>
    </row>
    <row r="251" spans="1:20" ht="14.4" x14ac:dyDescent="0.25">
      <c r="A251" s="4">
        <v>2019</v>
      </c>
      <c r="B251" s="4">
        <v>6</v>
      </c>
      <c r="C251" s="4" t="s">
        <v>18</v>
      </c>
      <c r="D251" s="11">
        <v>44321</v>
      </c>
      <c r="E251" s="5" t="s">
        <v>26</v>
      </c>
      <c r="F251" s="4" t="s">
        <v>23</v>
      </c>
      <c r="G251" s="12">
        <v>387787.22</v>
      </c>
      <c r="H251" s="6">
        <v>216668.11</v>
      </c>
      <c r="I251" s="6">
        <v>171119.11</v>
      </c>
      <c r="J251" s="6">
        <v>70150.75</v>
      </c>
      <c r="K251" s="6">
        <v>40546.559999999998</v>
      </c>
      <c r="L251" s="6">
        <v>29604.19</v>
      </c>
      <c r="M251" s="6">
        <v>959365448.07000005</v>
      </c>
      <c r="N251" s="6">
        <v>1009603371</v>
      </c>
      <c r="O251" s="6">
        <v>5.2999999999999999E-2</v>
      </c>
      <c r="P251" s="6" t="s">
        <v>17</v>
      </c>
      <c r="Q251" s="6">
        <v>2.75E-2</v>
      </c>
      <c r="R251" s="6">
        <v>1.4999999999999999E-2</v>
      </c>
      <c r="S251" s="6"/>
      <c r="T251" s="6">
        <v>31380.44</v>
      </c>
    </row>
    <row r="252" spans="1:20" ht="14.4" x14ac:dyDescent="0.25">
      <c r="A252" s="4">
        <v>2019</v>
      </c>
      <c r="B252" s="4">
        <v>6</v>
      </c>
      <c r="C252" s="4" t="s">
        <v>18</v>
      </c>
      <c r="D252" s="11">
        <v>650</v>
      </c>
      <c r="E252" s="5" t="s">
        <v>20</v>
      </c>
      <c r="F252" s="4" t="s">
        <v>34</v>
      </c>
      <c r="G252" s="12">
        <v>370547.02</v>
      </c>
      <c r="H252" s="6">
        <v>370547.02</v>
      </c>
      <c r="I252" s="6"/>
      <c r="J252" s="6">
        <v>58164.2</v>
      </c>
      <c r="K252" s="6">
        <v>58164.2</v>
      </c>
      <c r="L252" s="6"/>
      <c r="M252" s="6"/>
      <c r="N252" s="6"/>
      <c r="O252" s="6"/>
      <c r="P252" s="6"/>
      <c r="Q252" s="6"/>
      <c r="R252" s="6"/>
      <c r="S252" s="6"/>
      <c r="T252" s="6"/>
    </row>
    <row r="253" spans="1:20" ht="14.4" x14ac:dyDescent="0.25">
      <c r="A253" s="4">
        <v>2019</v>
      </c>
      <c r="B253" s="4">
        <v>6</v>
      </c>
      <c r="C253" s="4" t="s">
        <v>18</v>
      </c>
      <c r="D253" s="11">
        <v>999</v>
      </c>
      <c r="E253" s="5" t="s">
        <v>117</v>
      </c>
      <c r="F253" s="4" t="s">
        <v>34</v>
      </c>
      <c r="G253" s="12">
        <v>0</v>
      </c>
      <c r="H253" s="6">
        <v>0</v>
      </c>
      <c r="I253" s="6"/>
      <c r="J253" s="6">
        <v>0</v>
      </c>
      <c r="K253" s="6"/>
      <c r="L253" s="6"/>
      <c r="M253" s="6"/>
      <c r="N253" s="6"/>
      <c r="O253" s="6"/>
      <c r="P253" s="6"/>
      <c r="Q253" s="6"/>
      <c r="R253" s="6"/>
      <c r="S253" s="6"/>
      <c r="T253" s="6"/>
    </row>
    <row r="254" spans="1:20" ht="14.4" x14ac:dyDescent="0.25">
      <c r="A254" s="4">
        <v>2019</v>
      </c>
      <c r="B254" s="4">
        <v>6</v>
      </c>
      <c r="C254" s="4" t="s">
        <v>18</v>
      </c>
      <c r="D254" s="11">
        <v>7605</v>
      </c>
      <c r="E254" s="5" t="s">
        <v>77</v>
      </c>
      <c r="F254" s="4" t="s">
        <v>34</v>
      </c>
      <c r="G254" s="12">
        <v>89267.66</v>
      </c>
      <c r="H254" s="6">
        <v>89267.66</v>
      </c>
      <c r="I254" s="6"/>
      <c r="J254" s="6">
        <v>15695.39</v>
      </c>
      <c r="K254" s="6">
        <v>15695.39</v>
      </c>
      <c r="L254" s="6"/>
      <c r="M254" s="6"/>
      <c r="N254" s="6"/>
      <c r="O254" s="6"/>
      <c r="P254" s="6"/>
      <c r="Q254" s="6"/>
      <c r="R254" s="6"/>
      <c r="S254" s="6"/>
      <c r="T254" s="6"/>
    </row>
    <row r="255" spans="1:20" ht="14.4" x14ac:dyDescent="0.25">
      <c r="A255" s="4">
        <v>2019</v>
      </c>
      <c r="B255" s="4">
        <v>6</v>
      </c>
      <c r="C255" s="4" t="s">
        <v>18</v>
      </c>
      <c r="D255" s="11">
        <v>41958</v>
      </c>
      <c r="E255" s="5" t="s">
        <v>78</v>
      </c>
      <c r="F255" s="4" t="s">
        <v>34</v>
      </c>
      <c r="G255" s="12">
        <v>193614.23</v>
      </c>
      <c r="H255" s="6">
        <v>193614.23</v>
      </c>
      <c r="I255" s="6"/>
      <c r="J255" s="6">
        <v>32269.040000000001</v>
      </c>
      <c r="K255" s="6">
        <v>32269.040000000001</v>
      </c>
      <c r="L255" s="6"/>
      <c r="M255" s="6"/>
      <c r="N255" s="6"/>
      <c r="O255" s="6"/>
      <c r="P255" s="6"/>
      <c r="Q255" s="6"/>
      <c r="R255" s="6"/>
      <c r="S255" s="6"/>
      <c r="T255" s="6"/>
    </row>
    <row r="256" spans="1:20" ht="14.4" x14ac:dyDescent="0.25">
      <c r="A256" s="4">
        <v>2019</v>
      </c>
      <c r="B256" s="4">
        <v>6</v>
      </c>
      <c r="C256" s="4" t="s">
        <v>18</v>
      </c>
      <c r="D256" s="11">
        <v>53317</v>
      </c>
      <c r="E256" s="5" t="s">
        <v>80</v>
      </c>
      <c r="F256" s="4" t="s">
        <v>34</v>
      </c>
      <c r="G256" s="12">
        <v>51739.24</v>
      </c>
      <c r="H256" s="6">
        <v>51739.24</v>
      </c>
      <c r="I256" s="6"/>
      <c r="J256" s="6">
        <v>9097.01</v>
      </c>
      <c r="K256" s="6">
        <v>9097.01</v>
      </c>
      <c r="L256" s="6"/>
      <c r="M256" s="6"/>
      <c r="N256" s="6"/>
      <c r="O256" s="6"/>
      <c r="P256" s="6"/>
      <c r="Q256" s="6"/>
      <c r="R256" s="6"/>
      <c r="S256" s="6"/>
      <c r="T256" s="6"/>
    </row>
    <row r="257" spans="1:20" ht="14.4" x14ac:dyDescent="0.25">
      <c r="A257" s="4">
        <v>2019</v>
      </c>
      <c r="B257" s="4">
        <v>6</v>
      </c>
      <c r="C257" s="4" t="s">
        <v>18</v>
      </c>
      <c r="D257" s="11">
        <v>57438</v>
      </c>
      <c r="E257" s="5" t="s">
        <v>259</v>
      </c>
      <c r="F257" s="4" t="s">
        <v>34</v>
      </c>
      <c r="G257" s="12">
        <v>1309513.58</v>
      </c>
      <c r="H257" s="6">
        <v>1309513.58</v>
      </c>
      <c r="I257" s="6"/>
      <c r="J257" s="6">
        <v>234030.61</v>
      </c>
      <c r="K257" s="6">
        <v>234030.61</v>
      </c>
      <c r="L257" s="6"/>
      <c r="M257" s="6"/>
      <c r="N257" s="6"/>
      <c r="O257" s="6"/>
      <c r="P257" s="6"/>
      <c r="Q257" s="6"/>
      <c r="R257" s="6"/>
      <c r="S257" s="6"/>
      <c r="T257" s="6"/>
    </row>
    <row r="258" spans="1:20" ht="14.4" x14ac:dyDescent="0.25">
      <c r="A258" s="4">
        <v>2019</v>
      </c>
      <c r="B258" s="4">
        <v>7</v>
      </c>
      <c r="C258" s="4" t="s">
        <v>18</v>
      </c>
      <c r="D258" s="11">
        <v>643</v>
      </c>
      <c r="E258" s="5" t="s">
        <v>72</v>
      </c>
      <c r="F258" s="4" t="s">
        <v>23</v>
      </c>
      <c r="G258" s="12">
        <v>6801432.5599999996</v>
      </c>
      <c r="H258" s="6">
        <v>2812233.08</v>
      </c>
      <c r="I258" s="6">
        <v>3989199.48</v>
      </c>
      <c r="J258" s="6">
        <v>806219.88</v>
      </c>
      <c r="K258" s="6">
        <v>218541.35</v>
      </c>
      <c r="L258" s="6">
        <v>587678.53</v>
      </c>
      <c r="M258" s="6">
        <v>5832492834.6199999</v>
      </c>
      <c r="N258" s="6">
        <v>5893422330.5600004</v>
      </c>
      <c r="O258" s="6">
        <v>5.2999999999999999E-2</v>
      </c>
      <c r="P258" s="6" t="s">
        <v>17</v>
      </c>
      <c r="Q258" s="6">
        <v>2.75E-2</v>
      </c>
      <c r="R258" s="6">
        <v>0.05</v>
      </c>
      <c r="S258" s="6"/>
      <c r="T258" s="6">
        <v>622939.24</v>
      </c>
    </row>
    <row r="259" spans="1:20" ht="14.4" x14ac:dyDescent="0.25">
      <c r="A259" s="4">
        <v>2019</v>
      </c>
      <c r="B259" s="4">
        <v>7</v>
      </c>
      <c r="C259" s="4" t="s">
        <v>18</v>
      </c>
      <c r="D259" s="11">
        <v>652</v>
      </c>
      <c r="E259" s="5" t="s">
        <v>74</v>
      </c>
      <c r="F259" s="4" t="s">
        <v>23</v>
      </c>
      <c r="G259" s="12">
        <v>3722543.12</v>
      </c>
      <c r="H259" s="6">
        <v>1414087.56</v>
      </c>
      <c r="I259" s="6">
        <v>2308455.56</v>
      </c>
      <c r="J259" s="6">
        <v>488749.47</v>
      </c>
      <c r="K259" s="6">
        <v>156159.41</v>
      </c>
      <c r="L259" s="6">
        <v>332590.06</v>
      </c>
      <c r="M259" s="6">
        <v>3313792291.8699999</v>
      </c>
      <c r="N259" s="6">
        <v>3322357547.0599999</v>
      </c>
      <c r="O259" s="6">
        <v>5.2999999999999999E-2</v>
      </c>
      <c r="P259" s="6" t="s">
        <v>17</v>
      </c>
      <c r="Q259" s="6">
        <v>2.75E-2</v>
      </c>
      <c r="R259" s="6">
        <v>0.05</v>
      </c>
      <c r="S259" s="6"/>
      <c r="T259" s="6">
        <v>352545.46</v>
      </c>
    </row>
    <row r="260" spans="1:20" ht="14.4" x14ac:dyDescent="0.25">
      <c r="A260" s="4">
        <v>2019</v>
      </c>
      <c r="B260" s="4">
        <v>7</v>
      </c>
      <c r="C260" s="4" t="s">
        <v>18</v>
      </c>
      <c r="D260" s="11">
        <v>44321</v>
      </c>
      <c r="E260" s="5" t="s">
        <v>26</v>
      </c>
      <c r="F260" s="4" t="s">
        <v>23</v>
      </c>
      <c r="G260" s="12">
        <v>446678.21</v>
      </c>
      <c r="H260" s="6">
        <v>245015.01</v>
      </c>
      <c r="I260" s="6">
        <v>201663.2</v>
      </c>
      <c r="J260" s="6">
        <v>58890.98</v>
      </c>
      <c r="K260" s="6">
        <v>28346.9</v>
      </c>
      <c r="L260" s="6">
        <v>30544.080000000002</v>
      </c>
      <c r="M260" s="6">
        <v>1009603371</v>
      </c>
      <c r="N260" s="6">
        <v>1021877723.83</v>
      </c>
      <c r="O260" s="6">
        <v>5.2999999999999999E-2</v>
      </c>
      <c r="P260" s="6" t="s">
        <v>17</v>
      </c>
      <c r="Q260" s="6">
        <v>2.75E-2</v>
      </c>
      <c r="R260" s="6">
        <v>1.4999999999999999E-2</v>
      </c>
      <c r="S260" s="6"/>
      <c r="T260" s="6">
        <v>32376.73</v>
      </c>
    </row>
    <row r="261" spans="1:20" ht="14.4" x14ac:dyDescent="0.25">
      <c r="A261" s="4">
        <v>2019</v>
      </c>
      <c r="B261" s="4">
        <v>7</v>
      </c>
      <c r="C261" s="4" t="s">
        <v>18</v>
      </c>
      <c r="D261" s="11">
        <v>650</v>
      </c>
      <c r="E261" s="5" t="s">
        <v>20</v>
      </c>
      <c r="F261" s="4" t="s">
        <v>34</v>
      </c>
      <c r="G261" s="12">
        <v>425788.46</v>
      </c>
      <c r="H261" s="6">
        <v>425788.46</v>
      </c>
      <c r="I261" s="6"/>
      <c r="J261" s="6">
        <v>55241.440000000002</v>
      </c>
      <c r="K261" s="6">
        <v>55241.440000000002</v>
      </c>
      <c r="L261" s="6"/>
      <c r="M261" s="6"/>
      <c r="N261" s="6"/>
      <c r="O261" s="6"/>
      <c r="P261" s="6"/>
      <c r="Q261" s="6"/>
      <c r="R261" s="6"/>
      <c r="S261" s="6"/>
      <c r="T261" s="6"/>
    </row>
    <row r="262" spans="1:20" ht="14.4" x14ac:dyDescent="0.25">
      <c r="A262" s="4">
        <v>2019</v>
      </c>
      <c r="B262" s="4">
        <v>7</v>
      </c>
      <c r="C262" s="4" t="s">
        <v>18</v>
      </c>
      <c r="D262" s="11">
        <v>999</v>
      </c>
      <c r="E262" s="5" t="s">
        <v>117</v>
      </c>
      <c r="F262" s="4" t="s">
        <v>34</v>
      </c>
      <c r="G262" s="12">
        <v>0</v>
      </c>
      <c r="H262" s="6">
        <v>0</v>
      </c>
      <c r="I262" s="6"/>
      <c r="J262" s="6">
        <v>0</v>
      </c>
      <c r="K262" s="6"/>
      <c r="L262" s="6"/>
      <c r="M262" s="6"/>
      <c r="N262" s="6"/>
      <c r="O262" s="6"/>
      <c r="P262" s="6"/>
      <c r="Q262" s="6"/>
      <c r="R262" s="6"/>
      <c r="S262" s="6"/>
      <c r="T262" s="6"/>
    </row>
    <row r="263" spans="1:20" ht="14.4" x14ac:dyDescent="0.25">
      <c r="A263" s="4">
        <v>2019</v>
      </c>
      <c r="B263" s="4">
        <v>7</v>
      </c>
      <c r="C263" s="4" t="s">
        <v>18</v>
      </c>
      <c r="D263" s="11">
        <v>7605</v>
      </c>
      <c r="E263" s="5" t="s">
        <v>77</v>
      </c>
      <c r="F263" s="4" t="s">
        <v>34</v>
      </c>
      <c r="G263" s="12">
        <v>105650.11</v>
      </c>
      <c r="H263" s="6">
        <v>105650.11</v>
      </c>
      <c r="I263" s="6"/>
      <c r="J263" s="6">
        <v>16382.45</v>
      </c>
      <c r="K263" s="6">
        <v>16382.45</v>
      </c>
      <c r="L263" s="6"/>
      <c r="M263" s="6"/>
      <c r="N263" s="6"/>
      <c r="O263" s="6"/>
      <c r="P263" s="6"/>
      <c r="Q263" s="6"/>
      <c r="R263" s="6"/>
      <c r="S263" s="6"/>
      <c r="T263" s="6"/>
    </row>
    <row r="264" spans="1:20" ht="14.4" x14ac:dyDescent="0.25">
      <c r="A264" s="4">
        <v>2019</v>
      </c>
      <c r="B264" s="4">
        <v>7</v>
      </c>
      <c r="C264" s="4" t="s">
        <v>18</v>
      </c>
      <c r="D264" s="11">
        <v>41958</v>
      </c>
      <c r="E264" s="5" t="s">
        <v>78</v>
      </c>
      <c r="F264" s="4" t="s">
        <v>34</v>
      </c>
      <c r="G264" s="12">
        <v>225883.26</v>
      </c>
      <c r="H264" s="6">
        <v>225883.26</v>
      </c>
      <c r="I264" s="6"/>
      <c r="J264" s="6">
        <v>32269.040000000001</v>
      </c>
      <c r="K264" s="6">
        <v>32269.040000000001</v>
      </c>
      <c r="L264" s="6"/>
      <c r="M264" s="6"/>
      <c r="N264" s="6"/>
      <c r="O264" s="6"/>
      <c r="P264" s="6"/>
      <c r="Q264" s="6"/>
      <c r="R264" s="6"/>
      <c r="S264" s="6"/>
      <c r="T264" s="6"/>
    </row>
    <row r="265" spans="1:20" ht="14.4" x14ac:dyDescent="0.25">
      <c r="A265" s="4">
        <v>2019</v>
      </c>
      <c r="B265" s="4">
        <v>7</v>
      </c>
      <c r="C265" s="4" t="s">
        <v>18</v>
      </c>
      <c r="D265" s="11">
        <v>53317</v>
      </c>
      <c r="E265" s="5" t="s">
        <v>80</v>
      </c>
      <c r="F265" s="4" t="s">
        <v>34</v>
      </c>
      <c r="G265" s="12">
        <v>60284.75</v>
      </c>
      <c r="H265" s="6">
        <v>60284.75</v>
      </c>
      <c r="I265" s="6"/>
      <c r="J265" s="6">
        <v>8545.52</v>
      </c>
      <c r="K265" s="6">
        <v>8545.52</v>
      </c>
      <c r="L265" s="6"/>
      <c r="M265" s="6"/>
      <c r="N265" s="6"/>
      <c r="O265" s="6"/>
      <c r="P265" s="6"/>
      <c r="Q265" s="6"/>
      <c r="R265" s="6"/>
      <c r="S265" s="6"/>
      <c r="T265" s="6"/>
    </row>
    <row r="266" spans="1:20" ht="14.4" x14ac:dyDescent="0.25">
      <c r="A266" s="4">
        <v>2019</v>
      </c>
      <c r="B266" s="4">
        <v>7</v>
      </c>
      <c r="C266" s="4" t="s">
        <v>18</v>
      </c>
      <c r="D266" s="11">
        <v>57438</v>
      </c>
      <c r="E266" s="5" t="s">
        <v>259</v>
      </c>
      <c r="F266" s="4" t="s">
        <v>34</v>
      </c>
      <c r="G266" s="12">
        <v>1553293.86</v>
      </c>
      <c r="H266" s="6">
        <v>1553293.86</v>
      </c>
      <c r="I266" s="6"/>
      <c r="J266" s="6">
        <v>243780.27</v>
      </c>
      <c r="K266" s="6">
        <v>243780.27</v>
      </c>
      <c r="L266" s="6"/>
      <c r="M266" s="6"/>
      <c r="N266" s="6"/>
      <c r="O266" s="6"/>
      <c r="P266" s="6"/>
      <c r="Q266" s="6"/>
      <c r="R266" s="6"/>
      <c r="S266" s="6"/>
      <c r="T266" s="6"/>
    </row>
    <row r="267" spans="1:20" ht="14.4" x14ac:dyDescent="0.25">
      <c r="A267" s="4">
        <v>2019</v>
      </c>
      <c r="B267" s="4">
        <v>8</v>
      </c>
      <c r="C267" s="4" t="s">
        <v>18</v>
      </c>
      <c r="D267" s="11">
        <v>643</v>
      </c>
      <c r="E267" s="5" t="s">
        <v>72</v>
      </c>
      <c r="F267" s="4" t="s">
        <v>23</v>
      </c>
      <c r="G267" s="12">
        <v>7455118.6399999997</v>
      </c>
      <c r="H267" s="6">
        <v>2871243.65</v>
      </c>
      <c r="I267" s="6">
        <v>4583874.99</v>
      </c>
      <c r="J267" s="6">
        <v>653686.07999999996</v>
      </c>
      <c r="K267" s="6">
        <v>59010.57</v>
      </c>
      <c r="L267" s="6">
        <v>594675.51</v>
      </c>
      <c r="M267" s="6">
        <v>5900233829.21</v>
      </c>
      <c r="N267" s="6">
        <v>5965291739.9300003</v>
      </c>
      <c r="O267" s="6">
        <v>5.2999999999999999E-2</v>
      </c>
      <c r="P267" s="6" t="s">
        <v>17</v>
      </c>
      <c r="Q267" s="6">
        <v>2.75E-2</v>
      </c>
      <c r="R267" s="6">
        <v>0.05</v>
      </c>
      <c r="S267" s="6"/>
      <c r="T267" s="6">
        <v>630356.05000000005</v>
      </c>
    </row>
    <row r="268" spans="1:20" ht="14.4" x14ac:dyDescent="0.25">
      <c r="A268" s="4">
        <v>2019</v>
      </c>
      <c r="B268" s="4">
        <v>8</v>
      </c>
      <c r="C268" s="4" t="s">
        <v>18</v>
      </c>
      <c r="D268" s="11">
        <v>652</v>
      </c>
      <c r="E268" s="5" t="s">
        <v>74</v>
      </c>
      <c r="F268" s="4" t="s">
        <v>23</v>
      </c>
      <c r="G268" s="12">
        <v>4163179.18</v>
      </c>
      <c r="H268" s="6">
        <v>1520083.74</v>
      </c>
      <c r="I268" s="6">
        <v>2643095.44</v>
      </c>
      <c r="J268" s="6">
        <v>440636.05</v>
      </c>
      <c r="K268" s="6">
        <v>105996.18</v>
      </c>
      <c r="L268" s="6">
        <v>334639.87</v>
      </c>
      <c r="M268" s="6">
        <v>3332390927.8899999</v>
      </c>
      <c r="N268" s="6">
        <v>3344658779.79</v>
      </c>
      <c r="O268" s="6">
        <v>5.2999999999999999E-2</v>
      </c>
      <c r="P268" s="6" t="s">
        <v>17</v>
      </c>
      <c r="Q268" s="6">
        <v>2.75E-2</v>
      </c>
      <c r="R268" s="6">
        <v>0.05</v>
      </c>
      <c r="S268" s="6"/>
      <c r="T268" s="6">
        <v>354718.27</v>
      </c>
    </row>
    <row r="269" spans="1:20" ht="14.4" x14ac:dyDescent="0.25">
      <c r="A269" s="4">
        <v>2019</v>
      </c>
      <c r="B269" s="4">
        <v>8</v>
      </c>
      <c r="C269" s="4" t="s">
        <v>18</v>
      </c>
      <c r="D269" s="11">
        <v>44321</v>
      </c>
      <c r="E269" s="5" t="s">
        <v>26</v>
      </c>
      <c r="F269" s="4" t="s">
        <v>23</v>
      </c>
      <c r="G269" s="12">
        <v>516367.02</v>
      </c>
      <c r="H269" s="6">
        <v>283736.94</v>
      </c>
      <c r="I269" s="6">
        <v>232630.08</v>
      </c>
      <c r="J269" s="6">
        <v>69688.81</v>
      </c>
      <c r="K269" s="6">
        <v>38721.93</v>
      </c>
      <c r="L269" s="6">
        <v>30966.880000000001</v>
      </c>
      <c r="M269" s="6">
        <v>1023929711.66</v>
      </c>
      <c r="N269" s="6">
        <v>1035671706.35</v>
      </c>
      <c r="O269" s="6">
        <v>5.2999999999999999E-2</v>
      </c>
      <c r="P269" s="6" t="s">
        <v>17</v>
      </c>
      <c r="Q269" s="6">
        <v>2.75E-2</v>
      </c>
      <c r="R269" s="6">
        <v>1.4999999999999999E-2</v>
      </c>
      <c r="S269" s="6"/>
      <c r="T269" s="6">
        <v>32824.9</v>
      </c>
    </row>
    <row r="270" spans="1:20" ht="14.4" x14ac:dyDescent="0.25">
      <c r="A270" s="4">
        <v>2019</v>
      </c>
      <c r="B270" s="4">
        <v>8</v>
      </c>
      <c r="C270" s="4" t="s">
        <v>18</v>
      </c>
      <c r="D270" s="11">
        <v>650</v>
      </c>
      <c r="E270" s="5" t="s">
        <v>20</v>
      </c>
      <c r="F270" s="4" t="s">
        <v>34</v>
      </c>
      <c r="G270" s="12">
        <v>482558.73</v>
      </c>
      <c r="H270" s="6">
        <v>482558.73</v>
      </c>
      <c r="I270" s="6"/>
      <c r="J270" s="6">
        <v>56770.26</v>
      </c>
      <c r="K270" s="6">
        <v>56770.26</v>
      </c>
      <c r="L270" s="6"/>
      <c r="M270" s="6"/>
      <c r="N270" s="6"/>
      <c r="O270" s="6"/>
      <c r="P270" s="6"/>
      <c r="Q270" s="6"/>
      <c r="R270" s="6"/>
      <c r="S270" s="6"/>
      <c r="T270" s="6"/>
    </row>
    <row r="271" spans="1:20" ht="14.4" x14ac:dyDescent="0.25">
      <c r="A271" s="4">
        <v>2019</v>
      </c>
      <c r="B271" s="4">
        <v>8</v>
      </c>
      <c r="C271" s="4" t="s">
        <v>18</v>
      </c>
      <c r="D271" s="11">
        <v>999</v>
      </c>
      <c r="E271" s="5" t="s">
        <v>117</v>
      </c>
      <c r="F271" s="4" t="s">
        <v>34</v>
      </c>
      <c r="G271" s="12">
        <v>38191.919999999998</v>
      </c>
      <c r="H271" s="6">
        <v>38191.919999999998</v>
      </c>
      <c r="I271" s="6"/>
      <c r="J271" s="6">
        <v>38191.919999999998</v>
      </c>
      <c r="K271" s="6">
        <v>38191.919999999998</v>
      </c>
      <c r="L271" s="6"/>
      <c r="M271" s="6"/>
      <c r="N271" s="6"/>
      <c r="O271" s="6"/>
      <c r="P271" s="6"/>
      <c r="Q271" s="6"/>
      <c r="R271" s="6"/>
      <c r="S271" s="6"/>
      <c r="T271" s="6"/>
    </row>
    <row r="272" spans="1:20" ht="14.4" x14ac:dyDescent="0.25">
      <c r="A272" s="4">
        <v>2019</v>
      </c>
      <c r="B272" s="4">
        <v>8</v>
      </c>
      <c r="C272" s="4" t="s">
        <v>18</v>
      </c>
      <c r="D272" s="11">
        <v>7605</v>
      </c>
      <c r="E272" s="5" t="s">
        <v>77</v>
      </c>
      <c r="F272" s="4" t="s">
        <v>34</v>
      </c>
      <c r="G272" s="12">
        <v>121001.59</v>
      </c>
      <c r="H272" s="6">
        <v>121001.59</v>
      </c>
      <c r="I272" s="6"/>
      <c r="J272" s="6">
        <v>15351.48</v>
      </c>
      <c r="K272" s="6">
        <v>15351.48</v>
      </c>
      <c r="L272" s="6"/>
      <c r="M272" s="6"/>
      <c r="N272" s="6"/>
      <c r="O272" s="6"/>
      <c r="P272" s="6"/>
      <c r="Q272" s="6"/>
      <c r="R272" s="6"/>
      <c r="S272" s="6"/>
      <c r="T272" s="6"/>
    </row>
    <row r="273" spans="1:20" ht="14.4" x14ac:dyDescent="0.25">
      <c r="A273" s="4">
        <v>2019</v>
      </c>
      <c r="B273" s="4">
        <v>8</v>
      </c>
      <c r="C273" s="4" t="s">
        <v>18</v>
      </c>
      <c r="D273" s="11">
        <v>41958</v>
      </c>
      <c r="E273" s="5" t="s">
        <v>78</v>
      </c>
      <c r="F273" s="4" t="s">
        <v>34</v>
      </c>
      <c r="G273" s="12">
        <v>0</v>
      </c>
      <c r="H273" s="6">
        <v>0</v>
      </c>
      <c r="I273" s="6"/>
      <c r="J273" s="6">
        <v>-225883.26</v>
      </c>
      <c r="K273" s="6">
        <v>-225883.26</v>
      </c>
      <c r="L273" s="6"/>
      <c r="M273" s="6"/>
      <c r="N273" s="6"/>
      <c r="O273" s="6"/>
      <c r="P273" s="6"/>
      <c r="Q273" s="6"/>
      <c r="R273" s="6"/>
      <c r="S273" s="6"/>
      <c r="T273" s="6"/>
    </row>
    <row r="274" spans="1:20" ht="14.4" x14ac:dyDescent="0.25">
      <c r="A274" s="4">
        <v>2019</v>
      </c>
      <c r="B274" s="4">
        <v>8</v>
      </c>
      <c r="C274" s="4" t="s">
        <v>18</v>
      </c>
      <c r="D274" s="11">
        <v>53317</v>
      </c>
      <c r="E274" s="5" t="s">
        <v>80</v>
      </c>
      <c r="F274" s="4" t="s">
        <v>34</v>
      </c>
      <c r="G274" s="12">
        <v>69333.75</v>
      </c>
      <c r="H274" s="6">
        <v>69333.75</v>
      </c>
      <c r="I274" s="6"/>
      <c r="J274" s="6">
        <v>9048.99</v>
      </c>
      <c r="K274" s="6">
        <v>9048.99</v>
      </c>
      <c r="L274" s="6"/>
      <c r="M274" s="6"/>
      <c r="N274" s="6"/>
      <c r="O274" s="6"/>
      <c r="P274" s="6"/>
      <c r="Q274" s="6"/>
      <c r="R274" s="6"/>
      <c r="S274" s="6"/>
      <c r="T274" s="6"/>
    </row>
    <row r="275" spans="1:20" ht="14.4" x14ac:dyDescent="0.25">
      <c r="A275" s="4">
        <v>2019</v>
      </c>
      <c r="B275" s="4">
        <v>8</v>
      </c>
      <c r="C275" s="4" t="s">
        <v>18</v>
      </c>
      <c r="D275" s="11">
        <v>57438</v>
      </c>
      <c r="E275" s="5" t="s">
        <v>259</v>
      </c>
      <c r="F275" s="4" t="s">
        <v>34</v>
      </c>
      <c r="G275" s="12">
        <v>1776510.61</v>
      </c>
      <c r="H275" s="6">
        <v>1776510.61</v>
      </c>
      <c r="I275" s="6"/>
      <c r="J275" s="6">
        <v>223216.75</v>
      </c>
      <c r="K275" s="6">
        <v>223216.75</v>
      </c>
      <c r="L275" s="6"/>
      <c r="M275" s="6"/>
      <c r="N275" s="6"/>
      <c r="O275" s="6"/>
      <c r="P275" s="6"/>
      <c r="Q275" s="6"/>
      <c r="R275" s="6"/>
      <c r="S275" s="6"/>
      <c r="T275" s="6"/>
    </row>
    <row r="276" spans="1:20" ht="14.4" x14ac:dyDescent="0.25">
      <c r="A276" s="4">
        <v>2019</v>
      </c>
      <c r="B276" s="4">
        <v>9</v>
      </c>
      <c r="C276" s="4" t="s">
        <v>18</v>
      </c>
      <c r="D276" s="11">
        <v>643</v>
      </c>
      <c r="E276" s="5" t="s">
        <v>72</v>
      </c>
      <c r="F276" s="4" t="s">
        <v>23</v>
      </c>
      <c r="G276" s="12">
        <v>8238762.8099999996</v>
      </c>
      <c r="H276" s="6">
        <v>3055188.09</v>
      </c>
      <c r="I276" s="6">
        <v>5183574.72</v>
      </c>
      <c r="J276" s="6">
        <v>783644.17</v>
      </c>
      <c r="K276" s="6">
        <v>183944.44</v>
      </c>
      <c r="L276" s="6">
        <v>599699.73</v>
      </c>
      <c r="M276" s="6">
        <v>5972965395.8000002</v>
      </c>
      <c r="N276" s="6">
        <v>5992807983.1400003</v>
      </c>
      <c r="O276" s="6">
        <v>5.2999999999999999E-2</v>
      </c>
      <c r="P276" s="6" t="s">
        <v>17</v>
      </c>
      <c r="Q276" s="6">
        <v>2.75E-2</v>
      </c>
      <c r="R276" s="6">
        <v>0.05</v>
      </c>
      <c r="S276" s="6"/>
      <c r="T276" s="6">
        <v>635681.71</v>
      </c>
    </row>
    <row r="277" spans="1:20" ht="14.4" x14ac:dyDescent="0.25">
      <c r="A277" s="4">
        <v>2019</v>
      </c>
      <c r="B277" s="4">
        <v>9</v>
      </c>
      <c r="C277" s="4" t="s">
        <v>18</v>
      </c>
      <c r="D277" s="11">
        <v>652</v>
      </c>
      <c r="E277" s="5" t="s">
        <v>74</v>
      </c>
      <c r="F277" s="4" t="s">
        <v>23</v>
      </c>
      <c r="G277" s="12">
        <v>4604993.17</v>
      </c>
      <c r="H277" s="6">
        <v>1626079.92</v>
      </c>
      <c r="I277" s="6">
        <v>2978913.25</v>
      </c>
      <c r="J277" s="6">
        <v>441814</v>
      </c>
      <c r="K277" s="6">
        <v>105996.18</v>
      </c>
      <c r="L277" s="6">
        <v>335817.82</v>
      </c>
      <c r="M277" s="6">
        <v>3346198549.1599998</v>
      </c>
      <c r="N277" s="6">
        <v>3354354607.6300001</v>
      </c>
      <c r="O277" s="6">
        <v>5.2999999999999999E-2</v>
      </c>
      <c r="P277" s="6" t="s">
        <v>17</v>
      </c>
      <c r="Q277" s="6">
        <v>2.75E-2</v>
      </c>
      <c r="R277" s="6">
        <v>0.05</v>
      </c>
      <c r="S277" s="6"/>
      <c r="T277" s="6">
        <v>355966.89</v>
      </c>
    </row>
    <row r="278" spans="1:20" ht="14.4" x14ac:dyDescent="0.25">
      <c r="A278" s="4">
        <v>2019</v>
      </c>
      <c r="B278" s="4">
        <v>9</v>
      </c>
      <c r="C278" s="4" t="s">
        <v>18</v>
      </c>
      <c r="D278" s="11">
        <v>44321</v>
      </c>
      <c r="E278" s="5" t="s">
        <v>26</v>
      </c>
      <c r="F278" s="4" t="s">
        <v>23</v>
      </c>
      <c r="G278" s="12">
        <v>586823.27</v>
      </c>
      <c r="H278" s="6">
        <v>322825.92</v>
      </c>
      <c r="I278" s="6">
        <v>263997.34999999998</v>
      </c>
      <c r="J278" s="6">
        <v>70456.25</v>
      </c>
      <c r="K278" s="6">
        <v>39088.980000000003</v>
      </c>
      <c r="L278" s="6">
        <v>31367.27</v>
      </c>
      <c r="M278" s="6">
        <v>1038701671.17</v>
      </c>
      <c r="N278" s="6">
        <v>1047529111.33</v>
      </c>
      <c r="O278" s="6">
        <v>5.2999999999999999E-2</v>
      </c>
      <c r="P278" s="6" t="s">
        <v>17</v>
      </c>
      <c r="Q278" s="6">
        <v>2.75E-2</v>
      </c>
      <c r="R278" s="6">
        <v>1.4999999999999999E-2</v>
      </c>
      <c r="S278" s="6"/>
      <c r="T278" s="6">
        <v>33249.300000000003</v>
      </c>
    </row>
    <row r="279" spans="1:20" ht="14.4" x14ac:dyDescent="0.25">
      <c r="A279" s="4">
        <v>2019</v>
      </c>
      <c r="B279" s="4">
        <v>9</v>
      </c>
      <c r="C279" s="4" t="s">
        <v>18</v>
      </c>
      <c r="D279" s="11">
        <v>650</v>
      </c>
      <c r="E279" s="5" t="s">
        <v>20</v>
      </c>
      <c r="F279" s="4" t="s">
        <v>34</v>
      </c>
      <c r="G279" s="12">
        <v>539328.99</v>
      </c>
      <c r="H279" s="6">
        <v>539328.99</v>
      </c>
      <c r="I279" s="6"/>
      <c r="J279" s="6">
        <v>56770.26</v>
      </c>
      <c r="K279" s="6">
        <v>56770.26</v>
      </c>
      <c r="L279" s="6"/>
      <c r="M279" s="6"/>
      <c r="N279" s="6"/>
      <c r="O279" s="6"/>
      <c r="P279" s="6"/>
      <c r="Q279" s="6"/>
      <c r="R279" s="6"/>
      <c r="S279" s="6"/>
      <c r="T279" s="6"/>
    </row>
    <row r="280" spans="1:20" ht="14.4" x14ac:dyDescent="0.25">
      <c r="A280" s="4">
        <v>2019</v>
      </c>
      <c r="B280" s="4">
        <v>9</v>
      </c>
      <c r="C280" s="4" t="s">
        <v>18</v>
      </c>
      <c r="D280" s="11">
        <v>999</v>
      </c>
      <c r="E280" s="5" t="s">
        <v>117</v>
      </c>
      <c r="F280" s="4" t="s">
        <v>34</v>
      </c>
      <c r="G280" s="12">
        <v>38191.919999999998</v>
      </c>
      <c r="H280" s="6">
        <v>38191.919999999998</v>
      </c>
      <c r="I280" s="6"/>
      <c r="J280" s="6">
        <v>0</v>
      </c>
      <c r="K280" s="6"/>
      <c r="L280" s="6"/>
      <c r="M280" s="6"/>
      <c r="N280" s="6"/>
      <c r="O280" s="6"/>
      <c r="P280" s="6"/>
      <c r="Q280" s="6"/>
      <c r="R280" s="6"/>
      <c r="S280" s="6"/>
      <c r="T280" s="6"/>
    </row>
    <row r="281" spans="1:20" ht="14.4" x14ac:dyDescent="0.25">
      <c r="A281" s="4">
        <v>2019</v>
      </c>
      <c r="B281" s="4">
        <v>9</v>
      </c>
      <c r="C281" s="4" t="s">
        <v>18</v>
      </c>
      <c r="D281" s="11">
        <v>7605</v>
      </c>
      <c r="E281" s="5" t="s">
        <v>77</v>
      </c>
      <c r="F281" s="4" t="s">
        <v>34</v>
      </c>
      <c r="G281" s="12">
        <v>136574.18</v>
      </c>
      <c r="H281" s="6">
        <v>136574.18</v>
      </c>
      <c r="I281" s="6"/>
      <c r="J281" s="6">
        <v>15572.58</v>
      </c>
      <c r="K281" s="6">
        <v>15572.58</v>
      </c>
      <c r="L281" s="6"/>
      <c r="M281" s="6"/>
      <c r="N281" s="6"/>
      <c r="O281" s="6"/>
      <c r="P281" s="6"/>
      <c r="Q281" s="6"/>
      <c r="R281" s="6"/>
      <c r="S281" s="6"/>
      <c r="T281" s="6"/>
    </row>
    <row r="282" spans="1:20" ht="14.4" x14ac:dyDescent="0.25">
      <c r="A282" s="4">
        <v>2019</v>
      </c>
      <c r="B282" s="4">
        <v>9</v>
      </c>
      <c r="C282" s="4" t="s">
        <v>18</v>
      </c>
      <c r="D282" s="11">
        <v>41958</v>
      </c>
      <c r="E282" s="5" t="s">
        <v>78</v>
      </c>
      <c r="F282" s="4" t="s">
        <v>34</v>
      </c>
      <c r="G282" s="12">
        <v>0</v>
      </c>
      <c r="H282" s="6">
        <v>0</v>
      </c>
      <c r="I282" s="6"/>
      <c r="J282" s="6">
        <v>0</v>
      </c>
      <c r="K282" s="6"/>
      <c r="L282" s="6"/>
      <c r="M282" s="6"/>
      <c r="N282" s="6"/>
      <c r="O282" s="6"/>
      <c r="P282" s="6"/>
      <c r="Q282" s="6"/>
      <c r="R282" s="6"/>
      <c r="S282" s="6"/>
      <c r="T282" s="6"/>
    </row>
    <row r="283" spans="1:20" ht="14.4" x14ac:dyDescent="0.25">
      <c r="A283" s="4">
        <v>2019</v>
      </c>
      <c r="B283" s="4">
        <v>9</v>
      </c>
      <c r="C283" s="4" t="s">
        <v>18</v>
      </c>
      <c r="D283" s="11">
        <v>53317</v>
      </c>
      <c r="E283" s="5" t="s">
        <v>80</v>
      </c>
      <c r="F283" s="4" t="s">
        <v>34</v>
      </c>
      <c r="G283" s="12">
        <v>78197.8</v>
      </c>
      <c r="H283" s="6">
        <v>78197.8</v>
      </c>
      <c r="I283" s="6"/>
      <c r="J283" s="6">
        <v>8864.06</v>
      </c>
      <c r="K283" s="6">
        <v>8864.06</v>
      </c>
      <c r="L283" s="6"/>
      <c r="M283" s="6"/>
      <c r="N283" s="6"/>
      <c r="O283" s="6"/>
      <c r="P283" s="6"/>
      <c r="Q283" s="6"/>
      <c r="R283" s="6"/>
      <c r="S283" s="6"/>
      <c r="T283" s="6"/>
    </row>
    <row r="284" spans="1:20" ht="14.4" x14ac:dyDescent="0.25">
      <c r="A284" s="4">
        <v>2019</v>
      </c>
      <c r="B284" s="4">
        <v>9</v>
      </c>
      <c r="C284" s="4" t="s">
        <v>18</v>
      </c>
      <c r="D284" s="11">
        <v>57438</v>
      </c>
      <c r="E284" s="5" t="s">
        <v>259</v>
      </c>
      <c r="F284" s="4" t="s">
        <v>34</v>
      </c>
      <c r="G284" s="12">
        <v>2007696.72</v>
      </c>
      <c r="H284" s="6">
        <v>2007696.72</v>
      </c>
      <c r="I284" s="6"/>
      <c r="J284" s="6">
        <v>231186.1</v>
      </c>
      <c r="K284" s="6">
        <v>231186.1</v>
      </c>
      <c r="L284" s="6"/>
      <c r="M284" s="6"/>
      <c r="N284" s="6"/>
      <c r="O284" s="6"/>
      <c r="P284" s="6"/>
      <c r="Q284" s="6"/>
      <c r="R284" s="6"/>
      <c r="S284" s="6"/>
      <c r="T284" s="6"/>
    </row>
    <row r="285" spans="1:20" ht="14.4" x14ac:dyDescent="0.25">
      <c r="A285" s="4">
        <v>2019</v>
      </c>
      <c r="B285" s="4">
        <v>10</v>
      </c>
      <c r="C285" s="4" t="s">
        <v>18</v>
      </c>
      <c r="D285" s="11">
        <v>643</v>
      </c>
      <c r="E285" s="5" t="s">
        <v>72</v>
      </c>
      <c r="F285" s="4" t="s">
        <v>23</v>
      </c>
      <c r="G285" s="12">
        <v>8165934.4800000004</v>
      </c>
      <c r="H285" s="6">
        <v>2374698.85</v>
      </c>
      <c r="I285" s="6">
        <v>5791235.6299999999</v>
      </c>
      <c r="J285" s="6">
        <v>-72828.34</v>
      </c>
      <c r="K285" s="6">
        <v>-680489.25</v>
      </c>
      <c r="L285" s="6">
        <v>607660.91</v>
      </c>
      <c r="M285" s="6">
        <v>6024849677.7299995</v>
      </c>
      <c r="N285" s="6">
        <v>6099772693.0299997</v>
      </c>
      <c r="O285" s="6">
        <v>5.2999999999999999E-2</v>
      </c>
      <c r="P285" s="6" t="s">
        <v>17</v>
      </c>
      <c r="Q285" s="6">
        <v>2.75E-2</v>
      </c>
      <c r="R285" s="6">
        <v>0.05</v>
      </c>
      <c r="S285" s="6"/>
      <c r="T285" s="6">
        <v>644120.56000000006</v>
      </c>
    </row>
    <row r="286" spans="1:20" ht="14.4" x14ac:dyDescent="0.25">
      <c r="A286" s="4">
        <v>2019</v>
      </c>
      <c r="B286" s="4">
        <v>10</v>
      </c>
      <c r="C286" s="4" t="s">
        <v>18</v>
      </c>
      <c r="D286" s="11">
        <v>652</v>
      </c>
      <c r="E286" s="5" t="s">
        <v>74</v>
      </c>
      <c r="F286" s="4" t="s">
        <v>23</v>
      </c>
      <c r="G286" s="12">
        <v>5022532.8</v>
      </c>
      <c r="H286" s="6">
        <v>1707467.06</v>
      </c>
      <c r="I286" s="6">
        <v>3315065.74</v>
      </c>
      <c r="J286" s="6">
        <v>417539.62</v>
      </c>
      <c r="K286" s="6">
        <v>81387.14</v>
      </c>
      <c r="L286" s="6">
        <v>336152.48</v>
      </c>
      <c r="M286" s="6">
        <v>3348443341.5900002</v>
      </c>
      <c r="N286" s="6">
        <v>3358787363.04</v>
      </c>
      <c r="O286" s="6">
        <v>5.2999999999999999E-2</v>
      </c>
      <c r="P286" s="6" t="s">
        <v>17</v>
      </c>
      <c r="Q286" s="6">
        <v>2.75E-2</v>
      </c>
      <c r="R286" s="6">
        <v>0.05</v>
      </c>
      <c r="S286" s="6"/>
      <c r="T286" s="6">
        <v>356321.63</v>
      </c>
    </row>
    <row r="287" spans="1:20" ht="14.4" x14ac:dyDescent="0.25">
      <c r="A287" s="4">
        <v>2019</v>
      </c>
      <c r="B287" s="4">
        <v>10</v>
      </c>
      <c r="C287" s="4" t="s">
        <v>18</v>
      </c>
      <c r="D287" s="11">
        <v>44321</v>
      </c>
      <c r="E287" s="5" t="s">
        <v>26</v>
      </c>
      <c r="F287" s="4" t="s">
        <v>23</v>
      </c>
      <c r="G287" s="12">
        <v>672210.6</v>
      </c>
      <c r="H287" s="6">
        <v>376590.13</v>
      </c>
      <c r="I287" s="6">
        <v>295620.46999999997</v>
      </c>
      <c r="J287" s="6">
        <v>85387.33</v>
      </c>
      <c r="K287" s="6">
        <v>53764.21</v>
      </c>
      <c r="L287" s="6">
        <v>31623.119999999999</v>
      </c>
      <c r="M287" s="6">
        <v>1050397974.62</v>
      </c>
      <c r="N287" s="6">
        <v>1052849782.14</v>
      </c>
      <c r="O287" s="6">
        <v>5.2999999999999999E-2</v>
      </c>
      <c r="P287" s="6" t="s">
        <v>17</v>
      </c>
      <c r="Q287" s="6">
        <v>2.75E-2</v>
      </c>
      <c r="R287" s="6">
        <v>1.4999999999999999E-2</v>
      </c>
      <c r="S287" s="6"/>
      <c r="T287" s="6">
        <v>33520.51</v>
      </c>
    </row>
    <row r="288" spans="1:20" ht="14.4" x14ac:dyDescent="0.25">
      <c r="A288" s="4">
        <v>2019</v>
      </c>
      <c r="B288" s="4">
        <v>10</v>
      </c>
      <c r="C288" s="4" t="s">
        <v>18</v>
      </c>
      <c r="D288" s="11">
        <v>650</v>
      </c>
      <c r="E288" s="5" t="s">
        <v>20</v>
      </c>
      <c r="F288" s="4" t="s">
        <v>34</v>
      </c>
      <c r="G288" s="12">
        <v>594926.09</v>
      </c>
      <c r="H288" s="6">
        <v>594926.09</v>
      </c>
      <c r="I288" s="6"/>
      <c r="J288" s="6">
        <v>55597.1</v>
      </c>
      <c r="K288" s="6">
        <v>55597.1</v>
      </c>
      <c r="L288" s="6"/>
      <c r="M288" s="6"/>
      <c r="N288" s="6"/>
      <c r="O288" s="6"/>
      <c r="P288" s="6"/>
      <c r="Q288" s="6"/>
      <c r="R288" s="6"/>
      <c r="S288" s="6"/>
      <c r="T288" s="6"/>
    </row>
    <row r="289" spans="1:20" ht="14.4" x14ac:dyDescent="0.25">
      <c r="A289" s="4">
        <v>2019</v>
      </c>
      <c r="B289" s="4">
        <v>10</v>
      </c>
      <c r="C289" s="4" t="s">
        <v>18</v>
      </c>
      <c r="D289" s="11">
        <v>999</v>
      </c>
      <c r="E289" s="5" t="s">
        <v>117</v>
      </c>
      <c r="F289" s="4" t="s">
        <v>34</v>
      </c>
      <c r="G289" s="12">
        <v>38191.919999999998</v>
      </c>
      <c r="H289" s="6">
        <v>38191.919999999998</v>
      </c>
      <c r="I289" s="6"/>
      <c r="J289" s="6">
        <v>0</v>
      </c>
      <c r="K289" s="6"/>
      <c r="L289" s="6"/>
      <c r="M289" s="6"/>
      <c r="N289" s="6"/>
      <c r="O289" s="6"/>
      <c r="P289" s="6"/>
      <c r="Q289" s="6"/>
      <c r="R289" s="6"/>
      <c r="S289" s="6"/>
      <c r="T289" s="6"/>
    </row>
    <row r="290" spans="1:20" ht="14.4" x14ac:dyDescent="0.25">
      <c r="A290" s="4">
        <v>2019</v>
      </c>
      <c r="B290" s="4">
        <v>10</v>
      </c>
      <c r="C290" s="4" t="s">
        <v>18</v>
      </c>
      <c r="D290" s="11">
        <v>7605</v>
      </c>
      <c r="E290" s="5" t="s">
        <v>77</v>
      </c>
      <c r="F290" s="4" t="s">
        <v>34</v>
      </c>
      <c r="G290" s="12">
        <v>152736.69</v>
      </c>
      <c r="H290" s="6">
        <v>152736.69</v>
      </c>
      <c r="I290" s="6"/>
      <c r="J290" s="6">
        <v>16162.51</v>
      </c>
      <c r="K290" s="6">
        <v>16162.51</v>
      </c>
      <c r="L290" s="6"/>
      <c r="M290" s="6"/>
      <c r="N290" s="6"/>
      <c r="O290" s="6"/>
      <c r="P290" s="6"/>
      <c r="Q290" s="6"/>
      <c r="R290" s="6"/>
      <c r="S290" s="6"/>
      <c r="T290" s="6"/>
    </row>
    <row r="291" spans="1:20" ht="14.4" x14ac:dyDescent="0.25">
      <c r="A291" s="4">
        <v>2019</v>
      </c>
      <c r="B291" s="4">
        <v>10</v>
      </c>
      <c r="C291" s="4" t="s">
        <v>18</v>
      </c>
      <c r="D291" s="11">
        <v>41958</v>
      </c>
      <c r="E291" s="5" t="s">
        <v>78</v>
      </c>
      <c r="F291" s="4" t="s">
        <v>34</v>
      </c>
      <c r="G291" s="12">
        <v>0</v>
      </c>
      <c r="H291" s="6">
        <v>0</v>
      </c>
      <c r="I291" s="6"/>
      <c r="J291" s="6">
        <v>0</v>
      </c>
      <c r="K291" s="6"/>
      <c r="L291" s="6"/>
      <c r="M291" s="6"/>
      <c r="N291" s="6"/>
      <c r="O291" s="6"/>
      <c r="P291" s="6"/>
      <c r="Q291" s="6"/>
      <c r="R291" s="6"/>
      <c r="S291" s="6"/>
      <c r="T291" s="6"/>
    </row>
    <row r="292" spans="1:20" ht="14.4" x14ac:dyDescent="0.25">
      <c r="A292" s="4">
        <v>2019</v>
      </c>
      <c r="B292" s="4">
        <v>10</v>
      </c>
      <c r="C292" s="4" t="s">
        <v>18</v>
      </c>
      <c r="D292" s="11">
        <v>53317</v>
      </c>
      <c r="E292" s="5" t="s">
        <v>80</v>
      </c>
      <c r="F292" s="4" t="s">
        <v>34</v>
      </c>
      <c r="G292" s="12">
        <v>87149.59</v>
      </c>
      <c r="H292" s="6">
        <v>87149.59</v>
      </c>
      <c r="I292" s="6"/>
      <c r="J292" s="6">
        <v>8951.7900000000009</v>
      </c>
      <c r="K292" s="6">
        <v>8951.7900000000009</v>
      </c>
      <c r="L292" s="6"/>
      <c r="M292" s="6"/>
      <c r="N292" s="6"/>
      <c r="O292" s="6"/>
      <c r="P292" s="6"/>
      <c r="Q292" s="6"/>
      <c r="R292" s="6"/>
      <c r="S292" s="6"/>
      <c r="T292" s="6"/>
    </row>
    <row r="293" spans="1:20" ht="14.4" x14ac:dyDescent="0.25">
      <c r="A293" s="4">
        <v>2019</v>
      </c>
      <c r="B293" s="4">
        <v>10</v>
      </c>
      <c r="C293" s="4" t="s">
        <v>18</v>
      </c>
      <c r="D293" s="11">
        <v>57438</v>
      </c>
      <c r="E293" s="5" t="s">
        <v>259</v>
      </c>
      <c r="F293" s="4" t="s">
        <v>34</v>
      </c>
      <c r="G293" s="12">
        <v>2249968.58</v>
      </c>
      <c r="H293" s="6">
        <v>2249968.58</v>
      </c>
      <c r="I293" s="6"/>
      <c r="J293" s="6">
        <v>242271.86</v>
      </c>
      <c r="K293" s="6">
        <v>242271.86</v>
      </c>
      <c r="L293" s="6"/>
      <c r="M293" s="6"/>
      <c r="N293" s="6"/>
      <c r="O293" s="6"/>
      <c r="P293" s="6"/>
      <c r="Q293" s="6"/>
      <c r="R293" s="6"/>
      <c r="S293" s="6"/>
      <c r="T293" s="6"/>
    </row>
    <row r="294" spans="1:20" ht="14.4" x14ac:dyDescent="0.25">
      <c r="A294" s="4">
        <v>2019</v>
      </c>
      <c r="B294" s="4">
        <v>11</v>
      </c>
      <c r="C294" s="4" t="s">
        <v>18</v>
      </c>
      <c r="D294" s="11">
        <v>643</v>
      </c>
      <c r="E294" s="5" t="s">
        <v>72</v>
      </c>
      <c r="F294" s="4" t="s">
        <v>23</v>
      </c>
      <c r="G294" s="12">
        <v>8782297.6400000006</v>
      </c>
      <c r="H294" s="6">
        <v>2376492.73</v>
      </c>
      <c r="I294" s="6">
        <v>6405804.9100000001</v>
      </c>
      <c r="J294" s="6">
        <v>616363.17000000004</v>
      </c>
      <c r="K294" s="6">
        <v>1793.88</v>
      </c>
      <c r="L294" s="6">
        <v>614569.29</v>
      </c>
      <c r="M294" s="6">
        <v>6099772693.0299997</v>
      </c>
      <c r="N294" s="6">
        <v>6162692136.3100004</v>
      </c>
      <c r="O294" s="6">
        <v>5.2999999999999999E-2</v>
      </c>
      <c r="P294" s="6" t="s">
        <v>17</v>
      </c>
      <c r="Q294" s="6">
        <v>2.75E-2</v>
      </c>
      <c r="R294" s="6">
        <v>0.05</v>
      </c>
      <c r="S294" s="6"/>
      <c r="T294" s="6">
        <v>651443.43999999994</v>
      </c>
    </row>
    <row r="295" spans="1:20" ht="14.4" x14ac:dyDescent="0.25">
      <c r="A295" s="4">
        <v>2019</v>
      </c>
      <c r="B295" s="4">
        <v>11</v>
      </c>
      <c r="C295" s="4" t="s">
        <v>18</v>
      </c>
      <c r="D295" s="11">
        <v>652</v>
      </c>
      <c r="E295" s="5" t="s">
        <v>74</v>
      </c>
      <c r="F295" s="4" t="s">
        <v>23</v>
      </c>
      <c r="G295" s="12">
        <v>5466545.3200000003</v>
      </c>
      <c r="H295" s="6">
        <v>1814430.67</v>
      </c>
      <c r="I295" s="6">
        <v>3652114.65</v>
      </c>
      <c r="J295" s="6">
        <v>444012.53</v>
      </c>
      <c r="K295" s="6">
        <v>106963.61</v>
      </c>
      <c r="L295" s="6">
        <v>337048.92</v>
      </c>
      <c r="M295" s="6">
        <v>3358787363.04</v>
      </c>
      <c r="N295" s="6">
        <v>3366329823.5700002</v>
      </c>
      <c r="O295" s="6">
        <v>5.2999999999999999E-2</v>
      </c>
      <c r="P295" s="6" t="s">
        <v>17</v>
      </c>
      <c r="Q295" s="6">
        <v>2.75E-2</v>
      </c>
      <c r="R295" s="6">
        <v>0.05</v>
      </c>
      <c r="S295" s="6"/>
      <c r="T295" s="6">
        <v>357271.85</v>
      </c>
    </row>
    <row r="296" spans="1:20" ht="14.4" x14ac:dyDescent="0.25">
      <c r="A296" s="4">
        <v>2019</v>
      </c>
      <c r="B296" s="4">
        <v>11</v>
      </c>
      <c r="C296" s="4" t="s">
        <v>18</v>
      </c>
      <c r="D296" s="11">
        <v>44321</v>
      </c>
      <c r="E296" s="5" t="s">
        <v>26</v>
      </c>
      <c r="F296" s="4" t="s">
        <v>23</v>
      </c>
      <c r="G296" s="12">
        <v>752456.39</v>
      </c>
      <c r="H296" s="6">
        <v>424969.75</v>
      </c>
      <c r="I296" s="6">
        <v>327486.64</v>
      </c>
      <c r="J296" s="6">
        <v>80245.78</v>
      </c>
      <c r="K296" s="6">
        <v>48379.61</v>
      </c>
      <c r="L296" s="6">
        <v>31866.17</v>
      </c>
      <c r="M296" s="6">
        <v>1052849782.14</v>
      </c>
      <c r="N296" s="6">
        <v>1066562786.02</v>
      </c>
      <c r="O296" s="6">
        <v>5.2999999999999999E-2</v>
      </c>
      <c r="P296" s="6" t="s">
        <v>17</v>
      </c>
      <c r="Q296" s="6">
        <v>2.75E-2</v>
      </c>
      <c r="R296" s="6">
        <v>1.4999999999999999E-2</v>
      </c>
      <c r="S296" s="6"/>
      <c r="T296" s="6">
        <v>33778.14</v>
      </c>
    </row>
    <row r="297" spans="1:20" ht="14.4" x14ac:dyDescent="0.25">
      <c r="A297" s="4">
        <v>2019</v>
      </c>
      <c r="B297" s="4">
        <v>11</v>
      </c>
      <c r="C297" s="4" t="s">
        <v>18</v>
      </c>
      <c r="D297" s="11">
        <v>650</v>
      </c>
      <c r="E297" s="5" t="s">
        <v>20</v>
      </c>
      <c r="F297" s="4" t="s">
        <v>34</v>
      </c>
      <c r="G297" s="12">
        <v>651919.84</v>
      </c>
      <c r="H297" s="6">
        <v>651919.84</v>
      </c>
      <c r="I297" s="6"/>
      <c r="J297" s="6">
        <v>56993.75</v>
      </c>
      <c r="K297" s="6">
        <v>56993.75</v>
      </c>
      <c r="L297" s="6"/>
      <c r="M297" s="6"/>
      <c r="N297" s="6"/>
      <c r="O297" s="6"/>
      <c r="P297" s="6"/>
      <c r="Q297" s="6"/>
      <c r="R297" s="6"/>
      <c r="S297" s="6"/>
      <c r="T297" s="6"/>
    </row>
    <row r="298" spans="1:20" ht="14.4" x14ac:dyDescent="0.25">
      <c r="A298" s="4">
        <v>2019</v>
      </c>
      <c r="B298" s="4">
        <v>11</v>
      </c>
      <c r="C298" s="4" t="s">
        <v>18</v>
      </c>
      <c r="D298" s="11">
        <v>999</v>
      </c>
      <c r="E298" s="5" t="s">
        <v>117</v>
      </c>
      <c r="F298" s="4" t="s">
        <v>34</v>
      </c>
      <c r="G298" s="12">
        <v>22715.47</v>
      </c>
      <c r="H298" s="6">
        <v>22715.47</v>
      </c>
      <c r="I298" s="6"/>
      <c r="J298" s="6">
        <v>-15476.45</v>
      </c>
      <c r="K298" s="6">
        <v>-15476.45</v>
      </c>
      <c r="L298" s="6"/>
      <c r="M298" s="6"/>
      <c r="N298" s="6"/>
      <c r="O298" s="6"/>
      <c r="P298" s="6"/>
      <c r="Q298" s="6"/>
      <c r="R298" s="6"/>
      <c r="S298" s="6"/>
      <c r="T298" s="6"/>
    </row>
    <row r="299" spans="1:20" ht="14.4" x14ac:dyDescent="0.25">
      <c r="A299" s="4">
        <v>2019</v>
      </c>
      <c r="B299" s="4">
        <v>11</v>
      </c>
      <c r="C299" s="4" t="s">
        <v>18</v>
      </c>
      <c r="D299" s="11">
        <v>7605</v>
      </c>
      <c r="E299" s="5" t="s">
        <v>77</v>
      </c>
      <c r="F299" s="4" t="s">
        <v>34</v>
      </c>
      <c r="G299" s="12">
        <v>168551.63</v>
      </c>
      <c r="H299" s="6">
        <v>168551.63</v>
      </c>
      <c r="I299" s="6"/>
      <c r="J299" s="6">
        <v>15814.94</v>
      </c>
      <c r="K299" s="6">
        <v>15814.94</v>
      </c>
      <c r="L299" s="6"/>
      <c r="M299" s="6"/>
      <c r="N299" s="6"/>
      <c r="O299" s="6"/>
      <c r="P299" s="6"/>
      <c r="Q299" s="6"/>
      <c r="R299" s="6"/>
      <c r="S299" s="6"/>
      <c r="T299" s="6"/>
    </row>
    <row r="300" spans="1:20" ht="14.4" x14ac:dyDescent="0.25">
      <c r="A300" s="4">
        <v>2019</v>
      </c>
      <c r="B300" s="4">
        <v>11</v>
      </c>
      <c r="C300" s="4" t="s">
        <v>18</v>
      </c>
      <c r="D300" s="11">
        <v>41958</v>
      </c>
      <c r="E300" s="5" t="s">
        <v>78</v>
      </c>
      <c r="F300" s="4" t="s">
        <v>34</v>
      </c>
      <c r="G300" s="12">
        <v>0</v>
      </c>
      <c r="H300" s="6">
        <v>0</v>
      </c>
      <c r="I300" s="6"/>
      <c r="J300" s="6">
        <v>0</v>
      </c>
      <c r="K300" s="6"/>
      <c r="L300" s="6"/>
      <c r="M300" s="6"/>
      <c r="N300" s="6"/>
      <c r="O300" s="6"/>
      <c r="P300" s="6"/>
      <c r="Q300" s="6"/>
      <c r="R300" s="6"/>
      <c r="S300" s="6"/>
      <c r="T300" s="6"/>
    </row>
    <row r="301" spans="1:20" ht="14.4" x14ac:dyDescent="0.25">
      <c r="A301" s="4">
        <v>2019</v>
      </c>
      <c r="B301" s="4">
        <v>11</v>
      </c>
      <c r="C301" s="4" t="s">
        <v>18</v>
      </c>
      <c r="D301" s="11">
        <v>53317</v>
      </c>
      <c r="E301" s="5" t="s">
        <v>80</v>
      </c>
      <c r="F301" s="4" t="s">
        <v>34</v>
      </c>
      <c r="G301" s="12">
        <v>96192.05</v>
      </c>
      <c r="H301" s="6">
        <v>96192.05</v>
      </c>
      <c r="I301" s="6"/>
      <c r="J301" s="6">
        <v>9042.4500000000007</v>
      </c>
      <c r="K301" s="6">
        <v>9042.4500000000007</v>
      </c>
      <c r="L301" s="6"/>
      <c r="M301" s="6"/>
      <c r="N301" s="6"/>
      <c r="O301" s="6"/>
      <c r="P301" s="6"/>
      <c r="Q301" s="6"/>
      <c r="R301" s="6"/>
      <c r="S301" s="6"/>
      <c r="T301" s="6"/>
    </row>
    <row r="302" spans="1:20" ht="14.4" x14ac:dyDescent="0.25">
      <c r="A302" s="4">
        <v>2019</v>
      </c>
      <c r="B302" s="4">
        <v>11</v>
      </c>
      <c r="C302" s="4" t="s">
        <v>18</v>
      </c>
      <c r="D302" s="11">
        <v>57438</v>
      </c>
      <c r="E302" s="5" t="s">
        <v>259</v>
      </c>
      <c r="F302" s="4" t="s">
        <v>34</v>
      </c>
      <c r="G302" s="12">
        <v>2480613.36</v>
      </c>
      <c r="H302" s="6">
        <v>2480613.36</v>
      </c>
      <c r="I302" s="6"/>
      <c r="J302" s="6">
        <v>230644.78</v>
      </c>
      <c r="K302" s="6">
        <v>230644.78</v>
      </c>
      <c r="L302" s="6"/>
      <c r="M302" s="6"/>
      <c r="N302" s="6"/>
      <c r="O302" s="6"/>
      <c r="P302" s="6"/>
      <c r="Q302" s="6"/>
      <c r="R302" s="6"/>
      <c r="S302" s="6"/>
      <c r="T302" s="6"/>
    </row>
    <row r="303" spans="1:20" ht="14.4" x14ac:dyDescent="0.25">
      <c r="A303" s="4">
        <v>2019</v>
      </c>
      <c r="B303" s="4">
        <v>12</v>
      </c>
      <c r="C303" s="4" t="s">
        <v>18</v>
      </c>
      <c r="D303" s="11">
        <v>643</v>
      </c>
      <c r="E303" s="5" t="s">
        <v>72</v>
      </c>
      <c r="F303" s="4" t="s">
        <v>23</v>
      </c>
      <c r="G303" s="12">
        <v>9404604.5700000003</v>
      </c>
      <c r="H303" s="6">
        <v>2376492.73</v>
      </c>
      <c r="I303" s="6">
        <v>7028111.8399999999</v>
      </c>
      <c r="J303" s="6">
        <v>622306.93000000005</v>
      </c>
      <c r="K303" s="6"/>
      <c r="L303" s="6">
        <v>622306.93000000005</v>
      </c>
      <c r="M303" s="6">
        <v>6160295113.5600004</v>
      </c>
      <c r="N303" s="6">
        <v>6256558449.4099998</v>
      </c>
      <c r="O303" s="6">
        <v>5.2999999999999999E-2</v>
      </c>
      <c r="P303" s="6" t="s">
        <v>17</v>
      </c>
      <c r="Q303" s="6">
        <v>2.75E-2</v>
      </c>
      <c r="R303" s="6">
        <v>0.05</v>
      </c>
      <c r="S303" s="6"/>
      <c r="T303" s="6">
        <v>659645.35</v>
      </c>
    </row>
    <row r="304" spans="1:20" ht="14.4" x14ac:dyDescent="0.25">
      <c r="A304" s="4">
        <v>2019</v>
      </c>
      <c r="B304" s="4">
        <v>12</v>
      </c>
      <c r="C304" s="4" t="s">
        <v>18</v>
      </c>
      <c r="D304" s="11">
        <v>652</v>
      </c>
      <c r="E304" s="5" t="s">
        <v>74</v>
      </c>
      <c r="F304" s="4" t="s">
        <v>23</v>
      </c>
      <c r="G304" s="12">
        <v>5912237.7300000004</v>
      </c>
      <c r="H304" s="6">
        <v>1921394.28</v>
      </c>
      <c r="I304" s="6">
        <v>3990843.45</v>
      </c>
      <c r="J304" s="6">
        <v>445692.4</v>
      </c>
      <c r="K304" s="6">
        <v>106963.61</v>
      </c>
      <c r="L304" s="6">
        <v>338728.79</v>
      </c>
      <c r="M304" s="6">
        <v>3362337078.8000002</v>
      </c>
      <c r="N304" s="6">
        <v>3396298624.9299998</v>
      </c>
      <c r="O304" s="6">
        <v>5.2999999999999999E-2</v>
      </c>
      <c r="P304" s="6" t="s">
        <v>17</v>
      </c>
      <c r="Q304" s="6">
        <v>2.75E-2</v>
      </c>
      <c r="R304" s="6">
        <v>0.05</v>
      </c>
      <c r="S304" s="6"/>
      <c r="T304" s="6">
        <v>359052.52</v>
      </c>
    </row>
    <row r="305" spans="1:20" ht="14.4" x14ac:dyDescent="0.25">
      <c r="A305" s="4">
        <v>2019</v>
      </c>
      <c r="B305" s="4">
        <v>12</v>
      </c>
      <c r="C305" s="4" t="s">
        <v>18</v>
      </c>
      <c r="D305" s="11">
        <v>44321</v>
      </c>
      <c r="E305" s="5" t="s">
        <v>26</v>
      </c>
      <c r="F305" s="4" t="s">
        <v>23</v>
      </c>
      <c r="G305" s="12">
        <v>829096.72</v>
      </c>
      <c r="H305" s="6">
        <v>469268.64</v>
      </c>
      <c r="I305" s="6">
        <v>359828.08</v>
      </c>
      <c r="J305" s="6">
        <v>76640.34</v>
      </c>
      <c r="K305" s="6">
        <v>44298.9</v>
      </c>
      <c r="L305" s="6">
        <v>32341.439999999999</v>
      </c>
      <c r="M305" s="6">
        <v>1067251617.26</v>
      </c>
      <c r="N305" s="6">
        <v>1083771449.05</v>
      </c>
      <c r="O305" s="6">
        <v>5.2999999999999999E-2</v>
      </c>
      <c r="P305" s="6" t="s">
        <v>17</v>
      </c>
      <c r="Q305" s="6">
        <v>2.75E-2</v>
      </c>
      <c r="R305" s="6">
        <v>1.4999999999999999E-2</v>
      </c>
      <c r="S305" s="6"/>
      <c r="T305" s="6">
        <v>34281.93</v>
      </c>
    </row>
    <row r="306" spans="1:20" ht="14.4" x14ac:dyDescent="0.25">
      <c r="A306" s="4">
        <v>2019</v>
      </c>
      <c r="B306" s="4">
        <v>12</v>
      </c>
      <c r="C306" s="4" t="s">
        <v>18</v>
      </c>
      <c r="D306" s="11">
        <v>650</v>
      </c>
      <c r="E306" s="5" t="s">
        <v>20</v>
      </c>
      <c r="F306" s="4" t="s">
        <v>34</v>
      </c>
      <c r="G306" s="12">
        <v>708913.58</v>
      </c>
      <c r="H306" s="6">
        <v>708913.58</v>
      </c>
      <c r="I306" s="6"/>
      <c r="J306" s="6">
        <v>56993.75</v>
      </c>
      <c r="K306" s="6">
        <v>56993.75</v>
      </c>
      <c r="L306" s="6"/>
      <c r="M306" s="6"/>
      <c r="N306" s="6"/>
      <c r="O306" s="6"/>
      <c r="P306" s="6"/>
      <c r="Q306" s="6"/>
      <c r="R306" s="6"/>
      <c r="S306" s="6"/>
      <c r="T306" s="6"/>
    </row>
    <row r="307" spans="1:20" ht="14.4" x14ac:dyDescent="0.25">
      <c r="A307" s="4">
        <v>2019</v>
      </c>
      <c r="B307" s="4">
        <v>12</v>
      </c>
      <c r="C307" s="4" t="s">
        <v>18</v>
      </c>
      <c r="D307" s="11">
        <v>999</v>
      </c>
      <c r="E307" s="5" t="s">
        <v>117</v>
      </c>
      <c r="F307" s="4" t="s">
        <v>34</v>
      </c>
      <c r="G307" s="12">
        <v>22715.47</v>
      </c>
      <c r="H307" s="6">
        <v>22715.47</v>
      </c>
      <c r="I307" s="6"/>
      <c r="J307" s="6">
        <v>0</v>
      </c>
      <c r="K307" s="6"/>
      <c r="L307" s="6"/>
      <c r="M307" s="6"/>
      <c r="N307" s="6"/>
      <c r="O307" s="6"/>
      <c r="P307" s="6"/>
      <c r="Q307" s="6"/>
      <c r="R307" s="6"/>
      <c r="S307" s="6"/>
      <c r="T307" s="6"/>
    </row>
    <row r="308" spans="1:20" ht="14.4" x14ac:dyDescent="0.25">
      <c r="A308" s="4">
        <v>2019</v>
      </c>
      <c r="B308" s="4">
        <v>12</v>
      </c>
      <c r="C308" s="4" t="s">
        <v>18</v>
      </c>
      <c r="D308" s="11">
        <v>7605</v>
      </c>
      <c r="E308" s="5" t="s">
        <v>77</v>
      </c>
      <c r="F308" s="4" t="s">
        <v>34</v>
      </c>
      <c r="G308" s="12">
        <v>184392.88</v>
      </c>
      <c r="H308" s="6">
        <v>184392.88</v>
      </c>
      <c r="I308" s="6"/>
      <c r="J308" s="6">
        <v>15841.25</v>
      </c>
      <c r="K308" s="6">
        <v>15841.25</v>
      </c>
      <c r="L308" s="6"/>
      <c r="M308" s="6"/>
      <c r="N308" s="6"/>
      <c r="O308" s="6"/>
      <c r="P308" s="6"/>
      <c r="Q308" s="6"/>
      <c r="R308" s="6"/>
      <c r="S308" s="6"/>
      <c r="T308" s="6"/>
    </row>
    <row r="309" spans="1:20" ht="14.4" x14ac:dyDescent="0.25">
      <c r="A309" s="4">
        <v>2019</v>
      </c>
      <c r="B309" s="4">
        <v>12</v>
      </c>
      <c r="C309" s="4" t="s">
        <v>18</v>
      </c>
      <c r="D309" s="11">
        <v>41958</v>
      </c>
      <c r="E309" s="5" t="s">
        <v>78</v>
      </c>
      <c r="F309" s="4" t="s">
        <v>34</v>
      </c>
      <c r="G309" s="12">
        <v>0</v>
      </c>
      <c r="H309" s="6">
        <v>0</v>
      </c>
      <c r="I309" s="6"/>
      <c r="J309" s="6">
        <v>0</v>
      </c>
      <c r="K309" s="6"/>
      <c r="L309" s="6"/>
      <c r="M309" s="6"/>
      <c r="N309" s="6"/>
      <c r="O309" s="6"/>
      <c r="P309" s="6"/>
      <c r="Q309" s="6"/>
      <c r="R309" s="6"/>
      <c r="S309" s="6"/>
      <c r="T309" s="6"/>
    </row>
    <row r="310" spans="1:20" ht="14.4" x14ac:dyDescent="0.25">
      <c r="A310" s="4">
        <v>2019</v>
      </c>
      <c r="B310" s="4">
        <v>12</v>
      </c>
      <c r="C310" s="4" t="s">
        <v>18</v>
      </c>
      <c r="D310" s="11">
        <v>53317</v>
      </c>
      <c r="E310" s="5" t="s">
        <v>80</v>
      </c>
      <c r="F310" s="4" t="s">
        <v>34</v>
      </c>
      <c r="G310" s="12">
        <v>105167.24</v>
      </c>
      <c r="H310" s="6">
        <v>105167.24</v>
      </c>
      <c r="I310" s="6"/>
      <c r="J310" s="6">
        <v>8975.19</v>
      </c>
      <c r="K310" s="6">
        <v>8975.19</v>
      </c>
      <c r="L310" s="6"/>
      <c r="M310" s="6"/>
      <c r="N310" s="6"/>
      <c r="O310" s="6"/>
      <c r="P310" s="6"/>
      <c r="Q310" s="6"/>
      <c r="R310" s="6"/>
      <c r="S310" s="6"/>
      <c r="T310" s="6"/>
    </row>
    <row r="311" spans="1:20" ht="14.4" x14ac:dyDescent="0.25">
      <c r="A311" s="4">
        <v>2019</v>
      </c>
      <c r="B311" s="4">
        <v>12</v>
      </c>
      <c r="C311" s="4" t="s">
        <v>18</v>
      </c>
      <c r="D311" s="11">
        <v>57438</v>
      </c>
      <c r="E311" s="5" t="s">
        <v>259</v>
      </c>
      <c r="F311" s="4" t="s">
        <v>34</v>
      </c>
      <c r="G311" s="12">
        <v>2713983.05</v>
      </c>
      <c r="H311" s="6">
        <v>2713983.05</v>
      </c>
      <c r="I311" s="6"/>
      <c r="J311" s="6">
        <v>233369.69</v>
      </c>
      <c r="K311" s="6">
        <v>233369.69</v>
      </c>
      <c r="L311" s="6"/>
      <c r="M311" s="6"/>
      <c r="N311" s="6"/>
      <c r="O311" s="6"/>
      <c r="P311" s="6"/>
      <c r="Q311" s="6"/>
      <c r="R311" s="6"/>
      <c r="S311" s="6"/>
      <c r="T311" s="6"/>
    </row>
    <row r="312" spans="1:20" ht="14.4" x14ac:dyDescent="0.25">
      <c r="A312" s="4">
        <v>2020</v>
      </c>
      <c r="B312" s="4">
        <v>1</v>
      </c>
      <c r="C312" s="4" t="s">
        <v>18</v>
      </c>
      <c r="D312" s="11">
        <v>652</v>
      </c>
      <c r="E312" s="5" t="s">
        <v>74</v>
      </c>
      <c r="F312" s="4" t="s">
        <v>23</v>
      </c>
      <c r="G312" s="12">
        <v>451039.17</v>
      </c>
      <c r="H312" s="6">
        <v>108453.83</v>
      </c>
      <c r="I312" s="6">
        <v>342585.34</v>
      </c>
      <c r="J312" s="6">
        <v>451039.17</v>
      </c>
      <c r="K312" s="6">
        <v>108453.83</v>
      </c>
      <c r="L312" s="6">
        <v>342585.34</v>
      </c>
      <c r="M312" s="6">
        <v>3408911056.1799998</v>
      </c>
      <c r="N312" s="6">
        <v>3426674177.5</v>
      </c>
      <c r="O312" s="6">
        <v>5.2999999999999999E-2</v>
      </c>
      <c r="P312" s="6" t="s">
        <v>17</v>
      </c>
      <c r="Q312" s="6">
        <v>2.75E-2</v>
      </c>
      <c r="R312" s="6">
        <v>0.05</v>
      </c>
      <c r="S312" s="6"/>
      <c r="T312" s="6">
        <v>363140.47</v>
      </c>
    </row>
    <row r="313" spans="1:20" ht="14.4" x14ac:dyDescent="0.25">
      <c r="A313" s="4">
        <v>2020</v>
      </c>
      <c r="B313" s="4">
        <v>1</v>
      </c>
      <c r="C313" s="4" t="s">
        <v>18</v>
      </c>
      <c r="D313" s="11">
        <v>44321</v>
      </c>
      <c r="E313" s="5" t="s">
        <v>26</v>
      </c>
      <c r="F313" s="4" t="s">
        <v>23</v>
      </c>
      <c r="G313" s="12">
        <v>76161.16</v>
      </c>
      <c r="H313" s="6">
        <v>43227.01</v>
      </c>
      <c r="I313" s="6">
        <v>32934.15</v>
      </c>
      <c r="J313" s="6">
        <v>76161.16</v>
      </c>
      <c r="K313" s="6">
        <v>43227.01</v>
      </c>
      <c r="L313" s="6">
        <v>32934.15</v>
      </c>
      <c r="M313" s="6">
        <v>1085775522.8699999</v>
      </c>
      <c r="N313" s="6">
        <v>1104668099.4000001</v>
      </c>
      <c r="O313" s="6">
        <v>5.2999999999999999E-2</v>
      </c>
      <c r="P313" s="6" t="s">
        <v>17</v>
      </c>
      <c r="Q313" s="6">
        <v>2.75E-2</v>
      </c>
      <c r="R313" s="6">
        <v>1.4999999999999999E-2</v>
      </c>
      <c r="S313" s="6"/>
      <c r="T313" s="6">
        <v>34910.199999999997</v>
      </c>
    </row>
    <row r="314" spans="1:20" ht="14.4" x14ac:dyDescent="0.25">
      <c r="A314" s="4">
        <v>2020</v>
      </c>
      <c r="B314" s="4">
        <v>1</v>
      </c>
      <c r="C314" s="4" t="s">
        <v>18</v>
      </c>
      <c r="D314" s="11">
        <v>643</v>
      </c>
      <c r="E314" s="5" t="s">
        <v>72</v>
      </c>
      <c r="F314" s="4" t="s">
        <v>34</v>
      </c>
      <c r="G314" s="12">
        <v>0</v>
      </c>
      <c r="H314" s="6"/>
      <c r="I314" s="6"/>
      <c r="J314" s="6">
        <v>0</v>
      </c>
      <c r="K314" s="6"/>
      <c r="L314" s="6"/>
      <c r="M314" s="6">
        <v>6274110711.8100004</v>
      </c>
      <c r="N314" s="6">
        <v>6364637309.1700001</v>
      </c>
      <c r="O314" s="6">
        <v>5.2999999999999999E-2</v>
      </c>
      <c r="P314" s="6" t="s">
        <v>17</v>
      </c>
      <c r="Q314" s="6">
        <v>2.75E-2</v>
      </c>
      <c r="R314" s="6">
        <v>0.05</v>
      </c>
      <c r="S314" s="6"/>
      <c r="T314" s="6"/>
    </row>
    <row r="315" spans="1:20" ht="14.4" x14ac:dyDescent="0.25">
      <c r="A315" s="4">
        <v>2020</v>
      </c>
      <c r="B315" s="4">
        <v>1</v>
      </c>
      <c r="C315" s="4" t="s">
        <v>18</v>
      </c>
      <c r="D315" s="11">
        <v>650</v>
      </c>
      <c r="E315" s="5" t="s">
        <v>20</v>
      </c>
      <c r="F315" s="4" t="s">
        <v>34</v>
      </c>
      <c r="G315" s="12">
        <v>57815.74</v>
      </c>
      <c r="H315" s="6">
        <v>57815.74</v>
      </c>
      <c r="I315" s="6"/>
      <c r="J315" s="6">
        <v>57815.74</v>
      </c>
      <c r="K315" s="6">
        <v>57815.74</v>
      </c>
      <c r="L315" s="6"/>
      <c r="M315" s="6"/>
      <c r="N315" s="6"/>
      <c r="O315" s="6"/>
      <c r="P315" s="6"/>
      <c r="Q315" s="6"/>
      <c r="R315" s="6"/>
      <c r="S315" s="6"/>
      <c r="T315" s="6"/>
    </row>
    <row r="316" spans="1:20" ht="14.4" x14ac:dyDescent="0.25">
      <c r="A316" s="4">
        <v>2020</v>
      </c>
      <c r="B316" s="4">
        <v>1</v>
      </c>
      <c r="C316" s="4" t="s">
        <v>18</v>
      </c>
      <c r="D316" s="11">
        <v>7605</v>
      </c>
      <c r="E316" s="5" t="s">
        <v>77</v>
      </c>
      <c r="F316" s="4" t="s">
        <v>34</v>
      </c>
      <c r="G316" s="12">
        <v>15825.08</v>
      </c>
      <c r="H316" s="6">
        <v>15825.08</v>
      </c>
      <c r="I316" s="6"/>
      <c r="J316" s="6">
        <v>15825.08</v>
      </c>
      <c r="K316" s="6">
        <v>15825.08</v>
      </c>
      <c r="L316" s="6"/>
      <c r="M316" s="6"/>
      <c r="N316" s="6"/>
      <c r="O316" s="6"/>
      <c r="P316" s="6"/>
      <c r="Q316" s="6"/>
      <c r="R316" s="6"/>
      <c r="S316" s="6"/>
      <c r="T316" s="6"/>
    </row>
    <row r="317" spans="1:20" ht="14.4" x14ac:dyDescent="0.25">
      <c r="A317" s="4">
        <v>2020</v>
      </c>
      <c r="B317" s="4">
        <v>1</v>
      </c>
      <c r="C317" s="4" t="s">
        <v>18</v>
      </c>
      <c r="D317" s="11">
        <v>53317</v>
      </c>
      <c r="E317" s="5" t="s">
        <v>80</v>
      </c>
      <c r="F317" s="4" t="s">
        <v>34</v>
      </c>
      <c r="G317" s="12">
        <v>9135.86</v>
      </c>
      <c r="H317" s="6">
        <v>9135.86</v>
      </c>
      <c r="I317" s="6"/>
      <c r="J317" s="6">
        <v>9135.86</v>
      </c>
      <c r="K317" s="6">
        <v>9135.86</v>
      </c>
      <c r="L317" s="6"/>
      <c r="M317" s="6"/>
      <c r="N317" s="6"/>
      <c r="O317" s="6"/>
      <c r="P317" s="6"/>
      <c r="Q317" s="6"/>
      <c r="R317" s="6"/>
      <c r="S317" s="6"/>
      <c r="T317" s="6"/>
    </row>
    <row r="318" spans="1:20" ht="14.4" x14ac:dyDescent="0.25">
      <c r="A318" s="4">
        <v>2020</v>
      </c>
      <c r="B318" s="4">
        <v>1</v>
      </c>
      <c r="C318" s="4" t="s">
        <v>18</v>
      </c>
      <c r="D318" s="11">
        <v>57438</v>
      </c>
      <c r="E318" s="5" t="s">
        <v>259</v>
      </c>
      <c r="F318" s="4" t="s">
        <v>34</v>
      </c>
      <c r="G318" s="12">
        <v>238484.62</v>
      </c>
      <c r="H318" s="6">
        <v>238484.62</v>
      </c>
      <c r="I318" s="6"/>
      <c r="J318" s="6">
        <v>238484.62</v>
      </c>
      <c r="K318" s="6">
        <v>238484.62</v>
      </c>
      <c r="L318" s="6"/>
      <c r="M318" s="6"/>
      <c r="N318" s="6"/>
      <c r="O318" s="6"/>
      <c r="P318" s="6"/>
      <c r="Q318" s="6"/>
      <c r="R318" s="6"/>
      <c r="S318" s="6"/>
      <c r="T318" s="6"/>
    </row>
    <row r="319" spans="1:20" ht="14.4" x14ac:dyDescent="0.25">
      <c r="A319" s="4">
        <v>2020</v>
      </c>
      <c r="B319" s="4">
        <v>1</v>
      </c>
      <c r="C319" s="4" t="s">
        <v>18</v>
      </c>
      <c r="D319" s="11">
        <v>62486</v>
      </c>
      <c r="E319" s="5" t="s">
        <v>275</v>
      </c>
      <c r="F319" s="4" t="s">
        <v>34</v>
      </c>
      <c r="G319" s="12">
        <v>1763.25</v>
      </c>
      <c r="H319" s="6">
        <v>1763.25</v>
      </c>
      <c r="I319" s="6"/>
      <c r="J319" s="6">
        <v>1763.25</v>
      </c>
      <c r="K319" s="6">
        <v>1763.25</v>
      </c>
      <c r="L319" s="6"/>
      <c r="M319" s="6"/>
      <c r="N319" s="6"/>
      <c r="O319" s="6"/>
      <c r="P319" s="6"/>
      <c r="Q319" s="6"/>
      <c r="R319" s="6"/>
      <c r="S319" s="6"/>
      <c r="T319" s="6"/>
    </row>
    <row r="320" spans="1:20" ht="14.4" x14ac:dyDescent="0.25">
      <c r="A320" s="4">
        <v>2020</v>
      </c>
      <c r="B320" s="4">
        <v>2</v>
      </c>
      <c r="C320" s="4" t="s">
        <v>18</v>
      </c>
      <c r="D320" s="11">
        <v>652</v>
      </c>
      <c r="E320" s="5" t="s">
        <v>74</v>
      </c>
      <c r="F320" s="4" t="s">
        <v>23</v>
      </c>
      <c r="G320" s="12">
        <v>903738.78</v>
      </c>
      <c r="H320" s="6">
        <v>216907.66</v>
      </c>
      <c r="I320" s="6">
        <v>686831.12</v>
      </c>
      <c r="J320" s="6">
        <v>452699.61</v>
      </c>
      <c r="K320" s="6">
        <v>108453.83</v>
      </c>
      <c r="L320" s="6">
        <v>344245.78</v>
      </c>
      <c r="M320" s="6">
        <v>3426674177.5</v>
      </c>
      <c r="N320" s="6">
        <v>3442041537.6799998</v>
      </c>
      <c r="O320" s="6">
        <v>5.2999999999999999E-2</v>
      </c>
      <c r="P320" s="6" t="s">
        <v>17</v>
      </c>
      <c r="Q320" s="6">
        <v>2.75E-2</v>
      </c>
      <c r="R320" s="6">
        <v>0.05</v>
      </c>
      <c r="S320" s="6"/>
      <c r="T320" s="6">
        <v>364900.52</v>
      </c>
    </row>
    <row r="321" spans="1:20" ht="14.4" x14ac:dyDescent="0.25">
      <c r="A321" s="4">
        <v>2020</v>
      </c>
      <c r="B321" s="4">
        <v>2</v>
      </c>
      <c r="C321" s="4" t="s">
        <v>18</v>
      </c>
      <c r="D321" s="11">
        <v>44321</v>
      </c>
      <c r="E321" s="5" t="s">
        <v>26</v>
      </c>
      <c r="F321" s="4" t="s">
        <v>23</v>
      </c>
      <c r="G321" s="12">
        <v>152860.26999999999</v>
      </c>
      <c r="H321" s="6">
        <v>86454.02</v>
      </c>
      <c r="I321" s="6">
        <v>66406.25</v>
      </c>
      <c r="J321" s="6">
        <v>76699.11</v>
      </c>
      <c r="K321" s="6">
        <v>43227.01</v>
      </c>
      <c r="L321" s="6">
        <v>33472.1</v>
      </c>
      <c r="M321" s="6">
        <v>1104668099.4000001</v>
      </c>
      <c r="N321" s="6">
        <v>1121554991.51</v>
      </c>
      <c r="O321" s="6">
        <v>5.2999999999999999E-2</v>
      </c>
      <c r="P321" s="6" t="s">
        <v>17</v>
      </c>
      <c r="Q321" s="6">
        <v>2.75E-2</v>
      </c>
      <c r="R321" s="6">
        <v>1.4999999999999999E-2</v>
      </c>
      <c r="S321" s="6"/>
      <c r="T321" s="6">
        <v>35480.43</v>
      </c>
    </row>
    <row r="322" spans="1:20" ht="14.4" x14ac:dyDescent="0.25">
      <c r="A322" s="4">
        <v>2020</v>
      </c>
      <c r="B322" s="4">
        <v>2</v>
      </c>
      <c r="C322" s="4" t="s">
        <v>18</v>
      </c>
      <c r="D322" s="11">
        <v>643</v>
      </c>
      <c r="E322" s="5" t="s">
        <v>72</v>
      </c>
      <c r="F322" s="4" t="s">
        <v>34</v>
      </c>
      <c r="G322" s="12">
        <v>0</v>
      </c>
      <c r="H322" s="6"/>
      <c r="I322" s="6"/>
      <c r="J322" s="6">
        <v>0</v>
      </c>
      <c r="K322" s="6"/>
      <c r="L322" s="6"/>
      <c r="M322" s="6">
        <v>6364637309.1700001</v>
      </c>
      <c r="N322" s="6">
        <v>6462826016.8699999</v>
      </c>
      <c r="O322" s="6">
        <v>5.2999999999999999E-2</v>
      </c>
      <c r="P322" s="6" t="s">
        <v>17</v>
      </c>
      <c r="Q322" s="6">
        <v>2.75E-2</v>
      </c>
      <c r="R322" s="6">
        <v>0.05</v>
      </c>
      <c r="S322" s="6"/>
      <c r="T322" s="6"/>
    </row>
    <row r="323" spans="1:20" ht="14.4" x14ac:dyDescent="0.25">
      <c r="A323" s="4">
        <v>2020</v>
      </c>
      <c r="B323" s="4">
        <v>2</v>
      </c>
      <c r="C323" s="4" t="s">
        <v>18</v>
      </c>
      <c r="D323" s="11">
        <v>650</v>
      </c>
      <c r="E323" s="5" t="s">
        <v>20</v>
      </c>
      <c r="F323" s="4" t="s">
        <v>34</v>
      </c>
      <c r="G323" s="12">
        <v>115631.47</v>
      </c>
      <c r="H323" s="6">
        <v>115631.47</v>
      </c>
      <c r="I323" s="6"/>
      <c r="J323" s="6">
        <v>57815.74</v>
      </c>
      <c r="K323" s="6">
        <v>57815.74</v>
      </c>
      <c r="L323" s="6"/>
      <c r="M323" s="6"/>
      <c r="N323" s="6"/>
      <c r="O323" s="6"/>
      <c r="P323" s="6"/>
      <c r="Q323" s="6"/>
      <c r="R323" s="6"/>
      <c r="S323" s="6"/>
      <c r="T323" s="6"/>
    </row>
    <row r="324" spans="1:20" ht="14.4" x14ac:dyDescent="0.25">
      <c r="A324" s="4">
        <v>2020</v>
      </c>
      <c r="B324" s="4">
        <v>2</v>
      </c>
      <c r="C324" s="4" t="s">
        <v>18</v>
      </c>
      <c r="D324" s="11">
        <v>7605</v>
      </c>
      <c r="E324" s="5" t="s">
        <v>77</v>
      </c>
      <c r="F324" s="4" t="s">
        <v>34</v>
      </c>
      <c r="G324" s="12">
        <v>31650.15</v>
      </c>
      <c r="H324" s="6">
        <v>31650.15</v>
      </c>
      <c r="I324" s="6"/>
      <c r="J324" s="6">
        <v>15825.08</v>
      </c>
      <c r="K324" s="6">
        <v>15825.08</v>
      </c>
      <c r="L324" s="6"/>
      <c r="M324" s="6"/>
      <c r="N324" s="6"/>
      <c r="O324" s="6"/>
      <c r="P324" s="6"/>
      <c r="Q324" s="6"/>
      <c r="R324" s="6"/>
      <c r="S324" s="6"/>
      <c r="T324" s="6"/>
    </row>
    <row r="325" spans="1:20" ht="14.4" x14ac:dyDescent="0.25">
      <c r="A325" s="4">
        <v>2020</v>
      </c>
      <c r="B325" s="4">
        <v>2</v>
      </c>
      <c r="C325" s="4" t="s">
        <v>18</v>
      </c>
      <c r="D325" s="11">
        <v>53317</v>
      </c>
      <c r="E325" s="5" t="s">
        <v>80</v>
      </c>
      <c r="F325" s="4" t="s">
        <v>34</v>
      </c>
      <c r="G325" s="12">
        <v>18271.72</v>
      </c>
      <c r="H325" s="6">
        <v>18271.72</v>
      </c>
      <c r="I325" s="6"/>
      <c r="J325" s="6">
        <v>9135.86</v>
      </c>
      <c r="K325" s="6">
        <v>9135.86</v>
      </c>
      <c r="L325" s="6"/>
      <c r="M325" s="6"/>
      <c r="N325" s="6"/>
      <c r="O325" s="6"/>
      <c r="P325" s="6"/>
      <c r="Q325" s="6"/>
      <c r="R325" s="6"/>
      <c r="S325" s="6"/>
      <c r="T325" s="6"/>
    </row>
    <row r="326" spans="1:20" ht="14.4" x14ac:dyDescent="0.25">
      <c r="A326" s="4">
        <v>2020</v>
      </c>
      <c r="B326" s="4">
        <v>2</v>
      </c>
      <c r="C326" s="4" t="s">
        <v>18</v>
      </c>
      <c r="D326" s="11">
        <v>57438</v>
      </c>
      <c r="E326" s="5" t="s">
        <v>259</v>
      </c>
      <c r="F326" s="4" t="s">
        <v>34</v>
      </c>
      <c r="G326" s="12">
        <v>476969.25</v>
      </c>
      <c r="H326" s="6">
        <v>476969.25</v>
      </c>
      <c r="I326" s="6"/>
      <c r="J326" s="6">
        <v>238484.62</v>
      </c>
      <c r="K326" s="6">
        <v>238484.62</v>
      </c>
      <c r="L326" s="6"/>
      <c r="M326" s="6"/>
      <c r="N326" s="6"/>
      <c r="O326" s="6"/>
      <c r="P326" s="6"/>
      <c r="Q326" s="6"/>
      <c r="R326" s="6"/>
      <c r="S326" s="6"/>
      <c r="T326" s="6"/>
    </row>
    <row r="327" spans="1:20" ht="14.4" x14ac:dyDescent="0.25">
      <c r="A327" s="4">
        <v>2020</v>
      </c>
      <c r="B327" s="4">
        <v>2</v>
      </c>
      <c r="C327" s="4" t="s">
        <v>18</v>
      </c>
      <c r="D327" s="11">
        <v>62486</v>
      </c>
      <c r="E327" s="5" t="s">
        <v>275</v>
      </c>
      <c r="F327" s="4" t="s">
        <v>34</v>
      </c>
      <c r="G327" s="12">
        <v>3526.51</v>
      </c>
      <c r="H327" s="6">
        <v>3526.51</v>
      </c>
      <c r="I327" s="6"/>
      <c r="J327" s="6">
        <v>1763.25</v>
      </c>
      <c r="K327" s="6">
        <v>1763.25</v>
      </c>
      <c r="L327" s="6"/>
      <c r="M327" s="6"/>
      <c r="N327" s="6"/>
      <c r="O327" s="6"/>
      <c r="P327" s="6"/>
      <c r="Q327" s="6"/>
      <c r="R327" s="6"/>
      <c r="S327" s="6"/>
      <c r="T327" s="6"/>
    </row>
    <row r="328" spans="1:20" ht="14.4" x14ac:dyDescent="0.25">
      <c r="A328" s="4">
        <v>2020</v>
      </c>
      <c r="B328" s="4">
        <v>3</v>
      </c>
      <c r="C328" s="4" t="s">
        <v>18</v>
      </c>
      <c r="D328" s="11">
        <v>652</v>
      </c>
      <c r="E328" s="5" t="s">
        <v>74</v>
      </c>
      <c r="F328" s="4" t="s">
        <v>23</v>
      </c>
      <c r="G328" s="12">
        <v>1344869.83</v>
      </c>
      <c r="H328" s="6">
        <v>315304.82</v>
      </c>
      <c r="I328" s="6">
        <v>1029565.01</v>
      </c>
      <c r="J328" s="6">
        <v>441131.05</v>
      </c>
      <c r="K328" s="6">
        <v>98397.16</v>
      </c>
      <c r="L328" s="6">
        <v>342733.89</v>
      </c>
      <c r="M328" s="6">
        <v>3442041537.6799998</v>
      </c>
      <c r="N328" s="6">
        <v>3396507649.6100001</v>
      </c>
      <c r="O328" s="6">
        <v>5.2999999999999999E-2</v>
      </c>
      <c r="P328" s="6" t="s">
        <v>17</v>
      </c>
      <c r="Q328" s="6">
        <v>2.75E-2</v>
      </c>
      <c r="R328" s="6">
        <v>0.05</v>
      </c>
      <c r="S328" s="6"/>
      <c r="T328" s="6">
        <v>363297.93</v>
      </c>
    </row>
    <row r="329" spans="1:20" ht="14.4" x14ac:dyDescent="0.25">
      <c r="A329" s="4">
        <v>2020</v>
      </c>
      <c r="B329" s="4">
        <v>3</v>
      </c>
      <c r="C329" s="4" t="s">
        <v>18</v>
      </c>
      <c r="D329" s="11">
        <v>44321</v>
      </c>
      <c r="E329" s="5" t="s">
        <v>26</v>
      </c>
      <c r="F329" s="4" t="s">
        <v>23</v>
      </c>
      <c r="G329" s="12">
        <v>221838.92</v>
      </c>
      <c r="H329" s="6">
        <v>121635</v>
      </c>
      <c r="I329" s="6">
        <v>100203.92</v>
      </c>
      <c r="J329" s="6">
        <v>68978.649999999994</v>
      </c>
      <c r="K329" s="6">
        <v>35180.980000000003</v>
      </c>
      <c r="L329" s="6">
        <v>33797.67</v>
      </c>
      <c r="M329" s="6">
        <v>1121554991.51</v>
      </c>
      <c r="N329" s="6">
        <v>1126321238.8</v>
      </c>
      <c r="O329" s="6">
        <v>5.2999999999999999E-2</v>
      </c>
      <c r="P329" s="6" t="s">
        <v>17</v>
      </c>
      <c r="Q329" s="6">
        <v>2.75E-2</v>
      </c>
      <c r="R329" s="6">
        <v>1.4999999999999999E-2</v>
      </c>
      <c r="S329" s="6"/>
      <c r="T329" s="6">
        <v>35825.53</v>
      </c>
    </row>
    <row r="330" spans="1:20" ht="14.4" x14ac:dyDescent="0.25">
      <c r="A330" s="4">
        <v>2020</v>
      </c>
      <c r="B330" s="4">
        <v>3</v>
      </c>
      <c r="C330" s="4" t="s">
        <v>18</v>
      </c>
      <c r="D330" s="11">
        <v>643</v>
      </c>
      <c r="E330" s="5" t="s">
        <v>72</v>
      </c>
      <c r="F330" s="4" t="s">
        <v>34</v>
      </c>
      <c r="G330" s="12">
        <v>0</v>
      </c>
      <c r="H330" s="6"/>
      <c r="I330" s="6"/>
      <c r="J330" s="6">
        <v>0</v>
      </c>
      <c r="K330" s="6"/>
      <c r="L330" s="6"/>
      <c r="M330" s="6">
        <v>6462826016.8699999</v>
      </c>
      <c r="N330" s="6">
        <v>6420882138.6300001</v>
      </c>
      <c r="O330" s="6">
        <v>5.2999999999999999E-2</v>
      </c>
      <c r="P330" s="6" t="s">
        <v>17</v>
      </c>
      <c r="Q330" s="6">
        <v>2.75E-2</v>
      </c>
      <c r="R330" s="6">
        <v>0.05</v>
      </c>
      <c r="S330" s="6"/>
      <c r="T330" s="6"/>
    </row>
    <row r="331" spans="1:20" ht="14.4" x14ac:dyDescent="0.25">
      <c r="A331" s="4">
        <v>2020</v>
      </c>
      <c r="B331" s="4">
        <v>3</v>
      </c>
      <c r="C331" s="4" t="s">
        <v>18</v>
      </c>
      <c r="D331" s="11">
        <v>650</v>
      </c>
      <c r="E331" s="5" t="s">
        <v>20</v>
      </c>
      <c r="F331" s="4" t="s">
        <v>34</v>
      </c>
      <c r="G331" s="12">
        <v>168288.74</v>
      </c>
      <c r="H331" s="6">
        <v>168288.74</v>
      </c>
      <c r="I331" s="6"/>
      <c r="J331" s="6">
        <v>52657.26</v>
      </c>
      <c r="K331" s="6">
        <v>52657.26</v>
      </c>
      <c r="L331" s="6"/>
      <c r="M331" s="6"/>
      <c r="N331" s="6"/>
      <c r="O331" s="6"/>
      <c r="P331" s="6"/>
      <c r="Q331" s="6"/>
      <c r="R331" s="6"/>
      <c r="S331" s="6"/>
      <c r="T331" s="6"/>
    </row>
    <row r="332" spans="1:20" ht="14.4" x14ac:dyDescent="0.25">
      <c r="A332" s="4">
        <v>2020</v>
      </c>
      <c r="B332" s="4">
        <v>3</v>
      </c>
      <c r="C332" s="4" t="s">
        <v>18</v>
      </c>
      <c r="D332" s="11">
        <v>7605</v>
      </c>
      <c r="E332" s="5" t="s">
        <v>77</v>
      </c>
      <c r="F332" s="4" t="s">
        <v>34</v>
      </c>
      <c r="G332" s="12">
        <v>44412.28</v>
      </c>
      <c r="H332" s="6">
        <v>44412.28</v>
      </c>
      <c r="I332" s="6"/>
      <c r="J332" s="6">
        <v>12762.13</v>
      </c>
      <c r="K332" s="6">
        <v>12762.13</v>
      </c>
      <c r="L332" s="6"/>
      <c r="M332" s="6"/>
      <c r="N332" s="6"/>
      <c r="O332" s="6"/>
      <c r="P332" s="6"/>
      <c r="Q332" s="6"/>
      <c r="R332" s="6"/>
      <c r="S332" s="6"/>
      <c r="T332" s="6"/>
    </row>
    <row r="333" spans="1:20" ht="14.4" x14ac:dyDescent="0.25">
      <c r="A333" s="4">
        <v>2020</v>
      </c>
      <c r="B333" s="4">
        <v>3</v>
      </c>
      <c r="C333" s="4" t="s">
        <v>18</v>
      </c>
      <c r="D333" s="11">
        <v>53317</v>
      </c>
      <c r="E333" s="5" t="s">
        <v>80</v>
      </c>
      <c r="F333" s="4" t="s">
        <v>34</v>
      </c>
      <c r="G333" s="12">
        <v>25639.33</v>
      </c>
      <c r="H333" s="6">
        <v>25639.33</v>
      </c>
      <c r="I333" s="6"/>
      <c r="J333" s="6">
        <v>7367.61</v>
      </c>
      <c r="K333" s="6">
        <v>7367.61</v>
      </c>
      <c r="L333" s="6"/>
      <c r="M333" s="6"/>
      <c r="N333" s="6"/>
      <c r="O333" s="6"/>
      <c r="P333" s="6"/>
      <c r="Q333" s="6"/>
      <c r="R333" s="6"/>
      <c r="S333" s="6"/>
      <c r="T333" s="6"/>
    </row>
    <row r="334" spans="1:20" ht="14.4" x14ac:dyDescent="0.25">
      <c r="A334" s="4">
        <v>2020</v>
      </c>
      <c r="B334" s="4">
        <v>3</v>
      </c>
      <c r="C334" s="4" t="s">
        <v>18</v>
      </c>
      <c r="D334" s="11">
        <v>57438</v>
      </c>
      <c r="E334" s="5" t="s">
        <v>259</v>
      </c>
      <c r="F334" s="4" t="s">
        <v>34</v>
      </c>
      <c r="G334" s="12">
        <v>669871.87</v>
      </c>
      <c r="H334" s="6">
        <v>669871.87</v>
      </c>
      <c r="I334" s="6"/>
      <c r="J334" s="6">
        <v>192902.62</v>
      </c>
      <c r="K334" s="6">
        <v>192902.62</v>
      </c>
      <c r="L334" s="6"/>
      <c r="M334" s="6"/>
      <c r="N334" s="6"/>
      <c r="O334" s="6"/>
      <c r="P334" s="6"/>
      <c r="Q334" s="6"/>
      <c r="R334" s="6"/>
      <c r="S334" s="6"/>
      <c r="T334" s="6"/>
    </row>
    <row r="335" spans="1:20" ht="14.4" x14ac:dyDescent="0.25">
      <c r="A335" s="4">
        <v>2020</v>
      </c>
      <c r="B335" s="4">
        <v>3</v>
      </c>
      <c r="C335" s="4" t="s">
        <v>18</v>
      </c>
      <c r="D335" s="11">
        <v>62486</v>
      </c>
      <c r="E335" s="5" t="s">
        <v>275</v>
      </c>
      <c r="F335" s="4" t="s">
        <v>34</v>
      </c>
      <c r="G335" s="12">
        <v>4948.4799999999996</v>
      </c>
      <c r="H335" s="6">
        <v>4948.4799999999996</v>
      </c>
      <c r="I335" s="6"/>
      <c r="J335" s="6">
        <v>1421.97</v>
      </c>
      <c r="K335" s="6">
        <v>1421.97</v>
      </c>
      <c r="L335" s="6"/>
      <c r="M335" s="6"/>
      <c r="N335" s="6"/>
      <c r="O335" s="6"/>
      <c r="P335" s="6"/>
      <c r="Q335" s="6"/>
      <c r="R335" s="6"/>
      <c r="S335" s="6"/>
      <c r="T335" s="6"/>
    </row>
    <row r="336" spans="1:20" ht="14.4" x14ac:dyDescent="0.25">
      <c r="A336" s="4">
        <v>2020</v>
      </c>
      <c r="B336" s="4">
        <v>4</v>
      </c>
      <c r="C336" s="4" t="s">
        <v>18</v>
      </c>
      <c r="D336" s="11">
        <v>643</v>
      </c>
      <c r="E336" s="5" t="s">
        <v>72</v>
      </c>
      <c r="F336" s="4" t="s">
        <v>23</v>
      </c>
      <c r="G336" s="12">
        <v>652772.37</v>
      </c>
      <c r="H336" s="6">
        <v>2648.49</v>
      </c>
      <c r="I336" s="6">
        <v>650123.88</v>
      </c>
      <c r="J336" s="6">
        <v>652772.37</v>
      </c>
      <c r="K336" s="6">
        <v>2648.49</v>
      </c>
      <c r="L336" s="6">
        <v>650123.88</v>
      </c>
      <c r="M336" s="6">
        <v>6420882138.6300001</v>
      </c>
      <c r="N336" s="6">
        <v>6551001403.1400003</v>
      </c>
      <c r="O336" s="6">
        <v>5.2999999999999999E-2</v>
      </c>
      <c r="P336" s="6" t="s">
        <v>17</v>
      </c>
      <c r="Q336" s="6">
        <v>2.75E-2</v>
      </c>
      <c r="R336" s="6">
        <v>0.05</v>
      </c>
      <c r="S336" s="6"/>
      <c r="T336" s="6">
        <v>689131.31</v>
      </c>
    </row>
    <row r="337" spans="1:20" ht="14.4" x14ac:dyDescent="0.25">
      <c r="A337" s="4">
        <v>2020</v>
      </c>
      <c r="B337" s="4">
        <v>4</v>
      </c>
      <c r="C337" s="4" t="s">
        <v>18</v>
      </c>
      <c r="D337" s="11">
        <v>652</v>
      </c>
      <c r="E337" s="5" t="s">
        <v>74</v>
      </c>
      <c r="F337" s="4" t="s">
        <v>23</v>
      </c>
      <c r="G337" s="12">
        <v>3682834.76</v>
      </c>
      <c r="H337" s="6">
        <v>2310479.2000000002</v>
      </c>
      <c r="I337" s="6">
        <v>1372355.56</v>
      </c>
      <c r="J337" s="6">
        <v>2337964.9300000002</v>
      </c>
      <c r="K337" s="6">
        <v>1995174.38</v>
      </c>
      <c r="L337" s="6">
        <v>342790.55</v>
      </c>
      <c r="M337" s="6">
        <v>3396507649.6100001</v>
      </c>
      <c r="N337" s="6">
        <v>3443172001.0700002</v>
      </c>
      <c r="O337" s="6">
        <v>5.2999999999999999E-2</v>
      </c>
      <c r="P337" s="6" t="s">
        <v>17</v>
      </c>
      <c r="Q337" s="6">
        <v>2.75E-2</v>
      </c>
      <c r="R337" s="6">
        <v>0.05</v>
      </c>
      <c r="S337" s="6"/>
      <c r="T337" s="6">
        <v>363357.98</v>
      </c>
    </row>
    <row r="338" spans="1:20" ht="14.4" x14ac:dyDescent="0.25">
      <c r="A338" s="4">
        <v>2020</v>
      </c>
      <c r="B338" s="4">
        <v>4</v>
      </c>
      <c r="C338" s="4" t="s">
        <v>18</v>
      </c>
      <c r="D338" s="11">
        <v>44321</v>
      </c>
      <c r="E338" s="5" t="s">
        <v>26</v>
      </c>
      <c r="F338" s="4" t="s">
        <v>23</v>
      </c>
      <c r="G338" s="12">
        <v>1113483.51</v>
      </c>
      <c r="H338" s="6">
        <v>979008.06</v>
      </c>
      <c r="I338" s="6">
        <v>134475.45000000001</v>
      </c>
      <c r="J338" s="6">
        <v>891644.59</v>
      </c>
      <c r="K338" s="6">
        <v>857373.06</v>
      </c>
      <c r="L338" s="6">
        <v>34271.53</v>
      </c>
      <c r="M338" s="6">
        <v>1126104656.74</v>
      </c>
      <c r="N338" s="6">
        <v>1153288272.6099999</v>
      </c>
      <c r="O338" s="6">
        <v>5.2999999999999999E-2</v>
      </c>
      <c r="P338" s="6" t="s">
        <v>17</v>
      </c>
      <c r="Q338" s="6">
        <v>2.75E-2</v>
      </c>
      <c r="R338" s="6">
        <v>1.4999999999999999E-2</v>
      </c>
      <c r="S338" s="6"/>
      <c r="T338" s="6">
        <v>36327.82</v>
      </c>
    </row>
    <row r="339" spans="1:20" ht="14.4" x14ac:dyDescent="0.25">
      <c r="A339" s="4">
        <v>2020</v>
      </c>
      <c r="B339" s="4">
        <v>4</v>
      </c>
      <c r="C339" s="4" t="s">
        <v>18</v>
      </c>
      <c r="D339" s="11">
        <v>650</v>
      </c>
      <c r="E339" s="5" t="s">
        <v>20</v>
      </c>
      <c r="F339" s="4" t="s">
        <v>34</v>
      </c>
      <c r="G339" s="12">
        <v>229878.09</v>
      </c>
      <c r="H339" s="6">
        <v>229878.09</v>
      </c>
      <c r="I339" s="6"/>
      <c r="J339" s="6">
        <v>61589.36</v>
      </c>
      <c r="K339" s="6">
        <v>61589.36</v>
      </c>
      <c r="L339" s="6"/>
      <c r="M339" s="6"/>
      <c r="N339" s="6"/>
      <c r="O339" s="6"/>
      <c r="P339" s="6"/>
      <c r="Q339" s="6"/>
      <c r="R339" s="6"/>
      <c r="S339" s="6"/>
      <c r="T339" s="6"/>
    </row>
    <row r="340" spans="1:20" ht="14.4" x14ac:dyDescent="0.25">
      <c r="A340" s="4">
        <v>2020</v>
      </c>
      <c r="B340" s="4">
        <v>4</v>
      </c>
      <c r="C340" s="4" t="s">
        <v>18</v>
      </c>
      <c r="D340" s="11">
        <v>7605</v>
      </c>
      <c r="E340" s="5" t="s">
        <v>77</v>
      </c>
      <c r="F340" s="4" t="s">
        <v>34</v>
      </c>
      <c r="G340" s="12">
        <v>64648.26</v>
      </c>
      <c r="H340" s="6">
        <v>64648.26</v>
      </c>
      <c r="I340" s="6"/>
      <c r="J340" s="6">
        <v>20235.98</v>
      </c>
      <c r="K340" s="6">
        <v>20235.98</v>
      </c>
      <c r="L340" s="6"/>
      <c r="M340" s="6"/>
      <c r="N340" s="6"/>
      <c r="O340" s="6"/>
      <c r="P340" s="6"/>
      <c r="Q340" s="6"/>
      <c r="R340" s="6"/>
      <c r="S340" s="6"/>
      <c r="T340" s="6"/>
    </row>
    <row r="341" spans="1:20" ht="14.4" x14ac:dyDescent="0.25">
      <c r="A341" s="4">
        <v>2020</v>
      </c>
      <c r="B341" s="4">
        <v>4</v>
      </c>
      <c r="C341" s="4" t="s">
        <v>18</v>
      </c>
      <c r="D341" s="11">
        <v>53317</v>
      </c>
      <c r="E341" s="5" t="s">
        <v>80</v>
      </c>
      <c r="F341" s="4" t="s">
        <v>34</v>
      </c>
      <c r="G341" s="12">
        <v>37050.39</v>
      </c>
      <c r="H341" s="6">
        <v>37050.39</v>
      </c>
      <c r="I341" s="6"/>
      <c r="J341" s="6">
        <v>11411.06</v>
      </c>
      <c r="K341" s="6">
        <v>11411.06</v>
      </c>
      <c r="L341" s="6"/>
      <c r="M341" s="6"/>
      <c r="N341" s="6"/>
      <c r="O341" s="6"/>
      <c r="P341" s="6"/>
      <c r="Q341" s="6"/>
      <c r="R341" s="6"/>
      <c r="S341" s="6"/>
      <c r="T341" s="6"/>
    </row>
    <row r="342" spans="1:20" ht="14.4" x14ac:dyDescent="0.25">
      <c r="A342" s="4">
        <v>2020</v>
      </c>
      <c r="B342" s="4">
        <v>4</v>
      </c>
      <c r="C342" s="4" t="s">
        <v>18</v>
      </c>
      <c r="D342" s="11">
        <v>57438</v>
      </c>
      <c r="E342" s="5" t="s">
        <v>259</v>
      </c>
      <c r="F342" s="4" t="s">
        <v>34</v>
      </c>
      <c r="G342" s="12">
        <v>963652.41</v>
      </c>
      <c r="H342" s="6">
        <v>963652.41</v>
      </c>
      <c r="I342" s="6"/>
      <c r="J342" s="6">
        <v>293780.53999999998</v>
      </c>
      <c r="K342" s="6">
        <v>293780.53999999998</v>
      </c>
      <c r="L342" s="6"/>
      <c r="M342" s="6"/>
      <c r="N342" s="6"/>
      <c r="O342" s="6"/>
      <c r="P342" s="6"/>
      <c r="Q342" s="6"/>
      <c r="R342" s="6"/>
      <c r="S342" s="6"/>
      <c r="T342" s="6"/>
    </row>
    <row r="343" spans="1:20" ht="14.4" x14ac:dyDescent="0.25">
      <c r="A343" s="4">
        <v>2020</v>
      </c>
      <c r="B343" s="4">
        <v>4</v>
      </c>
      <c r="C343" s="4" t="s">
        <v>18</v>
      </c>
      <c r="D343" s="11">
        <v>62486</v>
      </c>
      <c r="E343" s="5" t="s">
        <v>275</v>
      </c>
      <c r="F343" s="4" t="s">
        <v>34</v>
      </c>
      <c r="G343" s="12">
        <v>17947.919999999998</v>
      </c>
      <c r="H343" s="6">
        <v>17947.919999999998</v>
      </c>
      <c r="I343" s="6"/>
      <c r="J343" s="6">
        <v>12999.44</v>
      </c>
      <c r="K343" s="6">
        <v>12999.44</v>
      </c>
      <c r="L343" s="6"/>
      <c r="M343" s="6"/>
      <c r="N343" s="6"/>
      <c r="O343" s="6"/>
      <c r="P343" s="6"/>
      <c r="Q343" s="6"/>
      <c r="R343" s="6"/>
      <c r="S343" s="6"/>
      <c r="T343" s="6"/>
    </row>
    <row r="344" spans="1:20" ht="14.4" x14ac:dyDescent="0.25">
      <c r="A344" s="4">
        <v>2020</v>
      </c>
      <c r="B344" s="4">
        <v>5</v>
      </c>
      <c r="C344" s="4" t="s">
        <v>18</v>
      </c>
      <c r="D344" s="11">
        <v>643</v>
      </c>
      <c r="E344" s="5" t="s">
        <v>72</v>
      </c>
      <c r="F344" s="4" t="s">
        <v>23</v>
      </c>
      <c r="G344" s="12">
        <v>1312458.31</v>
      </c>
      <c r="H344" s="6">
        <v>2648.49</v>
      </c>
      <c r="I344" s="6">
        <v>1309809.82</v>
      </c>
      <c r="J344" s="6">
        <v>659685.93999999994</v>
      </c>
      <c r="K344" s="6"/>
      <c r="L344" s="6">
        <v>659685.93999999994</v>
      </c>
      <c r="M344" s="6">
        <v>6551001403.1400003</v>
      </c>
      <c r="N344" s="6">
        <v>6611673349.6199999</v>
      </c>
      <c r="O344" s="6">
        <v>5.2999999999999999E-2</v>
      </c>
      <c r="P344" s="6" t="s">
        <v>17</v>
      </c>
      <c r="Q344" s="6">
        <v>2.75E-2</v>
      </c>
      <c r="R344" s="6">
        <v>0.05</v>
      </c>
      <c r="S344" s="6"/>
      <c r="T344" s="6">
        <v>699267.1</v>
      </c>
    </row>
    <row r="345" spans="1:20" ht="14.4" x14ac:dyDescent="0.25">
      <c r="A345" s="4">
        <v>2020</v>
      </c>
      <c r="B345" s="4">
        <v>5</v>
      </c>
      <c r="C345" s="4" t="s">
        <v>18</v>
      </c>
      <c r="D345" s="11">
        <v>652</v>
      </c>
      <c r="E345" s="5" t="s">
        <v>74</v>
      </c>
      <c r="F345" s="4" t="s">
        <v>23</v>
      </c>
      <c r="G345" s="12">
        <v>4126091.17</v>
      </c>
      <c r="H345" s="6">
        <v>2408437.4900000002</v>
      </c>
      <c r="I345" s="6">
        <v>1717653.68</v>
      </c>
      <c r="J345" s="6">
        <v>443256.41</v>
      </c>
      <c r="K345" s="6">
        <v>97958.29</v>
      </c>
      <c r="L345" s="6">
        <v>345298.12</v>
      </c>
      <c r="M345" s="6">
        <v>3443172001.0700002</v>
      </c>
      <c r="N345" s="6">
        <v>3446541050.5900002</v>
      </c>
      <c r="O345" s="6">
        <v>5.2999999999999999E-2</v>
      </c>
      <c r="P345" s="6" t="s">
        <v>17</v>
      </c>
      <c r="Q345" s="6">
        <v>2.75E-2</v>
      </c>
      <c r="R345" s="6">
        <v>0.05</v>
      </c>
      <c r="S345" s="6"/>
      <c r="T345" s="6">
        <v>366016.01</v>
      </c>
    </row>
    <row r="346" spans="1:20" ht="14.4" x14ac:dyDescent="0.25">
      <c r="A346" s="4">
        <v>2020</v>
      </c>
      <c r="B346" s="4">
        <v>5</v>
      </c>
      <c r="C346" s="4" t="s">
        <v>18</v>
      </c>
      <c r="D346" s="11">
        <v>44321</v>
      </c>
      <c r="E346" s="5" t="s">
        <v>26</v>
      </c>
      <c r="F346" s="4" t="s">
        <v>23</v>
      </c>
      <c r="G346" s="12">
        <v>1735824.44</v>
      </c>
      <c r="H346" s="6">
        <v>1566506.33</v>
      </c>
      <c r="I346" s="6">
        <v>169318.11</v>
      </c>
      <c r="J346" s="6">
        <v>622340.92000000004</v>
      </c>
      <c r="K346" s="6">
        <v>587498.27</v>
      </c>
      <c r="L346" s="6">
        <v>34842.65</v>
      </c>
      <c r="M346" s="6">
        <v>1153288272.6099999</v>
      </c>
      <c r="N346" s="6">
        <v>1164089873.1099999</v>
      </c>
      <c r="O346" s="6">
        <v>5.2999999999999999E-2</v>
      </c>
      <c r="P346" s="6" t="s">
        <v>17</v>
      </c>
      <c r="Q346" s="6">
        <v>2.75E-2</v>
      </c>
      <c r="R346" s="6">
        <v>1.4999999999999999E-2</v>
      </c>
      <c r="S346" s="6"/>
      <c r="T346" s="6">
        <v>36933.21</v>
      </c>
    </row>
    <row r="347" spans="1:20" ht="14.4" x14ac:dyDescent="0.25">
      <c r="A347" s="4">
        <v>2020</v>
      </c>
      <c r="B347" s="4">
        <v>5</v>
      </c>
      <c r="C347" s="4" t="s">
        <v>18</v>
      </c>
      <c r="D347" s="11">
        <v>650</v>
      </c>
      <c r="E347" s="5" t="s">
        <v>20</v>
      </c>
      <c r="F347" s="4" t="s">
        <v>34</v>
      </c>
      <c r="G347" s="12">
        <v>286458.02</v>
      </c>
      <c r="H347" s="6">
        <v>286458.02</v>
      </c>
      <c r="I347" s="6"/>
      <c r="J347" s="6">
        <v>56579.92</v>
      </c>
      <c r="K347" s="6">
        <v>56579.92</v>
      </c>
      <c r="L347" s="6"/>
      <c r="M347" s="6"/>
      <c r="N347" s="6"/>
      <c r="O347" s="6"/>
      <c r="P347" s="6"/>
      <c r="Q347" s="6"/>
      <c r="R347" s="6"/>
      <c r="S347" s="6"/>
      <c r="T347" s="6"/>
    </row>
    <row r="348" spans="1:20" ht="14.4" x14ac:dyDescent="0.25">
      <c r="A348" s="4">
        <v>2020</v>
      </c>
      <c r="B348" s="4">
        <v>5</v>
      </c>
      <c r="C348" s="4" t="s">
        <v>18</v>
      </c>
      <c r="D348" s="11">
        <v>7605</v>
      </c>
      <c r="E348" s="5" t="s">
        <v>77</v>
      </c>
      <c r="F348" s="4" t="s">
        <v>34</v>
      </c>
      <c r="G348" s="12">
        <v>78625.320000000007</v>
      </c>
      <c r="H348" s="6">
        <v>78625.320000000007</v>
      </c>
      <c r="I348" s="6"/>
      <c r="J348" s="6">
        <v>13977.06</v>
      </c>
      <c r="K348" s="6">
        <v>13977.06</v>
      </c>
      <c r="L348" s="6"/>
      <c r="M348" s="6"/>
      <c r="N348" s="6"/>
      <c r="O348" s="6"/>
      <c r="P348" s="6"/>
      <c r="Q348" s="6"/>
      <c r="R348" s="6"/>
      <c r="S348" s="6"/>
      <c r="T348" s="6"/>
    </row>
    <row r="349" spans="1:20" ht="14.4" x14ac:dyDescent="0.25">
      <c r="A349" s="4">
        <v>2020</v>
      </c>
      <c r="B349" s="4">
        <v>5</v>
      </c>
      <c r="C349" s="4" t="s">
        <v>18</v>
      </c>
      <c r="D349" s="11">
        <v>53317</v>
      </c>
      <c r="E349" s="5" t="s">
        <v>80</v>
      </c>
      <c r="F349" s="4" t="s">
        <v>34</v>
      </c>
      <c r="G349" s="12">
        <v>45165.59</v>
      </c>
      <c r="H349" s="6">
        <v>45165.59</v>
      </c>
      <c r="I349" s="6"/>
      <c r="J349" s="6">
        <v>8115.21</v>
      </c>
      <c r="K349" s="6">
        <v>8115.21</v>
      </c>
      <c r="L349" s="6"/>
      <c r="M349" s="6"/>
      <c r="N349" s="6"/>
      <c r="O349" s="6"/>
      <c r="P349" s="6"/>
      <c r="Q349" s="6"/>
      <c r="R349" s="6"/>
      <c r="S349" s="6"/>
      <c r="T349" s="6"/>
    </row>
    <row r="350" spans="1:20" ht="14.4" x14ac:dyDescent="0.25">
      <c r="A350" s="4">
        <v>2020</v>
      </c>
      <c r="B350" s="4">
        <v>5</v>
      </c>
      <c r="C350" s="4" t="s">
        <v>18</v>
      </c>
      <c r="D350" s="11">
        <v>57438</v>
      </c>
      <c r="E350" s="5" t="s">
        <v>259</v>
      </c>
      <c r="F350" s="4" t="s">
        <v>34</v>
      </c>
      <c r="G350" s="12">
        <v>1153031.25</v>
      </c>
      <c r="H350" s="6">
        <v>1153031.25</v>
      </c>
      <c r="I350" s="6"/>
      <c r="J350" s="6">
        <v>189378.85</v>
      </c>
      <c r="K350" s="6">
        <v>189378.85</v>
      </c>
      <c r="L350" s="6"/>
      <c r="M350" s="6"/>
      <c r="N350" s="6"/>
      <c r="O350" s="6"/>
      <c r="P350" s="6"/>
      <c r="Q350" s="6"/>
      <c r="R350" s="6"/>
      <c r="S350" s="6"/>
      <c r="T350" s="6"/>
    </row>
    <row r="351" spans="1:20" ht="14.4" x14ac:dyDescent="0.25">
      <c r="A351" s="4">
        <v>2020</v>
      </c>
      <c r="B351" s="4">
        <v>5</v>
      </c>
      <c r="C351" s="4" t="s">
        <v>18</v>
      </c>
      <c r="D351" s="11">
        <v>62486</v>
      </c>
      <c r="E351" s="5" t="s">
        <v>275</v>
      </c>
      <c r="F351" s="4" t="s">
        <v>34</v>
      </c>
      <c r="G351" s="12">
        <v>17675.12</v>
      </c>
      <c r="H351" s="6">
        <v>17675.12</v>
      </c>
      <c r="I351" s="6"/>
      <c r="J351" s="6">
        <v>-272.8</v>
      </c>
      <c r="K351" s="6">
        <v>-272.8</v>
      </c>
      <c r="L351" s="6"/>
      <c r="M351" s="6"/>
      <c r="N351" s="6"/>
      <c r="O351" s="6"/>
      <c r="P351" s="6"/>
      <c r="Q351" s="6"/>
      <c r="R351" s="6"/>
      <c r="S351" s="6"/>
      <c r="T351" s="6"/>
    </row>
    <row r="352" spans="1:20" ht="14.4" x14ac:dyDescent="0.25">
      <c r="A352" s="4">
        <v>2020</v>
      </c>
      <c r="B352" s="4">
        <v>6</v>
      </c>
      <c r="C352" s="4" t="s">
        <v>18</v>
      </c>
      <c r="D352" s="11">
        <v>643</v>
      </c>
      <c r="E352" s="5" t="s">
        <v>72</v>
      </c>
      <c r="F352" s="4" t="s">
        <v>23</v>
      </c>
      <c r="G352" s="12">
        <v>1982212.76</v>
      </c>
      <c r="H352" s="6">
        <v>2648.49</v>
      </c>
      <c r="I352" s="6">
        <v>1979564.27</v>
      </c>
      <c r="J352" s="6">
        <v>669754.44999999995</v>
      </c>
      <c r="K352" s="6"/>
      <c r="L352" s="6">
        <v>669754.44999999995</v>
      </c>
      <c r="M352" s="6">
        <v>6611673349.6199999</v>
      </c>
      <c r="N352" s="6">
        <v>6751897798.8299999</v>
      </c>
      <c r="O352" s="6">
        <v>5.2999999999999999E-2</v>
      </c>
      <c r="P352" s="6" t="s">
        <v>17</v>
      </c>
      <c r="Q352" s="6">
        <v>2.75E-2</v>
      </c>
      <c r="R352" s="6">
        <v>0.05</v>
      </c>
      <c r="S352" s="6"/>
      <c r="T352" s="6">
        <v>709939.72</v>
      </c>
    </row>
    <row r="353" spans="1:20" ht="14.4" x14ac:dyDescent="0.25">
      <c r="A353" s="4">
        <v>2020</v>
      </c>
      <c r="B353" s="4">
        <v>6</v>
      </c>
      <c r="C353" s="4" t="s">
        <v>18</v>
      </c>
      <c r="D353" s="11">
        <v>652</v>
      </c>
      <c r="E353" s="5" t="s">
        <v>74</v>
      </c>
      <c r="F353" s="4" t="s">
        <v>23</v>
      </c>
      <c r="G353" s="12">
        <v>4572100.26</v>
      </c>
      <c r="H353" s="6">
        <v>2506395.7799999998</v>
      </c>
      <c r="I353" s="6">
        <v>2065704.48</v>
      </c>
      <c r="J353" s="6">
        <v>446009.09</v>
      </c>
      <c r="K353" s="6">
        <v>97958.29</v>
      </c>
      <c r="L353" s="6">
        <v>348050.8</v>
      </c>
      <c r="M353" s="6">
        <v>3446541050.5900002</v>
      </c>
      <c r="N353" s="6">
        <v>3498096041.8099999</v>
      </c>
      <c r="O353" s="6">
        <v>5.2999999999999999E-2</v>
      </c>
      <c r="P353" s="6" t="s">
        <v>17</v>
      </c>
      <c r="Q353" s="6">
        <v>2.75E-2</v>
      </c>
      <c r="R353" s="6">
        <v>0.05</v>
      </c>
      <c r="S353" s="6"/>
      <c r="T353" s="6">
        <v>368933.85</v>
      </c>
    </row>
    <row r="354" spans="1:20" ht="14.4" x14ac:dyDescent="0.25">
      <c r="A354" s="4">
        <v>2020</v>
      </c>
      <c r="B354" s="4">
        <v>6</v>
      </c>
      <c r="C354" s="4" t="s">
        <v>18</v>
      </c>
      <c r="D354" s="11">
        <v>44321</v>
      </c>
      <c r="E354" s="5" t="s">
        <v>26</v>
      </c>
      <c r="F354" s="4" t="s">
        <v>23</v>
      </c>
      <c r="G354" s="12">
        <v>1814168.1</v>
      </c>
      <c r="H354" s="6">
        <v>1609520.05</v>
      </c>
      <c r="I354" s="6">
        <v>204648.05</v>
      </c>
      <c r="J354" s="6">
        <v>78343.67</v>
      </c>
      <c r="K354" s="6">
        <v>43013.72</v>
      </c>
      <c r="L354" s="6">
        <v>35329.949999999997</v>
      </c>
      <c r="M354" s="6">
        <v>1164089873.1099999</v>
      </c>
      <c r="N354" s="6">
        <v>1185698022.48</v>
      </c>
      <c r="O354" s="6">
        <v>5.2999999999999999E-2</v>
      </c>
      <c r="P354" s="6" t="s">
        <v>17</v>
      </c>
      <c r="Q354" s="6">
        <v>2.75E-2</v>
      </c>
      <c r="R354" s="6">
        <v>1.4999999999999999E-2</v>
      </c>
      <c r="S354" s="6"/>
      <c r="T354" s="6">
        <v>37449.74</v>
      </c>
    </row>
    <row r="355" spans="1:20" ht="14.4" x14ac:dyDescent="0.25">
      <c r="A355" s="4">
        <v>2020</v>
      </c>
      <c r="B355" s="4">
        <v>6</v>
      </c>
      <c r="C355" s="4" t="s">
        <v>18</v>
      </c>
      <c r="D355" s="11">
        <v>650</v>
      </c>
      <c r="E355" s="5" t="s">
        <v>20</v>
      </c>
      <c r="F355" s="4" t="s">
        <v>34</v>
      </c>
      <c r="G355" s="12">
        <v>344923.95</v>
      </c>
      <c r="H355" s="6">
        <v>344923.95</v>
      </c>
      <c r="I355" s="6"/>
      <c r="J355" s="6">
        <v>58465.93</v>
      </c>
      <c r="K355" s="6">
        <v>58465.93</v>
      </c>
      <c r="L355" s="6"/>
      <c r="M355" s="6"/>
      <c r="N355" s="6"/>
      <c r="O355" s="6"/>
      <c r="P355" s="6"/>
      <c r="Q355" s="6"/>
      <c r="R355" s="6"/>
      <c r="S355" s="6"/>
      <c r="T355" s="6"/>
    </row>
    <row r="356" spans="1:20" ht="14.4" x14ac:dyDescent="0.25">
      <c r="A356" s="4">
        <v>2020</v>
      </c>
      <c r="B356" s="4">
        <v>6</v>
      </c>
      <c r="C356" s="4" t="s">
        <v>18</v>
      </c>
      <c r="D356" s="11">
        <v>7605</v>
      </c>
      <c r="E356" s="5" t="s">
        <v>77</v>
      </c>
      <c r="F356" s="4" t="s">
        <v>34</v>
      </c>
      <c r="G356" s="12">
        <v>95287.66</v>
      </c>
      <c r="H356" s="6">
        <v>95287.66</v>
      </c>
      <c r="I356" s="6"/>
      <c r="J356" s="6">
        <v>16662.34</v>
      </c>
      <c r="K356" s="6">
        <v>16662.34</v>
      </c>
      <c r="L356" s="6"/>
      <c r="M356" s="6"/>
      <c r="N356" s="6"/>
      <c r="O356" s="6"/>
      <c r="P356" s="6"/>
      <c r="Q356" s="6"/>
      <c r="R356" s="6"/>
      <c r="S356" s="6"/>
      <c r="T356" s="6"/>
    </row>
    <row r="357" spans="1:20" ht="14.4" x14ac:dyDescent="0.25">
      <c r="A357" s="4">
        <v>2020</v>
      </c>
      <c r="B357" s="4">
        <v>6</v>
      </c>
      <c r="C357" s="4" t="s">
        <v>18</v>
      </c>
      <c r="D357" s="11">
        <v>53317</v>
      </c>
      <c r="E357" s="5" t="s">
        <v>80</v>
      </c>
      <c r="F357" s="4" t="s">
        <v>34</v>
      </c>
      <c r="G357" s="12">
        <v>54737.1</v>
      </c>
      <c r="H357" s="6">
        <v>54737.1</v>
      </c>
      <c r="I357" s="6"/>
      <c r="J357" s="6">
        <v>9571.51</v>
      </c>
      <c r="K357" s="6">
        <v>9571.51</v>
      </c>
      <c r="L357" s="6"/>
      <c r="M357" s="6"/>
      <c r="N357" s="6"/>
      <c r="O357" s="6"/>
      <c r="P357" s="6"/>
      <c r="Q357" s="6"/>
      <c r="R357" s="6"/>
      <c r="S357" s="6"/>
      <c r="T357" s="6"/>
    </row>
    <row r="358" spans="1:20" ht="14.4" x14ac:dyDescent="0.25">
      <c r="A358" s="4">
        <v>2020</v>
      </c>
      <c r="B358" s="4">
        <v>6</v>
      </c>
      <c r="C358" s="4" t="s">
        <v>18</v>
      </c>
      <c r="D358" s="11">
        <v>57438</v>
      </c>
      <c r="E358" s="5" t="s">
        <v>259</v>
      </c>
      <c r="F358" s="4" t="s">
        <v>34</v>
      </c>
      <c r="G358" s="12">
        <v>1375984.28</v>
      </c>
      <c r="H358" s="6">
        <v>1375984.28</v>
      </c>
      <c r="I358" s="6"/>
      <c r="J358" s="6">
        <v>222953.03</v>
      </c>
      <c r="K358" s="6">
        <v>222953.03</v>
      </c>
      <c r="L358" s="6"/>
      <c r="M358" s="6"/>
      <c r="N358" s="6"/>
      <c r="O358" s="6"/>
      <c r="P358" s="6"/>
      <c r="Q358" s="6"/>
      <c r="R358" s="6"/>
      <c r="S358" s="6"/>
      <c r="T358" s="6"/>
    </row>
    <row r="359" spans="1:20" ht="14.4" x14ac:dyDescent="0.25">
      <c r="A359" s="4">
        <v>2020</v>
      </c>
      <c r="B359" s="4">
        <v>6</v>
      </c>
      <c r="C359" s="4" t="s">
        <v>18</v>
      </c>
      <c r="D359" s="11">
        <v>62486</v>
      </c>
      <c r="E359" s="5" t="s">
        <v>275</v>
      </c>
      <c r="F359" s="4" t="s">
        <v>34</v>
      </c>
      <c r="G359" s="12">
        <v>21420.85</v>
      </c>
      <c r="H359" s="6">
        <v>21420.85</v>
      </c>
      <c r="I359" s="6"/>
      <c r="J359" s="6">
        <v>3745.73</v>
      </c>
      <c r="K359" s="6">
        <v>3745.73</v>
      </c>
      <c r="L359" s="6"/>
      <c r="M359" s="6"/>
      <c r="N359" s="6"/>
      <c r="O359" s="6"/>
      <c r="P359" s="6"/>
      <c r="Q359" s="6"/>
      <c r="R359" s="6"/>
      <c r="S359" s="6"/>
      <c r="T359" s="6"/>
    </row>
    <row r="360" spans="1:20" ht="14.4" x14ac:dyDescent="0.25">
      <c r="A360">
        <v>2020</v>
      </c>
      <c r="B360">
        <v>7</v>
      </c>
      <c r="C360" t="s">
        <v>18</v>
      </c>
      <c r="D360" s="11">
        <v>643</v>
      </c>
      <c r="E360" t="s">
        <v>72</v>
      </c>
      <c r="F360" t="s">
        <v>23</v>
      </c>
      <c r="G360" s="17">
        <v>4591422.93</v>
      </c>
      <c r="H360">
        <v>2648.49</v>
      </c>
      <c r="I360">
        <v>4588774.4400000004</v>
      </c>
      <c r="J360" s="34">
        <v>687191.79</v>
      </c>
      <c r="L360" s="34">
        <v>687191.79</v>
      </c>
      <c r="M360">
        <v>6751897799</v>
      </c>
      <c r="N360">
        <v>6959599637</v>
      </c>
      <c r="O360">
        <v>5.2999999999999999E-2</v>
      </c>
      <c r="P360">
        <v>3</v>
      </c>
      <c r="Q360">
        <v>2.75E-2</v>
      </c>
      <c r="R360">
        <v>0.05</v>
      </c>
      <c r="T360">
        <v>728423.3</v>
      </c>
    </row>
    <row r="361" spans="1:20" x14ac:dyDescent="0.25">
      <c r="A361">
        <v>2020</v>
      </c>
      <c r="B361">
        <v>7</v>
      </c>
      <c r="C361" t="s">
        <v>18</v>
      </c>
      <c r="D361">
        <v>650</v>
      </c>
      <c r="E361" t="s">
        <v>20</v>
      </c>
      <c r="F361" t="s">
        <v>23</v>
      </c>
      <c r="G361" s="17">
        <v>402749.94</v>
      </c>
      <c r="H361">
        <v>402749.94</v>
      </c>
      <c r="J361" s="34">
        <v>57825.99</v>
      </c>
      <c r="K361" s="34">
        <v>57825.99</v>
      </c>
      <c r="O361">
        <v>5.2999999999999999E-2</v>
      </c>
      <c r="P361" t="s">
        <v>24</v>
      </c>
      <c r="Q361">
        <v>0</v>
      </c>
      <c r="R361">
        <v>0.05</v>
      </c>
    </row>
    <row r="362" spans="1:20" x14ac:dyDescent="0.25">
      <c r="A362">
        <v>2020</v>
      </c>
      <c r="B362">
        <v>7</v>
      </c>
      <c r="C362" t="s">
        <v>18</v>
      </c>
      <c r="D362">
        <v>652</v>
      </c>
      <c r="E362" t="s">
        <v>74</v>
      </c>
      <c r="F362" t="s">
        <v>23</v>
      </c>
      <c r="G362" s="17">
        <v>1265379.6100000001</v>
      </c>
      <c r="H362">
        <v>-1155691.31</v>
      </c>
      <c r="I362">
        <v>2421070.92</v>
      </c>
      <c r="J362" s="34">
        <v>453324.74</v>
      </c>
      <c r="K362" s="34">
        <v>97958.29</v>
      </c>
      <c r="L362" s="34">
        <v>355366.45</v>
      </c>
      <c r="M362">
        <v>3498096042</v>
      </c>
      <c r="N362">
        <v>3592509752</v>
      </c>
      <c r="O362">
        <v>5.2999999999999999E-2</v>
      </c>
      <c r="P362">
        <v>3</v>
      </c>
      <c r="Q362">
        <v>2.75E-2</v>
      </c>
      <c r="R362">
        <v>0.05</v>
      </c>
      <c r="T362">
        <v>376688.43</v>
      </c>
    </row>
    <row r="363" spans="1:20" x14ac:dyDescent="0.25">
      <c r="A363">
        <v>2020</v>
      </c>
      <c r="B363">
        <v>7</v>
      </c>
      <c r="C363" t="s">
        <v>18</v>
      </c>
      <c r="D363">
        <v>44321</v>
      </c>
      <c r="E363" t="s">
        <v>26</v>
      </c>
      <c r="F363" t="s">
        <v>23</v>
      </c>
      <c r="G363" s="17">
        <v>908705.83</v>
      </c>
      <c r="H363">
        <v>667988.47999999998</v>
      </c>
      <c r="I363">
        <v>240717.35</v>
      </c>
      <c r="J363" s="34">
        <v>-92078.87</v>
      </c>
      <c r="K363" s="34">
        <v>-128148.17</v>
      </c>
      <c r="L363" s="34">
        <v>36069.300000000003</v>
      </c>
      <c r="M363">
        <v>1185698022</v>
      </c>
      <c r="N363">
        <v>1213264066</v>
      </c>
      <c r="O363">
        <v>5.2999999999999999E-2</v>
      </c>
      <c r="P363">
        <v>3</v>
      </c>
      <c r="Q363">
        <v>2.75E-2</v>
      </c>
      <c r="R363">
        <v>1.4999999999999999E-2</v>
      </c>
      <c r="T363">
        <v>38233.46</v>
      </c>
    </row>
    <row r="364" spans="1:20" x14ac:dyDescent="0.25">
      <c r="A364">
        <v>2020</v>
      </c>
      <c r="B364">
        <v>7</v>
      </c>
      <c r="C364" t="s">
        <v>18</v>
      </c>
      <c r="D364">
        <v>999</v>
      </c>
      <c r="E364" t="s">
        <v>117</v>
      </c>
      <c r="F364" t="s">
        <v>34</v>
      </c>
      <c r="G364" s="17">
        <v>44392.83</v>
      </c>
      <c r="H364">
        <v>44392.83</v>
      </c>
      <c r="J364" s="34">
        <v>44392.83</v>
      </c>
      <c r="K364" s="34">
        <v>44392.83</v>
      </c>
    </row>
    <row r="365" spans="1:20" x14ac:dyDescent="0.25">
      <c r="A365">
        <v>2020</v>
      </c>
      <c r="B365">
        <v>7</v>
      </c>
      <c r="C365" t="s">
        <v>18</v>
      </c>
      <c r="D365">
        <v>7605</v>
      </c>
      <c r="E365" t="s">
        <v>77</v>
      </c>
      <c r="F365" t="s">
        <v>34</v>
      </c>
      <c r="G365" s="17">
        <v>117493.18</v>
      </c>
      <c r="H365">
        <v>117493.18</v>
      </c>
      <c r="J365" s="34">
        <v>22205.52</v>
      </c>
      <c r="K365" s="34">
        <v>22205.52</v>
      </c>
    </row>
    <row r="366" spans="1:20" x14ac:dyDescent="0.25">
      <c r="A366">
        <v>2020</v>
      </c>
      <c r="B366">
        <v>7</v>
      </c>
      <c r="C366" t="s">
        <v>18</v>
      </c>
      <c r="D366">
        <v>53317</v>
      </c>
      <c r="E366" t="s">
        <v>80</v>
      </c>
      <c r="F366" t="s">
        <v>34</v>
      </c>
      <c r="G366" s="17">
        <v>63858</v>
      </c>
      <c r="H366">
        <v>63858</v>
      </c>
      <c r="J366" s="34">
        <v>9120.9</v>
      </c>
      <c r="K366" s="34">
        <v>9120.9</v>
      </c>
    </row>
    <row r="367" spans="1:20" x14ac:dyDescent="0.25">
      <c r="A367">
        <v>2020</v>
      </c>
      <c r="B367">
        <v>7</v>
      </c>
      <c r="C367" t="s">
        <v>18</v>
      </c>
      <c r="D367">
        <v>57438</v>
      </c>
      <c r="E367" t="s">
        <v>259</v>
      </c>
      <c r="F367" t="s">
        <v>34</v>
      </c>
      <c r="G367" s="17">
        <v>1687905.43</v>
      </c>
      <c r="H367">
        <v>1687905.43</v>
      </c>
      <c r="J367" s="34">
        <v>311921.15000000002</v>
      </c>
      <c r="K367" s="34">
        <v>311921.15000000002</v>
      </c>
    </row>
    <row r="368" spans="1:20" x14ac:dyDescent="0.25">
      <c r="A368">
        <v>2020</v>
      </c>
      <c r="B368">
        <v>7</v>
      </c>
      <c r="C368" t="s">
        <v>18</v>
      </c>
      <c r="D368">
        <v>62486</v>
      </c>
      <c r="E368" t="s">
        <v>275</v>
      </c>
      <c r="F368" t="s">
        <v>34</v>
      </c>
      <c r="G368" s="17">
        <v>42548.67</v>
      </c>
      <c r="H368">
        <v>42548.67</v>
      </c>
      <c r="J368" s="34">
        <v>21127.82</v>
      </c>
      <c r="K368" s="34">
        <v>21127.82</v>
      </c>
    </row>
    <row r="369" spans="1:20" ht="14.4" x14ac:dyDescent="0.25">
      <c r="A369">
        <v>2020</v>
      </c>
      <c r="B369">
        <v>8</v>
      </c>
      <c r="C369" t="s">
        <v>18</v>
      </c>
      <c r="D369" s="11">
        <v>643</v>
      </c>
      <c r="E369" t="s">
        <v>72</v>
      </c>
      <c r="F369" t="s">
        <v>23</v>
      </c>
      <c r="G369" s="17">
        <v>5292220.13</v>
      </c>
      <c r="H369">
        <v>2648.49</v>
      </c>
      <c r="I369">
        <v>5289571.6399999997</v>
      </c>
      <c r="J369" s="34">
        <v>700797.21</v>
      </c>
      <c r="L369" s="34">
        <v>700797.21</v>
      </c>
      <c r="M369">
        <v>6959599637</v>
      </c>
      <c r="N369">
        <v>7023365830</v>
      </c>
      <c r="O369">
        <v>5.2999999999999999E-2</v>
      </c>
      <c r="P369">
        <v>3</v>
      </c>
      <c r="Q369">
        <v>2.75E-2</v>
      </c>
      <c r="R369">
        <v>0.05</v>
      </c>
    </row>
    <row r="370" spans="1:20" x14ac:dyDescent="0.25">
      <c r="A370">
        <v>2020</v>
      </c>
      <c r="B370">
        <v>8</v>
      </c>
      <c r="C370" t="s">
        <v>18</v>
      </c>
      <c r="D370">
        <v>650</v>
      </c>
      <c r="E370" t="s">
        <v>20</v>
      </c>
      <c r="F370" t="s">
        <v>23</v>
      </c>
      <c r="G370" s="17">
        <v>461640.37</v>
      </c>
      <c r="H370">
        <v>461640.37</v>
      </c>
      <c r="J370" s="34">
        <v>58890.42</v>
      </c>
      <c r="K370" s="34">
        <v>58890.42</v>
      </c>
      <c r="O370">
        <v>5.2999999999999999E-2</v>
      </c>
      <c r="P370" t="s">
        <v>24</v>
      </c>
      <c r="Q370">
        <v>0</v>
      </c>
      <c r="R370">
        <v>0.05</v>
      </c>
    </row>
    <row r="371" spans="1:20" x14ac:dyDescent="0.25">
      <c r="A371">
        <v>2020</v>
      </c>
      <c r="B371">
        <v>8</v>
      </c>
      <c r="C371" t="s">
        <v>18</v>
      </c>
      <c r="D371">
        <v>652</v>
      </c>
      <c r="E371" t="s">
        <v>74</v>
      </c>
      <c r="F371" t="s">
        <v>23</v>
      </c>
      <c r="G371" s="17">
        <v>1737802.78</v>
      </c>
      <c r="H371">
        <v>-1045447.72</v>
      </c>
      <c r="I371">
        <v>2783250.5</v>
      </c>
      <c r="J371" s="34">
        <v>472423.16</v>
      </c>
      <c r="K371" s="34">
        <v>110243.59</v>
      </c>
      <c r="L371" s="34">
        <v>362179.57</v>
      </c>
      <c r="M371">
        <v>3592509752</v>
      </c>
      <c r="N371">
        <v>3634037952</v>
      </c>
      <c r="O371">
        <v>5.2999999999999999E-2</v>
      </c>
      <c r="P371">
        <v>3</v>
      </c>
      <c r="Q371">
        <v>2.75E-2</v>
      </c>
      <c r="R371">
        <v>0.05</v>
      </c>
    </row>
    <row r="372" spans="1:20" x14ac:dyDescent="0.25">
      <c r="A372">
        <v>2020</v>
      </c>
      <c r="B372">
        <v>8</v>
      </c>
      <c r="C372" t="s">
        <v>18</v>
      </c>
      <c r="D372">
        <v>44321</v>
      </c>
      <c r="E372" t="s">
        <v>26</v>
      </c>
      <c r="F372" t="s">
        <v>23</v>
      </c>
      <c r="G372" s="17">
        <v>991788.42</v>
      </c>
      <c r="H372">
        <v>714409.92</v>
      </c>
      <c r="I372">
        <v>277378.5</v>
      </c>
      <c r="J372" s="34">
        <v>83082.58</v>
      </c>
      <c r="K372" s="34">
        <v>46421.440000000002</v>
      </c>
      <c r="L372" s="34">
        <v>36661.14</v>
      </c>
      <c r="M372">
        <v>1213264066</v>
      </c>
      <c r="N372">
        <v>1225061382</v>
      </c>
      <c r="O372">
        <v>5.2999999999999999E-2</v>
      </c>
      <c r="P372">
        <v>3</v>
      </c>
      <c r="Q372">
        <v>2.75E-2</v>
      </c>
      <c r="R372">
        <v>1.4999999999999999E-2</v>
      </c>
    </row>
    <row r="373" spans="1:20" x14ac:dyDescent="0.25">
      <c r="A373">
        <v>2020</v>
      </c>
      <c r="B373">
        <v>8</v>
      </c>
      <c r="C373" t="s">
        <v>18</v>
      </c>
      <c r="D373">
        <v>999</v>
      </c>
      <c r="E373" t="s">
        <v>117</v>
      </c>
      <c r="F373" t="s">
        <v>34</v>
      </c>
      <c r="G373" s="17">
        <v>74638.490000000005</v>
      </c>
      <c r="H373">
        <v>74638.490000000005</v>
      </c>
      <c r="J373" s="34">
        <v>30245.66</v>
      </c>
      <c r="K373" s="34">
        <v>30245.66</v>
      </c>
    </row>
    <row r="374" spans="1:20" x14ac:dyDescent="0.25">
      <c r="A374">
        <v>2020</v>
      </c>
      <c r="B374">
        <v>8</v>
      </c>
      <c r="C374" t="s">
        <v>18</v>
      </c>
      <c r="D374">
        <v>7605</v>
      </c>
      <c r="E374" t="s">
        <v>77</v>
      </c>
      <c r="F374" t="s">
        <v>34</v>
      </c>
      <c r="G374" s="17">
        <v>132046.38</v>
      </c>
      <c r="H374">
        <v>132046.38</v>
      </c>
      <c r="J374" s="34">
        <v>14553.2</v>
      </c>
      <c r="K374" s="34">
        <v>14553.2</v>
      </c>
    </row>
    <row r="375" spans="1:20" x14ac:dyDescent="0.25">
      <c r="A375">
        <v>2020</v>
      </c>
      <c r="B375">
        <v>8</v>
      </c>
      <c r="C375" t="s">
        <v>18</v>
      </c>
      <c r="D375">
        <v>53317</v>
      </c>
      <c r="E375" t="s">
        <v>80</v>
      </c>
      <c r="F375" t="s">
        <v>34</v>
      </c>
      <c r="G375" s="17">
        <v>73358.33</v>
      </c>
      <c r="H375">
        <v>73358.33</v>
      </c>
      <c r="J375" s="34">
        <v>9500.33</v>
      </c>
      <c r="K375" s="34">
        <v>9500.33</v>
      </c>
    </row>
    <row r="376" spans="1:20" x14ac:dyDescent="0.25">
      <c r="A376">
        <v>2020</v>
      </c>
      <c r="B376">
        <v>8</v>
      </c>
      <c r="C376" t="s">
        <v>18</v>
      </c>
      <c r="D376">
        <v>57438</v>
      </c>
      <c r="E376" t="s">
        <v>259</v>
      </c>
      <c r="F376" t="s">
        <v>34</v>
      </c>
      <c r="G376" s="17">
        <v>1892430.04</v>
      </c>
      <c r="H376">
        <v>1892430.04</v>
      </c>
      <c r="J376" s="34">
        <v>204524.6</v>
      </c>
      <c r="K376" s="34">
        <v>204524.6</v>
      </c>
    </row>
    <row r="377" spans="1:20" x14ac:dyDescent="0.25">
      <c r="A377">
        <v>2020</v>
      </c>
      <c r="B377">
        <v>8</v>
      </c>
      <c r="C377" t="s">
        <v>18</v>
      </c>
      <c r="D377">
        <v>62486</v>
      </c>
      <c r="E377" t="s">
        <v>275</v>
      </c>
      <c r="F377" t="s">
        <v>34</v>
      </c>
      <c r="G377" s="17">
        <v>43468.76</v>
      </c>
      <c r="H377">
        <v>43468.76</v>
      </c>
      <c r="J377" s="34">
        <v>920.09</v>
      </c>
      <c r="K377" s="34">
        <v>920.09</v>
      </c>
    </row>
    <row r="378" spans="1:20" x14ac:dyDescent="0.25">
      <c r="A378">
        <v>2020</v>
      </c>
      <c r="B378">
        <v>9</v>
      </c>
      <c r="C378" t="s">
        <v>18</v>
      </c>
      <c r="D378">
        <v>643</v>
      </c>
      <c r="E378" t="s">
        <v>72</v>
      </c>
      <c r="F378" t="s">
        <v>23</v>
      </c>
      <c r="G378" s="17">
        <v>5995358.0700000003</v>
      </c>
      <c r="H378">
        <v>2648.49</v>
      </c>
      <c r="I378">
        <v>5992709.5800000001</v>
      </c>
      <c r="J378" s="34">
        <v>703144.9</v>
      </c>
      <c r="L378" s="34">
        <v>703144.9</v>
      </c>
      <c r="M378">
        <v>7023365830</v>
      </c>
      <c r="N378">
        <v>7006442903</v>
      </c>
      <c r="O378">
        <v>5.2999999999999999E-2</v>
      </c>
      <c r="P378">
        <v>3</v>
      </c>
      <c r="Q378">
        <v>2.75E-2</v>
      </c>
      <c r="R378">
        <v>0.05</v>
      </c>
      <c r="T378">
        <v>745333.59</v>
      </c>
    </row>
    <row r="379" spans="1:20" x14ac:dyDescent="0.25">
      <c r="A379">
        <v>2020</v>
      </c>
      <c r="B379">
        <v>9</v>
      </c>
      <c r="C379" t="s">
        <v>18</v>
      </c>
      <c r="D379">
        <v>650</v>
      </c>
      <c r="E379" t="s">
        <v>20</v>
      </c>
      <c r="F379" t="s">
        <v>23</v>
      </c>
      <c r="G379" s="17">
        <v>520530.79</v>
      </c>
      <c r="H379">
        <v>520530.79</v>
      </c>
      <c r="J379" s="34">
        <v>58890.42</v>
      </c>
      <c r="K379" s="34">
        <v>58890.42</v>
      </c>
      <c r="O379">
        <v>5.2999999999999999E-2</v>
      </c>
      <c r="P379" t="s">
        <v>24</v>
      </c>
      <c r="Q379">
        <v>0</v>
      </c>
      <c r="R379">
        <v>0.05</v>
      </c>
    </row>
    <row r="380" spans="1:20" x14ac:dyDescent="0.25">
      <c r="A380">
        <v>2020</v>
      </c>
      <c r="B380">
        <v>9</v>
      </c>
      <c r="C380" t="s">
        <v>18</v>
      </c>
      <c r="D380">
        <v>652</v>
      </c>
      <c r="E380" t="s">
        <v>74</v>
      </c>
      <c r="F380" t="s">
        <v>23</v>
      </c>
      <c r="G380" s="17">
        <v>2210516.37</v>
      </c>
      <c r="H380">
        <v>-935204.12</v>
      </c>
      <c r="I380">
        <v>3145720.49</v>
      </c>
      <c r="J380" s="34">
        <v>472713.59</v>
      </c>
      <c r="K380" s="34">
        <v>110243.59</v>
      </c>
      <c r="L380" s="34">
        <v>362470</v>
      </c>
      <c r="M380">
        <v>3634037952</v>
      </c>
      <c r="N380">
        <v>3598304548</v>
      </c>
      <c r="O380">
        <v>5.2999999999999999E-2</v>
      </c>
      <c r="P380">
        <v>3</v>
      </c>
      <c r="Q380">
        <v>2.75E-2</v>
      </c>
      <c r="R380">
        <v>0.05</v>
      </c>
      <c r="T380">
        <v>384218.2</v>
      </c>
    </row>
    <row r="381" spans="1:20" ht="14.4" x14ac:dyDescent="0.25">
      <c r="A381">
        <v>2020</v>
      </c>
      <c r="B381">
        <v>9</v>
      </c>
      <c r="C381" t="s">
        <v>18</v>
      </c>
      <c r="D381" s="11">
        <v>44321</v>
      </c>
      <c r="E381" t="s">
        <v>26</v>
      </c>
      <c r="F381" t="s">
        <v>23</v>
      </c>
      <c r="G381" s="17">
        <v>720646.36</v>
      </c>
      <c r="H381">
        <v>406400.91</v>
      </c>
      <c r="I381">
        <v>314245.45</v>
      </c>
      <c r="J381" s="34">
        <v>-271142.07</v>
      </c>
      <c r="K381" s="34">
        <v>-308009.02</v>
      </c>
      <c r="L381" s="34">
        <v>36866.949999999997</v>
      </c>
      <c r="M381">
        <v>1225061382</v>
      </c>
      <c r="N381">
        <v>1226952293</v>
      </c>
      <c r="O381">
        <v>5.2999999999999999E-2</v>
      </c>
      <c r="P381">
        <v>3</v>
      </c>
      <c r="Q381">
        <v>2.75E-2</v>
      </c>
      <c r="R381">
        <v>1.4999999999999999E-2</v>
      </c>
      <c r="T381">
        <v>39078.97</v>
      </c>
    </row>
    <row r="382" spans="1:20" x14ac:dyDescent="0.25">
      <c r="A382">
        <v>2020</v>
      </c>
      <c r="B382">
        <v>9</v>
      </c>
      <c r="C382" t="s">
        <v>18</v>
      </c>
      <c r="D382">
        <v>999</v>
      </c>
      <c r="E382" t="s">
        <v>117</v>
      </c>
      <c r="F382" t="s">
        <v>34</v>
      </c>
      <c r="G382" s="17">
        <v>74638.490000000005</v>
      </c>
      <c r="H382">
        <v>74638.490000000005</v>
      </c>
      <c r="J382" s="34">
        <v>0</v>
      </c>
    </row>
    <row r="383" spans="1:20" x14ac:dyDescent="0.25">
      <c r="A383">
        <v>2020</v>
      </c>
      <c r="B383">
        <v>9</v>
      </c>
      <c r="C383" t="s">
        <v>18</v>
      </c>
      <c r="D383">
        <v>7605</v>
      </c>
      <c r="E383" t="s">
        <v>77</v>
      </c>
      <c r="F383" t="s">
        <v>34</v>
      </c>
      <c r="G383" s="17">
        <v>148909.76000000001</v>
      </c>
      <c r="H383">
        <v>148909.76000000001</v>
      </c>
      <c r="J383" s="34">
        <v>16863.39</v>
      </c>
      <c r="K383" s="34">
        <v>16863.39</v>
      </c>
    </row>
    <row r="384" spans="1:20" x14ac:dyDescent="0.25">
      <c r="A384">
        <v>2020</v>
      </c>
      <c r="B384">
        <v>9</v>
      </c>
      <c r="C384" t="s">
        <v>18</v>
      </c>
      <c r="D384">
        <v>53317</v>
      </c>
      <c r="E384" t="s">
        <v>80</v>
      </c>
      <c r="F384" t="s">
        <v>34</v>
      </c>
      <c r="G384" s="17">
        <v>82706.820000000007</v>
      </c>
      <c r="H384">
        <v>82706.820000000007</v>
      </c>
      <c r="J384" s="34">
        <v>9348.49</v>
      </c>
      <c r="K384" s="34">
        <v>9348.49</v>
      </c>
    </row>
    <row r="385" spans="1:20" x14ac:dyDescent="0.25">
      <c r="A385">
        <v>2020</v>
      </c>
      <c r="B385">
        <v>9</v>
      </c>
      <c r="C385" t="s">
        <v>18</v>
      </c>
      <c r="D385">
        <v>57438</v>
      </c>
      <c r="E385" t="s">
        <v>259</v>
      </c>
      <c r="F385" t="s">
        <v>34</v>
      </c>
      <c r="G385" s="17">
        <v>2127186.69</v>
      </c>
      <c r="H385">
        <v>2127186.69</v>
      </c>
      <c r="J385" s="34">
        <v>234756.65</v>
      </c>
      <c r="K385" s="34">
        <v>234756.65</v>
      </c>
    </row>
    <row r="386" spans="1:20" x14ac:dyDescent="0.25">
      <c r="A386">
        <v>2020</v>
      </c>
      <c r="B386">
        <v>9</v>
      </c>
      <c r="C386" t="s">
        <v>18</v>
      </c>
      <c r="D386">
        <v>62486</v>
      </c>
      <c r="E386" t="s">
        <v>275</v>
      </c>
      <c r="F386" t="s">
        <v>34</v>
      </c>
      <c r="G386" s="17">
        <v>50117.93</v>
      </c>
      <c r="H386">
        <v>50117.93</v>
      </c>
      <c r="J386" s="34">
        <v>6649.17</v>
      </c>
      <c r="K386" s="34">
        <v>6649.17</v>
      </c>
    </row>
    <row r="387" spans="1:20" x14ac:dyDescent="0.25">
      <c r="A387">
        <v>2020</v>
      </c>
      <c r="B387">
        <v>10</v>
      </c>
      <c r="C387" t="s">
        <v>18</v>
      </c>
      <c r="D387">
        <v>643</v>
      </c>
      <c r="E387" t="s">
        <v>72</v>
      </c>
      <c r="F387" t="s">
        <v>23</v>
      </c>
      <c r="G387" s="17">
        <v>6703356.1600000001</v>
      </c>
      <c r="H387">
        <v>2648.49</v>
      </c>
      <c r="I387">
        <v>6700707.6699999999</v>
      </c>
      <c r="J387" s="34">
        <v>707998.09</v>
      </c>
      <c r="L387" s="34">
        <v>707998.09</v>
      </c>
      <c r="M387">
        <v>7006442903</v>
      </c>
      <c r="N387">
        <v>7120201308</v>
      </c>
      <c r="O387">
        <v>5.2999999999999999E-2</v>
      </c>
      <c r="P387">
        <v>3</v>
      </c>
      <c r="Q387">
        <v>2.75E-2</v>
      </c>
      <c r="R387">
        <v>0.05</v>
      </c>
      <c r="T387">
        <v>750477.97</v>
      </c>
    </row>
    <row r="388" spans="1:20" x14ac:dyDescent="0.25">
      <c r="A388">
        <v>2020</v>
      </c>
      <c r="B388">
        <v>10</v>
      </c>
      <c r="C388" t="s">
        <v>18</v>
      </c>
      <c r="D388">
        <v>650</v>
      </c>
      <c r="E388" t="s">
        <v>20</v>
      </c>
      <c r="F388" t="s">
        <v>23</v>
      </c>
      <c r="G388" s="17">
        <v>584206.62</v>
      </c>
      <c r="H388">
        <v>584206.62</v>
      </c>
      <c r="J388" s="34">
        <v>63675.83</v>
      </c>
      <c r="K388" s="34">
        <v>63675.83</v>
      </c>
      <c r="O388">
        <v>5.2999999999999999E-2</v>
      </c>
      <c r="P388" t="s">
        <v>24</v>
      </c>
      <c r="Q388">
        <v>0</v>
      </c>
      <c r="R388">
        <v>0.05</v>
      </c>
    </row>
    <row r="389" spans="1:20" x14ac:dyDescent="0.25">
      <c r="A389">
        <v>2020</v>
      </c>
      <c r="B389">
        <v>10</v>
      </c>
      <c r="C389" t="s">
        <v>18</v>
      </c>
      <c r="D389">
        <v>652</v>
      </c>
      <c r="E389" t="s">
        <v>74</v>
      </c>
      <c r="F389" t="s">
        <v>23</v>
      </c>
      <c r="G389" s="17">
        <v>2692363.97</v>
      </c>
      <c r="H389">
        <v>-814852.12</v>
      </c>
      <c r="I389">
        <v>3507216.09</v>
      </c>
      <c r="J389" s="34">
        <v>481847.59</v>
      </c>
      <c r="K389" s="34">
        <v>120352</v>
      </c>
      <c r="L389" s="34">
        <v>361495.59</v>
      </c>
      <c r="M389">
        <v>3598304548</v>
      </c>
      <c r="N389">
        <v>3614595763</v>
      </c>
      <c r="O389">
        <v>5.2999999999999999E-2</v>
      </c>
      <c r="P389">
        <v>3</v>
      </c>
      <c r="Q389">
        <v>2.75E-2</v>
      </c>
      <c r="R389">
        <v>0.05</v>
      </c>
      <c r="T389">
        <v>383185.33</v>
      </c>
    </row>
    <row r="390" spans="1:20" x14ac:dyDescent="0.25">
      <c r="A390">
        <v>2020</v>
      </c>
      <c r="B390">
        <v>10</v>
      </c>
      <c r="C390" t="s">
        <v>18</v>
      </c>
      <c r="D390">
        <v>44321</v>
      </c>
      <c r="E390" t="s">
        <v>26</v>
      </c>
      <c r="F390" t="s">
        <v>23</v>
      </c>
      <c r="G390" s="17">
        <v>813516.7</v>
      </c>
      <c r="H390">
        <v>462141.48</v>
      </c>
      <c r="I390">
        <v>351375.22</v>
      </c>
      <c r="J390" s="34">
        <v>92870.35</v>
      </c>
      <c r="K390" s="34">
        <v>55740.58</v>
      </c>
      <c r="L390" s="34">
        <v>37129.769999999997</v>
      </c>
      <c r="M390">
        <v>1226952293</v>
      </c>
      <c r="N390">
        <v>1242541588</v>
      </c>
      <c r="O390">
        <v>5.2999999999999999E-2</v>
      </c>
      <c r="P390">
        <v>3</v>
      </c>
      <c r="Q390">
        <v>2.75E-2</v>
      </c>
      <c r="R390">
        <v>1.4999999999999999E-2</v>
      </c>
      <c r="T390">
        <v>39357.56</v>
      </c>
    </row>
    <row r="391" spans="1:20" x14ac:dyDescent="0.25">
      <c r="A391">
        <v>2020</v>
      </c>
      <c r="B391">
        <v>10</v>
      </c>
      <c r="C391" t="s">
        <v>18</v>
      </c>
      <c r="D391">
        <v>999</v>
      </c>
      <c r="E391" t="s">
        <v>117</v>
      </c>
      <c r="F391" t="s">
        <v>34</v>
      </c>
      <c r="G391" s="17">
        <v>74638.490000000005</v>
      </c>
      <c r="H391">
        <v>74638.490000000005</v>
      </c>
      <c r="J391" s="34">
        <v>0</v>
      </c>
    </row>
    <row r="392" spans="1:20" x14ac:dyDescent="0.25">
      <c r="A392">
        <v>2020</v>
      </c>
      <c r="B392">
        <v>10</v>
      </c>
      <c r="C392" t="s">
        <v>18</v>
      </c>
      <c r="D392">
        <v>7605</v>
      </c>
      <c r="E392" t="s">
        <v>77</v>
      </c>
      <c r="F392" t="s">
        <v>34</v>
      </c>
      <c r="G392" s="17">
        <v>169572.15</v>
      </c>
      <c r="H392">
        <v>169572.15</v>
      </c>
      <c r="J392" s="34">
        <v>20662.39</v>
      </c>
      <c r="K392" s="34">
        <v>20662.39</v>
      </c>
    </row>
    <row r="393" spans="1:20" x14ac:dyDescent="0.25">
      <c r="A393">
        <v>2020</v>
      </c>
      <c r="B393">
        <v>10</v>
      </c>
      <c r="C393" t="s">
        <v>18</v>
      </c>
      <c r="D393">
        <v>53317</v>
      </c>
      <c r="E393" t="s">
        <v>80</v>
      </c>
      <c r="F393" t="s">
        <v>34</v>
      </c>
      <c r="G393" s="17">
        <v>124677.73</v>
      </c>
      <c r="H393">
        <v>124677.73</v>
      </c>
      <c r="J393" s="34">
        <v>41970.91</v>
      </c>
      <c r="K393" s="34">
        <v>41970.91</v>
      </c>
    </row>
    <row r="394" spans="1:20" x14ac:dyDescent="0.25">
      <c r="A394">
        <v>2020</v>
      </c>
      <c r="B394">
        <v>10</v>
      </c>
      <c r="C394" t="s">
        <v>18</v>
      </c>
      <c r="D394">
        <v>57438</v>
      </c>
      <c r="E394" t="s">
        <v>259</v>
      </c>
      <c r="F394" t="s">
        <v>34</v>
      </c>
      <c r="G394" s="17">
        <v>2447591.66</v>
      </c>
      <c r="H394">
        <v>2447591.66</v>
      </c>
      <c r="J394" s="34">
        <v>320404.96999999997</v>
      </c>
      <c r="K394" s="34">
        <v>320404.96999999997</v>
      </c>
    </row>
    <row r="395" spans="1:20" x14ac:dyDescent="0.25">
      <c r="A395">
        <v>2020</v>
      </c>
      <c r="B395">
        <v>10</v>
      </c>
      <c r="C395" t="s">
        <v>18</v>
      </c>
      <c r="D395">
        <v>62486</v>
      </c>
      <c r="E395" t="s">
        <v>275</v>
      </c>
      <c r="F395" t="s">
        <v>34</v>
      </c>
      <c r="G395" s="17">
        <v>73874.2</v>
      </c>
      <c r="H395">
        <v>73874.2</v>
      </c>
      <c r="J395" s="34">
        <v>23756.26</v>
      </c>
      <c r="K395" s="34">
        <v>23756.26</v>
      </c>
    </row>
    <row r="396" spans="1:20" x14ac:dyDescent="0.25">
      <c r="A396">
        <v>2020</v>
      </c>
      <c r="B396">
        <v>11</v>
      </c>
      <c r="C396" t="s">
        <v>18</v>
      </c>
      <c r="D396">
        <v>643</v>
      </c>
      <c r="E396" t="s">
        <v>72</v>
      </c>
      <c r="F396" t="s">
        <v>23</v>
      </c>
      <c r="G396" s="17">
        <v>7419864.1299999999</v>
      </c>
      <c r="H396">
        <v>2648.49</v>
      </c>
      <c r="I396">
        <v>7417215.6399999997</v>
      </c>
      <c r="J396" s="34">
        <v>716507.97</v>
      </c>
      <c r="L396" s="34">
        <v>716507.97</v>
      </c>
      <c r="M396">
        <v>7120201308</v>
      </c>
      <c r="N396">
        <v>7176240030</v>
      </c>
      <c r="O396">
        <v>5.2999999999999999E-2</v>
      </c>
      <c r="P396">
        <v>3</v>
      </c>
      <c r="Q396">
        <v>2.75E-2</v>
      </c>
      <c r="R396">
        <v>0.05</v>
      </c>
      <c r="T396">
        <v>759498.45</v>
      </c>
    </row>
    <row r="397" spans="1:20" x14ac:dyDescent="0.25">
      <c r="A397">
        <v>2020</v>
      </c>
      <c r="B397">
        <v>11</v>
      </c>
      <c r="C397" t="s">
        <v>18</v>
      </c>
      <c r="D397">
        <v>650</v>
      </c>
      <c r="E397" t="s">
        <v>20</v>
      </c>
      <c r="F397" t="s">
        <v>23</v>
      </c>
      <c r="G397" s="17">
        <v>645349.62</v>
      </c>
      <c r="H397">
        <v>645349.62</v>
      </c>
      <c r="J397" s="34">
        <v>61143</v>
      </c>
      <c r="K397" s="34">
        <v>61143</v>
      </c>
      <c r="O397">
        <v>5.2999999999999999E-2</v>
      </c>
      <c r="P397" t="s">
        <v>24</v>
      </c>
      <c r="Q397">
        <v>0</v>
      </c>
      <c r="R397">
        <v>0.05</v>
      </c>
    </row>
    <row r="398" spans="1:20" x14ac:dyDescent="0.25">
      <c r="A398">
        <v>2020</v>
      </c>
      <c r="B398">
        <v>11</v>
      </c>
      <c r="C398" t="s">
        <v>18</v>
      </c>
      <c r="D398">
        <v>652</v>
      </c>
      <c r="E398" t="s">
        <v>74</v>
      </c>
      <c r="F398" t="s">
        <v>23</v>
      </c>
      <c r="G398" s="17">
        <v>3171381.95</v>
      </c>
      <c r="H398">
        <v>-700004.14</v>
      </c>
      <c r="I398">
        <v>3871386.09</v>
      </c>
      <c r="J398" s="34">
        <v>479017.98</v>
      </c>
      <c r="K398" s="34">
        <v>114847.98</v>
      </c>
      <c r="L398" s="34">
        <v>364170</v>
      </c>
      <c r="M398">
        <v>3614595763</v>
      </c>
      <c r="N398">
        <v>3651666847</v>
      </c>
      <c r="O398">
        <v>5.2999999999999999E-2</v>
      </c>
      <c r="P398">
        <v>3</v>
      </c>
      <c r="Q398">
        <v>2.75E-2</v>
      </c>
      <c r="R398">
        <v>0.05</v>
      </c>
      <c r="T398">
        <v>386020.2</v>
      </c>
    </row>
    <row r="399" spans="1:20" x14ac:dyDescent="0.25">
      <c r="A399">
        <v>2020</v>
      </c>
      <c r="B399">
        <v>11</v>
      </c>
      <c r="C399" t="s">
        <v>18</v>
      </c>
      <c r="D399">
        <v>44321</v>
      </c>
      <c r="E399" t="s">
        <v>26</v>
      </c>
      <c r="F399" t="s">
        <v>23</v>
      </c>
      <c r="G399" s="17">
        <v>896863.38</v>
      </c>
      <c r="H399">
        <v>508052.68</v>
      </c>
      <c r="I399">
        <v>388810.7</v>
      </c>
      <c r="J399" s="34">
        <v>83346.679999999993</v>
      </c>
      <c r="K399" s="34">
        <v>45911.199999999997</v>
      </c>
      <c r="L399" s="34">
        <v>37435.480000000003</v>
      </c>
      <c r="M399">
        <v>1242541588</v>
      </c>
      <c r="N399">
        <v>1247285004</v>
      </c>
      <c r="O399">
        <v>5.2999999999999999E-2</v>
      </c>
      <c r="P399">
        <v>3</v>
      </c>
      <c r="Q399">
        <v>2.75E-2</v>
      </c>
      <c r="R399">
        <v>1.4999999999999999E-2</v>
      </c>
      <c r="T399">
        <v>39681.61</v>
      </c>
    </row>
    <row r="400" spans="1:20" x14ac:dyDescent="0.25">
      <c r="A400">
        <v>2020</v>
      </c>
      <c r="B400">
        <v>11</v>
      </c>
      <c r="C400" t="s">
        <v>18</v>
      </c>
      <c r="D400">
        <v>999</v>
      </c>
      <c r="E400" t="s">
        <v>117</v>
      </c>
      <c r="F400" t="s">
        <v>34</v>
      </c>
      <c r="G400" s="17">
        <v>66363.399999999994</v>
      </c>
      <c r="H400">
        <v>66363.399999999994</v>
      </c>
      <c r="J400" s="34">
        <v>-8275.09</v>
      </c>
      <c r="K400" s="34">
        <v>-8275.09</v>
      </c>
    </row>
    <row r="401" spans="1:20" x14ac:dyDescent="0.25">
      <c r="A401">
        <v>2020</v>
      </c>
      <c r="B401">
        <v>11</v>
      </c>
      <c r="C401" t="s">
        <v>18</v>
      </c>
      <c r="D401">
        <v>7605</v>
      </c>
      <c r="E401" t="s">
        <v>77</v>
      </c>
      <c r="F401" t="s">
        <v>34</v>
      </c>
      <c r="G401" s="17">
        <v>186182.74</v>
      </c>
      <c r="H401">
        <v>186182.74</v>
      </c>
      <c r="J401" s="34">
        <v>16610.580000000002</v>
      </c>
      <c r="K401" s="34">
        <v>16610.580000000002</v>
      </c>
    </row>
    <row r="402" spans="1:20" x14ac:dyDescent="0.25">
      <c r="A402">
        <v>2020</v>
      </c>
      <c r="B402">
        <v>11</v>
      </c>
      <c r="C402" t="s">
        <v>18</v>
      </c>
      <c r="D402">
        <v>53317</v>
      </c>
      <c r="E402" t="s">
        <v>80</v>
      </c>
      <c r="F402" t="s">
        <v>34</v>
      </c>
      <c r="G402" s="17">
        <v>128910.58</v>
      </c>
      <c r="H402">
        <v>128910.58</v>
      </c>
      <c r="J402" s="34">
        <v>4232.8500000000004</v>
      </c>
      <c r="K402" s="34">
        <v>4232.8500000000004</v>
      </c>
    </row>
    <row r="403" spans="1:20" x14ac:dyDescent="0.25">
      <c r="A403">
        <v>2020</v>
      </c>
      <c r="B403">
        <v>11</v>
      </c>
      <c r="C403" t="s">
        <v>18</v>
      </c>
      <c r="D403">
        <v>57438</v>
      </c>
      <c r="E403" t="s">
        <v>259</v>
      </c>
      <c r="F403" t="s">
        <v>34</v>
      </c>
      <c r="G403" s="17">
        <v>2672642.96</v>
      </c>
      <c r="H403">
        <v>2672642.96</v>
      </c>
      <c r="J403" s="34">
        <v>225051.3</v>
      </c>
      <c r="K403" s="34">
        <v>225051.3</v>
      </c>
    </row>
    <row r="404" spans="1:20" x14ac:dyDescent="0.25">
      <c r="A404">
        <v>2020</v>
      </c>
      <c r="B404">
        <v>11</v>
      </c>
      <c r="C404" t="s">
        <v>18</v>
      </c>
      <c r="D404">
        <v>62486</v>
      </c>
      <c r="E404" t="s">
        <v>275</v>
      </c>
      <c r="F404" t="s">
        <v>34</v>
      </c>
      <c r="G404" s="17">
        <v>77878.710000000006</v>
      </c>
      <c r="H404">
        <v>77878.710000000006</v>
      </c>
      <c r="J404" s="34">
        <v>4004.51</v>
      </c>
      <c r="K404" s="34">
        <v>4004.51</v>
      </c>
    </row>
    <row r="405" spans="1:20" x14ac:dyDescent="0.25">
      <c r="A405">
        <v>2020</v>
      </c>
      <c r="B405">
        <v>12</v>
      </c>
      <c r="C405" t="s">
        <v>18</v>
      </c>
      <c r="D405">
        <v>643</v>
      </c>
      <c r="E405" t="s">
        <v>72</v>
      </c>
      <c r="F405" t="s">
        <v>23</v>
      </c>
      <c r="G405" s="17">
        <v>7927663.54</v>
      </c>
      <c r="H405">
        <v>-217831.95</v>
      </c>
      <c r="I405">
        <v>8145495.4900000002</v>
      </c>
      <c r="J405" s="34">
        <v>507799.41</v>
      </c>
      <c r="K405" s="34">
        <v>-220480.44</v>
      </c>
      <c r="L405" s="34">
        <v>728279.85</v>
      </c>
      <c r="M405">
        <v>7176240030</v>
      </c>
      <c r="N405">
        <v>7355084933</v>
      </c>
      <c r="O405">
        <v>5.2999999999999999E-2</v>
      </c>
      <c r="P405">
        <v>3</v>
      </c>
      <c r="Q405">
        <v>2.75E-2</v>
      </c>
      <c r="R405">
        <v>0.05</v>
      </c>
      <c r="T405">
        <v>771976.64</v>
      </c>
    </row>
    <row r="406" spans="1:20" x14ac:dyDescent="0.25">
      <c r="A406">
        <v>2020</v>
      </c>
      <c r="B406">
        <v>12</v>
      </c>
      <c r="C406" t="s">
        <v>18</v>
      </c>
      <c r="D406">
        <v>650</v>
      </c>
      <c r="E406" t="s">
        <v>20</v>
      </c>
      <c r="F406" t="s">
        <v>23</v>
      </c>
      <c r="G406" s="17">
        <v>704520.28</v>
      </c>
      <c r="H406">
        <v>704520.28</v>
      </c>
      <c r="J406" s="34">
        <v>59170.66</v>
      </c>
      <c r="K406" s="34">
        <v>59170.66</v>
      </c>
      <c r="O406">
        <v>5.2999999999999999E-2</v>
      </c>
      <c r="P406" t="s">
        <v>24</v>
      </c>
      <c r="Q406">
        <v>0</v>
      </c>
      <c r="R406">
        <v>0.05</v>
      </c>
    </row>
    <row r="407" spans="1:20" x14ac:dyDescent="0.25">
      <c r="A407">
        <v>2020</v>
      </c>
      <c r="B407">
        <v>12</v>
      </c>
      <c r="C407" t="s">
        <v>18</v>
      </c>
      <c r="D407">
        <v>652</v>
      </c>
      <c r="E407" t="s">
        <v>74</v>
      </c>
      <c r="F407" t="s">
        <v>23</v>
      </c>
      <c r="G407" s="17">
        <v>3651733.12</v>
      </c>
      <c r="H407">
        <v>-588860.92000000004</v>
      </c>
      <c r="I407">
        <v>4240594.04</v>
      </c>
      <c r="J407" s="34">
        <v>480351.17</v>
      </c>
      <c r="K407" s="34">
        <v>111143.22</v>
      </c>
      <c r="L407" s="34">
        <v>369207.95</v>
      </c>
      <c r="M407">
        <v>3651666847</v>
      </c>
      <c r="N407">
        <v>3715117737</v>
      </c>
      <c r="O407">
        <v>5.2999999999999999E-2</v>
      </c>
      <c r="P407">
        <v>3</v>
      </c>
      <c r="Q407">
        <v>2.75E-2</v>
      </c>
      <c r="R407">
        <v>0.05</v>
      </c>
      <c r="T407">
        <v>391360.43</v>
      </c>
    </row>
    <row r="408" spans="1:20" x14ac:dyDescent="0.25">
      <c r="A408">
        <v>2020</v>
      </c>
      <c r="B408">
        <v>12</v>
      </c>
      <c r="C408" t="s">
        <v>18</v>
      </c>
      <c r="D408">
        <v>44321</v>
      </c>
      <c r="E408" t="s">
        <v>26</v>
      </c>
      <c r="F408" t="s">
        <v>23</v>
      </c>
      <c r="G408" s="17">
        <v>980051.01</v>
      </c>
      <c r="H408">
        <v>553419.97</v>
      </c>
      <c r="I408">
        <v>426631.04</v>
      </c>
      <c r="J408" s="34">
        <v>83187.63</v>
      </c>
      <c r="K408" s="34">
        <v>45367.29</v>
      </c>
      <c r="L408" s="34">
        <v>37820.339999999997</v>
      </c>
      <c r="M408">
        <v>1247285004</v>
      </c>
      <c r="N408">
        <v>1268138394</v>
      </c>
      <c r="O408">
        <v>5.2999999999999999E-2</v>
      </c>
      <c r="P408">
        <v>3</v>
      </c>
      <c r="Q408">
        <v>2.75E-2</v>
      </c>
      <c r="R408">
        <v>1.4999999999999999E-2</v>
      </c>
      <c r="T408">
        <v>40089.56</v>
      </c>
    </row>
    <row r="409" spans="1:20" x14ac:dyDescent="0.25">
      <c r="A409">
        <v>2020</v>
      </c>
      <c r="B409">
        <v>12</v>
      </c>
      <c r="C409" t="s">
        <v>18</v>
      </c>
      <c r="D409">
        <v>999</v>
      </c>
      <c r="E409" t="s">
        <v>117</v>
      </c>
      <c r="F409" t="s">
        <v>34</v>
      </c>
      <c r="G409" s="17">
        <v>66363.399999999994</v>
      </c>
      <c r="H409">
        <v>66363.399999999994</v>
      </c>
      <c r="J409" s="34">
        <v>0</v>
      </c>
    </row>
    <row r="410" spans="1:20" x14ac:dyDescent="0.25">
      <c r="A410">
        <v>2020</v>
      </c>
      <c r="B410">
        <v>12</v>
      </c>
      <c r="C410" t="s">
        <v>18</v>
      </c>
      <c r="D410">
        <v>7605</v>
      </c>
      <c r="E410" t="s">
        <v>77</v>
      </c>
      <c r="F410" t="s">
        <v>34</v>
      </c>
      <c r="G410" s="17">
        <v>202728.4</v>
      </c>
      <c r="H410">
        <v>202728.4</v>
      </c>
      <c r="J410" s="34">
        <v>16545.66</v>
      </c>
      <c r="K410" s="34">
        <v>16545.66</v>
      </c>
    </row>
    <row r="411" spans="1:20" x14ac:dyDescent="0.25">
      <c r="A411">
        <v>2020</v>
      </c>
      <c r="B411">
        <v>12</v>
      </c>
      <c r="C411" t="s">
        <v>18</v>
      </c>
      <c r="D411">
        <v>53317</v>
      </c>
      <c r="E411" t="s">
        <v>80</v>
      </c>
      <c r="F411" t="s">
        <v>34</v>
      </c>
      <c r="G411" s="17">
        <v>146598.39999999999</v>
      </c>
      <c r="H411">
        <v>146598.39999999999</v>
      </c>
      <c r="J411" s="34">
        <v>17687.82</v>
      </c>
      <c r="K411" s="34">
        <v>17687.82</v>
      </c>
    </row>
    <row r="412" spans="1:20" x14ac:dyDescent="0.25">
      <c r="A412">
        <v>2020</v>
      </c>
      <c r="B412">
        <v>12</v>
      </c>
      <c r="C412" t="s">
        <v>18</v>
      </c>
      <c r="D412">
        <v>57438</v>
      </c>
      <c r="E412" t="s">
        <v>259</v>
      </c>
      <c r="F412" t="s">
        <v>34</v>
      </c>
      <c r="G412" s="17">
        <v>2908306.26</v>
      </c>
      <c r="H412">
        <v>2908306.26</v>
      </c>
      <c r="J412" s="34">
        <v>235663.3</v>
      </c>
      <c r="K412" s="34">
        <v>235663.3</v>
      </c>
    </row>
    <row r="413" spans="1:20" x14ac:dyDescent="0.25">
      <c r="A413">
        <v>2020</v>
      </c>
      <c r="B413">
        <v>12</v>
      </c>
      <c r="C413" t="s">
        <v>18</v>
      </c>
      <c r="D413">
        <v>62486</v>
      </c>
      <c r="E413" t="s">
        <v>275</v>
      </c>
      <c r="F413" t="s">
        <v>34</v>
      </c>
      <c r="G413" s="17">
        <v>86862.74</v>
      </c>
      <c r="H413">
        <v>86862.74</v>
      </c>
      <c r="J413" s="34">
        <v>8984.0300000000007</v>
      </c>
      <c r="K413" s="34">
        <v>8984.0300000000007</v>
      </c>
    </row>
  </sheetData>
  <autoFilter ref="A1:T386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542"/>
  <sheetViews>
    <sheetView zoomScaleNormal="100" zoomScaleSheetLayoutView="100" workbookViewId="0">
      <pane ySplit="1" topLeftCell="A526" activePane="bottomLeft" state="frozen"/>
      <selection pane="bottomLeft" activeCell="A532" sqref="A532:Y542"/>
    </sheetView>
  </sheetViews>
  <sheetFormatPr defaultRowHeight="13.8" x14ac:dyDescent="0.25"/>
  <cols>
    <col min="1" max="2" width="9" bestFit="1" customWidth="1"/>
    <col min="5" max="5" width="24.77734375" customWidth="1"/>
    <col min="10" max="12" width="12.109375" bestFit="1" customWidth="1"/>
    <col min="13" max="13" width="11.6640625" style="22" bestFit="1" customWidth="1"/>
    <col min="14" max="15" width="11" style="22" bestFit="1" customWidth="1"/>
    <col min="16" max="16" width="11" bestFit="1" customWidth="1"/>
    <col min="17" max="18" width="14.77734375" bestFit="1" customWidth="1"/>
    <col min="19" max="19" width="9" bestFit="1" customWidth="1"/>
    <col min="21" max="21" width="9" bestFit="1" customWidth="1"/>
  </cols>
  <sheetData>
    <row r="1" spans="1:28" ht="84.6" customHeight="1" x14ac:dyDescent="0.25">
      <c r="A1" s="1" t="s">
        <v>140</v>
      </c>
      <c r="B1" s="1" t="s">
        <v>139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2" t="s">
        <v>56</v>
      </c>
      <c r="K1" s="2" t="s">
        <v>57</v>
      </c>
      <c r="L1" s="2" t="s">
        <v>58</v>
      </c>
      <c r="M1" s="18" t="s">
        <v>59</v>
      </c>
      <c r="N1" s="19" t="s">
        <v>60</v>
      </c>
      <c r="O1" s="19" t="s">
        <v>61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  <c r="U1" s="1" t="s">
        <v>12</v>
      </c>
      <c r="V1" s="1" t="s">
        <v>13</v>
      </c>
      <c r="W1" s="1" t="s">
        <v>14</v>
      </c>
      <c r="X1" s="1" t="s">
        <v>15</v>
      </c>
      <c r="Y1" s="1" t="s">
        <v>16</v>
      </c>
      <c r="Z1" s="7" t="s">
        <v>130</v>
      </c>
      <c r="AA1" s="7" t="s">
        <v>131</v>
      </c>
      <c r="AB1" s="7" t="s">
        <v>132</v>
      </c>
    </row>
    <row r="2" spans="1:28" ht="28.8" x14ac:dyDescent="0.25">
      <c r="A2" s="4">
        <v>2017</v>
      </c>
      <c r="B2" s="11">
        <v>1</v>
      </c>
      <c r="C2" s="4" t="s">
        <v>18</v>
      </c>
      <c r="D2" s="11">
        <v>650</v>
      </c>
      <c r="E2" s="5" t="s">
        <v>20</v>
      </c>
      <c r="F2" s="4" t="s">
        <v>21</v>
      </c>
      <c r="G2" s="5" t="s">
        <v>22</v>
      </c>
      <c r="H2" s="4" t="s">
        <v>23</v>
      </c>
      <c r="I2" s="4" t="s">
        <v>23</v>
      </c>
      <c r="J2" s="6">
        <v>28642.48</v>
      </c>
      <c r="K2" s="6">
        <v>22876.66</v>
      </c>
      <c r="L2" s="6">
        <v>5765.82</v>
      </c>
      <c r="M2" s="20">
        <v>28642.48</v>
      </c>
      <c r="N2" s="20">
        <v>22876.66</v>
      </c>
      <c r="O2" s="20">
        <v>5765.82</v>
      </c>
      <c r="P2" s="6">
        <v>37889.47</v>
      </c>
      <c r="Q2" s="6">
        <v>183254862.05000001</v>
      </c>
      <c r="R2" s="6">
        <v>183451364.09999999</v>
      </c>
      <c r="S2" s="6">
        <v>5.5E-2</v>
      </c>
      <c r="T2" s="4" t="s">
        <v>24</v>
      </c>
      <c r="U2" s="6">
        <v>0.05</v>
      </c>
      <c r="V2" s="6">
        <v>0.1</v>
      </c>
      <c r="W2" s="6"/>
      <c r="X2" s="6">
        <v>7639.71</v>
      </c>
      <c r="Y2" s="5"/>
    </row>
    <row r="3" spans="1:28" ht="28.8" x14ac:dyDescent="0.25">
      <c r="A3" s="4">
        <v>2017</v>
      </c>
      <c r="B3" s="11">
        <v>1</v>
      </c>
      <c r="C3" s="4" t="s">
        <v>18</v>
      </c>
      <c r="D3" s="11">
        <v>40508</v>
      </c>
      <c r="E3" s="5" t="s">
        <v>119</v>
      </c>
      <c r="F3" s="4" t="s">
        <v>121</v>
      </c>
      <c r="G3" s="5" t="s">
        <v>122</v>
      </c>
      <c r="H3" s="4" t="s">
        <v>34</v>
      </c>
      <c r="I3" s="4" t="s">
        <v>23</v>
      </c>
      <c r="J3" s="6">
        <v>9262.09</v>
      </c>
      <c r="K3" s="6">
        <v>3887.36</v>
      </c>
      <c r="L3" s="6">
        <v>5374.73</v>
      </c>
      <c r="M3" s="20">
        <v>9262.09</v>
      </c>
      <c r="N3" s="20">
        <v>3887.36</v>
      </c>
      <c r="O3" s="20">
        <v>5374.73</v>
      </c>
      <c r="P3" s="6">
        <v>5150.75</v>
      </c>
      <c r="Q3" s="6">
        <v>31015336.550000001</v>
      </c>
      <c r="R3" s="6">
        <v>31136119.800000001</v>
      </c>
      <c r="S3" s="6">
        <v>5.5E-2</v>
      </c>
      <c r="T3" s="4" t="s">
        <v>17</v>
      </c>
      <c r="U3" s="6">
        <v>2.75E-2</v>
      </c>
      <c r="V3" s="6">
        <v>0.1</v>
      </c>
      <c r="W3" s="6"/>
      <c r="X3" s="6">
        <v>7121.52</v>
      </c>
      <c r="Y3" s="5"/>
    </row>
    <row r="4" spans="1:28" ht="28.8" x14ac:dyDescent="0.25">
      <c r="A4" s="4">
        <v>2017</v>
      </c>
      <c r="B4" s="11">
        <v>1</v>
      </c>
      <c r="C4" s="4" t="s">
        <v>18</v>
      </c>
      <c r="D4" s="11">
        <v>44321</v>
      </c>
      <c r="E4" s="5" t="s">
        <v>26</v>
      </c>
      <c r="F4" s="4" t="s">
        <v>27</v>
      </c>
      <c r="G4" s="5" t="s">
        <v>28</v>
      </c>
      <c r="H4" s="4" t="s">
        <v>23</v>
      </c>
      <c r="I4" s="4" t="s">
        <v>23</v>
      </c>
      <c r="J4" s="6">
        <v>37019.57</v>
      </c>
      <c r="K4" s="6">
        <v>13782.29</v>
      </c>
      <c r="L4" s="6">
        <v>23237.279999999999</v>
      </c>
      <c r="M4" s="20">
        <v>37019.57</v>
      </c>
      <c r="N4" s="20">
        <v>13782.29</v>
      </c>
      <c r="O4" s="20">
        <v>23237.279999999999</v>
      </c>
      <c r="P4" s="6">
        <v>22826.91</v>
      </c>
      <c r="Q4" s="6">
        <v>134114049.06999999</v>
      </c>
      <c r="R4" s="6">
        <v>134593351.69</v>
      </c>
      <c r="S4" s="6">
        <v>5.5E-2</v>
      </c>
      <c r="T4" s="4" t="s">
        <v>17</v>
      </c>
      <c r="U4" s="6">
        <v>2.75E-2</v>
      </c>
      <c r="V4" s="6">
        <v>0.1</v>
      </c>
      <c r="W4" s="6"/>
      <c r="X4" s="6">
        <v>30789.39</v>
      </c>
      <c r="Y4" s="5"/>
    </row>
    <row r="5" spans="1:28" ht="43.2" x14ac:dyDescent="0.25">
      <c r="A5" s="4">
        <v>2017</v>
      </c>
      <c r="B5" s="11">
        <v>1</v>
      </c>
      <c r="C5" s="4" t="s">
        <v>18</v>
      </c>
      <c r="D5" s="11">
        <v>45817</v>
      </c>
      <c r="E5" s="5" t="s">
        <v>29</v>
      </c>
      <c r="F5" s="4" t="s">
        <v>30</v>
      </c>
      <c r="G5" s="5" t="s">
        <v>31</v>
      </c>
      <c r="H5" s="4" t="s">
        <v>23</v>
      </c>
      <c r="I5" s="4" t="s">
        <v>23</v>
      </c>
      <c r="J5" s="6">
        <v>63151.02</v>
      </c>
      <c r="K5" s="6">
        <v>19571.990000000002</v>
      </c>
      <c r="L5" s="6">
        <v>43579.03</v>
      </c>
      <c r="M5" s="20">
        <v>63151.02</v>
      </c>
      <c r="N5" s="20">
        <v>19571.990000000002</v>
      </c>
      <c r="O5" s="20">
        <v>43579.03</v>
      </c>
      <c r="P5" s="6">
        <v>32416.11</v>
      </c>
      <c r="Q5" s="6">
        <v>250869175.24000001</v>
      </c>
      <c r="R5" s="6">
        <v>253062936</v>
      </c>
      <c r="S5" s="6">
        <v>5.5E-2</v>
      </c>
      <c r="T5" s="4" t="s">
        <v>17</v>
      </c>
      <c r="U5" s="6">
        <v>2.75E-2</v>
      </c>
      <c r="V5" s="6">
        <v>0.1</v>
      </c>
      <c r="W5" s="6"/>
      <c r="X5" s="6">
        <v>57742.22</v>
      </c>
      <c r="Y5" s="5"/>
    </row>
    <row r="6" spans="1:28" ht="28.8" x14ac:dyDescent="0.25">
      <c r="A6" s="4">
        <v>2017</v>
      </c>
      <c r="B6" s="11">
        <v>1</v>
      </c>
      <c r="C6" s="4" t="s">
        <v>18</v>
      </c>
      <c r="D6" s="11">
        <v>49570</v>
      </c>
      <c r="E6" s="5" t="s">
        <v>123</v>
      </c>
      <c r="F6" s="4" t="s">
        <v>124</v>
      </c>
      <c r="G6" s="5" t="s">
        <v>141</v>
      </c>
      <c r="H6" s="4" t="s">
        <v>23</v>
      </c>
      <c r="I6" s="4" t="s">
        <v>23</v>
      </c>
      <c r="J6" s="6">
        <v>89359.15</v>
      </c>
      <c r="K6" s="6">
        <v>37357.4</v>
      </c>
      <c r="L6" s="6">
        <v>52001.75</v>
      </c>
      <c r="M6" s="20">
        <v>89359.15</v>
      </c>
      <c r="N6" s="20">
        <v>37357.4</v>
      </c>
      <c r="O6" s="20">
        <v>52001.75</v>
      </c>
      <c r="P6" s="6">
        <v>61873.19</v>
      </c>
      <c r="Q6" s="6">
        <v>597756307.92999995</v>
      </c>
      <c r="R6" s="6">
        <v>604902351.83000004</v>
      </c>
      <c r="S6" s="6">
        <v>5.5E-2</v>
      </c>
      <c r="T6" s="4" t="s">
        <v>17</v>
      </c>
      <c r="U6" s="6">
        <v>2.75E-2</v>
      </c>
      <c r="V6" s="6">
        <v>0.1</v>
      </c>
      <c r="W6" s="6"/>
      <c r="X6" s="6">
        <v>68902.320000000007</v>
      </c>
      <c r="Y6" s="5" t="s">
        <v>125</v>
      </c>
    </row>
    <row r="7" spans="1:28" ht="28.8" x14ac:dyDescent="0.25">
      <c r="A7" s="4">
        <v>2017</v>
      </c>
      <c r="B7" s="11">
        <v>1</v>
      </c>
      <c r="C7" s="4" t="s">
        <v>18</v>
      </c>
      <c r="D7" s="11">
        <v>650</v>
      </c>
      <c r="E7" s="5" t="s">
        <v>20</v>
      </c>
      <c r="F7" s="4" t="s">
        <v>32</v>
      </c>
      <c r="G7" s="5" t="s">
        <v>33</v>
      </c>
      <c r="H7" s="4" t="s">
        <v>34</v>
      </c>
      <c r="I7" s="4" t="s">
        <v>34</v>
      </c>
      <c r="J7" s="6">
        <v>11570.26</v>
      </c>
      <c r="K7" s="6">
        <v>11570.26</v>
      </c>
      <c r="L7" s="6"/>
      <c r="M7" s="20">
        <v>11570.26</v>
      </c>
      <c r="N7" s="20">
        <v>11570.26</v>
      </c>
      <c r="O7" s="21"/>
      <c r="P7" s="6">
        <v>15330.6</v>
      </c>
      <c r="Q7" s="6">
        <v>90322469.200000003</v>
      </c>
      <c r="R7" s="6">
        <v>90308026.840000004</v>
      </c>
      <c r="S7" s="6"/>
      <c r="T7" s="4"/>
      <c r="U7" s="6"/>
      <c r="V7" s="6"/>
      <c r="W7" s="6"/>
      <c r="X7" s="6"/>
      <c r="Y7" s="5"/>
    </row>
    <row r="8" spans="1:28" ht="28.8" x14ac:dyDescent="0.25">
      <c r="A8" s="4">
        <v>2017</v>
      </c>
      <c r="B8" s="11">
        <v>1</v>
      </c>
      <c r="C8" s="4" t="s">
        <v>18</v>
      </c>
      <c r="D8" s="11">
        <v>650</v>
      </c>
      <c r="E8" s="5" t="s">
        <v>20</v>
      </c>
      <c r="F8" s="4" t="s">
        <v>35</v>
      </c>
      <c r="G8" s="5" t="s">
        <v>36</v>
      </c>
      <c r="H8" s="4" t="s">
        <v>34</v>
      </c>
      <c r="I8" s="4" t="s">
        <v>34</v>
      </c>
      <c r="J8" s="6">
        <v>10719.09</v>
      </c>
      <c r="K8" s="6">
        <v>10719.09</v>
      </c>
      <c r="L8" s="6"/>
      <c r="M8" s="20">
        <v>10719.09</v>
      </c>
      <c r="N8" s="20">
        <v>10719.09</v>
      </c>
      <c r="O8" s="21"/>
      <c r="P8" s="6">
        <v>14202.8</v>
      </c>
      <c r="Q8" s="6">
        <v>83647793.900000006</v>
      </c>
      <c r="R8" s="6">
        <v>83698298.469999999</v>
      </c>
      <c r="S8" s="6"/>
      <c r="T8" s="4"/>
      <c r="U8" s="6"/>
      <c r="V8" s="6"/>
      <c r="W8" s="6"/>
      <c r="X8" s="6"/>
      <c r="Y8" s="5"/>
    </row>
    <row r="9" spans="1:28" ht="28.8" x14ac:dyDescent="0.25">
      <c r="A9" s="4">
        <v>2017</v>
      </c>
      <c r="B9" s="11">
        <v>1</v>
      </c>
      <c r="C9" s="4" t="s">
        <v>18</v>
      </c>
      <c r="D9" s="11">
        <v>3093</v>
      </c>
      <c r="E9" s="5" t="s">
        <v>37</v>
      </c>
      <c r="F9" s="4" t="s">
        <v>38</v>
      </c>
      <c r="G9" s="5" t="s">
        <v>39</v>
      </c>
      <c r="H9" s="4" t="s">
        <v>34</v>
      </c>
      <c r="I9" s="4" t="s">
        <v>34</v>
      </c>
      <c r="J9" s="6">
        <v>4551.13</v>
      </c>
      <c r="K9" s="6">
        <v>4551.13</v>
      </c>
      <c r="L9" s="6"/>
      <c r="M9" s="20">
        <v>4551.13</v>
      </c>
      <c r="N9" s="20">
        <v>4551.13</v>
      </c>
      <c r="O9" s="21"/>
      <c r="P9" s="6">
        <v>6030.25</v>
      </c>
      <c r="Q9" s="6">
        <v>9415802.4600000009</v>
      </c>
      <c r="R9" s="6">
        <v>9387157.0299999993</v>
      </c>
      <c r="S9" s="6"/>
      <c r="T9" s="4"/>
      <c r="U9" s="6"/>
      <c r="V9" s="6"/>
      <c r="W9" s="6"/>
      <c r="X9" s="6"/>
      <c r="Y9" s="5"/>
    </row>
    <row r="10" spans="1:28" ht="28.8" x14ac:dyDescent="0.25">
      <c r="A10" s="4">
        <v>2017</v>
      </c>
      <c r="B10" s="11">
        <v>1</v>
      </c>
      <c r="C10" s="4" t="s">
        <v>18</v>
      </c>
      <c r="D10" s="11">
        <v>43139</v>
      </c>
      <c r="E10" s="5" t="s">
        <v>120</v>
      </c>
      <c r="F10" s="4" t="s">
        <v>126</v>
      </c>
      <c r="G10" s="5" t="s">
        <v>127</v>
      </c>
      <c r="H10" s="4" t="s">
        <v>34</v>
      </c>
      <c r="I10" s="4" t="s">
        <v>34</v>
      </c>
      <c r="J10" s="6">
        <v>367.25</v>
      </c>
      <c r="K10" s="6">
        <v>367.25</v>
      </c>
      <c r="L10" s="6"/>
      <c r="M10" s="20">
        <v>367.25</v>
      </c>
      <c r="N10" s="20">
        <v>367.25</v>
      </c>
      <c r="O10" s="21"/>
      <c r="P10" s="6">
        <v>486.61</v>
      </c>
      <c r="Q10" s="6">
        <v>1848380.82</v>
      </c>
      <c r="R10" s="6">
        <v>1975228.95</v>
      </c>
      <c r="S10" s="6"/>
      <c r="T10" s="4"/>
      <c r="U10" s="6"/>
      <c r="V10" s="6"/>
      <c r="W10" s="6"/>
      <c r="X10" s="6"/>
      <c r="Y10" s="5"/>
    </row>
    <row r="11" spans="1:28" ht="28.8" x14ac:dyDescent="0.25">
      <c r="A11" s="4">
        <v>2017</v>
      </c>
      <c r="B11" s="11">
        <v>1</v>
      </c>
      <c r="C11" s="4" t="s">
        <v>18</v>
      </c>
      <c r="D11" s="11">
        <v>44321</v>
      </c>
      <c r="E11" s="5" t="s">
        <v>26</v>
      </c>
      <c r="F11" s="4" t="s">
        <v>128</v>
      </c>
      <c r="G11" s="5" t="s">
        <v>129</v>
      </c>
      <c r="H11" s="4" t="s">
        <v>34</v>
      </c>
      <c r="I11" s="4" t="s">
        <v>34</v>
      </c>
      <c r="J11" s="6">
        <v>7513.36</v>
      </c>
      <c r="K11" s="6">
        <v>7513.36</v>
      </c>
      <c r="L11" s="6"/>
      <c r="M11" s="20">
        <v>7513.36</v>
      </c>
      <c r="N11" s="20">
        <v>7513.36</v>
      </c>
      <c r="O11" s="21"/>
      <c r="P11" s="6">
        <v>9955.2000000000007</v>
      </c>
      <c r="Q11" s="6">
        <v>58560195.240000002</v>
      </c>
      <c r="R11" s="6">
        <v>58653737.57</v>
      </c>
      <c r="S11" s="6"/>
      <c r="T11" s="4"/>
      <c r="U11" s="6"/>
      <c r="V11" s="6"/>
      <c r="W11" s="6"/>
      <c r="X11" s="6"/>
      <c r="Y11" s="5"/>
    </row>
    <row r="12" spans="1:28" ht="28.8" x14ac:dyDescent="0.25">
      <c r="A12" s="4">
        <v>2017</v>
      </c>
      <c r="B12" s="11">
        <v>1</v>
      </c>
      <c r="C12" s="4" t="s">
        <v>18</v>
      </c>
      <c r="D12" s="11">
        <v>45792</v>
      </c>
      <c r="E12" s="5" t="s">
        <v>43</v>
      </c>
      <c r="F12" s="4" t="s">
        <v>44</v>
      </c>
      <c r="G12" s="5" t="s">
        <v>45</v>
      </c>
      <c r="H12" s="4" t="s">
        <v>34</v>
      </c>
      <c r="I12" s="4" t="s">
        <v>34</v>
      </c>
      <c r="J12" s="6">
        <v>12397.1</v>
      </c>
      <c r="K12" s="6">
        <v>12397.1</v>
      </c>
      <c r="L12" s="6"/>
      <c r="M12" s="20">
        <v>12397.1</v>
      </c>
      <c r="N12" s="20">
        <v>12397.1</v>
      </c>
      <c r="O12" s="21"/>
      <c r="P12" s="6">
        <v>16426.16</v>
      </c>
      <c r="Q12" s="6">
        <v>81226949.829999998</v>
      </c>
      <c r="R12" s="6">
        <v>81460942.079999998</v>
      </c>
      <c r="S12" s="6"/>
      <c r="T12" s="4"/>
      <c r="U12" s="6"/>
      <c r="V12" s="6"/>
      <c r="W12" s="6"/>
      <c r="X12" s="6"/>
      <c r="Y12" s="5"/>
    </row>
    <row r="13" spans="1:28" ht="28.8" x14ac:dyDescent="0.25">
      <c r="A13" s="4">
        <v>2017</v>
      </c>
      <c r="B13" s="11">
        <v>1</v>
      </c>
      <c r="C13" s="4" t="s">
        <v>18</v>
      </c>
      <c r="D13" s="11">
        <v>45808</v>
      </c>
      <c r="E13" s="5" t="s">
        <v>46</v>
      </c>
      <c r="F13" s="4" t="s">
        <v>47</v>
      </c>
      <c r="G13" s="5" t="s">
        <v>48</v>
      </c>
      <c r="H13" s="4" t="s">
        <v>34</v>
      </c>
      <c r="I13" s="4" t="s">
        <v>34</v>
      </c>
      <c r="J13" s="6">
        <v>13235.09</v>
      </c>
      <c r="K13" s="6">
        <v>13235.09</v>
      </c>
      <c r="L13" s="6"/>
      <c r="M13" s="20">
        <v>13235.09</v>
      </c>
      <c r="N13" s="20">
        <v>13235.09</v>
      </c>
      <c r="O13" s="21"/>
      <c r="P13" s="6">
        <v>17536.490000000002</v>
      </c>
      <c r="Q13" s="6">
        <v>44595133.090000004</v>
      </c>
      <c r="R13" s="6">
        <v>44750106.479999997</v>
      </c>
      <c r="S13" s="6"/>
      <c r="T13" s="4"/>
      <c r="U13" s="6"/>
      <c r="V13" s="6"/>
      <c r="W13" s="6"/>
      <c r="X13" s="6"/>
      <c r="Y13" s="5"/>
    </row>
    <row r="14" spans="1:28" ht="28.8" x14ac:dyDescent="0.25">
      <c r="A14" s="4">
        <v>2017</v>
      </c>
      <c r="B14" s="11">
        <v>1</v>
      </c>
      <c r="C14" s="4" t="s">
        <v>18</v>
      </c>
      <c r="D14" s="11">
        <v>50544</v>
      </c>
      <c r="E14" s="5" t="s">
        <v>53</v>
      </c>
      <c r="F14" s="4" t="s">
        <v>54</v>
      </c>
      <c r="G14" s="5" t="s">
        <v>55</v>
      </c>
      <c r="H14" s="4" t="s">
        <v>34</v>
      </c>
      <c r="I14" s="4" t="s">
        <v>34</v>
      </c>
      <c r="J14" s="6">
        <v>7158.55</v>
      </c>
      <c r="K14" s="6">
        <v>7158.55</v>
      </c>
      <c r="L14" s="6"/>
      <c r="M14" s="20">
        <v>7158.55</v>
      </c>
      <c r="N14" s="20">
        <v>7158.55</v>
      </c>
      <c r="O14" s="21"/>
      <c r="P14" s="6">
        <v>9485.08</v>
      </c>
      <c r="Q14" s="6">
        <v>73065698.689999998</v>
      </c>
      <c r="R14" s="6">
        <v>77339566.75</v>
      </c>
      <c r="S14" s="6"/>
      <c r="T14" s="4"/>
      <c r="U14" s="6"/>
      <c r="V14" s="6"/>
      <c r="W14" s="6"/>
      <c r="X14" s="6"/>
      <c r="Y14" s="5"/>
    </row>
    <row r="15" spans="1:28" ht="28.8" x14ac:dyDescent="0.25">
      <c r="A15" s="4">
        <v>2017</v>
      </c>
      <c r="B15" s="11">
        <v>2</v>
      </c>
      <c r="C15" s="4" t="s">
        <v>18</v>
      </c>
      <c r="D15" s="11">
        <v>650</v>
      </c>
      <c r="E15" s="5" t="s">
        <v>20</v>
      </c>
      <c r="F15" s="4" t="s">
        <v>21</v>
      </c>
      <c r="G15" s="5" t="s">
        <v>22</v>
      </c>
      <c r="H15" s="4" t="s">
        <v>23</v>
      </c>
      <c r="I15" s="4" t="s">
        <v>23</v>
      </c>
      <c r="J15" s="6">
        <v>54772.45</v>
      </c>
      <c r="K15" s="6">
        <v>43323.12</v>
      </c>
      <c r="L15" s="6">
        <v>11449.33</v>
      </c>
      <c r="M15" s="20">
        <v>26129.96</v>
      </c>
      <c r="N15" s="20">
        <v>20446.45</v>
      </c>
      <c r="O15" s="20">
        <v>5683.51</v>
      </c>
      <c r="P15" s="6">
        <v>33864.44</v>
      </c>
      <c r="Q15" s="6">
        <v>183451364.09999999</v>
      </c>
      <c r="R15" s="6">
        <v>178019942.09</v>
      </c>
      <c r="S15" s="6">
        <v>5.5E-2</v>
      </c>
      <c r="T15" s="4" t="s">
        <v>24</v>
      </c>
      <c r="U15" s="6">
        <v>0.05</v>
      </c>
      <c r="V15" s="6">
        <v>0.1</v>
      </c>
      <c r="W15" s="6"/>
      <c r="X15" s="6">
        <v>7530.65</v>
      </c>
      <c r="Y15" s="5"/>
    </row>
    <row r="16" spans="1:28" ht="28.8" x14ac:dyDescent="0.25">
      <c r="A16" s="4">
        <v>2017</v>
      </c>
      <c r="B16" s="11">
        <v>2</v>
      </c>
      <c r="C16" s="4" t="s">
        <v>18</v>
      </c>
      <c r="D16" s="11">
        <v>40508</v>
      </c>
      <c r="E16" s="5" t="s">
        <v>119</v>
      </c>
      <c r="F16" s="4" t="s">
        <v>121</v>
      </c>
      <c r="G16" s="5" t="s">
        <v>122</v>
      </c>
      <c r="H16" s="4" t="s">
        <v>34</v>
      </c>
      <c r="I16" s="4" t="s">
        <v>23</v>
      </c>
      <c r="J16" s="6">
        <v>18171.849999999999</v>
      </c>
      <c r="K16" s="6">
        <v>7405.99</v>
      </c>
      <c r="L16" s="6">
        <v>10765.86</v>
      </c>
      <c r="M16" s="20">
        <v>8909.76</v>
      </c>
      <c r="N16" s="20">
        <v>3518.63</v>
      </c>
      <c r="O16" s="20">
        <v>5391.13</v>
      </c>
      <c r="P16" s="6">
        <v>4662.1899999999996</v>
      </c>
      <c r="Q16" s="6">
        <v>31136119.800000001</v>
      </c>
      <c r="R16" s="6">
        <v>31204902.859999999</v>
      </c>
      <c r="S16" s="6">
        <v>5.5E-2</v>
      </c>
      <c r="T16" s="4" t="s">
        <v>17</v>
      </c>
      <c r="U16" s="6">
        <v>2.75E-2</v>
      </c>
      <c r="V16" s="6">
        <v>0.1</v>
      </c>
      <c r="W16" s="6"/>
      <c r="X16" s="6">
        <v>7143.24</v>
      </c>
      <c r="Y16" s="5"/>
    </row>
    <row r="17" spans="1:25" ht="28.8" x14ac:dyDescent="0.25">
      <c r="A17" s="4">
        <v>2017</v>
      </c>
      <c r="B17" s="11">
        <v>2</v>
      </c>
      <c r="C17" s="4" t="s">
        <v>18</v>
      </c>
      <c r="D17" s="11">
        <v>44321</v>
      </c>
      <c r="E17" s="5" t="s">
        <v>26</v>
      </c>
      <c r="F17" s="4" t="s">
        <v>27</v>
      </c>
      <c r="G17" s="5" t="s">
        <v>28</v>
      </c>
      <c r="H17" s="4" t="s">
        <v>23</v>
      </c>
      <c r="I17" s="4" t="s">
        <v>23</v>
      </c>
      <c r="J17" s="6">
        <v>77884.11</v>
      </c>
      <c r="K17" s="6">
        <v>27858.98</v>
      </c>
      <c r="L17" s="6">
        <v>50025.13</v>
      </c>
      <c r="M17" s="20">
        <v>40864.550000000003</v>
      </c>
      <c r="N17" s="20">
        <v>14076.69</v>
      </c>
      <c r="O17" s="20">
        <v>26787.86</v>
      </c>
      <c r="P17" s="6">
        <v>23314.52</v>
      </c>
      <c r="Q17" s="6">
        <v>134593351.69</v>
      </c>
      <c r="R17" s="6">
        <v>175171675.41999999</v>
      </c>
      <c r="S17" s="6">
        <v>5.5E-2</v>
      </c>
      <c r="T17" s="4" t="s">
        <v>17</v>
      </c>
      <c r="U17" s="6">
        <v>2.75E-2</v>
      </c>
      <c r="V17" s="6">
        <v>0.1</v>
      </c>
      <c r="W17" s="6"/>
      <c r="X17" s="6">
        <v>35493.910000000003</v>
      </c>
      <c r="Y17" s="5"/>
    </row>
    <row r="18" spans="1:25" ht="43.2" x14ac:dyDescent="0.25">
      <c r="A18" s="4">
        <v>2017</v>
      </c>
      <c r="B18" s="11">
        <v>2</v>
      </c>
      <c r="C18" s="4" t="s">
        <v>18</v>
      </c>
      <c r="D18" s="11">
        <v>45817</v>
      </c>
      <c r="E18" s="5" t="s">
        <v>29</v>
      </c>
      <c r="F18" s="4" t="s">
        <v>30</v>
      </c>
      <c r="G18" s="5" t="s">
        <v>31</v>
      </c>
      <c r="H18" s="4" t="s">
        <v>23</v>
      </c>
      <c r="I18" s="4" t="s">
        <v>23</v>
      </c>
      <c r="J18" s="6">
        <v>124234.31</v>
      </c>
      <c r="K18" s="6">
        <v>36451.550000000003</v>
      </c>
      <c r="L18" s="6">
        <v>87782.76</v>
      </c>
      <c r="M18" s="20">
        <v>61083.29</v>
      </c>
      <c r="N18" s="20">
        <v>16879.560000000001</v>
      </c>
      <c r="O18" s="20">
        <v>44203.73</v>
      </c>
      <c r="P18" s="6">
        <v>27956.77</v>
      </c>
      <c r="Q18" s="6">
        <v>253062936</v>
      </c>
      <c r="R18" s="6">
        <v>258092919.91</v>
      </c>
      <c r="S18" s="6">
        <v>5.5E-2</v>
      </c>
      <c r="T18" s="4" t="s">
        <v>17</v>
      </c>
      <c r="U18" s="6">
        <v>2.75E-2</v>
      </c>
      <c r="V18" s="6">
        <v>0.1</v>
      </c>
      <c r="W18" s="6"/>
      <c r="X18" s="6">
        <v>58569.94</v>
      </c>
      <c r="Y18" s="5"/>
    </row>
    <row r="19" spans="1:25" ht="28.8" x14ac:dyDescent="0.25">
      <c r="A19" s="4">
        <v>2017</v>
      </c>
      <c r="B19" s="11">
        <v>2</v>
      </c>
      <c r="C19" s="4" t="s">
        <v>18</v>
      </c>
      <c r="D19" s="11">
        <v>49570</v>
      </c>
      <c r="E19" s="5" t="s">
        <v>123</v>
      </c>
      <c r="F19" s="4" t="s">
        <v>124</v>
      </c>
      <c r="G19" s="5" t="s">
        <v>141</v>
      </c>
      <c r="H19" s="4" t="s">
        <v>23</v>
      </c>
      <c r="I19" s="4" t="s">
        <v>23</v>
      </c>
      <c r="J19" s="6">
        <v>175827.54</v>
      </c>
      <c r="K19" s="6">
        <v>71440.850000000006</v>
      </c>
      <c r="L19" s="6">
        <v>104386.69</v>
      </c>
      <c r="M19" s="20">
        <v>86468.39</v>
      </c>
      <c r="N19" s="20">
        <v>34083.449999999997</v>
      </c>
      <c r="O19" s="20">
        <v>52384.94</v>
      </c>
      <c r="P19" s="6">
        <v>56450.720000000001</v>
      </c>
      <c r="Q19" s="6">
        <v>604902351.83000004</v>
      </c>
      <c r="R19" s="6">
        <v>606618355.84000003</v>
      </c>
      <c r="S19" s="6">
        <v>5.5E-2</v>
      </c>
      <c r="T19" s="4" t="s">
        <v>17</v>
      </c>
      <c r="U19" s="6">
        <v>2.75E-2</v>
      </c>
      <c r="V19" s="6">
        <v>0.1</v>
      </c>
      <c r="W19" s="6"/>
      <c r="X19" s="6">
        <v>69410.039999999994</v>
      </c>
      <c r="Y19" s="5" t="s">
        <v>125</v>
      </c>
    </row>
    <row r="20" spans="1:25" ht="28.8" x14ac:dyDescent="0.25">
      <c r="A20" s="4">
        <v>2017</v>
      </c>
      <c r="B20" s="11">
        <v>2</v>
      </c>
      <c r="C20" s="4" t="s">
        <v>18</v>
      </c>
      <c r="D20" s="11">
        <v>650</v>
      </c>
      <c r="E20" s="5" t="s">
        <v>20</v>
      </c>
      <c r="F20" s="4" t="s">
        <v>35</v>
      </c>
      <c r="G20" s="5" t="s">
        <v>36</v>
      </c>
      <c r="H20" s="4" t="s">
        <v>34</v>
      </c>
      <c r="I20" s="4" t="s">
        <v>34</v>
      </c>
      <c r="J20" s="6">
        <v>20351.89</v>
      </c>
      <c r="K20" s="6">
        <v>20351.89</v>
      </c>
      <c r="L20" s="6"/>
      <c r="M20" s="20">
        <v>9632.7999999999993</v>
      </c>
      <c r="N20" s="20">
        <v>9632.7999999999993</v>
      </c>
      <c r="O20" s="21"/>
      <c r="P20" s="6">
        <v>12763.46</v>
      </c>
      <c r="Q20" s="6">
        <v>83698298.469999999</v>
      </c>
      <c r="R20" s="6">
        <v>81280496.340000004</v>
      </c>
      <c r="S20" s="6"/>
      <c r="T20" s="4"/>
      <c r="U20" s="6"/>
      <c r="V20" s="6"/>
      <c r="W20" s="6"/>
      <c r="X20" s="6"/>
      <c r="Y20" s="5"/>
    </row>
    <row r="21" spans="1:25" ht="28.8" x14ac:dyDescent="0.25">
      <c r="A21" s="4">
        <v>2017</v>
      </c>
      <c r="B21" s="11">
        <v>2</v>
      </c>
      <c r="C21" s="4" t="s">
        <v>18</v>
      </c>
      <c r="D21" s="11">
        <v>650</v>
      </c>
      <c r="E21" s="5" t="s">
        <v>20</v>
      </c>
      <c r="F21" s="4" t="s">
        <v>32</v>
      </c>
      <c r="G21" s="5" t="s">
        <v>33</v>
      </c>
      <c r="H21" s="4" t="s">
        <v>34</v>
      </c>
      <c r="I21" s="4" t="s">
        <v>34</v>
      </c>
      <c r="J21" s="6">
        <v>21958.45</v>
      </c>
      <c r="K21" s="6">
        <v>21958.45</v>
      </c>
      <c r="L21" s="6"/>
      <c r="M21" s="20">
        <v>10388.18</v>
      </c>
      <c r="N21" s="20">
        <v>10388.18</v>
      </c>
      <c r="O21" s="21"/>
      <c r="P21" s="6">
        <v>13764.34</v>
      </c>
      <c r="Q21" s="6">
        <v>90308026.840000004</v>
      </c>
      <c r="R21" s="6">
        <v>87597753.75</v>
      </c>
      <c r="S21" s="6"/>
      <c r="T21" s="4"/>
      <c r="U21" s="6"/>
      <c r="V21" s="6"/>
      <c r="W21" s="6"/>
      <c r="X21" s="6"/>
      <c r="Y21" s="5"/>
    </row>
    <row r="22" spans="1:25" ht="28.8" x14ac:dyDescent="0.25">
      <c r="A22" s="4">
        <v>2017</v>
      </c>
      <c r="B22" s="11">
        <v>2</v>
      </c>
      <c r="C22" s="4" t="s">
        <v>18</v>
      </c>
      <c r="D22" s="11">
        <v>3093</v>
      </c>
      <c r="E22" s="5" t="s">
        <v>37</v>
      </c>
      <c r="F22" s="4" t="s">
        <v>38</v>
      </c>
      <c r="G22" s="5" t="s">
        <v>39</v>
      </c>
      <c r="H22" s="4" t="s">
        <v>34</v>
      </c>
      <c r="I22" s="4" t="s">
        <v>34</v>
      </c>
      <c r="J22" s="6">
        <v>8646.6299999999992</v>
      </c>
      <c r="K22" s="6">
        <v>8646.6299999999992</v>
      </c>
      <c r="L22" s="6"/>
      <c r="M22" s="20">
        <v>4095.5</v>
      </c>
      <c r="N22" s="20">
        <v>4095.5</v>
      </c>
      <c r="O22" s="21"/>
      <c r="P22" s="6">
        <v>5426.54</v>
      </c>
      <c r="Q22" s="6">
        <v>9387157.0299999993</v>
      </c>
      <c r="R22" s="6">
        <v>9394046.2100000009</v>
      </c>
      <c r="S22" s="6"/>
      <c r="T22" s="4"/>
      <c r="U22" s="6"/>
      <c r="V22" s="6"/>
      <c r="W22" s="6"/>
      <c r="X22" s="6"/>
      <c r="Y22" s="5"/>
    </row>
    <row r="23" spans="1:25" ht="28.8" x14ac:dyDescent="0.25">
      <c r="A23" s="4">
        <v>2017</v>
      </c>
      <c r="B23" s="11">
        <v>2</v>
      </c>
      <c r="C23" s="4" t="s">
        <v>18</v>
      </c>
      <c r="D23" s="11">
        <v>43139</v>
      </c>
      <c r="E23" s="5" t="s">
        <v>120</v>
      </c>
      <c r="F23" s="4" t="s">
        <v>126</v>
      </c>
      <c r="G23" s="5" t="s">
        <v>127</v>
      </c>
      <c r="H23" s="4" t="s">
        <v>34</v>
      </c>
      <c r="I23" s="4" t="s">
        <v>34</v>
      </c>
      <c r="J23" s="6">
        <v>710.23</v>
      </c>
      <c r="K23" s="6">
        <v>710.23</v>
      </c>
      <c r="L23" s="6"/>
      <c r="M23" s="20">
        <v>342.97</v>
      </c>
      <c r="N23" s="20">
        <v>342.97</v>
      </c>
      <c r="O23" s="21"/>
      <c r="P23" s="6">
        <v>454.44</v>
      </c>
      <c r="Q23" s="6">
        <v>1975228.95</v>
      </c>
      <c r="R23" s="6">
        <v>1974992.99</v>
      </c>
      <c r="S23" s="6"/>
      <c r="T23" s="4"/>
      <c r="U23" s="6"/>
      <c r="V23" s="6"/>
      <c r="W23" s="6"/>
      <c r="X23" s="6"/>
      <c r="Y23" s="5"/>
    </row>
    <row r="24" spans="1:25" ht="28.8" x14ac:dyDescent="0.25">
      <c r="A24" s="4">
        <v>2017</v>
      </c>
      <c r="B24" s="11">
        <v>2</v>
      </c>
      <c r="C24" s="4" t="s">
        <v>18</v>
      </c>
      <c r="D24" s="11">
        <v>44321</v>
      </c>
      <c r="E24" s="5" t="s">
        <v>26</v>
      </c>
      <c r="F24" s="4" t="s">
        <v>128</v>
      </c>
      <c r="G24" s="5" t="s">
        <v>129</v>
      </c>
      <c r="H24" s="4" t="s">
        <v>34</v>
      </c>
      <c r="I24" s="4" t="s">
        <v>34</v>
      </c>
      <c r="J24" s="6">
        <v>12327.64</v>
      </c>
      <c r="K24" s="6">
        <v>12327.64</v>
      </c>
      <c r="L24" s="6"/>
      <c r="M24" s="20">
        <v>4814.28</v>
      </c>
      <c r="N24" s="20">
        <v>4814.28</v>
      </c>
      <c r="O24" s="21"/>
      <c r="P24" s="6">
        <v>6378.92</v>
      </c>
      <c r="Q24" s="6">
        <v>58653737.57</v>
      </c>
      <c r="R24" s="6">
        <v>18765047.539999999</v>
      </c>
      <c r="S24" s="6"/>
      <c r="T24" s="4"/>
      <c r="U24" s="6"/>
      <c r="V24" s="6"/>
      <c r="W24" s="6"/>
      <c r="X24" s="6"/>
      <c r="Y24" s="5"/>
    </row>
    <row r="25" spans="1:25" ht="28.8" x14ac:dyDescent="0.25">
      <c r="A25" s="4">
        <v>2017</v>
      </c>
      <c r="B25" s="11">
        <v>2</v>
      </c>
      <c r="C25" s="4" t="s">
        <v>18</v>
      </c>
      <c r="D25" s="11">
        <v>45792</v>
      </c>
      <c r="E25" s="5" t="s">
        <v>43</v>
      </c>
      <c r="F25" s="4" t="s">
        <v>44</v>
      </c>
      <c r="G25" s="5" t="s">
        <v>45</v>
      </c>
      <c r="H25" s="4" t="s">
        <v>34</v>
      </c>
      <c r="I25" s="4" t="s">
        <v>34</v>
      </c>
      <c r="J25" s="6">
        <v>23361.48</v>
      </c>
      <c r="K25" s="6">
        <v>23361.48</v>
      </c>
      <c r="L25" s="6"/>
      <c r="M25" s="20">
        <v>10964.38</v>
      </c>
      <c r="N25" s="20">
        <v>10964.38</v>
      </c>
      <c r="O25" s="21"/>
      <c r="P25" s="6">
        <v>14527.8</v>
      </c>
      <c r="Q25" s="6">
        <v>81460942.079999998</v>
      </c>
      <c r="R25" s="6">
        <v>82430302.159999996</v>
      </c>
      <c r="S25" s="6"/>
      <c r="T25" s="4"/>
      <c r="U25" s="6"/>
      <c r="V25" s="6"/>
      <c r="W25" s="6"/>
      <c r="X25" s="6"/>
      <c r="Y25" s="5"/>
    </row>
    <row r="26" spans="1:25" ht="28.8" x14ac:dyDescent="0.25">
      <c r="A26" s="4">
        <v>2017</v>
      </c>
      <c r="B26" s="11">
        <v>2</v>
      </c>
      <c r="C26" s="4" t="s">
        <v>18</v>
      </c>
      <c r="D26" s="11">
        <v>45808</v>
      </c>
      <c r="E26" s="5" t="s">
        <v>46</v>
      </c>
      <c r="F26" s="4" t="s">
        <v>47</v>
      </c>
      <c r="G26" s="5" t="s">
        <v>48</v>
      </c>
      <c r="H26" s="4" t="s">
        <v>34</v>
      </c>
      <c r="I26" s="4" t="s">
        <v>34</v>
      </c>
      <c r="J26" s="6">
        <v>25338.04</v>
      </c>
      <c r="K26" s="6">
        <v>25338.04</v>
      </c>
      <c r="L26" s="6"/>
      <c r="M26" s="20">
        <v>12102.95</v>
      </c>
      <c r="N26" s="20">
        <v>12102.95</v>
      </c>
      <c r="O26" s="21"/>
      <c r="P26" s="6">
        <v>16036.41</v>
      </c>
      <c r="Q26" s="6">
        <v>44750106.479999997</v>
      </c>
      <c r="R26" s="6">
        <v>45375726.5</v>
      </c>
      <c r="S26" s="6"/>
      <c r="T26" s="4"/>
      <c r="U26" s="6"/>
      <c r="V26" s="6"/>
      <c r="W26" s="6"/>
      <c r="X26" s="6"/>
      <c r="Y26" s="5"/>
    </row>
    <row r="27" spans="1:25" ht="28.8" x14ac:dyDescent="0.25">
      <c r="A27" s="4">
        <v>2017</v>
      </c>
      <c r="B27" s="11">
        <v>2</v>
      </c>
      <c r="C27" s="4" t="s">
        <v>18</v>
      </c>
      <c r="D27" s="11">
        <v>50544</v>
      </c>
      <c r="E27" s="5" t="s">
        <v>53</v>
      </c>
      <c r="F27" s="4" t="s">
        <v>54</v>
      </c>
      <c r="G27" s="5" t="s">
        <v>55</v>
      </c>
      <c r="H27" s="4" t="s">
        <v>34</v>
      </c>
      <c r="I27" s="4" t="s">
        <v>34</v>
      </c>
      <c r="J27" s="6">
        <v>13831.42</v>
      </c>
      <c r="K27" s="6">
        <v>13831.42</v>
      </c>
      <c r="L27" s="6"/>
      <c r="M27" s="20">
        <v>6672.87</v>
      </c>
      <c r="N27" s="20">
        <v>6672.87</v>
      </c>
      <c r="O27" s="21"/>
      <c r="P27" s="6">
        <v>8841.5499999999993</v>
      </c>
      <c r="Q27" s="6">
        <v>77339566.75</v>
      </c>
      <c r="R27" s="6">
        <v>81584418.689999998</v>
      </c>
      <c r="S27" s="6"/>
      <c r="T27" s="4"/>
      <c r="U27" s="6"/>
      <c r="V27" s="6"/>
      <c r="W27" s="6"/>
      <c r="X27" s="6"/>
      <c r="Y27" s="5"/>
    </row>
    <row r="28" spans="1:25" ht="28.8" x14ac:dyDescent="0.25">
      <c r="A28" s="4">
        <v>2017</v>
      </c>
      <c r="B28" s="11">
        <v>3</v>
      </c>
      <c r="C28" s="4" t="s">
        <v>18</v>
      </c>
      <c r="D28" s="11">
        <v>650</v>
      </c>
      <c r="E28" s="5" t="s">
        <v>20</v>
      </c>
      <c r="F28" s="4" t="s">
        <v>21</v>
      </c>
      <c r="G28" s="5" t="s">
        <v>22</v>
      </c>
      <c r="H28" s="4" t="s">
        <v>23</v>
      </c>
      <c r="I28" s="4" t="s">
        <v>23</v>
      </c>
      <c r="J28" s="6">
        <v>81789.56</v>
      </c>
      <c r="K28" s="6">
        <v>64796.12</v>
      </c>
      <c r="L28" s="6">
        <v>16993.439999999999</v>
      </c>
      <c r="M28" s="20">
        <v>27017.119999999999</v>
      </c>
      <c r="N28" s="20">
        <v>21473.01</v>
      </c>
      <c r="O28" s="20">
        <v>5544.11</v>
      </c>
      <c r="P28" s="6">
        <v>35564.67</v>
      </c>
      <c r="Q28" s="6">
        <v>178019942.09</v>
      </c>
      <c r="R28" s="6">
        <v>174585366.81999999</v>
      </c>
      <c r="S28" s="6">
        <v>5.5E-2</v>
      </c>
      <c r="T28" s="4" t="s">
        <v>24</v>
      </c>
      <c r="U28" s="6">
        <v>0.05</v>
      </c>
      <c r="V28" s="6">
        <v>0.1</v>
      </c>
      <c r="W28" s="6"/>
      <c r="X28" s="6">
        <v>7345.94</v>
      </c>
      <c r="Y28" s="5"/>
    </row>
    <row r="29" spans="1:25" ht="28.8" x14ac:dyDescent="0.25">
      <c r="A29" s="4">
        <v>2017</v>
      </c>
      <c r="B29" s="11">
        <v>3</v>
      </c>
      <c r="C29" s="4" t="s">
        <v>18</v>
      </c>
      <c r="D29" s="11">
        <v>40508</v>
      </c>
      <c r="E29" s="5" t="s">
        <v>119</v>
      </c>
      <c r="F29" s="4" t="s">
        <v>121</v>
      </c>
      <c r="G29" s="5" t="s">
        <v>122</v>
      </c>
      <c r="H29" s="4" t="s">
        <v>34</v>
      </c>
      <c r="I29" s="4" t="s">
        <v>23</v>
      </c>
      <c r="J29" s="6">
        <v>28815.46</v>
      </c>
      <c r="K29" s="6">
        <v>12648.09</v>
      </c>
      <c r="L29" s="6">
        <v>16167.37</v>
      </c>
      <c r="M29" s="20">
        <v>10643.61</v>
      </c>
      <c r="N29" s="20">
        <v>5242.1000000000004</v>
      </c>
      <c r="O29" s="20">
        <v>5401.51</v>
      </c>
      <c r="P29" s="6">
        <v>6945.78</v>
      </c>
      <c r="Q29" s="6">
        <v>31204902.859999999</v>
      </c>
      <c r="R29" s="6">
        <v>31256216.300000001</v>
      </c>
      <c r="S29" s="6">
        <v>5.5E-2</v>
      </c>
      <c r="T29" s="4" t="s">
        <v>17</v>
      </c>
      <c r="U29" s="6">
        <v>2.75E-2</v>
      </c>
      <c r="V29" s="6">
        <v>0.1</v>
      </c>
      <c r="W29" s="6"/>
      <c r="X29" s="6">
        <v>7157</v>
      </c>
      <c r="Y29" s="5"/>
    </row>
    <row r="30" spans="1:25" ht="28.8" x14ac:dyDescent="0.25">
      <c r="A30" s="4">
        <v>2017</v>
      </c>
      <c r="B30" s="11">
        <v>3</v>
      </c>
      <c r="C30" s="4" t="s">
        <v>18</v>
      </c>
      <c r="D30" s="11">
        <v>44321</v>
      </c>
      <c r="E30" s="5" t="s">
        <v>26</v>
      </c>
      <c r="F30" s="4" t="s">
        <v>27</v>
      </c>
      <c r="G30" s="5" t="s">
        <v>28</v>
      </c>
      <c r="H30" s="4" t="s">
        <v>23</v>
      </c>
      <c r="I30" s="4" t="s">
        <v>23</v>
      </c>
      <c r="J30" s="6">
        <v>125550.93</v>
      </c>
      <c r="K30" s="6">
        <v>45222.04</v>
      </c>
      <c r="L30" s="6">
        <v>80328.89</v>
      </c>
      <c r="M30" s="20">
        <v>47666.83</v>
      </c>
      <c r="N30" s="20">
        <v>17363.07</v>
      </c>
      <c r="O30" s="20">
        <v>30303.759999999998</v>
      </c>
      <c r="P30" s="6">
        <v>28757.58</v>
      </c>
      <c r="Q30" s="6">
        <v>175171675.41999999</v>
      </c>
      <c r="R30" s="6">
        <v>175250010.66999999</v>
      </c>
      <c r="S30" s="6">
        <v>5.5E-2</v>
      </c>
      <c r="T30" s="4" t="s">
        <v>17</v>
      </c>
      <c r="U30" s="6">
        <v>2.75E-2</v>
      </c>
      <c r="V30" s="6">
        <v>0.1</v>
      </c>
      <c r="W30" s="6"/>
      <c r="X30" s="6">
        <v>40152.480000000003</v>
      </c>
      <c r="Y30" s="5"/>
    </row>
    <row r="31" spans="1:25" ht="43.2" x14ac:dyDescent="0.25">
      <c r="A31" s="4">
        <v>2017</v>
      </c>
      <c r="B31" s="11">
        <v>3</v>
      </c>
      <c r="C31" s="4" t="s">
        <v>18</v>
      </c>
      <c r="D31" s="11">
        <v>45817</v>
      </c>
      <c r="E31" s="5" t="s">
        <v>29</v>
      </c>
      <c r="F31" s="4" t="s">
        <v>30</v>
      </c>
      <c r="G31" s="5" t="s">
        <v>31</v>
      </c>
      <c r="H31" s="4" t="s">
        <v>23</v>
      </c>
      <c r="I31" s="4" t="s">
        <v>23</v>
      </c>
      <c r="J31" s="6">
        <v>188182.93</v>
      </c>
      <c r="K31" s="6">
        <v>55509.47</v>
      </c>
      <c r="L31" s="6">
        <v>132673.46</v>
      </c>
      <c r="M31" s="20">
        <v>63948.61</v>
      </c>
      <c r="N31" s="20">
        <v>19057.919999999998</v>
      </c>
      <c r="O31" s="20">
        <v>44890.69</v>
      </c>
      <c r="P31" s="6">
        <v>31564.68</v>
      </c>
      <c r="Q31" s="6">
        <v>258092919.91</v>
      </c>
      <c r="R31" s="6">
        <v>261006749.41999999</v>
      </c>
      <c r="S31" s="6">
        <v>5.5E-2</v>
      </c>
      <c r="T31" s="4" t="s">
        <v>17</v>
      </c>
      <c r="U31" s="6">
        <v>2.75E-2</v>
      </c>
      <c r="V31" s="6">
        <v>0.1</v>
      </c>
      <c r="W31" s="6"/>
      <c r="X31" s="6">
        <v>59480.17</v>
      </c>
      <c r="Y31" s="5"/>
    </row>
    <row r="32" spans="1:25" ht="28.8" x14ac:dyDescent="0.25">
      <c r="A32" s="4">
        <v>2017</v>
      </c>
      <c r="B32" s="11">
        <v>3</v>
      </c>
      <c r="C32" s="4" t="s">
        <v>18</v>
      </c>
      <c r="D32" s="11">
        <v>49570</v>
      </c>
      <c r="E32" s="5" t="s">
        <v>123</v>
      </c>
      <c r="F32" s="4" t="s">
        <v>124</v>
      </c>
      <c r="G32" s="5" t="s">
        <v>142</v>
      </c>
      <c r="H32" s="4" t="s">
        <v>23</v>
      </c>
      <c r="I32" s="4" t="s">
        <v>23</v>
      </c>
      <c r="J32" s="6">
        <v>266153.44</v>
      </c>
      <c r="K32" s="6">
        <v>109119.67</v>
      </c>
      <c r="L32" s="6">
        <v>157033.76999999999</v>
      </c>
      <c r="M32" s="20">
        <v>90325.91</v>
      </c>
      <c r="N32" s="20">
        <v>37678.82</v>
      </c>
      <c r="O32" s="20">
        <v>52647.09</v>
      </c>
      <c r="P32" s="6">
        <v>62405.54</v>
      </c>
      <c r="Q32" s="6">
        <v>606618355.84000003</v>
      </c>
      <c r="R32" s="6">
        <v>610965203.92999995</v>
      </c>
      <c r="S32" s="6">
        <v>5.5E-2</v>
      </c>
      <c r="T32" s="4" t="s">
        <v>17</v>
      </c>
      <c r="U32" s="6">
        <v>2.75E-2</v>
      </c>
      <c r="V32" s="6">
        <v>0.1</v>
      </c>
      <c r="W32" s="6"/>
      <c r="X32" s="6">
        <v>69757.39</v>
      </c>
      <c r="Y32" s="5" t="s">
        <v>125</v>
      </c>
    </row>
    <row r="33" spans="1:25" ht="28.8" x14ac:dyDescent="0.25">
      <c r="A33" s="4">
        <v>2017</v>
      </c>
      <c r="B33" s="11">
        <v>3</v>
      </c>
      <c r="C33" s="4" t="s">
        <v>18</v>
      </c>
      <c r="D33" s="11">
        <v>650</v>
      </c>
      <c r="E33" s="5" t="s">
        <v>20</v>
      </c>
      <c r="F33" s="4" t="s">
        <v>32</v>
      </c>
      <c r="G33" s="5" t="s">
        <v>33</v>
      </c>
      <c r="H33" s="4" t="s">
        <v>34</v>
      </c>
      <c r="I33" s="4" t="s">
        <v>34</v>
      </c>
      <c r="J33" s="6">
        <v>33176.42</v>
      </c>
      <c r="K33" s="6">
        <v>33176.42</v>
      </c>
      <c r="L33" s="6"/>
      <c r="M33" s="20">
        <v>11217.98</v>
      </c>
      <c r="N33" s="20">
        <v>11217.98</v>
      </c>
      <c r="O33" s="21"/>
      <c r="P33" s="6">
        <v>14863.82</v>
      </c>
      <c r="Q33" s="6">
        <v>87597753.75</v>
      </c>
      <c r="R33" s="6">
        <v>87417972.700000003</v>
      </c>
      <c r="S33" s="6"/>
      <c r="T33" s="4"/>
      <c r="U33" s="6"/>
      <c r="V33" s="6"/>
      <c r="W33" s="6"/>
      <c r="X33" s="6"/>
      <c r="Y33" s="5"/>
    </row>
    <row r="34" spans="1:25" ht="28.8" x14ac:dyDescent="0.25">
      <c r="A34" s="4">
        <v>2017</v>
      </c>
      <c r="B34" s="11">
        <v>3</v>
      </c>
      <c r="C34" s="4" t="s">
        <v>18</v>
      </c>
      <c r="D34" s="11">
        <v>650</v>
      </c>
      <c r="E34" s="5" t="s">
        <v>20</v>
      </c>
      <c r="F34" s="4" t="s">
        <v>35</v>
      </c>
      <c r="G34" s="5" t="s">
        <v>36</v>
      </c>
      <c r="H34" s="4" t="s">
        <v>34</v>
      </c>
      <c r="I34" s="4" t="s">
        <v>34</v>
      </c>
      <c r="J34" s="6">
        <v>31078.1</v>
      </c>
      <c r="K34" s="6">
        <v>31078.1</v>
      </c>
      <c r="L34" s="6"/>
      <c r="M34" s="20">
        <v>10726.2</v>
      </c>
      <c r="N34" s="20">
        <v>10726.2</v>
      </c>
      <c r="O34" s="21"/>
      <c r="P34" s="6">
        <v>14212.22</v>
      </c>
      <c r="Q34" s="6">
        <v>81280496.340000004</v>
      </c>
      <c r="R34" s="6">
        <v>84205934.890000001</v>
      </c>
      <c r="S34" s="6"/>
      <c r="T34" s="4"/>
      <c r="U34" s="6"/>
      <c r="V34" s="6"/>
      <c r="W34" s="6"/>
      <c r="X34" s="6"/>
      <c r="Y34" s="5"/>
    </row>
    <row r="35" spans="1:25" ht="28.8" x14ac:dyDescent="0.25">
      <c r="A35" s="4">
        <v>2017</v>
      </c>
      <c r="B35" s="11">
        <v>3</v>
      </c>
      <c r="C35" s="4" t="s">
        <v>18</v>
      </c>
      <c r="D35" s="11">
        <v>3093</v>
      </c>
      <c r="E35" s="5" t="s">
        <v>37</v>
      </c>
      <c r="F35" s="4" t="s">
        <v>38</v>
      </c>
      <c r="G35" s="5" t="s">
        <v>39</v>
      </c>
      <c r="H35" s="4" t="s">
        <v>34</v>
      </c>
      <c r="I35" s="4" t="s">
        <v>34</v>
      </c>
      <c r="J35" s="6">
        <v>13191.67</v>
      </c>
      <c r="K35" s="6">
        <v>13191.67</v>
      </c>
      <c r="L35" s="6"/>
      <c r="M35" s="20">
        <v>4545.03</v>
      </c>
      <c r="N35" s="20">
        <v>4545.03</v>
      </c>
      <c r="O35" s="21"/>
      <c r="P35" s="6">
        <v>6022.17</v>
      </c>
      <c r="Q35" s="6">
        <v>9394046.2100000009</v>
      </c>
      <c r="R35" s="6">
        <v>9418062.5700000003</v>
      </c>
      <c r="S35" s="6"/>
      <c r="T35" s="4"/>
      <c r="U35" s="6"/>
      <c r="V35" s="6"/>
      <c r="W35" s="6"/>
      <c r="X35" s="6"/>
      <c r="Y35" s="5"/>
    </row>
    <row r="36" spans="1:25" ht="28.8" x14ac:dyDescent="0.25">
      <c r="A36" s="4">
        <v>2017</v>
      </c>
      <c r="B36" s="11">
        <v>3</v>
      </c>
      <c r="C36" s="4" t="s">
        <v>18</v>
      </c>
      <c r="D36" s="11">
        <v>43139</v>
      </c>
      <c r="E36" s="5" t="s">
        <v>120</v>
      </c>
      <c r="F36" s="4" t="s">
        <v>126</v>
      </c>
      <c r="G36" s="5" t="s">
        <v>127</v>
      </c>
      <c r="H36" s="4" t="s">
        <v>34</v>
      </c>
      <c r="I36" s="4" t="s">
        <v>34</v>
      </c>
      <c r="J36" s="6">
        <v>1075.0899999999999</v>
      </c>
      <c r="K36" s="6">
        <v>1075.0899999999999</v>
      </c>
      <c r="L36" s="6"/>
      <c r="M36" s="20">
        <v>364.86</v>
      </c>
      <c r="N36" s="20">
        <v>364.86</v>
      </c>
      <c r="O36" s="21"/>
      <c r="P36" s="6">
        <v>483.44</v>
      </c>
      <c r="Q36" s="6">
        <v>1974992.99</v>
      </c>
      <c r="R36" s="6">
        <v>1834262.31</v>
      </c>
      <c r="S36" s="6"/>
      <c r="T36" s="4"/>
      <c r="U36" s="6"/>
      <c r="V36" s="6"/>
      <c r="W36" s="6"/>
      <c r="X36" s="6"/>
      <c r="Y36" s="5"/>
    </row>
    <row r="37" spans="1:25" ht="28.8" x14ac:dyDescent="0.25">
      <c r="A37" s="4">
        <v>2017</v>
      </c>
      <c r="B37" s="11">
        <v>3</v>
      </c>
      <c r="C37" s="4" t="s">
        <v>18</v>
      </c>
      <c r="D37" s="11">
        <v>44321</v>
      </c>
      <c r="E37" s="5" t="s">
        <v>26</v>
      </c>
      <c r="F37" s="4" t="s">
        <v>128</v>
      </c>
      <c r="G37" s="5" t="s">
        <v>129</v>
      </c>
      <c r="H37" s="4" t="s">
        <v>34</v>
      </c>
      <c r="I37" s="4" t="s">
        <v>34</v>
      </c>
      <c r="J37" s="6">
        <v>14736.36</v>
      </c>
      <c r="K37" s="6">
        <v>14736.36</v>
      </c>
      <c r="L37" s="6"/>
      <c r="M37" s="20">
        <v>2408.7199999999998</v>
      </c>
      <c r="N37" s="20">
        <v>2408.7199999999998</v>
      </c>
      <c r="O37" s="21"/>
      <c r="P37" s="6">
        <v>3191.56</v>
      </c>
      <c r="Q37" s="6">
        <v>18765047.539999999</v>
      </c>
      <c r="R37" s="6">
        <v>18814529.73</v>
      </c>
      <c r="S37" s="6"/>
      <c r="T37" s="4"/>
      <c r="U37" s="6"/>
      <c r="V37" s="6"/>
      <c r="W37" s="6"/>
      <c r="X37" s="6"/>
      <c r="Y37" s="5"/>
    </row>
    <row r="38" spans="1:25" ht="28.8" x14ac:dyDescent="0.25">
      <c r="A38" s="4">
        <v>2017</v>
      </c>
      <c r="B38" s="11">
        <v>3</v>
      </c>
      <c r="C38" s="4" t="s">
        <v>18</v>
      </c>
      <c r="D38" s="11">
        <v>45792</v>
      </c>
      <c r="E38" s="5" t="s">
        <v>43</v>
      </c>
      <c r="F38" s="4" t="s">
        <v>44</v>
      </c>
      <c r="G38" s="5" t="s">
        <v>45</v>
      </c>
      <c r="H38" s="4" t="s">
        <v>34</v>
      </c>
      <c r="I38" s="4" t="s">
        <v>34</v>
      </c>
      <c r="J38" s="6">
        <v>35323.089999999997</v>
      </c>
      <c r="K38" s="6">
        <v>35323.089999999997</v>
      </c>
      <c r="L38" s="6"/>
      <c r="M38" s="20">
        <v>11961.61</v>
      </c>
      <c r="N38" s="20">
        <v>11961.61</v>
      </c>
      <c r="O38" s="21"/>
      <c r="P38" s="6">
        <v>15849.13</v>
      </c>
      <c r="Q38" s="6">
        <v>82430302.159999996</v>
      </c>
      <c r="R38" s="6">
        <v>83246593.739999995</v>
      </c>
      <c r="S38" s="6"/>
      <c r="T38" s="4"/>
      <c r="U38" s="6"/>
      <c r="V38" s="6"/>
      <c r="W38" s="6"/>
      <c r="X38" s="6"/>
      <c r="Y38" s="5"/>
    </row>
    <row r="39" spans="1:25" ht="28.8" x14ac:dyDescent="0.25">
      <c r="A39" s="4">
        <v>2017</v>
      </c>
      <c r="B39" s="11">
        <v>3</v>
      </c>
      <c r="C39" s="4" t="s">
        <v>18</v>
      </c>
      <c r="D39" s="11">
        <v>45808</v>
      </c>
      <c r="E39" s="5" t="s">
        <v>46</v>
      </c>
      <c r="F39" s="4" t="s">
        <v>47</v>
      </c>
      <c r="G39" s="5" t="s">
        <v>48</v>
      </c>
      <c r="H39" s="4" t="s">
        <v>34</v>
      </c>
      <c r="I39" s="4" t="s">
        <v>34</v>
      </c>
      <c r="J39" s="6">
        <v>39072.44</v>
      </c>
      <c r="K39" s="6">
        <v>39072.44</v>
      </c>
      <c r="L39" s="6"/>
      <c r="M39" s="20">
        <v>13734.4</v>
      </c>
      <c r="N39" s="20">
        <v>13734.4</v>
      </c>
      <c r="O39" s="21"/>
      <c r="P39" s="6">
        <v>18198.080000000002</v>
      </c>
      <c r="Q39" s="6">
        <v>45375726.5</v>
      </c>
      <c r="R39" s="6">
        <v>46456241.5</v>
      </c>
      <c r="S39" s="6"/>
      <c r="T39" s="4"/>
      <c r="U39" s="6"/>
      <c r="V39" s="6"/>
      <c r="W39" s="6"/>
      <c r="X39" s="6"/>
      <c r="Y39" s="5"/>
    </row>
    <row r="40" spans="1:25" ht="28.8" x14ac:dyDescent="0.25">
      <c r="A40" s="4">
        <v>2017</v>
      </c>
      <c r="B40" s="11">
        <v>3</v>
      </c>
      <c r="C40" s="4" t="s">
        <v>18</v>
      </c>
      <c r="D40" s="11">
        <v>50544</v>
      </c>
      <c r="E40" s="5" t="s">
        <v>53</v>
      </c>
      <c r="F40" s="4" t="s">
        <v>54</v>
      </c>
      <c r="G40" s="5" t="s">
        <v>55</v>
      </c>
      <c r="H40" s="4" t="s">
        <v>34</v>
      </c>
      <c r="I40" s="4" t="s">
        <v>34</v>
      </c>
      <c r="J40" s="6">
        <v>21939.65</v>
      </c>
      <c r="K40" s="6">
        <v>21939.65</v>
      </c>
      <c r="L40" s="6"/>
      <c r="M40" s="20">
        <v>8108.23</v>
      </c>
      <c r="N40" s="20">
        <v>8108.23</v>
      </c>
      <c r="O40" s="21"/>
      <c r="P40" s="6">
        <v>10743.41</v>
      </c>
      <c r="Q40" s="6">
        <v>81584418.689999998</v>
      </c>
      <c r="R40" s="6">
        <v>81741944.920000002</v>
      </c>
      <c r="S40" s="6"/>
      <c r="T40" s="4"/>
      <c r="U40" s="6"/>
      <c r="V40" s="6"/>
      <c r="W40" s="6"/>
      <c r="X40" s="6"/>
      <c r="Y40" s="5"/>
    </row>
    <row r="41" spans="1:25" s="24" customFormat="1" ht="28.8" x14ac:dyDescent="0.25">
      <c r="A41" s="4">
        <v>2017</v>
      </c>
      <c r="B41" s="4">
        <v>4</v>
      </c>
      <c r="C41" s="4" t="s">
        <v>18</v>
      </c>
      <c r="D41" s="11">
        <v>650</v>
      </c>
      <c r="E41" s="5" t="s">
        <v>20</v>
      </c>
      <c r="F41" s="4" t="s">
        <v>21</v>
      </c>
      <c r="G41" s="5" t="s">
        <v>22</v>
      </c>
      <c r="H41" s="4" t="s">
        <v>23</v>
      </c>
      <c r="I41" s="4" t="s">
        <v>23</v>
      </c>
      <c r="J41" s="6">
        <v>106306.57</v>
      </c>
      <c r="K41" s="6">
        <v>83832.66</v>
      </c>
      <c r="L41" s="6">
        <v>22473.91</v>
      </c>
      <c r="M41" s="23">
        <v>24517.01</v>
      </c>
      <c r="N41" s="23">
        <v>19036.54</v>
      </c>
      <c r="O41" s="23">
        <v>5480.47</v>
      </c>
      <c r="P41" s="6">
        <v>31529.27</v>
      </c>
      <c r="Q41" s="6">
        <v>174552288.06999999</v>
      </c>
      <c r="R41" s="6">
        <v>174005518.19999999</v>
      </c>
      <c r="S41" s="6">
        <v>5.5E-2</v>
      </c>
      <c r="T41" s="4" t="s">
        <v>24</v>
      </c>
      <c r="U41" s="6">
        <v>0.05</v>
      </c>
      <c r="V41" s="6">
        <v>0.1</v>
      </c>
      <c r="W41" s="6"/>
      <c r="X41" s="6">
        <v>7261.62</v>
      </c>
      <c r="Y41" s="5"/>
    </row>
    <row r="42" spans="1:25" s="24" customFormat="1" ht="28.8" x14ac:dyDescent="0.25">
      <c r="A42" s="4">
        <v>2017</v>
      </c>
      <c r="B42" s="4">
        <v>4</v>
      </c>
      <c r="C42" s="4" t="s">
        <v>18</v>
      </c>
      <c r="D42" s="11">
        <v>40508</v>
      </c>
      <c r="E42" s="5" t="s">
        <v>119</v>
      </c>
      <c r="F42" s="4" t="s">
        <v>121</v>
      </c>
      <c r="G42" s="5" t="s">
        <v>122</v>
      </c>
      <c r="H42" s="4" t="s">
        <v>34</v>
      </c>
      <c r="I42" s="4" t="s">
        <v>23</v>
      </c>
      <c r="J42" s="6">
        <v>36054.15</v>
      </c>
      <c r="K42" s="6">
        <v>19886.78</v>
      </c>
      <c r="L42" s="6">
        <v>16167.37</v>
      </c>
      <c r="M42" s="23">
        <v>7238.69</v>
      </c>
      <c r="N42" s="23">
        <v>7238.69</v>
      </c>
      <c r="O42" s="6"/>
      <c r="P42" s="6">
        <v>9591.26</v>
      </c>
      <c r="Q42" s="6"/>
      <c r="R42" s="6"/>
      <c r="S42" s="6">
        <v>5.5E-2</v>
      </c>
      <c r="T42" s="4" t="s">
        <v>17</v>
      </c>
      <c r="U42" s="6">
        <v>2.75E-2</v>
      </c>
      <c r="V42" s="6">
        <v>0.1</v>
      </c>
      <c r="W42" s="6"/>
      <c r="X42" s="6"/>
      <c r="Y42" s="5"/>
    </row>
    <row r="43" spans="1:25" s="24" customFormat="1" ht="28.8" x14ac:dyDescent="0.25">
      <c r="A43" s="4">
        <v>2017</v>
      </c>
      <c r="B43" s="4">
        <v>4</v>
      </c>
      <c r="C43" s="4" t="s">
        <v>18</v>
      </c>
      <c r="D43" s="11">
        <v>44321</v>
      </c>
      <c r="E43" s="5" t="s">
        <v>26</v>
      </c>
      <c r="F43" s="4" t="s">
        <v>27</v>
      </c>
      <c r="G43" s="5" t="s">
        <v>28</v>
      </c>
      <c r="H43" s="4" t="s">
        <v>23</v>
      </c>
      <c r="I43" s="4" t="s">
        <v>23</v>
      </c>
      <c r="J43" s="6">
        <v>171377.24</v>
      </c>
      <c r="K43" s="6">
        <v>60891.99</v>
      </c>
      <c r="L43" s="6">
        <v>110485.25</v>
      </c>
      <c r="M43" s="23">
        <v>45826.31</v>
      </c>
      <c r="N43" s="23">
        <v>15669.95</v>
      </c>
      <c r="O43" s="23">
        <v>30156.36</v>
      </c>
      <c r="P43" s="6">
        <v>25953.35</v>
      </c>
      <c r="Q43" s="6">
        <v>175003572.30000001</v>
      </c>
      <c r="R43" s="6">
        <v>173713592.13</v>
      </c>
      <c r="S43" s="6">
        <v>5.5E-2</v>
      </c>
      <c r="T43" s="4" t="s">
        <v>17</v>
      </c>
      <c r="U43" s="6">
        <v>2.75E-2</v>
      </c>
      <c r="V43" s="6">
        <v>0.1</v>
      </c>
      <c r="W43" s="6"/>
      <c r="X43" s="6">
        <v>39957.18</v>
      </c>
      <c r="Y43" s="5"/>
    </row>
    <row r="44" spans="1:25" s="24" customFormat="1" ht="43.2" x14ac:dyDescent="0.25">
      <c r="A44" s="4">
        <v>2017</v>
      </c>
      <c r="B44" s="4">
        <v>4</v>
      </c>
      <c r="C44" s="4" t="s">
        <v>18</v>
      </c>
      <c r="D44" s="11">
        <v>45817</v>
      </c>
      <c r="E44" s="5" t="s">
        <v>29</v>
      </c>
      <c r="F44" s="4" t="s">
        <v>30</v>
      </c>
      <c r="G44" s="5" t="s">
        <v>31</v>
      </c>
      <c r="H44" s="4" t="s">
        <v>23</v>
      </c>
      <c r="I44" s="4" t="s">
        <v>23</v>
      </c>
      <c r="J44" s="6">
        <v>252211.04</v>
      </c>
      <c r="K44" s="6">
        <v>74200.570000000007</v>
      </c>
      <c r="L44" s="6">
        <v>178010.47</v>
      </c>
      <c r="M44" s="23">
        <v>64028.11</v>
      </c>
      <c r="N44" s="23">
        <v>18691.099999999999</v>
      </c>
      <c r="O44" s="23">
        <v>45337.01</v>
      </c>
      <c r="P44" s="6">
        <v>30957.14</v>
      </c>
      <c r="Q44" s="6">
        <v>262042944.81</v>
      </c>
      <c r="R44" s="6">
        <v>262217718.74000001</v>
      </c>
      <c r="S44" s="6">
        <v>5.5E-2</v>
      </c>
      <c r="T44" s="4" t="s">
        <v>17</v>
      </c>
      <c r="U44" s="6">
        <v>2.75E-2</v>
      </c>
      <c r="V44" s="6">
        <v>0.1</v>
      </c>
      <c r="W44" s="6"/>
      <c r="X44" s="6">
        <v>60071.53</v>
      </c>
      <c r="Y44" s="5"/>
    </row>
    <row r="45" spans="1:25" s="24" customFormat="1" ht="28.8" x14ac:dyDescent="0.25">
      <c r="A45" s="4">
        <v>2017</v>
      </c>
      <c r="B45" s="4">
        <v>4</v>
      </c>
      <c r="C45" s="4" t="s">
        <v>18</v>
      </c>
      <c r="D45" s="11">
        <v>49570</v>
      </c>
      <c r="E45" s="5" t="s">
        <v>123</v>
      </c>
      <c r="F45" s="4" t="s">
        <v>124</v>
      </c>
      <c r="G45" s="5" t="s">
        <v>143</v>
      </c>
      <c r="H45" s="4" t="s">
        <v>23</v>
      </c>
      <c r="I45" s="4" t="s">
        <v>23</v>
      </c>
      <c r="J45" s="6">
        <v>357394.96</v>
      </c>
      <c r="K45" s="6">
        <v>146594.32</v>
      </c>
      <c r="L45" s="6">
        <v>210800.64000000001</v>
      </c>
      <c r="M45" s="23">
        <v>91241.52</v>
      </c>
      <c r="N45" s="23">
        <v>37474.660000000003</v>
      </c>
      <c r="O45" s="23">
        <v>53766.86</v>
      </c>
      <c r="P45" s="6">
        <v>62067.4</v>
      </c>
      <c r="Q45" s="6">
        <v>615030513.80999994</v>
      </c>
      <c r="R45" s="6">
        <v>628450412.65999997</v>
      </c>
      <c r="S45" s="6">
        <v>5.5E-2</v>
      </c>
      <c r="T45" s="4" t="s">
        <v>17</v>
      </c>
      <c r="U45" s="6">
        <v>2.75E-2</v>
      </c>
      <c r="V45" s="6">
        <v>0.1</v>
      </c>
      <c r="W45" s="6"/>
      <c r="X45" s="6">
        <v>71241.09</v>
      </c>
      <c r="Y45" s="5" t="s">
        <v>125</v>
      </c>
    </row>
    <row r="46" spans="1:25" s="24" customFormat="1" ht="28.8" x14ac:dyDescent="0.25">
      <c r="A46" s="4">
        <v>2017</v>
      </c>
      <c r="B46" s="4">
        <v>4</v>
      </c>
      <c r="C46" s="4" t="s">
        <v>18</v>
      </c>
      <c r="D46" s="11">
        <v>650</v>
      </c>
      <c r="E46" s="5" t="s">
        <v>20</v>
      </c>
      <c r="F46" s="4" t="s">
        <v>32</v>
      </c>
      <c r="G46" s="5" t="s">
        <v>33</v>
      </c>
      <c r="H46" s="4" t="s">
        <v>34</v>
      </c>
      <c r="I46" s="4" t="s">
        <v>34</v>
      </c>
      <c r="J46" s="6">
        <v>44011.06</v>
      </c>
      <c r="K46" s="6">
        <v>44011.06</v>
      </c>
      <c r="L46" s="6"/>
      <c r="M46" s="23">
        <v>10834.64</v>
      </c>
      <c r="N46" s="23">
        <v>10834.64</v>
      </c>
      <c r="O46" s="6"/>
      <c r="P46" s="6">
        <v>14355.9</v>
      </c>
      <c r="Q46" s="6">
        <v>87440701.280000001</v>
      </c>
      <c r="R46" s="6">
        <v>87320407.930000007</v>
      </c>
      <c r="S46" s="6"/>
      <c r="T46" s="4"/>
      <c r="U46" s="6"/>
      <c r="V46" s="6"/>
      <c r="W46" s="6"/>
      <c r="X46" s="6"/>
      <c r="Y46" s="5"/>
    </row>
    <row r="47" spans="1:25" s="24" customFormat="1" ht="28.8" x14ac:dyDescent="0.25">
      <c r="A47" s="4">
        <v>2017</v>
      </c>
      <c r="B47" s="4">
        <v>4</v>
      </c>
      <c r="C47" s="4" t="s">
        <v>18</v>
      </c>
      <c r="D47" s="11">
        <v>650</v>
      </c>
      <c r="E47" s="5" t="s">
        <v>20</v>
      </c>
      <c r="F47" s="4" t="s">
        <v>35</v>
      </c>
      <c r="G47" s="5" t="s">
        <v>36</v>
      </c>
      <c r="H47" s="4" t="s">
        <v>34</v>
      </c>
      <c r="I47" s="4" t="s">
        <v>34</v>
      </c>
      <c r="J47" s="6">
        <v>41520.32</v>
      </c>
      <c r="K47" s="6">
        <v>41520.32</v>
      </c>
      <c r="L47" s="6"/>
      <c r="M47" s="23">
        <v>10442.219999999999</v>
      </c>
      <c r="N47" s="23">
        <v>10442.219999999999</v>
      </c>
      <c r="O47" s="6"/>
      <c r="P47" s="6">
        <v>13835.94</v>
      </c>
      <c r="Q47" s="6">
        <v>84232783.200000003</v>
      </c>
      <c r="R47" s="6">
        <v>84204109.189999998</v>
      </c>
      <c r="S47" s="6"/>
      <c r="T47" s="4"/>
      <c r="U47" s="6"/>
      <c r="V47" s="6"/>
      <c r="W47" s="6"/>
      <c r="X47" s="6"/>
      <c r="Y47" s="5"/>
    </row>
    <row r="48" spans="1:25" s="24" customFormat="1" ht="28.8" x14ac:dyDescent="0.25">
      <c r="A48" s="4">
        <v>2017</v>
      </c>
      <c r="B48" s="4">
        <v>4</v>
      </c>
      <c r="C48" s="4" t="s">
        <v>18</v>
      </c>
      <c r="D48" s="11">
        <v>3093</v>
      </c>
      <c r="E48" s="5" t="s">
        <v>37</v>
      </c>
      <c r="F48" s="4" t="s">
        <v>38</v>
      </c>
      <c r="G48" s="5" t="s">
        <v>39</v>
      </c>
      <c r="H48" s="4" t="s">
        <v>34</v>
      </c>
      <c r="I48" s="4" t="s">
        <v>34</v>
      </c>
      <c r="J48" s="6">
        <v>17012.939999999999</v>
      </c>
      <c r="K48" s="6">
        <v>17012.939999999999</v>
      </c>
      <c r="L48" s="6"/>
      <c r="M48" s="23">
        <v>3821.28</v>
      </c>
      <c r="N48" s="23">
        <v>3821.28</v>
      </c>
      <c r="O48" s="6"/>
      <c r="P48" s="6">
        <v>5063.1899999999996</v>
      </c>
      <c r="Q48" s="6">
        <v>9409679.4399999995</v>
      </c>
      <c r="R48" s="6">
        <v>9402020.3699999992</v>
      </c>
      <c r="S48" s="6"/>
      <c r="T48" s="4"/>
      <c r="U48" s="6"/>
      <c r="V48" s="6"/>
      <c r="W48" s="6"/>
      <c r="X48" s="6"/>
      <c r="Y48" s="5"/>
    </row>
    <row r="49" spans="1:25" s="24" customFormat="1" ht="28.8" x14ac:dyDescent="0.25">
      <c r="A49" s="4">
        <v>2017</v>
      </c>
      <c r="B49" s="4">
        <v>4</v>
      </c>
      <c r="C49" s="4" t="s">
        <v>18</v>
      </c>
      <c r="D49" s="11">
        <v>43139</v>
      </c>
      <c r="E49" s="5" t="s">
        <v>120</v>
      </c>
      <c r="F49" s="4" t="s">
        <v>126</v>
      </c>
      <c r="G49" s="5" t="s">
        <v>127</v>
      </c>
      <c r="H49" s="4" t="s">
        <v>34</v>
      </c>
      <c r="I49" s="4" t="s">
        <v>34</v>
      </c>
      <c r="J49" s="6">
        <v>1417.98</v>
      </c>
      <c r="K49" s="6">
        <v>1417.98</v>
      </c>
      <c r="L49" s="6"/>
      <c r="M49" s="23">
        <v>342.9</v>
      </c>
      <c r="N49" s="23">
        <v>342.9</v>
      </c>
      <c r="O49" s="6"/>
      <c r="P49" s="6">
        <v>454.34</v>
      </c>
      <c r="Q49" s="6">
        <v>1834245.65</v>
      </c>
      <c r="R49" s="6">
        <v>1884077.44</v>
      </c>
      <c r="S49" s="6"/>
      <c r="T49" s="4"/>
      <c r="U49" s="6"/>
      <c r="V49" s="6"/>
      <c r="W49" s="6"/>
      <c r="X49" s="6"/>
      <c r="Y49" s="5"/>
    </row>
    <row r="50" spans="1:25" s="24" customFormat="1" ht="28.8" x14ac:dyDescent="0.25">
      <c r="A50" s="4">
        <v>2017</v>
      </c>
      <c r="B50" s="4">
        <v>4</v>
      </c>
      <c r="C50" s="4" t="s">
        <v>18</v>
      </c>
      <c r="D50" s="11">
        <v>44321</v>
      </c>
      <c r="E50" s="5" t="s">
        <v>26</v>
      </c>
      <c r="F50" s="4" t="s">
        <v>128</v>
      </c>
      <c r="G50" s="5" t="s">
        <v>129</v>
      </c>
      <c r="H50" s="4" t="s">
        <v>34</v>
      </c>
      <c r="I50" s="4" t="s">
        <v>34</v>
      </c>
      <c r="J50" s="6">
        <v>17071.990000000002</v>
      </c>
      <c r="K50" s="6">
        <v>17071.990000000002</v>
      </c>
      <c r="L50" s="6"/>
      <c r="M50" s="23">
        <v>2335.63</v>
      </c>
      <c r="N50" s="23">
        <v>2335.63</v>
      </c>
      <c r="O50" s="6"/>
      <c r="P50" s="6">
        <v>3094.71</v>
      </c>
      <c r="Q50" s="6">
        <v>18803945.190000001</v>
      </c>
      <c r="R50" s="6">
        <v>18851413.859999999</v>
      </c>
      <c r="S50" s="6"/>
      <c r="T50" s="4"/>
      <c r="U50" s="6"/>
      <c r="V50" s="6"/>
      <c r="W50" s="6"/>
      <c r="X50" s="6"/>
      <c r="Y50" s="5"/>
    </row>
    <row r="51" spans="1:25" s="24" customFormat="1" ht="28.8" x14ac:dyDescent="0.25">
      <c r="A51" s="4">
        <v>2017</v>
      </c>
      <c r="B51" s="4">
        <v>4</v>
      </c>
      <c r="C51" s="4" t="s">
        <v>18</v>
      </c>
      <c r="D51" s="11">
        <v>45792</v>
      </c>
      <c r="E51" s="5" t="s">
        <v>43</v>
      </c>
      <c r="F51" s="4" t="s">
        <v>44</v>
      </c>
      <c r="G51" s="5" t="s">
        <v>45</v>
      </c>
      <c r="H51" s="4" t="s">
        <v>34</v>
      </c>
      <c r="I51" s="4" t="s">
        <v>34</v>
      </c>
      <c r="J51" s="6">
        <v>45716.45</v>
      </c>
      <c r="K51" s="6">
        <v>45716.45</v>
      </c>
      <c r="L51" s="6"/>
      <c r="M51" s="23">
        <v>10393.36</v>
      </c>
      <c r="N51" s="23">
        <v>10393.36</v>
      </c>
      <c r="O51" s="6"/>
      <c r="P51" s="6">
        <v>13771.2</v>
      </c>
      <c r="Q51" s="6">
        <v>83162897.969999999</v>
      </c>
      <c r="R51" s="6">
        <v>83519040.700000003</v>
      </c>
      <c r="S51" s="6"/>
      <c r="T51" s="4"/>
      <c r="U51" s="6"/>
      <c r="V51" s="6"/>
      <c r="W51" s="6"/>
      <c r="X51" s="6"/>
      <c r="Y51" s="5"/>
    </row>
    <row r="52" spans="1:25" s="24" customFormat="1" ht="28.8" x14ac:dyDescent="0.25">
      <c r="A52" s="4">
        <v>2017</v>
      </c>
      <c r="B52" s="4">
        <v>4</v>
      </c>
      <c r="C52" s="4" t="s">
        <v>18</v>
      </c>
      <c r="D52" s="11">
        <v>45808</v>
      </c>
      <c r="E52" s="5" t="s">
        <v>46</v>
      </c>
      <c r="F52" s="4" t="s">
        <v>47</v>
      </c>
      <c r="G52" s="5" t="s">
        <v>48</v>
      </c>
      <c r="H52" s="4" t="s">
        <v>34</v>
      </c>
      <c r="I52" s="4" t="s">
        <v>34</v>
      </c>
      <c r="J52" s="6">
        <v>51853.35</v>
      </c>
      <c r="K52" s="6">
        <v>51853.35</v>
      </c>
      <c r="L52" s="6"/>
      <c r="M52" s="23">
        <v>12780.91</v>
      </c>
      <c r="N52" s="23">
        <v>12780.91</v>
      </c>
      <c r="O52" s="6"/>
      <c r="P52" s="6">
        <v>16934.71</v>
      </c>
      <c r="Q52" s="6">
        <v>46446268.329999998</v>
      </c>
      <c r="R52" s="6">
        <v>47201180.399999999</v>
      </c>
      <c r="S52" s="6"/>
      <c r="T52" s="4"/>
      <c r="U52" s="6"/>
      <c r="V52" s="6"/>
      <c r="W52" s="6"/>
      <c r="X52" s="6"/>
      <c r="Y52" s="5"/>
    </row>
    <row r="53" spans="1:25" s="24" customFormat="1" ht="28.8" x14ac:dyDescent="0.25">
      <c r="A53" s="4">
        <v>2017</v>
      </c>
      <c r="B53" s="4">
        <v>4</v>
      </c>
      <c r="C53" s="4" t="s">
        <v>18</v>
      </c>
      <c r="D53" s="11">
        <v>50544</v>
      </c>
      <c r="E53" s="5" t="s">
        <v>53</v>
      </c>
      <c r="F53" s="4" t="s">
        <v>54</v>
      </c>
      <c r="G53" s="5" t="s">
        <v>55</v>
      </c>
      <c r="H53" s="4" t="s">
        <v>34</v>
      </c>
      <c r="I53" s="4" t="s">
        <v>34</v>
      </c>
      <c r="J53" s="6">
        <v>29653.34</v>
      </c>
      <c r="K53" s="6">
        <v>29653.34</v>
      </c>
      <c r="L53" s="6"/>
      <c r="M53" s="23">
        <v>7713.69</v>
      </c>
      <c r="N53" s="23">
        <v>7713.69</v>
      </c>
      <c r="O53" s="6"/>
      <c r="P53" s="6">
        <v>10220.64</v>
      </c>
      <c r="Q53" s="6">
        <v>81657474.459999993</v>
      </c>
      <c r="R53" s="6">
        <v>81705784</v>
      </c>
      <c r="S53" s="6"/>
      <c r="T53" s="4"/>
      <c r="U53" s="6"/>
      <c r="V53" s="6"/>
      <c r="W53" s="6"/>
      <c r="X53" s="6"/>
      <c r="Y53" s="5"/>
    </row>
    <row r="54" spans="1:25" s="24" customFormat="1" ht="28.8" x14ac:dyDescent="0.25">
      <c r="A54" s="4">
        <v>2017</v>
      </c>
      <c r="B54" s="4">
        <v>5</v>
      </c>
      <c r="C54" s="4" t="s">
        <v>18</v>
      </c>
      <c r="D54" s="11">
        <v>650</v>
      </c>
      <c r="E54" s="5" t="s">
        <v>20</v>
      </c>
      <c r="F54" s="4" t="s">
        <v>21</v>
      </c>
      <c r="G54" s="5" t="s">
        <v>22</v>
      </c>
      <c r="H54" s="4" t="s">
        <v>23</v>
      </c>
      <c r="I54" s="4" t="s">
        <v>23</v>
      </c>
      <c r="J54" s="6">
        <v>129018.08</v>
      </c>
      <c r="K54" s="6">
        <v>101085.74</v>
      </c>
      <c r="L54" s="6">
        <v>27932.34</v>
      </c>
      <c r="M54" s="23">
        <v>22711.51</v>
      </c>
      <c r="N54" s="23">
        <v>17253.080000000002</v>
      </c>
      <c r="O54" s="23">
        <v>5458.43</v>
      </c>
      <c r="P54" s="6">
        <v>28575.41</v>
      </c>
      <c r="Q54" s="6">
        <v>174005518.19999999</v>
      </c>
      <c r="R54" s="6">
        <v>173150674.56999999</v>
      </c>
      <c r="S54" s="6">
        <v>5.5E-2</v>
      </c>
      <c r="T54" s="4" t="s">
        <v>24</v>
      </c>
      <c r="U54" s="6">
        <v>0.05</v>
      </c>
      <c r="V54" s="6">
        <v>0.1</v>
      </c>
      <c r="W54" s="6"/>
      <c r="X54" s="6">
        <v>7232.42</v>
      </c>
      <c r="Y54" s="5"/>
    </row>
    <row r="55" spans="1:25" s="24" customFormat="1" ht="28.8" x14ac:dyDescent="0.25">
      <c r="A55" s="4">
        <v>2017</v>
      </c>
      <c r="B55" s="4">
        <v>5</v>
      </c>
      <c r="C55" s="4" t="s">
        <v>18</v>
      </c>
      <c r="D55" s="11">
        <v>40508</v>
      </c>
      <c r="E55" s="5" t="s">
        <v>119</v>
      </c>
      <c r="F55" s="4" t="s">
        <v>121</v>
      </c>
      <c r="G55" s="5" t="s">
        <v>122</v>
      </c>
      <c r="H55" s="4" t="s">
        <v>34</v>
      </c>
      <c r="I55" s="4" t="s">
        <v>23</v>
      </c>
      <c r="J55" s="6">
        <v>41230.74</v>
      </c>
      <c r="K55" s="6">
        <v>25063.37</v>
      </c>
      <c r="L55" s="6">
        <v>16167.37</v>
      </c>
      <c r="M55" s="23">
        <v>5176.6000000000004</v>
      </c>
      <c r="N55" s="23">
        <v>5176.6000000000004</v>
      </c>
      <c r="O55" s="6"/>
      <c r="P55" s="6">
        <v>6858.99</v>
      </c>
      <c r="Q55" s="6"/>
      <c r="R55" s="6"/>
      <c r="S55" s="6">
        <v>5.5E-2</v>
      </c>
      <c r="T55" s="4" t="s">
        <v>17</v>
      </c>
      <c r="U55" s="6">
        <v>2.75E-2</v>
      </c>
      <c r="V55" s="6">
        <v>0.1</v>
      </c>
      <c r="W55" s="6"/>
      <c r="X55" s="6"/>
      <c r="Y55" s="5"/>
    </row>
    <row r="56" spans="1:25" s="24" customFormat="1" ht="28.8" x14ac:dyDescent="0.25">
      <c r="A56" s="4">
        <v>2017</v>
      </c>
      <c r="B56" s="4">
        <v>5</v>
      </c>
      <c r="C56" s="4" t="s">
        <v>18</v>
      </c>
      <c r="D56" s="11">
        <v>44321</v>
      </c>
      <c r="E56" s="5" t="s">
        <v>26</v>
      </c>
      <c r="F56" s="4" t="s">
        <v>27</v>
      </c>
      <c r="G56" s="5" t="s">
        <v>28</v>
      </c>
      <c r="H56" s="4" t="s">
        <v>23</v>
      </c>
      <c r="I56" s="4" t="s">
        <v>23</v>
      </c>
      <c r="J56" s="6">
        <v>217373.62</v>
      </c>
      <c r="K56" s="6">
        <v>76922.789999999994</v>
      </c>
      <c r="L56" s="6">
        <v>140450.82999999999</v>
      </c>
      <c r="M56" s="23">
        <v>45996.38</v>
      </c>
      <c r="N56" s="23">
        <v>16030.8</v>
      </c>
      <c r="O56" s="23">
        <v>29965.58</v>
      </c>
      <c r="P56" s="6">
        <v>26551.01</v>
      </c>
      <c r="Q56" s="6">
        <v>173713592.13</v>
      </c>
      <c r="R56" s="6">
        <v>172797458.11000001</v>
      </c>
      <c r="S56" s="6">
        <v>5.5E-2</v>
      </c>
      <c r="T56" s="4" t="s">
        <v>17</v>
      </c>
      <c r="U56" s="6">
        <v>2.75E-2</v>
      </c>
      <c r="V56" s="6">
        <v>0.1</v>
      </c>
      <c r="W56" s="6"/>
      <c r="X56" s="6">
        <v>39704.39</v>
      </c>
      <c r="Y56" s="5"/>
    </row>
    <row r="57" spans="1:25" s="24" customFormat="1" ht="43.2" x14ac:dyDescent="0.25">
      <c r="A57" s="4">
        <v>2017</v>
      </c>
      <c r="B57" s="4">
        <v>5</v>
      </c>
      <c r="C57" s="4" t="s">
        <v>18</v>
      </c>
      <c r="D57" s="11">
        <v>45817</v>
      </c>
      <c r="E57" s="5" t="s">
        <v>29</v>
      </c>
      <c r="F57" s="4" t="s">
        <v>30</v>
      </c>
      <c r="G57" s="5" t="s">
        <v>31</v>
      </c>
      <c r="H57" s="4" t="s">
        <v>23</v>
      </c>
      <c r="I57" s="4" t="s">
        <v>23</v>
      </c>
      <c r="J57" s="6">
        <v>317101.46000000002</v>
      </c>
      <c r="K57" s="6">
        <v>93570.4</v>
      </c>
      <c r="L57" s="6">
        <v>223531.06</v>
      </c>
      <c r="M57" s="23">
        <v>64890.41</v>
      </c>
      <c r="N57" s="23">
        <v>19369.82</v>
      </c>
      <c r="O57" s="23">
        <v>45520.59</v>
      </c>
      <c r="P57" s="6">
        <v>32081.27</v>
      </c>
      <c r="Q57" s="6">
        <v>262217718.74000001</v>
      </c>
      <c r="R57" s="6">
        <v>264165853.55000001</v>
      </c>
      <c r="S57" s="6">
        <v>5.5E-2</v>
      </c>
      <c r="T57" s="4" t="s">
        <v>17</v>
      </c>
      <c r="U57" s="6">
        <v>2.75E-2</v>
      </c>
      <c r="V57" s="6">
        <v>0.1</v>
      </c>
      <c r="W57" s="6"/>
      <c r="X57" s="6">
        <v>60314.78</v>
      </c>
      <c r="Y57" s="5"/>
    </row>
    <row r="58" spans="1:25" s="24" customFormat="1" ht="28.8" x14ac:dyDescent="0.25">
      <c r="A58" s="4">
        <v>2017</v>
      </c>
      <c r="B58" s="4">
        <v>5</v>
      </c>
      <c r="C58" s="4" t="s">
        <v>18</v>
      </c>
      <c r="D58" s="11">
        <v>49570</v>
      </c>
      <c r="E58" s="5" t="s">
        <v>123</v>
      </c>
      <c r="F58" s="4" t="s">
        <v>124</v>
      </c>
      <c r="G58" s="5" t="s">
        <v>142</v>
      </c>
      <c r="H58" s="4" t="s">
        <v>23</v>
      </c>
      <c r="I58" s="4" t="s">
        <v>23</v>
      </c>
      <c r="J58" s="6">
        <v>449877.28</v>
      </c>
      <c r="K58" s="6">
        <v>184720.95</v>
      </c>
      <c r="L58" s="6">
        <v>265156.33</v>
      </c>
      <c r="M58" s="23">
        <v>92482.31</v>
      </c>
      <c r="N58" s="23">
        <v>38126.620000000003</v>
      </c>
      <c r="O58" s="23">
        <v>54355.69</v>
      </c>
      <c r="P58" s="6">
        <v>63147.22</v>
      </c>
      <c r="Q58" s="6">
        <v>628450412.65999997</v>
      </c>
      <c r="R58" s="6">
        <v>628648510.57000005</v>
      </c>
      <c r="S58" s="6">
        <v>5.5E-2</v>
      </c>
      <c r="T58" s="4" t="s">
        <v>17</v>
      </c>
      <c r="U58" s="6">
        <v>2.75E-2</v>
      </c>
      <c r="V58" s="6">
        <v>0.1</v>
      </c>
      <c r="W58" s="6"/>
      <c r="X58" s="6">
        <v>72021.289999999994</v>
      </c>
      <c r="Y58" s="5" t="s">
        <v>125</v>
      </c>
    </row>
    <row r="59" spans="1:25" s="24" customFormat="1" ht="28.8" x14ac:dyDescent="0.25">
      <c r="A59" s="4">
        <v>2017</v>
      </c>
      <c r="B59" s="4">
        <v>5</v>
      </c>
      <c r="C59" s="4" t="s">
        <v>18</v>
      </c>
      <c r="D59" s="11">
        <v>650</v>
      </c>
      <c r="E59" s="5" t="s">
        <v>20</v>
      </c>
      <c r="F59" s="4" t="s">
        <v>35</v>
      </c>
      <c r="G59" s="5" t="s">
        <v>36</v>
      </c>
      <c r="H59" s="4" t="s">
        <v>34</v>
      </c>
      <c r="I59" s="4" t="s">
        <v>34</v>
      </c>
      <c r="J59" s="6">
        <v>52312.53</v>
      </c>
      <c r="K59" s="6">
        <v>52312.53</v>
      </c>
      <c r="L59" s="6"/>
      <c r="M59" s="23">
        <v>10792.21</v>
      </c>
      <c r="N59" s="23">
        <v>10792.21</v>
      </c>
      <c r="O59" s="6"/>
      <c r="P59" s="6">
        <v>14299.68</v>
      </c>
      <c r="Q59" s="6">
        <v>84204109.189999998</v>
      </c>
      <c r="R59" s="6">
        <v>84225647.099999994</v>
      </c>
      <c r="S59" s="6"/>
      <c r="T59" s="4"/>
      <c r="U59" s="6"/>
      <c r="V59" s="6"/>
      <c r="W59" s="6"/>
      <c r="X59" s="6"/>
      <c r="Y59" s="5"/>
    </row>
    <row r="60" spans="1:25" s="24" customFormat="1" ht="28.8" x14ac:dyDescent="0.25">
      <c r="A60" s="4">
        <v>2017</v>
      </c>
      <c r="B60" s="4">
        <v>5</v>
      </c>
      <c r="C60" s="4" t="s">
        <v>18</v>
      </c>
      <c r="D60" s="11">
        <v>650</v>
      </c>
      <c r="E60" s="5" t="s">
        <v>20</v>
      </c>
      <c r="F60" s="4" t="s">
        <v>32</v>
      </c>
      <c r="G60" s="5" t="s">
        <v>33</v>
      </c>
      <c r="H60" s="4" t="s">
        <v>34</v>
      </c>
      <c r="I60" s="4" t="s">
        <v>34</v>
      </c>
      <c r="J60" s="6">
        <v>55197.71</v>
      </c>
      <c r="K60" s="6">
        <v>55197.71</v>
      </c>
      <c r="L60" s="6"/>
      <c r="M60" s="23">
        <v>11186.65</v>
      </c>
      <c r="N60" s="23">
        <v>11186.65</v>
      </c>
      <c r="O60" s="6"/>
      <c r="P60" s="6">
        <v>14822.31</v>
      </c>
      <c r="Q60" s="6">
        <v>87320407.930000007</v>
      </c>
      <c r="R60" s="6">
        <v>87276047.269999996</v>
      </c>
      <c r="S60" s="6"/>
      <c r="T60" s="4"/>
      <c r="U60" s="6"/>
      <c r="V60" s="6"/>
      <c r="W60" s="6"/>
      <c r="X60" s="6"/>
      <c r="Y60" s="5"/>
    </row>
    <row r="61" spans="1:25" s="24" customFormat="1" ht="28.8" x14ac:dyDescent="0.25">
      <c r="A61" s="4">
        <v>2017</v>
      </c>
      <c r="B61" s="4">
        <v>5</v>
      </c>
      <c r="C61" s="4" t="s">
        <v>18</v>
      </c>
      <c r="D61" s="11">
        <v>3093</v>
      </c>
      <c r="E61" s="5" t="s">
        <v>37</v>
      </c>
      <c r="F61" s="4" t="s">
        <v>38</v>
      </c>
      <c r="G61" s="5" t="s">
        <v>39</v>
      </c>
      <c r="H61" s="4" t="s">
        <v>34</v>
      </c>
      <c r="I61" s="4" t="s">
        <v>34</v>
      </c>
      <c r="J61" s="6">
        <v>19896.849999999999</v>
      </c>
      <c r="K61" s="6">
        <v>19896.849999999999</v>
      </c>
      <c r="L61" s="6"/>
      <c r="M61" s="23">
        <v>2883.91</v>
      </c>
      <c r="N61" s="23">
        <v>2883.91</v>
      </c>
      <c r="O61" s="6"/>
      <c r="P61" s="6">
        <v>3821.18</v>
      </c>
      <c r="Q61" s="6">
        <v>9402020.3699999992</v>
      </c>
      <c r="R61" s="6">
        <v>9376427.3599999994</v>
      </c>
      <c r="S61" s="6"/>
      <c r="T61" s="4"/>
      <c r="U61" s="6"/>
      <c r="V61" s="6"/>
      <c r="W61" s="6"/>
      <c r="X61" s="6"/>
      <c r="Y61" s="5"/>
    </row>
    <row r="62" spans="1:25" s="24" customFormat="1" ht="28.8" x14ac:dyDescent="0.25">
      <c r="A62" s="4">
        <v>2017</v>
      </c>
      <c r="B62" s="4">
        <v>5</v>
      </c>
      <c r="C62" s="4" t="s">
        <v>18</v>
      </c>
      <c r="D62" s="11">
        <v>43139</v>
      </c>
      <c r="E62" s="5" t="s">
        <v>120</v>
      </c>
      <c r="F62" s="4" t="s">
        <v>126</v>
      </c>
      <c r="G62" s="5" t="s">
        <v>127</v>
      </c>
      <c r="H62" s="4" t="s">
        <v>34</v>
      </c>
      <c r="I62" s="4" t="s">
        <v>34</v>
      </c>
      <c r="J62" s="6">
        <v>1780.23</v>
      </c>
      <c r="K62" s="6">
        <v>1780.23</v>
      </c>
      <c r="L62" s="6"/>
      <c r="M62" s="23">
        <v>362.24</v>
      </c>
      <c r="N62" s="23">
        <v>362.24</v>
      </c>
      <c r="O62" s="6"/>
      <c r="P62" s="6">
        <v>479.97</v>
      </c>
      <c r="Q62" s="6">
        <v>1884077.44</v>
      </c>
      <c r="R62" s="6">
        <v>1883855.05</v>
      </c>
      <c r="S62" s="6"/>
      <c r="T62" s="4"/>
      <c r="U62" s="6"/>
      <c r="V62" s="6"/>
      <c r="W62" s="6"/>
      <c r="X62" s="6"/>
      <c r="Y62" s="5"/>
    </row>
    <row r="63" spans="1:25" s="24" customFormat="1" ht="28.8" x14ac:dyDescent="0.25">
      <c r="A63" s="4">
        <v>2017</v>
      </c>
      <c r="B63" s="4">
        <v>5</v>
      </c>
      <c r="C63" s="4" t="s">
        <v>18</v>
      </c>
      <c r="D63" s="11">
        <v>44321</v>
      </c>
      <c r="E63" s="5" t="s">
        <v>26</v>
      </c>
      <c r="F63" s="4" t="s">
        <v>128</v>
      </c>
      <c r="G63" s="5" t="s">
        <v>129</v>
      </c>
      <c r="H63" s="4" t="s">
        <v>34</v>
      </c>
      <c r="I63" s="4" t="s">
        <v>34</v>
      </c>
      <c r="J63" s="6">
        <v>19492.38</v>
      </c>
      <c r="K63" s="6">
        <v>19492.38</v>
      </c>
      <c r="L63" s="6"/>
      <c r="M63" s="23">
        <v>2420.39</v>
      </c>
      <c r="N63" s="23">
        <v>2420.39</v>
      </c>
      <c r="O63" s="6"/>
      <c r="P63" s="6">
        <v>3207.02</v>
      </c>
      <c r="Q63" s="6">
        <v>18851413.859999999</v>
      </c>
      <c r="R63" s="6">
        <v>18900459.530000001</v>
      </c>
      <c r="S63" s="6"/>
      <c r="T63" s="4"/>
      <c r="U63" s="6"/>
      <c r="V63" s="6"/>
      <c r="W63" s="6"/>
      <c r="X63" s="6"/>
      <c r="Y63" s="5"/>
    </row>
    <row r="64" spans="1:25" s="24" customFormat="1" ht="28.8" x14ac:dyDescent="0.25">
      <c r="A64" s="4">
        <v>2017</v>
      </c>
      <c r="B64" s="4">
        <v>5</v>
      </c>
      <c r="C64" s="4" t="s">
        <v>18</v>
      </c>
      <c r="D64" s="11">
        <v>45792</v>
      </c>
      <c r="E64" s="5" t="s">
        <v>43</v>
      </c>
      <c r="F64" s="4" t="s">
        <v>44</v>
      </c>
      <c r="G64" s="5" t="s">
        <v>45</v>
      </c>
      <c r="H64" s="4" t="s">
        <v>34</v>
      </c>
      <c r="I64" s="4" t="s">
        <v>34</v>
      </c>
      <c r="J64" s="6">
        <v>54091.73</v>
      </c>
      <c r="K64" s="6">
        <v>54091.73</v>
      </c>
      <c r="L64" s="6"/>
      <c r="M64" s="23">
        <v>8375.2800000000007</v>
      </c>
      <c r="N64" s="23">
        <v>8375.2800000000007</v>
      </c>
      <c r="O64" s="6"/>
      <c r="P64" s="6">
        <v>11097.25</v>
      </c>
      <c r="Q64" s="6">
        <v>83519040.700000003</v>
      </c>
      <c r="R64" s="6">
        <v>83970368.019999996</v>
      </c>
      <c r="S64" s="6"/>
      <c r="T64" s="4"/>
      <c r="U64" s="6"/>
      <c r="V64" s="6"/>
      <c r="W64" s="6"/>
      <c r="X64" s="6"/>
      <c r="Y64" s="5"/>
    </row>
    <row r="65" spans="1:25" s="24" customFormat="1" ht="28.8" x14ac:dyDescent="0.25">
      <c r="A65" s="4">
        <v>2017</v>
      </c>
      <c r="B65" s="4">
        <v>5</v>
      </c>
      <c r="C65" s="4" t="s">
        <v>18</v>
      </c>
      <c r="D65" s="11">
        <v>45808</v>
      </c>
      <c r="E65" s="5" t="s">
        <v>46</v>
      </c>
      <c r="F65" s="4" t="s">
        <v>47</v>
      </c>
      <c r="G65" s="5" t="s">
        <v>48</v>
      </c>
      <c r="H65" s="4" t="s">
        <v>34</v>
      </c>
      <c r="I65" s="4" t="s">
        <v>34</v>
      </c>
      <c r="J65" s="6">
        <v>64726.89</v>
      </c>
      <c r="K65" s="6">
        <v>64726.89</v>
      </c>
      <c r="L65" s="6"/>
      <c r="M65" s="23">
        <v>12873.54</v>
      </c>
      <c r="N65" s="23">
        <v>12873.54</v>
      </c>
      <c r="O65" s="6"/>
      <c r="P65" s="6">
        <v>17057.439999999999</v>
      </c>
      <c r="Q65" s="6">
        <v>47201180.399999999</v>
      </c>
      <c r="R65" s="6">
        <v>47646201.270000003</v>
      </c>
      <c r="S65" s="6"/>
      <c r="T65" s="4"/>
      <c r="U65" s="6"/>
      <c r="V65" s="6"/>
      <c r="W65" s="6"/>
      <c r="X65" s="6"/>
      <c r="Y65" s="5"/>
    </row>
    <row r="66" spans="1:25" s="24" customFormat="1" ht="28.8" x14ac:dyDescent="0.25">
      <c r="A66" s="4">
        <v>2017</v>
      </c>
      <c r="B66" s="4">
        <v>5</v>
      </c>
      <c r="C66" s="4" t="s">
        <v>18</v>
      </c>
      <c r="D66" s="11">
        <v>50544</v>
      </c>
      <c r="E66" s="5" t="s">
        <v>53</v>
      </c>
      <c r="F66" s="4" t="s">
        <v>54</v>
      </c>
      <c r="G66" s="5" t="s">
        <v>55</v>
      </c>
      <c r="H66" s="4" t="s">
        <v>34</v>
      </c>
      <c r="I66" s="4" t="s">
        <v>34</v>
      </c>
      <c r="J66" s="6">
        <v>37582.35</v>
      </c>
      <c r="K66" s="6">
        <v>37582.35</v>
      </c>
      <c r="L66" s="6"/>
      <c r="M66" s="23">
        <v>7929</v>
      </c>
      <c r="N66" s="23">
        <v>7929</v>
      </c>
      <c r="O66" s="6"/>
      <c r="P66" s="6">
        <v>10505.93</v>
      </c>
      <c r="Q66" s="6">
        <v>81705784</v>
      </c>
      <c r="R66" s="6">
        <v>81620139.459999993</v>
      </c>
      <c r="S66" s="6"/>
      <c r="T66" s="4"/>
      <c r="U66" s="6"/>
      <c r="V66" s="6"/>
      <c r="W66" s="6"/>
      <c r="X66" s="6"/>
      <c r="Y66" s="5"/>
    </row>
    <row r="67" spans="1:25" ht="28.8" x14ac:dyDescent="0.25">
      <c r="A67" s="4">
        <v>2017</v>
      </c>
      <c r="B67" s="4">
        <v>6</v>
      </c>
      <c r="C67" s="36" t="s">
        <v>18</v>
      </c>
      <c r="D67" s="115">
        <v>650</v>
      </c>
      <c r="E67" s="37" t="s">
        <v>20</v>
      </c>
      <c r="F67" s="36" t="s">
        <v>21</v>
      </c>
      <c r="G67" s="37" t="s">
        <v>22</v>
      </c>
      <c r="H67" s="36" t="s">
        <v>23</v>
      </c>
      <c r="I67" s="36" t="s">
        <v>23</v>
      </c>
      <c r="J67" s="38">
        <v>150011.13</v>
      </c>
      <c r="K67" s="38">
        <v>116694.39999999999</v>
      </c>
      <c r="L67" s="38">
        <v>33316.730000000003</v>
      </c>
      <c r="M67" s="39">
        <v>20993.05</v>
      </c>
      <c r="N67" s="39">
        <v>15608.66</v>
      </c>
      <c r="O67" s="39">
        <v>5384.39</v>
      </c>
      <c r="P67" s="38">
        <v>25851.84</v>
      </c>
      <c r="Q67" s="38">
        <v>173276329.06999999</v>
      </c>
      <c r="R67" s="38">
        <v>169170652.36000001</v>
      </c>
      <c r="S67" s="38">
        <v>5.5E-2</v>
      </c>
      <c r="T67" s="36" t="s">
        <v>24</v>
      </c>
      <c r="U67" s="38">
        <v>0.05</v>
      </c>
      <c r="V67" s="38">
        <v>0.1</v>
      </c>
      <c r="W67" s="38"/>
      <c r="X67" s="38">
        <v>7134.31</v>
      </c>
      <c r="Y67" s="37"/>
    </row>
    <row r="68" spans="1:25" ht="28.8" x14ac:dyDescent="0.25">
      <c r="A68" s="4">
        <v>2017</v>
      </c>
      <c r="B68" s="4">
        <v>6</v>
      </c>
      <c r="C68" s="36" t="s">
        <v>18</v>
      </c>
      <c r="D68" s="115">
        <v>40508</v>
      </c>
      <c r="E68" s="37" t="s">
        <v>119</v>
      </c>
      <c r="F68" s="36" t="s">
        <v>121</v>
      </c>
      <c r="G68" s="37" t="s">
        <v>122</v>
      </c>
      <c r="H68" s="36" t="s">
        <v>34</v>
      </c>
      <c r="I68" s="36" t="s">
        <v>23</v>
      </c>
      <c r="J68" s="38">
        <v>46932.08</v>
      </c>
      <c r="K68" s="38">
        <v>30764.71</v>
      </c>
      <c r="L68" s="38">
        <v>16167.37</v>
      </c>
      <c r="M68" s="39">
        <v>5701.34</v>
      </c>
      <c r="N68" s="39">
        <v>5701.34</v>
      </c>
      <c r="O68" s="38"/>
      <c r="P68" s="38">
        <v>7554.27</v>
      </c>
      <c r="Q68" s="38"/>
      <c r="R68" s="38"/>
      <c r="S68" s="38">
        <v>5.5E-2</v>
      </c>
      <c r="T68" s="36" t="s">
        <v>17</v>
      </c>
      <c r="U68" s="38">
        <v>2.75E-2</v>
      </c>
      <c r="V68" s="38">
        <v>0.1</v>
      </c>
      <c r="W68" s="38"/>
      <c r="X68" s="38"/>
      <c r="Y68" s="37"/>
    </row>
    <row r="69" spans="1:25" ht="28.8" x14ac:dyDescent="0.25">
      <c r="A69" s="4">
        <v>2017</v>
      </c>
      <c r="B69" s="4">
        <v>6</v>
      </c>
      <c r="C69" s="36" t="s">
        <v>18</v>
      </c>
      <c r="D69" s="115">
        <v>44321</v>
      </c>
      <c r="E69" s="37" t="s">
        <v>26</v>
      </c>
      <c r="F69" s="36" t="s">
        <v>27</v>
      </c>
      <c r="G69" s="37" t="s">
        <v>28</v>
      </c>
      <c r="H69" s="36" t="s">
        <v>23</v>
      </c>
      <c r="I69" s="36" t="s">
        <v>23</v>
      </c>
      <c r="J69" s="38">
        <v>262918.88</v>
      </c>
      <c r="K69" s="38">
        <v>92445.63</v>
      </c>
      <c r="L69" s="38">
        <v>170473.25</v>
      </c>
      <c r="M69" s="39">
        <v>45545.26</v>
      </c>
      <c r="N69" s="39">
        <v>15522.84</v>
      </c>
      <c r="O69" s="39">
        <v>30022.42</v>
      </c>
      <c r="P69" s="38">
        <v>25709.7</v>
      </c>
      <c r="Q69" s="38">
        <v>173021730.83000001</v>
      </c>
      <c r="R69" s="38">
        <v>174146652.40000001</v>
      </c>
      <c r="S69" s="38">
        <v>5.5E-2</v>
      </c>
      <c r="T69" s="36" t="s">
        <v>17</v>
      </c>
      <c r="U69" s="38">
        <v>2.75E-2</v>
      </c>
      <c r="V69" s="38">
        <v>0.1</v>
      </c>
      <c r="W69" s="38"/>
      <c r="X69" s="38">
        <v>39779.71</v>
      </c>
      <c r="Y69" s="37"/>
    </row>
    <row r="70" spans="1:25" ht="43.2" x14ac:dyDescent="0.25">
      <c r="A70" s="4">
        <v>2017</v>
      </c>
      <c r="B70" s="4">
        <v>6</v>
      </c>
      <c r="C70" s="36" t="s">
        <v>18</v>
      </c>
      <c r="D70" s="115">
        <v>45817</v>
      </c>
      <c r="E70" s="37" t="s">
        <v>29</v>
      </c>
      <c r="F70" s="36" t="s">
        <v>30</v>
      </c>
      <c r="G70" s="37" t="s">
        <v>31</v>
      </c>
      <c r="H70" s="36" t="s">
        <v>23</v>
      </c>
      <c r="I70" s="36" t="s">
        <v>23</v>
      </c>
      <c r="J70" s="38">
        <v>379193.17</v>
      </c>
      <c r="K70" s="38">
        <v>111834.41</v>
      </c>
      <c r="L70" s="38">
        <v>267358.76</v>
      </c>
      <c r="M70" s="39">
        <v>62091.71</v>
      </c>
      <c r="N70" s="39">
        <v>18264.009999999998</v>
      </c>
      <c r="O70" s="39">
        <v>43827.7</v>
      </c>
      <c r="P70" s="38">
        <v>30249.77</v>
      </c>
      <c r="Q70" s="38">
        <v>265694796.5</v>
      </c>
      <c r="R70" s="38">
        <v>241112795.38999999</v>
      </c>
      <c r="S70" s="38">
        <v>5.5E-2</v>
      </c>
      <c r="T70" s="36" t="s">
        <v>17</v>
      </c>
      <c r="U70" s="38">
        <v>2.75E-2</v>
      </c>
      <c r="V70" s="38">
        <v>0.1</v>
      </c>
      <c r="W70" s="38"/>
      <c r="X70" s="38">
        <v>58071.7</v>
      </c>
      <c r="Y70" s="37"/>
    </row>
    <row r="71" spans="1:25" ht="28.8" x14ac:dyDescent="0.25">
      <c r="A71" s="4">
        <v>2017</v>
      </c>
      <c r="B71" s="4">
        <v>6</v>
      </c>
      <c r="C71" s="36" t="s">
        <v>18</v>
      </c>
      <c r="D71" s="115">
        <v>49570</v>
      </c>
      <c r="E71" s="37" t="s">
        <v>123</v>
      </c>
      <c r="F71" s="36" t="s">
        <v>124</v>
      </c>
      <c r="G71" s="37" t="s">
        <v>144</v>
      </c>
      <c r="H71" s="36" t="s">
        <v>23</v>
      </c>
      <c r="I71" s="36" t="s">
        <v>23</v>
      </c>
      <c r="J71" s="38">
        <v>541056.9</v>
      </c>
      <c r="K71" s="38">
        <v>221309.68</v>
      </c>
      <c r="L71" s="38">
        <v>319747.21999999997</v>
      </c>
      <c r="M71" s="39">
        <v>91179.62</v>
      </c>
      <c r="N71" s="39">
        <v>36588.730000000003</v>
      </c>
      <c r="O71" s="39">
        <v>54590.89</v>
      </c>
      <c r="P71" s="38">
        <v>60600.08</v>
      </c>
      <c r="Q71" s="38">
        <v>628847082.91999996</v>
      </c>
      <c r="R71" s="38">
        <v>633691385.36000001</v>
      </c>
      <c r="S71" s="38">
        <v>5.5E-2</v>
      </c>
      <c r="T71" s="36" t="s">
        <v>17</v>
      </c>
      <c r="U71" s="38">
        <v>2.75E-2</v>
      </c>
      <c r="V71" s="38">
        <v>0.1</v>
      </c>
      <c r="W71" s="38"/>
      <c r="X71" s="38">
        <v>72332.929999999993</v>
      </c>
      <c r="Y71" s="37" t="s">
        <v>125</v>
      </c>
    </row>
    <row r="72" spans="1:25" ht="28.8" x14ac:dyDescent="0.25">
      <c r="A72" s="4">
        <v>2017</v>
      </c>
      <c r="B72" s="4">
        <v>6</v>
      </c>
      <c r="C72" s="36" t="s">
        <v>18</v>
      </c>
      <c r="D72" s="115">
        <v>650</v>
      </c>
      <c r="E72" s="37" t="s">
        <v>20</v>
      </c>
      <c r="F72" s="36" t="s">
        <v>35</v>
      </c>
      <c r="G72" s="37" t="s">
        <v>36</v>
      </c>
      <c r="H72" s="36" t="s">
        <v>34</v>
      </c>
      <c r="I72" s="36" t="s">
        <v>34</v>
      </c>
      <c r="J72" s="38">
        <v>62707.77</v>
      </c>
      <c r="K72" s="38">
        <v>62707.77</v>
      </c>
      <c r="L72" s="38"/>
      <c r="M72" s="39">
        <v>10395.24</v>
      </c>
      <c r="N72" s="39">
        <v>10395.24</v>
      </c>
      <c r="O72" s="38"/>
      <c r="P72" s="38">
        <v>13773.69</v>
      </c>
      <c r="Q72" s="38">
        <v>84292744.370000005</v>
      </c>
      <c r="R72" s="38">
        <v>85043237.989999995</v>
      </c>
      <c r="S72" s="38"/>
      <c r="T72" s="36"/>
      <c r="U72" s="38"/>
      <c r="V72" s="38"/>
      <c r="W72" s="38"/>
      <c r="X72" s="38"/>
      <c r="Y72" s="37"/>
    </row>
    <row r="73" spans="1:25" ht="28.8" x14ac:dyDescent="0.25">
      <c r="A73" s="4">
        <v>2017</v>
      </c>
      <c r="B73" s="4">
        <v>6</v>
      </c>
      <c r="C73" s="36" t="s">
        <v>18</v>
      </c>
      <c r="D73" s="115">
        <v>650</v>
      </c>
      <c r="E73" s="37" t="s">
        <v>20</v>
      </c>
      <c r="F73" s="36" t="s">
        <v>32</v>
      </c>
      <c r="G73" s="37" t="s">
        <v>33</v>
      </c>
      <c r="H73" s="36" t="s">
        <v>34</v>
      </c>
      <c r="I73" s="36" t="s">
        <v>34</v>
      </c>
      <c r="J73" s="38">
        <v>65721.149999999994</v>
      </c>
      <c r="K73" s="38">
        <v>65721.149999999994</v>
      </c>
      <c r="L73" s="38"/>
      <c r="M73" s="39">
        <v>10523.44</v>
      </c>
      <c r="N73" s="39">
        <v>10523.44</v>
      </c>
      <c r="O73" s="38"/>
      <c r="P73" s="38">
        <v>13943.56</v>
      </c>
      <c r="Q73" s="38">
        <v>87329943.950000003</v>
      </c>
      <c r="R73" s="38">
        <v>84786699.079999998</v>
      </c>
      <c r="S73" s="38"/>
      <c r="T73" s="36"/>
      <c r="U73" s="38"/>
      <c r="V73" s="38"/>
      <c r="W73" s="38"/>
      <c r="X73" s="38"/>
      <c r="Y73" s="37"/>
    </row>
    <row r="74" spans="1:25" ht="28.8" x14ac:dyDescent="0.25">
      <c r="A74" s="4">
        <v>2017</v>
      </c>
      <c r="B74" s="4">
        <v>6</v>
      </c>
      <c r="C74" s="36" t="s">
        <v>18</v>
      </c>
      <c r="D74" s="115">
        <v>3093</v>
      </c>
      <c r="E74" s="37" t="s">
        <v>37</v>
      </c>
      <c r="F74" s="36" t="s">
        <v>38</v>
      </c>
      <c r="G74" s="37" t="s">
        <v>39</v>
      </c>
      <c r="H74" s="36" t="s">
        <v>34</v>
      </c>
      <c r="I74" s="36" t="s">
        <v>34</v>
      </c>
      <c r="J74" s="38">
        <v>22112.65</v>
      </c>
      <c r="K74" s="38">
        <v>22112.65</v>
      </c>
      <c r="L74" s="38"/>
      <c r="M74" s="39">
        <v>2215.8000000000002</v>
      </c>
      <c r="N74" s="39">
        <v>2215.8000000000002</v>
      </c>
      <c r="O74" s="38"/>
      <c r="P74" s="38">
        <v>2935.93</v>
      </c>
      <c r="Q74" s="38">
        <v>9376294.1999999993</v>
      </c>
      <c r="R74" s="38">
        <v>9412183.7100000009</v>
      </c>
      <c r="S74" s="38"/>
      <c r="T74" s="36"/>
      <c r="U74" s="38"/>
      <c r="V74" s="38"/>
      <c r="W74" s="38"/>
      <c r="X74" s="38"/>
      <c r="Y74" s="37"/>
    </row>
    <row r="75" spans="1:25" ht="28.8" x14ac:dyDescent="0.25">
      <c r="A75" s="4">
        <v>2017</v>
      </c>
      <c r="B75" s="4">
        <v>6</v>
      </c>
      <c r="C75" s="36" t="s">
        <v>18</v>
      </c>
      <c r="D75" s="115">
        <v>43139</v>
      </c>
      <c r="E75" s="37" t="s">
        <v>120</v>
      </c>
      <c r="F75" s="36" t="s">
        <v>126</v>
      </c>
      <c r="G75" s="37" t="s">
        <v>127</v>
      </c>
      <c r="H75" s="36" t="s">
        <v>34</v>
      </c>
      <c r="I75" s="36" t="s">
        <v>34</v>
      </c>
      <c r="J75" s="38">
        <v>2130.7199999999998</v>
      </c>
      <c r="K75" s="38">
        <v>2130.7199999999998</v>
      </c>
      <c r="L75" s="38"/>
      <c r="M75" s="39">
        <v>350.49</v>
      </c>
      <c r="N75" s="39">
        <v>350.49</v>
      </c>
      <c r="O75" s="38"/>
      <c r="P75" s="38">
        <v>464.4</v>
      </c>
      <c r="Q75" s="38">
        <v>1883812.3</v>
      </c>
      <c r="R75" s="38">
        <v>1883555.22</v>
      </c>
      <c r="S75" s="38"/>
      <c r="T75" s="36"/>
      <c r="U75" s="38"/>
      <c r="V75" s="38"/>
      <c r="W75" s="38"/>
      <c r="X75" s="38"/>
      <c r="Y75" s="37"/>
    </row>
    <row r="76" spans="1:25" ht="28.8" x14ac:dyDescent="0.25">
      <c r="A76" s="4">
        <v>2017</v>
      </c>
      <c r="B76" s="4">
        <v>6</v>
      </c>
      <c r="C76" s="36" t="s">
        <v>18</v>
      </c>
      <c r="D76" s="115">
        <v>44321</v>
      </c>
      <c r="E76" s="37" t="s">
        <v>26</v>
      </c>
      <c r="F76" s="36" t="s">
        <v>128</v>
      </c>
      <c r="G76" s="37" t="s">
        <v>129</v>
      </c>
      <c r="H76" s="36" t="s">
        <v>34</v>
      </c>
      <c r="I76" s="36" t="s">
        <v>34</v>
      </c>
      <c r="J76" s="38">
        <v>21841.54</v>
      </c>
      <c r="K76" s="38">
        <v>21841.54</v>
      </c>
      <c r="L76" s="38"/>
      <c r="M76" s="39">
        <v>2349.15</v>
      </c>
      <c r="N76" s="39">
        <v>2349.15</v>
      </c>
      <c r="O76" s="38"/>
      <c r="P76" s="38">
        <v>3112.63</v>
      </c>
      <c r="Q76" s="38">
        <v>18905899.539999999</v>
      </c>
      <c r="R76" s="38">
        <v>18963384.219999999</v>
      </c>
      <c r="S76" s="38"/>
      <c r="T76" s="36"/>
      <c r="U76" s="38"/>
      <c r="V76" s="38"/>
      <c r="W76" s="38"/>
      <c r="X76" s="38"/>
      <c r="Y76" s="37"/>
    </row>
    <row r="77" spans="1:25" ht="28.8" x14ac:dyDescent="0.25">
      <c r="A77" s="4">
        <v>2017</v>
      </c>
      <c r="B77" s="4">
        <v>6</v>
      </c>
      <c r="C77" s="36" t="s">
        <v>18</v>
      </c>
      <c r="D77" s="115">
        <v>45792</v>
      </c>
      <c r="E77" s="37" t="s">
        <v>43</v>
      </c>
      <c r="F77" s="36" t="s">
        <v>44</v>
      </c>
      <c r="G77" s="37" t="s">
        <v>45</v>
      </c>
      <c r="H77" s="36" t="s">
        <v>34</v>
      </c>
      <c r="I77" s="36" t="s">
        <v>34</v>
      </c>
      <c r="J77" s="38">
        <v>61520.52</v>
      </c>
      <c r="K77" s="38">
        <v>61520.52</v>
      </c>
      <c r="L77" s="38"/>
      <c r="M77" s="39">
        <v>7428.79</v>
      </c>
      <c r="N77" s="39">
        <v>7428.79</v>
      </c>
      <c r="O77" s="38"/>
      <c r="P77" s="38">
        <v>9843.15</v>
      </c>
      <c r="Q77" s="38">
        <v>83985495.959999993</v>
      </c>
      <c r="R77" s="38">
        <v>85390235.560000002</v>
      </c>
      <c r="S77" s="38"/>
      <c r="T77" s="36"/>
      <c r="U77" s="38"/>
      <c r="V77" s="38"/>
      <c r="W77" s="38"/>
      <c r="X77" s="38"/>
      <c r="Y77" s="37"/>
    </row>
    <row r="78" spans="1:25" ht="28.8" x14ac:dyDescent="0.25">
      <c r="A78" s="4">
        <v>2017</v>
      </c>
      <c r="B78" s="4">
        <v>6</v>
      </c>
      <c r="C78" s="36" t="s">
        <v>18</v>
      </c>
      <c r="D78" s="115">
        <v>45808</v>
      </c>
      <c r="E78" s="37" t="s">
        <v>46</v>
      </c>
      <c r="F78" s="36" t="s">
        <v>47</v>
      </c>
      <c r="G78" s="37" t="s">
        <v>48</v>
      </c>
      <c r="H78" s="36" t="s">
        <v>34</v>
      </c>
      <c r="I78" s="36" t="s">
        <v>34</v>
      </c>
      <c r="J78" s="38">
        <v>77367.839999999997</v>
      </c>
      <c r="K78" s="38">
        <v>77367.839999999997</v>
      </c>
      <c r="L78" s="38"/>
      <c r="M78" s="39">
        <v>12640.95</v>
      </c>
      <c r="N78" s="39">
        <v>12640.95</v>
      </c>
      <c r="O78" s="38"/>
      <c r="P78" s="38">
        <v>16749.259999999998</v>
      </c>
      <c r="Q78" s="38">
        <v>47650089.990000002</v>
      </c>
      <c r="R78" s="38">
        <v>48149682.159999996</v>
      </c>
      <c r="S78" s="38"/>
      <c r="T78" s="36"/>
      <c r="U78" s="38"/>
      <c r="V78" s="38"/>
      <c r="W78" s="38"/>
      <c r="X78" s="38"/>
      <c r="Y78" s="37"/>
    </row>
    <row r="79" spans="1:25" ht="28.8" x14ac:dyDescent="0.25">
      <c r="A79" s="4">
        <v>2017</v>
      </c>
      <c r="B79" s="4">
        <v>6</v>
      </c>
      <c r="C79" s="36" t="s">
        <v>18</v>
      </c>
      <c r="D79" s="115">
        <v>50544</v>
      </c>
      <c r="E79" s="37" t="s">
        <v>53</v>
      </c>
      <c r="F79" s="36" t="s">
        <v>54</v>
      </c>
      <c r="G79" s="37" t="s">
        <v>55</v>
      </c>
      <c r="H79" s="36" t="s">
        <v>34</v>
      </c>
      <c r="I79" s="36" t="s">
        <v>34</v>
      </c>
      <c r="J79" s="38">
        <v>45346.17</v>
      </c>
      <c r="K79" s="38">
        <v>45346.17</v>
      </c>
      <c r="L79" s="38"/>
      <c r="M79" s="39">
        <v>7763.83</v>
      </c>
      <c r="N79" s="39">
        <v>7763.83</v>
      </c>
      <c r="O79" s="38"/>
      <c r="P79" s="38">
        <v>10287.07</v>
      </c>
      <c r="Q79" s="38">
        <v>81613670.219999999</v>
      </c>
      <c r="R79" s="38">
        <v>82372422.560000002</v>
      </c>
      <c r="S79" s="38"/>
      <c r="T79" s="36"/>
      <c r="U79" s="38"/>
      <c r="V79" s="38"/>
      <c r="W79" s="38"/>
      <c r="X79" s="38"/>
      <c r="Y79" s="37"/>
    </row>
    <row r="80" spans="1:25" ht="28.8" x14ac:dyDescent="0.25">
      <c r="A80" s="4">
        <v>2017</v>
      </c>
      <c r="B80" s="4">
        <v>7</v>
      </c>
      <c r="C80" s="4" t="s">
        <v>18</v>
      </c>
      <c r="D80" s="11">
        <v>650</v>
      </c>
      <c r="E80" s="5" t="s">
        <v>20</v>
      </c>
      <c r="F80" s="4" t="s">
        <v>21</v>
      </c>
      <c r="G80" s="5" t="s">
        <v>22</v>
      </c>
      <c r="H80" s="4" t="s">
        <v>23</v>
      </c>
      <c r="I80" s="4" t="s">
        <v>23</v>
      </c>
      <c r="J80" s="6">
        <v>171124.6</v>
      </c>
      <c r="K80" s="6">
        <v>132518.32</v>
      </c>
      <c r="L80" s="6">
        <v>38606.28</v>
      </c>
      <c r="M80" s="23">
        <v>21113.47</v>
      </c>
      <c r="N80" s="23">
        <v>15823.92</v>
      </c>
      <c r="O80" s="23">
        <v>5289.55</v>
      </c>
      <c r="P80" s="6">
        <v>26208.37</v>
      </c>
      <c r="Q80" s="6">
        <v>169247596.00999999</v>
      </c>
      <c r="R80" s="6">
        <v>167167695.72999999</v>
      </c>
      <c r="S80" s="6">
        <v>5.5E-2</v>
      </c>
      <c r="T80" s="4" t="s">
        <v>24</v>
      </c>
      <c r="U80" s="6">
        <v>0.05</v>
      </c>
      <c r="V80" s="6">
        <v>0.1</v>
      </c>
      <c r="W80" s="6"/>
      <c r="X80" s="6">
        <v>7008.65</v>
      </c>
      <c r="Y80" s="5"/>
    </row>
    <row r="81" spans="1:25" ht="28.8" x14ac:dyDescent="0.25">
      <c r="A81" s="4">
        <v>2017</v>
      </c>
      <c r="B81" s="4">
        <v>7</v>
      </c>
      <c r="C81" s="4" t="s">
        <v>18</v>
      </c>
      <c r="D81" s="11">
        <v>40508</v>
      </c>
      <c r="E81" s="5" t="s">
        <v>119</v>
      </c>
      <c r="F81" s="4" t="s">
        <v>121</v>
      </c>
      <c r="G81" s="5" t="s">
        <v>122</v>
      </c>
      <c r="H81" s="4" t="s">
        <v>34</v>
      </c>
      <c r="I81" s="4" t="s">
        <v>23</v>
      </c>
      <c r="J81" s="6">
        <v>52380.31</v>
      </c>
      <c r="K81" s="6">
        <v>36212.94</v>
      </c>
      <c r="L81" s="6">
        <v>16167.37</v>
      </c>
      <c r="M81" s="23">
        <v>5448.23</v>
      </c>
      <c r="N81" s="23">
        <v>5448.23</v>
      </c>
      <c r="O81" s="6"/>
      <c r="P81" s="6">
        <v>7218.91</v>
      </c>
      <c r="Q81" s="6"/>
      <c r="R81" s="6"/>
      <c r="S81" s="6">
        <v>5.5E-2</v>
      </c>
      <c r="T81" s="4" t="s">
        <v>17</v>
      </c>
      <c r="U81" s="6">
        <v>2.75E-2</v>
      </c>
      <c r="V81" s="6">
        <v>0.1</v>
      </c>
      <c r="W81" s="6"/>
      <c r="X81" s="6"/>
      <c r="Y81" s="5"/>
    </row>
    <row r="82" spans="1:25" ht="28.8" x14ac:dyDescent="0.25">
      <c r="A82" s="4">
        <v>2017</v>
      </c>
      <c r="B82" s="4">
        <v>7</v>
      </c>
      <c r="C82" s="4" t="s">
        <v>18</v>
      </c>
      <c r="D82" s="11">
        <v>44321</v>
      </c>
      <c r="E82" s="5" t="s">
        <v>26</v>
      </c>
      <c r="F82" s="4" t="s">
        <v>27</v>
      </c>
      <c r="G82" s="5" t="s">
        <v>28</v>
      </c>
      <c r="H82" s="4" t="s">
        <v>23</v>
      </c>
      <c r="I82" s="4" t="s">
        <v>23</v>
      </c>
      <c r="J82" s="6">
        <v>308505.77</v>
      </c>
      <c r="K82" s="6">
        <v>107883.93</v>
      </c>
      <c r="L82" s="6">
        <v>200621.84</v>
      </c>
      <c r="M82" s="23">
        <v>45586.879999999997</v>
      </c>
      <c r="N82" s="23">
        <v>15438.3</v>
      </c>
      <c r="O82" s="23">
        <v>30148.58</v>
      </c>
      <c r="P82" s="6">
        <v>25569.69</v>
      </c>
      <c r="Q82" s="6">
        <v>174171792.05000001</v>
      </c>
      <c r="R82" s="6">
        <v>174455460.75</v>
      </c>
      <c r="S82" s="6">
        <v>5.5E-2</v>
      </c>
      <c r="T82" s="4" t="s">
        <v>17</v>
      </c>
      <c r="U82" s="6">
        <v>2.75E-2</v>
      </c>
      <c r="V82" s="6">
        <v>0.1</v>
      </c>
      <c r="W82" s="6"/>
      <c r="X82" s="6">
        <v>39946.870000000003</v>
      </c>
      <c r="Y82" s="5"/>
    </row>
    <row r="83" spans="1:25" ht="43.2" x14ac:dyDescent="0.25">
      <c r="A83" s="4">
        <v>2017</v>
      </c>
      <c r="B83" s="4">
        <v>7</v>
      </c>
      <c r="C83" s="4" t="s">
        <v>18</v>
      </c>
      <c r="D83" s="11">
        <v>45817</v>
      </c>
      <c r="E83" s="5" t="s">
        <v>29</v>
      </c>
      <c r="F83" s="4" t="s">
        <v>30</v>
      </c>
      <c r="G83" s="5" t="s">
        <v>31</v>
      </c>
      <c r="H83" s="4" t="s">
        <v>23</v>
      </c>
      <c r="I83" s="4" t="s">
        <v>23</v>
      </c>
      <c r="J83" s="6">
        <v>439624.14</v>
      </c>
      <c r="K83" s="6">
        <v>130271.22</v>
      </c>
      <c r="L83" s="6">
        <v>309352.92</v>
      </c>
      <c r="M83" s="23">
        <v>60430.97</v>
      </c>
      <c r="N83" s="23">
        <v>18436.810000000001</v>
      </c>
      <c r="O83" s="23">
        <v>41994.16</v>
      </c>
      <c r="P83" s="6">
        <v>30535.97</v>
      </c>
      <c r="Q83" s="6">
        <v>241187882.90000001</v>
      </c>
      <c r="R83" s="6">
        <v>244417275.84</v>
      </c>
      <c r="S83" s="6">
        <v>5.5E-2</v>
      </c>
      <c r="T83" s="4" t="s">
        <v>17</v>
      </c>
      <c r="U83" s="6">
        <v>2.75E-2</v>
      </c>
      <c r="V83" s="6">
        <v>0.1</v>
      </c>
      <c r="W83" s="6"/>
      <c r="X83" s="6">
        <v>55642.26</v>
      </c>
      <c r="Y83" s="5"/>
    </row>
    <row r="84" spans="1:25" ht="28.8" x14ac:dyDescent="0.25">
      <c r="A84" s="4">
        <v>2017</v>
      </c>
      <c r="B84" s="4">
        <v>7</v>
      </c>
      <c r="C84" s="4" t="s">
        <v>18</v>
      </c>
      <c r="D84" s="11">
        <v>49570</v>
      </c>
      <c r="E84" s="5" t="s">
        <v>123</v>
      </c>
      <c r="F84" s="4" t="s">
        <v>124</v>
      </c>
      <c r="G84" s="5" t="s">
        <v>123</v>
      </c>
      <c r="H84" s="4" t="s">
        <v>23</v>
      </c>
      <c r="I84" s="4" t="s">
        <v>23</v>
      </c>
      <c r="J84" s="6">
        <v>637748.99</v>
      </c>
      <c r="K84" s="6">
        <v>263095.75</v>
      </c>
      <c r="L84" s="6">
        <v>374653.24</v>
      </c>
      <c r="M84" s="23">
        <v>96692.09</v>
      </c>
      <c r="N84" s="23">
        <v>41786.080000000002</v>
      </c>
      <c r="O84" s="23">
        <v>54906.01</v>
      </c>
      <c r="P84" s="6">
        <v>69208.19</v>
      </c>
      <c r="Q84" s="6">
        <v>633895569.11000001</v>
      </c>
      <c r="R84" s="6">
        <v>635930810.80999994</v>
      </c>
      <c r="S84" s="6">
        <v>5.5E-2</v>
      </c>
      <c r="T84" s="4" t="s">
        <v>17</v>
      </c>
      <c r="U84" s="6">
        <v>2.75E-2</v>
      </c>
      <c r="V84" s="6">
        <v>0.1</v>
      </c>
      <c r="W84" s="6"/>
      <c r="X84" s="6">
        <v>72750.47</v>
      </c>
      <c r="Y84" s="5" t="s">
        <v>125</v>
      </c>
    </row>
    <row r="85" spans="1:25" ht="28.8" x14ac:dyDescent="0.25">
      <c r="A85" s="4">
        <v>2017</v>
      </c>
      <c r="B85" s="4">
        <v>7</v>
      </c>
      <c r="C85" s="4" t="s">
        <v>18</v>
      </c>
      <c r="D85" s="11">
        <v>650</v>
      </c>
      <c r="E85" s="5" t="s">
        <v>20</v>
      </c>
      <c r="F85" s="4" t="s">
        <v>35</v>
      </c>
      <c r="G85" s="5" t="s">
        <v>36</v>
      </c>
      <c r="H85" s="4" t="s">
        <v>34</v>
      </c>
      <c r="I85" s="4" t="s">
        <v>34</v>
      </c>
      <c r="J85" s="6">
        <v>73511.14</v>
      </c>
      <c r="K85" s="6">
        <v>73511.14</v>
      </c>
      <c r="L85" s="6"/>
      <c r="M85" s="23">
        <v>10803.37</v>
      </c>
      <c r="N85" s="23">
        <v>10803.37</v>
      </c>
      <c r="O85" s="6"/>
      <c r="P85" s="6">
        <v>14314.47</v>
      </c>
      <c r="Q85" s="6">
        <v>85056662.569999993</v>
      </c>
      <c r="R85" s="6">
        <v>83902169.370000005</v>
      </c>
      <c r="S85" s="6"/>
      <c r="T85" s="4"/>
      <c r="U85" s="6"/>
      <c r="V85" s="6"/>
      <c r="W85" s="6"/>
      <c r="X85" s="6"/>
      <c r="Y85" s="5"/>
    </row>
    <row r="86" spans="1:25" ht="28.8" x14ac:dyDescent="0.25">
      <c r="A86" s="4">
        <v>2017</v>
      </c>
      <c r="B86" s="4">
        <v>7</v>
      </c>
      <c r="C86" s="4" t="s">
        <v>18</v>
      </c>
      <c r="D86" s="11">
        <v>650</v>
      </c>
      <c r="E86" s="5" t="s">
        <v>20</v>
      </c>
      <c r="F86" s="4" t="s">
        <v>32</v>
      </c>
      <c r="G86" s="5" t="s">
        <v>33</v>
      </c>
      <c r="H86" s="4" t="s">
        <v>34</v>
      </c>
      <c r="I86" s="4" t="s">
        <v>34</v>
      </c>
      <c r="J86" s="6">
        <v>76483.87</v>
      </c>
      <c r="K86" s="6">
        <v>76483.87</v>
      </c>
      <c r="L86" s="6"/>
      <c r="M86" s="23">
        <v>10762.72</v>
      </c>
      <c r="N86" s="23">
        <v>10762.72</v>
      </c>
      <c r="O86" s="6"/>
      <c r="P86" s="6">
        <v>14260.6</v>
      </c>
      <c r="Q86" s="6">
        <v>84797466.75</v>
      </c>
      <c r="R86" s="6">
        <v>83532029.599999994</v>
      </c>
      <c r="S86" s="6"/>
      <c r="T86" s="4"/>
      <c r="U86" s="6"/>
      <c r="V86" s="6"/>
      <c r="W86" s="6"/>
      <c r="X86" s="6"/>
      <c r="Y86" s="5"/>
    </row>
    <row r="87" spans="1:25" ht="28.8" x14ac:dyDescent="0.25">
      <c r="A87" s="4">
        <v>2017</v>
      </c>
      <c r="B87" s="4">
        <v>7</v>
      </c>
      <c r="C87" s="4" t="s">
        <v>18</v>
      </c>
      <c r="D87" s="11">
        <v>3093</v>
      </c>
      <c r="E87" s="5" t="s">
        <v>37</v>
      </c>
      <c r="F87" s="4" t="s">
        <v>38</v>
      </c>
      <c r="G87" s="5" t="s">
        <v>39</v>
      </c>
      <c r="H87" s="4" t="s">
        <v>34</v>
      </c>
      <c r="I87" s="4" t="s">
        <v>34</v>
      </c>
      <c r="J87" s="6">
        <v>23584.6</v>
      </c>
      <c r="K87" s="6">
        <v>23584.6</v>
      </c>
      <c r="L87" s="6"/>
      <c r="M87" s="23">
        <v>1471.95</v>
      </c>
      <c r="N87" s="23">
        <v>1471.95</v>
      </c>
      <c r="O87" s="6"/>
      <c r="P87" s="6">
        <v>1950.34</v>
      </c>
      <c r="Q87" s="6">
        <v>9414838.3100000005</v>
      </c>
      <c r="R87" s="6">
        <v>9411673.1500000004</v>
      </c>
      <c r="S87" s="6"/>
      <c r="T87" s="4"/>
      <c r="U87" s="6"/>
      <c r="V87" s="6"/>
      <c r="W87" s="6"/>
      <c r="X87" s="6"/>
      <c r="Y87" s="5"/>
    </row>
    <row r="88" spans="1:25" ht="28.8" x14ac:dyDescent="0.25">
      <c r="A88" s="4">
        <v>2017</v>
      </c>
      <c r="B88" s="4">
        <v>7</v>
      </c>
      <c r="C88" s="4" t="s">
        <v>18</v>
      </c>
      <c r="D88" s="11">
        <v>43139</v>
      </c>
      <c r="E88" s="5" t="s">
        <v>120</v>
      </c>
      <c r="F88" s="4" t="s">
        <v>126</v>
      </c>
      <c r="G88" s="5" t="s">
        <v>127</v>
      </c>
      <c r="H88" s="4" t="s">
        <v>34</v>
      </c>
      <c r="I88" s="4" t="s">
        <v>34</v>
      </c>
      <c r="J88" s="6">
        <v>2130.7199999999998</v>
      </c>
      <c r="K88" s="6">
        <v>2130.7199999999998</v>
      </c>
      <c r="L88" s="6"/>
      <c r="M88" s="23">
        <v>0</v>
      </c>
      <c r="N88" s="6"/>
      <c r="O88" s="6"/>
      <c r="P88" s="6"/>
      <c r="Q88" s="6"/>
      <c r="R88" s="6"/>
      <c r="S88" s="6"/>
      <c r="T88" s="4"/>
      <c r="U88" s="6"/>
      <c r="V88" s="6"/>
      <c r="W88" s="6"/>
      <c r="X88" s="6"/>
      <c r="Y88" s="5"/>
    </row>
    <row r="89" spans="1:25" ht="28.8" x14ac:dyDescent="0.25">
      <c r="A89" s="4">
        <v>2017</v>
      </c>
      <c r="B89" s="4">
        <v>7</v>
      </c>
      <c r="C89" s="4" t="s">
        <v>18</v>
      </c>
      <c r="D89" s="11">
        <v>44321</v>
      </c>
      <c r="E89" s="5" t="s">
        <v>26</v>
      </c>
      <c r="F89" s="4" t="s">
        <v>128</v>
      </c>
      <c r="G89" s="5" t="s">
        <v>129</v>
      </c>
      <c r="H89" s="4" t="s">
        <v>34</v>
      </c>
      <c r="I89" s="4" t="s">
        <v>34</v>
      </c>
      <c r="J89" s="6">
        <v>24275.599999999999</v>
      </c>
      <c r="K89" s="6">
        <v>24275.599999999999</v>
      </c>
      <c r="L89" s="6"/>
      <c r="M89" s="23">
        <v>2434.06</v>
      </c>
      <c r="N89" s="23">
        <v>2434.06</v>
      </c>
      <c r="O89" s="6"/>
      <c r="P89" s="6">
        <v>3225.13</v>
      </c>
      <c r="Q89" s="6">
        <v>18965537.129999999</v>
      </c>
      <c r="R89" s="6">
        <v>19002793.23</v>
      </c>
      <c r="S89" s="6"/>
      <c r="T89" s="4"/>
      <c r="U89" s="6"/>
      <c r="V89" s="6"/>
      <c r="W89" s="6"/>
      <c r="X89" s="6"/>
      <c r="Y89" s="5"/>
    </row>
    <row r="90" spans="1:25" ht="28.8" x14ac:dyDescent="0.25">
      <c r="A90" s="4">
        <v>2017</v>
      </c>
      <c r="B90" s="4">
        <v>7</v>
      </c>
      <c r="C90" s="4" t="s">
        <v>18</v>
      </c>
      <c r="D90" s="11">
        <v>45792</v>
      </c>
      <c r="E90" s="5" t="s">
        <v>43</v>
      </c>
      <c r="F90" s="4" t="s">
        <v>44</v>
      </c>
      <c r="G90" s="5" t="s">
        <v>45</v>
      </c>
      <c r="H90" s="4" t="s">
        <v>34</v>
      </c>
      <c r="I90" s="4" t="s">
        <v>34</v>
      </c>
      <c r="J90" s="6">
        <v>69058.740000000005</v>
      </c>
      <c r="K90" s="6">
        <v>69058.740000000005</v>
      </c>
      <c r="L90" s="6"/>
      <c r="M90" s="23">
        <v>7538.22</v>
      </c>
      <c r="N90" s="23">
        <v>7538.22</v>
      </c>
      <c r="O90" s="6"/>
      <c r="P90" s="6">
        <v>9988.14</v>
      </c>
      <c r="Q90" s="6">
        <v>85403129.439999998</v>
      </c>
      <c r="R90" s="6">
        <v>86882041.140000001</v>
      </c>
      <c r="S90" s="6"/>
      <c r="T90" s="4"/>
      <c r="U90" s="6"/>
      <c r="V90" s="6"/>
      <c r="W90" s="6"/>
      <c r="X90" s="6"/>
      <c r="Y90" s="5"/>
    </row>
    <row r="91" spans="1:25" ht="28.8" x14ac:dyDescent="0.25">
      <c r="A91" s="4">
        <v>2017</v>
      </c>
      <c r="B91" s="4">
        <v>7</v>
      </c>
      <c r="C91" s="4" t="s">
        <v>18</v>
      </c>
      <c r="D91" s="11">
        <v>45808</v>
      </c>
      <c r="E91" s="5" t="s">
        <v>46</v>
      </c>
      <c r="F91" s="4" t="s">
        <v>47</v>
      </c>
      <c r="G91" s="5" t="s">
        <v>48</v>
      </c>
      <c r="H91" s="4" t="s">
        <v>34</v>
      </c>
      <c r="I91" s="4" t="s">
        <v>34</v>
      </c>
      <c r="J91" s="6">
        <v>90721.58</v>
      </c>
      <c r="K91" s="6">
        <v>90721.58</v>
      </c>
      <c r="L91" s="6"/>
      <c r="M91" s="23">
        <v>13353.74</v>
      </c>
      <c r="N91" s="23">
        <v>13353.74</v>
      </c>
      <c r="O91" s="6"/>
      <c r="P91" s="6">
        <v>17693.71</v>
      </c>
      <c r="Q91" s="6">
        <v>48167152.219999999</v>
      </c>
      <c r="R91" s="6">
        <v>49249261.609999999</v>
      </c>
      <c r="S91" s="6"/>
      <c r="T91" s="4"/>
      <c r="U91" s="6"/>
      <c r="V91" s="6"/>
      <c r="W91" s="6"/>
      <c r="X91" s="6"/>
      <c r="Y91" s="5"/>
    </row>
    <row r="92" spans="1:25" ht="28.8" x14ac:dyDescent="0.25">
      <c r="A92" s="4">
        <v>2017</v>
      </c>
      <c r="B92" s="4">
        <v>7</v>
      </c>
      <c r="C92" s="4" t="s">
        <v>18</v>
      </c>
      <c r="D92" s="11">
        <v>50544</v>
      </c>
      <c r="E92" s="5" t="s">
        <v>53</v>
      </c>
      <c r="F92" s="4" t="s">
        <v>54</v>
      </c>
      <c r="G92" s="5" t="s">
        <v>55</v>
      </c>
      <c r="H92" s="4" t="s">
        <v>34</v>
      </c>
      <c r="I92" s="4" t="s">
        <v>34</v>
      </c>
      <c r="J92" s="6">
        <v>53414.81</v>
      </c>
      <c r="K92" s="6">
        <v>53414.81</v>
      </c>
      <c r="L92" s="6"/>
      <c r="M92" s="23">
        <v>8068.63</v>
      </c>
      <c r="N92" s="23">
        <v>8068.63</v>
      </c>
      <c r="O92" s="6"/>
      <c r="P92" s="6">
        <v>10690.94</v>
      </c>
      <c r="Q92" s="6">
        <v>82420627.069999993</v>
      </c>
      <c r="R92" s="6">
        <v>82786279.379999995</v>
      </c>
      <c r="S92" s="6"/>
      <c r="T92" s="4"/>
      <c r="U92" s="6"/>
      <c r="V92" s="6"/>
      <c r="W92" s="6"/>
      <c r="X92" s="6"/>
      <c r="Y92" s="5"/>
    </row>
    <row r="93" spans="1:25" ht="28.8" x14ac:dyDescent="0.25">
      <c r="A93" s="4">
        <v>2017</v>
      </c>
      <c r="B93" s="4">
        <v>8</v>
      </c>
      <c r="C93" s="4" t="s">
        <v>18</v>
      </c>
      <c r="D93" s="11">
        <v>650</v>
      </c>
      <c r="E93" s="5" t="s">
        <v>20</v>
      </c>
      <c r="F93" s="4" t="s">
        <v>21</v>
      </c>
      <c r="G93" s="5" t="s">
        <v>22</v>
      </c>
      <c r="H93" s="4" t="s">
        <v>23</v>
      </c>
      <c r="I93" s="4" t="s">
        <v>23</v>
      </c>
      <c r="J93" s="6">
        <v>192146.43</v>
      </c>
      <c r="K93" s="6">
        <v>148463.09</v>
      </c>
      <c r="L93" s="6">
        <v>43683.34</v>
      </c>
      <c r="M93" s="23">
        <v>21021.83</v>
      </c>
      <c r="N93" s="23">
        <v>15944.77</v>
      </c>
      <c r="O93" s="23">
        <v>5077.0600000000004</v>
      </c>
      <c r="P93" s="6">
        <v>26408.53</v>
      </c>
      <c r="Q93" s="6">
        <v>167443590.56999999</v>
      </c>
      <c r="R93" s="6">
        <v>155457610.49000001</v>
      </c>
      <c r="S93" s="6">
        <v>5.5E-2</v>
      </c>
      <c r="T93" s="4" t="s">
        <v>24</v>
      </c>
      <c r="U93" s="6">
        <v>0.05</v>
      </c>
      <c r="V93" s="6">
        <v>0.1</v>
      </c>
      <c r="W93" s="6"/>
      <c r="X93" s="6">
        <v>6727.11</v>
      </c>
      <c r="Y93" s="5"/>
    </row>
    <row r="94" spans="1:25" ht="28.8" x14ac:dyDescent="0.25">
      <c r="A94" s="4">
        <v>2017</v>
      </c>
      <c r="B94" s="4">
        <v>8</v>
      </c>
      <c r="C94" s="4" t="s">
        <v>18</v>
      </c>
      <c r="D94" s="11">
        <v>40508</v>
      </c>
      <c r="E94" s="5" t="s">
        <v>119</v>
      </c>
      <c r="F94" s="4" t="s">
        <v>121</v>
      </c>
      <c r="G94" s="5" t="s">
        <v>122</v>
      </c>
      <c r="H94" s="4" t="s">
        <v>34</v>
      </c>
      <c r="I94" s="4" t="s">
        <v>23</v>
      </c>
      <c r="J94" s="6">
        <v>58353.45</v>
      </c>
      <c r="K94" s="6">
        <v>42186.080000000002</v>
      </c>
      <c r="L94" s="6">
        <v>16167.37</v>
      </c>
      <c r="M94" s="23">
        <v>5973.14</v>
      </c>
      <c r="N94" s="23">
        <v>5973.14</v>
      </c>
      <c r="O94" s="6"/>
      <c r="P94" s="6">
        <v>7914.41</v>
      </c>
      <c r="Q94" s="6"/>
      <c r="R94" s="6"/>
      <c r="S94" s="6">
        <v>5.5E-2</v>
      </c>
      <c r="T94" s="4" t="s">
        <v>17</v>
      </c>
      <c r="U94" s="6">
        <v>2.75E-2</v>
      </c>
      <c r="V94" s="6">
        <v>0.1</v>
      </c>
      <c r="W94" s="6"/>
      <c r="X94" s="6"/>
      <c r="Y94" s="5"/>
    </row>
    <row r="95" spans="1:25" ht="28.8" x14ac:dyDescent="0.25">
      <c r="A95" s="4">
        <v>2017</v>
      </c>
      <c r="B95" s="4">
        <v>8</v>
      </c>
      <c r="C95" s="4" t="s">
        <v>18</v>
      </c>
      <c r="D95" s="11">
        <v>44321</v>
      </c>
      <c r="E95" s="5" t="s">
        <v>26</v>
      </c>
      <c r="F95" s="4" t="s">
        <v>27</v>
      </c>
      <c r="G95" s="5" t="s">
        <v>28</v>
      </c>
      <c r="H95" s="4" t="s">
        <v>23</v>
      </c>
      <c r="I95" s="4" t="s">
        <v>23</v>
      </c>
      <c r="J95" s="6">
        <v>354154.6</v>
      </c>
      <c r="K95" s="6">
        <v>123147.08</v>
      </c>
      <c r="L95" s="6">
        <v>231007.52</v>
      </c>
      <c r="M95" s="23">
        <v>45648.83</v>
      </c>
      <c r="N95" s="23">
        <v>15263.15</v>
      </c>
      <c r="O95" s="23">
        <v>30385.68</v>
      </c>
      <c r="P95" s="6">
        <v>25279.59</v>
      </c>
      <c r="Q95" s="6">
        <v>174566723.30000001</v>
      </c>
      <c r="R95" s="6">
        <v>176802280.37</v>
      </c>
      <c r="S95" s="6">
        <v>5.5E-2</v>
      </c>
      <c r="T95" s="4" t="s">
        <v>17</v>
      </c>
      <c r="U95" s="6">
        <v>2.75E-2</v>
      </c>
      <c r="V95" s="6">
        <v>0.1</v>
      </c>
      <c r="W95" s="6"/>
      <c r="X95" s="6">
        <v>40261.03</v>
      </c>
      <c r="Y95" s="5"/>
    </row>
    <row r="96" spans="1:25" ht="43.2" x14ac:dyDescent="0.25">
      <c r="A96" s="4">
        <v>2017</v>
      </c>
      <c r="B96" s="4">
        <v>8</v>
      </c>
      <c r="C96" s="4" t="s">
        <v>18</v>
      </c>
      <c r="D96" s="11">
        <v>45817</v>
      </c>
      <c r="E96" s="5" t="s">
        <v>29</v>
      </c>
      <c r="F96" s="4" t="s">
        <v>30</v>
      </c>
      <c r="G96" s="5" t="s">
        <v>31</v>
      </c>
      <c r="H96" s="4" t="s">
        <v>23</v>
      </c>
      <c r="I96" s="4" t="s">
        <v>23</v>
      </c>
      <c r="J96" s="6">
        <v>501153.69</v>
      </c>
      <c r="K96" s="6">
        <v>149081.93</v>
      </c>
      <c r="L96" s="6">
        <v>352071.76</v>
      </c>
      <c r="M96" s="23">
        <v>61529.55</v>
      </c>
      <c r="N96" s="23">
        <v>18810.7</v>
      </c>
      <c r="O96" s="23">
        <v>42718.85</v>
      </c>
      <c r="P96" s="6">
        <v>31155.23</v>
      </c>
      <c r="Q96" s="6">
        <v>244786906.74000001</v>
      </c>
      <c r="R96" s="6">
        <v>249198299.86000001</v>
      </c>
      <c r="S96" s="6">
        <v>5.5E-2</v>
      </c>
      <c r="T96" s="4" t="s">
        <v>17</v>
      </c>
      <c r="U96" s="6">
        <v>2.75E-2</v>
      </c>
      <c r="V96" s="6">
        <v>0.1</v>
      </c>
      <c r="W96" s="6"/>
      <c r="X96" s="6">
        <v>56602.47</v>
      </c>
      <c r="Y96" s="5"/>
    </row>
    <row r="97" spans="1:25" ht="28.8" x14ac:dyDescent="0.25">
      <c r="A97" s="4">
        <v>2017</v>
      </c>
      <c r="B97" s="4">
        <v>8</v>
      </c>
      <c r="C97" s="4" t="s">
        <v>18</v>
      </c>
      <c r="D97" s="11">
        <v>49570</v>
      </c>
      <c r="E97" s="5" t="s">
        <v>123</v>
      </c>
      <c r="F97" s="4" t="s">
        <v>124</v>
      </c>
      <c r="G97" s="5" t="s">
        <v>123</v>
      </c>
      <c r="H97" s="4" t="s">
        <v>23</v>
      </c>
      <c r="I97" s="4" t="s">
        <v>23</v>
      </c>
      <c r="J97" s="6">
        <v>737922.06</v>
      </c>
      <c r="K97" s="6">
        <v>308128.45</v>
      </c>
      <c r="L97" s="6">
        <v>429793.61</v>
      </c>
      <c r="M97" s="23">
        <v>100173.06</v>
      </c>
      <c r="N97" s="23">
        <v>45032.69</v>
      </c>
      <c r="O97" s="23">
        <v>55140.37</v>
      </c>
      <c r="P97" s="6">
        <v>74585.399999999994</v>
      </c>
      <c r="Q97" s="6">
        <v>636140003.83000004</v>
      </c>
      <c r="R97" s="6">
        <v>639106387.70000005</v>
      </c>
      <c r="S97" s="6">
        <v>5.5E-2</v>
      </c>
      <c r="T97" s="4" t="s">
        <v>17</v>
      </c>
      <c r="U97" s="6">
        <v>2.75E-2</v>
      </c>
      <c r="V97" s="6">
        <v>0.1</v>
      </c>
      <c r="W97" s="6"/>
      <c r="X97" s="6">
        <v>73060.990000000005</v>
      </c>
      <c r="Y97" s="5" t="s">
        <v>125</v>
      </c>
    </row>
    <row r="98" spans="1:25" ht="28.8" x14ac:dyDescent="0.25">
      <c r="A98" s="4">
        <v>2017</v>
      </c>
      <c r="B98" s="4">
        <v>8</v>
      </c>
      <c r="C98" s="4" t="s">
        <v>18</v>
      </c>
      <c r="D98" s="11">
        <v>650</v>
      </c>
      <c r="E98" s="5" t="s">
        <v>20</v>
      </c>
      <c r="F98" s="4" t="s">
        <v>32</v>
      </c>
      <c r="G98" s="5" t="s">
        <v>33</v>
      </c>
      <c r="H98" s="4" t="s">
        <v>34</v>
      </c>
      <c r="I98" s="4" t="s">
        <v>34</v>
      </c>
      <c r="J98" s="6">
        <v>86853.67</v>
      </c>
      <c r="K98" s="6">
        <v>86853.67</v>
      </c>
      <c r="L98" s="6"/>
      <c r="M98" s="23">
        <v>10369.799999999999</v>
      </c>
      <c r="N98" s="23">
        <v>10369.799999999999</v>
      </c>
      <c r="O98" s="6"/>
      <c r="P98" s="6">
        <v>13739.98</v>
      </c>
      <c r="Q98" s="6">
        <v>83556566.579999998</v>
      </c>
      <c r="R98" s="6">
        <v>78390442.730000004</v>
      </c>
      <c r="S98" s="6"/>
      <c r="T98" s="4"/>
      <c r="U98" s="6"/>
      <c r="V98" s="6"/>
      <c r="W98" s="6"/>
      <c r="X98" s="6"/>
      <c r="Y98" s="5"/>
    </row>
    <row r="99" spans="1:25" ht="28.8" x14ac:dyDescent="0.25">
      <c r="A99" s="4">
        <v>2017</v>
      </c>
      <c r="B99" s="4">
        <v>8</v>
      </c>
      <c r="C99" s="4" t="s">
        <v>18</v>
      </c>
      <c r="D99" s="11">
        <v>650</v>
      </c>
      <c r="E99" s="5" t="s">
        <v>20</v>
      </c>
      <c r="F99" s="4" t="s">
        <v>35</v>
      </c>
      <c r="G99" s="5" t="s">
        <v>36</v>
      </c>
      <c r="H99" s="4" t="s">
        <v>34</v>
      </c>
      <c r="I99" s="4" t="s">
        <v>34</v>
      </c>
      <c r="J99" s="6">
        <v>84298.29</v>
      </c>
      <c r="K99" s="6">
        <v>84298.29</v>
      </c>
      <c r="L99" s="6"/>
      <c r="M99" s="23">
        <v>10787.15</v>
      </c>
      <c r="N99" s="23">
        <v>10787.15</v>
      </c>
      <c r="O99" s="6"/>
      <c r="P99" s="6">
        <v>14292.98</v>
      </c>
      <c r="Q99" s="6">
        <v>83942422.680000007</v>
      </c>
      <c r="R99" s="6">
        <v>84345460.629999995</v>
      </c>
      <c r="S99" s="6"/>
      <c r="T99" s="4"/>
      <c r="U99" s="6"/>
      <c r="V99" s="6"/>
      <c r="W99" s="6"/>
      <c r="X99" s="6"/>
      <c r="Y99" s="5"/>
    </row>
    <row r="100" spans="1:25" ht="28.8" x14ac:dyDescent="0.25">
      <c r="A100" s="4">
        <v>2017</v>
      </c>
      <c r="B100" s="4">
        <v>8</v>
      </c>
      <c r="C100" s="4" t="s">
        <v>18</v>
      </c>
      <c r="D100" s="11">
        <v>3093</v>
      </c>
      <c r="E100" s="5" t="s">
        <v>37</v>
      </c>
      <c r="F100" s="4" t="s">
        <v>38</v>
      </c>
      <c r="G100" s="5" t="s">
        <v>39</v>
      </c>
      <c r="H100" s="4" t="s">
        <v>34</v>
      </c>
      <c r="I100" s="4" t="s">
        <v>34</v>
      </c>
      <c r="J100" s="6">
        <v>24977.46</v>
      </c>
      <c r="K100" s="6">
        <v>24977.46</v>
      </c>
      <c r="L100" s="6"/>
      <c r="M100" s="23">
        <v>1392.86</v>
      </c>
      <c r="N100" s="23">
        <v>1392.86</v>
      </c>
      <c r="O100" s="6"/>
      <c r="P100" s="6">
        <v>1845.54</v>
      </c>
      <c r="Q100" s="6">
        <v>9415059.3800000008</v>
      </c>
      <c r="R100" s="6">
        <v>9448064.3399999999</v>
      </c>
      <c r="S100" s="6"/>
      <c r="T100" s="4"/>
      <c r="U100" s="6"/>
      <c r="V100" s="6"/>
      <c r="W100" s="6"/>
      <c r="X100" s="6"/>
      <c r="Y100" s="5"/>
    </row>
    <row r="101" spans="1:25" ht="28.8" x14ac:dyDescent="0.25">
      <c r="A101" s="4">
        <v>2017</v>
      </c>
      <c r="B101" s="4">
        <v>8</v>
      </c>
      <c r="C101" s="4" t="s">
        <v>18</v>
      </c>
      <c r="D101" s="11">
        <v>43139</v>
      </c>
      <c r="E101" s="5" t="s">
        <v>120</v>
      </c>
      <c r="F101" s="4" t="s">
        <v>126</v>
      </c>
      <c r="G101" s="5" t="s">
        <v>127</v>
      </c>
      <c r="H101" s="4" t="s">
        <v>34</v>
      </c>
      <c r="I101" s="4" t="s">
        <v>34</v>
      </c>
      <c r="J101" s="6">
        <v>2130.7199999999998</v>
      </c>
      <c r="K101" s="6">
        <v>2130.7199999999998</v>
      </c>
      <c r="L101" s="6"/>
      <c r="M101" s="23">
        <v>0</v>
      </c>
      <c r="N101" s="6"/>
      <c r="O101" s="6"/>
      <c r="P101" s="6"/>
      <c r="Q101" s="6"/>
      <c r="R101" s="6"/>
      <c r="S101" s="6"/>
      <c r="T101" s="4"/>
      <c r="U101" s="6"/>
      <c r="V101" s="6"/>
      <c r="W101" s="6"/>
      <c r="X101" s="6"/>
      <c r="Y101" s="5"/>
    </row>
    <row r="102" spans="1:25" ht="28.8" x14ac:dyDescent="0.25">
      <c r="A102" s="4">
        <v>2017</v>
      </c>
      <c r="B102" s="4">
        <v>8</v>
      </c>
      <c r="C102" s="4" t="s">
        <v>18</v>
      </c>
      <c r="D102" s="11">
        <v>44321</v>
      </c>
      <c r="E102" s="5" t="s">
        <v>26</v>
      </c>
      <c r="F102" s="4" t="s">
        <v>128</v>
      </c>
      <c r="G102" s="5" t="s">
        <v>129</v>
      </c>
      <c r="H102" s="4" t="s">
        <v>34</v>
      </c>
      <c r="I102" s="4" t="s">
        <v>34</v>
      </c>
      <c r="J102" s="6">
        <v>26714.1</v>
      </c>
      <c r="K102" s="6">
        <v>26714.1</v>
      </c>
      <c r="L102" s="6"/>
      <c r="M102" s="23">
        <v>2438.5</v>
      </c>
      <c r="N102" s="23">
        <v>2438.5</v>
      </c>
      <c r="O102" s="6"/>
      <c r="P102" s="6">
        <v>3231.01</v>
      </c>
      <c r="Q102" s="6">
        <v>19004133.32</v>
      </c>
      <c r="R102" s="6">
        <v>19034010.32</v>
      </c>
      <c r="S102" s="6"/>
      <c r="T102" s="4"/>
      <c r="U102" s="6"/>
      <c r="V102" s="6"/>
      <c r="W102" s="6"/>
      <c r="X102" s="6"/>
      <c r="Y102" s="5"/>
    </row>
    <row r="103" spans="1:25" ht="28.8" x14ac:dyDescent="0.25">
      <c r="A103" s="4">
        <v>2017</v>
      </c>
      <c r="B103" s="4">
        <v>8</v>
      </c>
      <c r="C103" s="4" t="s">
        <v>18</v>
      </c>
      <c r="D103" s="11">
        <v>45792</v>
      </c>
      <c r="E103" s="5" t="s">
        <v>43</v>
      </c>
      <c r="F103" s="4" t="s">
        <v>44</v>
      </c>
      <c r="G103" s="5" t="s">
        <v>45</v>
      </c>
      <c r="H103" s="4" t="s">
        <v>34</v>
      </c>
      <c r="I103" s="4" t="s">
        <v>34</v>
      </c>
      <c r="J103" s="6">
        <v>76699</v>
      </c>
      <c r="K103" s="6">
        <v>76699</v>
      </c>
      <c r="L103" s="6"/>
      <c r="M103" s="23">
        <v>7640.26</v>
      </c>
      <c r="N103" s="23">
        <v>7640.26</v>
      </c>
      <c r="O103" s="6"/>
      <c r="P103" s="6">
        <v>10123.34</v>
      </c>
      <c r="Q103" s="6">
        <v>86921743.040000007</v>
      </c>
      <c r="R103" s="6">
        <v>87226333.569999993</v>
      </c>
      <c r="S103" s="6"/>
      <c r="T103" s="4"/>
      <c r="U103" s="6"/>
      <c r="V103" s="6"/>
      <c r="W103" s="6"/>
      <c r="X103" s="6"/>
      <c r="Y103" s="5"/>
    </row>
    <row r="104" spans="1:25" ht="28.8" x14ac:dyDescent="0.25">
      <c r="A104" s="4">
        <v>2017</v>
      </c>
      <c r="B104" s="4">
        <v>8</v>
      </c>
      <c r="C104" s="4" t="s">
        <v>18</v>
      </c>
      <c r="D104" s="11">
        <v>45808</v>
      </c>
      <c r="E104" s="5" t="s">
        <v>46</v>
      </c>
      <c r="F104" s="4" t="s">
        <v>47</v>
      </c>
      <c r="G104" s="5" t="s">
        <v>48</v>
      </c>
      <c r="H104" s="4" t="s">
        <v>34</v>
      </c>
      <c r="I104" s="4" t="s">
        <v>34</v>
      </c>
      <c r="J104" s="6">
        <v>104276.56</v>
      </c>
      <c r="K104" s="6">
        <v>104276.56</v>
      </c>
      <c r="L104" s="6"/>
      <c r="M104" s="23">
        <v>13554.97</v>
      </c>
      <c r="N104" s="23">
        <v>13554.97</v>
      </c>
      <c r="O104" s="6"/>
      <c r="P104" s="6">
        <v>17960.34</v>
      </c>
      <c r="Q104" s="6">
        <v>49262568.020000003</v>
      </c>
      <c r="R104" s="6">
        <v>49963227.909999996</v>
      </c>
      <c r="S104" s="6"/>
      <c r="T104" s="4"/>
      <c r="U104" s="6"/>
      <c r="V104" s="6"/>
      <c r="W104" s="6"/>
      <c r="X104" s="6"/>
      <c r="Y104" s="5"/>
    </row>
    <row r="105" spans="1:25" ht="28.8" x14ac:dyDescent="0.25">
      <c r="A105" s="4">
        <v>2017</v>
      </c>
      <c r="B105" s="4">
        <v>8</v>
      </c>
      <c r="C105" s="4" t="s">
        <v>18</v>
      </c>
      <c r="D105" s="11">
        <v>50544</v>
      </c>
      <c r="E105" s="5" t="s">
        <v>53</v>
      </c>
      <c r="F105" s="4" t="s">
        <v>54</v>
      </c>
      <c r="G105" s="5" t="s">
        <v>55</v>
      </c>
      <c r="H105" s="4" t="s">
        <v>34</v>
      </c>
      <c r="I105" s="4" t="s">
        <v>34</v>
      </c>
      <c r="J105" s="6">
        <v>61519.35</v>
      </c>
      <c r="K105" s="6">
        <v>61519.35</v>
      </c>
      <c r="L105" s="6"/>
      <c r="M105" s="23">
        <v>8104.54</v>
      </c>
      <c r="N105" s="23">
        <v>8104.54</v>
      </c>
      <c r="O105" s="6"/>
      <c r="P105" s="6">
        <v>10738.52</v>
      </c>
      <c r="Q105" s="6">
        <v>82840045.900000006</v>
      </c>
      <c r="R105" s="6">
        <v>83140123.659999996</v>
      </c>
      <c r="S105" s="6"/>
      <c r="T105" s="4"/>
      <c r="U105" s="6"/>
      <c r="V105" s="6"/>
      <c r="W105" s="6"/>
      <c r="X105" s="6"/>
      <c r="Y105" s="5"/>
    </row>
    <row r="106" spans="1:25" ht="28.8" x14ac:dyDescent="0.25">
      <c r="A106" s="4">
        <v>2017</v>
      </c>
      <c r="B106" s="4">
        <v>9</v>
      </c>
      <c r="C106" s="4" t="s">
        <v>18</v>
      </c>
      <c r="D106" s="11">
        <v>650</v>
      </c>
      <c r="E106" s="5" t="s">
        <v>20</v>
      </c>
      <c r="F106" s="4" t="s">
        <v>21</v>
      </c>
      <c r="G106" s="5" t="s">
        <v>22</v>
      </c>
      <c r="H106" s="4" t="s">
        <v>23</v>
      </c>
      <c r="I106" s="4" t="s">
        <v>23</v>
      </c>
      <c r="J106" s="6">
        <v>212699.78</v>
      </c>
      <c r="K106" s="6">
        <v>164118.42000000001</v>
      </c>
      <c r="L106" s="6">
        <v>48581.36</v>
      </c>
      <c r="M106" s="23">
        <v>20553.34</v>
      </c>
      <c r="N106" s="23">
        <v>15655.32</v>
      </c>
      <c r="O106" s="23">
        <v>4898.0200000000004</v>
      </c>
      <c r="P106" s="6">
        <v>25929.13</v>
      </c>
      <c r="Q106" s="6">
        <v>155450771.55000001</v>
      </c>
      <c r="R106" s="6">
        <v>156063144.41999999</v>
      </c>
      <c r="S106" s="6">
        <v>5.5E-2</v>
      </c>
      <c r="T106" s="4" t="s">
        <v>24</v>
      </c>
      <c r="U106" s="6">
        <v>0.05</v>
      </c>
      <c r="V106" s="6">
        <v>0.1</v>
      </c>
      <c r="W106" s="6"/>
      <c r="X106" s="6">
        <v>6489.87</v>
      </c>
      <c r="Y106" s="5"/>
    </row>
    <row r="107" spans="1:25" ht="28.8" x14ac:dyDescent="0.25">
      <c r="A107" s="4">
        <v>2017</v>
      </c>
      <c r="B107" s="4">
        <v>9</v>
      </c>
      <c r="C107" s="4" t="s">
        <v>18</v>
      </c>
      <c r="D107" s="11">
        <v>40508</v>
      </c>
      <c r="E107" s="5" t="s">
        <v>119</v>
      </c>
      <c r="F107" s="4" t="s">
        <v>121</v>
      </c>
      <c r="G107" s="5" t="s">
        <v>122</v>
      </c>
      <c r="H107" s="4" t="s">
        <v>34</v>
      </c>
      <c r="I107" s="4" t="s">
        <v>23</v>
      </c>
      <c r="J107" s="6">
        <v>63813.11</v>
      </c>
      <c r="K107" s="6">
        <v>47645.74</v>
      </c>
      <c r="L107" s="6">
        <v>16167.37</v>
      </c>
      <c r="M107" s="23">
        <v>5459.65</v>
      </c>
      <c r="N107" s="23">
        <v>5459.65</v>
      </c>
      <c r="O107" s="6"/>
      <c r="P107" s="6">
        <v>7234.04</v>
      </c>
      <c r="Q107" s="6"/>
      <c r="R107" s="6"/>
      <c r="S107" s="6">
        <v>5.5E-2</v>
      </c>
      <c r="T107" s="4" t="s">
        <v>17</v>
      </c>
      <c r="U107" s="6">
        <v>2.75E-2</v>
      </c>
      <c r="V107" s="6">
        <v>0.1</v>
      </c>
      <c r="W107" s="6"/>
      <c r="X107" s="6"/>
      <c r="Y107" s="5"/>
    </row>
    <row r="108" spans="1:25" ht="28.8" x14ac:dyDescent="0.25">
      <c r="A108" s="4">
        <v>2017</v>
      </c>
      <c r="B108" s="4">
        <v>9</v>
      </c>
      <c r="C108" s="4" t="s">
        <v>18</v>
      </c>
      <c r="D108" s="11">
        <v>44321</v>
      </c>
      <c r="E108" s="5" t="s">
        <v>26</v>
      </c>
      <c r="F108" s="4" t="s">
        <v>27</v>
      </c>
      <c r="G108" s="5" t="s">
        <v>28</v>
      </c>
      <c r="H108" s="4" t="s">
        <v>23</v>
      </c>
      <c r="I108" s="4" t="s">
        <v>23</v>
      </c>
      <c r="J108" s="6">
        <v>401673.87</v>
      </c>
      <c r="K108" s="6">
        <v>138316.21</v>
      </c>
      <c r="L108" s="6">
        <v>263357.65999999997</v>
      </c>
      <c r="M108" s="23">
        <v>47519.27</v>
      </c>
      <c r="N108" s="23">
        <v>15169.13</v>
      </c>
      <c r="O108" s="23">
        <v>32350.14</v>
      </c>
      <c r="P108" s="6">
        <v>25123.87</v>
      </c>
      <c r="Q108" s="6">
        <v>176802898.77000001</v>
      </c>
      <c r="R108" s="6">
        <v>197282396.46000001</v>
      </c>
      <c r="S108" s="6">
        <v>5.5E-2</v>
      </c>
      <c r="T108" s="4" t="s">
        <v>17</v>
      </c>
      <c r="U108" s="6">
        <v>2.75E-2</v>
      </c>
      <c r="V108" s="6">
        <v>0.1</v>
      </c>
      <c r="W108" s="6"/>
      <c r="X108" s="6">
        <v>42863.94</v>
      </c>
      <c r="Y108" s="5"/>
    </row>
    <row r="109" spans="1:25" ht="43.2" x14ac:dyDescent="0.25">
      <c r="A109" s="4">
        <v>2017</v>
      </c>
      <c r="B109" s="4">
        <v>9</v>
      </c>
      <c r="C109" s="4" t="s">
        <v>18</v>
      </c>
      <c r="D109" s="11">
        <v>45817</v>
      </c>
      <c r="E109" s="5" t="s">
        <v>29</v>
      </c>
      <c r="F109" s="4" t="s">
        <v>30</v>
      </c>
      <c r="G109" s="5" t="s">
        <v>31</v>
      </c>
      <c r="H109" s="4" t="s">
        <v>23</v>
      </c>
      <c r="I109" s="4" t="s">
        <v>23</v>
      </c>
      <c r="J109" s="6">
        <v>562444.44999999995</v>
      </c>
      <c r="K109" s="6">
        <v>166996.78</v>
      </c>
      <c r="L109" s="6">
        <v>395447.67</v>
      </c>
      <c r="M109" s="23">
        <v>61895.58</v>
      </c>
      <c r="N109" s="23">
        <v>18519.669999999998</v>
      </c>
      <c r="O109" s="23">
        <v>43375.91</v>
      </c>
      <c r="P109" s="6">
        <v>30673.21</v>
      </c>
      <c r="Q109" s="6">
        <v>249388826.65000001</v>
      </c>
      <c r="R109" s="6">
        <v>252194399.13999999</v>
      </c>
      <c r="S109" s="6">
        <v>5.5E-2</v>
      </c>
      <c r="T109" s="4" t="s">
        <v>17</v>
      </c>
      <c r="U109" s="6">
        <v>2.75E-2</v>
      </c>
      <c r="V109" s="6">
        <v>0.1</v>
      </c>
      <c r="W109" s="6"/>
      <c r="X109" s="6">
        <v>57473.08</v>
      </c>
      <c r="Y109" s="5"/>
    </row>
    <row r="110" spans="1:25" ht="28.8" x14ac:dyDescent="0.25">
      <c r="A110" s="4">
        <v>2017</v>
      </c>
      <c r="B110" s="4">
        <v>9</v>
      </c>
      <c r="C110" s="4" t="s">
        <v>18</v>
      </c>
      <c r="D110" s="11">
        <v>49570</v>
      </c>
      <c r="E110" s="5" t="s">
        <v>123</v>
      </c>
      <c r="F110" s="4" t="s">
        <v>124</v>
      </c>
      <c r="G110" s="5" t="s">
        <v>123</v>
      </c>
      <c r="H110" s="4" t="s">
        <v>23</v>
      </c>
      <c r="I110" s="4" t="s">
        <v>23</v>
      </c>
      <c r="J110" s="6">
        <v>839830.31</v>
      </c>
      <c r="K110" s="6">
        <v>354634.19</v>
      </c>
      <c r="L110" s="6">
        <v>485196.12</v>
      </c>
      <c r="M110" s="23">
        <v>103281.83</v>
      </c>
      <c r="N110" s="23">
        <v>47879.32</v>
      </c>
      <c r="O110" s="23">
        <v>55402.51</v>
      </c>
      <c r="P110" s="6">
        <v>79300.13</v>
      </c>
      <c r="Q110" s="6">
        <v>639011999.19000006</v>
      </c>
      <c r="R110" s="6">
        <v>642297020.44000006</v>
      </c>
      <c r="S110" s="6">
        <v>5.5E-2</v>
      </c>
      <c r="T110" s="4" t="s">
        <v>17</v>
      </c>
      <c r="U110" s="6">
        <v>2.75E-2</v>
      </c>
      <c r="V110" s="6">
        <v>0.1</v>
      </c>
      <c r="W110" s="6"/>
      <c r="X110" s="6">
        <v>73408.33</v>
      </c>
      <c r="Y110" s="5" t="s">
        <v>125</v>
      </c>
    </row>
    <row r="111" spans="1:25" ht="28.8" x14ac:dyDescent="0.25">
      <c r="A111" s="4">
        <v>2017</v>
      </c>
      <c r="B111" s="4">
        <v>9</v>
      </c>
      <c r="C111" s="4" t="s">
        <v>18</v>
      </c>
      <c r="D111" s="11">
        <v>650</v>
      </c>
      <c r="E111" s="5" t="s">
        <v>20</v>
      </c>
      <c r="F111" s="4" t="s">
        <v>32</v>
      </c>
      <c r="G111" s="5" t="s">
        <v>33</v>
      </c>
      <c r="H111" s="4" t="s">
        <v>34</v>
      </c>
      <c r="I111" s="4" t="s">
        <v>34</v>
      </c>
      <c r="J111" s="6">
        <v>96404.68</v>
      </c>
      <c r="K111" s="6">
        <v>96404.68</v>
      </c>
      <c r="L111" s="6"/>
      <c r="M111" s="23">
        <v>9551.01</v>
      </c>
      <c r="N111" s="23">
        <v>9551.01</v>
      </c>
      <c r="O111" s="6"/>
      <c r="P111" s="6">
        <v>12655.09</v>
      </c>
      <c r="Q111" s="6">
        <v>78399568.230000004</v>
      </c>
      <c r="R111" s="6">
        <v>78674500.900000006</v>
      </c>
      <c r="S111" s="6"/>
      <c r="T111" s="4"/>
      <c r="U111" s="6"/>
      <c r="V111" s="6"/>
      <c r="W111" s="6"/>
      <c r="X111" s="6"/>
      <c r="Y111" s="5"/>
    </row>
    <row r="112" spans="1:25" ht="28.8" x14ac:dyDescent="0.25">
      <c r="A112" s="4">
        <v>2017</v>
      </c>
      <c r="B112" s="4">
        <v>9</v>
      </c>
      <c r="C112" s="4" t="s">
        <v>18</v>
      </c>
      <c r="D112" s="11">
        <v>650</v>
      </c>
      <c r="E112" s="5" t="s">
        <v>20</v>
      </c>
      <c r="F112" s="4" t="s">
        <v>35</v>
      </c>
      <c r="G112" s="5" t="s">
        <v>36</v>
      </c>
      <c r="H112" s="4" t="s">
        <v>34</v>
      </c>
      <c r="I112" s="4" t="s">
        <v>34</v>
      </c>
      <c r="J112" s="6">
        <v>94788.26</v>
      </c>
      <c r="K112" s="6">
        <v>94788.26</v>
      </c>
      <c r="L112" s="6"/>
      <c r="M112" s="23">
        <v>10489.96</v>
      </c>
      <c r="N112" s="23">
        <v>10489.96</v>
      </c>
      <c r="O112" s="6"/>
      <c r="P112" s="6">
        <v>13899.2</v>
      </c>
      <c r="Q112" s="6">
        <v>84358879.540000007</v>
      </c>
      <c r="R112" s="6">
        <v>84748059.159999996</v>
      </c>
      <c r="S112" s="6"/>
      <c r="T112" s="4"/>
      <c r="U112" s="6"/>
      <c r="V112" s="6"/>
      <c r="W112" s="6"/>
      <c r="X112" s="6"/>
      <c r="Y112" s="5"/>
    </row>
    <row r="113" spans="1:25" ht="28.8" x14ac:dyDescent="0.25">
      <c r="A113" s="4">
        <v>2017</v>
      </c>
      <c r="B113" s="4">
        <v>9</v>
      </c>
      <c r="C113" s="4" t="s">
        <v>18</v>
      </c>
      <c r="D113" s="11">
        <v>3093</v>
      </c>
      <c r="E113" s="5" t="s">
        <v>37</v>
      </c>
      <c r="F113" s="4" t="s">
        <v>38</v>
      </c>
      <c r="G113" s="5" t="s">
        <v>39</v>
      </c>
      <c r="H113" s="4" t="s">
        <v>34</v>
      </c>
      <c r="I113" s="4" t="s">
        <v>34</v>
      </c>
      <c r="J113" s="6">
        <v>26231.58</v>
      </c>
      <c r="K113" s="6">
        <v>26231.58</v>
      </c>
      <c r="L113" s="6"/>
      <c r="M113" s="23">
        <v>1299.17</v>
      </c>
      <c r="N113" s="23">
        <v>1299.17</v>
      </c>
      <c r="O113" s="6"/>
      <c r="P113" s="6">
        <v>1721.4</v>
      </c>
      <c r="Q113" s="6">
        <v>9441154.6099999994</v>
      </c>
      <c r="R113" s="6">
        <v>9453226.9800000004</v>
      </c>
      <c r="S113" s="6"/>
      <c r="T113" s="4"/>
      <c r="U113" s="6"/>
      <c r="V113" s="6"/>
      <c r="W113" s="6"/>
      <c r="X113" s="6"/>
      <c r="Y113" s="5"/>
    </row>
    <row r="114" spans="1:25" ht="28.8" x14ac:dyDescent="0.25">
      <c r="A114" s="4">
        <v>2017</v>
      </c>
      <c r="B114" s="4">
        <v>9</v>
      </c>
      <c r="C114" s="4" t="s">
        <v>18</v>
      </c>
      <c r="D114" s="11">
        <v>43139</v>
      </c>
      <c r="E114" s="5" t="s">
        <v>120</v>
      </c>
      <c r="F114" s="4" t="s">
        <v>126</v>
      </c>
      <c r="G114" s="5" t="s">
        <v>127</v>
      </c>
      <c r="H114" s="4" t="s">
        <v>34</v>
      </c>
      <c r="I114" s="4" t="s">
        <v>34</v>
      </c>
      <c r="J114" s="6">
        <v>2130.7199999999998</v>
      </c>
      <c r="K114" s="6">
        <v>2130.7199999999998</v>
      </c>
      <c r="L114" s="6"/>
      <c r="M114" s="23">
        <v>0</v>
      </c>
      <c r="N114" s="6"/>
      <c r="O114" s="6"/>
      <c r="P114" s="6"/>
      <c r="Q114" s="6"/>
      <c r="R114" s="6"/>
      <c r="S114" s="6"/>
      <c r="T114" s="4"/>
      <c r="U114" s="6"/>
      <c r="V114" s="6"/>
      <c r="W114" s="6"/>
      <c r="X114" s="6"/>
      <c r="Y114" s="5"/>
    </row>
    <row r="115" spans="1:25" ht="28.8" x14ac:dyDescent="0.25">
      <c r="A115" s="4">
        <v>2017</v>
      </c>
      <c r="B115" s="4">
        <v>9</v>
      </c>
      <c r="C115" s="4" t="s">
        <v>18</v>
      </c>
      <c r="D115" s="11">
        <v>44321</v>
      </c>
      <c r="E115" s="5" t="s">
        <v>26</v>
      </c>
      <c r="F115" s="4" t="s">
        <v>128</v>
      </c>
      <c r="G115" s="5" t="s">
        <v>129</v>
      </c>
      <c r="H115" s="4" t="s">
        <v>34</v>
      </c>
      <c r="I115" s="4" t="s">
        <v>34</v>
      </c>
      <c r="J115" s="6">
        <v>28445.99</v>
      </c>
      <c r="K115" s="6">
        <v>28445.99</v>
      </c>
      <c r="L115" s="6"/>
      <c r="M115" s="23">
        <v>1731.89</v>
      </c>
      <c r="N115" s="23">
        <v>1731.89</v>
      </c>
      <c r="O115" s="6"/>
      <c r="P115" s="6">
        <v>2294.7600000000002</v>
      </c>
      <c r="Q115" s="6">
        <v>19034255.530000001</v>
      </c>
      <c r="R115" s="6">
        <v>19030769.23</v>
      </c>
      <c r="S115" s="6"/>
      <c r="T115" s="4"/>
      <c r="U115" s="6"/>
      <c r="V115" s="6"/>
      <c r="W115" s="6"/>
      <c r="X115" s="6"/>
      <c r="Y115" s="5"/>
    </row>
    <row r="116" spans="1:25" ht="28.8" x14ac:dyDescent="0.25">
      <c r="A116" s="4">
        <v>2017</v>
      </c>
      <c r="B116" s="4">
        <v>9</v>
      </c>
      <c r="C116" s="4" t="s">
        <v>18</v>
      </c>
      <c r="D116" s="11">
        <v>45792</v>
      </c>
      <c r="E116" s="5" t="s">
        <v>43</v>
      </c>
      <c r="F116" s="4" t="s">
        <v>44</v>
      </c>
      <c r="G116" s="5" t="s">
        <v>45</v>
      </c>
      <c r="H116" s="4" t="s">
        <v>34</v>
      </c>
      <c r="I116" s="4" t="s">
        <v>34</v>
      </c>
      <c r="J116" s="6">
        <v>83679.070000000007</v>
      </c>
      <c r="K116" s="6">
        <v>83679.070000000007</v>
      </c>
      <c r="L116" s="6"/>
      <c r="M116" s="23">
        <v>7227.06</v>
      </c>
      <c r="N116" s="23">
        <v>7227.06</v>
      </c>
      <c r="O116" s="6"/>
      <c r="P116" s="6">
        <v>9575.85</v>
      </c>
      <c r="Q116" s="6">
        <v>87242712.719999999</v>
      </c>
      <c r="R116" s="6">
        <v>88256332.260000005</v>
      </c>
      <c r="S116" s="6"/>
      <c r="T116" s="4"/>
      <c r="U116" s="6"/>
      <c r="V116" s="6"/>
      <c r="W116" s="6"/>
      <c r="X116" s="6"/>
      <c r="Y116" s="5"/>
    </row>
    <row r="117" spans="1:25" ht="28.8" x14ac:dyDescent="0.25">
      <c r="A117" s="4">
        <v>2017</v>
      </c>
      <c r="B117" s="4">
        <v>9</v>
      </c>
      <c r="C117" s="4" t="s">
        <v>18</v>
      </c>
      <c r="D117" s="11">
        <v>45808</v>
      </c>
      <c r="E117" s="5" t="s">
        <v>46</v>
      </c>
      <c r="F117" s="4" t="s">
        <v>47</v>
      </c>
      <c r="G117" s="5" t="s">
        <v>48</v>
      </c>
      <c r="H117" s="4" t="s">
        <v>34</v>
      </c>
      <c r="I117" s="4" t="s">
        <v>34</v>
      </c>
      <c r="J117" s="6">
        <v>116906.51</v>
      </c>
      <c r="K117" s="6">
        <v>116906.51</v>
      </c>
      <c r="L117" s="6"/>
      <c r="M117" s="23">
        <v>13066.13</v>
      </c>
      <c r="N117" s="23">
        <v>13066.13</v>
      </c>
      <c r="O117" s="6"/>
      <c r="P117" s="6">
        <v>17312.62</v>
      </c>
      <c r="Q117" s="6">
        <v>49959406.049999997</v>
      </c>
      <c r="R117" s="6">
        <v>51215567.530000001</v>
      </c>
      <c r="S117" s="6"/>
      <c r="T117" s="4"/>
      <c r="U117" s="6"/>
      <c r="V117" s="6"/>
      <c r="W117" s="6"/>
      <c r="X117" s="6"/>
      <c r="Y117" s="5"/>
    </row>
    <row r="118" spans="1:25" ht="28.8" x14ac:dyDescent="0.25">
      <c r="A118" s="4">
        <v>2017</v>
      </c>
      <c r="B118" s="4">
        <v>9</v>
      </c>
      <c r="C118" s="4" t="s">
        <v>18</v>
      </c>
      <c r="D118" s="11">
        <v>50544</v>
      </c>
      <c r="E118" s="5" t="s">
        <v>53</v>
      </c>
      <c r="F118" s="4" t="s">
        <v>54</v>
      </c>
      <c r="G118" s="5" t="s">
        <v>55</v>
      </c>
      <c r="H118" s="4" t="s">
        <v>34</v>
      </c>
      <c r="I118" s="4" t="s">
        <v>34</v>
      </c>
      <c r="J118" s="6">
        <v>69140.53</v>
      </c>
      <c r="K118" s="6">
        <v>69140.53</v>
      </c>
      <c r="L118" s="6"/>
      <c r="M118" s="23">
        <v>7882.54</v>
      </c>
      <c r="N118" s="23">
        <v>7882.54</v>
      </c>
      <c r="O118" s="6"/>
      <c r="P118" s="6">
        <v>10444.36</v>
      </c>
      <c r="Q118" s="6">
        <v>83164454.489999995</v>
      </c>
      <c r="R118" s="6">
        <v>83625238.5</v>
      </c>
      <c r="S118" s="6"/>
      <c r="T118" s="4"/>
      <c r="U118" s="6"/>
      <c r="V118" s="6"/>
      <c r="W118" s="6"/>
      <c r="X118" s="6"/>
      <c r="Y118" s="5"/>
    </row>
    <row r="119" spans="1:25" ht="28.8" x14ac:dyDescent="0.25">
      <c r="A119" s="4">
        <v>2017</v>
      </c>
      <c r="B119" s="4">
        <v>10</v>
      </c>
      <c r="C119" s="4" t="s">
        <v>18</v>
      </c>
      <c r="D119" s="11">
        <v>650</v>
      </c>
      <c r="E119" s="5" t="s">
        <v>20</v>
      </c>
      <c r="F119" s="4" t="s">
        <v>21</v>
      </c>
      <c r="G119" s="5" t="s">
        <v>22</v>
      </c>
      <c r="H119" s="4" t="s">
        <v>23</v>
      </c>
      <c r="I119" s="4" t="s">
        <v>23</v>
      </c>
      <c r="J119" s="6">
        <v>234026.22</v>
      </c>
      <c r="K119" s="6">
        <v>180524.9</v>
      </c>
      <c r="L119" s="6">
        <v>53501.32</v>
      </c>
      <c r="M119" s="23">
        <v>21326.45</v>
      </c>
      <c r="N119" s="23">
        <v>16406.48</v>
      </c>
      <c r="O119" s="23">
        <v>4919.97</v>
      </c>
      <c r="P119" s="6">
        <v>27173.23</v>
      </c>
      <c r="Q119" s="6">
        <v>156075498</v>
      </c>
      <c r="R119" s="6">
        <v>156834302.34999999</v>
      </c>
      <c r="S119" s="6">
        <v>5.5E-2</v>
      </c>
      <c r="T119" s="4" t="s">
        <v>24</v>
      </c>
      <c r="U119" s="6">
        <v>0.05</v>
      </c>
      <c r="V119" s="6">
        <v>0.1</v>
      </c>
      <c r="W119" s="6"/>
      <c r="X119" s="6">
        <v>6518.95</v>
      </c>
      <c r="Y119" s="5"/>
    </row>
    <row r="120" spans="1:25" ht="28.8" x14ac:dyDescent="0.25">
      <c r="A120" s="4">
        <v>2017</v>
      </c>
      <c r="B120" s="4">
        <v>10</v>
      </c>
      <c r="C120" s="4" t="s">
        <v>18</v>
      </c>
      <c r="D120" s="11">
        <v>40508</v>
      </c>
      <c r="E120" s="5" t="s">
        <v>119</v>
      </c>
      <c r="F120" s="4" t="s">
        <v>121</v>
      </c>
      <c r="G120" s="5" t="s">
        <v>122</v>
      </c>
      <c r="H120" s="4" t="s">
        <v>34</v>
      </c>
      <c r="I120" s="4" t="s">
        <v>23</v>
      </c>
      <c r="J120" s="6">
        <v>68237.2</v>
      </c>
      <c r="K120" s="6">
        <v>52069.83</v>
      </c>
      <c r="L120" s="6">
        <v>16167.37</v>
      </c>
      <c r="M120" s="23">
        <v>4424.09</v>
      </c>
      <c r="N120" s="23">
        <v>4424.09</v>
      </c>
      <c r="O120" s="6"/>
      <c r="P120" s="6">
        <v>5861.92</v>
      </c>
      <c r="Q120" s="6"/>
      <c r="R120" s="6"/>
      <c r="S120" s="6">
        <v>5.5E-2</v>
      </c>
      <c r="T120" s="4" t="s">
        <v>17</v>
      </c>
      <c r="U120" s="6">
        <v>2.75E-2</v>
      </c>
      <c r="V120" s="6">
        <v>0.1</v>
      </c>
      <c r="W120" s="6"/>
      <c r="X120" s="6"/>
      <c r="Y120" s="5"/>
    </row>
    <row r="121" spans="1:25" ht="28.8" x14ac:dyDescent="0.25">
      <c r="A121" s="4">
        <v>2017</v>
      </c>
      <c r="B121" s="4">
        <v>10</v>
      </c>
      <c r="C121" s="4" t="s">
        <v>18</v>
      </c>
      <c r="D121" s="11">
        <v>44321</v>
      </c>
      <c r="E121" s="5" t="s">
        <v>26</v>
      </c>
      <c r="F121" s="4" t="s">
        <v>27</v>
      </c>
      <c r="G121" s="5" t="s">
        <v>28</v>
      </c>
      <c r="H121" s="4" t="s">
        <v>23</v>
      </c>
      <c r="I121" s="4" t="s">
        <v>23</v>
      </c>
      <c r="J121" s="6">
        <v>453461.02</v>
      </c>
      <c r="K121" s="6">
        <v>155774.62</v>
      </c>
      <c r="L121" s="6">
        <v>297686.40000000002</v>
      </c>
      <c r="M121" s="23">
        <v>51787.15</v>
      </c>
      <c r="N121" s="23">
        <v>17458.41</v>
      </c>
      <c r="O121" s="23">
        <v>34328.74</v>
      </c>
      <c r="P121" s="6">
        <v>28915.49</v>
      </c>
      <c r="Q121" s="6">
        <v>197294845.80000001</v>
      </c>
      <c r="R121" s="6">
        <v>199670167.22</v>
      </c>
      <c r="S121" s="6">
        <v>5.5E-2</v>
      </c>
      <c r="T121" s="4" t="s">
        <v>17</v>
      </c>
      <c r="U121" s="6">
        <v>2.75E-2</v>
      </c>
      <c r="V121" s="6">
        <v>0.1</v>
      </c>
      <c r="W121" s="6"/>
      <c r="X121" s="6">
        <v>45485.57</v>
      </c>
      <c r="Y121" s="5"/>
    </row>
    <row r="122" spans="1:25" ht="43.2" x14ac:dyDescent="0.25">
      <c r="A122" s="4">
        <v>2017</v>
      </c>
      <c r="B122" s="4">
        <v>10</v>
      </c>
      <c r="C122" s="4" t="s">
        <v>18</v>
      </c>
      <c r="D122" s="11">
        <v>45817</v>
      </c>
      <c r="E122" s="5" t="s">
        <v>29</v>
      </c>
      <c r="F122" s="4" t="s">
        <v>30</v>
      </c>
      <c r="G122" s="5" t="s">
        <v>31</v>
      </c>
      <c r="H122" s="4" t="s">
        <v>23</v>
      </c>
      <c r="I122" s="4" t="s">
        <v>23</v>
      </c>
      <c r="J122" s="6">
        <v>624679.41</v>
      </c>
      <c r="K122" s="6">
        <v>185200.52</v>
      </c>
      <c r="L122" s="6">
        <v>439478.89</v>
      </c>
      <c r="M122" s="23">
        <v>63464.49</v>
      </c>
      <c r="N122" s="23">
        <v>19433.27</v>
      </c>
      <c r="O122" s="23">
        <v>44031.22</v>
      </c>
      <c r="P122" s="6">
        <v>32186.36</v>
      </c>
      <c r="Q122" s="6">
        <v>252220022.38999999</v>
      </c>
      <c r="R122" s="6">
        <v>256940963.94</v>
      </c>
      <c r="S122" s="6">
        <v>5.5E-2</v>
      </c>
      <c r="T122" s="4" t="s">
        <v>17</v>
      </c>
      <c r="U122" s="6">
        <v>2.75E-2</v>
      </c>
      <c r="V122" s="6">
        <v>0.1</v>
      </c>
      <c r="W122" s="6"/>
      <c r="X122" s="6">
        <v>58341.36</v>
      </c>
      <c r="Y122" s="5"/>
    </row>
    <row r="123" spans="1:25" ht="28.8" x14ac:dyDescent="0.25">
      <c r="A123" s="4">
        <v>2017</v>
      </c>
      <c r="B123" s="4">
        <v>10</v>
      </c>
      <c r="C123" s="4" t="s">
        <v>18</v>
      </c>
      <c r="D123" s="11">
        <v>49570</v>
      </c>
      <c r="E123" s="5" t="s">
        <v>123</v>
      </c>
      <c r="F123" s="4" t="s">
        <v>124</v>
      </c>
      <c r="G123" s="5" t="s">
        <v>123</v>
      </c>
      <c r="H123" s="4" t="s">
        <v>23</v>
      </c>
      <c r="I123" s="4" t="s">
        <v>23</v>
      </c>
      <c r="J123" s="6">
        <v>945630.99</v>
      </c>
      <c r="K123" s="6">
        <v>404676.65</v>
      </c>
      <c r="L123" s="6">
        <v>540954.34</v>
      </c>
      <c r="M123" s="23">
        <v>108761.27</v>
      </c>
      <c r="N123" s="23">
        <v>53003.05</v>
      </c>
      <c r="O123" s="23">
        <v>55758.22</v>
      </c>
      <c r="P123" s="6">
        <v>87786.3</v>
      </c>
      <c r="Q123" s="6">
        <v>642370888.04999995</v>
      </c>
      <c r="R123" s="6">
        <v>647164629.45000005</v>
      </c>
      <c r="S123" s="6">
        <v>5.5E-2</v>
      </c>
      <c r="T123" s="4" t="s">
        <v>17</v>
      </c>
      <c r="U123" s="6">
        <v>2.75E-2</v>
      </c>
      <c r="V123" s="6">
        <v>0.1</v>
      </c>
      <c r="W123" s="6"/>
      <c r="X123" s="6">
        <v>73879.64</v>
      </c>
      <c r="Y123" s="5" t="s">
        <v>125</v>
      </c>
    </row>
    <row r="124" spans="1:25" ht="28.8" x14ac:dyDescent="0.25">
      <c r="A124" s="4">
        <v>2017</v>
      </c>
      <c r="B124" s="4">
        <v>10</v>
      </c>
      <c r="C124" s="4" t="s">
        <v>168</v>
      </c>
      <c r="D124" s="11">
        <v>9653</v>
      </c>
      <c r="E124" s="5" t="s">
        <v>40</v>
      </c>
      <c r="F124" s="4" t="s">
        <v>41</v>
      </c>
      <c r="G124" s="5" t="s">
        <v>42</v>
      </c>
      <c r="H124" s="4" t="s">
        <v>34</v>
      </c>
      <c r="I124" s="4" t="s">
        <v>34</v>
      </c>
      <c r="J124" s="6">
        <v>1136.2</v>
      </c>
      <c r="K124" s="6">
        <v>1136.2</v>
      </c>
      <c r="L124" s="6"/>
      <c r="M124" s="23">
        <v>1136.2</v>
      </c>
      <c r="N124" s="23">
        <v>1136.2</v>
      </c>
      <c r="O124" s="6"/>
      <c r="P124" s="6">
        <v>1505.47</v>
      </c>
      <c r="Q124" s="6">
        <v>0</v>
      </c>
      <c r="R124" s="6">
        <v>16665142.65</v>
      </c>
      <c r="S124" s="6"/>
      <c r="T124" s="4"/>
      <c r="U124" s="6"/>
      <c r="V124" s="6"/>
      <c r="W124" s="6"/>
      <c r="X124" s="6"/>
      <c r="Y124" s="5"/>
    </row>
    <row r="125" spans="1:25" ht="28.8" x14ac:dyDescent="0.25">
      <c r="A125" s="4">
        <v>2017</v>
      </c>
      <c r="B125" s="4">
        <v>10</v>
      </c>
      <c r="C125" s="4" t="s">
        <v>18</v>
      </c>
      <c r="D125" s="11">
        <v>650</v>
      </c>
      <c r="E125" s="5" t="s">
        <v>20</v>
      </c>
      <c r="F125" s="4" t="s">
        <v>35</v>
      </c>
      <c r="G125" s="5" t="s">
        <v>36</v>
      </c>
      <c r="H125" s="4" t="s">
        <v>34</v>
      </c>
      <c r="I125" s="4" t="s">
        <v>34</v>
      </c>
      <c r="J125" s="6">
        <v>105680.34</v>
      </c>
      <c r="K125" s="6">
        <v>105680.34</v>
      </c>
      <c r="L125" s="6"/>
      <c r="M125" s="23">
        <v>10892.08</v>
      </c>
      <c r="N125" s="23">
        <v>10892.08</v>
      </c>
      <c r="O125" s="6"/>
      <c r="P125" s="6">
        <v>14432.01</v>
      </c>
      <c r="Q125" s="6">
        <v>84761484.939999998</v>
      </c>
      <c r="R125" s="6">
        <v>85161760.870000005</v>
      </c>
      <c r="S125" s="6"/>
      <c r="T125" s="4"/>
      <c r="U125" s="6"/>
      <c r="V125" s="6"/>
      <c r="W125" s="6"/>
      <c r="X125" s="6"/>
      <c r="Y125" s="5"/>
    </row>
    <row r="126" spans="1:25" ht="28.8" x14ac:dyDescent="0.25">
      <c r="A126" s="4">
        <v>2017</v>
      </c>
      <c r="B126" s="4">
        <v>10</v>
      </c>
      <c r="C126" s="4" t="s">
        <v>18</v>
      </c>
      <c r="D126" s="11">
        <v>650</v>
      </c>
      <c r="E126" s="5" t="s">
        <v>20</v>
      </c>
      <c r="F126" s="4" t="s">
        <v>32</v>
      </c>
      <c r="G126" s="5" t="s">
        <v>33</v>
      </c>
      <c r="H126" s="4" t="s">
        <v>34</v>
      </c>
      <c r="I126" s="4" t="s">
        <v>34</v>
      </c>
      <c r="J126" s="6">
        <v>106302.62</v>
      </c>
      <c r="K126" s="6">
        <v>106302.62</v>
      </c>
      <c r="L126" s="6"/>
      <c r="M126" s="23">
        <v>9897.94</v>
      </c>
      <c r="N126" s="23">
        <v>9897.94</v>
      </c>
      <c r="O126" s="6"/>
      <c r="P126" s="6">
        <v>13114.77</v>
      </c>
      <c r="Q126" s="6">
        <v>78681926.579999998</v>
      </c>
      <c r="R126" s="6">
        <v>78952205.969999999</v>
      </c>
      <c r="S126" s="6"/>
      <c r="T126" s="4"/>
      <c r="U126" s="6"/>
      <c r="V126" s="6"/>
      <c r="W126" s="6"/>
      <c r="X126" s="6"/>
      <c r="Y126" s="5"/>
    </row>
    <row r="127" spans="1:25" ht="28.8" x14ac:dyDescent="0.25">
      <c r="A127" s="4">
        <v>2017</v>
      </c>
      <c r="B127" s="4">
        <v>10</v>
      </c>
      <c r="C127" s="4" t="s">
        <v>18</v>
      </c>
      <c r="D127" s="11">
        <v>3093</v>
      </c>
      <c r="E127" s="5" t="s">
        <v>37</v>
      </c>
      <c r="F127" s="4" t="s">
        <v>38</v>
      </c>
      <c r="G127" s="5" t="s">
        <v>39</v>
      </c>
      <c r="H127" s="4" t="s">
        <v>34</v>
      </c>
      <c r="I127" s="4" t="s">
        <v>34</v>
      </c>
      <c r="J127" s="6">
        <v>27478.91</v>
      </c>
      <c r="K127" s="6">
        <v>27478.91</v>
      </c>
      <c r="L127" s="6"/>
      <c r="M127" s="23">
        <v>1333.95</v>
      </c>
      <c r="N127" s="23">
        <v>1333.95</v>
      </c>
      <c r="O127" s="6"/>
      <c r="P127" s="6">
        <v>1767.49</v>
      </c>
      <c r="Q127" s="6">
        <v>9453239.3699999992</v>
      </c>
      <c r="R127" s="6">
        <v>9519947.1199999992</v>
      </c>
      <c r="S127" s="6"/>
      <c r="T127" s="4"/>
      <c r="U127" s="6"/>
      <c r="V127" s="6"/>
      <c r="W127" s="6"/>
      <c r="X127" s="6"/>
      <c r="Y127" s="5"/>
    </row>
    <row r="128" spans="1:25" ht="28.8" x14ac:dyDescent="0.25">
      <c r="A128" s="4">
        <v>2017</v>
      </c>
      <c r="B128" s="4">
        <v>10</v>
      </c>
      <c r="C128" s="4" t="s">
        <v>18</v>
      </c>
      <c r="D128" s="11">
        <v>43139</v>
      </c>
      <c r="E128" s="5" t="s">
        <v>120</v>
      </c>
      <c r="F128" s="4" t="s">
        <v>126</v>
      </c>
      <c r="G128" s="5" t="s">
        <v>127</v>
      </c>
      <c r="H128" s="4" t="s">
        <v>34</v>
      </c>
      <c r="I128" s="4" t="s">
        <v>34</v>
      </c>
      <c r="J128" s="6">
        <v>2130.7199999999998</v>
      </c>
      <c r="K128" s="6">
        <v>2130.7199999999998</v>
      </c>
      <c r="L128" s="6"/>
      <c r="M128" s="23">
        <v>0</v>
      </c>
      <c r="N128" s="6"/>
      <c r="O128" s="6"/>
      <c r="P128" s="6"/>
      <c r="Q128" s="6"/>
      <c r="R128" s="6"/>
      <c r="S128" s="6"/>
      <c r="T128" s="4"/>
      <c r="U128" s="6"/>
      <c r="V128" s="6"/>
      <c r="W128" s="6"/>
      <c r="X128" s="6"/>
      <c r="Y128" s="5"/>
    </row>
    <row r="129" spans="1:25" ht="28.8" x14ac:dyDescent="0.25">
      <c r="A129" s="4">
        <v>2017</v>
      </c>
      <c r="B129" s="4">
        <v>10</v>
      </c>
      <c r="C129" s="4" t="s">
        <v>18</v>
      </c>
      <c r="D129" s="11">
        <v>44321</v>
      </c>
      <c r="E129" s="5" t="s">
        <v>26</v>
      </c>
      <c r="F129" s="4" t="s">
        <v>128</v>
      </c>
      <c r="G129" s="5" t="s">
        <v>129</v>
      </c>
      <c r="H129" s="4" t="s">
        <v>34</v>
      </c>
      <c r="I129" s="4" t="s">
        <v>34</v>
      </c>
      <c r="J129" s="6">
        <v>28445.99</v>
      </c>
      <c r="K129" s="6">
        <v>28445.99</v>
      </c>
      <c r="L129" s="6"/>
      <c r="M129" s="23">
        <v>0</v>
      </c>
      <c r="N129" s="6"/>
      <c r="O129" s="6"/>
      <c r="P129" s="6"/>
      <c r="Q129" s="6"/>
      <c r="R129" s="6"/>
      <c r="S129" s="6"/>
      <c r="T129" s="4"/>
      <c r="U129" s="6"/>
      <c r="V129" s="6"/>
      <c r="W129" s="6"/>
      <c r="X129" s="6"/>
      <c r="Y129" s="5"/>
    </row>
    <row r="130" spans="1:25" ht="28.8" x14ac:dyDescent="0.25">
      <c r="A130" s="4">
        <v>2017</v>
      </c>
      <c r="B130" s="4">
        <v>10</v>
      </c>
      <c r="C130" s="4" t="s">
        <v>18</v>
      </c>
      <c r="D130" s="11">
        <v>45792</v>
      </c>
      <c r="E130" s="5" t="s">
        <v>43</v>
      </c>
      <c r="F130" s="4" t="s">
        <v>44</v>
      </c>
      <c r="G130" s="5" t="s">
        <v>45</v>
      </c>
      <c r="H130" s="4" t="s">
        <v>34</v>
      </c>
      <c r="I130" s="4" t="s">
        <v>34</v>
      </c>
      <c r="J130" s="6">
        <v>90565.02</v>
      </c>
      <c r="K130" s="6">
        <v>90565.02</v>
      </c>
      <c r="L130" s="6"/>
      <c r="M130" s="23">
        <v>7366.02</v>
      </c>
      <c r="N130" s="23">
        <v>7366.02</v>
      </c>
      <c r="O130" s="6"/>
      <c r="P130" s="6">
        <v>9759.9699999999993</v>
      </c>
      <c r="Q130" s="6">
        <v>88258707.209999993</v>
      </c>
      <c r="R130" s="6">
        <v>89346259.269999996</v>
      </c>
      <c r="S130" s="6"/>
      <c r="T130" s="4"/>
      <c r="U130" s="6"/>
      <c r="V130" s="6"/>
      <c r="W130" s="6"/>
      <c r="X130" s="6"/>
      <c r="Y130" s="5"/>
    </row>
    <row r="131" spans="1:25" ht="28.8" x14ac:dyDescent="0.25">
      <c r="A131" s="4">
        <v>2017</v>
      </c>
      <c r="B131" s="4">
        <v>10</v>
      </c>
      <c r="C131" s="4" t="s">
        <v>18</v>
      </c>
      <c r="D131" s="11">
        <v>45808</v>
      </c>
      <c r="E131" s="5" t="s">
        <v>46</v>
      </c>
      <c r="F131" s="4" t="s">
        <v>47</v>
      </c>
      <c r="G131" s="5" t="s">
        <v>48</v>
      </c>
      <c r="H131" s="4" t="s">
        <v>34</v>
      </c>
      <c r="I131" s="4" t="s">
        <v>34</v>
      </c>
      <c r="J131" s="6">
        <v>129779.74</v>
      </c>
      <c r="K131" s="6">
        <v>129779.74</v>
      </c>
      <c r="L131" s="6"/>
      <c r="M131" s="23">
        <v>13737.64</v>
      </c>
      <c r="N131" s="23">
        <v>13737.64</v>
      </c>
      <c r="O131" s="6"/>
      <c r="P131" s="6">
        <v>18202.37</v>
      </c>
      <c r="Q131" s="6">
        <v>51215733.289999999</v>
      </c>
      <c r="R131" s="6">
        <v>51307645.149999999</v>
      </c>
      <c r="S131" s="6"/>
      <c r="T131" s="4"/>
      <c r="U131" s="6"/>
      <c r="V131" s="6"/>
      <c r="W131" s="6"/>
      <c r="X131" s="6"/>
      <c r="Y131" s="5"/>
    </row>
    <row r="132" spans="1:25" ht="28.8" x14ac:dyDescent="0.25">
      <c r="A132" s="4">
        <v>2017</v>
      </c>
      <c r="B132" s="4">
        <v>10</v>
      </c>
      <c r="C132" s="4" t="s">
        <v>18</v>
      </c>
      <c r="D132" s="11">
        <v>50544</v>
      </c>
      <c r="E132" s="5" t="s">
        <v>53</v>
      </c>
      <c r="F132" s="4" t="s">
        <v>54</v>
      </c>
      <c r="G132" s="5" t="s">
        <v>55</v>
      </c>
      <c r="H132" s="4" t="s">
        <v>34</v>
      </c>
      <c r="I132" s="4" t="s">
        <v>34</v>
      </c>
      <c r="J132" s="6">
        <v>76820.17</v>
      </c>
      <c r="K132" s="6">
        <v>76820.17</v>
      </c>
      <c r="L132" s="6"/>
      <c r="M132" s="23">
        <v>8203.7999999999993</v>
      </c>
      <c r="N132" s="23">
        <v>8203.7999999999993</v>
      </c>
      <c r="O132" s="6"/>
      <c r="P132" s="6">
        <v>10870.04</v>
      </c>
      <c r="Q132" s="6">
        <v>83626259.689999998</v>
      </c>
      <c r="R132" s="6">
        <v>84178019.180000007</v>
      </c>
      <c r="S132" s="6"/>
      <c r="T132" s="4"/>
      <c r="U132" s="6"/>
      <c r="V132" s="6"/>
      <c r="W132" s="6"/>
      <c r="X132" s="6"/>
      <c r="Y132" s="5"/>
    </row>
    <row r="133" spans="1:25" ht="28.8" x14ac:dyDescent="0.25">
      <c r="A133" s="4">
        <v>2017</v>
      </c>
      <c r="B133" s="4">
        <v>11</v>
      </c>
      <c r="C133" s="4" t="s">
        <v>18</v>
      </c>
      <c r="D133" s="11">
        <v>650</v>
      </c>
      <c r="E133" s="5" t="s">
        <v>20</v>
      </c>
      <c r="F133" s="4" t="s">
        <v>21</v>
      </c>
      <c r="G133" s="5" t="s">
        <v>22</v>
      </c>
      <c r="H133" s="4" t="s">
        <v>23</v>
      </c>
      <c r="I133" s="4" t="s">
        <v>23</v>
      </c>
      <c r="J133" s="6">
        <v>253731.99</v>
      </c>
      <c r="K133" s="6">
        <v>195287.72</v>
      </c>
      <c r="L133" s="6">
        <v>58444.27</v>
      </c>
      <c r="M133" s="23">
        <v>19705.77</v>
      </c>
      <c r="N133" s="23">
        <v>14762.82</v>
      </c>
      <c r="O133" s="23">
        <v>4942.95</v>
      </c>
      <c r="P133" s="6">
        <v>24450.92</v>
      </c>
      <c r="Q133" s="6">
        <v>156935014.44</v>
      </c>
      <c r="R133" s="6">
        <v>157436334.56</v>
      </c>
      <c r="S133" s="6">
        <v>5.5E-2</v>
      </c>
      <c r="T133" s="4" t="s">
        <v>24</v>
      </c>
      <c r="U133" s="6">
        <v>0.05</v>
      </c>
      <c r="V133" s="6">
        <v>0.1</v>
      </c>
      <c r="W133" s="6"/>
      <c r="X133" s="6">
        <v>6549.4</v>
      </c>
      <c r="Y133" s="5"/>
    </row>
    <row r="134" spans="1:25" ht="28.8" x14ac:dyDescent="0.25">
      <c r="A134" s="4">
        <v>2017</v>
      </c>
      <c r="B134" s="4">
        <v>11</v>
      </c>
      <c r="C134" s="4" t="s">
        <v>18</v>
      </c>
      <c r="D134" s="11">
        <v>40508</v>
      </c>
      <c r="E134" s="5" t="s">
        <v>119</v>
      </c>
      <c r="F134" s="4" t="s">
        <v>121</v>
      </c>
      <c r="G134" s="5" t="s">
        <v>122</v>
      </c>
      <c r="H134" s="4" t="s">
        <v>34</v>
      </c>
      <c r="I134" s="4" t="s">
        <v>23</v>
      </c>
      <c r="J134" s="6">
        <v>72925.570000000007</v>
      </c>
      <c r="K134" s="6">
        <v>56758.2</v>
      </c>
      <c r="L134" s="6">
        <v>16167.37</v>
      </c>
      <c r="M134" s="23">
        <v>4688.38</v>
      </c>
      <c r="N134" s="23">
        <v>4688.38</v>
      </c>
      <c r="O134" s="6"/>
      <c r="P134" s="6">
        <v>6212.1</v>
      </c>
      <c r="Q134" s="6"/>
      <c r="R134" s="6"/>
      <c r="S134" s="6">
        <v>5.5E-2</v>
      </c>
      <c r="T134" s="4" t="s">
        <v>17</v>
      </c>
      <c r="U134" s="6">
        <v>2.75E-2</v>
      </c>
      <c r="V134" s="6">
        <v>0.1</v>
      </c>
      <c r="W134" s="6"/>
      <c r="X134" s="6"/>
      <c r="Y134" s="5"/>
    </row>
    <row r="135" spans="1:25" ht="28.8" x14ac:dyDescent="0.25">
      <c r="A135" s="4">
        <v>2017</v>
      </c>
      <c r="B135" s="4">
        <v>11</v>
      </c>
      <c r="C135" s="4" t="s">
        <v>18</v>
      </c>
      <c r="D135" s="11">
        <v>44321</v>
      </c>
      <c r="E135" s="5" t="s">
        <v>26</v>
      </c>
      <c r="F135" s="4" t="s">
        <v>27</v>
      </c>
      <c r="G135" s="5" t="s">
        <v>28</v>
      </c>
      <c r="H135" s="4" t="s">
        <v>23</v>
      </c>
      <c r="I135" s="4" t="s">
        <v>23</v>
      </c>
      <c r="J135" s="6">
        <v>504965.73</v>
      </c>
      <c r="K135" s="6">
        <v>172806.55</v>
      </c>
      <c r="L135" s="6">
        <v>332159.18</v>
      </c>
      <c r="M135" s="23">
        <v>51504.71</v>
      </c>
      <c r="N135" s="23">
        <v>17031.93</v>
      </c>
      <c r="O135" s="23">
        <v>34472.78</v>
      </c>
      <c r="P135" s="6">
        <v>28209.14</v>
      </c>
      <c r="Q135" s="6">
        <v>199669237.62</v>
      </c>
      <c r="R135" s="6">
        <v>198961499.5</v>
      </c>
      <c r="S135" s="6">
        <v>5.5E-2</v>
      </c>
      <c r="T135" s="4" t="s">
        <v>17</v>
      </c>
      <c r="U135" s="6">
        <v>2.75E-2</v>
      </c>
      <c r="V135" s="6">
        <v>0.1</v>
      </c>
      <c r="W135" s="6"/>
      <c r="X135" s="6">
        <v>45676.44</v>
      </c>
      <c r="Y135" s="5"/>
    </row>
    <row r="136" spans="1:25" ht="43.2" x14ac:dyDescent="0.25">
      <c r="A136" s="4">
        <v>2017</v>
      </c>
      <c r="B136" s="4">
        <v>11</v>
      </c>
      <c r="C136" s="4" t="s">
        <v>18</v>
      </c>
      <c r="D136" s="11">
        <v>45817</v>
      </c>
      <c r="E136" s="5" t="s">
        <v>29</v>
      </c>
      <c r="F136" s="4" t="s">
        <v>30</v>
      </c>
      <c r="G136" s="5" t="s">
        <v>31</v>
      </c>
      <c r="H136" s="4" t="s">
        <v>23</v>
      </c>
      <c r="I136" s="4" t="s">
        <v>23</v>
      </c>
      <c r="J136" s="6">
        <v>688514.73</v>
      </c>
      <c r="K136" s="6">
        <v>204378.47</v>
      </c>
      <c r="L136" s="6">
        <v>484136.26</v>
      </c>
      <c r="M136" s="23">
        <v>63835.33</v>
      </c>
      <c r="N136" s="23">
        <v>19177.95</v>
      </c>
      <c r="O136" s="23">
        <v>44657.38</v>
      </c>
      <c r="P136" s="6">
        <v>31763.48</v>
      </c>
      <c r="Q136" s="6">
        <v>257028044.22999999</v>
      </c>
      <c r="R136" s="6">
        <v>259373603.34999999</v>
      </c>
      <c r="S136" s="6">
        <v>5.5E-2</v>
      </c>
      <c r="T136" s="4" t="s">
        <v>17</v>
      </c>
      <c r="U136" s="6">
        <v>2.75E-2</v>
      </c>
      <c r="V136" s="6">
        <v>0.1</v>
      </c>
      <c r="W136" s="6"/>
      <c r="X136" s="6">
        <v>59171.02</v>
      </c>
      <c r="Y136" s="5"/>
    </row>
    <row r="137" spans="1:25" ht="28.8" x14ac:dyDescent="0.25">
      <c r="A137" s="4">
        <v>2017</v>
      </c>
      <c r="B137" s="4">
        <v>11</v>
      </c>
      <c r="C137" s="4" t="s">
        <v>18</v>
      </c>
      <c r="D137" s="11">
        <v>49570</v>
      </c>
      <c r="E137" s="5" t="s">
        <v>123</v>
      </c>
      <c r="F137" s="4" t="s">
        <v>124</v>
      </c>
      <c r="G137" s="5" t="s">
        <v>123</v>
      </c>
      <c r="H137" s="4" t="s">
        <v>23</v>
      </c>
      <c r="I137" s="4" t="s">
        <v>23</v>
      </c>
      <c r="J137" s="6">
        <v>997235.46</v>
      </c>
      <c r="K137" s="6">
        <v>456281.12</v>
      </c>
      <c r="L137" s="6">
        <v>540954.34</v>
      </c>
      <c r="M137" s="23">
        <v>51604.47</v>
      </c>
      <c r="N137" s="23">
        <v>51604.47</v>
      </c>
      <c r="O137" s="6"/>
      <c r="P137" s="6">
        <v>85469.9</v>
      </c>
      <c r="Q137" s="6"/>
      <c r="R137" s="6"/>
      <c r="S137" s="6">
        <v>5.5E-2</v>
      </c>
      <c r="T137" s="4" t="s">
        <v>17</v>
      </c>
      <c r="U137" s="6">
        <v>2.75E-2</v>
      </c>
      <c r="V137" s="6">
        <v>0.1</v>
      </c>
      <c r="W137" s="6"/>
      <c r="X137" s="6"/>
      <c r="Y137" s="5" t="s">
        <v>125</v>
      </c>
    </row>
    <row r="138" spans="1:25" ht="28.8" x14ac:dyDescent="0.25">
      <c r="A138" s="4">
        <v>2017</v>
      </c>
      <c r="B138" s="4">
        <v>11</v>
      </c>
      <c r="C138" s="4" t="s">
        <v>168</v>
      </c>
      <c r="D138" s="11">
        <v>49570</v>
      </c>
      <c r="E138" s="5" t="s">
        <v>50</v>
      </c>
      <c r="F138" s="4" t="s">
        <v>51</v>
      </c>
      <c r="G138" s="5" t="s">
        <v>52</v>
      </c>
      <c r="H138" s="4" t="s">
        <v>34</v>
      </c>
      <c r="I138" s="4" t="s">
        <v>34</v>
      </c>
      <c r="J138" s="6">
        <v>64505.86</v>
      </c>
      <c r="K138" s="6">
        <v>64505.86</v>
      </c>
      <c r="L138" s="6"/>
      <c r="M138" s="23">
        <v>64505.86</v>
      </c>
      <c r="N138" s="23">
        <v>64505.86</v>
      </c>
      <c r="O138" s="6"/>
      <c r="P138" s="6">
        <v>85470.26</v>
      </c>
      <c r="Q138" s="6">
        <v>647068197.82000005</v>
      </c>
      <c r="R138" s="6">
        <v>648650950.37</v>
      </c>
      <c r="S138" s="6"/>
      <c r="T138" s="4"/>
      <c r="U138" s="6"/>
      <c r="V138" s="6"/>
      <c r="W138" s="6"/>
      <c r="X138" s="6"/>
      <c r="Y138" s="5"/>
    </row>
    <row r="139" spans="1:25" ht="28.8" x14ac:dyDescent="0.25">
      <c r="A139" s="4">
        <v>2017</v>
      </c>
      <c r="B139" s="4">
        <v>11</v>
      </c>
      <c r="C139" s="4" t="s">
        <v>18</v>
      </c>
      <c r="D139" s="11">
        <v>650</v>
      </c>
      <c r="E139" s="5" t="s">
        <v>20</v>
      </c>
      <c r="F139" s="4" t="s">
        <v>32</v>
      </c>
      <c r="G139" s="5" t="s">
        <v>33</v>
      </c>
      <c r="H139" s="4" t="s">
        <v>34</v>
      </c>
      <c r="I139" s="4" t="s">
        <v>34</v>
      </c>
      <c r="J139" s="6">
        <v>115915.47</v>
      </c>
      <c r="K139" s="6">
        <v>115915.47</v>
      </c>
      <c r="L139" s="6"/>
      <c r="M139" s="23">
        <v>9612.85</v>
      </c>
      <c r="N139" s="23">
        <v>9612.85</v>
      </c>
      <c r="O139" s="6"/>
      <c r="P139" s="6">
        <v>12737.03</v>
      </c>
      <c r="Q139" s="6">
        <v>78965319.489999995</v>
      </c>
      <c r="R139" s="6">
        <v>79234628.359999999</v>
      </c>
      <c r="S139" s="6"/>
      <c r="T139" s="4"/>
      <c r="U139" s="6"/>
      <c r="V139" s="6"/>
      <c r="W139" s="6"/>
      <c r="X139" s="6"/>
      <c r="Y139" s="5"/>
    </row>
    <row r="140" spans="1:25" ht="28.8" x14ac:dyDescent="0.25">
      <c r="A140" s="4">
        <v>2017</v>
      </c>
      <c r="B140" s="4">
        <v>11</v>
      </c>
      <c r="C140" s="4" t="s">
        <v>18</v>
      </c>
      <c r="D140" s="11">
        <v>650</v>
      </c>
      <c r="E140" s="5" t="s">
        <v>20</v>
      </c>
      <c r="F140" s="4" t="s">
        <v>35</v>
      </c>
      <c r="G140" s="5" t="s">
        <v>36</v>
      </c>
      <c r="H140" s="4" t="s">
        <v>34</v>
      </c>
      <c r="I140" s="4" t="s">
        <v>34</v>
      </c>
      <c r="J140" s="6">
        <v>116272.2</v>
      </c>
      <c r="K140" s="6">
        <v>116272.2</v>
      </c>
      <c r="L140" s="6"/>
      <c r="M140" s="23">
        <v>10591.86</v>
      </c>
      <c r="N140" s="23">
        <v>10591.86</v>
      </c>
      <c r="O140" s="6"/>
      <c r="P140" s="6">
        <v>14034.21</v>
      </c>
      <c r="Q140" s="6">
        <v>85175761.060000002</v>
      </c>
      <c r="R140" s="6">
        <v>85573679.780000001</v>
      </c>
      <c r="S140" s="6"/>
      <c r="T140" s="4"/>
      <c r="U140" s="6"/>
      <c r="V140" s="6"/>
      <c r="W140" s="6"/>
      <c r="X140" s="6"/>
      <c r="Y140" s="5"/>
    </row>
    <row r="141" spans="1:25" ht="28.8" x14ac:dyDescent="0.25">
      <c r="A141" s="4">
        <v>2017</v>
      </c>
      <c r="B141" s="4">
        <v>11</v>
      </c>
      <c r="C141" s="4" t="s">
        <v>18</v>
      </c>
      <c r="D141" s="11">
        <v>3093</v>
      </c>
      <c r="E141" s="5" t="s">
        <v>37</v>
      </c>
      <c r="F141" s="4" t="s">
        <v>38</v>
      </c>
      <c r="G141" s="5" t="s">
        <v>39</v>
      </c>
      <c r="H141" s="4" t="s">
        <v>34</v>
      </c>
      <c r="I141" s="4" t="s">
        <v>34</v>
      </c>
      <c r="J141" s="6">
        <v>28750.26</v>
      </c>
      <c r="K141" s="6">
        <v>28750.26</v>
      </c>
      <c r="L141" s="6"/>
      <c r="M141" s="23">
        <v>1271.3499999999999</v>
      </c>
      <c r="N141" s="23">
        <v>1271.3499999999999</v>
      </c>
      <c r="O141" s="6"/>
      <c r="P141" s="6">
        <v>1684.54</v>
      </c>
      <c r="Q141" s="6">
        <v>9523819.1899999995</v>
      </c>
      <c r="R141" s="6">
        <v>9484806.8300000001</v>
      </c>
      <c r="S141" s="6"/>
      <c r="T141" s="4"/>
      <c r="U141" s="6"/>
      <c r="V141" s="6"/>
      <c r="W141" s="6"/>
      <c r="X141" s="6"/>
      <c r="Y141" s="5"/>
    </row>
    <row r="142" spans="1:25" ht="28.8" x14ac:dyDescent="0.25">
      <c r="A142" s="4">
        <v>2017</v>
      </c>
      <c r="B142" s="4">
        <v>11</v>
      </c>
      <c r="C142" s="4" t="s">
        <v>18</v>
      </c>
      <c r="D142" s="11">
        <v>9653</v>
      </c>
      <c r="E142" s="5" t="s">
        <v>40</v>
      </c>
      <c r="F142" s="4" t="s">
        <v>41</v>
      </c>
      <c r="G142" s="5" t="s">
        <v>42</v>
      </c>
      <c r="H142" s="4" t="s">
        <v>34</v>
      </c>
      <c r="I142" s="4" t="s">
        <v>34</v>
      </c>
      <c r="J142" s="6">
        <v>4455.8</v>
      </c>
      <c r="K142" s="6">
        <v>4455.8</v>
      </c>
      <c r="L142" s="6"/>
      <c r="M142" s="23">
        <v>3319.59</v>
      </c>
      <c r="N142" s="23">
        <v>3319.59</v>
      </c>
      <c r="O142" s="6"/>
      <c r="P142" s="6">
        <v>4398.46</v>
      </c>
      <c r="Q142" s="6">
        <v>16668566.949999999</v>
      </c>
      <c r="R142" s="6">
        <v>20917455.739999998</v>
      </c>
      <c r="S142" s="6"/>
      <c r="T142" s="4"/>
      <c r="U142" s="6"/>
      <c r="V142" s="6"/>
      <c r="W142" s="6"/>
      <c r="X142" s="6"/>
      <c r="Y142" s="5"/>
    </row>
    <row r="143" spans="1:25" ht="28.8" x14ac:dyDescent="0.25">
      <c r="A143" s="4">
        <v>2017</v>
      </c>
      <c r="B143" s="4">
        <v>11</v>
      </c>
      <c r="C143" s="4" t="s">
        <v>18</v>
      </c>
      <c r="D143" s="11">
        <v>43139</v>
      </c>
      <c r="E143" s="5" t="s">
        <v>120</v>
      </c>
      <c r="F143" s="4" t="s">
        <v>126</v>
      </c>
      <c r="G143" s="5" t="s">
        <v>127</v>
      </c>
      <c r="H143" s="4" t="s">
        <v>34</v>
      </c>
      <c r="I143" s="4" t="s">
        <v>34</v>
      </c>
      <c r="J143" s="6">
        <v>2130.7199999999998</v>
      </c>
      <c r="K143" s="6">
        <v>2130.7199999999998</v>
      </c>
      <c r="L143" s="6"/>
      <c r="M143" s="23">
        <v>0</v>
      </c>
      <c r="N143" s="6"/>
      <c r="O143" s="6"/>
      <c r="P143" s="6"/>
      <c r="Q143" s="6"/>
      <c r="R143" s="6"/>
      <c r="S143" s="6"/>
      <c r="T143" s="4"/>
      <c r="U143" s="6"/>
      <c r="V143" s="6"/>
      <c r="W143" s="6"/>
      <c r="X143" s="6"/>
      <c r="Y143" s="5"/>
    </row>
    <row r="144" spans="1:25" ht="28.8" x14ac:dyDescent="0.25">
      <c r="A144" s="4">
        <v>2017</v>
      </c>
      <c r="B144" s="4">
        <v>11</v>
      </c>
      <c r="C144" s="4" t="s">
        <v>18</v>
      </c>
      <c r="D144" s="11">
        <v>44321</v>
      </c>
      <c r="E144" s="5" t="s">
        <v>26</v>
      </c>
      <c r="F144" s="4" t="s">
        <v>128</v>
      </c>
      <c r="G144" s="5" t="s">
        <v>129</v>
      </c>
      <c r="H144" s="4" t="s">
        <v>34</v>
      </c>
      <c r="I144" s="4" t="s">
        <v>34</v>
      </c>
      <c r="J144" s="6">
        <v>28445.99</v>
      </c>
      <c r="K144" s="6">
        <v>28445.99</v>
      </c>
      <c r="L144" s="6"/>
      <c r="M144" s="23">
        <v>0</v>
      </c>
      <c r="N144" s="6"/>
      <c r="O144" s="6"/>
      <c r="P144" s="6"/>
      <c r="Q144" s="6"/>
      <c r="R144" s="6"/>
      <c r="S144" s="6"/>
      <c r="T144" s="4"/>
      <c r="U144" s="6"/>
      <c r="V144" s="6"/>
      <c r="W144" s="6"/>
      <c r="X144" s="6"/>
      <c r="Y144" s="5"/>
    </row>
    <row r="145" spans="1:25" ht="28.8" x14ac:dyDescent="0.25">
      <c r="A145" s="4">
        <v>2017</v>
      </c>
      <c r="B145" s="4">
        <v>11</v>
      </c>
      <c r="C145" s="4" t="s">
        <v>18</v>
      </c>
      <c r="D145" s="11">
        <v>45792</v>
      </c>
      <c r="E145" s="5" t="s">
        <v>43</v>
      </c>
      <c r="F145" s="4" t="s">
        <v>44</v>
      </c>
      <c r="G145" s="5" t="s">
        <v>45</v>
      </c>
      <c r="H145" s="4" t="s">
        <v>34</v>
      </c>
      <c r="I145" s="4" t="s">
        <v>34</v>
      </c>
      <c r="J145" s="6">
        <v>97590.89</v>
      </c>
      <c r="K145" s="6">
        <v>97590.89</v>
      </c>
      <c r="L145" s="6"/>
      <c r="M145" s="23">
        <v>7025.87</v>
      </c>
      <c r="N145" s="23">
        <v>7025.87</v>
      </c>
      <c r="O145" s="6"/>
      <c r="P145" s="6">
        <v>9309.2800000000007</v>
      </c>
      <c r="Q145" s="6">
        <v>89348367.670000002</v>
      </c>
      <c r="R145" s="6">
        <v>89872936.870000005</v>
      </c>
      <c r="S145" s="6"/>
      <c r="T145" s="4"/>
      <c r="U145" s="6"/>
      <c r="V145" s="6"/>
      <c r="W145" s="6"/>
      <c r="X145" s="6"/>
      <c r="Y145" s="5"/>
    </row>
    <row r="146" spans="1:25" ht="28.8" x14ac:dyDescent="0.25">
      <c r="A146" s="4">
        <v>2017</v>
      </c>
      <c r="B146" s="4">
        <v>11</v>
      </c>
      <c r="C146" s="4" t="s">
        <v>18</v>
      </c>
      <c r="D146" s="11">
        <v>45808</v>
      </c>
      <c r="E146" s="5" t="s">
        <v>46</v>
      </c>
      <c r="F146" s="4" t="s">
        <v>47</v>
      </c>
      <c r="G146" s="5" t="s">
        <v>48</v>
      </c>
      <c r="H146" s="4" t="s">
        <v>34</v>
      </c>
      <c r="I146" s="4" t="s">
        <v>34</v>
      </c>
      <c r="J146" s="6">
        <v>137459.32</v>
      </c>
      <c r="K146" s="6">
        <v>137459.32</v>
      </c>
      <c r="L146" s="6"/>
      <c r="M146" s="23">
        <v>7679.58</v>
      </c>
      <c r="N146" s="23">
        <v>7679.58</v>
      </c>
      <c r="O146" s="6"/>
      <c r="P146" s="6">
        <v>10175.450000000001</v>
      </c>
      <c r="Q146" s="6">
        <v>51315176.259999998</v>
      </c>
      <c r="R146" s="6">
        <v>51949523.060000002</v>
      </c>
      <c r="S146" s="6"/>
      <c r="T146" s="4"/>
      <c r="U146" s="6"/>
      <c r="V146" s="6"/>
      <c r="W146" s="6"/>
      <c r="X146" s="6"/>
      <c r="Y146" s="5"/>
    </row>
    <row r="147" spans="1:25" ht="28.8" x14ac:dyDescent="0.25">
      <c r="A147" s="4">
        <v>2017</v>
      </c>
      <c r="B147" s="4">
        <v>11</v>
      </c>
      <c r="C147" s="4" t="s">
        <v>18</v>
      </c>
      <c r="D147" s="11">
        <v>50544</v>
      </c>
      <c r="E147" s="5" t="s">
        <v>53</v>
      </c>
      <c r="F147" s="4" t="s">
        <v>54</v>
      </c>
      <c r="G147" s="5" t="s">
        <v>55</v>
      </c>
      <c r="H147" s="4" t="s">
        <v>34</v>
      </c>
      <c r="I147" s="4" t="s">
        <v>34</v>
      </c>
      <c r="J147" s="6">
        <v>84800</v>
      </c>
      <c r="K147" s="6">
        <v>84800</v>
      </c>
      <c r="L147" s="6"/>
      <c r="M147" s="23">
        <v>7979.83</v>
      </c>
      <c r="N147" s="23">
        <v>7979.83</v>
      </c>
      <c r="O147" s="6"/>
      <c r="P147" s="6">
        <v>10573.27</v>
      </c>
      <c r="Q147" s="6">
        <v>84140258.329999998</v>
      </c>
      <c r="R147" s="6">
        <v>83978625.450000003</v>
      </c>
      <c r="S147" s="6"/>
      <c r="T147" s="4"/>
      <c r="U147" s="6"/>
      <c r="V147" s="6"/>
      <c r="W147" s="6"/>
      <c r="X147" s="6"/>
      <c r="Y147" s="5"/>
    </row>
    <row r="148" spans="1:25" ht="28.8" x14ac:dyDescent="0.25">
      <c r="A148" s="4">
        <v>2017</v>
      </c>
      <c r="B148" s="4">
        <v>12</v>
      </c>
      <c r="C148" s="4" t="s">
        <v>18</v>
      </c>
      <c r="D148" s="11">
        <v>650</v>
      </c>
      <c r="E148" s="5" t="s">
        <v>20</v>
      </c>
      <c r="F148" s="4" t="s">
        <v>21</v>
      </c>
      <c r="G148" s="5" t="s">
        <v>22</v>
      </c>
      <c r="H148" s="4" t="s">
        <v>23</v>
      </c>
      <c r="I148" s="4" t="s">
        <v>23</v>
      </c>
      <c r="J148" s="6">
        <v>272907.82</v>
      </c>
      <c r="K148" s="6">
        <v>209503.66</v>
      </c>
      <c r="L148" s="6">
        <v>63404.160000000003</v>
      </c>
      <c r="M148" s="23">
        <v>19175.84</v>
      </c>
      <c r="N148" s="23">
        <v>14215.94</v>
      </c>
      <c r="O148" s="23">
        <v>4959.8999999999996</v>
      </c>
      <c r="P148" s="6">
        <v>23545.15</v>
      </c>
      <c r="Q148" s="6">
        <v>157326703.34999999</v>
      </c>
      <c r="R148" s="6">
        <v>158122774.81</v>
      </c>
      <c r="S148" s="6">
        <v>5.5E-2</v>
      </c>
      <c r="T148" s="4" t="s">
        <v>24</v>
      </c>
      <c r="U148" s="6">
        <v>0.05</v>
      </c>
      <c r="V148" s="6">
        <v>0.1</v>
      </c>
      <c r="W148" s="6"/>
      <c r="X148" s="6">
        <v>6571.86</v>
      </c>
      <c r="Y148" s="5"/>
    </row>
    <row r="149" spans="1:25" ht="28.8" x14ac:dyDescent="0.25">
      <c r="A149" s="4">
        <v>2017</v>
      </c>
      <c r="B149" s="4">
        <v>12</v>
      </c>
      <c r="C149" s="4" t="s">
        <v>18</v>
      </c>
      <c r="D149" s="11">
        <v>44321</v>
      </c>
      <c r="E149" s="5" t="s">
        <v>26</v>
      </c>
      <c r="F149" s="4" t="s">
        <v>27</v>
      </c>
      <c r="G149" s="5" t="s">
        <v>28</v>
      </c>
      <c r="H149" s="4" t="s">
        <v>23</v>
      </c>
      <c r="I149" s="4" t="s">
        <v>23</v>
      </c>
      <c r="J149" s="6">
        <v>556970.9</v>
      </c>
      <c r="K149" s="6">
        <v>190110.82</v>
      </c>
      <c r="L149" s="6">
        <v>366860.08</v>
      </c>
      <c r="M149" s="23">
        <v>52005.17</v>
      </c>
      <c r="N149" s="23">
        <v>17304.27</v>
      </c>
      <c r="O149" s="23">
        <v>34700.9</v>
      </c>
      <c r="P149" s="6">
        <v>28660.2</v>
      </c>
      <c r="Q149" s="6">
        <v>198848566.56</v>
      </c>
      <c r="R149" s="6">
        <v>202420017.53999999</v>
      </c>
      <c r="S149" s="6">
        <v>5.5E-2</v>
      </c>
      <c r="T149" s="4" t="s">
        <v>17</v>
      </c>
      <c r="U149" s="6">
        <v>2.75E-2</v>
      </c>
      <c r="V149" s="6">
        <v>0.1</v>
      </c>
      <c r="W149" s="6"/>
      <c r="X149" s="6">
        <v>45978.69</v>
      </c>
      <c r="Y149" s="5"/>
    </row>
    <row r="150" spans="1:25" ht="43.2" x14ac:dyDescent="0.25">
      <c r="A150" s="4">
        <v>2017</v>
      </c>
      <c r="B150" s="4">
        <v>12</v>
      </c>
      <c r="C150" s="4" t="s">
        <v>18</v>
      </c>
      <c r="D150" s="11">
        <v>45817</v>
      </c>
      <c r="E150" s="5" t="s">
        <v>29</v>
      </c>
      <c r="F150" s="4" t="s">
        <v>30</v>
      </c>
      <c r="G150" s="5" t="s">
        <v>31</v>
      </c>
      <c r="H150" s="4" t="s">
        <v>23</v>
      </c>
      <c r="I150" s="4" t="s">
        <v>23</v>
      </c>
      <c r="J150" s="6">
        <v>755282.02</v>
      </c>
      <c r="K150" s="6">
        <v>226020.23</v>
      </c>
      <c r="L150" s="6">
        <v>529261.79</v>
      </c>
      <c r="M150" s="23">
        <v>64932.94</v>
      </c>
      <c r="N150" s="23">
        <v>19807.41</v>
      </c>
      <c r="O150" s="23">
        <v>45125.53</v>
      </c>
      <c r="P150" s="6">
        <v>32806.019999999997</v>
      </c>
      <c r="Q150" s="6">
        <v>260305479.03</v>
      </c>
      <c r="R150" s="6">
        <v>261509706.16</v>
      </c>
      <c r="S150" s="6">
        <v>5.5E-2</v>
      </c>
      <c r="T150" s="4" t="s">
        <v>17</v>
      </c>
      <c r="U150" s="6">
        <v>2.75E-2</v>
      </c>
      <c r="V150" s="6">
        <v>0.1</v>
      </c>
      <c r="W150" s="6"/>
      <c r="X150" s="6">
        <v>59791.32</v>
      </c>
      <c r="Y150" s="5"/>
    </row>
    <row r="151" spans="1:25" ht="28.8" x14ac:dyDescent="0.25">
      <c r="A151" s="4">
        <v>2017</v>
      </c>
      <c r="B151" s="4">
        <v>12</v>
      </c>
      <c r="C151" s="4" t="s">
        <v>18</v>
      </c>
      <c r="D151" s="11">
        <v>49570</v>
      </c>
      <c r="E151" s="5" t="s">
        <v>50</v>
      </c>
      <c r="F151" s="4" t="s">
        <v>124</v>
      </c>
      <c r="G151" s="5" t="s">
        <v>123</v>
      </c>
      <c r="H151" s="4" t="s">
        <v>23</v>
      </c>
      <c r="I151" s="4" t="s">
        <v>23</v>
      </c>
      <c r="J151" s="6">
        <v>1054998.8</v>
      </c>
      <c r="K151" s="6">
        <v>514044.46</v>
      </c>
      <c r="L151" s="6">
        <v>540954.34</v>
      </c>
      <c r="M151" s="23">
        <v>53429.17</v>
      </c>
      <c r="N151" s="23">
        <v>53429.17</v>
      </c>
      <c r="O151" s="6"/>
      <c r="P151" s="6">
        <v>88492.07</v>
      </c>
      <c r="Q151" s="6"/>
      <c r="R151" s="6"/>
      <c r="S151" s="6">
        <v>5.5E-2</v>
      </c>
      <c r="T151" s="4" t="s">
        <v>17</v>
      </c>
      <c r="U151" s="6">
        <v>2.75E-2</v>
      </c>
      <c r="V151" s="6">
        <v>0.1</v>
      </c>
      <c r="W151" s="6"/>
      <c r="X151" s="6"/>
      <c r="Y151" s="5" t="s">
        <v>125</v>
      </c>
    </row>
    <row r="152" spans="1:25" ht="28.8" x14ac:dyDescent="0.25">
      <c r="A152" s="4">
        <v>2017</v>
      </c>
      <c r="B152" s="4">
        <v>12</v>
      </c>
      <c r="C152" s="4" t="s">
        <v>18</v>
      </c>
      <c r="D152" s="11">
        <v>650</v>
      </c>
      <c r="E152" s="5" t="s">
        <v>20</v>
      </c>
      <c r="F152" s="4" t="s">
        <v>32</v>
      </c>
      <c r="G152" s="5" t="s">
        <v>33</v>
      </c>
      <c r="H152" s="4" t="s">
        <v>34</v>
      </c>
      <c r="I152" s="4" t="s">
        <v>34</v>
      </c>
      <c r="J152" s="6">
        <v>125787.85</v>
      </c>
      <c r="K152" s="6">
        <v>125787.85</v>
      </c>
      <c r="L152" s="6"/>
      <c r="M152" s="23">
        <v>9872.3799999999992</v>
      </c>
      <c r="N152" s="23">
        <v>9872.3799999999992</v>
      </c>
      <c r="O152" s="6"/>
      <c r="P152" s="6">
        <v>13080.9</v>
      </c>
      <c r="Q152" s="6">
        <v>79244006.819999993</v>
      </c>
      <c r="R152" s="6">
        <v>79517181.730000004</v>
      </c>
      <c r="S152" s="6"/>
      <c r="T152" s="4"/>
      <c r="U152" s="6"/>
      <c r="V152" s="6"/>
      <c r="W152" s="6"/>
      <c r="X152" s="6"/>
      <c r="Y152" s="5"/>
    </row>
    <row r="153" spans="1:25" ht="28.8" x14ac:dyDescent="0.25">
      <c r="A153" s="4">
        <v>2017</v>
      </c>
      <c r="B153" s="4">
        <v>12</v>
      </c>
      <c r="C153" s="4" t="s">
        <v>18</v>
      </c>
      <c r="D153" s="11">
        <v>650</v>
      </c>
      <c r="E153" s="5" t="s">
        <v>20</v>
      </c>
      <c r="F153" s="4" t="s">
        <v>35</v>
      </c>
      <c r="G153" s="5" t="s">
        <v>36</v>
      </c>
      <c r="H153" s="4" t="s">
        <v>34</v>
      </c>
      <c r="I153" s="4" t="s">
        <v>34</v>
      </c>
      <c r="J153" s="6">
        <v>127263.43</v>
      </c>
      <c r="K153" s="6">
        <v>127263.43</v>
      </c>
      <c r="L153" s="6"/>
      <c r="M153" s="23">
        <v>10991.24</v>
      </c>
      <c r="N153" s="23">
        <v>10991.24</v>
      </c>
      <c r="O153" s="6"/>
      <c r="P153" s="6">
        <v>14563.39</v>
      </c>
      <c r="Q153" s="6">
        <v>85587399.590000004</v>
      </c>
      <c r="R153" s="6">
        <v>85790360.019999996</v>
      </c>
      <c r="S153" s="6"/>
      <c r="T153" s="4"/>
      <c r="U153" s="6"/>
      <c r="V153" s="6"/>
      <c r="W153" s="6"/>
      <c r="X153" s="6"/>
      <c r="Y153" s="5"/>
    </row>
    <row r="154" spans="1:25" ht="28.8" x14ac:dyDescent="0.25">
      <c r="A154" s="4">
        <v>2017</v>
      </c>
      <c r="B154" s="4">
        <v>12</v>
      </c>
      <c r="C154" s="4" t="s">
        <v>18</v>
      </c>
      <c r="D154" s="11">
        <v>3093</v>
      </c>
      <c r="E154" s="5" t="s">
        <v>37</v>
      </c>
      <c r="F154" s="4" t="s">
        <v>38</v>
      </c>
      <c r="G154" s="5" t="s">
        <v>39</v>
      </c>
      <c r="H154" s="4" t="s">
        <v>34</v>
      </c>
      <c r="I154" s="4" t="s">
        <v>34</v>
      </c>
      <c r="J154" s="6">
        <v>30162.49</v>
      </c>
      <c r="K154" s="6">
        <v>30162.49</v>
      </c>
      <c r="L154" s="6"/>
      <c r="M154" s="23">
        <v>1280.55</v>
      </c>
      <c r="N154" s="23">
        <v>1280.55</v>
      </c>
      <c r="O154" s="6"/>
      <c r="P154" s="6">
        <v>1696.73</v>
      </c>
      <c r="Q154" s="6">
        <v>9490921.5</v>
      </c>
      <c r="R154" s="6">
        <v>9526515.7400000002</v>
      </c>
      <c r="S154" s="6"/>
      <c r="T154" s="4"/>
      <c r="U154" s="6"/>
      <c r="V154" s="6"/>
      <c r="W154" s="6"/>
      <c r="X154" s="6"/>
      <c r="Y154" s="5"/>
    </row>
    <row r="155" spans="1:25" ht="28.8" x14ac:dyDescent="0.25">
      <c r="A155" s="4">
        <v>2017</v>
      </c>
      <c r="B155" s="4">
        <v>12</v>
      </c>
      <c r="C155" s="4" t="s">
        <v>18</v>
      </c>
      <c r="D155" s="11">
        <v>9653</v>
      </c>
      <c r="E155" s="5" t="s">
        <v>40</v>
      </c>
      <c r="F155" s="4" t="s">
        <v>41</v>
      </c>
      <c r="G155" s="5" t="s">
        <v>42</v>
      </c>
      <c r="H155" s="4" t="s">
        <v>34</v>
      </c>
      <c r="I155" s="4" t="s">
        <v>34</v>
      </c>
      <c r="J155" s="6">
        <v>11859.75</v>
      </c>
      <c r="K155" s="6">
        <v>11859.75</v>
      </c>
      <c r="L155" s="6"/>
      <c r="M155" s="23">
        <v>7403.95</v>
      </c>
      <c r="N155" s="23">
        <v>7403.95</v>
      </c>
      <c r="O155" s="6"/>
      <c r="P155" s="6">
        <v>9810.24</v>
      </c>
      <c r="Q155" s="6">
        <v>33064237.640000001</v>
      </c>
      <c r="R155" s="6">
        <v>50087373.049999997</v>
      </c>
      <c r="S155" s="6"/>
      <c r="T155" s="4"/>
      <c r="U155" s="6"/>
      <c r="V155" s="6"/>
      <c r="W155" s="6"/>
      <c r="X155" s="6"/>
      <c r="Y155" s="5"/>
    </row>
    <row r="156" spans="1:25" ht="28.8" x14ac:dyDescent="0.25">
      <c r="A156" s="4">
        <v>2017</v>
      </c>
      <c r="B156" s="4">
        <v>12</v>
      </c>
      <c r="C156" s="4" t="s">
        <v>18</v>
      </c>
      <c r="D156" s="11">
        <v>40508</v>
      </c>
      <c r="E156" s="5" t="s">
        <v>119</v>
      </c>
      <c r="F156" s="4" t="s">
        <v>121</v>
      </c>
      <c r="G156" s="5" t="s">
        <v>122</v>
      </c>
      <c r="H156" s="4" t="s">
        <v>34</v>
      </c>
      <c r="I156" s="4" t="s">
        <v>34</v>
      </c>
      <c r="J156" s="6">
        <v>72925.570000000007</v>
      </c>
      <c r="K156" s="6">
        <v>56758.2</v>
      </c>
      <c r="L156" s="6">
        <v>16167.37</v>
      </c>
      <c r="M156" s="23">
        <v>0</v>
      </c>
      <c r="N156" s="6"/>
      <c r="O156" s="6"/>
      <c r="P156" s="6"/>
      <c r="Q156" s="6"/>
      <c r="R156" s="6"/>
      <c r="S156" s="6">
        <v>5.5E-2</v>
      </c>
      <c r="T156" s="4" t="s">
        <v>17</v>
      </c>
      <c r="U156" s="6">
        <v>2.75E-2</v>
      </c>
      <c r="V156" s="6">
        <v>0.1</v>
      </c>
      <c r="W156" s="6"/>
      <c r="X156" s="6"/>
      <c r="Y156" s="5"/>
    </row>
    <row r="157" spans="1:25" ht="28.8" x14ac:dyDescent="0.25">
      <c r="A157" s="4">
        <v>2017</v>
      </c>
      <c r="B157" s="4">
        <v>12</v>
      </c>
      <c r="C157" s="4" t="s">
        <v>18</v>
      </c>
      <c r="D157" s="11">
        <v>43139</v>
      </c>
      <c r="E157" s="5" t="s">
        <v>120</v>
      </c>
      <c r="F157" s="4" t="s">
        <v>126</v>
      </c>
      <c r="G157" s="5" t="s">
        <v>127</v>
      </c>
      <c r="H157" s="4" t="s">
        <v>34</v>
      </c>
      <c r="I157" s="4" t="s">
        <v>34</v>
      </c>
      <c r="J157" s="6">
        <v>2130.7199999999998</v>
      </c>
      <c r="K157" s="6">
        <v>2130.7199999999998</v>
      </c>
      <c r="L157" s="6"/>
      <c r="M157" s="23">
        <v>0</v>
      </c>
      <c r="N157" s="23">
        <v>0</v>
      </c>
      <c r="O157" s="6"/>
      <c r="P157" s="6">
        <v>0</v>
      </c>
      <c r="Q157" s="6"/>
      <c r="R157" s="6"/>
      <c r="S157" s="6"/>
      <c r="T157" s="4"/>
      <c r="U157" s="6"/>
      <c r="V157" s="6"/>
      <c r="W157" s="6"/>
      <c r="X157" s="6"/>
      <c r="Y157" s="5"/>
    </row>
    <row r="158" spans="1:25" ht="28.8" x14ac:dyDescent="0.25">
      <c r="A158" s="4">
        <v>2017</v>
      </c>
      <c r="B158" s="4">
        <v>12</v>
      </c>
      <c r="C158" s="4" t="s">
        <v>18</v>
      </c>
      <c r="D158" s="11">
        <v>44321</v>
      </c>
      <c r="E158" s="5" t="s">
        <v>26</v>
      </c>
      <c r="F158" s="4" t="s">
        <v>128</v>
      </c>
      <c r="G158" s="5" t="s">
        <v>129</v>
      </c>
      <c r="H158" s="4" t="s">
        <v>34</v>
      </c>
      <c r="I158" s="4" t="s">
        <v>34</v>
      </c>
      <c r="J158" s="6">
        <v>28445.99</v>
      </c>
      <c r="K158" s="6">
        <v>28445.99</v>
      </c>
      <c r="L158" s="6"/>
      <c r="M158" s="23">
        <v>0</v>
      </c>
      <c r="N158" s="6"/>
      <c r="O158" s="6"/>
      <c r="P158" s="6"/>
      <c r="Q158" s="6"/>
      <c r="R158" s="6"/>
      <c r="S158" s="6"/>
      <c r="T158" s="4"/>
      <c r="U158" s="6"/>
      <c r="V158" s="6"/>
      <c r="W158" s="6"/>
      <c r="X158" s="6"/>
      <c r="Y158" s="5"/>
    </row>
    <row r="159" spans="1:25" ht="28.8" x14ac:dyDescent="0.25">
      <c r="A159" s="4">
        <v>2017</v>
      </c>
      <c r="B159" s="4">
        <v>12</v>
      </c>
      <c r="C159" s="4" t="s">
        <v>18</v>
      </c>
      <c r="D159" s="11">
        <v>45792</v>
      </c>
      <c r="E159" s="5" t="s">
        <v>43</v>
      </c>
      <c r="F159" s="4" t="s">
        <v>44</v>
      </c>
      <c r="G159" s="5" t="s">
        <v>45</v>
      </c>
      <c r="H159" s="4" t="s">
        <v>34</v>
      </c>
      <c r="I159" s="4" t="s">
        <v>34</v>
      </c>
      <c r="J159" s="6">
        <v>105369.14</v>
      </c>
      <c r="K159" s="6">
        <v>105369.14</v>
      </c>
      <c r="L159" s="6"/>
      <c r="M159" s="23">
        <v>7051.2</v>
      </c>
      <c r="N159" s="23">
        <v>7051.2</v>
      </c>
      <c r="O159" s="6"/>
      <c r="P159" s="6">
        <v>9342.84</v>
      </c>
      <c r="Q159" s="6">
        <v>89943654.680000007</v>
      </c>
      <c r="R159" s="6">
        <v>91491645.930000007</v>
      </c>
      <c r="S159" s="6"/>
      <c r="T159" s="4"/>
      <c r="U159" s="6"/>
      <c r="V159" s="6"/>
      <c r="W159" s="6"/>
      <c r="X159" s="6"/>
      <c r="Y159" s="5"/>
    </row>
    <row r="160" spans="1:25" ht="28.8" x14ac:dyDescent="0.25">
      <c r="A160" s="4">
        <v>2017</v>
      </c>
      <c r="B160" s="4">
        <v>12</v>
      </c>
      <c r="C160" s="4" t="s">
        <v>18</v>
      </c>
      <c r="D160" s="11">
        <v>45808</v>
      </c>
      <c r="E160" s="5" t="s">
        <v>46</v>
      </c>
      <c r="F160" s="4" t="s">
        <v>47</v>
      </c>
      <c r="G160" s="5" t="s">
        <v>48</v>
      </c>
      <c r="H160" s="4" t="s">
        <v>34</v>
      </c>
      <c r="I160" s="4" t="s">
        <v>34</v>
      </c>
      <c r="J160" s="6">
        <v>143951.56</v>
      </c>
      <c r="K160" s="6">
        <v>143951.56</v>
      </c>
      <c r="L160" s="6"/>
      <c r="M160" s="23">
        <v>5191.6499999999996</v>
      </c>
      <c r="N160" s="23">
        <v>5191.6499999999996</v>
      </c>
      <c r="O160" s="6"/>
      <c r="P160" s="6">
        <v>6878.94</v>
      </c>
      <c r="Q160" s="6">
        <v>51954624.43</v>
      </c>
      <c r="R160" s="6">
        <v>52477688.960000001</v>
      </c>
      <c r="S160" s="6"/>
      <c r="T160" s="4"/>
      <c r="U160" s="6"/>
      <c r="V160" s="6"/>
      <c r="W160" s="6"/>
      <c r="X160" s="6"/>
      <c r="Y160" s="5"/>
    </row>
    <row r="161" spans="1:28" ht="28.8" x14ac:dyDescent="0.25">
      <c r="A161" s="4">
        <v>2017</v>
      </c>
      <c r="B161" s="4">
        <v>12</v>
      </c>
      <c r="C161" s="4" t="s">
        <v>18</v>
      </c>
      <c r="D161" s="11">
        <v>49570</v>
      </c>
      <c r="E161" s="5" t="s">
        <v>50</v>
      </c>
      <c r="F161" s="4" t="s">
        <v>51</v>
      </c>
      <c r="G161" s="5" t="s">
        <v>52</v>
      </c>
      <c r="H161" s="4" t="s">
        <v>23</v>
      </c>
      <c r="I161" s="4" t="s">
        <v>34</v>
      </c>
      <c r="J161" s="6">
        <v>105035.19</v>
      </c>
      <c r="K161" s="6">
        <v>105035.19</v>
      </c>
      <c r="L161" s="6"/>
      <c r="M161" s="23">
        <v>53430.51</v>
      </c>
      <c r="N161" s="23">
        <v>53430.51</v>
      </c>
      <c r="O161" s="6"/>
      <c r="P161" s="6">
        <v>88494.28</v>
      </c>
      <c r="Q161" s="6">
        <v>648429461.16999996</v>
      </c>
      <c r="R161" s="6">
        <v>651881533.92999995</v>
      </c>
      <c r="S161" s="6"/>
      <c r="T161" s="4"/>
      <c r="U161" s="6"/>
      <c r="V161" s="6"/>
      <c r="W161" s="6"/>
      <c r="X161" s="6"/>
      <c r="Y161" s="5"/>
    </row>
    <row r="162" spans="1:28" ht="28.8" x14ac:dyDescent="0.25">
      <c r="A162" s="4">
        <v>2017</v>
      </c>
      <c r="B162" s="4">
        <v>12</v>
      </c>
      <c r="C162" s="4" t="s">
        <v>18</v>
      </c>
      <c r="D162" s="11">
        <v>50544</v>
      </c>
      <c r="E162" s="5" t="s">
        <v>53</v>
      </c>
      <c r="F162" s="4" t="s">
        <v>54</v>
      </c>
      <c r="G162" s="5" t="s">
        <v>55</v>
      </c>
      <c r="H162" s="4" t="s">
        <v>34</v>
      </c>
      <c r="I162" s="4" t="s">
        <v>34</v>
      </c>
      <c r="J162" s="6">
        <v>93794.57</v>
      </c>
      <c r="K162" s="6">
        <v>93794.57</v>
      </c>
      <c r="L162" s="6"/>
      <c r="M162" s="23">
        <v>8209.06</v>
      </c>
      <c r="N162" s="23">
        <v>8209.06</v>
      </c>
      <c r="O162" s="6"/>
      <c r="P162" s="6">
        <v>10877</v>
      </c>
      <c r="Q162" s="6">
        <v>83968333.909999996</v>
      </c>
      <c r="R162" s="6">
        <v>84339576.099999994</v>
      </c>
      <c r="S162" s="6"/>
      <c r="T162" s="4"/>
      <c r="U162" s="6"/>
      <c r="V162" s="6"/>
      <c r="W162" s="6"/>
      <c r="X162" s="6"/>
      <c r="Y162" s="5"/>
    </row>
    <row r="163" spans="1:28" ht="28.8" x14ac:dyDescent="0.25">
      <c r="A163" s="4">
        <v>2018</v>
      </c>
      <c r="B163" s="11">
        <v>1</v>
      </c>
      <c r="C163" s="4" t="s">
        <v>18</v>
      </c>
      <c r="D163" s="11">
        <v>650</v>
      </c>
      <c r="E163" s="5" t="s">
        <v>20</v>
      </c>
      <c r="F163" s="4" t="s">
        <v>21</v>
      </c>
      <c r="G163" s="5" t="s">
        <v>22</v>
      </c>
      <c r="H163" s="4" t="s">
        <v>23</v>
      </c>
      <c r="I163" s="4" t="s">
        <v>23</v>
      </c>
      <c r="J163" s="6">
        <v>18312.05</v>
      </c>
      <c r="K163" s="6">
        <v>13462.61</v>
      </c>
      <c r="L163" s="6">
        <v>4849.4399999999996</v>
      </c>
      <c r="M163" s="20">
        <v>18312.05</v>
      </c>
      <c r="N163" s="20">
        <v>13462.61</v>
      </c>
      <c r="O163" s="20">
        <v>4849.4399999999996</v>
      </c>
      <c r="P163" s="6">
        <v>22297.439999999999</v>
      </c>
      <c r="Q163" s="6">
        <v>158144121.40000001</v>
      </c>
      <c r="R163" s="6">
        <v>150280422.63999999</v>
      </c>
      <c r="S163" s="6">
        <v>5.2999999999999999E-2</v>
      </c>
      <c r="T163" s="4" t="s">
        <v>24</v>
      </c>
      <c r="U163" s="6">
        <v>0.05</v>
      </c>
      <c r="V163" s="6">
        <v>0.1</v>
      </c>
      <c r="W163" s="6"/>
      <c r="X163" s="6">
        <v>6425.51</v>
      </c>
      <c r="Y163" s="5"/>
      <c r="AA163">
        <f t="shared" ref="AA163:AA194" si="0">X163*0.8/1.06-O163</f>
        <v>1.5094339623829001E-3</v>
      </c>
      <c r="AB163" s="8">
        <f t="shared" ref="AB163:AB194" si="1">IF(H163="是",P163*0.8/1.06*0.8,P163*0.8/1.06)-N163</f>
        <v>-4.7169811314233812E-3</v>
      </c>
    </row>
    <row r="164" spans="1:28" ht="28.8" x14ac:dyDescent="0.25">
      <c r="A164" s="4">
        <v>2018</v>
      </c>
      <c r="B164" s="11">
        <v>1</v>
      </c>
      <c r="C164" s="4" t="s">
        <v>18</v>
      </c>
      <c r="D164" s="11">
        <v>44321</v>
      </c>
      <c r="E164" s="5" t="s">
        <v>26</v>
      </c>
      <c r="F164" s="4" t="s">
        <v>27</v>
      </c>
      <c r="G164" s="5" t="s">
        <v>28</v>
      </c>
      <c r="H164" s="4" t="s">
        <v>23</v>
      </c>
      <c r="I164" s="4" t="s">
        <v>23</v>
      </c>
      <c r="J164" s="6">
        <v>51040.81</v>
      </c>
      <c r="K164" s="6">
        <v>15806.01</v>
      </c>
      <c r="L164" s="6">
        <v>35234.800000000003</v>
      </c>
      <c r="M164" s="20">
        <v>51040.81</v>
      </c>
      <c r="N164" s="20">
        <v>15806.01</v>
      </c>
      <c r="O164" s="20">
        <v>35234.800000000003</v>
      </c>
      <c r="P164" s="6">
        <v>26178.71</v>
      </c>
      <c r="Q164" s="6">
        <v>202451044.50999999</v>
      </c>
      <c r="R164" s="6">
        <v>204991395.06999999</v>
      </c>
      <c r="S164" s="6">
        <v>5.2999999999999999E-2</v>
      </c>
      <c r="T164" s="4" t="s">
        <v>17</v>
      </c>
      <c r="U164" s="6">
        <v>2.75E-2</v>
      </c>
      <c r="V164" s="6">
        <v>0.1</v>
      </c>
      <c r="W164" s="6"/>
      <c r="X164" s="6">
        <v>46686.11</v>
      </c>
      <c r="Y164" s="5"/>
      <c r="AA164">
        <f t="shared" si="0"/>
        <v>0</v>
      </c>
      <c r="AB164" s="8">
        <f t="shared" si="1"/>
        <v>3.5849056603183271E-3</v>
      </c>
    </row>
    <row r="165" spans="1:28" ht="43.2" x14ac:dyDescent="0.25">
      <c r="A165" s="4">
        <v>2018</v>
      </c>
      <c r="B165" s="11">
        <v>1</v>
      </c>
      <c r="C165" s="4" t="s">
        <v>18</v>
      </c>
      <c r="D165" s="11">
        <v>45817</v>
      </c>
      <c r="E165" s="5" t="s">
        <v>29</v>
      </c>
      <c r="F165" s="4" t="s">
        <v>30</v>
      </c>
      <c r="G165" s="5" t="s">
        <v>31</v>
      </c>
      <c r="H165" s="4" t="s">
        <v>23</v>
      </c>
      <c r="I165" s="4" t="s">
        <v>23</v>
      </c>
      <c r="J165" s="6">
        <v>64803.48</v>
      </c>
      <c r="K165" s="6">
        <v>19180.55</v>
      </c>
      <c r="L165" s="6">
        <v>45622.93</v>
      </c>
      <c r="M165" s="20">
        <v>64803.48</v>
      </c>
      <c r="N165" s="20">
        <v>19180.55</v>
      </c>
      <c r="O165" s="20">
        <v>45622.93</v>
      </c>
      <c r="P165" s="6">
        <v>31767.78</v>
      </c>
      <c r="Q165" s="6">
        <v>261567255.84</v>
      </c>
      <c r="R165" s="6">
        <v>265999709.91</v>
      </c>
      <c r="S165" s="6">
        <v>5.2999999999999999E-2</v>
      </c>
      <c r="T165" s="4" t="s">
        <v>17</v>
      </c>
      <c r="U165" s="6">
        <v>2.75E-2</v>
      </c>
      <c r="V165" s="6">
        <v>0.1</v>
      </c>
      <c r="W165" s="6"/>
      <c r="X165" s="6">
        <v>60450.38</v>
      </c>
      <c r="Y165" s="5"/>
      <c r="AA165">
        <f t="shared" si="0"/>
        <v>-1.698113206657581E-3</v>
      </c>
      <c r="AB165" s="8">
        <f t="shared" si="1"/>
        <v>-3.5849056584993377E-3</v>
      </c>
    </row>
    <row r="166" spans="1:28" ht="28.8" x14ac:dyDescent="0.25">
      <c r="A166" s="4">
        <v>2018</v>
      </c>
      <c r="B166" s="11">
        <v>1</v>
      </c>
      <c r="C166" s="4" t="s">
        <v>18</v>
      </c>
      <c r="D166" s="11">
        <v>650</v>
      </c>
      <c r="E166" s="5" t="s">
        <v>20</v>
      </c>
      <c r="F166" s="4" t="s">
        <v>35</v>
      </c>
      <c r="G166" s="5" t="s">
        <v>36</v>
      </c>
      <c r="H166" s="4" t="s">
        <v>34</v>
      </c>
      <c r="I166" s="4" t="s">
        <v>34</v>
      </c>
      <c r="J166" s="6">
        <v>10506.39</v>
      </c>
      <c r="K166" s="6">
        <v>10506.39</v>
      </c>
      <c r="L166" s="6"/>
      <c r="M166" s="20">
        <v>10506.39</v>
      </c>
      <c r="N166" s="20">
        <v>10506.39</v>
      </c>
      <c r="O166" s="21"/>
      <c r="P166" s="6">
        <v>13920.97</v>
      </c>
      <c r="Q166" s="6">
        <v>85791815.469999999</v>
      </c>
      <c r="R166" s="6">
        <v>80203348.659999996</v>
      </c>
      <c r="S166" s="6"/>
      <c r="T166" s="4"/>
      <c r="U166" s="6"/>
      <c r="V166" s="6"/>
      <c r="W166" s="6"/>
      <c r="X166" s="6"/>
      <c r="Y166" s="5"/>
      <c r="AA166">
        <f t="shared" si="0"/>
        <v>0</v>
      </c>
      <c r="AB166" s="8">
        <f t="shared" si="1"/>
        <v>2.4528301892132731E-3</v>
      </c>
    </row>
    <row r="167" spans="1:28" ht="28.8" x14ac:dyDescent="0.25">
      <c r="A167" s="4">
        <v>2018</v>
      </c>
      <c r="B167" s="11">
        <v>1</v>
      </c>
      <c r="C167" s="4" t="s">
        <v>18</v>
      </c>
      <c r="D167" s="11">
        <v>650</v>
      </c>
      <c r="E167" s="5" t="s">
        <v>20</v>
      </c>
      <c r="F167" s="4" t="s">
        <v>32</v>
      </c>
      <c r="G167" s="5" t="s">
        <v>33</v>
      </c>
      <c r="H167" s="4" t="s">
        <v>34</v>
      </c>
      <c r="I167" s="4" t="s">
        <v>34</v>
      </c>
      <c r="J167" s="6">
        <v>9671.98</v>
      </c>
      <c r="K167" s="6">
        <v>9671.98</v>
      </c>
      <c r="L167" s="6"/>
      <c r="M167" s="20">
        <v>9671.98</v>
      </c>
      <c r="N167" s="20">
        <v>9671.98</v>
      </c>
      <c r="O167" s="21"/>
      <c r="P167" s="6">
        <v>12815.37</v>
      </c>
      <c r="Q167" s="6">
        <v>79531708.180000007</v>
      </c>
      <c r="R167" s="6">
        <v>79831919.659999996</v>
      </c>
      <c r="S167" s="6"/>
      <c r="T167" s="4"/>
      <c r="U167" s="6"/>
      <c r="V167" s="6"/>
      <c r="W167" s="6"/>
      <c r="X167" s="6"/>
      <c r="Y167" s="5"/>
      <c r="AA167">
        <f t="shared" si="0"/>
        <v>0</v>
      </c>
      <c r="AB167" s="8">
        <f t="shared" si="1"/>
        <v>-2.6415094325784594E-3</v>
      </c>
    </row>
    <row r="168" spans="1:28" ht="28.8" x14ac:dyDescent="0.25">
      <c r="A168" s="4">
        <v>2018</v>
      </c>
      <c r="B168" s="11">
        <v>1</v>
      </c>
      <c r="C168" s="4" t="s">
        <v>18</v>
      </c>
      <c r="D168" s="11">
        <v>3093</v>
      </c>
      <c r="E168" s="5" t="s">
        <v>37</v>
      </c>
      <c r="F168" s="4" t="s">
        <v>38</v>
      </c>
      <c r="G168" s="5" t="s">
        <v>39</v>
      </c>
      <c r="H168" s="4" t="s">
        <v>34</v>
      </c>
      <c r="I168" s="4" t="s">
        <v>34</v>
      </c>
      <c r="J168" s="6">
        <v>1080.8800000000001</v>
      </c>
      <c r="K168" s="6">
        <v>1080.8800000000001</v>
      </c>
      <c r="L168" s="6"/>
      <c r="M168" s="20">
        <v>1080.8800000000001</v>
      </c>
      <c r="N168" s="20">
        <v>1080.8800000000001</v>
      </c>
      <c r="O168" s="21"/>
      <c r="P168" s="6">
        <v>1432.17</v>
      </c>
      <c r="Q168" s="6">
        <v>9526602.3200000003</v>
      </c>
      <c r="R168" s="6">
        <v>9615440.3200000003</v>
      </c>
      <c r="S168" s="6"/>
      <c r="T168" s="4"/>
      <c r="U168" s="6"/>
      <c r="V168" s="6"/>
      <c r="W168" s="6"/>
      <c r="X168" s="6"/>
      <c r="Y168" s="5"/>
      <c r="AA168">
        <f t="shared" si="0"/>
        <v>0</v>
      </c>
      <c r="AB168" s="8">
        <f t="shared" si="1"/>
        <v>3.0188679245384265E-3</v>
      </c>
    </row>
    <row r="169" spans="1:28" ht="28.8" x14ac:dyDescent="0.25">
      <c r="A169" s="4">
        <v>2018</v>
      </c>
      <c r="B169" s="11">
        <v>1</v>
      </c>
      <c r="C169" s="4" t="s">
        <v>18</v>
      </c>
      <c r="D169" s="11">
        <v>9653</v>
      </c>
      <c r="E169" s="5" t="s">
        <v>40</v>
      </c>
      <c r="F169" s="4" t="s">
        <v>41</v>
      </c>
      <c r="G169" s="5" t="s">
        <v>42</v>
      </c>
      <c r="H169" s="4" t="s">
        <v>34</v>
      </c>
      <c r="I169" s="4" t="s">
        <v>34</v>
      </c>
      <c r="J169" s="6">
        <v>10100.33</v>
      </c>
      <c r="K169" s="6">
        <v>10100.33</v>
      </c>
      <c r="L169" s="6"/>
      <c r="M169" s="20">
        <v>10100.33</v>
      </c>
      <c r="N169" s="20">
        <v>10100.33</v>
      </c>
      <c r="O169" s="21"/>
      <c r="P169" s="6">
        <v>13382.94</v>
      </c>
      <c r="Q169" s="6">
        <v>50107865.75</v>
      </c>
      <c r="R169" s="6">
        <v>59608601.5</v>
      </c>
      <c r="S169" s="6"/>
      <c r="T169" s="4"/>
      <c r="U169" s="6"/>
      <c r="V169" s="6"/>
      <c r="W169" s="6"/>
      <c r="X169" s="6"/>
      <c r="Y169" s="5"/>
      <c r="AA169">
        <f t="shared" si="0"/>
        <v>0</v>
      </c>
      <c r="AB169" s="8">
        <f t="shared" si="1"/>
        <v>2.0754716988449218E-3</v>
      </c>
    </row>
    <row r="170" spans="1:28" ht="28.8" x14ac:dyDescent="0.25">
      <c r="A170" s="4">
        <v>2018</v>
      </c>
      <c r="B170" s="11">
        <v>1</v>
      </c>
      <c r="C170" s="4" t="s">
        <v>18</v>
      </c>
      <c r="D170" s="11">
        <v>45792</v>
      </c>
      <c r="E170" s="5" t="s">
        <v>43</v>
      </c>
      <c r="F170" s="4" t="s">
        <v>44</v>
      </c>
      <c r="G170" s="5" t="s">
        <v>45</v>
      </c>
      <c r="H170" s="4" t="s">
        <v>34</v>
      </c>
      <c r="I170" s="4" t="s">
        <v>34</v>
      </c>
      <c r="J170" s="6">
        <v>7022.1</v>
      </c>
      <c r="K170" s="6">
        <v>7022.1</v>
      </c>
      <c r="L170" s="6"/>
      <c r="M170" s="20">
        <v>7022.1</v>
      </c>
      <c r="N170" s="20">
        <v>7022.1</v>
      </c>
      <c r="O170" s="21"/>
      <c r="P170" s="6">
        <v>9304.2800000000007</v>
      </c>
      <c r="Q170" s="6">
        <v>91496826.670000002</v>
      </c>
      <c r="R170" s="6">
        <v>92763190.569999993</v>
      </c>
      <c r="S170" s="6"/>
      <c r="T170" s="4"/>
      <c r="U170" s="6"/>
      <c r="V170" s="6"/>
      <c r="W170" s="6"/>
      <c r="X170" s="6"/>
      <c r="Y170" s="5"/>
      <c r="AA170">
        <f t="shared" si="0"/>
        <v>0</v>
      </c>
      <c r="AB170" s="8">
        <f t="shared" si="1"/>
        <v>-1.8867924527512514E-3</v>
      </c>
    </row>
    <row r="171" spans="1:28" ht="28.8" x14ac:dyDescent="0.25">
      <c r="A171" s="4">
        <v>2018</v>
      </c>
      <c r="B171" s="11">
        <v>1</v>
      </c>
      <c r="C171" s="4" t="s">
        <v>18</v>
      </c>
      <c r="D171" s="11">
        <v>45808</v>
      </c>
      <c r="E171" s="5" t="s">
        <v>46</v>
      </c>
      <c r="F171" s="4" t="s">
        <v>47</v>
      </c>
      <c r="G171" s="5" t="s">
        <v>48</v>
      </c>
      <c r="H171" s="4" t="s">
        <v>34</v>
      </c>
      <c r="I171" s="4" t="s">
        <v>34</v>
      </c>
      <c r="J171" s="6">
        <v>5347.96</v>
      </c>
      <c r="K171" s="6">
        <v>5347.96</v>
      </c>
      <c r="L171" s="6"/>
      <c r="M171" s="20">
        <v>5347.96</v>
      </c>
      <c r="N171" s="20">
        <v>5347.96</v>
      </c>
      <c r="O171" s="21"/>
      <c r="P171" s="6">
        <v>7086.05</v>
      </c>
      <c r="Q171" s="6">
        <v>52478719.140000001</v>
      </c>
      <c r="R171" s="6">
        <v>53184059.409999996</v>
      </c>
      <c r="S171" s="6"/>
      <c r="T171" s="4"/>
      <c r="U171" s="6"/>
      <c r="V171" s="6"/>
      <c r="W171" s="6"/>
      <c r="X171" s="6"/>
      <c r="Y171" s="5"/>
      <c r="AA171">
        <f t="shared" si="0"/>
        <v>0</v>
      </c>
      <c r="AB171" s="8">
        <f t="shared" si="1"/>
        <v>2.2641509431196027E-3</v>
      </c>
    </row>
    <row r="172" spans="1:28" ht="28.8" x14ac:dyDescent="0.25">
      <c r="A172" s="4">
        <v>2018</v>
      </c>
      <c r="B172" s="11">
        <v>1</v>
      </c>
      <c r="C172" s="4" t="s">
        <v>18</v>
      </c>
      <c r="D172" s="11">
        <v>49570</v>
      </c>
      <c r="E172" s="5" t="s">
        <v>50</v>
      </c>
      <c r="F172" s="4" t="s">
        <v>51</v>
      </c>
      <c r="G172" s="5" t="s">
        <v>52</v>
      </c>
      <c r="H172" s="4" t="s">
        <v>23</v>
      </c>
      <c r="I172" s="4" t="s">
        <v>34</v>
      </c>
      <c r="J172" s="6">
        <v>53936.480000000003</v>
      </c>
      <c r="K172" s="6">
        <v>53936.480000000003</v>
      </c>
      <c r="L172" s="6"/>
      <c r="M172" s="20">
        <v>53936.480000000003</v>
      </c>
      <c r="N172" s="20">
        <v>53936.480000000003</v>
      </c>
      <c r="O172" s="21"/>
      <c r="P172" s="6">
        <v>89332.29</v>
      </c>
      <c r="Q172" s="6">
        <v>651727003.00999999</v>
      </c>
      <c r="R172" s="6">
        <v>656160527.52999997</v>
      </c>
      <c r="S172" s="6"/>
      <c r="T172" s="4"/>
      <c r="U172" s="6"/>
      <c r="V172" s="6"/>
      <c r="W172" s="6"/>
      <c r="X172" s="6"/>
      <c r="Y172" s="5"/>
      <c r="AA172">
        <f t="shared" si="0"/>
        <v>0</v>
      </c>
      <c r="AB172" s="8">
        <f t="shared" si="1"/>
        <v>-3.0188679302227683E-3</v>
      </c>
    </row>
    <row r="173" spans="1:28" ht="28.8" x14ac:dyDescent="0.25">
      <c r="A173" s="4">
        <v>2018</v>
      </c>
      <c r="B173" s="11">
        <v>1</v>
      </c>
      <c r="C173" s="4" t="s">
        <v>18</v>
      </c>
      <c r="D173" s="11">
        <v>50544</v>
      </c>
      <c r="E173" s="5" t="s">
        <v>53</v>
      </c>
      <c r="F173" s="4" t="s">
        <v>54</v>
      </c>
      <c r="G173" s="5" t="s">
        <v>55</v>
      </c>
      <c r="H173" s="4" t="s">
        <v>34</v>
      </c>
      <c r="I173" s="4" t="s">
        <v>34</v>
      </c>
      <c r="J173" s="6">
        <v>8281.4</v>
      </c>
      <c r="K173" s="6">
        <v>8281.4</v>
      </c>
      <c r="L173" s="6"/>
      <c r="M173" s="20">
        <v>8281.4</v>
      </c>
      <c r="N173" s="20">
        <v>8281.4</v>
      </c>
      <c r="O173" s="21"/>
      <c r="P173" s="6">
        <v>10972.86</v>
      </c>
      <c r="Q173" s="6">
        <v>84356322.489999995</v>
      </c>
      <c r="R173" s="6">
        <v>84809719.129999995</v>
      </c>
      <c r="S173" s="6"/>
      <c r="T173" s="4"/>
      <c r="U173" s="6"/>
      <c r="V173" s="6"/>
      <c r="W173" s="6"/>
      <c r="X173" s="6"/>
      <c r="Y173" s="5"/>
      <c r="AA173">
        <f t="shared" si="0"/>
        <v>0</v>
      </c>
      <c r="AB173" s="8">
        <f t="shared" si="1"/>
        <v>3.7735849055025028E-3</v>
      </c>
    </row>
    <row r="174" spans="1:28" ht="28.8" x14ac:dyDescent="0.25">
      <c r="A174" s="4">
        <v>2018</v>
      </c>
      <c r="B174" s="11">
        <v>2</v>
      </c>
      <c r="C174" s="4" t="s">
        <v>18</v>
      </c>
      <c r="D174" s="11">
        <v>650</v>
      </c>
      <c r="E174" s="5" t="s">
        <v>20</v>
      </c>
      <c r="F174" s="4" t="s">
        <v>21</v>
      </c>
      <c r="G174" s="5" t="s">
        <v>22</v>
      </c>
      <c r="H174" s="4" t="s">
        <v>23</v>
      </c>
      <c r="I174" s="4" t="s">
        <v>23</v>
      </c>
      <c r="J174" s="6">
        <v>34997.24</v>
      </c>
      <c r="K174" s="6">
        <v>25482.67</v>
      </c>
      <c r="L174" s="6">
        <v>9514.57</v>
      </c>
      <c r="M174" s="20">
        <v>16685.189999999999</v>
      </c>
      <c r="N174" s="20">
        <v>12020.06</v>
      </c>
      <c r="O174" s="20">
        <v>4665.13</v>
      </c>
      <c r="P174" s="6">
        <v>19908.23</v>
      </c>
      <c r="Q174" s="6">
        <v>150219822.5</v>
      </c>
      <c r="R174" s="6">
        <v>146482180.63</v>
      </c>
      <c r="S174" s="6">
        <v>5.2999999999999999E-2</v>
      </c>
      <c r="T174" s="4" t="s">
        <v>24</v>
      </c>
      <c r="U174" s="6">
        <v>0.05</v>
      </c>
      <c r="V174" s="6">
        <v>0.1</v>
      </c>
      <c r="W174" s="6"/>
      <c r="X174" s="6">
        <v>6181.29</v>
      </c>
      <c r="Y174" s="5"/>
      <c r="AA174">
        <f t="shared" si="0"/>
        <v>-5.4716981130695785E-3</v>
      </c>
      <c r="AB174" s="8">
        <f t="shared" si="1"/>
        <v>3.3962264169531409E-3</v>
      </c>
    </row>
    <row r="175" spans="1:28" ht="28.8" x14ac:dyDescent="0.25">
      <c r="A175" s="4">
        <v>2018</v>
      </c>
      <c r="B175" s="11">
        <v>2</v>
      </c>
      <c r="C175" s="4" t="s">
        <v>18</v>
      </c>
      <c r="D175" s="11">
        <v>44321</v>
      </c>
      <c r="E175" s="5" t="s">
        <v>26</v>
      </c>
      <c r="F175" s="4" t="s">
        <v>27</v>
      </c>
      <c r="G175" s="5" t="s">
        <v>28</v>
      </c>
      <c r="H175" s="4" t="s">
        <v>23</v>
      </c>
      <c r="I175" s="4" t="s">
        <v>23</v>
      </c>
      <c r="J175" s="6">
        <v>100487.38</v>
      </c>
      <c r="K175" s="6">
        <v>29724.09</v>
      </c>
      <c r="L175" s="6">
        <v>70763.289999999994</v>
      </c>
      <c r="M175" s="20">
        <v>49446.559999999998</v>
      </c>
      <c r="N175" s="20">
        <v>13918.07</v>
      </c>
      <c r="O175" s="20">
        <v>35528.49</v>
      </c>
      <c r="P175" s="6">
        <v>23051.81</v>
      </c>
      <c r="Q175" s="6">
        <v>204850515.78999999</v>
      </c>
      <c r="R175" s="6">
        <v>205987974.09999999</v>
      </c>
      <c r="S175" s="6">
        <v>5.2999999999999999E-2</v>
      </c>
      <c r="T175" s="4" t="s">
        <v>17</v>
      </c>
      <c r="U175" s="6">
        <v>2.75E-2</v>
      </c>
      <c r="V175" s="6">
        <v>0.1</v>
      </c>
      <c r="W175" s="6"/>
      <c r="X175" s="6">
        <v>47075.24</v>
      </c>
      <c r="Y175" s="5"/>
      <c r="AA175">
        <f t="shared" si="0"/>
        <v>-6.9811320718144998E-3</v>
      </c>
      <c r="AB175" s="8">
        <f t="shared" si="1"/>
        <v>3.9622641506866785E-3</v>
      </c>
    </row>
    <row r="176" spans="1:28" ht="43.2" x14ac:dyDescent="0.25">
      <c r="A176" s="4">
        <v>2018</v>
      </c>
      <c r="B176" s="11">
        <v>2</v>
      </c>
      <c r="C176" s="4" t="s">
        <v>18</v>
      </c>
      <c r="D176" s="11">
        <v>45817</v>
      </c>
      <c r="E176" s="5" t="s">
        <v>29</v>
      </c>
      <c r="F176" s="4" t="s">
        <v>30</v>
      </c>
      <c r="G176" s="5" t="s">
        <v>31</v>
      </c>
      <c r="H176" s="4" t="s">
        <v>23</v>
      </c>
      <c r="I176" s="4" t="s">
        <v>23</v>
      </c>
      <c r="J176" s="6">
        <v>127473.84</v>
      </c>
      <c r="K176" s="6">
        <v>35779.47</v>
      </c>
      <c r="L176" s="6">
        <v>91694.37</v>
      </c>
      <c r="M176" s="20">
        <v>62670.37</v>
      </c>
      <c r="N176" s="20">
        <v>16598.93</v>
      </c>
      <c r="O176" s="20">
        <v>46071.44</v>
      </c>
      <c r="P176" s="6">
        <v>27491.97</v>
      </c>
      <c r="Q176" s="6">
        <v>265720612.68000001</v>
      </c>
      <c r="R176" s="6">
        <v>267032814.72999999</v>
      </c>
      <c r="S176" s="6">
        <v>5.2999999999999999E-2</v>
      </c>
      <c r="T176" s="4" t="s">
        <v>17</v>
      </c>
      <c r="U176" s="6">
        <v>2.75E-2</v>
      </c>
      <c r="V176" s="6">
        <v>0.1</v>
      </c>
      <c r="W176" s="6"/>
      <c r="X176" s="6">
        <v>61044.66</v>
      </c>
      <c r="Y176" s="5"/>
      <c r="AA176">
        <f t="shared" si="0"/>
        <v>1.5094339614734054E-3</v>
      </c>
      <c r="AB176" s="8">
        <f t="shared" si="1"/>
        <v>-4.7169811296043918E-3</v>
      </c>
    </row>
    <row r="177" spans="1:28" ht="28.8" x14ac:dyDescent="0.25">
      <c r="A177" s="4">
        <v>2018</v>
      </c>
      <c r="B177" s="11">
        <v>2</v>
      </c>
      <c r="C177" s="4" t="s">
        <v>18</v>
      </c>
      <c r="D177" s="11">
        <v>650</v>
      </c>
      <c r="E177" s="5" t="s">
        <v>20</v>
      </c>
      <c r="F177" s="4" t="s">
        <v>32</v>
      </c>
      <c r="G177" s="5" t="s">
        <v>33</v>
      </c>
      <c r="H177" s="4" t="s">
        <v>34</v>
      </c>
      <c r="I177" s="4" t="s">
        <v>34</v>
      </c>
      <c r="J177" s="6">
        <v>17451.22</v>
      </c>
      <c r="K177" s="6">
        <v>17451.22</v>
      </c>
      <c r="L177" s="6"/>
      <c r="M177" s="20">
        <v>7779.24</v>
      </c>
      <c r="N177" s="20">
        <v>7779.24</v>
      </c>
      <c r="O177" s="21"/>
      <c r="P177" s="6">
        <v>10307.49</v>
      </c>
      <c r="Q177" s="6">
        <v>79842152.569999993</v>
      </c>
      <c r="R177" s="6">
        <v>76770931.25</v>
      </c>
      <c r="S177" s="6"/>
      <c r="T177" s="4"/>
      <c r="U177" s="6"/>
      <c r="V177" s="6"/>
      <c r="W177" s="6"/>
      <c r="X177" s="6"/>
      <c r="Y177" s="5"/>
      <c r="AA177">
        <f t="shared" si="0"/>
        <v>0</v>
      </c>
      <c r="AB177" s="8">
        <f t="shared" si="1"/>
        <v>-2.2641509431196027E-3</v>
      </c>
    </row>
    <row r="178" spans="1:28" ht="28.8" x14ac:dyDescent="0.25">
      <c r="A178" s="4">
        <v>2018</v>
      </c>
      <c r="B178" s="11">
        <v>2</v>
      </c>
      <c r="C178" s="4" t="s">
        <v>18</v>
      </c>
      <c r="D178" s="11">
        <v>650</v>
      </c>
      <c r="E178" s="5" t="s">
        <v>20</v>
      </c>
      <c r="F178" s="4" t="s">
        <v>35</v>
      </c>
      <c r="G178" s="5" t="s">
        <v>36</v>
      </c>
      <c r="H178" s="4" t="s">
        <v>34</v>
      </c>
      <c r="I178" s="4" t="s">
        <v>34</v>
      </c>
      <c r="J178" s="6">
        <v>19806.05</v>
      </c>
      <c r="K178" s="6">
        <v>19806.05</v>
      </c>
      <c r="L178" s="6"/>
      <c r="M178" s="20">
        <v>9299.66</v>
      </c>
      <c r="N178" s="20">
        <v>9299.66</v>
      </c>
      <c r="O178" s="21"/>
      <c r="P178" s="6">
        <v>12322.05</v>
      </c>
      <c r="Q178" s="6">
        <v>80212072.420000002</v>
      </c>
      <c r="R178" s="6">
        <v>80444364.290000007</v>
      </c>
      <c r="S178" s="6"/>
      <c r="T178" s="4"/>
      <c r="U178" s="6"/>
      <c r="V178" s="6"/>
      <c r="W178" s="6"/>
      <c r="X178" s="6"/>
      <c r="Y178" s="5"/>
      <c r="AA178">
        <f t="shared" si="0"/>
        <v>0</v>
      </c>
      <c r="AB178" s="8">
        <f t="shared" si="1"/>
        <v>3.7735849036835134E-4</v>
      </c>
    </row>
    <row r="179" spans="1:28" ht="28.8" x14ac:dyDescent="0.25">
      <c r="A179" s="4">
        <v>2018</v>
      </c>
      <c r="B179" s="11">
        <v>2</v>
      </c>
      <c r="C179" s="4" t="s">
        <v>18</v>
      </c>
      <c r="D179" s="11">
        <v>3093</v>
      </c>
      <c r="E179" s="5" t="s">
        <v>37</v>
      </c>
      <c r="F179" s="4" t="s">
        <v>38</v>
      </c>
      <c r="G179" s="5" t="s">
        <v>39</v>
      </c>
      <c r="H179" s="4" t="s">
        <v>34</v>
      </c>
      <c r="I179" s="4" t="s">
        <v>34</v>
      </c>
      <c r="J179" s="6">
        <v>2059.52</v>
      </c>
      <c r="K179" s="6">
        <v>2059.52</v>
      </c>
      <c r="L179" s="6"/>
      <c r="M179" s="20">
        <v>978.63</v>
      </c>
      <c r="N179" s="20">
        <v>978.63</v>
      </c>
      <c r="O179" s="21"/>
      <c r="P179" s="6">
        <v>1296.69</v>
      </c>
      <c r="Q179" s="6">
        <v>9603705.7599999998</v>
      </c>
      <c r="R179" s="6">
        <v>9610560.3699999992</v>
      </c>
      <c r="S179" s="6"/>
      <c r="T179" s="4"/>
      <c r="U179" s="6"/>
      <c r="V179" s="6"/>
      <c r="W179" s="6"/>
      <c r="X179" s="6"/>
      <c r="Y179" s="5"/>
      <c r="AA179">
        <f t="shared" si="0"/>
        <v>0</v>
      </c>
      <c r="AB179" s="8">
        <f t="shared" si="1"/>
        <v>3.962264151027739E-3</v>
      </c>
    </row>
    <row r="180" spans="1:28" ht="28.8" x14ac:dyDescent="0.25">
      <c r="A180" s="4">
        <v>2018</v>
      </c>
      <c r="B180" s="11">
        <v>2</v>
      </c>
      <c r="C180" s="4" t="s">
        <v>18</v>
      </c>
      <c r="D180" s="11">
        <v>9653</v>
      </c>
      <c r="E180" s="5" t="s">
        <v>40</v>
      </c>
      <c r="F180" s="4" t="s">
        <v>41</v>
      </c>
      <c r="G180" s="5" t="s">
        <v>42</v>
      </c>
      <c r="H180" s="4" t="s">
        <v>34</v>
      </c>
      <c r="I180" s="4" t="s">
        <v>34</v>
      </c>
      <c r="J180" s="6">
        <v>21029.78</v>
      </c>
      <c r="K180" s="6">
        <v>21029.78</v>
      </c>
      <c r="L180" s="6"/>
      <c r="M180" s="20">
        <v>10929.45</v>
      </c>
      <c r="N180" s="20">
        <v>10929.45</v>
      </c>
      <c r="O180" s="21"/>
      <c r="P180" s="6">
        <v>14481.52</v>
      </c>
      <c r="Q180" s="6">
        <v>62770409.649999999</v>
      </c>
      <c r="R180" s="6">
        <v>63095049.100000001</v>
      </c>
      <c r="S180" s="6"/>
      <c r="T180" s="4"/>
      <c r="U180" s="6"/>
      <c r="V180" s="6"/>
      <c r="W180" s="6"/>
      <c r="X180" s="6"/>
      <c r="Y180" s="5"/>
      <c r="AA180">
        <f t="shared" si="0"/>
        <v>0</v>
      </c>
      <c r="AB180" s="8">
        <f t="shared" si="1"/>
        <v>-9.4339622773986775E-4</v>
      </c>
    </row>
    <row r="181" spans="1:28" ht="28.8" x14ac:dyDescent="0.25">
      <c r="A181" s="4">
        <v>2018</v>
      </c>
      <c r="B181" s="11">
        <v>2</v>
      </c>
      <c r="C181" s="4" t="s">
        <v>18</v>
      </c>
      <c r="D181" s="11">
        <v>45792</v>
      </c>
      <c r="E181" s="5" t="s">
        <v>43</v>
      </c>
      <c r="F181" s="4" t="s">
        <v>44</v>
      </c>
      <c r="G181" s="5" t="s">
        <v>45</v>
      </c>
      <c r="H181" s="4" t="s">
        <v>34</v>
      </c>
      <c r="I181" s="4" t="s">
        <v>34</v>
      </c>
      <c r="J181" s="6">
        <v>13336.45</v>
      </c>
      <c r="K181" s="6">
        <v>13336.45</v>
      </c>
      <c r="L181" s="6"/>
      <c r="M181" s="20">
        <v>6314.35</v>
      </c>
      <c r="N181" s="20">
        <v>6314.35</v>
      </c>
      <c r="O181" s="21"/>
      <c r="P181" s="6">
        <v>8366.52</v>
      </c>
      <c r="Q181" s="6">
        <v>92640291.620000005</v>
      </c>
      <c r="R181" s="6">
        <v>92728565.209999993</v>
      </c>
      <c r="S181" s="6"/>
      <c r="T181" s="4"/>
      <c r="U181" s="6"/>
      <c r="V181" s="6"/>
      <c r="W181" s="6"/>
      <c r="X181" s="6"/>
      <c r="Y181" s="5"/>
      <c r="AA181">
        <f t="shared" si="0"/>
        <v>0</v>
      </c>
      <c r="AB181" s="8">
        <f t="shared" si="1"/>
        <v>4.7169811314233812E-3</v>
      </c>
    </row>
    <row r="182" spans="1:28" ht="28.8" x14ac:dyDescent="0.25">
      <c r="A182" s="4">
        <v>2018</v>
      </c>
      <c r="B182" s="11">
        <v>2</v>
      </c>
      <c r="C182" s="4" t="s">
        <v>18</v>
      </c>
      <c r="D182" s="11">
        <v>45808</v>
      </c>
      <c r="E182" s="5" t="s">
        <v>46</v>
      </c>
      <c r="F182" s="4" t="s">
        <v>47</v>
      </c>
      <c r="G182" s="5" t="s">
        <v>48</v>
      </c>
      <c r="H182" s="4" t="s">
        <v>34</v>
      </c>
      <c r="I182" s="4" t="s">
        <v>34</v>
      </c>
      <c r="J182" s="6">
        <v>9424.91</v>
      </c>
      <c r="K182" s="6">
        <v>9424.91</v>
      </c>
      <c r="L182" s="6"/>
      <c r="M182" s="20">
        <v>4076.94</v>
      </c>
      <c r="N182" s="20">
        <v>4076.94</v>
      </c>
      <c r="O182" s="21"/>
      <c r="P182" s="6">
        <v>5401.95</v>
      </c>
      <c r="Q182" s="6">
        <v>53188030.770000003</v>
      </c>
      <c r="R182" s="6">
        <v>53745519.649999999</v>
      </c>
      <c r="S182" s="6"/>
      <c r="T182" s="4"/>
      <c r="U182" s="6"/>
      <c r="V182" s="6"/>
      <c r="W182" s="6"/>
      <c r="X182" s="6"/>
      <c r="Y182" s="5"/>
      <c r="AA182">
        <f t="shared" si="0"/>
        <v>0</v>
      </c>
      <c r="AB182" s="8">
        <f t="shared" si="1"/>
        <v>3.3962264151341515E-3</v>
      </c>
    </row>
    <row r="183" spans="1:28" ht="28.8" x14ac:dyDescent="0.25">
      <c r="A183" s="4">
        <v>2018</v>
      </c>
      <c r="B183" s="11">
        <v>2</v>
      </c>
      <c r="C183" s="4" t="s">
        <v>18</v>
      </c>
      <c r="D183" s="11">
        <v>49570</v>
      </c>
      <c r="E183" s="5" t="s">
        <v>50</v>
      </c>
      <c r="F183" s="4" t="s">
        <v>51</v>
      </c>
      <c r="G183" s="5" t="s">
        <v>52</v>
      </c>
      <c r="H183" s="4" t="s">
        <v>23</v>
      </c>
      <c r="I183" s="4" t="s">
        <v>34</v>
      </c>
      <c r="J183" s="6">
        <v>103712.82</v>
      </c>
      <c r="K183" s="6">
        <v>103712.82</v>
      </c>
      <c r="L183" s="6"/>
      <c r="M183" s="20">
        <v>49776.34</v>
      </c>
      <c r="N183" s="20">
        <v>49776.34</v>
      </c>
      <c r="O183" s="21"/>
      <c r="P183" s="6">
        <v>82442.070000000007</v>
      </c>
      <c r="Q183" s="6">
        <v>656682047.96000004</v>
      </c>
      <c r="R183" s="6">
        <v>655396952.59000003</v>
      </c>
      <c r="S183" s="6"/>
      <c r="T183" s="4"/>
      <c r="U183" s="6"/>
      <c r="V183" s="6"/>
      <c r="W183" s="6"/>
      <c r="X183" s="6"/>
      <c r="Y183" s="5"/>
      <c r="AA183">
        <f t="shared" si="0"/>
        <v>0</v>
      </c>
      <c r="AB183" s="8">
        <f t="shared" si="1"/>
        <v>4.1509434013278224E-3</v>
      </c>
    </row>
    <row r="184" spans="1:28" ht="28.8" x14ac:dyDescent="0.25">
      <c r="A184" s="4">
        <v>2018</v>
      </c>
      <c r="B184" s="11">
        <v>2</v>
      </c>
      <c r="C184" s="4" t="s">
        <v>18</v>
      </c>
      <c r="D184" s="11">
        <v>50544</v>
      </c>
      <c r="E184" s="5" t="s">
        <v>53</v>
      </c>
      <c r="F184" s="4" t="s">
        <v>54</v>
      </c>
      <c r="G184" s="5" t="s">
        <v>55</v>
      </c>
      <c r="H184" s="4" t="s">
        <v>34</v>
      </c>
      <c r="I184" s="4" t="s">
        <v>34</v>
      </c>
      <c r="J184" s="6">
        <v>15433.24</v>
      </c>
      <c r="K184" s="6">
        <v>15433.24</v>
      </c>
      <c r="L184" s="6"/>
      <c r="M184" s="20">
        <v>7151.83</v>
      </c>
      <c r="N184" s="20">
        <v>7151.83</v>
      </c>
      <c r="O184" s="21"/>
      <c r="P184" s="6">
        <v>9476.18</v>
      </c>
      <c r="Q184" s="6">
        <v>84790317.739999995</v>
      </c>
      <c r="R184" s="6">
        <v>84830621.609999999</v>
      </c>
      <c r="S184" s="6"/>
      <c r="T184" s="4"/>
      <c r="U184" s="6"/>
      <c r="V184" s="6"/>
      <c r="W184" s="6"/>
      <c r="X184" s="6"/>
      <c r="Y184" s="5"/>
      <c r="AA184">
        <f t="shared" si="0"/>
        <v>0</v>
      </c>
      <c r="AB184" s="8">
        <f t="shared" si="1"/>
        <v>3.9622641506866785E-3</v>
      </c>
    </row>
    <row r="185" spans="1:28" ht="28.8" x14ac:dyDescent="0.25">
      <c r="A185" s="4">
        <v>2018</v>
      </c>
      <c r="B185" s="11">
        <v>3</v>
      </c>
      <c r="C185" s="4" t="s">
        <v>18</v>
      </c>
      <c r="D185" s="11">
        <v>650</v>
      </c>
      <c r="E185" s="5" t="s">
        <v>20</v>
      </c>
      <c r="F185" s="4" t="s">
        <v>21</v>
      </c>
      <c r="G185" s="5" t="s">
        <v>22</v>
      </c>
      <c r="H185" s="4" t="s">
        <v>23</v>
      </c>
      <c r="I185" s="4" t="s">
        <v>23</v>
      </c>
      <c r="J185" s="6">
        <v>50957.64</v>
      </c>
      <c r="K185" s="6">
        <v>38687.26</v>
      </c>
      <c r="L185" s="6">
        <v>12270.38</v>
      </c>
      <c r="M185" s="20">
        <v>15960.4</v>
      </c>
      <c r="N185" s="20">
        <v>13204.59</v>
      </c>
      <c r="O185" s="20">
        <v>2755.81</v>
      </c>
      <c r="P185" s="6">
        <v>21870.11</v>
      </c>
      <c r="Q185" s="6">
        <v>146227442.56</v>
      </c>
      <c r="R185" s="6">
        <v>145888478.25</v>
      </c>
      <c r="S185" s="6">
        <v>5.2999999999999999E-2</v>
      </c>
      <c r="T185" s="4" t="s">
        <v>24</v>
      </c>
      <c r="U185" s="6">
        <v>0.05</v>
      </c>
      <c r="V185" s="6">
        <v>0.1</v>
      </c>
      <c r="W185" s="6"/>
      <c r="X185" s="6">
        <v>3651.45</v>
      </c>
      <c r="Y185" s="5"/>
      <c r="AA185">
        <f t="shared" si="0"/>
        <v>1.320754716743977E-3</v>
      </c>
      <c r="AB185" s="8">
        <f t="shared" si="1"/>
        <v>4.7169811332423706E-3</v>
      </c>
    </row>
    <row r="186" spans="1:28" ht="28.8" x14ac:dyDescent="0.25">
      <c r="A186" s="4">
        <v>2018</v>
      </c>
      <c r="B186" s="11">
        <v>3</v>
      </c>
      <c r="C186" s="4" t="s">
        <v>18</v>
      </c>
      <c r="D186" s="11">
        <v>44321</v>
      </c>
      <c r="E186" s="5" t="s">
        <v>26</v>
      </c>
      <c r="F186" s="4" t="s">
        <v>27</v>
      </c>
      <c r="G186" s="5" t="s">
        <v>28</v>
      </c>
      <c r="H186" s="4" t="s">
        <v>23</v>
      </c>
      <c r="I186" s="4" t="s">
        <v>23</v>
      </c>
      <c r="J186" s="6">
        <v>148213.20000000001</v>
      </c>
      <c r="K186" s="6">
        <v>44255.05</v>
      </c>
      <c r="L186" s="6">
        <v>103958.15</v>
      </c>
      <c r="M186" s="20">
        <v>47725.82</v>
      </c>
      <c r="N186" s="20">
        <v>14530.96</v>
      </c>
      <c r="O186" s="20">
        <v>33194.86</v>
      </c>
      <c r="P186" s="6">
        <v>24066.91</v>
      </c>
      <c r="Q186" s="6">
        <v>206732160.25</v>
      </c>
      <c r="R186" s="6">
        <v>207227276.77000001</v>
      </c>
      <c r="S186" s="6">
        <v>5.2999999999999999E-2</v>
      </c>
      <c r="T186" s="4" t="s">
        <v>17</v>
      </c>
      <c r="U186" s="6">
        <v>2.75E-2</v>
      </c>
      <c r="V186" s="6">
        <v>0.1</v>
      </c>
      <c r="W186" s="6"/>
      <c r="X186" s="6">
        <v>43983.19</v>
      </c>
      <c r="Y186" s="5"/>
      <c r="AA186">
        <f t="shared" si="0"/>
        <v>3.7735849036835134E-4</v>
      </c>
      <c r="AB186" s="8">
        <f t="shared" si="1"/>
        <v>4.5283018898771843E-3</v>
      </c>
    </row>
    <row r="187" spans="1:28" ht="43.2" x14ac:dyDescent="0.25">
      <c r="A187" s="4">
        <v>2018</v>
      </c>
      <c r="B187" s="11">
        <v>3</v>
      </c>
      <c r="C187" s="4" t="s">
        <v>18</v>
      </c>
      <c r="D187" s="11">
        <v>45817</v>
      </c>
      <c r="E187" s="5" t="s">
        <v>29</v>
      </c>
      <c r="F187" s="4" t="s">
        <v>30</v>
      </c>
      <c r="G187" s="5" t="s">
        <v>31</v>
      </c>
      <c r="H187" s="4" t="s">
        <v>23</v>
      </c>
      <c r="I187" s="4" t="s">
        <v>23</v>
      </c>
      <c r="J187" s="6">
        <v>189189.41</v>
      </c>
      <c r="K187" s="6">
        <v>54463.92</v>
      </c>
      <c r="L187" s="6">
        <v>134725.49</v>
      </c>
      <c r="M187" s="20">
        <v>61715.56</v>
      </c>
      <c r="N187" s="20">
        <v>18684.439999999999</v>
      </c>
      <c r="O187" s="20">
        <v>43031.12</v>
      </c>
      <c r="P187" s="6">
        <v>30946.11</v>
      </c>
      <c r="Q187" s="6">
        <v>266584561.86000001</v>
      </c>
      <c r="R187" s="6">
        <v>270038770.54000002</v>
      </c>
      <c r="S187" s="6">
        <v>5.2999999999999999E-2</v>
      </c>
      <c r="T187" s="4" t="s">
        <v>17</v>
      </c>
      <c r="U187" s="6">
        <v>2.75E-2</v>
      </c>
      <c r="V187" s="6">
        <v>0.1</v>
      </c>
      <c r="W187" s="6"/>
      <c r="X187" s="6">
        <v>57016.23</v>
      </c>
      <c r="Y187" s="5"/>
      <c r="AA187">
        <f t="shared" si="0"/>
        <v>-3.0188679229468107E-3</v>
      </c>
      <c r="AB187" s="8">
        <f t="shared" si="1"/>
        <v>3.7735849073214922E-3</v>
      </c>
    </row>
    <row r="188" spans="1:28" ht="28.8" x14ac:dyDescent="0.25">
      <c r="A188" s="4">
        <v>2018</v>
      </c>
      <c r="B188" s="11">
        <v>3</v>
      </c>
      <c r="C188" s="4" t="s">
        <v>18</v>
      </c>
      <c r="D188" s="11">
        <v>650</v>
      </c>
      <c r="E188" s="5" t="s">
        <v>20</v>
      </c>
      <c r="F188" s="4" t="s">
        <v>32</v>
      </c>
      <c r="G188" s="5" t="s">
        <v>33</v>
      </c>
      <c r="H188" s="4" t="s">
        <v>34</v>
      </c>
      <c r="I188" s="4" t="s">
        <v>34</v>
      </c>
      <c r="J188" s="6">
        <v>25154.35</v>
      </c>
      <c r="K188" s="6">
        <v>25154.35</v>
      </c>
      <c r="L188" s="6"/>
      <c r="M188" s="20">
        <v>7703.14</v>
      </c>
      <c r="N188" s="20">
        <v>7703.14</v>
      </c>
      <c r="O188" s="21"/>
      <c r="P188" s="6">
        <v>10206.66</v>
      </c>
      <c r="Q188" s="6">
        <v>76781972.739999995</v>
      </c>
      <c r="R188" s="6">
        <v>72086238.540000007</v>
      </c>
      <c r="S188" s="6"/>
      <c r="T188" s="4"/>
      <c r="U188" s="6"/>
      <c r="V188" s="6"/>
      <c r="W188" s="6"/>
      <c r="X188" s="6"/>
      <c r="Y188" s="5"/>
      <c r="AA188">
        <f t="shared" si="0"/>
        <v>0</v>
      </c>
      <c r="AB188" s="8">
        <f t="shared" si="1"/>
        <v>-3.7735849127784604E-4</v>
      </c>
    </row>
    <row r="189" spans="1:28" ht="28.8" x14ac:dyDescent="0.25">
      <c r="A189" s="4">
        <v>2018</v>
      </c>
      <c r="B189" s="11">
        <v>3</v>
      </c>
      <c r="C189" s="4" t="s">
        <v>18</v>
      </c>
      <c r="D189" s="11">
        <v>650</v>
      </c>
      <c r="E189" s="5" t="s">
        <v>20</v>
      </c>
      <c r="F189" s="4" t="s">
        <v>35</v>
      </c>
      <c r="G189" s="5" t="s">
        <v>36</v>
      </c>
      <c r="H189" s="4" t="s">
        <v>34</v>
      </c>
      <c r="I189" s="4" t="s">
        <v>34</v>
      </c>
      <c r="J189" s="6">
        <v>30764.54</v>
      </c>
      <c r="K189" s="6">
        <v>30764.54</v>
      </c>
      <c r="L189" s="6"/>
      <c r="M189" s="20">
        <v>10958.48</v>
      </c>
      <c r="N189" s="20">
        <v>10958.48</v>
      </c>
      <c r="O189" s="21"/>
      <c r="P189" s="6">
        <v>14519.99</v>
      </c>
      <c r="Q189" s="6">
        <v>80452943.849999994</v>
      </c>
      <c r="R189" s="6">
        <v>85853671.239999995</v>
      </c>
      <c r="S189" s="6"/>
      <c r="T189" s="4"/>
      <c r="U189" s="6"/>
      <c r="V189" s="6"/>
      <c r="W189" s="6"/>
      <c r="X189" s="6"/>
      <c r="Y189" s="5"/>
      <c r="AA189">
        <f t="shared" si="0"/>
        <v>0</v>
      </c>
      <c r="AB189" s="8">
        <f t="shared" si="1"/>
        <v>3.0188679247658001E-3</v>
      </c>
    </row>
    <row r="190" spans="1:28" ht="28.8" x14ac:dyDescent="0.25">
      <c r="A190" s="4">
        <v>2018</v>
      </c>
      <c r="B190" s="11">
        <v>3</v>
      </c>
      <c r="C190" s="4" t="s">
        <v>18</v>
      </c>
      <c r="D190" s="11">
        <v>3093</v>
      </c>
      <c r="E190" s="5" t="s">
        <v>37</v>
      </c>
      <c r="F190" s="4" t="s">
        <v>38</v>
      </c>
      <c r="G190" s="5" t="s">
        <v>39</v>
      </c>
      <c r="H190" s="4" t="s">
        <v>34</v>
      </c>
      <c r="I190" s="4" t="s">
        <v>34</v>
      </c>
      <c r="J190" s="6">
        <v>3149.98</v>
      </c>
      <c r="K190" s="6">
        <v>3149.98</v>
      </c>
      <c r="L190" s="6"/>
      <c r="M190" s="20">
        <v>1090.46</v>
      </c>
      <c r="N190" s="20">
        <v>1090.46</v>
      </c>
      <c r="O190" s="21"/>
      <c r="P190" s="6">
        <v>1444.86</v>
      </c>
      <c r="Q190" s="6">
        <v>9621123.9199999999</v>
      </c>
      <c r="R190" s="6">
        <v>9513828.3300000001</v>
      </c>
      <c r="S190" s="6"/>
      <c r="T190" s="4"/>
      <c r="U190" s="6"/>
      <c r="V190" s="6"/>
      <c r="W190" s="6"/>
      <c r="X190" s="6"/>
      <c r="Y190" s="5"/>
      <c r="AA190">
        <f t="shared" si="0"/>
        <v>0</v>
      </c>
      <c r="AB190" s="8">
        <f t="shared" si="1"/>
        <v>3.7735849036835134E-4</v>
      </c>
    </row>
    <row r="191" spans="1:28" ht="28.8" x14ac:dyDescent="0.25">
      <c r="A191" s="4">
        <v>2018</v>
      </c>
      <c r="B191" s="11">
        <v>3</v>
      </c>
      <c r="C191" s="4" t="s">
        <v>18</v>
      </c>
      <c r="D191" s="11">
        <v>9653</v>
      </c>
      <c r="E191" s="5" t="s">
        <v>40</v>
      </c>
      <c r="F191" s="4" t="s">
        <v>41</v>
      </c>
      <c r="G191" s="5" t="s">
        <v>42</v>
      </c>
      <c r="H191" s="4" t="s">
        <v>34</v>
      </c>
      <c r="I191" s="4" t="s">
        <v>34</v>
      </c>
      <c r="J191" s="6">
        <v>33212.269999999997</v>
      </c>
      <c r="K191" s="6">
        <v>33212.269999999997</v>
      </c>
      <c r="L191" s="6"/>
      <c r="M191" s="20">
        <v>12182.49</v>
      </c>
      <c r="N191" s="20">
        <v>12182.49</v>
      </c>
      <c r="O191" s="21"/>
      <c r="P191" s="6">
        <v>16141.8</v>
      </c>
      <c r="Q191" s="6">
        <v>63107972.880000003</v>
      </c>
      <c r="R191" s="6">
        <v>63547234.689999998</v>
      </c>
      <c r="S191" s="6"/>
      <c r="T191" s="4"/>
      <c r="U191" s="6"/>
      <c r="V191" s="6"/>
      <c r="W191" s="6"/>
      <c r="X191" s="6"/>
      <c r="Y191" s="5"/>
      <c r="AA191">
        <f t="shared" si="0"/>
        <v>0</v>
      </c>
      <c r="AB191" s="8">
        <f t="shared" si="1"/>
        <v>5.6603773555252701E-4</v>
      </c>
    </row>
    <row r="192" spans="1:28" ht="28.8" x14ac:dyDescent="0.25">
      <c r="A192" s="4">
        <v>2018</v>
      </c>
      <c r="B192" s="11">
        <v>3</v>
      </c>
      <c r="C192" s="4" t="s">
        <v>18</v>
      </c>
      <c r="D192" s="11">
        <v>45792</v>
      </c>
      <c r="E192" s="5" t="s">
        <v>43</v>
      </c>
      <c r="F192" s="4" t="s">
        <v>44</v>
      </c>
      <c r="G192" s="5" t="s">
        <v>45</v>
      </c>
      <c r="H192" s="4" t="s">
        <v>34</v>
      </c>
      <c r="I192" s="4" t="s">
        <v>34</v>
      </c>
      <c r="J192" s="6">
        <v>20333.830000000002</v>
      </c>
      <c r="K192" s="6">
        <v>20333.830000000002</v>
      </c>
      <c r="L192" s="6"/>
      <c r="M192" s="20">
        <v>6997.37</v>
      </c>
      <c r="N192" s="20">
        <v>6997.37</v>
      </c>
      <c r="O192" s="21"/>
      <c r="P192" s="6">
        <v>9271.52</v>
      </c>
      <c r="Q192" s="6">
        <v>92811521.269999996</v>
      </c>
      <c r="R192" s="6">
        <v>93242214.180000007</v>
      </c>
      <c r="S192" s="6"/>
      <c r="T192" s="4"/>
      <c r="U192" s="6"/>
      <c r="V192" s="6"/>
      <c r="W192" s="6"/>
      <c r="X192" s="6"/>
      <c r="Y192" s="5"/>
      <c r="AA192">
        <f t="shared" si="0"/>
        <v>0</v>
      </c>
      <c r="AB192" s="8">
        <f t="shared" si="1"/>
        <v>3.5849056603183271E-3</v>
      </c>
    </row>
    <row r="193" spans="1:28" ht="28.8" x14ac:dyDescent="0.25">
      <c r="A193" s="4">
        <v>2018</v>
      </c>
      <c r="B193" s="11">
        <v>3</v>
      </c>
      <c r="C193" s="4" t="s">
        <v>18</v>
      </c>
      <c r="D193" s="11">
        <v>45808</v>
      </c>
      <c r="E193" s="5" t="s">
        <v>46</v>
      </c>
      <c r="F193" s="4" t="s">
        <v>47</v>
      </c>
      <c r="G193" s="5" t="s">
        <v>48</v>
      </c>
      <c r="H193" s="4" t="s">
        <v>34</v>
      </c>
      <c r="I193" s="4" t="s">
        <v>34</v>
      </c>
      <c r="J193" s="6">
        <v>13502.88</v>
      </c>
      <c r="K193" s="6">
        <v>13502.88</v>
      </c>
      <c r="L193" s="6"/>
      <c r="M193" s="20">
        <v>4077.98</v>
      </c>
      <c r="N193" s="20">
        <v>4077.98</v>
      </c>
      <c r="O193" s="21"/>
      <c r="P193" s="6">
        <v>5403.32</v>
      </c>
      <c r="Q193" s="6">
        <v>53742092.939999998</v>
      </c>
      <c r="R193" s="6">
        <v>54339116.210000001</v>
      </c>
      <c r="S193" s="6"/>
      <c r="T193" s="4"/>
      <c r="U193" s="6"/>
      <c r="V193" s="6"/>
      <c r="W193" s="6"/>
      <c r="X193" s="6"/>
      <c r="Y193" s="5"/>
      <c r="AA193">
        <f t="shared" si="0"/>
        <v>0</v>
      </c>
      <c r="AB193" s="8">
        <f t="shared" si="1"/>
        <v>-2.6415094343974488E-3</v>
      </c>
    </row>
    <row r="194" spans="1:28" ht="28.8" x14ac:dyDescent="0.25">
      <c r="A194" s="4">
        <v>2018</v>
      </c>
      <c r="B194" s="11">
        <v>3</v>
      </c>
      <c r="C194" s="4" t="s">
        <v>18</v>
      </c>
      <c r="D194" s="11">
        <v>49570</v>
      </c>
      <c r="E194" s="5" t="s">
        <v>50</v>
      </c>
      <c r="F194" s="4" t="s">
        <v>51</v>
      </c>
      <c r="G194" s="5" t="s">
        <v>52</v>
      </c>
      <c r="H194" s="4" t="s">
        <v>23</v>
      </c>
      <c r="I194" s="4" t="s">
        <v>34</v>
      </c>
      <c r="J194" s="6">
        <v>158846.25</v>
      </c>
      <c r="K194" s="6">
        <v>158846.25</v>
      </c>
      <c r="L194" s="6"/>
      <c r="M194" s="20">
        <v>55133.43</v>
      </c>
      <c r="N194" s="20">
        <v>55133.43</v>
      </c>
      <c r="O194" s="21"/>
      <c r="P194" s="6">
        <v>91314.74</v>
      </c>
      <c r="Q194" s="6">
        <v>654601467.01999998</v>
      </c>
      <c r="R194" s="6">
        <v>653560832.36000001</v>
      </c>
      <c r="S194" s="6"/>
      <c r="T194" s="4"/>
      <c r="U194" s="6"/>
      <c r="V194" s="6"/>
      <c r="W194" s="6"/>
      <c r="X194" s="6"/>
      <c r="Y194" s="5"/>
      <c r="AA194">
        <f t="shared" si="0"/>
        <v>0</v>
      </c>
      <c r="AB194" s="8">
        <f t="shared" si="1"/>
        <v>-2.0754716970259324E-3</v>
      </c>
    </row>
    <row r="195" spans="1:28" ht="28.8" x14ac:dyDescent="0.25">
      <c r="A195" s="4">
        <v>2018</v>
      </c>
      <c r="B195" s="11">
        <v>3</v>
      </c>
      <c r="C195" s="4" t="s">
        <v>18</v>
      </c>
      <c r="D195" s="11">
        <v>50544</v>
      </c>
      <c r="E195" s="5" t="s">
        <v>53</v>
      </c>
      <c r="F195" s="4" t="s">
        <v>54</v>
      </c>
      <c r="G195" s="5" t="s">
        <v>55</v>
      </c>
      <c r="H195" s="4" t="s">
        <v>34</v>
      </c>
      <c r="I195" s="4" t="s">
        <v>34</v>
      </c>
      <c r="J195" s="6">
        <v>22277.45</v>
      </c>
      <c r="K195" s="6">
        <v>22277.45</v>
      </c>
      <c r="L195" s="6"/>
      <c r="M195" s="20">
        <v>6844.21</v>
      </c>
      <c r="N195" s="20">
        <v>6844.21</v>
      </c>
      <c r="O195" s="21"/>
      <c r="P195" s="6">
        <v>9068.58</v>
      </c>
      <c r="Q195" s="6">
        <v>84807847</v>
      </c>
      <c r="R195" s="6">
        <v>84804914.920000002</v>
      </c>
      <c r="S195" s="6"/>
      <c r="T195" s="4"/>
      <c r="U195" s="6"/>
      <c r="V195" s="6"/>
      <c r="W195" s="6"/>
      <c r="X195" s="6"/>
      <c r="Y195" s="5"/>
      <c r="AA195">
        <f t="shared" ref="AA195:AA217" si="2">X195*0.8/1.06-O195</f>
        <v>0</v>
      </c>
      <c r="AB195" s="8">
        <f t="shared" ref="AB195:AB217" si="3">IF(H195="是",P195*0.8/1.06*0.8,P195*0.8/1.06)-N195</f>
        <v>1.3207547171987244E-3</v>
      </c>
    </row>
    <row r="196" spans="1:28" s="24" customFormat="1" ht="28.8" x14ac:dyDescent="0.25">
      <c r="A196" s="4">
        <v>2018</v>
      </c>
      <c r="B196" s="11">
        <v>4</v>
      </c>
      <c r="C196" s="4" t="s">
        <v>18</v>
      </c>
      <c r="D196" s="11">
        <v>650</v>
      </c>
      <c r="E196" s="5" t="s">
        <v>20</v>
      </c>
      <c r="F196" s="4" t="s">
        <v>21</v>
      </c>
      <c r="G196" s="5" t="s">
        <v>22</v>
      </c>
      <c r="H196" s="4" t="s">
        <v>23</v>
      </c>
      <c r="I196" s="4" t="s">
        <v>23</v>
      </c>
      <c r="J196" s="6">
        <v>66347.88</v>
      </c>
      <c r="K196" s="6">
        <v>51383.32</v>
      </c>
      <c r="L196" s="6">
        <v>14964.56</v>
      </c>
      <c r="M196" s="23">
        <v>15390.24</v>
      </c>
      <c r="N196" s="23">
        <v>12696.06</v>
      </c>
      <c r="O196" s="23">
        <v>2694.18</v>
      </c>
      <c r="P196" s="6">
        <v>21027.85</v>
      </c>
      <c r="Q196" s="6">
        <v>145899129.15000001</v>
      </c>
      <c r="R196" s="6">
        <v>139683610.22999999</v>
      </c>
      <c r="S196" s="6">
        <v>5.2999999999999999E-2</v>
      </c>
      <c r="T196" s="4" t="s">
        <v>24</v>
      </c>
      <c r="U196" s="6">
        <v>0.05</v>
      </c>
      <c r="V196" s="6">
        <v>0.1</v>
      </c>
      <c r="W196" s="6"/>
      <c r="X196" s="6">
        <v>3569.78</v>
      </c>
      <c r="Y196" s="5"/>
      <c r="AA196">
        <f t="shared" si="2"/>
        <v>-6.4150943389904569E-3</v>
      </c>
      <c r="AB196" s="8">
        <f t="shared" si="3"/>
        <v>3.7735849036835134E-4</v>
      </c>
    </row>
    <row r="197" spans="1:28" s="24" customFormat="1" ht="28.8" x14ac:dyDescent="0.25">
      <c r="A197" s="4">
        <v>2018</v>
      </c>
      <c r="B197" s="11">
        <v>4</v>
      </c>
      <c r="C197" s="4" t="s">
        <v>18</v>
      </c>
      <c r="D197" s="11">
        <v>44321</v>
      </c>
      <c r="E197" s="5" t="s">
        <v>26</v>
      </c>
      <c r="F197" s="4" t="s">
        <v>27</v>
      </c>
      <c r="G197" s="5" t="s">
        <v>28</v>
      </c>
      <c r="H197" s="4" t="s">
        <v>23</v>
      </c>
      <c r="I197" s="4" t="s">
        <v>23</v>
      </c>
      <c r="J197" s="6">
        <v>195854.06</v>
      </c>
      <c r="K197" s="6">
        <v>58467.89</v>
      </c>
      <c r="L197" s="6">
        <v>137386.17000000001</v>
      </c>
      <c r="M197" s="23">
        <v>47640.86</v>
      </c>
      <c r="N197" s="23">
        <v>14212.84</v>
      </c>
      <c r="O197" s="23">
        <v>33428.019999999997</v>
      </c>
      <c r="P197" s="6">
        <v>23540.02</v>
      </c>
      <c r="Q197" s="6">
        <v>208179958.00999999</v>
      </c>
      <c r="R197" s="6">
        <v>208687119.88999999</v>
      </c>
      <c r="S197" s="6">
        <v>5.2999999999999999E-2</v>
      </c>
      <c r="T197" s="4" t="s">
        <v>17</v>
      </c>
      <c r="U197" s="6">
        <v>2.75E-2</v>
      </c>
      <c r="V197" s="6">
        <v>0.1</v>
      </c>
      <c r="W197" s="6"/>
      <c r="X197" s="6">
        <v>44292.13</v>
      </c>
      <c r="Y197" s="5"/>
      <c r="AA197">
        <f t="shared" si="2"/>
        <v>2.6415094325784594E-3</v>
      </c>
      <c r="AB197" s="8">
        <f t="shared" si="3"/>
        <v>2.264150942210108E-3</v>
      </c>
    </row>
    <row r="198" spans="1:28" s="24" customFormat="1" ht="43.2" x14ac:dyDescent="0.25">
      <c r="A198" s="4">
        <v>2018</v>
      </c>
      <c r="B198" s="11">
        <v>4</v>
      </c>
      <c r="C198" s="4" t="s">
        <v>18</v>
      </c>
      <c r="D198" s="11">
        <v>45817</v>
      </c>
      <c r="E198" s="5" t="s">
        <v>29</v>
      </c>
      <c r="F198" s="4" t="s">
        <v>30</v>
      </c>
      <c r="G198" s="5" t="s">
        <v>31</v>
      </c>
      <c r="H198" s="4" t="s">
        <v>23</v>
      </c>
      <c r="I198" s="4" t="s">
        <v>23</v>
      </c>
      <c r="J198" s="6">
        <v>251298.38</v>
      </c>
      <c r="K198" s="6">
        <v>73045.42</v>
      </c>
      <c r="L198" s="6">
        <v>178252.96</v>
      </c>
      <c r="M198" s="23">
        <v>62108.98</v>
      </c>
      <c r="N198" s="23">
        <v>18581.509999999998</v>
      </c>
      <c r="O198" s="23">
        <v>43527.47</v>
      </c>
      <c r="P198" s="6">
        <v>30775.62</v>
      </c>
      <c r="Q198" s="6">
        <v>270065408.63999999</v>
      </c>
      <c r="R198" s="6">
        <v>272747752.38999999</v>
      </c>
      <c r="S198" s="6">
        <v>5.2999999999999999E-2</v>
      </c>
      <c r="T198" s="4" t="s">
        <v>17</v>
      </c>
      <c r="U198" s="6">
        <v>2.75E-2</v>
      </c>
      <c r="V198" s="6">
        <v>0.1</v>
      </c>
      <c r="W198" s="6"/>
      <c r="X198" s="6">
        <v>57673.9</v>
      </c>
      <c r="Y198" s="5"/>
      <c r="AA198">
        <f t="shared" si="2"/>
        <v>1.698113206657581E-3</v>
      </c>
      <c r="AB198" s="8">
        <f t="shared" si="3"/>
        <v>-3.5849056584993377E-3</v>
      </c>
    </row>
    <row r="199" spans="1:28" s="24" customFormat="1" ht="28.8" x14ac:dyDescent="0.25">
      <c r="A199" s="4">
        <v>2018</v>
      </c>
      <c r="B199" s="11">
        <v>4</v>
      </c>
      <c r="C199" s="4" t="s">
        <v>18</v>
      </c>
      <c r="D199" s="11">
        <v>650</v>
      </c>
      <c r="E199" s="5" t="s">
        <v>20</v>
      </c>
      <c r="F199" s="4" t="s">
        <v>35</v>
      </c>
      <c r="G199" s="5" t="s">
        <v>36</v>
      </c>
      <c r="H199" s="4" t="s">
        <v>34</v>
      </c>
      <c r="I199" s="4" t="s">
        <v>34</v>
      </c>
      <c r="J199" s="6">
        <v>41442.449999999997</v>
      </c>
      <c r="K199" s="6">
        <v>41442.449999999997</v>
      </c>
      <c r="L199" s="6"/>
      <c r="M199" s="23">
        <v>10677.91</v>
      </c>
      <c r="N199" s="23">
        <v>10677.91</v>
      </c>
      <c r="O199" s="6"/>
      <c r="P199" s="6">
        <v>14148.23</v>
      </c>
      <c r="Q199" s="6">
        <v>85867385.849999994</v>
      </c>
      <c r="R199" s="6">
        <v>86241723.329999998</v>
      </c>
      <c r="S199" s="6"/>
      <c r="T199" s="4"/>
      <c r="U199" s="6"/>
      <c r="V199" s="6"/>
      <c r="W199" s="6"/>
      <c r="X199" s="6"/>
      <c r="Y199" s="5"/>
      <c r="AA199">
        <f t="shared" si="2"/>
        <v>0</v>
      </c>
      <c r="AB199" s="8">
        <f t="shared" si="3"/>
        <v>-5.6603773555252701E-4</v>
      </c>
    </row>
    <row r="200" spans="1:28" s="24" customFormat="1" ht="28.8" x14ac:dyDescent="0.25">
      <c r="A200" s="4">
        <v>2018</v>
      </c>
      <c r="B200" s="11">
        <v>4</v>
      </c>
      <c r="C200" s="4" t="s">
        <v>18</v>
      </c>
      <c r="D200" s="11">
        <v>650</v>
      </c>
      <c r="E200" s="5" t="s">
        <v>20</v>
      </c>
      <c r="F200" s="4" t="s">
        <v>32</v>
      </c>
      <c r="G200" s="5" t="s">
        <v>33</v>
      </c>
      <c r="H200" s="4" t="s">
        <v>34</v>
      </c>
      <c r="I200" s="4" t="s">
        <v>34</v>
      </c>
      <c r="J200" s="6">
        <v>32589.73</v>
      </c>
      <c r="K200" s="6">
        <v>32589.73</v>
      </c>
      <c r="L200" s="6"/>
      <c r="M200" s="23">
        <v>7435.37</v>
      </c>
      <c r="N200" s="23">
        <v>7435.37</v>
      </c>
      <c r="O200" s="6"/>
      <c r="P200" s="6">
        <v>9851.8700000000008</v>
      </c>
      <c r="Q200" s="6">
        <v>72094468.299999997</v>
      </c>
      <c r="R200" s="6">
        <v>72359131.280000001</v>
      </c>
      <c r="S200" s="6"/>
      <c r="T200" s="4"/>
      <c r="U200" s="6"/>
      <c r="V200" s="6"/>
      <c r="W200" s="6"/>
      <c r="X200" s="6"/>
      <c r="Y200" s="5"/>
      <c r="AA200">
        <f t="shared" si="2"/>
        <v>0</v>
      </c>
      <c r="AB200" s="8">
        <f t="shared" si="3"/>
        <v>3.5849056612278218E-3</v>
      </c>
    </row>
    <row r="201" spans="1:28" s="24" customFormat="1" ht="28.8" x14ac:dyDescent="0.25">
      <c r="A201" s="4">
        <v>2018</v>
      </c>
      <c r="B201" s="11">
        <v>4</v>
      </c>
      <c r="C201" s="4" t="s">
        <v>18</v>
      </c>
      <c r="D201" s="11">
        <v>3093</v>
      </c>
      <c r="E201" s="5" t="s">
        <v>37</v>
      </c>
      <c r="F201" s="4" t="s">
        <v>38</v>
      </c>
      <c r="G201" s="5" t="s">
        <v>39</v>
      </c>
      <c r="H201" s="4" t="s">
        <v>34</v>
      </c>
      <c r="I201" s="4" t="s">
        <v>34</v>
      </c>
      <c r="J201" s="6">
        <v>4185.68</v>
      </c>
      <c r="K201" s="6">
        <v>4185.68</v>
      </c>
      <c r="L201" s="6"/>
      <c r="M201" s="23">
        <v>1035.71</v>
      </c>
      <c r="N201" s="23">
        <v>1035.71</v>
      </c>
      <c r="O201" s="6"/>
      <c r="P201" s="6">
        <v>1372.31</v>
      </c>
      <c r="Q201" s="6">
        <v>9513871.6999999993</v>
      </c>
      <c r="R201" s="6">
        <v>9487990.0299999993</v>
      </c>
      <c r="S201" s="6"/>
      <c r="T201" s="4"/>
      <c r="U201" s="6"/>
      <c r="V201" s="6"/>
      <c r="W201" s="6"/>
      <c r="X201" s="6"/>
      <c r="Y201" s="5"/>
      <c r="AA201">
        <f t="shared" si="2"/>
        <v>0</v>
      </c>
      <c r="AB201" s="8">
        <f t="shared" si="3"/>
        <v>-4.3396226417371508E-3</v>
      </c>
    </row>
    <row r="202" spans="1:28" s="24" customFormat="1" ht="28.8" x14ac:dyDescent="0.25">
      <c r="A202" s="4">
        <v>2018</v>
      </c>
      <c r="B202" s="11">
        <v>4</v>
      </c>
      <c r="C202" s="4" t="s">
        <v>18</v>
      </c>
      <c r="D202" s="11">
        <v>9653</v>
      </c>
      <c r="E202" s="5" t="s">
        <v>40</v>
      </c>
      <c r="F202" s="4" t="s">
        <v>41</v>
      </c>
      <c r="G202" s="5" t="s">
        <v>42</v>
      </c>
      <c r="H202" s="4" t="s">
        <v>34</v>
      </c>
      <c r="I202" s="4" t="s">
        <v>34</v>
      </c>
      <c r="J202" s="6">
        <v>45073.49</v>
      </c>
      <c r="K202" s="6">
        <v>45073.49</v>
      </c>
      <c r="L202" s="6"/>
      <c r="M202" s="23">
        <v>11861.22</v>
      </c>
      <c r="N202" s="23">
        <v>11861.22</v>
      </c>
      <c r="O202" s="6"/>
      <c r="P202" s="6">
        <v>15716.12</v>
      </c>
      <c r="Q202" s="6">
        <v>63560155.329999998</v>
      </c>
      <c r="R202" s="6">
        <v>63881633.049999997</v>
      </c>
      <c r="S202" s="6"/>
      <c r="T202" s="4"/>
      <c r="U202" s="6"/>
      <c r="V202" s="6"/>
      <c r="W202" s="6"/>
      <c r="X202" s="6"/>
      <c r="Y202" s="5"/>
      <c r="AA202">
        <f t="shared" si="2"/>
        <v>0</v>
      </c>
      <c r="AB202" s="8">
        <f t="shared" si="3"/>
        <v>2.6415094343974488E-3</v>
      </c>
    </row>
    <row r="203" spans="1:28" s="24" customFormat="1" ht="28.8" x14ac:dyDescent="0.25">
      <c r="A203" s="4">
        <v>2018</v>
      </c>
      <c r="B203" s="11">
        <v>4</v>
      </c>
      <c r="C203" s="4" t="s">
        <v>18</v>
      </c>
      <c r="D203" s="11">
        <v>45792</v>
      </c>
      <c r="E203" s="5" t="s">
        <v>43</v>
      </c>
      <c r="F203" s="4" t="s">
        <v>44</v>
      </c>
      <c r="G203" s="5" t="s">
        <v>45</v>
      </c>
      <c r="H203" s="4" t="s">
        <v>34</v>
      </c>
      <c r="I203" s="4" t="s">
        <v>34</v>
      </c>
      <c r="J203" s="6">
        <v>27135.43</v>
      </c>
      <c r="K203" s="6">
        <v>27135.43</v>
      </c>
      <c r="L203" s="6"/>
      <c r="M203" s="23">
        <v>6801.61</v>
      </c>
      <c r="N203" s="23">
        <v>6801.61</v>
      </c>
      <c r="O203" s="6"/>
      <c r="P203" s="6">
        <v>9012.1299999999992</v>
      </c>
      <c r="Q203" s="6">
        <v>93244572.810000002</v>
      </c>
      <c r="R203" s="6">
        <v>94165914.700000003</v>
      </c>
      <c r="S203" s="6"/>
      <c r="T203" s="4"/>
      <c r="U203" s="6"/>
      <c r="V203" s="6"/>
      <c r="W203" s="6"/>
      <c r="X203" s="6"/>
      <c r="Y203" s="5"/>
      <c r="AA203">
        <f t="shared" si="2"/>
        <v>0</v>
      </c>
      <c r="AB203" s="8">
        <f t="shared" si="3"/>
        <v>-2.4528301892132731E-3</v>
      </c>
    </row>
    <row r="204" spans="1:28" s="24" customFormat="1" ht="28.8" x14ac:dyDescent="0.25">
      <c r="A204" s="4">
        <v>2018</v>
      </c>
      <c r="B204" s="11">
        <v>4</v>
      </c>
      <c r="C204" s="4" t="s">
        <v>18</v>
      </c>
      <c r="D204" s="11">
        <v>45808</v>
      </c>
      <c r="E204" s="5" t="s">
        <v>46</v>
      </c>
      <c r="F204" s="4" t="s">
        <v>47</v>
      </c>
      <c r="G204" s="5" t="s">
        <v>48</v>
      </c>
      <c r="H204" s="4" t="s">
        <v>34</v>
      </c>
      <c r="I204" s="4" t="s">
        <v>34</v>
      </c>
      <c r="J204" s="6">
        <v>17488.57</v>
      </c>
      <c r="K204" s="6">
        <v>17488.57</v>
      </c>
      <c r="L204" s="6"/>
      <c r="M204" s="23">
        <v>3985.68</v>
      </c>
      <c r="N204" s="23">
        <v>3985.68</v>
      </c>
      <c r="O204" s="6"/>
      <c r="P204" s="6">
        <v>5281.03</v>
      </c>
      <c r="Q204" s="6">
        <v>54339540.340000004</v>
      </c>
      <c r="R204" s="6">
        <v>55401172.990000002</v>
      </c>
      <c r="S204" s="6"/>
      <c r="T204" s="4"/>
      <c r="U204" s="6"/>
      <c r="V204" s="6"/>
      <c r="W204" s="6"/>
      <c r="X204" s="6"/>
      <c r="Y204" s="5"/>
      <c r="AA204">
        <f t="shared" si="2"/>
        <v>0</v>
      </c>
      <c r="AB204" s="8">
        <f t="shared" si="3"/>
        <v>3.0188679243110528E-3</v>
      </c>
    </row>
    <row r="205" spans="1:28" s="24" customFormat="1" ht="28.8" x14ac:dyDescent="0.25">
      <c r="A205" s="4">
        <v>2018</v>
      </c>
      <c r="B205" s="11">
        <v>4</v>
      </c>
      <c r="C205" s="4" t="s">
        <v>18</v>
      </c>
      <c r="D205" s="11">
        <v>49570</v>
      </c>
      <c r="E205" s="5" t="s">
        <v>50</v>
      </c>
      <c r="F205" s="4" t="s">
        <v>51</v>
      </c>
      <c r="G205" s="5" t="s">
        <v>52</v>
      </c>
      <c r="H205" s="4" t="s">
        <v>23</v>
      </c>
      <c r="I205" s="4" t="s">
        <v>34</v>
      </c>
      <c r="J205" s="6">
        <v>212155.01</v>
      </c>
      <c r="K205" s="6">
        <v>212155.01</v>
      </c>
      <c r="L205" s="6"/>
      <c r="M205" s="23">
        <v>53308.76</v>
      </c>
      <c r="N205" s="23">
        <v>53308.76</v>
      </c>
      <c r="O205" s="6"/>
      <c r="P205" s="6">
        <v>88292.64</v>
      </c>
      <c r="Q205" s="6">
        <v>653628740.63</v>
      </c>
      <c r="R205" s="6">
        <v>654317660.85000002</v>
      </c>
      <c r="S205" s="6"/>
      <c r="T205" s="4"/>
      <c r="U205" s="6"/>
      <c r="V205" s="6"/>
      <c r="W205" s="6"/>
      <c r="X205" s="6"/>
      <c r="Y205" s="5"/>
      <c r="AA205">
        <f t="shared" si="2"/>
        <v>0</v>
      </c>
      <c r="AB205" s="8">
        <f t="shared" si="3"/>
        <v>3.773584910959471E-3</v>
      </c>
    </row>
    <row r="206" spans="1:28" s="24" customFormat="1" ht="28.8" x14ac:dyDescent="0.25">
      <c r="A206" s="4">
        <v>2018</v>
      </c>
      <c r="B206" s="11">
        <v>4</v>
      </c>
      <c r="C206" s="4" t="s">
        <v>18</v>
      </c>
      <c r="D206" s="11">
        <v>50544</v>
      </c>
      <c r="E206" s="5" t="s">
        <v>53</v>
      </c>
      <c r="F206" s="4" t="s">
        <v>54</v>
      </c>
      <c r="G206" s="5" t="s">
        <v>55</v>
      </c>
      <c r="H206" s="4" t="s">
        <v>34</v>
      </c>
      <c r="I206" s="4" t="s">
        <v>34</v>
      </c>
      <c r="J206" s="6">
        <v>28497.35</v>
      </c>
      <c r="K206" s="6">
        <v>28497.35</v>
      </c>
      <c r="L206" s="6"/>
      <c r="M206" s="23">
        <v>6219.9</v>
      </c>
      <c r="N206" s="23">
        <v>6219.9</v>
      </c>
      <c r="O206" s="6"/>
      <c r="P206" s="6">
        <v>8241.3700000000008</v>
      </c>
      <c r="Q206" s="6">
        <v>84757087.859999999</v>
      </c>
      <c r="R206" s="6">
        <v>85065050.189999998</v>
      </c>
      <c r="S206" s="6"/>
      <c r="T206" s="4"/>
      <c r="U206" s="6"/>
      <c r="V206" s="6"/>
      <c r="W206" s="6"/>
      <c r="X206" s="6"/>
      <c r="Y206" s="5"/>
      <c r="AA206">
        <f t="shared" si="2"/>
        <v>0</v>
      </c>
      <c r="AB206" s="8">
        <f t="shared" si="3"/>
        <v>1.8867924545702408E-3</v>
      </c>
    </row>
    <row r="207" spans="1:28" s="24" customFormat="1" ht="28.8" x14ac:dyDescent="0.25">
      <c r="A207" s="4">
        <v>2018</v>
      </c>
      <c r="B207" s="11">
        <v>5</v>
      </c>
      <c r="C207" s="4" t="s">
        <v>18</v>
      </c>
      <c r="D207" s="11">
        <v>650</v>
      </c>
      <c r="E207" s="5" t="s">
        <v>20</v>
      </c>
      <c r="F207" s="4" t="s">
        <v>21</v>
      </c>
      <c r="G207" s="5" t="s">
        <v>22</v>
      </c>
      <c r="H207" s="4" t="s">
        <v>23</v>
      </c>
      <c r="I207" s="4" t="s">
        <v>23</v>
      </c>
      <c r="J207" s="6">
        <v>80899.06</v>
      </c>
      <c r="K207" s="6">
        <v>63347.199999999997</v>
      </c>
      <c r="L207" s="6">
        <v>17551.86</v>
      </c>
      <c r="M207" s="23">
        <v>14551.19</v>
      </c>
      <c r="N207" s="23">
        <v>11963.88</v>
      </c>
      <c r="O207" s="23">
        <v>2587.31</v>
      </c>
      <c r="P207" s="6">
        <v>19815.169999999998</v>
      </c>
      <c r="Q207" s="6">
        <v>139715654.81999999</v>
      </c>
      <c r="R207" s="6">
        <v>134538736.44999999</v>
      </c>
      <c r="S207" s="6">
        <v>5.2999999999999999E-2</v>
      </c>
      <c r="T207" s="4" t="s">
        <v>24</v>
      </c>
      <c r="U207" s="6">
        <v>0.05</v>
      </c>
      <c r="V207" s="6">
        <v>0.1</v>
      </c>
      <c r="W207" s="6"/>
      <c r="X207" s="6">
        <v>3428.18</v>
      </c>
      <c r="Y207" s="5"/>
      <c r="AA207">
        <f t="shared" si="2"/>
        <v>-4.3396226415097772E-3</v>
      </c>
      <c r="AB207" s="8">
        <f t="shared" si="3"/>
        <v>-3.7735849055025028E-3</v>
      </c>
    </row>
    <row r="208" spans="1:28" s="24" customFormat="1" ht="28.8" x14ac:dyDescent="0.25">
      <c r="A208" s="4">
        <v>2018</v>
      </c>
      <c r="B208" s="11">
        <v>5</v>
      </c>
      <c r="C208" s="4" t="s">
        <v>18</v>
      </c>
      <c r="D208" s="11">
        <v>44321</v>
      </c>
      <c r="E208" s="5" t="s">
        <v>26</v>
      </c>
      <c r="F208" s="4" t="s">
        <v>27</v>
      </c>
      <c r="G208" s="5" t="s">
        <v>28</v>
      </c>
      <c r="H208" s="4" t="s">
        <v>23</v>
      </c>
      <c r="I208" s="4" t="s">
        <v>23</v>
      </c>
      <c r="J208" s="6">
        <v>244298.41</v>
      </c>
      <c r="K208" s="6">
        <v>73314.22</v>
      </c>
      <c r="L208" s="6">
        <v>170984.19</v>
      </c>
      <c r="M208" s="23">
        <v>48444.35</v>
      </c>
      <c r="N208" s="23">
        <v>14846.33</v>
      </c>
      <c r="O208" s="23">
        <v>33598.019999999997</v>
      </c>
      <c r="P208" s="6">
        <v>24589.23</v>
      </c>
      <c r="Q208" s="6">
        <v>208730209.06999999</v>
      </c>
      <c r="R208" s="6">
        <v>210256917.86000001</v>
      </c>
      <c r="S208" s="6">
        <v>5.2999999999999999E-2</v>
      </c>
      <c r="T208" s="4" t="s">
        <v>17</v>
      </c>
      <c r="U208" s="6">
        <v>2.75E-2</v>
      </c>
      <c r="V208" s="6">
        <v>0.1</v>
      </c>
      <c r="W208" s="6"/>
      <c r="X208" s="6">
        <v>44517.38</v>
      </c>
      <c r="Y208" s="5"/>
      <c r="AA208">
        <f t="shared" si="2"/>
        <v>2.641509439854417E-3</v>
      </c>
      <c r="AB208" s="8">
        <f t="shared" si="3"/>
        <v>-2.4528301873942837E-3</v>
      </c>
    </row>
    <row r="209" spans="1:28" s="24" customFormat="1" ht="43.2" x14ac:dyDescent="0.25">
      <c r="A209" s="4">
        <v>2018</v>
      </c>
      <c r="B209" s="11">
        <v>5</v>
      </c>
      <c r="C209" s="4" t="s">
        <v>18</v>
      </c>
      <c r="D209" s="11">
        <v>45817</v>
      </c>
      <c r="E209" s="5" t="s">
        <v>29</v>
      </c>
      <c r="F209" s="4" t="s">
        <v>30</v>
      </c>
      <c r="G209" s="5" t="s">
        <v>31</v>
      </c>
      <c r="H209" s="4" t="s">
        <v>23</v>
      </c>
      <c r="I209" s="4" t="s">
        <v>23</v>
      </c>
      <c r="J209" s="6">
        <v>314261.88</v>
      </c>
      <c r="K209" s="6">
        <v>91742.55</v>
      </c>
      <c r="L209" s="6">
        <v>222519.33</v>
      </c>
      <c r="M209" s="23">
        <v>62963.5</v>
      </c>
      <c r="N209" s="23">
        <v>18697.13</v>
      </c>
      <c r="O209" s="23">
        <v>44266.37</v>
      </c>
      <c r="P209" s="6">
        <v>30967.119999999999</v>
      </c>
      <c r="Q209" s="6">
        <v>274395432.44999999</v>
      </c>
      <c r="R209" s="6">
        <v>277632207.13999999</v>
      </c>
      <c r="S209" s="6">
        <v>5.2999999999999999E-2</v>
      </c>
      <c r="T209" s="4" t="s">
        <v>17</v>
      </c>
      <c r="U209" s="6">
        <v>2.75E-2</v>
      </c>
      <c r="V209" s="6">
        <v>0.1</v>
      </c>
      <c r="W209" s="6"/>
      <c r="X209" s="6">
        <v>58652.94</v>
      </c>
      <c r="Y209" s="5"/>
      <c r="AA209">
        <f t="shared" si="2"/>
        <v>-1.8867924518417567E-4</v>
      </c>
      <c r="AB209" s="8">
        <f t="shared" si="3"/>
        <v>-9.4339622592087835E-4</v>
      </c>
    </row>
    <row r="210" spans="1:28" s="24" customFormat="1" ht="28.8" x14ac:dyDescent="0.25">
      <c r="A210" s="4">
        <v>2018</v>
      </c>
      <c r="B210" s="11">
        <v>5</v>
      </c>
      <c r="C210" s="4" t="s">
        <v>18</v>
      </c>
      <c r="D210" s="11">
        <v>650</v>
      </c>
      <c r="E210" s="5" t="s">
        <v>20</v>
      </c>
      <c r="F210" s="4" t="s">
        <v>35</v>
      </c>
      <c r="G210" s="5" t="s">
        <v>36</v>
      </c>
      <c r="H210" s="4" t="s">
        <v>34</v>
      </c>
      <c r="I210" s="4" t="s">
        <v>34</v>
      </c>
      <c r="J210" s="6">
        <v>52530.45</v>
      </c>
      <c r="K210" s="6">
        <v>52530.45</v>
      </c>
      <c r="L210" s="6"/>
      <c r="M210" s="23">
        <v>11088</v>
      </c>
      <c r="N210" s="23">
        <v>11088</v>
      </c>
      <c r="O210" s="6"/>
      <c r="P210" s="6">
        <v>14691.6</v>
      </c>
      <c r="Q210" s="6">
        <v>86282854.939999998</v>
      </c>
      <c r="R210" s="6">
        <v>86698774.849999994</v>
      </c>
      <c r="S210" s="6"/>
      <c r="T210" s="4"/>
      <c r="U210" s="6"/>
      <c r="V210" s="6"/>
      <c r="W210" s="6"/>
      <c r="X210" s="6"/>
      <c r="Y210" s="5"/>
      <c r="AA210">
        <f t="shared" si="2"/>
        <v>0</v>
      </c>
      <c r="AB210" s="8">
        <f t="shared" si="3"/>
        <v>0</v>
      </c>
    </row>
    <row r="211" spans="1:28" s="24" customFormat="1" ht="28.8" x14ac:dyDescent="0.25">
      <c r="A211" s="4">
        <v>2018</v>
      </c>
      <c r="B211" s="11">
        <v>5</v>
      </c>
      <c r="C211" s="4" t="s">
        <v>18</v>
      </c>
      <c r="D211" s="11">
        <v>650</v>
      </c>
      <c r="E211" s="5" t="s">
        <v>20</v>
      </c>
      <c r="F211" s="4" t="s">
        <v>32</v>
      </c>
      <c r="G211" s="5" t="s">
        <v>33</v>
      </c>
      <c r="H211" s="4" t="s">
        <v>34</v>
      </c>
      <c r="I211" s="4" t="s">
        <v>34</v>
      </c>
      <c r="J211" s="6">
        <v>40314.79</v>
      </c>
      <c r="K211" s="6">
        <v>40314.79</v>
      </c>
      <c r="L211" s="6"/>
      <c r="M211" s="23">
        <v>7725.06</v>
      </c>
      <c r="N211" s="23">
        <v>7725.06</v>
      </c>
      <c r="O211" s="6"/>
      <c r="P211" s="6">
        <v>10235.709999999999</v>
      </c>
      <c r="Q211" s="6">
        <v>72383812.609999999</v>
      </c>
      <c r="R211" s="6">
        <v>67932667.189999998</v>
      </c>
      <c r="S211" s="6"/>
      <c r="T211" s="4"/>
      <c r="U211" s="6"/>
      <c r="V211" s="6"/>
      <c r="W211" s="6"/>
      <c r="X211" s="6"/>
      <c r="Y211" s="5"/>
      <c r="AA211">
        <f t="shared" si="2"/>
        <v>0</v>
      </c>
      <c r="AB211" s="8">
        <f t="shared" si="3"/>
        <v>4.1509433949613594E-3</v>
      </c>
    </row>
    <row r="212" spans="1:28" s="24" customFormat="1" ht="28.8" x14ac:dyDescent="0.25">
      <c r="A212" s="4">
        <v>2018</v>
      </c>
      <c r="B212" s="11">
        <v>5</v>
      </c>
      <c r="C212" s="4" t="s">
        <v>18</v>
      </c>
      <c r="D212" s="11">
        <v>3093</v>
      </c>
      <c r="E212" s="5" t="s">
        <v>37</v>
      </c>
      <c r="F212" s="4" t="s">
        <v>38</v>
      </c>
      <c r="G212" s="5" t="s">
        <v>39</v>
      </c>
      <c r="H212" s="4" t="s">
        <v>34</v>
      </c>
      <c r="I212" s="4" t="s">
        <v>34</v>
      </c>
      <c r="J212" s="6">
        <v>5252.05</v>
      </c>
      <c r="K212" s="6">
        <v>5252.05</v>
      </c>
      <c r="L212" s="6"/>
      <c r="M212" s="23">
        <v>1066.3599999999999</v>
      </c>
      <c r="N212" s="23">
        <v>1066.3599999999999</v>
      </c>
      <c r="O212" s="6"/>
      <c r="P212" s="6">
        <v>1412.93</v>
      </c>
      <c r="Q212" s="6">
        <v>9488120.5299999993</v>
      </c>
      <c r="R212" s="6">
        <v>9525009.9700000007</v>
      </c>
      <c r="S212" s="6"/>
      <c r="T212" s="4"/>
      <c r="U212" s="6"/>
      <c r="V212" s="6"/>
      <c r="W212" s="6"/>
      <c r="X212" s="6"/>
      <c r="Y212" s="5"/>
      <c r="AA212">
        <f t="shared" si="2"/>
        <v>0</v>
      </c>
      <c r="AB212" s="8">
        <f t="shared" si="3"/>
        <v>2.2641509435743501E-3</v>
      </c>
    </row>
    <row r="213" spans="1:28" s="24" customFormat="1" ht="28.8" x14ac:dyDescent="0.25">
      <c r="A213" s="4">
        <v>2018</v>
      </c>
      <c r="B213" s="11">
        <v>5</v>
      </c>
      <c r="C213" s="4" t="s">
        <v>18</v>
      </c>
      <c r="D213" s="11">
        <v>9653</v>
      </c>
      <c r="E213" s="5" t="s">
        <v>40</v>
      </c>
      <c r="F213" s="4" t="s">
        <v>41</v>
      </c>
      <c r="G213" s="5" t="s">
        <v>42</v>
      </c>
      <c r="H213" s="4" t="s">
        <v>34</v>
      </c>
      <c r="I213" s="4" t="s">
        <v>34</v>
      </c>
      <c r="J213" s="6">
        <v>57398.92</v>
      </c>
      <c r="K213" s="6">
        <v>57398.92</v>
      </c>
      <c r="L213" s="6"/>
      <c r="M213" s="23">
        <v>12325.43</v>
      </c>
      <c r="N213" s="23">
        <v>12325.43</v>
      </c>
      <c r="O213" s="6"/>
      <c r="P213" s="6">
        <v>16331.19</v>
      </c>
      <c r="Q213" s="6">
        <v>63920385.310000002</v>
      </c>
      <c r="R213" s="6">
        <v>64278750.68</v>
      </c>
      <c r="S213" s="6"/>
      <c r="T213" s="4"/>
      <c r="U213" s="6"/>
      <c r="V213" s="6"/>
      <c r="W213" s="6"/>
      <c r="X213" s="6"/>
      <c r="Y213" s="5"/>
      <c r="AA213">
        <f t="shared" si="2"/>
        <v>0</v>
      </c>
      <c r="AB213" s="8">
        <f t="shared" si="3"/>
        <v>-3.5849056603183271E-3</v>
      </c>
    </row>
    <row r="214" spans="1:28" s="24" customFormat="1" ht="28.8" x14ac:dyDescent="0.25">
      <c r="A214" s="4">
        <v>2018</v>
      </c>
      <c r="B214" s="11">
        <v>5</v>
      </c>
      <c r="C214" s="4" t="s">
        <v>18</v>
      </c>
      <c r="D214" s="11">
        <v>45792</v>
      </c>
      <c r="E214" s="5" t="s">
        <v>43</v>
      </c>
      <c r="F214" s="4" t="s">
        <v>44</v>
      </c>
      <c r="G214" s="5" t="s">
        <v>45</v>
      </c>
      <c r="H214" s="4" t="s">
        <v>34</v>
      </c>
      <c r="I214" s="4" t="s">
        <v>34</v>
      </c>
      <c r="J214" s="6">
        <v>34225.980000000003</v>
      </c>
      <c r="K214" s="6">
        <v>34225.980000000003</v>
      </c>
      <c r="L214" s="6"/>
      <c r="M214" s="23">
        <v>7090.55</v>
      </c>
      <c r="N214" s="23">
        <v>7090.55</v>
      </c>
      <c r="O214" s="6"/>
      <c r="P214" s="6">
        <v>9394.98</v>
      </c>
      <c r="Q214" s="6">
        <v>94172968.409999996</v>
      </c>
      <c r="R214" s="6">
        <v>95214251.989999995</v>
      </c>
      <c r="S214" s="6"/>
      <c r="T214" s="4"/>
      <c r="U214" s="6"/>
      <c r="V214" s="6"/>
      <c r="W214" s="6"/>
      <c r="X214" s="6"/>
      <c r="Y214" s="5"/>
      <c r="AA214">
        <f t="shared" si="2"/>
        <v>0</v>
      </c>
      <c r="AB214" s="8">
        <f t="shared" si="3"/>
        <v>9.4339622592087835E-4</v>
      </c>
    </row>
    <row r="215" spans="1:28" s="24" customFormat="1" ht="28.8" x14ac:dyDescent="0.25">
      <c r="A215" s="4">
        <v>2018</v>
      </c>
      <c r="B215" s="11">
        <v>5</v>
      </c>
      <c r="C215" s="4" t="s">
        <v>18</v>
      </c>
      <c r="D215" s="11">
        <v>45808</v>
      </c>
      <c r="E215" s="5" t="s">
        <v>46</v>
      </c>
      <c r="F215" s="4" t="s">
        <v>47</v>
      </c>
      <c r="G215" s="5" t="s">
        <v>48</v>
      </c>
      <c r="H215" s="4" t="s">
        <v>34</v>
      </c>
      <c r="I215" s="4" t="s">
        <v>34</v>
      </c>
      <c r="J215" s="6">
        <v>21790.06</v>
      </c>
      <c r="K215" s="6">
        <v>21790.06</v>
      </c>
      <c r="L215" s="6"/>
      <c r="M215" s="23">
        <v>4301.49</v>
      </c>
      <c r="N215" s="23">
        <v>4301.49</v>
      </c>
      <c r="O215" s="6"/>
      <c r="P215" s="6">
        <v>5699.48</v>
      </c>
      <c r="Q215" s="6">
        <v>55402427.600000001</v>
      </c>
      <c r="R215" s="6">
        <v>55719700.840000004</v>
      </c>
      <c r="S215" s="6"/>
      <c r="T215" s="4"/>
      <c r="U215" s="6"/>
      <c r="V215" s="6"/>
      <c r="W215" s="6"/>
      <c r="X215" s="6"/>
      <c r="Y215" s="5"/>
      <c r="AA215">
        <f t="shared" si="2"/>
        <v>0</v>
      </c>
      <c r="AB215" s="8">
        <f t="shared" si="3"/>
        <v>4.3396226410550298E-3</v>
      </c>
    </row>
    <row r="216" spans="1:28" s="24" customFormat="1" ht="28.8" x14ac:dyDescent="0.25">
      <c r="A216" s="4">
        <v>2018</v>
      </c>
      <c r="B216" s="11">
        <v>5</v>
      </c>
      <c r="C216" s="4" t="s">
        <v>18</v>
      </c>
      <c r="D216" s="11">
        <v>49570</v>
      </c>
      <c r="E216" s="5" t="s">
        <v>50</v>
      </c>
      <c r="F216" s="4" t="s">
        <v>51</v>
      </c>
      <c r="G216" s="5" t="s">
        <v>52</v>
      </c>
      <c r="H216" s="4" t="s">
        <v>23</v>
      </c>
      <c r="I216" s="4" t="s">
        <v>34</v>
      </c>
      <c r="J216" s="6">
        <v>267626.75</v>
      </c>
      <c r="K216" s="6">
        <v>267626.75</v>
      </c>
      <c r="L216" s="6"/>
      <c r="M216" s="23">
        <v>55471.73</v>
      </c>
      <c r="N216" s="23">
        <v>55471.73</v>
      </c>
      <c r="O216" s="6"/>
      <c r="P216" s="6">
        <v>91875.06</v>
      </c>
      <c r="Q216" s="6">
        <v>654551251.07000005</v>
      </c>
      <c r="R216" s="6">
        <v>659901228.77999997</v>
      </c>
      <c r="S216" s="6"/>
      <c r="T216" s="4"/>
      <c r="U216" s="6"/>
      <c r="V216" s="6"/>
      <c r="W216" s="6"/>
      <c r="X216" s="6"/>
      <c r="Y216" s="5"/>
      <c r="AA216">
        <f t="shared" si="2"/>
        <v>0</v>
      </c>
      <c r="AB216" s="8">
        <f t="shared" si="3"/>
        <v>4.3396226319600828E-3</v>
      </c>
    </row>
    <row r="217" spans="1:28" s="24" customFormat="1" ht="28.8" x14ac:dyDescent="0.25">
      <c r="A217" s="4">
        <v>2018</v>
      </c>
      <c r="B217" s="11">
        <v>5</v>
      </c>
      <c r="C217" s="4" t="s">
        <v>18</v>
      </c>
      <c r="D217" s="11">
        <v>50544</v>
      </c>
      <c r="E217" s="5" t="s">
        <v>53</v>
      </c>
      <c r="F217" s="4" t="s">
        <v>54</v>
      </c>
      <c r="G217" s="5" t="s">
        <v>55</v>
      </c>
      <c r="H217" s="4" t="s">
        <v>34</v>
      </c>
      <c r="I217" s="4" t="s">
        <v>34</v>
      </c>
      <c r="J217" s="6">
        <v>34889.08</v>
      </c>
      <c r="K217" s="6">
        <v>34889.08</v>
      </c>
      <c r="L217" s="6"/>
      <c r="M217" s="23">
        <v>6391.73</v>
      </c>
      <c r="N217" s="23">
        <v>6391.73</v>
      </c>
      <c r="O217" s="6"/>
      <c r="P217" s="6">
        <v>8469.0400000000009</v>
      </c>
      <c r="Q217" s="6">
        <v>85065543.140000001</v>
      </c>
      <c r="R217" s="6">
        <v>85623282.430000007</v>
      </c>
      <c r="S217" s="6"/>
      <c r="T217" s="4"/>
      <c r="U217" s="6"/>
      <c r="V217" s="6"/>
      <c r="W217" s="6"/>
      <c r="X217" s="6"/>
      <c r="Y217" s="5"/>
      <c r="AA217">
        <f t="shared" si="2"/>
        <v>0</v>
      </c>
      <c r="AB217" s="8">
        <f t="shared" si="3"/>
        <v>-1.698113206657581E-3</v>
      </c>
    </row>
    <row r="218" spans="1:28" ht="28.8" x14ac:dyDescent="0.25">
      <c r="A218" s="4">
        <v>2018</v>
      </c>
      <c r="B218" s="11">
        <v>6</v>
      </c>
      <c r="C218" s="4" t="s">
        <v>18</v>
      </c>
      <c r="D218" s="11">
        <v>650</v>
      </c>
      <c r="E218" s="5" t="s">
        <v>20</v>
      </c>
      <c r="F218" s="4" t="s">
        <v>21</v>
      </c>
      <c r="G218" s="5" t="s">
        <v>22</v>
      </c>
      <c r="H218" s="4" t="s">
        <v>23</v>
      </c>
      <c r="I218" s="4" t="s">
        <v>23</v>
      </c>
      <c r="J218" s="6">
        <v>94085.93</v>
      </c>
      <c r="K218" s="6">
        <v>74005.03</v>
      </c>
      <c r="L218" s="6">
        <v>20080.900000000001</v>
      </c>
      <c r="M218" s="23">
        <v>13186.86</v>
      </c>
      <c r="N218" s="23">
        <v>10657.83</v>
      </c>
      <c r="O218" s="23">
        <v>2529.0300000000002</v>
      </c>
      <c r="P218" s="6">
        <v>17652.03</v>
      </c>
      <c r="Q218" s="6">
        <v>134336413.96000001</v>
      </c>
      <c r="R218" s="6">
        <v>133741292.65000001</v>
      </c>
      <c r="S218" s="6">
        <v>5.2999999999999999E-2</v>
      </c>
      <c r="T218" s="4" t="s">
        <v>24</v>
      </c>
      <c r="U218" s="6">
        <v>0.05</v>
      </c>
      <c r="V218" s="6">
        <v>0.1</v>
      </c>
      <c r="W218" s="6"/>
      <c r="X218" s="6">
        <v>3350.97</v>
      </c>
      <c r="Y218" s="5"/>
    </row>
    <row r="219" spans="1:28" ht="28.8" x14ac:dyDescent="0.25">
      <c r="A219" s="4">
        <v>2018</v>
      </c>
      <c r="B219" s="11">
        <v>6</v>
      </c>
      <c r="C219" s="4" t="s">
        <v>18</v>
      </c>
      <c r="D219" s="11">
        <v>44321</v>
      </c>
      <c r="E219" s="5" t="s">
        <v>26</v>
      </c>
      <c r="F219" s="4" t="s">
        <v>27</v>
      </c>
      <c r="G219" s="5" t="s">
        <v>28</v>
      </c>
      <c r="H219" s="4" t="s">
        <v>23</v>
      </c>
      <c r="I219" s="4" t="s">
        <v>23</v>
      </c>
      <c r="J219" s="6">
        <v>292562.84999999998</v>
      </c>
      <c r="K219" s="6">
        <v>87949.05</v>
      </c>
      <c r="L219" s="6">
        <v>204613.8</v>
      </c>
      <c r="M219" s="23">
        <v>48264.44</v>
      </c>
      <c r="N219" s="23">
        <v>14634.83</v>
      </c>
      <c r="O219" s="23">
        <v>33629.61</v>
      </c>
      <c r="P219" s="6">
        <v>24238.93</v>
      </c>
      <c r="Q219" s="6">
        <v>209711983.31999999</v>
      </c>
      <c r="R219" s="6">
        <v>209668979.97</v>
      </c>
      <c r="S219" s="6">
        <v>5.2999999999999999E-2</v>
      </c>
      <c r="T219" s="4" t="s">
        <v>17</v>
      </c>
      <c r="U219" s="6">
        <v>2.75E-2</v>
      </c>
      <c r="V219" s="6">
        <v>0.1</v>
      </c>
      <c r="W219" s="6"/>
      <c r="X219" s="6">
        <v>44559.23</v>
      </c>
      <c r="Y219" s="5"/>
    </row>
    <row r="220" spans="1:28" ht="43.2" x14ac:dyDescent="0.25">
      <c r="A220" s="4">
        <v>2018</v>
      </c>
      <c r="B220" s="11">
        <v>6</v>
      </c>
      <c r="C220" s="4" t="s">
        <v>18</v>
      </c>
      <c r="D220" s="11">
        <v>45817</v>
      </c>
      <c r="E220" s="5" t="s">
        <v>29</v>
      </c>
      <c r="F220" s="4" t="s">
        <v>30</v>
      </c>
      <c r="G220" s="5" t="s">
        <v>31</v>
      </c>
      <c r="H220" s="4" t="s">
        <v>23</v>
      </c>
      <c r="I220" s="4" t="s">
        <v>23</v>
      </c>
      <c r="J220" s="6">
        <v>375260.97</v>
      </c>
      <c r="K220" s="6">
        <v>110247</v>
      </c>
      <c r="L220" s="6">
        <v>265013.96999999997</v>
      </c>
      <c r="M220" s="23">
        <v>60999.09</v>
      </c>
      <c r="N220" s="23">
        <v>18504.45</v>
      </c>
      <c r="O220" s="23">
        <v>42494.64</v>
      </c>
      <c r="P220" s="6">
        <v>30648</v>
      </c>
      <c r="Q220" s="6">
        <v>277343644.29000002</v>
      </c>
      <c r="R220" s="6">
        <v>252589531.24000001</v>
      </c>
      <c r="S220" s="6">
        <v>5.2999999999999999E-2</v>
      </c>
      <c r="T220" s="4" t="s">
        <v>17</v>
      </c>
      <c r="U220" s="6">
        <v>2.75E-2</v>
      </c>
      <c r="V220" s="6">
        <v>0.1</v>
      </c>
      <c r="W220" s="6"/>
      <c r="X220" s="6">
        <v>56305.4</v>
      </c>
      <c r="Y220" s="5"/>
    </row>
    <row r="221" spans="1:28" ht="28.8" x14ac:dyDescent="0.25">
      <c r="A221" s="4">
        <v>2018</v>
      </c>
      <c r="B221" s="11">
        <v>6</v>
      </c>
      <c r="C221" s="4" t="s">
        <v>18</v>
      </c>
      <c r="D221" s="11">
        <v>650</v>
      </c>
      <c r="E221" s="5" t="s">
        <v>20</v>
      </c>
      <c r="F221" s="4" t="s">
        <v>35</v>
      </c>
      <c r="G221" s="5" t="s">
        <v>36</v>
      </c>
      <c r="H221" s="4" t="s">
        <v>34</v>
      </c>
      <c r="I221" s="4" t="s">
        <v>34</v>
      </c>
      <c r="J221" s="6">
        <v>63312.22</v>
      </c>
      <c r="K221" s="6">
        <v>63312.22</v>
      </c>
      <c r="L221" s="6"/>
      <c r="M221" s="23">
        <v>10781.77</v>
      </c>
      <c r="N221" s="23">
        <v>10781.77</v>
      </c>
      <c r="O221" s="6"/>
      <c r="P221" s="6">
        <v>14285.85</v>
      </c>
      <c r="Q221" s="6">
        <v>86712621.019999996</v>
      </c>
      <c r="R221" s="6">
        <v>87101460.25</v>
      </c>
      <c r="S221" s="6"/>
      <c r="T221" s="4"/>
      <c r="U221" s="6"/>
      <c r="V221" s="6"/>
      <c r="W221" s="6"/>
      <c r="X221" s="6"/>
      <c r="Y221" s="5"/>
    </row>
    <row r="222" spans="1:28" ht="28.8" x14ac:dyDescent="0.25">
      <c r="A222" s="4">
        <v>2018</v>
      </c>
      <c r="B222" s="11">
        <v>6</v>
      </c>
      <c r="C222" s="4" t="s">
        <v>18</v>
      </c>
      <c r="D222" s="11">
        <v>650</v>
      </c>
      <c r="E222" s="5" t="s">
        <v>20</v>
      </c>
      <c r="F222" s="4" t="s">
        <v>32</v>
      </c>
      <c r="G222" s="5" t="s">
        <v>33</v>
      </c>
      <c r="H222" s="4" t="s">
        <v>34</v>
      </c>
      <c r="I222" s="4" t="s">
        <v>34</v>
      </c>
      <c r="J222" s="6">
        <v>47766.57</v>
      </c>
      <c r="K222" s="6">
        <v>47766.57</v>
      </c>
      <c r="L222" s="6"/>
      <c r="M222" s="23">
        <v>7451.78</v>
      </c>
      <c r="N222" s="23">
        <v>7451.78</v>
      </c>
      <c r="O222" s="6"/>
      <c r="P222" s="6">
        <v>9873.61</v>
      </c>
      <c r="Q222" s="6">
        <v>67940915.590000004</v>
      </c>
      <c r="R222" s="6">
        <v>68215817.590000004</v>
      </c>
      <c r="S222" s="6"/>
      <c r="T222" s="4"/>
      <c r="U222" s="6"/>
      <c r="V222" s="6"/>
      <c r="W222" s="6"/>
      <c r="X222" s="6"/>
      <c r="Y222" s="5"/>
    </row>
    <row r="223" spans="1:28" ht="28.8" x14ac:dyDescent="0.25">
      <c r="A223" s="4">
        <v>2018</v>
      </c>
      <c r="B223" s="11">
        <v>6</v>
      </c>
      <c r="C223" s="4" t="s">
        <v>18</v>
      </c>
      <c r="D223" s="11">
        <v>3093</v>
      </c>
      <c r="E223" s="5" t="s">
        <v>37</v>
      </c>
      <c r="F223" s="4" t="s">
        <v>38</v>
      </c>
      <c r="G223" s="5" t="s">
        <v>39</v>
      </c>
      <c r="H223" s="4" t="s">
        <v>34</v>
      </c>
      <c r="I223" s="4" t="s">
        <v>34</v>
      </c>
      <c r="J223" s="6">
        <v>6282.24</v>
      </c>
      <c r="K223" s="6">
        <v>6282.24</v>
      </c>
      <c r="L223" s="6"/>
      <c r="M223" s="23">
        <v>1030.2</v>
      </c>
      <c r="N223" s="23">
        <v>1030.2</v>
      </c>
      <c r="O223" s="6"/>
      <c r="P223" s="6">
        <v>1365.01</v>
      </c>
      <c r="Q223" s="6">
        <v>9515118.6400000006</v>
      </c>
      <c r="R223" s="6">
        <v>9489186.1699999999</v>
      </c>
      <c r="S223" s="6"/>
      <c r="T223" s="4"/>
      <c r="U223" s="6"/>
      <c r="V223" s="6"/>
      <c r="W223" s="6"/>
      <c r="X223" s="6"/>
      <c r="Y223" s="5"/>
    </row>
    <row r="224" spans="1:28" ht="28.8" x14ac:dyDescent="0.25">
      <c r="A224" s="4">
        <v>2018</v>
      </c>
      <c r="B224" s="11">
        <v>6</v>
      </c>
      <c r="C224" s="4" t="s">
        <v>18</v>
      </c>
      <c r="D224" s="11">
        <v>9653</v>
      </c>
      <c r="E224" s="5" t="s">
        <v>40</v>
      </c>
      <c r="F224" s="4" t="s">
        <v>41</v>
      </c>
      <c r="G224" s="5" t="s">
        <v>42</v>
      </c>
      <c r="H224" s="4" t="s">
        <v>34</v>
      </c>
      <c r="I224" s="4" t="s">
        <v>34</v>
      </c>
      <c r="J224" s="6">
        <v>69393.83</v>
      </c>
      <c r="K224" s="6">
        <v>69393.83</v>
      </c>
      <c r="L224" s="6"/>
      <c r="M224" s="23">
        <v>11994.91</v>
      </c>
      <c r="N224" s="23">
        <v>11994.91</v>
      </c>
      <c r="O224" s="6"/>
      <c r="P224" s="6">
        <v>15893.26</v>
      </c>
      <c r="Q224" s="6">
        <v>64291803.670000002</v>
      </c>
      <c r="R224" s="6">
        <v>64595087.780000001</v>
      </c>
      <c r="S224" s="6"/>
      <c r="T224" s="4"/>
      <c r="U224" s="6"/>
      <c r="V224" s="6"/>
      <c r="W224" s="6"/>
      <c r="X224" s="6"/>
      <c r="Y224" s="5"/>
    </row>
    <row r="225" spans="1:25" ht="28.8" x14ac:dyDescent="0.25">
      <c r="A225" s="4">
        <v>2018</v>
      </c>
      <c r="B225" s="11">
        <v>6</v>
      </c>
      <c r="C225" s="4" t="s">
        <v>18</v>
      </c>
      <c r="D225" s="11">
        <v>45792</v>
      </c>
      <c r="E225" s="5" t="s">
        <v>43</v>
      </c>
      <c r="F225" s="4" t="s">
        <v>44</v>
      </c>
      <c r="G225" s="5" t="s">
        <v>45</v>
      </c>
      <c r="H225" s="4" t="s">
        <v>34</v>
      </c>
      <c r="I225" s="4" t="s">
        <v>34</v>
      </c>
      <c r="J225" s="6">
        <v>41053.86</v>
      </c>
      <c r="K225" s="6">
        <v>41053.86</v>
      </c>
      <c r="L225" s="6"/>
      <c r="M225" s="23">
        <v>6827.87</v>
      </c>
      <c r="N225" s="23">
        <v>6827.87</v>
      </c>
      <c r="O225" s="6"/>
      <c r="P225" s="6">
        <v>9046.93</v>
      </c>
      <c r="Q225" s="6">
        <v>95095416.170000002</v>
      </c>
      <c r="R225" s="6">
        <v>96005931.25</v>
      </c>
      <c r="S225" s="6"/>
      <c r="T225" s="4"/>
      <c r="U225" s="6"/>
      <c r="V225" s="6"/>
      <c r="W225" s="6"/>
      <c r="X225" s="6"/>
      <c r="Y225" s="5"/>
    </row>
    <row r="226" spans="1:25" ht="28.8" x14ac:dyDescent="0.25">
      <c r="A226" s="4">
        <v>2018</v>
      </c>
      <c r="B226" s="11">
        <v>6</v>
      </c>
      <c r="C226" s="4" t="s">
        <v>18</v>
      </c>
      <c r="D226" s="11">
        <v>45808</v>
      </c>
      <c r="E226" s="5" t="s">
        <v>46</v>
      </c>
      <c r="F226" s="4" t="s">
        <v>47</v>
      </c>
      <c r="G226" s="5" t="s">
        <v>48</v>
      </c>
      <c r="H226" s="4" t="s">
        <v>34</v>
      </c>
      <c r="I226" s="4" t="s">
        <v>34</v>
      </c>
      <c r="J226" s="6">
        <v>26106.97</v>
      </c>
      <c r="K226" s="6">
        <v>26106.97</v>
      </c>
      <c r="L226" s="6"/>
      <c r="M226" s="23">
        <v>4316.91</v>
      </c>
      <c r="N226" s="23">
        <v>4316.91</v>
      </c>
      <c r="O226" s="6"/>
      <c r="P226" s="6">
        <v>5719.9</v>
      </c>
      <c r="Q226" s="6">
        <v>55723235.869999997</v>
      </c>
      <c r="R226" s="6">
        <v>56611364.369999997</v>
      </c>
      <c r="S226" s="6"/>
      <c r="T226" s="4"/>
      <c r="U226" s="6"/>
      <c r="V226" s="6"/>
      <c r="W226" s="6"/>
      <c r="X226" s="6"/>
      <c r="Y226" s="5"/>
    </row>
    <row r="227" spans="1:25" ht="28.8" x14ac:dyDescent="0.25">
      <c r="A227" s="4">
        <v>2018</v>
      </c>
      <c r="B227" s="11">
        <v>6</v>
      </c>
      <c r="C227" s="4" t="s">
        <v>18</v>
      </c>
      <c r="D227" s="11">
        <v>49570</v>
      </c>
      <c r="E227" s="5" t="s">
        <v>50</v>
      </c>
      <c r="F227" s="4" t="s">
        <v>51</v>
      </c>
      <c r="G227" s="5" t="s">
        <v>52</v>
      </c>
      <c r="H227" s="4" t="s">
        <v>23</v>
      </c>
      <c r="I227" s="4" t="s">
        <v>34</v>
      </c>
      <c r="J227" s="6">
        <v>321443.15000000002</v>
      </c>
      <c r="K227" s="6">
        <v>321443.15000000002</v>
      </c>
      <c r="L227" s="6"/>
      <c r="M227" s="23">
        <v>53816.4</v>
      </c>
      <c r="N227" s="23">
        <v>53816.4</v>
      </c>
      <c r="O227" s="6"/>
      <c r="P227" s="6">
        <v>89133.41</v>
      </c>
      <c r="Q227" s="6">
        <v>661858636.45000005</v>
      </c>
      <c r="R227" s="6">
        <v>659491388.21000004</v>
      </c>
      <c r="S227" s="6"/>
      <c r="T227" s="4"/>
      <c r="U227" s="6"/>
      <c r="V227" s="6"/>
      <c r="W227" s="6"/>
      <c r="X227" s="6"/>
      <c r="Y227" s="5"/>
    </row>
    <row r="228" spans="1:25" ht="28.8" x14ac:dyDescent="0.25">
      <c r="A228" s="4">
        <v>2018</v>
      </c>
      <c r="B228" s="11">
        <v>6</v>
      </c>
      <c r="C228" s="4" t="s">
        <v>18</v>
      </c>
      <c r="D228" s="11">
        <v>50544</v>
      </c>
      <c r="E228" s="5" t="s">
        <v>53</v>
      </c>
      <c r="F228" s="4" t="s">
        <v>54</v>
      </c>
      <c r="G228" s="5" t="s">
        <v>55</v>
      </c>
      <c r="H228" s="4" t="s">
        <v>34</v>
      </c>
      <c r="I228" s="4" t="s">
        <v>34</v>
      </c>
      <c r="J228" s="6">
        <v>40377.18</v>
      </c>
      <c r="K228" s="6">
        <v>40377.18</v>
      </c>
      <c r="L228" s="6"/>
      <c r="M228" s="23">
        <v>5488.11</v>
      </c>
      <c r="N228" s="23">
        <v>5488.11</v>
      </c>
      <c r="O228" s="6"/>
      <c r="P228" s="6">
        <v>7271.74</v>
      </c>
      <c r="Q228" s="6">
        <v>85532238.590000004</v>
      </c>
      <c r="R228" s="6">
        <v>84738025.370000005</v>
      </c>
      <c r="S228" s="6"/>
      <c r="T228" s="4"/>
      <c r="U228" s="6"/>
      <c r="V228" s="6"/>
      <c r="W228" s="6"/>
      <c r="X228" s="6"/>
      <c r="Y228" s="5"/>
    </row>
    <row r="229" spans="1:25" ht="28.8" x14ac:dyDescent="0.25">
      <c r="A229" s="4">
        <v>2018</v>
      </c>
      <c r="B229" s="4">
        <v>7</v>
      </c>
      <c r="C229" s="4" t="s">
        <v>18</v>
      </c>
      <c r="D229" s="11">
        <v>650</v>
      </c>
      <c r="E229" s="5" t="s">
        <v>20</v>
      </c>
      <c r="F229" s="4" t="s">
        <v>21</v>
      </c>
      <c r="G229" s="5" t="s">
        <v>22</v>
      </c>
      <c r="H229" s="4" t="s">
        <v>23</v>
      </c>
      <c r="I229" s="4" t="s">
        <v>23</v>
      </c>
      <c r="J229" s="6">
        <v>107118.5</v>
      </c>
      <c r="K229" s="6">
        <v>84505.82</v>
      </c>
      <c r="L229" s="6">
        <v>22612.68</v>
      </c>
      <c r="M229" s="23">
        <v>13032.58</v>
      </c>
      <c r="N229" s="23">
        <v>10500.79</v>
      </c>
      <c r="O229" s="23">
        <v>2531.79</v>
      </c>
      <c r="P229" s="6">
        <v>17391.93</v>
      </c>
      <c r="Q229" s="6">
        <v>133750014.5</v>
      </c>
      <c r="R229" s="6">
        <v>134619265.72999999</v>
      </c>
      <c r="S229" s="6">
        <v>5.2999999999999999E-2</v>
      </c>
      <c r="T229" s="4" t="s">
        <v>24</v>
      </c>
      <c r="U229" s="6">
        <v>0.05</v>
      </c>
      <c r="V229" s="6">
        <v>0.1</v>
      </c>
      <c r="W229" s="6"/>
      <c r="X229" s="6">
        <v>3354.62</v>
      </c>
      <c r="Y229" s="5"/>
    </row>
    <row r="230" spans="1:25" ht="28.8" x14ac:dyDescent="0.25">
      <c r="A230" s="4">
        <v>2018</v>
      </c>
      <c r="B230" s="4">
        <v>7</v>
      </c>
      <c r="C230" s="4" t="s">
        <v>18</v>
      </c>
      <c r="D230" s="11">
        <v>44321</v>
      </c>
      <c r="E230" s="5" t="s">
        <v>26</v>
      </c>
      <c r="F230" s="4" t="s">
        <v>27</v>
      </c>
      <c r="G230" s="5" t="s">
        <v>28</v>
      </c>
      <c r="H230" s="4" t="s">
        <v>23</v>
      </c>
      <c r="I230" s="4" t="s">
        <v>23</v>
      </c>
      <c r="J230" s="6">
        <v>340648.04</v>
      </c>
      <c r="K230" s="6">
        <v>102208.66</v>
      </c>
      <c r="L230" s="6">
        <v>238439.38</v>
      </c>
      <c r="M230" s="23">
        <v>48085.2</v>
      </c>
      <c r="N230" s="23">
        <v>14259.62</v>
      </c>
      <c r="O230" s="23">
        <v>33825.58</v>
      </c>
      <c r="P230" s="6">
        <v>23617.49</v>
      </c>
      <c r="Q230" s="6">
        <v>209682964.72</v>
      </c>
      <c r="R230" s="6">
        <v>212141915.78999999</v>
      </c>
      <c r="S230" s="6">
        <v>5.2999999999999999E-2</v>
      </c>
      <c r="T230" s="4" t="s">
        <v>17</v>
      </c>
      <c r="U230" s="6">
        <v>2.75E-2</v>
      </c>
      <c r="V230" s="6">
        <v>0.1</v>
      </c>
      <c r="W230" s="6"/>
      <c r="X230" s="6">
        <v>44818.89</v>
      </c>
      <c r="Y230" s="5"/>
    </row>
    <row r="231" spans="1:25" ht="43.2" x14ac:dyDescent="0.25">
      <c r="A231" s="4">
        <v>2018</v>
      </c>
      <c r="B231" s="4">
        <v>7</v>
      </c>
      <c r="C231" s="4" t="s">
        <v>18</v>
      </c>
      <c r="D231" s="11">
        <v>45817</v>
      </c>
      <c r="E231" s="5" t="s">
        <v>29</v>
      </c>
      <c r="F231" s="4" t="s">
        <v>30</v>
      </c>
      <c r="G231" s="5" t="s">
        <v>31</v>
      </c>
      <c r="H231" s="4" t="s">
        <v>23</v>
      </c>
      <c r="I231" s="4" t="s">
        <v>23</v>
      </c>
      <c r="J231" s="6">
        <v>435121.1</v>
      </c>
      <c r="K231" s="6">
        <v>129321.52</v>
      </c>
      <c r="L231" s="6">
        <v>305799.58</v>
      </c>
      <c r="M231" s="23">
        <v>59860.12</v>
      </c>
      <c r="N231" s="23">
        <v>19074.509999999998</v>
      </c>
      <c r="O231" s="23">
        <v>40785.61</v>
      </c>
      <c r="P231" s="6">
        <v>31592.16</v>
      </c>
      <c r="Q231" s="6">
        <v>252616186.47</v>
      </c>
      <c r="R231" s="6">
        <v>256004407.41999999</v>
      </c>
      <c r="S231" s="6">
        <v>5.2999999999999999E-2</v>
      </c>
      <c r="T231" s="4" t="s">
        <v>17</v>
      </c>
      <c r="U231" s="6">
        <v>2.75E-2</v>
      </c>
      <c r="V231" s="6">
        <v>0.1</v>
      </c>
      <c r="W231" s="6"/>
      <c r="X231" s="6">
        <v>54040.94</v>
      </c>
      <c r="Y231" s="5"/>
    </row>
    <row r="232" spans="1:25" ht="28.8" x14ac:dyDescent="0.25">
      <c r="A232" s="4">
        <v>2018</v>
      </c>
      <c r="B232" s="4">
        <v>7</v>
      </c>
      <c r="C232" s="4" t="s">
        <v>18</v>
      </c>
      <c r="D232" s="11">
        <v>650</v>
      </c>
      <c r="E232" s="5" t="s">
        <v>20</v>
      </c>
      <c r="F232" s="4" t="s">
        <v>35</v>
      </c>
      <c r="G232" s="5" t="s">
        <v>36</v>
      </c>
      <c r="H232" s="4" t="s">
        <v>34</v>
      </c>
      <c r="I232" s="4" t="s">
        <v>34</v>
      </c>
      <c r="J232" s="6">
        <v>74507.100000000006</v>
      </c>
      <c r="K232" s="6">
        <v>74507.100000000006</v>
      </c>
      <c r="L232" s="6"/>
      <c r="M232" s="23">
        <v>11194.88</v>
      </c>
      <c r="N232" s="23">
        <v>11194.88</v>
      </c>
      <c r="O232" s="6"/>
      <c r="P232" s="6">
        <v>14833.22</v>
      </c>
      <c r="Q232" s="6">
        <v>87115162.349999994</v>
      </c>
      <c r="R232" s="6">
        <v>87548188.439999998</v>
      </c>
      <c r="S232" s="6"/>
      <c r="T232" s="4"/>
      <c r="U232" s="6"/>
      <c r="V232" s="6"/>
      <c r="W232" s="6"/>
      <c r="X232" s="6"/>
      <c r="Y232" s="5"/>
    </row>
    <row r="233" spans="1:25" ht="28.8" x14ac:dyDescent="0.25">
      <c r="A233" s="4">
        <v>2018</v>
      </c>
      <c r="B233" s="4">
        <v>7</v>
      </c>
      <c r="C233" s="4" t="s">
        <v>18</v>
      </c>
      <c r="D233" s="11">
        <v>650</v>
      </c>
      <c r="E233" s="5" t="s">
        <v>20</v>
      </c>
      <c r="F233" s="4" t="s">
        <v>32</v>
      </c>
      <c r="G233" s="5" t="s">
        <v>33</v>
      </c>
      <c r="H233" s="4" t="s">
        <v>34</v>
      </c>
      <c r="I233" s="4" t="s">
        <v>34</v>
      </c>
      <c r="J233" s="6">
        <v>55500.41</v>
      </c>
      <c r="K233" s="6">
        <v>55500.41</v>
      </c>
      <c r="L233" s="6"/>
      <c r="M233" s="23">
        <v>7733.83</v>
      </c>
      <c r="N233" s="23">
        <v>7733.83</v>
      </c>
      <c r="O233" s="6"/>
      <c r="P233" s="6">
        <v>10247.33</v>
      </c>
      <c r="Q233" s="6">
        <v>68224062.629999995</v>
      </c>
      <c r="R233" s="6">
        <v>68523913.260000005</v>
      </c>
      <c r="S233" s="6"/>
      <c r="T233" s="4"/>
      <c r="U233" s="6"/>
      <c r="V233" s="6"/>
      <c r="W233" s="6"/>
      <c r="X233" s="6"/>
      <c r="Y233" s="5"/>
    </row>
    <row r="234" spans="1:25" ht="28.8" x14ac:dyDescent="0.25">
      <c r="A234" s="4">
        <v>2018</v>
      </c>
      <c r="B234" s="4">
        <v>7</v>
      </c>
      <c r="C234" s="4" t="s">
        <v>18</v>
      </c>
      <c r="D234" s="11">
        <v>3093</v>
      </c>
      <c r="E234" s="5" t="s">
        <v>37</v>
      </c>
      <c r="F234" s="4" t="s">
        <v>38</v>
      </c>
      <c r="G234" s="5" t="s">
        <v>39</v>
      </c>
      <c r="H234" s="4" t="s">
        <v>34</v>
      </c>
      <c r="I234" s="4" t="s">
        <v>34</v>
      </c>
      <c r="J234" s="6">
        <v>7351.03</v>
      </c>
      <c r="K234" s="6">
        <v>7351.03</v>
      </c>
      <c r="L234" s="6"/>
      <c r="M234" s="23">
        <v>1068.79</v>
      </c>
      <c r="N234" s="23">
        <v>1068.79</v>
      </c>
      <c r="O234" s="6"/>
      <c r="P234" s="6">
        <v>1416.15</v>
      </c>
      <c r="Q234" s="6">
        <v>9489229.7400000002</v>
      </c>
      <c r="R234" s="6">
        <v>9555693.5700000003</v>
      </c>
      <c r="S234" s="6"/>
      <c r="T234" s="4"/>
      <c r="U234" s="6"/>
      <c r="V234" s="6"/>
      <c r="W234" s="6"/>
      <c r="X234" s="6"/>
      <c r="Y234" s="5"/>
    </row>
    <row r="235" spans="1:25" ht="28.8" x14ac:dyDescent="0.25">
      <c r="A235" s="4">
        <v>2018</v>
      </c>
      <c r="B235" s="4">
        <v>7</v>
      </c>
      <c r="C235" s="4" t="s">
        <v>18</v>
      </c>
      <c r="D235" s="11">
        <v>9653</v>
      </c>
      <c r="E235" s="5" t="s">
        <v>40</v>
      </c>
      <c r="F235" s="4" t="s">
        <v>41</v>
      </c>
      <c r="G235" s="5" t="s">
        <v>42</v>
      </c>
      <c r="H235" s="4" t="s">
        <v>34</v>
      </c>
      <c r="I235" s="4" t="s">
        <v>34</v>
      </c>
      <c r="J235" s="6">
        <v>81850.48</v>
      </c>
      <c r="K235" s="6">
        <v>81850.48</v>
      </c>
      <c r="L235" s="6"/>
      <c r="M235" s="23">
        <v>12456.65</v>
      </c>
      <c r="N235" s="23">
        <v>12456.65</v>
      </c>
      <c r="O235" s="6"/>
      <c r="P235" s="6">
        <v>16505.060000000001</v>
      </c>
      <c r="Q235" s="6">
        <v>64608009.090000004</v>
      </c>
      <c r="R235" s="6">
        <v>64981918.119999997</v>
      </c>
      <c r="S235" s="6"/>
      <c r="T235" s="4"/>
      <c r="U235" s="6"/>
      <c r="V235" s="6"/>
      <c r="W235" s="6"/>
      <c r="X235" s="6"/>
      <c r="Y235" s="5"/>
    </row>
    <row r="236" spans="1:25" ht="28.8" x14ac:dyDescent="0.25">
      <c r="A236" s="4">
        <v>2018</v>
      </c>
      <c r="B236" s="4">
        <v>7</v>
      </c>
      <c r="C236" s="4" t="s">
        <v>18</v>
      </c>
      <c r="D236" s="11">
        <v>45792</v>
      </c>
      <c r="E236" s="5" t="s">
        <v>43</v>
      </c>
      <c r="F236" s="4" t="s">
        <v>44</v>
      </c>
      <c r="G236" s="5" t="s">
        <v>45</v>
      </c>
      <c r="H236" s="4" t="s">
        <v>34</v>
      </c>
      <c r="I236" s="4" t="s">
        <v>34</v>
      </c>
      <c r="J236" s="6">
        <v>48147.95</v>
      </c>
      <c r="K236" s="6">
        <v>48147.95</v>
      </c>
      <c r="L236" s="6"/>
      <c r="M236" s="23">
        <v>7094.1</v>
      </c>
      <c r="N236" s="23">
        <v>7094.1</v>
      </c>
      <c r="O236" s="6"/>
      <c r="P236" s="6">
        <v>9399.68</v>
      </c>
      <c r="Q236" s="6">
        <v>96008281.019999996</v>
      </c>
      <c r="R236" s="6">
        <v>96689388.180000007</v>
      </c>
      <c r="S236" s="6"/>
      <c r="T236" s="4"/>
      <c r="U236" s="6"/>
      <c r="V236" s="6"/>
      <c r="W236" s="6"/>
      <c r="X236" s="6"/>
      <c r="Y236" s="5"/>
    </row>
    <row r="237" spans="1:25" ht="28.8" x14ac:dyDescent="0.25">
      <c r="A237" s="4">
        <v>2018</v>
      </c>
      <c r="B237" s="4">
        <v>7</v>
      </c>
      <c r="C237" s="4" t="s">
        <v>18</v>
      </c>
      <c r="D237" s="11">
        <v>45808</v>
      </c>
      <c r="E237" s="5" t="s">
        <v>46</v>
      </c>
      <c r="F237" s="4" t="s">
        <v>47</v>
      </c>
      <c r="G237" s="5" t="s">
        <v>48</v>
      </c>
      <c r="H237" s="4" t="s">
        <v>34</v>
      </c>
      <c r="I237" s="4" t="s">
        <v>34</v>
      </c>
      <c r="J237" s="6">
        <v>30234.23</v>
      </c>
      <c r="K237" s="6">
        <v>30234.23</v>
      </c>
      <c r="L237" s="6"/>
      <c r="M237" s="23">
        <v>4127.26</v>
      </c>
      <c r="N237" s="23">
        <v>4127.26</v>
      </c>
      <c r="O237" s="6"/>
      <c r="P237" s="6">
        <v>5468.62</v>
      </c>
      <c r="Q237" s="6">
        <v>56611690.770000003</v>
      </c>
      <c r="R237" s="6">
        <v>56956985.310000002</v>
      </c>
      <c r="S237" s="6"/>
      <c r="T237" s="4"/>
      <c r="U237" s="6"/>
      <c r="V237" s="6"/>
      <c r="W237" s="6"/>
      <c r="X237" s="6"/>
      <c r="Y237" s="5"/>
    </row>
    <row r="238" spans="1:25" ht="28.8" x14ac:dyDescent="0.25">
      <c r="A238" s="4">
        <v>2018</v>
      </c>
      <c r="B238" s="4">
        <v>7</v>
      </c>
      <c r="C238" s="4" t="s">
        <v>18</v>
      </c>
      <c r="D238" s="11">
        <v>49570</v>
      </c>
      <c r="E238" s="5" t="s">
        <v>50</v>
      </c>
      <c r="F238" s="4" t="s">
        <v>51</v>
      </c>
      <c r="G238" s="5" t="s">
        <v>52</v>
      </c>
      <c r="H238" s="4" t="s">
        <v>23</v>
      </c>
      <c r="I238" s="4" t="s">
        <v>34</v>
      </c>
      <c r="J238" s="6">
        <v>376034.67</v>
      </c>
      <c r="K238" s="6">
        <v>376034.67</v>
      </c>
      <c r="L238" s="6"/>
      <c r="M238" s="23">
        <v>54591.53</v>
      </c>
      <c r="N238" s="23">
        <v>54591.53</v>
      </c>
      <c r="O238" s="6"/>
      <c r="P238" s="6">
        <v>90417.22</v>
      </c>
      <c r="Q238" s="6">
        <v>659568735.19000006</v>
      </c>
      <c r="R238" s="6">
        <v>662624122.66999996</v>
      </c>
      <c r="S238" s="6"/>
      <c r="T238" s="4"/>
      <c r="U238" s="6"/>
      <c r="V238" s="6"/>
      <c r="W238" s="6"/>
      <c r="X238" s="6"/>
      <c r="Y238" s="5"/>
    </row>
    <row r="239" spans="1:25" ht="28.8" x14ac:dyDescent="0.25">
      <c r="A239" s="4">
        <v>2018</v>
      </c>
      <c r="B239" s="4">
        <v>7</v>
      </c>
      <c r="C239" s="4" t="s">
        <v>18</v>
      </c>
      <c r="D239" s="11">
        <v>50544</v>
      </c>
      <c r="E239" s="5" t="s">
        <v>53</v>
      </c>
      <c r="F239" s="4" t="s">
        <v>54</v>
      </c>
      <c r="G239" s="5" t="s">
        <v>55</v>
      </c>
      <c r="H239" s="4" t="s">
        <v>34</v>
      </c>
      <c r="I239" s="4" t="s">
        <v>34</v>
      </c>
      <c r="J239" s="6">
        <v>45724.25</v>
      </c>
      <c r="K239" s="6">
        <v>45724.25</v>
      </c>
      <c r="L239" s="6"/>
      <c r="M239" s="23">
        <v>5347.06</v>
      </c>
      <c r="N239" s="23">
        <v>5347.06</v>
      </c>
      <c r="O239" s="6"/>
      <c r="P239" s="6">
        <v>7084.86</v>
      </c>
      <c r="Q239" s="6">
        <v>84738258.400000006</v>
      </c>
      <c r="R239" s="6">
        <v>85439006.620000005</v>
      </c>
      <c r="S239" s="6"/>
      <c r="T239" s="4"/>
      <c r="U239" s="6"/>
      <c r="V239" s="6"/>
      <c r="W239" s="6"/>
      <c r="X239" s="6"/>
      <c r="Y239" s="5"/>
    </row>
    <row r="240" spans="1:25" ht="28.8" x14ac:dyDescent="0.25">
      <c r="A240" s="4">
        <v>2018</v>
      </c>
      <c r="B240" s="4">
        <v>8</v>
      </c>
      <c r="C240" s="4" t="s">
        <v>18</v>
      </c>
      <c r="D240" s="11">
        <v>650</v>
      </c>
      <c r="E240" s="5" t="s">
        <v>20</v>
      </c>
      <c r="F240" s="4" t="s">
        <v>21</v>
      </c>
      <c r="G240" s="5" t="s">
        <v>22</v>
      </c>
      <c r="H240" s="4" t="s">
        <v>23</v>
      </c>
      <c r="I240" s="4" t="s">
        <v>23</v>
      </c>
      <c r="J240" s="6">
        <v>119765.28</v>
      </c>
      <c r="K240" s="6">
        <v>94614.67</v>
      </c>
      <c r="L240" s="6">
        <v>25150.61</v>
      </c>
      <c r="M240" s="23">
        <v>12646.78</v>
      </c>
      <c r="N240" s="23">
        <v>10108.85</v>
      </c>
      <c r="O240" s="23">
        <v>2537.9299999999998</v>
      </c>
      <c r="P240" s="6">
        <v>16742.78</v>
      </c>
      <c r="Q240" s="6">
        <v>134619265.72999999</v>
      </c>
      <c r="R240" s="6">
        <v>134401094.22999999</v>
      </c>
      <c r="S240" s="6">
        <v>5.2999999999999999E-2</v>
      </c>
      <c r="T240" s="4" t="s">
        <v>24</v>
      </c>
      <c r="U240" s="6">
        <v>0.05</v>
      </c>
      <c r="V240" s="6">
        <v>0.1</v>
      </c>
      <c r="W240" s="6"/>
      <c r="X240" s="6">
        <v>3362.75</v>
      </c>
      <c r="Y240" s="5"/>
    </row>
    <row r="241" spans="1:25" ht="28.8" x14ac:dyDescent="0.25">
      <c r="A241" s="4">
        <v>2018</v>
      </c>
      <c r="B241" s="4">
        <v>8</v>
      </c>
      <c r="C241" s="4" t="s">
        <v>18</v>
      </c>
      <c r="D241" s="11">
        <v>44321</v>
      </c>
      <c r="E241" s="5" t="s">
        <v>26</v>
      </c>
      <c r="F241" s="4" t="s">
        <v>27</v>
      </c>
      <c r="G241" s="5" t="s">
        <v>28</v>
      </c>
      <c r="H241" s="4" t="s">
        <v>23</v>
      </c>
      <c r="I241" s="4" t="s">
        <v>23</v>
      </c>
      <c r="J241" s="6">
        <v>387053.07</v>
      </c>
      <c r="K241" s="6">
        <v>114512.72</v>
      </c>
      <c r="L241" s="6">
        <v>272540.34999999998</v>
      </c>
      <c r="M241" s="23">
        <v>46405.02</v>
      </c>
      <c r="N241" s="23">
        <v>12304.05</v>
      </c>
      <c r="O241" s="23">
        <v>34100.97</v>
      </c>
      <c r="P241" s="6">
        <v>20378.59</v>
      </c>
      <c r="Q241" s="6">
        <v>212141915.78999999</v>
      </c>
      <c r="R241" s="6">
        <v>213117261.31</v>
      </c>
      <c r="S241" s="6">
        <v>5.2999999999999999E-2</v>
      </c>
      <c r="T241" s="4" t="s">
        <v>17</v>
      </c>
      <c r="U241" s="6">
        <v>2.75E-2</v>
      </c>
      <c r="V241" s="6">
        <v>0.1</v>
      </c>
      <c r="W241" s="6"/>
      <c r="X241" s="6">
        <v>45183.79</v>
      </c>
      <c r="Y241" s="5"/>
    </row>
    <row r="242" spans="1:25" ht="43.2" x14ac:dyDescent="0.25">
      <c r="A242" s="4">
        <v>2018</v>
      </c>
      <c r="B242" s="4">
        <v>8</v>
      </c>
      <c r="C242" s="4" t="s">
        <v>18</v>
      </c>
      <c r="D242" s="11">
        <v>45817</v>
      </c>
      <c r="E242" s="5" t="s">
        <v>29</v>
      </c>
      <c r="F242" s="4" t="s">
        <v>30</v>
      </c>
      <c r="G242" s="5" t="s">
        <v>31</v>
      </c>
      <c r="H242" s="4" t="s">
        <v>23</v>
      </c>
      <c r="I242" s="4" t="s">
        <v>23</v>
      </c>
      <c r="J242" s="6">
        <v>495833.28</v>
      </c>
      <c r="K242" s="6">
        <v>148738.94</v>
      </c>
      <c r="L242" s="6">
        <v>347094.34</v>
      </c>
      <c r="M242" s="23">
        <v>60712.18</v>
      </c>
      <c r="N242" s="23">
        <v>19417.419999999998</v>
      </c>
      <c r="O242" s="23">
        <v>41294.76</v>
      </c>
      <c r="P242" s="6">
        <v>32160.11</v>
      </c>
      <c r="Q242" s="6">
        <v>256004407.41999999</v>
      </c>
      <c r="R242" s="6">
        <v>258965518.84999999</v>
      </c>
      <c r="S242" s="6">
        <v>5.2999999999999999E-2</v>
      </c>
      <c r="T242" s="4" t="s">
        <v>17</v>
      </c>
      <c r="U242" s="6">
        <v>2.75E-2</v>
      </c>
      <c r="V242" s="6">
        <v>0.1</v>
      </c>
      <c r="W242" s="6"/>
      <c r="X242" s="6">
        <v>54715.55</v>
      </c>
      <c r="Y242" s="5"/>
    </row>
    <row r="243" spans="1:25" ht="28.8" x14ac:dyDescent="0.25">
      <c r="A243" s="4">
        <v>2018</v>
      </c>
      <c r="B243" s="4">
        <v>8</v>
      </c>
      <c r="C243" s="4" t="s">
        <v>18</v>
      </c>
      <c r="D243" s="11">
        <v>650</v>
      </c>
      <c r="E243" s="5" t="s">
        <v>20</v>
      </c>
      <c r="F243" s="4" t="s">
        <v>35</v>
      </c>
      <c r="G243" s="5" t="s">
        <v>36</v>
      </c>
      <c r="H243" s="4" t="s">
        <v>34</v>
      </c>
      <c r="I243" s="4" t="s">
        <v>34</v>
      </c>
      <c r="J243" s="6">
        <v>85757.47</v>
      </c>
      <c r="K243" s="6">
        <v>85757.47</v>
      </c>
      <c r="L243" s="6"/>
      <c r="M243" s="23">
        <v>11250.37</v>
      </c>
      <c r="N243" s="23">
        <v>11250.37</v>
      </c>
      <c r="O243" s="6"/>
      <c r="P243" s="6">
        <v>14906.74</v>
      </c>
      <c r="Q243" s="6">
        <v>87548188.439999998</v>
      </c>
      <c r="R243" s="6">
        <v>87966621.030000001</v>
      </c>
      <c r="S243" s="6"/>
      <c r="T243" s="4"/>
      <c r="U243" s="6"/>
      <c r="V243" s="6"/>
      <c r="W243" s="6"/>
      <c r="X243" s="6"/>
      <c r="Y243" s="5"/>
    </row>
    <row r="244" spans="1:25" ht="28.8" x14ac:dyDescent="0.25">
      <c r="A244" s="4">
        <v>2018</v>
      </c>
      <c r="B244" s="4">
        <v>8</v>
      </c>
      <c r="C244" s="4" t="s">
        <v>18</v>
      </c>
      <c r="D244" s="11">
        <v>650</v>
      </c>
      <c r="E244" s="5" t="s">
        <v>20</v>
      </c>
      <c r="F244" s="4" t="s">
        <v>32</v>
      </c>
      <c r="G244" s="5" t="s">
        <v>33</v>
      </c>
      <c r="H244" s="4" t="s">
        <v>34</v>
      </c>
      <c r="I244" s="4" t="s">
        <v>34</v>
      </c>
      <c r="J244" s="6">
        <v>63267.59</v>
      </c>
      <c r="K244" s="6">
        <v>63267.59</v>
      </c>
      <c r="L244" s="6"/>
      <c r="M244" s="23">
        <v>7767.18</v>
      </c>
      <c r="N244" s="23">
        <v>7767.18</v>
      </c>
      <c r="O244" s="6"/>
      <c r="P244" s="6">
        <v>10291.52</v>
      </c>
      <c r="Q244" s="6">
        <v>68523913.260000005</v>
      </c>
      <c r="R244" s="6">
        <v>68801731.859999999</v>
      </c>
      <c r="S244" s="6"/>
      <c r="T244" s="4"/>
      <c r="U244" s="6"/>
      <c r="V244" s="6"/>
      <c r="W244" s="6"/>
      <c r="X244" s="6"/>
      <c r="Y244" s="5"/>
    </row>
    <row r="245" spans="1:25" ht="28.8" x14ac:dyDescent="0.25">
      <c r="A245" s="4">
        <v>2018</v>
      </c>
      <c r="B245" s="4">
        <v>8</v>
      </c>
      <c r="C245" s="4" t="s">
        <v>18</v>
      </c>
      <c r="D245" s="11">
        <v>3093</v>
      </c>
      <c r="E245" s="5" t="s">
        <v>37</v>
      </c>
      <c r="F245" s="4" t="s">
        <v>38</v>
      </c>
      <c r="G245" s="5" t="s">
        <v>39</v>
      </c>
      <c r="H245" s="4" t="s">
        <v>34</v>
      </c>
      <c r="I245" s="4" t="s">
        <v>34</v>
      </c>
      <c r="J245" s="6">
        <v>8435.09</v>
      </c>
      <c r="K245" s="6">
        <v>8435.09</v>
      </c>
      <c r="L245" s="6"/>
      <c r="M245" s="23">
        <v>1084.06</v>
      </c>
      <c r="N245" s="23">
        <v>1084.06</v>
      </c>
      <c r="O245" s="6"/>
      <c r="P245" s="6">
        <v>1436.38</v>
      </c>
      <c r="Q245" s="6">
        <v>9555693.5700000003</v>
      </c>
      <c r="R245" s="6">
        <v>9490209.1799999997</v>
      </c>
      <c r="S245" s="6"/>
      <c r="T245" s="4"/>
      <c r="U245" s="6"/>
      <c r="V245" s="6"/>
      <c r="W245" s="6"/>
      <c r="X245" s="6"/>
      <c r="Y245" s="5"/>
    </row>
    <row r="246" spans="1:25" ht="28.8" x14ac:dyDescent="0.25">
      <c r="A246" s="4">
        <v>2018</v>
      </c>
      <c r="B246" s="4">
        <v>8</v>
      </c>
      <c r="C246" s="4" t="s">
        <v>18</v>
      </c>
      <c r="D246" s="11">
        <v>9653</v>
      </c>
      <c r="E246" s="5" t="s">
        <v>40</v>
      </c>
      <c r="F246" s="4" t="s">
        <v>41</v>
      </c>
      <c r="G246" s="5" t="s">
        <v>42</v>
      </c>
      <c r="H246" s="4" t="s">
        <v>34</v>
      </c>
      <c r="I246" s="4" t="s">
        <v>34</v>
      </c>
      <c r="J246" s="6">
        <v>94380.479999999996</v>
      </c>
      <c r="K246" s="6">
        <v>94380.479999999996</v>
      </c>
      <c r="L246" s="6"/>
      <c r="M246" s="23">
        <v>12529.99</v>
      </c>
      <c r="N246" s="23">
        <v>12529.99</v>
      </c>
      <c r="O246" s="6"/>
      <c r="P246" s="6">
        <v>16602.240000000002</v>
      </c>
      <c r="Q246" s="6">
        <v>64981918.119999997</v>
      </c>
      <c r="R246" s="6">
        <v>65342438.509999998</v>
      </c>
      <c r="S246" s="6"/>
      <c r="T246" s="4"/>
      <c r="U246" s="6"/>
      <c r="V246" s="6"/>
      <c r="W246" s="6"/>
      <c r="X246" s="6"/>
      <c r="Y246" s="5"/>
    </row>
    <row r="247" spans="1:25" ht="28.8" x14ac:dyDescent="0.25">
      <c r="A247" s="4">
        <v>2018</v>
      </c>
      <c r="B247" s="4">
        <v>8</v>
      </c>
      <c r="C247" s="4" t="s">
        <v>18</v>
      </c>
      <c r="D247" s="11">
        <v>45792</v>
      </c>
      <c r="E247" s="5" t="s">
        <v>43</v>
      </c>
      <c r="F247" s="4" t="s">
        <v>44</v>
      </c>
      <c r="G247" s="5" t="s">
        <v>45</v>
      </c>
      <c r="H247" s="4" t="s">
        <v>34</v>
      </c>
      <c r="I247" s="4" t="s">
        <v>34</v>
      </c>
      <c r="J247" s="6">
        <v>55658.3</v>
      </c>
      <c r="K247" s="6">
        <v>55658.3</v>
      </c>
      <c r="L247" s="6"/>
      <c r="M247" s="23">
        <v>7510.35</v>
      </c>
      <c r="N247" s="23">
        <v>7510.35</v>
      </c>
      <c r="O247" s="6"/>
      <c r="P247" s="6">
        <v>9951.2099999999991</v>
      </c>
      <c r="Q247" s="6">
        <v>96689388.180000007</v>
      </c>
      <c r="R247" s="6">
        <v>97320698.430000007</v>
      </c>
      <c r="S247" s="6"/>
      <c r="T247" s="4"/>
      <c r="U247" s="6"/>
      <c r="V247" s="6"/>
      <c r="W247" s="6"/>
      <c r="X247" s="6"/>
      <c r="Y247" s="5"/>
    </row>
    <row r="248" spans="1:25" ht="28.8" x14ac:dyDescent="0.25">
      <c r="A248" s="4">
        <v>2018</v>
      </c>
      <c r="B248" s="4">
        <v>8</v>
      </c>
      <c r="C248" s="4" t="s">
        <v>18</v>
      </c>
      <c r="D248" s="11">
        <v>45808</v>
      </c>
      <c r="E248" s="5" t="s">
        <v>46</v>
      </c>
      <c r="F248" s="4" t="s">
        <v>47</v>
      </c>
      <c r="G248" s="5" t="s">
        <v>48</v>
      </c>
      <c r="H248" s="4" t="s">
        <v>34</v>
      </c>
      <c r="I248" s="4" t="s">
        <v>34</v>
      </c>
      <c r="J248" s="6">
        <v>36165.339999999997</v>
      </c>
      <c r="K248" s="6">
        <v>36165.339999999997</v>
      </c>
      <c r="L248" s="6"/>
      <c r="M248" s="23">
        <v>5931.11</v>
      </c>
      <c r="N248" s="23">
        <v>5931.11</v>
      </c>
      <c r="O248" s="6"/>
      <c r="P248" s="6">
        <v>7858.72</v>
      </c>
      <c r="Q248" s="6">
        <v>56956985.310000002</v>
      </c>
      <c r="R248" s="6">
        <v>57392661.130000003</v>
      </c>
      <c r="S248" s="6"/>
      <c r="T248" s="4"/>
      <c r="U248" s="6"/>
      <c r="V248" s="6"/>
      <c r="W248" s="6"/>
      <c r="X248" s="6"/>
      <c r="Y248" s="5"/>
    </row>
    <row r="249" spans="1:25" ht="28.8" x14ac:dyDescent="0.25">
      <c r="A249" s="4">
        <v>2018</v>
      </c>
      <c r="B249" s="4">
        <v>8</v>
      </c>
      <c r="C249" s="4" t="s">
        <v>18</v>
      </c>
      <c r="D249" s="11">
        <v>49570</v>
      </c>
      <c r="E249" s="5" t="s">
        <v>50</v>
      </c>
      <c r="F249" s="4" t="s">
        <v>51</v>
      </c>
      <c r="G249" s="5" t="s">
        <v>52</v>
      </c>
      <c r="H249" s="4" t="s">
        <v>23</v>
      </c>
      <c r="I249" s="4" t="s">
        <v>34</v>
      </c>
      <c r="J249" s="6">
        <v>428625.33</v>
      </c>
      <c r="K249" s="6">
        <v>428625.33</v>
      </c>
      <c r="L249" s="6"/>
      <c r="M249" s="23">
        <v>52590.65</v>
      </c>
      <c r="N249" s="23">
        <v>52590.65</v>
      </c>
      <c r="O249" s="6"/>
      <c r="P249" s="6">
        <v>87103.27</v>
      </c>
      <c r="Q249" s="6">
        <v>662624122.66999996</v>
      </c>
      <c r="R249" s="6">
        <v>663066716.04999995</v>
      </c>
      <c r="S249" s="6"/>
      <c r="T249" s="4"/>
      <c r="U249" s="6"/>
      <c r="V249" s="6"/>
      <c r="W249" s="6"/>
      <c r="X249" s="6"/>
      <c r="Y249" s="5"/>
    </row>
    <row r="250" spans="1:25" ht="28.8" x14ac:dyDescent="0.25">
      <c r="A250" s="4">
        <v>2018</v>
      </c>
      <c r="B250" s="4">
        <v>8</v>
      </c>
      <c r="C250" s="4" t="s">
        <v>18</v>
      </c>
      <c r="D250" s="11">
        <v>50544</v>
      </c>
      <c r="E250" s="5" t="s">
        <v>53</v>
      </c>
      <c r="F250" s="4" t="s">
        <v>54</v>
      </c>
      <c r="G250" s="5" t="s">
        <v>55</v>
      </c>
      <c r="H250" s="4" t="s">
        <v>34</v>
      </c>
      <c r="I250" s="4" t="s">
        <v>34</v>
      </c>
      <c r="J250" s="6">
        <v>51170.65</v>
      </c>
      <c r="K250" s="6">
        <v>51170.65</v>
      </c>
      <c r="L250" s="6"/>
      <c r="M250" s="23">
        <v>5446.4</v>
      </c>
      <c r="N250" s="23">
        <v>5446.4</v>
      </c>
      <c r="O250" s="6"/>
      <c r="P250" s="6">
        <v>7216.48</v>
      </c>
      <c r="Q250" s="6">
        <v>85439006.620000005</v>
      </c>
      <c r="R250" s="6">
        <v>90572105.280000001</v>
      </c>
      <c r="S250" s="6"/>
      <c r="T250" s="4"/>
      <c r="U250" s="6"/>
      <c r="V250" s="6"/>
      <c r="W250" s="6"/>
      <c r="X250" s="6"/>
      <c r="Y250" s="5"/>
    </row>
    <row r="251" spans="1:25" ht="28.8" x14ac:dyDescent="0.25">
      <c r="A251" s="4">
        <v>2018</v>
      </c>
      <c r="B251" s="4">
        <v>9</v>
      </c>
      <c r="C251" s="4" t="s">
        <v>18</v>
      </c>
      <c r="D251" s="11">
        <v>650</v>
      </c>
      <c r="E251" s="5" t="s">
        <v>20</v>
      </c>
      <c r="F251" s="4" t="s">
        <v>21</v>
      </c>
      <c r="G251" s="5" t="s">
        <v>22</v>
      </c>
      <c r="H251" s="4" t="s">
        <v>23</v>
      </c>
      <c r="I251" s="4" t="s">
        <v>23</v>
      </c>
      <c r="J251" s="6">
        <v>132063.03</v>
      </c>
      <c r="K251" s="6">
        <v>104372.87</v>
      </c>
      <c r="L251" s="6">
        <v>27690.16</v>
      </c>
      <c r="M251" s="23">
        <v>12297.75</v>
      </c>
      <c r="N251" s="23">
        <v>9758.2000000000007</v>
      </c>
      <c r="O251" s="23">
        <v>2539.5500000000002</v>
      </c>
      <c r="P251" s="6">
        <v>16162.02</v>
      </c>
      <c r="Q251" s="6">
        <v>134302302.03</v>
      </c>
      <c r="R251" s="6">
        <v>134890340.56999999</v>
      </c>
      <c r="S251" s="6">
        <v>5.2999999999999999E-2</v>
      </c>
      <c r="T251" s="4" t="s">
        <v>24</v>
      </c>
      <c r="U251" s="6">
        <v>0.05</v>
      </c>
      <c r="V251" s="6">
        <v>0.1</v>
      </c>
      <c r="W251" s="6"/>
      <c r="X251" s="6">
        <v>3364.91</v>
      </c>
      <c r="Y251" s="5"/>
    </row>
    <row r="252" spans="1:25" ht="28.8" x14ac:dyDescent="0.25">
      <c r="A252" s="4">
        <v>2018</v>
      </c>
      <c r="B252" s="4">
        <v>9</v>
      </c>
      <c r="C252" s="4" t="s">
        <v>18</v>
      </c>
      <c r="D252" s="11">
        <v>44321</v>
      </c>
      <c r="E252" s="5" t="s">
        <v>26</v>
      </c>
      <c r="F252" s="4" t="s">
        <v>27</v>
      </c>
      <c r="G252" s="5" t="s">
        <v>28</v>
      </c>
      <c r="H252" s="4" t="s">
        <v>23</v>
      </c>
      <c r="I252" s="4" t="s">
        <v>23</v>
      </c>
      <c r="J252" s="6">
        <v>433231.76</v>
      </c>
      <c r="K252" s="6">
        <v>126416.81</v>
      </c>
      <c r="L252" s="6">
        <v>306814.95</v>
      </c>
      <c r="M252" s="23">
        <v>46178.68</v>
      </c>
      <c r="N252" s="23">
        <v>11904.09</v>
      </c>
      <c r="O252" s="23">
        <v>34274.589999999997</v>
      </c>
      <c r="P252" s="6">
        <v>19716.150000000001</v>
      </c>
      <c r="Q252" s="6">
        <v>212960896.50999999</v>
      </c>
      <c r="R252" s="6">
        <v>214463460.40000001</v>
      </c>
      <c r="S252" s="6">
        <v>5.2999999999999999E-2</v>
      </c>
      <c r="T252" s="4" t="s">
        <v>17</v>
      </c>
      <c r="U252" s="6">
        <v>2.75E-2</v>
      </c>
      <c r="V252" s="6">
        <v>0.1</v>
      </c>
      <c r="W252" s="6"/>
      <c r="X252" s="6">
        <v>45413.84</v>
      </c>
      <c r="Y252" s="5"/>
    </row>
    <row r="253" spans="1:25" ht="43.2" x14ac:dyDescent="0.25">
      <c r="A253" s="4">
        <v>2018</v>
      </c>
      <c r="B253" s="4">
        <v>9</v>
      </c>
      <c r="C253" s="4" t="s">
        <v>18</v>
      </c>
      <c r="D253" s="11">
        <v>45817</v>
      </c>
      <c r="E253" s="5" t="s">
        <v>29</v>
      </c>
      <c r="F253" s="4" t="s">
        <v>30</v>
      </c>
      <c r="G253" s="5" t="s">
        <v>31</v>
      </c>
      <c r="H253" s="4" t="s">
        <v>23</v>
      </c>
      <c r="I253" s="4" t="s">
        <v>23</v>
      </c>
      <c r="J253" s="6">
        <v>557242.21</v>
      </c>
      <c r="K253" s="6">
        <v>168377.44</v>
      </c>
      <c r="L253" s="6">
        <v>388864.77</v>
      </c>
      <c r="M253" s="23">
        <v>61408.93</v>
      </c>
      <c r="N253" s="23">
        <v>19638.5</v>
      </c>
      <c r="O253" s="23">
        <v>41770.43</v>
      </c>
      <c r="P253" s="6">
        <v>32526.27</v>
      </c>
      <c r="Q253" s="6">
        <v>258715828.59</v>
      </c>
      <c r="R253" s="6">
        <v>262185948.99000001</v>
      </c>
      <c r="S253" s="6">
        <v>5.2999999999999999E-2</v>
      </c>
      <c r="T253" s="4" t="s">
        <v>17</v>
      </c>
      <c r="U253" s="6">
        <v>2.75E-2</v>
      </c>
      <c r="V253" s="6">
        <v>0.1</v>
      </c>
      <c r="W253" s="6"/>
      <c r="X253" s="6">
        <v>55345.81</v>
      </c>
      <c r="Y253" s="5"/>
    </row>
    <row r="254" spans="1:25" ht="28.8" x14ac:dyDescent="0.25">
      <c r="A254" s="4">
        <v>2018</v>
      </c>
      <c r="B254" s="4">
        <v>9</v>
      </c>
      <c r="C254" s="4" t="s">
        <v>18</v>
      </c>
      <c r="D254" s="11">
        <v>650</v>
      </c>
      <c r="E254" s="5" t="s">
        <v>20</v>
      </c>
      <c r="F254" s="4" t="s">
        <v>32</v>
      </c>
      <c r="G254" s="5" t="s">
        <v>33</v>
      </c>
      <c r="H254" s="4" t="s">
        <v>34</v>
      </c>
      <c r="I254" s="4" t="s">
        <v>34</v>
      </c>
      <c r="J254" s="6">
        <v>70815.399999999994</v>
      </c>
      <c r="K254" s="6">
        <v>70815.399999999994</v>
      </c>
      <c r="L254" s="6"/>
      <c r="M254" s="23">
        <v>7547.8</v>
      </c>
      <c r="N254" s="23">
        <v>7547.8</v>
      </c>
      <c r="O254" s="6"/>
      <c r="P254" s="6">
        <v>10000.84</v>
      </c>
      <c r="Q254" s="6">
        <v>68811362.670000002</v>
      </c>
      <c r="R254" s="6">
        <v>69068452.200000003</v>
      </c>
      <c r="S254" s="6"/>
      <c r="T254" s="4"/>
      <c r="U254" s="6"/>
      <c r="V254" s="6"/>
      <c r="W254" s="6"/>
      <c r="X254" s="6"/>
      <c r="Y254" s="5"/>
    </row>
    <row r="255" spans="1:25" ht="28.8" x14ac:dyDescent="0.25">
      <c r="A255" s="4">
        <v>2018</v>
      </c>
      <c r="B255" s="4">
        <v>9</v>
      </c>
      <c r="C255" s="4" t="s">
        <v>18</v>
      </c>
      <c r="D255" s="11">
        <v>650</v>
      </c>
      <c r="E255" s="5" t="s">
        <v>20</v>
      </c>
      <c r="F255" s="4" t="s">
        <v>35</v>
      </c>
      <c r="G255" s="5" t="s">
        <v>36</v>
      </c>
      <c r="H255" s="4" t="s">
        <v>34</v>
      </c>
      <c r="I255" s="4" t="s">
        <v>34</v>
      </c>
      <c r="J255" s="6">
        <v>96697.78</v>
      </c>
      <c r="K255" s="6">
        <v>96697.78</v>
      </c>
      <c r="L255" s="6"/>
      <c r="M255" s="23">
        <v>10940.31</v>
      </c>
      <c r="N255" s="23">
        <v>10940.31</v>
      </c>
      <c r="O255" s="6"/>
      <c r="P255" s="6">
        <v>14495.91</v>
      </c>
      <c r="Q255" s="6">
        <v>87980564.170000002</v>
      </c>
      <c r="R255" s="6">
        <v>88370661.760000005</v>
      </c>
      <c r="S255" s="6"/>
      <c r="T255" s="4"/>
      <c r="U255" s="6"/>
      <c r="V255" s="6"/>
      <c r="W255" s="6"/>
      <c r="X255" s="6"/>
      <c r="Y255" s="5"/>
    </row>
    <row r="256" spans="1:25" ht="28.8" x14ac:dyDescent="0.25">
      <c r="A256" s="4">
        <v>2018</v>
      </c>
      <c r="B256" s="4">
        <v>9</v>
      </c>
      <c r="C256" s="4" t="s">
        <v>18</v>
      </c>
      <c r="D256" s="11">
        <v>3093</v>
      </c>
      <c r="E256" s="5" t="s">
        <v>37</v>
      </c>
      <c r="F256" s="4" t="s">
        <v>38</v>
      </c>
      <c r="G256" s="5" t="s">
        <v>39</v>
      </c>
      <c r="H256" s="4" t="s">
        <v>34</v>
      </c>
      <c r="I256" s="4" t="s">
        <v>34</v>
      </c>
      <c r="J256" s="6">
        <v>9482.32</v>
      </c>
      <c r="K256" s="6">
        <v>9482.32</v>
      </c>
      <c r="L256" s="6"/>
      <c r="M256" s="23">
        <v>1047.22</v>
      </c>
      <c r="N256" s="23">
        <v>1047.22</v>
      </c>
      <c r="O256" s="6"/>
      <c r="P256" s="6">
        <v>1387.57</v>
      </c>
      <c r="Q256" s="6">
        <v>9485248.5199999996</v>
      </c>
      <c r="R256" s="6">
        <v>9507192.8900000006</v>
      </c>
      <c r="S256" s="6"/>
      <c r="T256" s="4"/>
      <c r="U256" s="6"/>
      <c r="V256" s="6"/>
      <c r="W256" s="6"/>
      <c r="X256" s="6"/>
      <c r="Y256" s="5"/>
    </row>
    <row r="257" spans="1:25" ht="28.8" x14ac:dyDescent="0.25">
      <c r="A257" s="4">
        <v>2018</v>
      </c>
      <c r="B257" s="4">
        <v>9</v>
      </c>
      <c r="C257" s="4" t="s">
        <v>18</v>
      </c>
      <c r="D257" s="11">
        <v>9653</v>
      </c>
      <c r="E257" s="5" t="s">
        <v>40</v>
      </c>
      <c r="F257" s="4" t="s">
        <v>41</v>
      </c>
      <c r="G257" s="5" t="s">
        <v>42</v>
      </c>
      <c r="H257" s="4" t="s">
        <v>34</v>
      </c>
      <c r="I257" s="4" t="s">
        <v>34</v>
      </c>
      <c r="J257" s="6">
        <v>106574.2</v>
      </c>
      <c r="K257" s="6">
        <v>106574.2</v>
      </c>
      <c r="L257" s="6"/>
      <c r="M257" s="23">
        <v>12193.73</v>
      </c>
      <c r="N257" s="23">
        <v>12193.73</v>
      </c>
      <c r="O257" s="6"/>
      <c r="P257" s="6">
        <v>16156.69</v>
      </c>
      <c r="Q257" s="6">
        <v>65355582.18</v>
      </c>
      <c r="R257" s="6">
        <v>65662038.939999998</v>
      </c>
      <c r="S257" s="6"/>
      <c r="T257" s="4"/>
      <c r="U257" s="6"/>
      <c r="V257" s="6"/>
      <c r="W257" s="6"/>
      <c r="X257" s="6"/>
      <c r="Y257" s="5"/>
    </row>
    <row r="258" spans="1:25" ht="28.8" x14ac:dyDescent="0.25">
      <c r="A258" s="4">
        <v>2018</v>
      </c>
      <c r="B258" s="4">
        <v>9</v>
      </c>
      <c r="C258" s="4" t="s">
        <v>18</v>
      </c>
      <c r="D258" s="11">
        <v>45792</v>
      </c>
      <c r="E258" s="5" t="s">
        <v>43</v>
      </c>
      <c r="F258" s="4" t="s">
        <v>44</v>
      </c>
      <c r="G258" s="5" t="s">
        <v>45</v>
      </c>
      <c r="H258" s="4" t="s">
        <v>34</v>
      </c>
      <c r="I258" s="4" t="s">
        <v>34</v>
      </c>
      <c r="J258" s="6">
        <v>63549.24</v>
      </c>
      <c r="K258" s="6">
        <v>63549.24</v>
      </c>
      <c r="L258" s="6"/>
      <c r="M258" s="23">
        <v>7890.94</v>
      </c>
      <c r="N258" s="23">
        <v>7890.94</v>
      </c>
      <c r="O258" s="6"/>
      <c r="P258" s="6">
        <v>10455.49</v>
      </c>
      <c r="Q258" s="6">
        <v>97272981.530000001</v>
      </c>
      <c r="R258" s="6">
        <v>97524792.480000004</v>
      </c>
      <c r="S258" s="6"/>
      <c r="T258" s="4"/>
      <c r="U258" s="6"/>
      <c r="V258" s="6"/>
      <c r="W258" s="6"/>
      <c r="X258" s="6"/>
      <c r="Y258" s="5"/>
    </row>
    <row r="259" spans="1:25" ht="28.8" x14ac:dyDescent="0.25">
      <c r="A259" s="4">
        <v>2018</v>
      </c>
      <c r="B259" s="4">
        <v>9</v>
      </c>
      <c r="C259" s="4" t="s">
        <v>18</v>
      </c>
      <c r="D259" s="11">
        <v>45808</v>
      </c>
      <c r="E259" s="5" t="s">
        <v>46</v>
      </c>
      <c r="F259" s="4" t="s">
        <v>47</v>
      </c>
      <c r="G259" s="5" t="s">
        <v>48</v>
      </c>
      <c r="H259" s="4" t="s">
        <v>34</v>
      </c>
      <c r="I259" s="4" t="s">
        <v>34</v>
      </c>
      <c r="J259" s="6">
        <v>36165.339999999997</v>
      </c>
      <c r="K259" s="6">
        <v>36165.339999999997</v>
      </c>
      <c r="L259" s="6"/>
      <c r="M259" s="23">
        <v>0</v>
      </c>
      <c r="N259" s="6"/>
      <c r="O259" s="6"/>
      <c r="P259" s="6"/>
      <c r="Q259" s="6"/>
      <c r="R259" s="6"/>
      <c r="S259" s="6"/>
      <c r="T259" s="4"/>
      <c r="U259" s="6"/>
      <c r="V259" s="6"/>
      <c r="W259" s="6"/>
      <c r="X259" s="6"/>
      <c r="Y259" s="5"/>
    </row>
    <row r="260" spans="1:25" ht="28.8" x14ac:dyDescent="0.25">
      <c r="A260" s="4">
        <v>2018</v>
      </c>
      <c r="B260" s="4">
        <v>9</v>
      </c>
      <c r="C260" s="4" t="s">
        <v>18</v>
      </c>
      <c r="D260" s="11">
        <v>49570</v>
      </c>
      <c r="E260" s="5" t="s">
        <v>50</v>
      </c>
      <c r="F260" s="4" t="s">
        <v>51</v>
      </c>
      <c r="G260" s="5" t="s">
        <v>52</v>
      </c>
      <c r="H260" s="4" t="s">
        <v>23</v>
      </c>
      <c r="I260" s="4" t="s">
        <v>34</v>
      </c>
      <c r="J260" s="6">
        <v>479717.71</v>
      </c>
      <c r="K260" s="6">
        <v>479717.71</v>
      </c>
      <c r="L260" s="6"/>
      <c r="M260" s="23">
        <v>51092.38</v>
      </c>
      <c r="N260" s="23">
        <v>51092.38</v>
      </c>
      <c r="O260" s="6"/>
      <c r="P260" s="6">
        <v>84621.759999999995</v>
      </c>
      <c r="Q260" s="6">
        <v>662646477.33000004</v>
      </c>
      <c r="R260" s="6">
        <v>666450115.45000005</v>
      </c>
      <c r="S260" s="6"/>
      <c r="T260" s="4"/>
      <c r="U260" s="6"/>
      <c r="V260" s="6"/>
      <c r="W260" s="6"/>
      <c r="X260" s="6"/>
      <c r="Y260" s="5"/>
    </row>
    <row r="261" spans="1:25" ht="28.8" x14ac:dyDescent="0.25">
      <c r="A261" s="4">
        <v>2018</v>
      </c>
      <c r="B261" s="4">
        <v>9</v>
      </c>
      <c r="C261" s="4" t="s">
        <v>18</v>
      </c>
      <c r="D261" s="11">
        <v>50544</v>
      </c>
      <c r="E261" s="5" t="s">
        <v>53</v>
      </c>
      <c r="F261" s="4" t="s">
        <v>54</v>
      </c>
      <c r="G261" s="5" t="s">
        <v>55</v>
      </c>
      <c r="H261" s="4" t="s">
        <v>34</v>
      </c>
      <c r="I261" s="4" t="s">
        <v>34</v>
      </c>
      <c r="J261" s="6">
        <v>55898.85</v>
      </c>
      <c r="K261" s="6">
        <v>55898.85</v>
      </c>
      <c r="L261" s="6"/>
      <c r="M261" s="23">
        <v>4728.2</v>
      </c>
      <c r="N261" s="23">
        <v>4728.2</v>
      </c>
      <c r="O261" s="6"/>
      <c r="P261" s="6">
        <v>6264.86</v>
      </c>
      <c r="Q261" s="6">
        <v>90514094.049999997</v>
      </c>
      <c r="R261" s="6">
        <v>96424090.530000001</v>
      </c>
      <c r="S261" s="6"/>
      <c r="T261" s="4"/>
      <c r="U261" s="6"/>
      <c r="V261" s="6"/>
      <c r="W261" s="6"/>
      <c r="X261" s="6"/>
      <c r="Y261" s="5"/>
    </row>
    <row r="262" spans="1:25" ht="28.8" x14ac:dyDescent="0.25">
      <c r="A262" s="4">
        <v>2018</v>
      </c>
      <c r="B262" s="4">
        <v>10</v>
      </c>
      <c r="C262" s="4" t="s">
        <v>18</v>
      </c>
      <c r="D262" s="11">
        <v>650</v>
      </c>
      <c r="E262" s="5" t="s">
        <v>20</v>
      </c>
      <c r="F262" s="4" t="s">
        <v>21</v>
      </c>
      <c r="G262" s="5" t="s">
        <v>22</v>
      </c>
      <c r="H262" s="4" t="s">
        <v>23</v>
      </c>
      <c r="I262" s="4" t="s">
        <v>23</v>
      </c>
      <c r="J262" s="6">
        <v>144152.95999999999</v>
      </c>
      <c r="K262" s="6">
        <v>113954.14</v>
      </c>
      <c r="L262" s="6">
        <v>30198.82</v>
      </c>
      <c r="M262" s="23">
        <v>12089.94</v>
      </c>
      <c r="N262" s="23">
        <v>9581.2800000000007</v>
      </c>
      <c r="O262" s="23">
        <v>2508.66</v>
      </c>
      <c r="P262" s="6">
        <v>15868.99</v>
      </c>
      <c r="Q262" s="6">
        <v>134904700.72</v>
      </c>
      <c r="R262" s="6">
        <v>131012967.08</v>
      </c>
      <c r="S262" s="6">
        <v>5.2999999999999999E-2</v>
      </c>
      <c r="T262" s="4" t="s">
        <v>24</v>
      </c>
      <c r="U262" s="6">
        <v>0.05</v>
      </c>
      <c r="V262" s="6">
        <v>0.1</v>
      </c>
      <c r="W262" s="6"/>
      <c r="X262" s="6">
        <v>3323.97</v>
      </c>
      <c r="Y262" s="5"/>
    </row>
    <row r="263" spans="1:25" ht="28.8" x14ac:dyDescent="0.25">
      <c r="A263" s="4">
        <v>2018</v>
      </c>
      <c r="B263" s="4">
        <v>10</v>
      </c>
      <c r="C263" s="4" t="s">
        <v>18</v>
      </c>
      <c r="D263" s="11">
        <v>44321</v>
      </c>
      <c r="E263" s="5" t="s">
        <v>26</v>
      </c>
      <c r="F263" s="4" t="s">
        <v>27</v>
      </c>
      <c r="G263" s="5" t="s">
        <v>28</v>
      </c>
      <c r="H263" s="4" t="s">
        <v>23</v>
      </c>
      <c r="I263" s="4" t="s">
        <v>23</v>
      </c>
      <c r="J263" s="6">
        <v>480033.89</v>
      </c>
      <c r="K263" s="6">
        <v>138783.32999999999</v>
      </c>
      <c r="L263" s="6">
        <v>341250.56</v>
      </c>
      <c r="M263" s="23">
        <v>46802.14</v>
      </c>
      <c r="N263" s="23">
        <v>12366.52</v>
      </c>
      <c r="O263" s="23">
        <v>34435.620000000003</v>
      </c>
      <c r="P263" s="6">
        <v>20482.05</v>
      </c>
      <c r="Q263" s="6">
        <v>214491101.87</v>
      </c>
      <c r="R263" s="6">
        <v>214941322.66999999</v>
      </c>
      <c r="S263" s="6">
        <v>5.2999999999999999E-2</v>
      </c>
      <c r="T263" s="4" t="s">
        <v>17</v>
      </c>
      <c r="U263" s="6">
        <v>2.75E-2</v>
      </c>
      <c r="V263" s="6">
        <v>0.1</v>
      </c>
      <c r="W263" s="6"/>
      <c r="X263" s="6">
        <v>45627.199999999997</v>
      </c>
      <c r="Y263" s="5"/>
    </row>
    <row r="264" spans="1:25" ht="43.2" x14ac:dyDescent="0.25">
      <c r="A264" s="4">
        <v>2018</v>
      </c>
      <c r="B264" s="4">
        <v>10</v>
      </c>
      <c r="C264" s="4" t="s">
        <v>18</v>
      </c>
      <c r="D264" s="11">
        <v>45817</v>
      </c>
      <c r="E264" s="5" t="s">
        <v>29</v>
      </c>
      <c r="F264" s="4" t="s">
        <v>30</v>
      </c>
      <c r="G264" s="5" t="s">
        <v>31</v>
      </c>
      <c r="H264" s="4" t="s">
        <v>23</v>
      </c>
      <c r="I264" s="4" t="s">
        <v>23</v>
      </c>
      <c r="J264" s="6">
        <v>621590.30000000005</v>
      </c>
      <c r="K264" s="6">
        <v>190658.99</v>
      </c>
      <c r="L264" s="6">
        <v>430931.31</v>
      </c>
      <c r="M264" s="23">
        <v>64348.09</v>
      </c>
      <c r="N264" s="23">
        <v>22281.55</v>
      </c>
      <c r="O264" s="23">
        <v>42066.54</v>
      </c>
      <c r="P264" s="6">
        <v>36903.81</v>
      </c>
      <c r="Q264" s="6">
        <v>262251179.38999999</v>
      </c>
      <c r="R264" s="6">
        <v>262343302.53</v>
      </c>
      <c r="S264" s="6">
        <v>5.2999999999999999E-2</v>
      </c>
      <c r="T264" s="4" t="s">
        <v>17</v>
      </c>
      <c r="U264" s="6">
        <v>2.75E-2</v>
      </c>
      <c r="V264" s="6">
        <v>0.1</v>
      </c>
      <c r="W264" s="6"/>
      <c r="X264" s="6">
        <v>55738.16</v>
      </c>
      <c r="Y264" s="5"/>
    </row>
    <row r="265" spans="1:25" ht="28.8" x14ac:dyDescent="0.25">
      <c r="A265" s="4">
        <v>2018</v>
      </c>
      <c r="B265" s="4">
        <v>10</v>
      </c>
      <c r="C265" s="4" t="s">
        <v>18</v>
      </c>
      <c r="D265" s="11">
        <v>650</v>
      </c>
      <c r="E265" s="5" t="s">
        <v>20</v>
      </c>
      <c r="F265" s="4" t="s">
        <v>35</v>
      </c>
      <c r="G265" s="5" t="s">
        <v>36</v>
      </c>
      <c r="H265" s="4" t="s">
        <v>34</v>
      </c>
      <c r="I265" s="4" t="s">
        <v>34</v>
      </c>
      <c r="J265" s="6">
        <v>108057.18</v>
      </c>
      <c r="K265" s="6">
        <v>108057.18</v>
      </c>
      <c r="L265" s="6"/>
      <c r="M265" s="23">
        <v>11359.4</v>
      </c>
      <c r="N265" s="23">
        <v>11359.4</v>
      </c>
      <c r="O265" s="6"/>
      <c r="P265" s="6">
        <v>15051.21</v>
      </c>
      <c r="Q265" s="6">
        <v>88398040.790000007</v>
      </c>
      <c r="R265" s="6">
        <v>88819093.650000006</v>
      </c>
      <c r="S265" s="6"/>
      <c r="T265" s="4"/>
      <c r="U265" s="6"/>
      <c r="V265" s="6"/>
      <c r="W265" s="6"/>
      <c r="X265" s="6"/>
      <c r="Y265" s="5"/>
    </row>
    <row r="266" spans="1:25" ht="28.8" x14ac:dyDescent="0.25">
      <c r="A266" s="4">
        <v>2018</v>
      </c>
      <c r="B266" s="4">
        <v>10</v>
      </c>
      <c r="C266" s="4" t="s">
        <v>18</v>
      </c>
      <c r="D266" s="11">
        <v>650</v>
      </c>
      <c r="E266" s="5" t="s">
        <v>20</v>
      </c>
      <c r="F266" s="4" t="s">
        <v>32</v>
      </c>
      <c r="G266" s="5" t="s">
        <v>33</v>
      </c>
      <c r="H266" s="4" t="s">
        <v>34</v>
      </c>
      <c r="I266" s="4" t="s">
        <v>34</v>
      </c>
      <c r="J266" s="6">
        <v>78656.429999999993</v>
      </c>
      <c r="K266" s="6">
        <v>78656.429999999993</v>
      </c>
      <c r="L266" s="6"/>
      <c r="M266" s="23">
        <v>7841.03</v>
      </c>
      <c r="N266" s="23">
        <v>7841.03</v>
      </c>
      <c r="O266" s="6"/>
      <c r="P266" s="6">
        <v>10389.370000000001</v>
      </c>
      <c r="Q266" s="6">
        <v>69084926.109999999</v>
      </c>
      <c r="R266" s="6">
        <v>67087611.090000004</v>
      </c>
      <c r="S266" s="6"/>
      <c r="T266" s="4"/>
      <c r="U266" s="6"/>
      <c r="V266" s="6"/>
      <c r="W266" s="6"/>
      <c r="X266" s="6"/>
      <c r="Y266" s="5"/>
    </row>
    <row r="267" spans="1:25" ht="28.8" x14ac:dyDescent="0.25">
      <c r="A267" s="4">
        <v>2018</v>
      </c>
      <c r="B267" s="4">
        <v>10</v>
      </c>
      <c r="C267" s="4" t="s">
        <v>18</v>
      </c>
      <c r="D267" s="11">
        <v>3093</v>
      </c>
      <c r="E267" s="5" t="s">
        <v>37</v>
      </c>
      <c r="F267" s="4" t="s">
        <v>38</v>
      </c>
      <c r="G267" s="5" t="s">
        <v>39</v>
      </c>
      <c r="H267" s="4" t="s">
        <v>34</v>
      </c>
      <c r="I267" s="4" t="s">
        <v>34</v>
      </c>
      <c r="J267" s="6">
        <v>10568.48</v>
      </c>
      <c r="K267" s="6">
        <v>10568.48</v>
      </c>
      <c r="L267" s="6"/>
      <c r="M267" s="23">
        <v>1086.1600000000001</v>
      </c>
      <c r="N267" s="23">
        <v>1086.1600000000001</v>
      </c>
      <c r="O267" s="6"/>
      <c r="P267" s="6">
        <v>1439.16</v>
      </c>
      <c r="Q267" s="6">
        <v>9507278.1500000004</v>
      </c>
      <c r="R267" s="6">
        <v>9551495.7799999993</v>
      </c>
      <c r="S267" s="6"/>
      <c r="T267" s="4"/>
      <c r="U267" s="6"/>
      <c r="V267" s="6"/>
      <c r="W267" s="6"/>
      <c r="X267" s="6"/>
      <c r="Y267" s="5"/>
    </row>
    <row r="268" spans="1:25" ht="28.8" x14ac:dyDescent="0.25">
      <c r="A268" s="4">
        <v>2018</v>
      </c>
      <c r="B268" s="4">
        <v>10</v>
      </c>
      <c r="C268" s="4" t="s">
        <v>18</v>
      </c>
      <c r="D268" s="11">
        <v>9653</v>
      </c>
      <c r="E268" s="5" t="s">
        <v>40</v>
      </c>
      <c r="F268" s="4" t="s">
        <v>41</v>
      </c>
      <c r="G268" s="5" t="s">
        <v>42</v>
      </c>
      <c r="H268" s="4" t="s">
        <v>34</v>
      </c>
      <c r="I268" s="4" t="s">
        <v>34</v>
      </c>
      <c r="J268" s="6">
        <v>119243.22</v>
      </c>
      <c r="K268" s="6">
        <v>119243.22</v>
      </c>
      <c r="L268" s="6"/>
      <c r="M268" s="23">
        <v>12669.02</v>
      </c>
      <c r="N268" s="23">
        <v>12669.02</v>
      </c>
      <c r="O268" s="6"/>
      <c r="P268" s="6">
        <v>16786.45</v>
      </c>
      <c r="Q268" s="6">
        <v>65689226.149999999</v>
      </c>
      <c r="R268" s="6">
        <v>66068442.770000003</v>
      </c>
      <c r="S268" s="6"/>
      <c r="T268" s="4"/>
      <c r="U268" s="6"/>
      <c r="V268" s="6"/>
      <c r="W268" s="6"/>
      <c r="X268" s="6"/>
      <c r="Y268" s="5"/>
    </row>
    <row r="269" spans="1:25" ht="28.8" x14ac:dyDescent="0.25">
      <c r="A269" s="4">
        <v>2018</v>
      </c>
      <c r="B269" s="4">
        <v>10</v>
      </c>
      <c r="C269" s="4" t="s">
        <v>18</v>
      </c>
      <c r="D269" s="11">
        <v>45792</v>
      </c>
      <c r="E269" s="5" t="s">
        <v>43</v>
      </c>
      <c r="F269" s="4" t="s">
        <v>44</v>
      </c>
      <c r="G269" s="5" t="s">
        <v>45</v>
      </c>
      <c r="H269" s="4" t="s">
        <v>34</v>
      </c>
      <c r="I269" s="4" t="s">
        <v>34</v>
      </c>
      <c r="J269" s="6">
        <v>71672.289999999994</v>
      </c>
      <c r="K269" s="6">
        <v>71672.289999999994</v>
      </c>
      <c r="L269" s="6"/>
      <c r="M269" s="23">
        <v>8123.05</v>
      </c>
      <c r="N269" s="23">
        <v>8123.05</v>
      </c>
      <c r="O269" s="6"/>
      <c r="P269" s="6">
        <v>10763.04</v>
      </c>
      <c r="Q269" s="6">
        <v>97531376.980000004</v>
      </c>
      <c r="R269" s="6">
        <v>97136563.730000004</v>
      </c>
      <c r="S269" s="6"/>
      <c r="T269" s="4"/>
      <c r="U269" s="6"/>
      <c r="V269" s="6"/>
      <c r="W269" s="6"/>
      <c r="X269" s="6"/>
      <c r="Y269" s="5"/>
    </row>
    <row r="270" spans="1:25" ht="28.8" x14ac:dyDescent="0.25">
      <c r="A270" s="4">
        <v>2018</v>
      </c>
      <c r="B270" s="4">
        <v>10</v>
      </c>
      <c r="C270" s="4" t="s">
        <v>18</v>
      </c>
      <c r="D270" s="11">
        <v>45808</v>
      </c>
      <c r="E270" s="5" t="s">
        <v>46</v>
      </c>
      <c r="F270" s="4" t="s">
        <v>47</v>
      </c>
      <c r="G270" s="5" t="s">
        <v>48</v>
      </c>
      <c r="H270" s="4" t="s">
        <v>34</v>
      </c>
      <c r="I270" s="4" t="s">
        <v>34</v>
      </c>
      <c r="J270" s="6">
        <v>36165.339999999997</v>
      </c>
      <c r="K270" s="6">
        <v>36165.339999999997</v>
      </c>
      <c r="L270" s="6"/>
      <c r="M270" s="23">
        <v>0</v>
      </c>
      <c r="N270" s="6"/>
      <c r="O270" s="6"/>
      <c r="P270" s="6"/>
      <c r="Q270" s="6"/>
      <c r="R270" s="6"/>
      <c r="S270" s="6"/>
      <c r="T270" s="4"/>
      <c r="U270" s="6"/>
      <c r="V270" s="6"/>
      <c r="W270" s="6"/>
      <c r="X270" s="6"/>
      <c r="Y270" s="5"/>
    </row>
    <row r="271" spans="1:25" ht="28.8" x14ac:dyDescent="0.25">
      <c r="A271" s="4">
        <v>2018</v>
      </c>
      <c r="B271" s="4">
        <v>10</v>
      </c>
      <c r="C271" s="4" t="s">
        <v>18</v>
      </c>
      <c r="D271" s="11">
        <v>49570</v>
      </c>
      <c r="E271" s="5" t="s">
        <v>50</v>
      </c>
      <c r="F271" s="4" t="s">
        <v>51</v>
      </c>
      <c r="G271" s="5" t="s">
        <v>52</v>
      </c>
      <c r="H271" s="4" t="s">
        <v>23</v>
      </c>
      <c r="I271" s="4" t="s">
        <v>34</v>
      </c>
      <c r="J271" s="6">
        <v>532634.06000000006</v>
      </c>
      <c r="K271" s="6">
        <v>532634.06000000006</v>
      </c>
      <c r="L271" s="6"/>
      <c r="M271" s="23">
        <v>52916.35</v>
      </c>
      <c r="N271" s="23">
        <v>52916.35</v>
      </c>
      <c r="O271" s="6"/>
      <c r="P271" s="6">
        <v>87642.71</v>
      </c>
      <c r="Q271" s="6">
        <v>666597897.15999997</v>
      </c>
      <c r="R271" s="6">
        <v>664689020.97000003</v>
      </c>
      <c r="S271" s="6"/>
      <c r="T271" s="4"/>
      <c r="U271" s="6"/>
      <c r="V271" s="6"/>
      <c r="W271" s="6"/>
      <c r="X271" s="6"/>
      <c r="Y271" s="5"/>
    </row>
    <row r="272" spans="1:25" ht="28.8" x14ac:dyDescent="0.25">
      <c r="A272" s="4">
        <v>2018</v>
      </c>
      <c r="B272" s="4">
        <v>10</v>
      </c>
      <c r="C272" s="4" t="s">
        <v>18</v>
      </c>
      <c r="D272" s="11">
        <v>50544</v>
      </c>
      <c r="E272" s="5" t="s">
        <v>53</v>
      </c>
      <c r="F272" s="4" t="s">
        <v>54</v>
      </c>
      <c r="G272" s="5" t="s">
        <v>55</v>
      </c>
      <c r="H272" s="4" t="s">
        <v>34</v>
      </c>
      <c r="I272" s="4" t="s">
        <v>34</v>
      </c>
      <c r="J272" s="6">
        <v>60090.75</v>
      </c>
      <c r="K272" s="6">
        <v>60090.75</v>
      </c>
      <c r="L272" s="6"/>
      <c r="M272" s="23">
        <v>4191.8999999999996</v>
      </c>
      <c r="N272" s="23">
        <v>4191.8999999999996</v>
      </c>
      <c r="O272" s="6"/>
      <c r="P272" s="6">
        <v>5554.27</v>
      </c>
      <c r="Q272" s="6">
        <v>96424490.090000004</v>
      </c>
      <c r="R272" s="6">
        <v>99098205.519999996</v>
      </c>
      <c r="S272" s="6"/>
      <c r="T272" s="4"/>
      <c r="U272" s="6"/>
      <c r="V272" s="6"/>
      <c r="W272" s="6"/>
      <c r="X272" s="6"/>
      <c r="Y272" s="5"/>
    </row>
    <row r="273" spans="1:25" ht="28.8" x14ac:dyDescent="0.25">
      <c r="A273" s="4">
        <v>2018</v>
      </c>
      <c r="B273" s="4">
        <v>11</v>
      </c>
      <c r="C273" s="4" t="s">
        <v>18</v>
      </c>
      <c r="D273" s="11">
        <v>650</v>
      </c>
      <c r="E273" s="5" t="s">
        <v>20</v>
      </c>
      <c r="F273" s="4" t="s">
        <v>21</v>
      </c>
      <c r="G273" s="5" t="s">
        <v>22</v>
      </c>
      <c r="H273" s="4" t="s">
        <v>23</v>
      </c>
      <c r="I273" s="4" t="s">
        <v>23</v>
      </c>
      <c r="J273" s="6">
        <v>155708.01999999999</v>
      </c>
      <c r="K273" s="6">
        <v>123026.42</v>
      </c>
      <c r="L273" s="6">
        <v>32681.599999999999</v>
      </c>
      <c r="M273" s="23">
        <v>11555.06</v>
      </c>
      <c r="N273" s="23">
        <v>9072.2800000000007</v>
      </c>
      <c r="O273" s="23">
        <v>2482.7800000000002</v>
      </c>
      <c r="P273" s="6">
        <v>15025.96</v>
      </c>
      <c r="Q273" s="6">
        <v>131119576.53</v>
      </c>
      <c r="R273" s="6">
        <v>132055364.81</v>
      </c>
      <c r="S273" s="6">
        <v>5.2999999999999999E-2</v>
      </c>
      <c r="T273" s="4" t="s">
        <v>24</v>
      </c>
      <c r="U273" s="6">
        <v>0.05</v>
      </c>
      <c r="V273" s="6">
        <v>0.1</v>
      </c>
      <c r="W273" s="6"/>
      <c r="X273" s="6">
        <v>3289.69</v>
      </c>
      <c r="Y273" s="5"/>
    </row>
    <row r="274" spans="1:25" ht="28.8" x14ac:dyDescent="0.25">
      <c r="A274" s="4">
        <v>2018</v>
      </c>
      <c r="B274" s="4">
        <v>11</v>
      </c>
      <c r="C274" s="4" t="s">
        <v>18</v>
      </c>
      <c r="D274" s="11">
        <v>44321</v>
      </c>
      <c r="E274" s="5" t="s">
        <v>26</v>
      </c>
      <c r="F274" s="4" t="s">
        <v>27</v>
      </c>
      <c r="G274" s="5" t="s">
        <v>28</v>
      </c>
      <c r="H274" s="4" t="s">
        <v>23</v>
      </c>
      <c r="I274" s="4" t="s">
        <v>23</v>
      </c>
      <c r="J274" s="6">
        <v>526721.34</v>
      </c>
      <c r="K274" s="6">
        <v>150789.53</v>
      </c>
      <c r="L274" s="6">
        <v>375931.81</v>
      </c>
      <c r="M274" s="23">
        <v>46687.45</v>
      </c>
      <c r="N274" s="23">
        <v>12006.2</v>
      </c>
      <c r="O274" s="23">
        <v>34681.25</v>
      </c>
      <c r="P274" s="6">
        <v>19885.27</v>
      </c>
      <c r="Q274" s="6">
        <v>215088008.13999999</v>
      </c>
      <c r="R274" s="6">
        <v>217407558.84</v>
      </c>
      <c r="S274" s="6">
        <v>5.2999999999999999E-2</v>
      </c>
      <c r="T274" s="4" t="s">
        <v>17</v>
      </c>
      <c r="U274" s="6">
        <v>2.75E-2</v>
      </c>
      <c r="V274" s="6">
        <v>0.1</v>
      </c>
      <c r="W274" s="6"/>
      <c r="X274" s="6">
        <v>45952.65</v>
      </c>
      <c r="Y274" s="5"/>
    </row>
    <row r="275" spans="1:25" ht="43.2" x14ac:dyDescent="0.25">
      <c r="A275" s="4">
        <v>2018</v>
      </c>
      <c r="B275" s="4">
        <v>11</v>
      </c>
      <c r="C275" s="4" t="s">
        <v>18</v>
      </c>
      <c r="D275" s="11">
        <v>45817</v>
      </c>
      <c r="E275" s="5" t="s">
        <v>29</v>
      </c>
      <c r="F275" s="4" t="s">
        <v>30</v>
      </c>
      <c r="G275" s="5" t="s">
        <v>31</v>
      </c>
      <c r="H275" s="4" t="s">
        <v>23</v>
      </c>
      <c r="I275" s="4" t="s">
        <v>23</v>
      </c>
      <c r="J275" s="6">
        <v>686687.84</v>
      </c>
      <c r="K275" s="6">
        <v>213267.21</v>
      </c>
      <c r="L275" s="6">
        <v>473420.63</v>
      </c>
      <c r="M275" s="23">
        <v>65097.54</v>
      </c>
      <c r="N275" s="23">
        <v>22608.22</v>
      </c>
      <c r="O275" s="23">
        <v>42489.32</v>
      </c>
      <c r="P275" s="6">
        <v>37444.870000000003</v>
      </c>
      <c r="Q275" s="6">
        <v>262546897.56999999</v>
      </c>
      <c r="R275" s="6">
        <v>267319917.78999999</v>
      </c>
      <c r="S275" s="6">
        <v>5.2999999999999999E-2</v>
      </c>
      <c r="T275" s="4" t="s">
        <v>17</v>
      </c>
      <c r="U275" s="6">
        <v>2.75E-2</v>
      </c>
      <c r="V275" s="6">
        <v>0.1</v>
      </c>
      <c r="W275" s="6"/>
      <c r="X275" s="6">
        <v>56298.35</v>
      </c>
      <c r="Y275" s="5"/>
    </row>
    <row r="276" spans="1:25" ht="28.8" x14ac:dyDescent="0.25">
      <c r="A276" s="4">
        <v>2018</v>
      </c>
      <c r="B276" s="4">
        <v>11</v>
      </c>
      <c r="C276" s="4" t="s">
        <v>18</v>
      </c>
      <c r="D276" s="11">
        <v>650</v>
      </c>
      <c r="E276" s="5" t="s">
        <v>20</v>
      </c>
      <c r="F276" s="4" t="s">
        <v>32</v>
      </c>
      <c r="G276" s="5" t="s">
        <v>33</v>
      </c>
      <c r="H276" s="4" t="s">
        <v>34</v>
      </c>
      <c r="I276" s="4" t="s">
        <v>34</v>
      </c>
      <c r="J276" s="6">
        <v>85182.97</v>
      </c>
      <c r="K276" s="6">
        <v>85182.97</v>
      </c>
      <c r="L276" s="6"/>
      <c r="M276" s="23">
        <v>6526.54</v>
      </c>
      <c r="N276" s="23">
        <v>6526.54</v>
      </c>
      <c r="O276" s="6"/>
      <c r="P276" s="6">
        <v>8647.67</v>
      </c>
      <c r="Q276" s="6">
        <v>67096357.509999998</v>
      </c>
      <c r="R276" s="6">
        <v>67270734.709999993</v>
      </c>
      <c r="S276" s="6"/>
      <c r="T276" s="4"/>
      <c r="U276" s="6"/>
      <c r="V276" s="6"/>
      <c r="W276" s="6"/>
      <c r="X276" s="6"/>
      <c r="Y276" s="5"/>
    </row>
    <row r="277" spans="1:25" ht="28.8" x14ac:dyDescent="0.25">
      <c r="A277" s="4">
        <v>2018</v>
      </c>
      <c r="B277" s="4">
        <v>11</v>
      </c>
      <c r="C277" s="4" t="s">
        <v>18</v>
      </c>
      <c r="D277" s="11">
        <v>650</v>
      </c>
      <c r="E277" s="5" t="s">
        <v>20</v>
      </c>
      <c r="F277" s="4" t="s">
        <v>35</v>
      </c>
      <c r="G277" s="5" t="s">
        <v>36</v>
      </c>
      <c r="H277" s="4" t="s">
        <v>34</v>
      </c>
      <c r="I277" s="4" t="s">
        <v>34</v>
      </c>
      <c r="J277" s="6">
        <v>119103.72</v>
      </c>
      <c r="K277" s="6">
        <v>119103.72</v>
      </c>
      <c r="L277" s="6"/>
      <c r="M277" s="23">
        <v>11046.54</v>
      </c>
      <c r="N277" s="23">
        <v>11046.54</v>
      </c>
      <c r="O277" s="6"/>
      <c r="P277" s="6">
        <v>14636.66</v>
      </c>
      <c r="Q277" s="6">
        <v>88832709.420000002</v>
      </c>
      <c r="R277" s="6">
        <v>89246528.620000005</v>
      </c>
      <c r="S277" s="6"/>
      <c r="T277" s="4"/>
      <c r="U277" s="6"/>
      <c r="V277" s="6"/>
      <c r="W277" s="6"/>
      <c r="X277" s="6"/>
      <c r="Y277" s="5"/>
    </row>
    <row r="278" spans="1:25" ht="28.8" x14ac:dyDescent="0.25">
      <c r="A278" s="4">
        <v>2018</v>
      </c>
      <c r="B278" s="4">
        <v>11</v>
      </c>
      <c r="C278" s="4" t="s">
        <v>18</v>
      </c>
      <c r="D278" s="11">
        <v>3093</v>
      </c>
      <c r="E278" s="5" t="s">
        <v>37</v>
      </c>
      <c r="F278" s="4" t="s">
        <v>38</v>
      </c>
      <c r="G278" s="5" t="s">
        <v>39</v>
      </c>
      <c r="H278" s="4" t="s">
        <v>34</v>
      </c>
      <c r="I278" s="4" t="s">
        <v>34</v>
      </c>
      <c r="J278" s="6">
        <v>11647.31</v>
      </c>
      <c r="K278" s="6">
        <v>11647.31</v>
      </c>
      <c r="L278" s="6"/>
      <c r="M278" s="23">
        <v>1078.83</v>
      </c>
      <c r="N278" s="23">
        <v>1078.83</v>
      </c>
      <c r="O278" s="6"/>
      <c r="P278" s="6">
        <v>1429.45</v>
      </c>
      <c r="Q278" s="6">
        <v>9553902.4000000004</v>
      </c>
      <c r="R278" s="6">
        <v>9582193.5399999991</v>
      </c>
      <c r="S278" s="6"/>
      <c r="T278" s="4"/>
      <c r="U278" s="6"/>
      <c r="V278" s="6"/>
      <c r="W278" s="6"/>
      <c r="X278" s="6"/>
      <c r="Y278" s="5"/>
    </row>
    <row r="279" spans="1:25" ht="28.8" x14ac:dyDescent="0.25">
      <c r="A279" s="4">
        <v>2018</v>
      </c>
      <c r="B279" s="4">
        <v>11</v>
      </c>
      <c r="C279" s="4" t="s">
        <v>18</v>
      </c>
      <c r="D279" s="11">
        <v>9653</v>
      </c>
      <c r="E279" s="5" t="s">
        <v>40</v>
      </c>
      <c r="F279" s="4" t="s">
        <v>41</v>
      </c>
      <c r="G279" s="5" t="s">
        <v>42</v>
      </c>
      <c r="H279" s="4" t="s">
        <v>34</v>
      </c>
      <c r="I279" s="4" t="s">
        <v>34</v>
      </c>
      <c r="J279" s="6">
        <v>131571.18</v>
      </c>
      <c r="K279" s="6">
        <v>131571.18</v>
      </c>
      <c r="L279" s="6"/>
      <c r="M279" s="23">
        <v>12327.95</v>
      </c>
      <c r="N279" s="23">
        <v>12327.95</v>
      </c>
      <c r="O279" s="6"/>
      <c r="P279" s="6">
        <v>16334.54</v>
      </c>
      <c r="Q279" s="6">
        <v>66082314.270000003</v>
      </c>
      <c r="R279" s="6">
        <v>66431392.93</v>
      </c>
      <c r="S279" s="6"/>
      <c r="T279" s="4"/>
      <c r="U279" s="6"/>
      <c r="V279" s="6"/>
      <c r="W279" s="6"/>
      <c r="X279" s="6"/>
      <c r="Y279" s="5"/>
    </row>
    <row r="280" spans="1:25" ht="28.8" x14ac:dyDescent="0.25">
      <c r="A280" s="4">
        <v>2018</v>
      </c>
      <c r="B280" s="4">
        <v>11</v>
      </c>
      <c r="C280" s="4" t="s">
        <v>18</v>
      </c>
      <c r="D280" s="11">
        <v>45792</v>
      </c>
      <c r="E280" s="5" t="s">
        <v>43</v>
      </c>
      <c r="F280" s="4" t="s">
        <v>44</v>
      </c>
      <c r="G280" s="5" t="s">
        <v>45</v>
      </c>
      <c r="H280" s="4" t="s">
        <v>34</v>
      </c>
      <c r="I280" s="4" t="s">
        <v>34</v>
      </c>
      <c r="J280" s="6">
        <v>79608.41</v>
      </c>
      <c r="K280" s="6">
        <v>79608.41</v>
      </c>
      <c r="L280" s="6"/>
      <c r="M280" s="23">
        <v>7936.12</v>
      </c>
      <c r="N280" s="23">
        <v>7936.12</v>
      </c>
      <c r="O280" s="6"/>
      <c r="P280" s="6">
        <v>10515.36</v>
      </c>
      <c r="Q280" s="6">
        <v>97055106.780000001</v>
      </c>
      <c r="R280" s="6">
        <v>97978471.439999998</v>
      </c>
      <c r="S280" s="6"/>
      <c r="T280" s="4"/>
      <c r="U280" s="6"/>
      <c r="V280" s="6"/>
      <c r="W280" s="6"/>
      <c r="X280" s="6"/>
      <c r="Y280" s="5"/>
    </row>
    <row r="281" spans="1:25" ht="28.8" x14ac:dyDescent="0.25">
      <c r="A281" s="4">
        <v>2018</v>
      </c>
      <c r="B281" s="4">
        <v>11</v>
      </c>
      <c r="C281" s="4" t="s">
        <v>18</v>
      </c>
      <c r="D281" s="11">
        <v>45808</v>
      </c>
      <c r="E281" s="5" t="s">
        <v>46</v>
      </c>
      <c r="F281" s="4" t="s">
        <v>47</v>
      </c>
      <c r="G281" s="5" t="s">
        <v>48</v>
      </c>
      <c r="H281" s="4" t="s">
        <v>34</v>
      </c>
      <c r="I281" s="4" t="s">
        <v>34</v>
      </c>
      <c r="J281" s="6">
        <v>36165.339999999997</v>
      </c>
      <c r="K281" s="6">
        <v>36165.339999999997</v>
      </c>
      <c r="L281" s="6"/>
      <c r="M281" s="23">
        <v>0</v>
      </c>
      <c r="N281" s="6"/>
      <c r="O281" s="6"/>
      <c r="P281" s="6"/>
      <c r="Q281" s="6"/>
      <c r="R281" s="6"/>
      <c r="S281" s="6"/>
      <c r="T281" s="4"/>
      <c r="U281" s="6"/>
      <c r="V281" s="6"/>
      <c r="W281" s="6"/>
      <c r="X281" s="6"/>
      <c r="Y281" s="5"/>
    </row>
    <row r="282" spans="1:25" ht="28.8" x14ac:dyDescent="0.25">
      <c r="A282" s="4">
        <v>2018</v>
      </c>
      <c r="B282" s="4">
        <v>11</v>
      </c>
      <c r="C282" s="4" t="s">
        <v>18</v>
      </c>
      <c r="D282" s="11">
        <v>49570</v>
      </c>
      <c r="E282" s="5" t="s">
        <v>50</v>
      </c>
      <c r="F282" s="4" t="s">
        <v>51</v>
      </c>
      <c r="G282" s="5" t="s">
        <v>52</v>
      </c>
      <c r="H282" s="4" t="s">
        <v>23</v>
      </c>
      <c r="I282" s="4" t="s">
        <v>34</v>
      </c>
      <c r="J282" s="6">
        <v>583982.24</v>
      </c>
      <c r="K282" s="6">
        <v>583982.24</v>
      </c>
      <c r="L282" s="6"/>
      <c r="M282" s="23">
        <v>51348.18</v>
      </c>
      <c r="N282" s="23">
        <v>51348.18</v>
      </c>
      <c r="O282" s="6"/>
      <c r="P282" s="6">
        <v>85045.42</v>
      </c>
      <c r="Q282" s="6">
        <v>665457392.74000001</v>
      </c>
      <c r="R282" s="6">
        <v>667932322.46000004</v>
      </c>
      <c r="S282" s="6"/>
      <c r="T282" s="4"/>
      <c r="U282" s="6"/>
      <c r="V282" s="6"/>
      <c r="W282" s="6"/>
      <c r="X282" s="6"/>
      <c r="Y282" s="5"/>
    </row>
    <row r="283" spans="1:25" ht="28.8" x14ac:dyDescent="0.25">
      <c r="A283" s="4">
        <v>2018</v>
      </c>
      <c r="B283" s="4">
        <v>11</v>
      </c>
      <c r="C283" s="4" t="s">
        <v>18</v>
      </c>
      <c r="D283" s="11">
        <v>50544</v>
      </c>
      <c r="E283" s="5" t="s">
        <v>53</v>
      </c>
      <c r="F283" s="4" t="s">
        <v>54</v>
      </c>
      <c r="G283" s="5" t="s">
        <v>55</v>
      </c>
      <c r="H283" s="4" t="s">
        <v>34</v>
      </c>
      <c r="I283" s="4" t="s">
        <v>34</v>
      </c>
      <c r="J283" s="6">
        <v>64410.559999999998</v>
      </c>
      <c r="K283" s="6">
        <v>64410.559999999998</v>
      </c>
      <c r="L283" s="6"/>
      <c r="M283" s="23">
        <v>4319.8100000000004</v>
      </c>
      <c r="N283" s="23">
        <v>4319.8100000000004</v>
      </c>
      <c r="O283" s="6"/>
      <c r="P283" s="6">
        <v>5723.75</v>
      </c>
      <c r="Q283" s="6">
        <v>99001125.189999998</v>
      </c>
      <c r="R283" s="6">
        <v>102436633.8</v>
      </c>
      <c r="S283" s="6"/>
      <c r="T283" s="4"/>
      <c r="U283" s="6"/>
      <c r="V283" s="6"/>
      <c r="W283" s="6"/>
      <c r="X283" s="6"/>
      <c r="Y283" s="5"/>
    </row>
    <row r="284" spans="1:25" ht="28.8" x14ac:dyDescent="0.25">
      <c r="A284" s="4">
        <v>2018</v>
      </c>
      <c r="B284" s="4">
        <v>12</v>
      </c>
      <c r="C284" s="4" t="s">
        <v>18</v>
      </c>
      <c r="D284" s="11">
        <v>650</v>
      </c>
      <c r="E284" s="5" t="s">
        <v>20</v>
      </c>
      <c r="F284" s="4" t="s">
        <v>21</v>
      </c>
      <c r="G284" s="5" t="s">
        <v>22</v>
      </c>
      <c r="H284" s="4" t="s">
        <v>23</v>
      </c>
      <c r="I284" s="4" t="s">
        <v>23</v>
      </c>
      <c r="J284" s="6">
        <v>167662.24</v>
      </c>
      <c r="K284" s="6">
        <v>132488.60999999999</v>
      </c>
      <c r="L284" s="6">
        <v>35173.629999999997</v>
      </c>
      <c r="M284" s="23">
        <v>11954.22</v>
      </c>
      <c r="N284" s="23">
        <v>9462.19</v>
      </c>
      <c r="O284" s="23">
        <v>2492.0300000000002</v>
      </c>
      <c r="P284" s="6">
        <v>15671.75</v>
      </c>
      <c r="Q284" s="6">
        <v>131998959.89</v>
      </c>
      <c r="R284" s="6">
        <v>132155710.66</v>
      </c>
      <c r="S284" s="6">
        <v>5.2999999999999999E-2</v>
      </c>
      <c r="T284" s="4" t="s">
        <v>24</v>
      </c>
      <c r="U284" s="6">
        <v>0.05</v>
      </c>
      <c r="V284" s="6">
        <v>0.1</v>
      </c>
      <c r="W284" s="6"/>
      <c r="X284" s="6">
        <v>3301.93</v>
      </c>
      <c r="Y284" s="5"/>
    </row>
    <row r="285" spans="1:25" ht="28.8" x14ac:dyDescent="0.25">
      <c r="A285" s="4">
        <v>2018</v>
      </c>
      <c r="B285" s="4">
        <v>12</v>
      </c>
      <c r="C285" s="4" t="s">
        <v>18</v>
      </c>
      <c r="D285" s="11">
        <v>44321</v>
      </c>
      <c r="E285" s="5" t="s">
        <v>26</v>
      </c>
      <c r="F285" s="4" t="s">
        <v>27</v>
      </c>
      <c r="G285" s="5" t="s">
        <v>28</v>
      </c>
      <c r="H285" s="4" t="s">
        <v>23</v>
      </c>
      <c r="I285" s="4" t="s">
        <v>23</v>
      </c>
      <c r="J285" s="6">
        <v>574291.85</v>
      </c>
      <c r="K285" s="6">
        <v>163320.35</v>
      </c>
      <c r="L285" s="6">
        <v>410971.5</v>
      </c>
      <c r="M285" s="23">
        <v>47570.5</v>
      </c>
      <c r="N285" s="23">
        <v>12530.82</v>
      </c>
      <c r="O285" s="23">
        <v>35039.68</v>
      </c>
      <c r="P285" s="6">
        <v>20754.169999999998</v>
      </c>
      <c r="Q285" s="6">
        <v>218303292.13999999</v>
      </c>
      <c r="R285" s="6">
        <v>218662179.15000001</v>
      </c>
      <c r="S285" s="6">
        <v>5.2999999999999999E-2</v>
      </c>
      <c r="T285" s="4" t="s">
        <v>17</v>
      </c>
      <c r="U285" s="6">
        <v>2.75E-2</v>
      </c>
      <c r="V285" s="6">
        <v>0.1</v>
      </c>
      <c r="W285" s="6"/>
      <c r="X285" s="6">
        <v>46427.58</v>
      </c>
      <c r="Y285" s="5"/>
    </row>
    <row r="286" spans="1:25" ht="43.2" x14ac:dyDescent="0.25">
      <c r="A286" s="4">
        <v>2018</v>
      </c>
      <c r="B286" s="4">
        <v>12</v>
      </c>
      <c r="C286" s="4" t="s">
        <v>18</v>
      </c>
      <c r="D286" s="11">
        <v>45817</v>
      </c>
      <c r="E286" s="5" t="s">
        <v>29</v>
      </c>
      <c r="F286" s="4" t="s">
        <v>30</v>
      </c>
      <c r="G286" s="5" t="s">
        <v>31</v>
      </c>
      <c r="H286" s="4" t="s">
        <v>23</v>
      </c>
      <c r="I286" s="4" t="s">
        <v>23</v>
      </c>
      <c r="J286" s="6">
        <v>753352.48</v>
      </c>
      <c r="K286" s="6">
        <v>236961.07</v>
      </c>
      <c r="L286" s="6">
        <v>516391.41</v>
      </c>
      <c r="M286" s="23">
        <v>66664.649999999994</v>
      </c>
      <c r="N286" s="23">
        <v>23693.86</v>
      </c>
      <c r="O286" s="23">
        <v>42970.79</v>
      </c>
      <c r="P286" s="6">
        <v>39242.949999999997</v>
      </c>
      <c r="Q286" s="6">
        <v>267050184.66999999</v>
      </c>
      <c r="R286" s="6">
        <v>268820818.57999998</v>
      </c>
      <c r="S286" s="6">
        <v>5.2999999999999999E-2</v>
      </c>
      <c r="T286" s="4" t="s">
        <v>17</v>
      </c>
      <c r="U286" s="6">
        <v>2.75E-2</v>
      </c>
      <c r="V286" s="6">
        <v>0.1</v>
      </c>
      <c r="W286" s="6"/>
      <c r="X286" s="6">
        <v>56936.29</v>
      </c>
      <c r="Y286" s="5"/>
    </row>
    <row r="287" spans="1:25" ht="28.8" x14ac:dyDescent="0.25">
      <c r="A287" s="4">
        <v>2018</v>
      </c>
      <c r="B287" s="4">
        <v>12</v>
      </c>
      <c r="C287" s="4" t="s">
        <v>18</v>
      </c>
      <c r="D287" s="11">
        <v>650</v>
      </c>
      <c r="E287" s="5" t="s">
        <v>20</v>
      </c>
      <c r="F287" s="4" t="s">
        <v>35</v>
      </c>
      <c r="G287" s="5" t="s">
        <v>36</v>
      </c>
      <c r="H287" s="4" t="s">
        <v>34</v>
      </c>
      <c r="I287" s="4" t="s">
        <v>34</v>
      </c>
      <c r="J287" s="6">
        <v>130575.03</v>
      </c>
      <c r="K287" s="6">
        <v>130575.03</v>
      </c>
      <c r="L287" s="6"/>
      <c r="M287" s="23">
        <v>11471.31</v>
      </c>
      <c r="N287" s="23">
        <v>11471.31</v>
      </c>
      <c r="O287" s="6"/>
      <c r="P287" s="6">
        <v>15199.48</v>
      </c>
      <c r="Q287" s="6">
        <v>89260557.200000003</v>
      </c>
      <c r="R287" s="6">
        <v>89667129.829999998</v>
      </c>
      <c r="S287" s="6"/>
      <c r="T287" s="4"/>
      <c r="U287" s="6"/>
      <c r="V287" s="6"/>
      <c r="W287" s="6"/>
      <c r="X287" s="6"/>
      <c r="Y287" s="5"/>
    </row>
    <row r="288" spans="1:25" ht="28.8" x14ac:dyDescent="0.25">
      <c r="A288" s="4">
        <v>2018</v>
      </c>
      <c r="B288" s="4">
        <v>12</v>
      </c>
      <c r="C288" s="4" t="s">
        <v>18</v>
      </c>
      <c r="D288" s="11">
        <v>650</v>
      </c>
      <c r="E288" s="5" t="s">
        <v>20</v>
      </c>
      <c r="F288" s="4" t="s">
        <v>32</v>
      </c>
      <c r="G288" s="5" t="s">
        <v>33</v>
      </c>
      <c r="H288" s="4" t="s">
        <v>34</v>
      </c>
      <c r="I288" s="4" t="s">
        <v>34</v>
      </c>
      <c r="J288" s="6">
        <v>90996.14</v>
      </c>
      <c r="K288" s="6">
        <v>90996.14</v>
      </c>
      <c r="L288" s="6"/>
      <c r="M288" s="23">
        <v>5813.16</v>
      </c>
      <c r="N288" s="23">
        <v>5813.16</v>
      </c>
      <c r="O288" s="6"/>
      <c r="P288" s="6">
        <v>7702.44</v>
      </c>
      <c r="Q288" s="6">
        <v>67278878.890000001</v>
      </c>
      <c r="R288" s="6">
        <v>67460341.519999996</v>
      </c>
      <c r="S288" s="6"/>
      <c r="T288" s="4"/>
      <c r="U288" s="6"/>
      <c r="V288" s="6"/>
      <c r="W288" s="6"/>
      <c r="X288" s="6"/>
      <c r="Y288" s="5"/>
    </row>
    <row r="289" spans="1:25" ht="28.8" x14ac:dyDescent="0.25">
      <c r="A289" s="4">
        <v>2018</v>
      </c>
      <c r="B289" s="4">
        <v>12</v>
      </c>
      <c r="C289" s="4" t="s">
        <v>18</v>
      </c>
      <c r="D289" s="11">
        <v>3093</v>
      </c>
      <c r="E289" s="5" t="s">
        <v>37</v>
      </c>
      <c r="F289" s="4" t="s">
        <v>38</v>
      </c>
      <c r="G289" s="5" t="s">
        <v>39</v>
      </c>
      <c r="H289" s="4" t="s">
        <v>34</v>
      </c>
      <c r="I289" s="4" t="s">
        <v>34</v>
      </c>
      <c r="J289" s="6">
        <v>12770.19</v>
      </c>
      <c r="K289" s="6">
        <v>12770.19</v>
      </c>
      <c r="L289" s="6"/>
      <c r="M289" s="23">
        <v>1122.8800000000001</v>
      </c>
      <c r="N289" s="23">
        <v>1122.8800000000001</v>
      </c>
      <c r="O289" s="6"/>
      <c r="P289" s="6">
        <v>1487.82</v>
      </c>
      <c r="Q289" s="6">
        <v>9583885.2899999991</v>
      </c>
      <c r="R289" s="6">
        <v>9619296.0099999998</v>
      </c>
      <c r="S289" s="6"/>
      <c r="T289" s="4"/>
      <c r="U289" s="6"/>
      <c r="V289" s="6"/>
      <c r="W289" s="6"/>
      <c r="X289" s="6"/>
      <c r="Y289" s="5"/>
    </row>
    <row r="290" spans="1:25" ht="28.8" x14ac:dyDescent="0.25">
      <c r="A290" s="4">
        <v>2018</v>
      </c>
      <c r="B290" s="4">
        <v>12</v>
      </c>
      <c r="C290" s="4" t="s">
        <v>18</v>
      </c>
      <c r="D290" s="11">
        <v>9653</v>
      </c>
      <c r="E290" s="5" t="s">
        <v>40</v>
      </c>
      <c r="F290" s="4" t="s">
        <v>41</v>
      </c>
      <c r="G290" s="5" t="s">
        <v>42</v>
      </c>
      <c r="H290" s="4" t="s">
        <v>34</v>
      </c>
      <c r="I290" s="4" t="s">
        <v>34</v>
      </c>
      <c r="J290" s="6">
        <v>144383.54999999999</v>
      </c>
      <c r="K290" s="6">
        <v>144383.54999999999</v>
      </c>
      <c r="L290" s="6"/>
      <c r="M290" s="23">
        <v>12812.38</v>
      </c>
      <c r="N290" s="23">
        <v>12812.38</v>
      </c>
      <c r="O290" s="6"/>
      <c r="P290" s="6">
        <v>16976.400000000001</v>
      </c>
      <c r="Q290" s="6">
        <v>66445272.270000003</v>
      </c>
      <c r="R290" s="6">
        <v>66789838.630000003</v>
      </c>
      <c r="S290" s="6"/>
      <c r="T290" s="4"/>
      <c r="U290" s="6"/>
      <c r="V290" s="6"/>
      <c r="W290" s="6"/>
      <c r="X290" s="6"/>
      <c r="Y290" s="5"/>
    </row>
    <row r="291" spans="1:25" ht="28.8" x14ac:dyDescent="0.25">
      <c r="A291" s="4">
        <v>2018</v>
      </c>
      <c r="B291" s="4">
        <v>12</v>
      </c>
      <c r="C291" s="4" t="s">
        <v>18</v>
      </c>
      <c r="D291" s="11">
        <v>45792</v>
      </c>
      <c r="E291" s="5" t="s">
        <v>43</v>
      </c>
      <c r="F291" s="4" t="s">
        <v>44</v>
      </c>
      <c r="G291" s="5" t="s">
        <v>45</v>
      </c>
      <c r="H291" s="4" t="s">
        <v>34</v>
      </c>
      <c r="I291" s="4" t="s">
        <v>34</v>
      </c>
      <c r="J291" s="6">
        <v>87801.71</v>
      </c>
      <c r="K291" s="6">
        <v>87801.71</v>
      </c>
      <c r="L291" s="6"/>
      <c r="M291" s="23">
        <v>8193.31</v>
      </c>
      <c r="N291" s="23">
        <v>8193.31</v>
      </c>
      <c r="O291" s="6"/>
      <c r="P291" s="6">
        <v>10856.13</v>
      </c>
      <c r="Q291" s="6">
        <v>98015712.599999994</v>
      </c>
      <c r="R291" s="6">
        <v>98879176.540000007</v>
      </c>
      <c r="S291" s="6"/>
      <c r="T291" s="4"/>
      <c r="U291" s="6"/>
      <c r="V291" s="6"/>
      <c r="W291" s="6"/>
      <c r="X291" s="6"/>
      <c r="Y291" s="5"/>
    </row>
    <row r="292" spans="1:25" ht="28.8" x14ac:dyDescent="0.25">
      <c r="A292" s="4">
        <v>2018</v>
      </c>
      <c r="B292" s="4">
        <v>12</v>
      </c>
      <c r="C292" s="4" t="s">
        <v>18</v>
      </c>
      <c r="D292" s="11">
        <v>45808</v>
      </c>
      <c r="E292" s="5" t="s">
        <v>46</v>
      </c>
      <c r="F292" s="4" t="s">
        <v>47</v>
      </c>
      <c r="G292" s="5" t="s">
        <v>48</v>
      </c>
      <c r="H292" s="4" t="s">
        <v>34</v>
      </c>
      <c r="I292" s="4" t="s">
        <v>34</v>
      </c>
      <c r="J292" s="6">
        <v>36165.339999999997</v>
      </c>
      <c r="K292" s="6">
        <v>36165.339999999997</v>
      </c>
      <c r="L292" s="6"/>
      <c r="M292" s="23">
        <v>0</v>
      </c>
      <c r="N292" s="6"/>
      <c r="O292" s="6"/>
      <c r="P292" s="6"/>
      <c r="Q292" s="6"/>
      <c r="R292" s="6"/>
      <c r="S292" s="6"/>
      <c r="T292" s="4"/>
      <c r="U292" s="6"/>
      <c r="V292" s="6"/>
      <c r="W292" s="6"/>
      <c r="X292" s="6"/>
      <c r="Y292" s="5"/>
    </row>
    <row r="293" spans="1:25" ht="28.8" x14ac:dyDescent="0.25">
      <c r="A293" s="4">
        <v>2018</v>
      </c>
      <c r="B293" s="4">
        <v>12</v>
      </c>
      <c r="C293" s="4" t="s">
        <v>18</v>
      </c>
      <c r="D293" s="11">
        <v>49570</v>
      </c>
      <c r="E293" s="5" t="s">
        <v>50</v>
      </c>
      <c r="F293" s="4" t="s">
        <v>51</v>
      </c>
      <c r="G293" s="5" t="s">
        <v>52</v>
      </c>
      <c r="H293" s="4" t="s">
        <v>23</v>
      </c>
      <c r="I293" s="4" t="s">
        <v>34</v>
      </c>
      <c r="J293" s="6">
        <v>637192.28</v>
      </c>
      <c r="K293" s="6">
        <v>637192.28</v>
      </c>
      <c r="L293" s="6"/>
      <c r="M293" s="23">
        <v>53210.04</v>
      </c>
      <c r="N293" s="23">
        <v>53210.04</v>
      </c>
      <c r="O293" s="6"/>
      <c r="P293" s="6">
        <v>88129.13</v>
      </c>
      <c r="Q293" s="6">
        <v>668337087.25</v>
      </c>
      <c r="R293" s="6">
        <v>669451408.47000003</v>
      </c>
      <c r="S293" s="6"/>
      <c r="T293" s="4"/>
      <c r="U293" s="6"/>
      <c r="V293" s="6"/>
      <c r="W293" s="6"/>
      <c r="X293" s="6"/>
      <c r="Y293" s="5"/>
    </row>
    <row r="294" spans="1:25" ht="28.8" x14ac:dyDescent="0.25">
      <c r="A294" s="4">
        <v>2018</v>
      </c>
      <c r="B294" s="4">
        <v>12</v>
      </c>
      <c r="C294" s="4" t="s">
        <v>18</v>
      </c>
      <c r="D294" s="11">
        <v>50544</v>
      </c>
      <c r="E294" s="5" t="s">
        <v>53</v>
      </c>
      <c r="F294" s="4" t="s">
        <v>54</v>
      </c>
      <c r="G294" s="5" t="s">
        <v>55</v>
      </c>
      <c r="H294" s="4" t="s">
        <v>34</v>
      </c>
      <c r="I294" s="4" t="s">
        <v>34</v>
      </c>
      <c r="J294" s="6">
        <v>69020.12</v>
      </c>
      <c r="K294" s="6">
        <v>69020.12</v>
      </c>
      <c r="L294" s="6"/>
      <c r="M294" s="23">
        <v>4609.5600000000004</v>
      </c>
      <c r="N294" s="23">
        <v>4609.5600000000004</v>
      </c>
      <c r="O294" s="6"/>
      <c r="P294" s="6">
        <v>6107.67</v>
      </c>
      <c r="Q294" s="6">
        <v>102473393.2</v>
      </c>
      <c r="R294" s="6">
        <v>102679486.56</v>
      </c>
      <c r="S294" s="6"/>
      <c r="T294" s="4"/>
      <c r="U294" s="6"/>
      <c r="V294" s="6"/>
      <c r="W294" s="6"/>
      <c r="X294" s="6"/>
      <c r="Y294" s="5"/>
    </row>
    <row r="295" spans="1:25" ht="28.8" x14ac:dyDescent="0.25">
      <c r="A295" s="4">
        <v>2019</v>
      </c>
      <c r="B295" s="4">
        <v>1</v>
      </c>
      <c r="C295" s="4" t="s">
        <v>18</v>
      </c>
      <c r="D295" s="11">
        <v>650</v>
      </c>
      <c r="E295" s="5" t="s">
        <v>20</v>
      </c>
      <c r="F295" s="4" t="s">
        <v>21</v>
      </c>
      <c r="G295" s="5" t="s">
        <v>22</v>
      </c>
      <c r="H295" s="4" t="s">
        <v>23</v>
      </c>
      <c r="I295" s="4" t="s">
        <v>23</v>
      </c>
      <c r="J295" s="6">
        <v>12059.43</v>
      </c>
      <c r="K295" s="6">
        <v>9554.64</v>
      </c>
      <c r="L295" s="6">
        <v>2504.79</v>
      </c>
      <c r="M295" s="23">
        <v>12059.43</v>
      </c>
      <c r="N295" s="23">
        <v>9554.64</v>
      </c>
      <c r="O295" s="23">
        <v>2504.79</v>
      </c>
      <c r="P295" s="6">
        <v>15824.87</v>
      </c>
      <c r="Q295" s="6">
        <v>132177735.56999999</v>
      </c>
      <c r="R295" s="6">
        <v>133330520.66</v>
      </c>
      <c r="S295" s="6">
        <v>5.2999999999999999E-2</v>
      </c>
      <c r="T295" s="4" t="s">
        <v>24</v>
      </c>
      <c r="U295" s="6">
        <v>0.05</v>
      </c>
      <c r="V295" s="6">
        <v>0.1</v>
      </c>
      <c r="W295" s="6"/>
      <c r="X295" s="6">
        <v>3318.85</v>
      </c>
      <c r="Y295" s="5"/>
    </row>
    <row r="296" spans="1:25" ht="28.8" x14ac:dyDescent="0.25">
      <c r="A296" s="4">
        <v>2019</v>
      </c>
      <c r="B296" s="4">
        <v>1</v>
      </c>
      <c r="C296" s="4" t="s">
        <v>18</v>
      </c>
      <c r="D296" s="11">
        <v>44321</v>
      </c>
      <c r="E296" s="5" t="s">
        <v>26</v>
      </c>
      <c r="F296" s="4" t="s">
        <v>27</v>
      </c>
      <c r="G296" s="5" t="s">
        <v>28</v>
      </c>
      <c r="H296" s="4" t="s">
        <v>23</v>
      </c>
      <c r="I296" s="4" t="s">
        <v>23</v>
      </c>
      <c r="J296" s="6">
        <v>47963.93</v>
      </c>
      <c r="K296" s="6">
        <v>12634.87</v>
      </c>
      <c r="L296" s="6">
        <v>35329.06</v>
      </c>
      <c r="M296" s="23">
        <v>47963.93</v>
      </c>
      <c r="N296" s="23">
        <v>12634.87</v>
      </c>
      <c r="O296" s="23">
        <v>35329.06</v>
      </c>
      <c r="P296" s="6">
        <v>20926.509999999998</v>
      </c>
      <c r="Q296" s="6">
        <v>218700179</v>
      </c>
      <c r="R296" s="6">
        <v>221873952.66999999</v>
      </c>
      <c r="S296" s="6">
        <v>5.2999999999999999E-2</v>
      </c>
      <c r="T296" s="4" t="s">
        <v>17</v>
      </c>
      <c r="U296" s="6">
        <v>2.75E-2</v>
      </c>
      <c r="V296" s="6">
        <v>0.1</v>
      </c>
      <c r="W296" s="6"/>
      <c r="X296" s="6">
        <v>46811</v>
      </c>
      <c r="Y296" s="5"/>
    </row>
    <row r="297" spans="1:25" ht="43.2" x14ac:dyDescent="0.25">
      <c r="A297" s="4">
        <v>2019</v>
      </c>
      <c r="B297" s="4">
        <v>1</v>
      </c>
      <c r="C297" s="4" t="s">
        <v>18</v>
      </c>
      <c r="D297" s="11">
        <v>45817</v>
      </c>
      <c r="E297" s="5" t="s">
        <v>29</v>
      </c>
      <c r="F297" s="4" t="s">
        <v>30</v>
      </c>
      <c r="G297" s="5" t="s">
        <v>31</v>
      </c>
      <c r="H297" s="4" t="s">
        <v>34</v>
      </c>
      <c r="I297" s="4" t="s">
        <v>23</v>
      </c>
      <c r="J297" s="6">
        <v>73983.179999999993</v>
      </c>
      <c r="K297" s="6">
        <v>30637.31</v>
      </c>
      <c r="L297" s="6">
        <v>43345.87</v>
      </c>
      <c r="M297" s="23">
        <v>73983.179999999993</v>
      </c>
      <c r="N297" s="23">
        <v>30637.31</v>
      </c>
      <c r="O297" s="23">
        <v>43345.87</v>
      </c>
      <c r="P297" s="6">
        <v>40594.44</v>
      </c>
      <c r="Q297" s="6">
        <v>268914380.83999997</v>
      </c>
      <c r="R297" s="6">
        <v>271634111.79000002</v>
      </c>
      <c r="S297" s="6">
        <v>5.2999999999999999E-2</v>
      </c>
      <c r="T297" s="4" t="s">
        <v>17</v>
      </c>
      <c r="U297" s="6">
        <v>2.75E-2</v>
      </c>
      <c r="V297" s="6">
        <v>0.1</v>
      </c>
      <c r="W297" s="6"/>
      <c r="X297" s="6">
        <v>57433.279999999999</v>
      </c>
      <c r="Y297" s="5"/>
    </row>
    <row r="298" spans="1:25" ht="28.8" x14ac:dyDescent="0.25">
      <c r="A298" s="4">
        <v>2019</v>
      </c>
      <c r="B298" s="4">
        <v>1</v>
      </c>
      <c r="C298" s="4" t="s">
        <v>18</v>
      </c>
      <c r="D298" s="11">
        <v>650</v>
      </c>
      <c r="E298" s="5" t="s">
        <v>20</v>
      </c>
      <c r="F298" s="4" t="s">
        <v>32</v>
      </c>
      <c r="G298" s="5" t="s">
        <v>33</v>
      </c>
      <c r="H298" s="4" t="s">
        <v>34</v>
      </c>
      <c r="I298" s="4" t="s">
        <v>34</v>
      </c>
      <c r="J298" s="6">
        <v>4303.88</v>
      </c>
      <c r="K298" s="6">
        <v>4303.88</v>
      </c>
      <c r="L298" s="6"/>
      <c r="M298" s="23">
        <v>4303.88</v>
      </c>
      <c r="N298" s="23">
        <v>4303.88</v>
      </c>
      <c r="O298" s="6"/>
      <c r="P298" s="6">
        <v>5702.64</v>
      </c>
      <c r="Q298" s="6">
        <v>67478850.099999994</v>
      </c>
      <c r="R298" s="6">
        <v>67771059.010000005</v>
      </c>
      <c r="S298" s="6"/>
      <c r="T298" s="4"/>
      <c r="U298" s="6"/>
      <c r="V298" s="6"/>
      <c r="W298" s="6"/>
      <c r="X298" s="6"/>
      <c r="Y298" s="5"/>
    </row>
    <row r="299" spans="1:25" ht="28.8" x14ac:dyDescent="0.25">
      <c r="A299" s="4">
        <v>2019</v>
      </c>
      <c r="B299" s="4">
        <v>1</v>
      </c>
      <c r="C299" s="4" t="s">
        <v>18</v>
      </c>
      <c r="D299" s="11">
        <v>650</v>
      </c>
      <c r="E299" s="5" t="s">
        <v>20</v>
      </c>
      <c r="F299" s="4" t="s">
        <v>35</v>
      </c>
      <c r="G299" s="5" t="s">
        <v>36</v>
      </c>
      <c r="H299" s="4" t="s">
        <v>34</v>
      </c>
      <c r="I299" s="4" t="s">
        <v>34</v>
      </c>
      <c r="J299" s="6">
        <v>11527.77</v>
      </c>
      <c r="K299" s="6">
        <v>11527.77</v>
      </c>
      <c r="L299" s="6"/>
      <c r="M299" s="23">
        <v>11527.77</v>
      </c>
      <c r="N299" s="23">
        <v>11527.77</v>
      </c>
      <c r="O299" s="6"/>
      <c r="P299" s="6">
        <v>15274.29</v>
      </c>
      <c r="Q299" s="6">
        <v>89708232.450000003</v>
      </c>
      <c r="R299" s="6">
        <v>90133690.359999999</v>
      </c>
      <c r="S299" s="6"/>
      <c r="T299" s="4"/>
      <c r="U299" s="6"/>
      <c r="V299" s="6"/>
      <c r="W299" s="6"/>
      <c r="X299" s="6"/>
      <c r="Y299" s="5"/>
    </row>
    <row r="300" spans="1:25" ht="28.8" x14ac:dyDescent="0.25">
      <c r="A300" s="4">
        <v>2019</v>
      </c>
      <c r="B300" s="4">
        <v>1</v>
      </c>
      <c r="C300" s="4" t="s">
        <v>18</v>
      </c>
      <c r="D300" s="11">
        <v>3093</v>
      </c>
      <c r="E300" s="5" t="s">
        <v>37</v>
      </c>
      <c r="F300" s="4" t="s">
        <v>38</v>
      </c>
      <c r="G300" s="5" t="s">
        <v>39</v>
      </c>
      <c r="H300" s="4" t="s">
        <v>34</v>
      </c>
      <c r="I300" s="4" t="s">
        <v>34</v>
      </c>
      <c r="J300" s="6">
        <v>1123.5899999999999</v>
      </c>
      <c r="K300" s="6">
        <v>1123.5899999999999</v>
      </c>
      <c r="L300" s="6"/>
      <c r="M300" s="23">
        <v>1123.5899999999999</v>
      </c>
      <c r="N300" s="23">
        <v>1123.5899999999999</v>
      </c>
      <c r="O300" s="6"/>
      <c r="P300" s="6">
        <v>1488.76</v>
      </c>
      <c r="Q300" s="6">
        <v>9619418.0899999999</v>
      </c>
      <c r="R300" s="6">
        <v>9622013.2599999998</v>
      </c>
      <c r="S300" s="6"/>
      <c r="T300" s="4"/>
      <c r="U300" s="6"/>
      <c r="V300" s="6"/>
      <c r="W300" s="6"/>
      <c r="X300" s="6"/>
      <c r="Y300" s="5"/>
    </row>
    <row r="301" spans="1:25" ht="28.8" x14ac:dyDescent="0.25">
      <c r="A301" s="4">
        <v>2019</v>
      </c>
      <c r="B301" s="4">
        <v>1</v>
      </c>
      <c r="C301" s="4" t="s">
        <v>18</v>
      </c>
      <c r="D301" s="11">
        <v>9653</v>
      </c>
      <c r="E301" s="5" t="s">
        <v>40</v>
      </c>
      <c r="F301" s="4" t="s">
        <v>41</v>
      </c>
      <c r="G301" s="5" t="s">
        <v>42</v>
      </c>
      <c r="H301" s="4" t="s">
        <v>34</v>
      </c>
      <c r="I301" s="4" t="s">
        <v>34</v>
      </c>
      <c r="J301" s="6">
        <v>12886.5</v>
      </c>
      <c r="K301" s="6">
        <v>12886.5</v>
      </c>
      <c r="L301" s="6"/>
      <c r="M301" s="23">
        <v>12886.5</v>
      </c>
      <c r="N301" s="23">
        <v>12886.5</v>
      </c>
      <c r="O301" s="6"/>
      <c r="P301" s="6">
        <v>17074.61</v>
      </c>
      <c r="Q301" s="6">
        <v>66830594.359999999</v>
      </c>
      <c r="R301" s="6">
        <v>67195200.739999995</v>
      </c>
      <c r="S301" s="6"/>
      <c r="T301" s="4"/>
      <c r="U301" s="6"/>
      <c r="V301" s="6"/>
      <c r="W301" s="6"/>
      <c r="X301" s="6"/>
      <c r="Y301" s="5"/>
    </row>
    <row r="302" spans="1:25" ht="28.8" x14ac:dyDescent="0.25">
      <c r="A302" s="4">
        <v>2019</v>
      </c>
      <c r="B302" s="4">
        <v>1</v>
      </c>
      <c r="C302" s="4" t="s">
        <v>18</v>
      </c>
      <c r="D302" s="11">
        <v>45792</v>
      </c>
      <c r="E302" s="5" t="s">
        <v>43</v>
      </c>
      <c r="F302" s="4" t="s">
        <v>44</v>
      </c>
      <c r="G302" s="5" t="s">
        <v>45</v>
      </c>
      <c r="H302" s="4" t="s">
        <v>34</v>
      </c>
      <c r="I302" s="4" t="s">
        <v>34</v>
      </c>
      <c r="J302" s="6">
        <v>8704.5</v>
      </c>
      <c r="K302" s="6">
        <v>8704.5</v>
      </c>
      <c r="L302" s="6"/>
      <c r="M302" s="23">
        <v>8704.5</v>
      </c>
      <c r="N302" s="23">
        <v>8704.5</v>
      </c>
      <c r="O302" s="6"/>
      <c r="P302" s="6">
        <v>11533.46</v>
      </c>
      <c r="Q302" s="6">
        <v>98889029.060000002</v>
      </c>
      <c r="R302" s="6">
        <v>100413317.55</v>
      </c>
      <c r="S302" s="6"/>
      <c r="T302" s="4"/>
      <c r="U302" s="6"/>
      <c r="V302" s="6"/>
      <c r="W302" s="6"/>
      <c r="X302" s="6"/>
      <c r="Y302" s="5"/>
    </row>
    <row r="303" spans="1:25" ht="28.8" x14ac:dyDescent="0.25">
      <c r="A303" s="4">
        <v>2019</v>
      </c>
      <c r="B303" s="4">
        <v>1</v>
      </c>
      <c r="C303" s="4" t="s">
        <v>18</v>
      </c>
      <c r="D303" s="11">
        <v>49570</v>
      </c>
      <c r="E303" s="5" t="s">
        <v>50</v>
      </c>
      <c r="F303" s="4" t="s">
        <v>51</v>
      </c>
      <c r="G303" s="5" t="s">
        <v>52</v>
      </c>
      <c r="H303" s="4" t="s">
        <v>23</v>
      </c>
      <c r="I303" s="4" t="s">
        <v>34</v>
      </c>
      <c r="J303" s="6">
        <v>53452.39</v>
      </c>
      <c r="K303" s="6">
        <v>53452.39</v>
      </c>
      <c r="L303" s="6"/>
      <c r="M303" s="23">
        <v>53452.39</v>
      </c>
      <c r="N303" s="23">
        <v>53452.39</v>
      </c>
      <c r="O303" s="6"/>
      <c r="P303" s="6">
        <v>88530.52</v>
      </c>
      <c r="Q303" s="6">
        <v>669698321.19000006</v>
      </c>
      <c r="R303" s="6">
        <v>674401143.13999999</v>
      </c>
      <c r="S303" s="6"/>
      <c r="T303" s="4"/>
      <c r="U303" s="6"/>
      <c r="V303" s="6"/>
      <c r="W303" s="6"/>
      <c r="X303" s="6"/>
      <c r="Y303" s="5"/>
    </row>
    <row r="304" spans="1:25" ht="28.8" x14ac:dyDescent="0.25">
      <c r="A304" s="4">
        <v>2019</v>
      </c>
      <c r="B304" s="4">
        <v>1</v>
      </c>
      <c r="C304" s="4" t="s">
        <v>18</v>
      </c>
      <c r="D304" s="11">
        <v>50544</v>
      </c>
      <c r="E304" s="5" t="s">
        <v>53</v>
      </c>
      <c r="F304" s="4" t="s">
        <v>54</v>
      </c>
      <c r="G304" s="5" t="s">
        <v>55</v>
      </c>
      <c r="H304" s="4" t="s">
        <v>34</v>
      </c>
      <c r="I304" s="4" t="s">
        <v>34</v>
      </c>
      <c r="J304" s="6">
        <v>5329.06</v>
      </c>
      <c r="K304" s="6">
        <v>5329.06</v>
      </c>
      <c r="L304" s="6"/>
      <c r="M304" s="23">
        <v>5329.06</v>
      </c>
      <c r="N304" s="23">
        <v>5329.06</v>
      </c>
      <c r="O304" s="6"/>
      <c r="P304" s="6">
        <v>7061.01</v>
      </c>
      <c r="Q304" s="6">
        <v>102679972.05</v>
      </c>
      <c r="R304" s="6">
        <v>109399226.15000001</v>
      </c>
      <c r="S304" s="6"/>
      <c r="T304" s="4"/>
      <c r="U304" s="6"/>
      <c r="V304" s="6"/>
      <c r="W304" s="6"/>
      <c r="X304" s="6"/>
      <c r="Y304" s="5"/>
    </row>
    <row r="305" spans="1:25" ht="28.8" x14ac:dyDescent="0.25">
      <c r="A305" s="4">
        <v>2019</v>
      </c>
      <c r="B305" s="4">
        <v>2</v>
      </c>
      <c r="C305" s="4" t="s">
        <v>18</v>
      </c>
      <c r="D305" s="11">
        <v>650</v>
      </c>
      <c r="E305" s="5" t="s">
        <v>20</v>
      </c>
      <c r="F305" s="4" t="s">
        <v>21</v>
      </c>
      <c r="G305" s="5" t="s">
        <v>22</v>
      </c>
      <c r="H305" s="4" t="s">
        <v>23</v>
      </c>
      <c r="I305" s="4" t="s">
        <v>23</v>
      </c>
      <c r="J305" s="6">
        <v>23218.55</v>
      </c>
      <c r="K305" s="6">
        <v>18210.96</v>
      </c>
      <c r="L305" s="6">
        <v>5007.59</v>
      </c>
      <c r="M305" s="23">
        <v>11159.11</v>
      </c>
      <c r="N305" s="23">
        <v>8656.32</v>
      </c>
      <c r="O305" s="23">
        <v>2502.79</v>
      </c>
      <c r="P305" s="6">
        <v>14337.03</v>
      </c>
      <c r="Q305" s="6">
        <v>133299864.67</v>
      </c>
      <c r="R305" s="6">
        <v>131996064.12</v>
      </c>
      <c r="S305" s="6">
        <v>5.2999999999999999E-2</v>
      </c>
      <c r="T305" s="4" t="s">
        <v>24</v>
      </c>
      <c r="U305" s="6">
        <v>0.05</v>
      </c>
      <c r="V305" s="6">
        <v>0.1</v>
      </c>
      <c r="W305" s="6"/>
      <c r="X305" s="6">
        <v>3316.2</v>
      </c>
      <c r="Y305" s="5"/>
    </row>
    <row r="306" spans="1:25" ht="28.8" x14ac:dyDescent="0.25">
      <c r="A306" s="4">
        <v>2019</v>
      </c>
      <c r="B306" s="4">
        <v>2</v>
      </c>
      <c r="C306" s="4" t="s">
        <v>18</v>
      </c>
      <c r="D306" s="11">
        <v>44321</v>
      </c>
      <c r="E306" s="5" t="s">
        <v>26</v>
      </c>
      <c r="F306" s="4" t="s">
        <v>27</v>
      </c>
      <c r="G306" s="5" t="s">
        <v>28</v>
      </c>
      <c r="H306" s="4" t="s">
        <v>23</v>
      </c>
      <c r="I306" s="4" t="s">
        <v>23</v>
      </c>
      <c r="J306" s="6">
        <v>95351.52</v>
      </c>
      <c r="K306" s="6">
        <v>24057.88</v>
      </c>
      <c r="L306" s="6">
        <v>71293.64</v>
      </c>
      <c r="M306" s="23">
        <v>47387.59</v>
      </c>
      <c r="N306" s="23">
        <v>11423</v>
      </c>
      <c r="O306" s="23">
        <v>35964.589999999997</v>
      </c>
      <c r="P306" s="6">
        <v>18919.349999999999</v>
      </c>
      <c r="Q306" s="6">
        <v>221786543.40000001</v>
      </c>
      <c r="R306" s="6">
        <v>226713000.71000001</v>
      </c>
      <c r="S306" s="6">
        <v>5.2999999999999999E-2</v>
      </c>
      <c r="T306" s="4" t="s">
        <v>17</v>
      </c>
      <c r="U306" s="6">
        <v>2.75E-2</v>
      </c>
      <c r="V306" s="6">
        <v>0.1</v>
      </c>
      <c r="W306" s="6"/>
      <c r="X306" s="6">
        <v>47653.08</v>
      </c>
      <c r="Y306" s="5"/>
    </row>
    <row r="307" spans="1:25" ht="43.2" x14ac:dyDescent="0.25">
      <c r="A307" s="4">
        <v>2019</v>
      </c>
      <c r="B307" s="4">
        <v>2</v>
      </c>
      <c r="C307" s="4" t="s">
        <v>18</v>
      </c>
      <c r="D307" s="11">
        <v>45817</v>
      </c>
      <c r="E307" s="5" t="s">
        <v>29</v>
      </c>
      <c r="F307" s="4" t="s">
        <v>30</v>
      </c>
      <c r="G307" s="5" t="s">
        <v>31</v>
      </c>
      <c r="H307" s="4" t="s">
        <v>34</v>
      </c>
      <c r="I307" s="4" t="s">
        <v>23</v>
      </c>
      <c r="J307" s="6">
        <v>146118.07999999999</v>
      </c>
      <c r="K307" s="6">
        <v>58905.57</v>
      </c>
      <c r="L307" s="6">
        <v>87212.51</v>
      </c>
      <c r="M307" s="23">
        <v>72134.899999999994</v>
      </c>
      <c r="N307" s="23">
        <v>28268.26</v>
      </c>
      <c r="O307" s="23">
        <v>43866.64</v>
      </c>
      <c r="P307" s="6">
        <v>37455.440000000002</v>
      </c>
      <c r="Q307" s="6">
        <v>271461557</v>
      </c>
      <c r="R307" s="6">
        <v>275581252.67000002</v>
      </c>
      <c r="S307" s="6">
        <v>5.2999999999999999E-2</v>
      </c>
      <c r="T307" s="4" t="s">
        <v>17</v>
      </c>
      <c r="U307" s="6">
        <v>2.75E-2</v>
      </c>
      <c r="V307" s="6">
        <v>0.1</v>
      </c>
      <c r="W307" s="6"/>
      <c r="X307" s="6">
        <v>58123.3</v>
      </c>
      <c r="Y307" s="5"/>
    </row>
    <row r="308" spans="1:25" ht="28.8" x14ac:dyDescent="0.25">
      <c r="A308" s="4">
        <v>2019</v>
      </c>
      <c r="B308" s="4">
        <v>2</v>
      </c>
      <c r="C308" s="4" t="s">
        <v>18</v>
      </c>
      <c r="D308" s="11">
        <v>650</v>
      </c>
      <c r="E308" s="5" t="s">
        <v>20</v>
      </c>
      <c r="F308" s="4" t="s">
        <v>32</v>
      </c>
      <c r="G308" s="5" t="s">
        <v>33</v>
      </c>
      <c r="H308" s="4" t="s">
        <v>34</v>
      </c>
      <c r="I308" s="4" t="s">
        <v>34</v>
      </c>
      <c r="J308" s="6">
        <v>7547.86</v>
      </c>
      <c r="K308" s="6">
        <v>7547.86</v>
      </c>
      <c r="L308" s="6"/>
      <c r="M308" s="23">
        <v>3243.98</v>
      </c>
      <c r="N308" s="23">
        <v>3243.98</v>
      </c>
      <c r="O308" s="6"/>
      <c r="P308" s="6">
        <v>4298.2700000000004</v>
      </c>
      <c r="Q308" s="6">
        <v>67778478.420000002</v>
      </c>
      <c r="R308" s="6">
        <v>65795102.689999998</v>
      </c>
      <c r="S308" s="6"/>
      <c r="T308" s="4"/>
      <c r="U308" s="6"/>
      <c r="V308" s="6"/>
      <c r="W308" s="6"/>
      <c r="X308" s="6"/>
      <c r="Y308" s="5"/>
    </row>
    <row r="309" spans="1:25" ht="28.8" x14ac:dyDescent="0.25">
      <c r="A309" s="4">
        <v>2019</v>
      </c>
      <c r="B309" s="4">
        <v>2</v>
      </c>
      <c r="C309" s="4" t="s">
        <v>18</v>
      </c>
      <c r="D309" s="11">
        <v>650</v>
      </c>
      <c r="E309" s="5" t="s">
        <v>20</v>
      </c>
      <c r="F309" s="4" t="s">
        <v>35</v>
      </c>
      <c r="G309" s="5" t="s">
        <v>36</v>
      </c>
      <c r="H309" s="4" t="s">
        <v>34</v>
      </c>
      <c r="I309" s="4" t="s">
        <v>34</v>
      </c>
      <c r="J309" s="6">
        <v>21988.14</v>
      </c>
      <c r="K309" s="6">
        <v>21988.14</v>
      </c>
      <c r="L309" s="6"/>
      <c r="M309" s="23">
        <v>10460.370000000001</v>
      </c>
      <c r="N309" s="23">
        <v>10460.370000000001</v>
      </c>
      <c r="O309" s="6"/>
      <c r="P309" s="6">
        <v>13859.99</v>
      </c>
      <c r="Q309" s="6">
        <v>90147818.060000002</v>
      </c>
      <c r="R309" s="6">
        <v>90529005.060000002</v>
      </c>
      <c r="S309" s="6"/>
      <c r="T309" s="4"/>
      <c r="U309" s="6"/>
      <c r="V309" s="6"/>
      <c r="W309" s="6"/>
      <c r="X309" s="6"/>
      <c r="Y309" s="5"/>
    </row>
    <row r="310" spans="1:25" ht="28.8" x14ac:dyDescent="0.25">
      <c r="A310" s="4">
        <v>2019</v>
      </c>
      <c r="B310" s="4">
        <v>2</v>
      </c>
      <c r="C310" s="4" t="s">
        <v>18</v>
      </c>
      <c r="D310" s="11">
        <v>3093</v>
      </c>
      <c r="E310" s="5" t="s">
        <v>37</v>
      </c>
      <c r="F310" s="4" t="s">
        <v>38</v>
      </c>
      <c r="G310" s="5" t="s">
        <v>39</v>
      </c>
      <c r="H310" s="4" t="s">
        <v>34</v>
      </c>
      <c r="I310" s="4" t="s">
        <v>34</v>
      </c>
      <c r="J310" s="6">
        <v>2144.7399999999998</v>
      </c>
      <c r="K310" s="6">
        <v>2144.7399999999998</v>
      </c>
      <c r="L310" s="6"/>
      <c r="M310" s="23">
        <v>1021.15</v>
      </c>
      <c r="N310" s="23">
        <v>1021.15</v>
      </c>
      <c r="O310" s="6"/>
      <c r="P310" s="6">
        <v>1353.02</v>
      </c>
      <c r="Q310" s="6">
        <v>9623447.2300000004</v>
      </c>
      <c r="R310" s="6">
        <v>9668822.4700000007</v>
      </c>
      <c r="S310" s="6"/>
      <c r="T310" s="4"/>
      <c r="U310" s="6"/>
      <c r="V310" s="6"/>
      <c r="W310" s="6"/>
      <c r="X310" s="6"/>
      <c r="Y310" s="5"/>
    </row>
    <row r="311" spans="1:25" ht="28.8" x14ac:dyDescent="0.25">
      <c r="A311" s="4">
        <v>2019</v>
      </c>
      <c r="B311" s="4">
        <v>2</v>
      </c>
      <c r="C311" s="4" t="s">
        <v>18</v>
      </c>
      <c r="D311" s="11">
        <v>9653</v>
      </c>
      <c r="E311" s="5" t="s">
        <v>40</v>
      </c>
      <c r="F311" s="4" t="s">
        <v>41</v>
      </c>
      <c r="G311" s="5" t="s">
        <v>42</v>
      </c>
      <c r="H311" s="4" t="s">
        <v>34</v>
      </c>
      <c r="I311" s="4" t="s">
        <v>34</v>
      </c>
      <c r="J311" s="6">
        <v>24591.83</v>
      </c>
      <c r="K311" s="6">
        <v>24591.83</v>
      </c>
      <c r="L311" s="6"/>
      <c r="M311" s="23">
        <v>11705.34</v>
      </c>
      <c r="N311" s="23">
        <v>11705.34</v>
      </c>
      <c r="O311" s="6"/>
      <c r="P311" s="6">
        <v>15509.57</v>
      </c>
      <c r="Q311" s="6">
        <v>67209184.560000002</v>
      </c>
      <c r="R311" s="6">
        <v>67582333.109999999</v>
      </c>
      <c r="S311" s="6"/>
      <c r="T311" s="4"/>
      <c r="U311" s="6"/>
      <c r="V311" s="6"/>
      <c r="W311" s="6"/>
      <c r="X311" s="6"/>
      <c r="Y311" s="5"/>
    </row>
    <row r="312" spans="1:25" ht="28.8" x14ac:dyDescent="0.25">
      <c r="A312" s="4">
        <v>2019</v>
      </c>
      <c r="B312" s="4">
        <v>2</v>
      </c>
      <c r="C312" s="4" t="s">
        <v>18</v>
      </c>
      <c r="D312" s="11">
        <v>45792</v>
      </c>
      <c r="E312" s="5" t="s">
        <v>43</v>
      </c>
      <c r="F312" s="4" t="s">
        <v>44</v>
      </c>
      <c r="G312" s="5" t="s">
        <v>45</v>
      </c>
      <c r="H312" s="4" t="s">
        <v>34</v>
      </c>
      <c r="I312" s="4" t="s">
        <v>34</v>
      </c>
      <c r="J312" s="6">
        <v>17048.599999999999</v>
      </c>
      <c r="K312" s="6">
        <v>17048.599999999999</v>
      </c>
      <c r="L312" s="6"/>
      <c r="M312" s="23">
        <v>8344.11</v>
      </c>
      <c r="N312" s="23">
        <v>8344.11</v>
      </c>
      <c r="O312" s="6"/>
      <c r="P312" s="6">
        <v>11055.94</v>
      </c>
      <c r="Q312" s="6">
        <v>100424657.06</v>
      </c>
      <c r="R312" s="6">
        <v>101358455.04000001</v>
      </c>
      <c r="S312" s="6"/>
      <c r="T312" s="4"/>
      <c r="U312" s="6"/>
      <c r="V312" s="6"/>
      <c r="W312" s="6"/>
      <c r="X312" s="6"/>
      <c r="Y312" s="5"/>
    </row>
    <row r="313" spans="1:25" ht="28.8" x14ac:dyDescent="0.25">
      <c r="A313" s="4">
        <v>2019</v>
      </c>
      <c r="B313" s="4">
        <v>2</v>
      </c>
      <c r="C313" s="4" t="s">
        <v>18</v>
      </c>
      <c r="D313" s="11">
        <v>49570</v>
      </c>
      <c r="E313" s="5" t="s">
        <v>50</v>
      </c>
      <c r="F313" s="4" t="s">
        <v>51</v>
      </c>
      <c r="G313" s="5" t="s">
        <v>52</v>
      </c>
      <c r="H313" s="4" t="s">
        <v>23</v>
      </c>
      <c r="I313" s="4" t="s">
        <v>34</v>
      </c>
      <c r="J313" s="6">
        <v>102176.76</v>
      </c>
      <c r="K313" s="6">
        <v>102176.76</v>
      </c>
      <c r="L313" s="6"/>
      <c r="M313" s="23">
        <v>48724.37</v>
      </c>
      <c r="N313" s="23">
        <v>48724.37</v>
      </c>
      <c r="O313" s="6"/>
      <c r="P313" s="6">
        <v>80699.740000000005</v>
      </c>
      <c r="Q313" s="6">
        <v>674671814.60000002</v>
      </c>
      <c r="R313" s="6">
        <v>683359297.22000003</v>
      </c>
      <c r="S313" s="6"/>
      <c r="T313" s="4"/>
      <c r="U313" s="6"/>
      <c r="V313" s="6"/>
      <c r="W313" s="6"/>
      <c r="X313" s="6"/>
      <c r="Y313" s="5"/>
    </row>
    <row r="314" spans="1:25" ht="28.8" x14ac:dyDescent="0.25">
      <c r="A314" s="4">
        <v>2019</v>
      </c>
      <c r="B314" s="4">
        <v>2</v>
      </c>
      <c r="C314" s="4" t="s">
        <v>18</v>
      </c>
      <c r="D314" s="11">
        <v>50544</v>
      </c>
      <c r="E314" s="5" t="s">
        <v>53</v>
      </c>
      <c r="F314" s="4" t="s">
        <v>54</v>
      </c>
      <c r="G314" s="5" t="s">
        <v>55</v>
      </c>
      <c r="H314" s="4" t="s">
        <v>34</v>
      </c>
      <c r="I314" s="4" t="s">
        <v>34</v>
      </c>
      <c r="J314" s="6">
        <v>10387.530000000001</v>
      </c>
      <c r="K314" s="6">
        <v>10387.530000000001</v>
      </c>
      <c r="L314" s="6"/>
      <c r="M314" s="23">
        <v>5058.47</v>
      </c>
      <c r="N314" s="23">
        <v>5058.47</v>
      </c>
      <c r="O314" s="6"/>
      <c r="P314" s="6">
        <v>6702.47</v>
      </c>
      <c r="Q314" s="6">
        <v>109421860.06</v>
      </c>
      <c r="R314" s="6">
        <v>109695439.94</v>
      </c>
      <c r="S314" s="6"/>
      <c r="T314" s="4"/>
      <c r="U314" s="6"/>
      <c r="V314" s="6"/>
      <c r="W314" s="6"/>
      <c r="X314" s="6"/>
      <c r="Y314" s="5"/>
    </row>
    <row r="315" spans="1:25" ht="28.8" x14ac:dyDescent="0.25">
      <c r="A315" s="4">
        <v>2019</v>
      </c>
      <c r="B315" s="4">
        <v>3</v>
      </c>
      <c r="C315" s="4" t="s">
        <v>18</v>
      </c>
      <c r="D315" s="11">
        <v>650</v>
      </c>
      <c r="E315" s="5" t="s">
        <v>20</v>
      </c>
      <c r="F315" s="4" t="s">
        <v>21</v>
      </c>
      <c r="G315" s="5" t="s">
        <v>22</v>
      </c>
      <c r="H315" s="4" t="s">
        <v>23</v>
      </c>
      <c r="I315" s="4" t="s">
        <v>23</v>
      </c>
      <c r="J315" s="6">
        <v>35184.839999999997</v>
      </c>
      <c r="K315" s="6">
        <v>27678.54</v>
      </c>
      <c r="L315" s="6">
        <v>7506.3</v>
      </c>
      <c r="M315" s="23">
        <v>11966.29</v>
      </c>
      <c r="N315" s="23">
        <v>9467.58</v>
      </c>
      <c r="O315" s="23">
        <v>2498.71</v>
      </c>
      <c r="P315" s="6">
        <v>15680.68</v>
      </c>
      <c r="Q315" s="6">
        <v>131915701.84</v>
      </c>
      <c r="R315" s="6">
        <v>132947937.28</v>
      </c>
      <c r="S315" s="6">
        <v>5.2999999999999999E-2</v>
      </c>
      <c r="T315" s="4" t="s">
        <v>24</v>
      </c>
      <c r="U315" s="6">
        <v>0.05</v>
      </c>
      <c r="V315" s="6">
        <v>0.1</v>
      </c>
      <c r="W315" s="6"/>
      <c r="X315" s="6">
        <v>3310.8</v>
      </c>
      <c r="Y315" s="5"/>
    </row>
    <row r="316" spans="1:25" ht="28.8" x14ac:dyDescent="0.25">
      <c r="A316" s="4">
        <v>2019</v>
      </c>
      <c r="B316" s="4">
        <v>3</v>
      </c>
      <c r="C316" s="4" t="s">
        <v>18</v>
      </c>
      <c r="D316" s="11">
        <v>44321</v>
      </c>
      <c r="E316" s="5" t="s">
        <v>26</v>
      </c>
      <c r="F316" s="4" t="s">
        <v>27</v>
      </c>
      <c r="G316" s="5" t="s">
        <v>28</v>
      </c>
      <c r="H316" s="4" t="s">
        <v>23</v>
      </c>
      <c r="I316" s="4" t="s">
        <v>23</v>
      </c>
      <c r="J316" s="6">
        <v>145096.34</v>
      </c>
      <c r="K316" s="6">
        <v>37236.94</v>
      </c>
      <c r="L316" s="6">
        <v>107859.4</v>
      </c>
      <c r="M316" s="23">
        <v>49744.81</v>
      </c>
      <c r="N316" s="23">
        <v>13179.06</v>
      </c>
      <c r="O316" s="23">
        <v>36565.75</v>
      </c>
      <c r="P316" s="6">
        <v>21827.82</v>
      </c>
      <c r="Q316" s="6">
        <v>226575817.91</v>
      </c>
      <c r="R316" s="6">
        <v>229420630.00999999</v>
      </c>
      <c r="S316" s="6">
        <v>5.2999999999999999E-2</v>
      </c>
      <c r="T316" s="4" t="s">
        <v>17</v>
      </c>
      <c r="U316" s="6">
        <v>2.75E-2</v>
      </c>
      <c r="V316" s="6">
        <v>0.1</v>
      </c>
      <c r="W316" s="6"/>
      <c r="X316" s="6">
        <v>48449.62</v>
      </c>
      <c r="Y316" s="5"/>
    </row>
    <row r="317" spans="1:25" ht="28.8" x14ac:dyDescent="0.25">
      <c r="A317" s="4">
        <v>2019</v>
      </c>
      <c r="B317" s="4">
        <v>3</v>
      </c>
      <c r="C317" s="4" t="s">
        <v>18</v>
      </c>
      <c r="D317" s="11">
        <v>45792</v>
      </c>
      <c r="E317" s="5" t="s">
        <v>43</v>
      </c>
      <c r="F317" s="4" t="s">
        <v>44</v>
      </c>
      <c r="G317" s="5" t="s">
        <v>45</v>
      </c>
      <c r="H317" s="4" t="s">
        <v>34</v>
      </c>
      <c r="I317" s="4" t="s">
        <v>23</v>
      </c>
      <c r="J317" s="6">
        <v>50995.54</v>
      </c>
      <c r="K317" s="6">
        <v>26556.14</v>
      </c>
      <c r="L317" s="6">
        <v>24439.4</v>
      </c>
      <c r="M317" s="23">
        <v>33946.94</v>
      </c>
      <c r="N317" s="23">
        <v>9507.5400000000009</v>
      </c>
      <c r="O317" s="23">
        <v>24439.4</v>
      </c>
      <c r="P317" s="6">
        <v>12597.49</v>
      </c>
      <c r="Q317" s="6">
        <v>101331959.28</v>
      </c>
      <c r="R317" s="6">
        <v>101850499.37</v>
      </c>
      <c r="S317" s="6">
        <v>5.2999999999999999E-2</v>
      </c>
      <c r="T317" s="4" t="s">
        <v>17</v>
      </c>
      <c r="U317" s="6">
        <v>2.75E-2</v>
      </c>
      <c r="V317" s="6">
        <v>0.15</v>
      </c>
      <c r="W317" s="6"/>
      <c r="X317" s="6">
        <v>32382.2</v>
      </c>
      <c r="Y317" s="5" t="s">
        <v>260</v>
      </c>
    </row>
    <row r="318" spans="1:25" ht="43.2" x14ac:dyDescent="0.25">
      <c r="A318" s="4">
        <v>2019</v>
      </c>
      <c r="B318" s="4">
        <v>3</v>
      </c>
      <c r="C318" s="4" t="s">
        <v>18</v>
      </c>
      <c r="D318" s="11">
        <v>45817</v>
      </c>
      <c r="E318" s="5" t="s">
        <v>29</v>
      </c>
      <c r="F318" s="4" t="s">
        <v>30</v>
      </c>
      <c r="G318" s="5" t="s">
        <v>31</v>
      </c>
      <c r="H318" s="4" t="s">
        <v>34</v>
      </c>
      <c r="I318" s="4" t="s">
        <v>23</v>
      </c>
      <c r="J318" s="6">
        <v>221335.05</v>
      </c>
      <c r="K318" s="6">
        <v>89626.41</v>
      </c>
      <c r="L318" s="6">
        <v>131708.64000000001</v>
      </c>
      <c r="M318" s="23">
        <v>75216.97</v>
      </c>
      <c r="N318" s="23">
        <v>30720.84</v>
      </c>
      <c r="O318" s="23">
        <v>44496.13</v>
      </c>
      <c r="P318" s="6">
        <v>40705.11</v>
      </c>
      <c r="Q318" s="6">
        <v>275435442.97000003</v>
      </c>
      <c r="R318" s="6">
        <v>279457429.76999998</v>
      </c>
      <c r="S318" s="6">
        <v>5.2999999999999999E-2</v>
      </c>
      <c r="T318" s="4" t="s">
        <v>17</v>
      </c>
      <c r="U318" s="6">
        <v>2.75E-2</v>
      </c>
      <c r="V318" s="6">
        <v>0.1</v>
      </c>
      <c r="W318" s="6"/>
      <c r="X318" s="6">
        <v>58957.37</v>
      </c>
      <c r="Y318" s="5"/>
    </row>
    <row r="319" spans="1:25" ht="28.8" x14ac:dyDescent="0.25">
      <c r="A319" s="4">
        <v>2019</v>
      </c>
      <c r="B319" s="4">
        <v>3</v>
      </c>
      <c r="C319" s="4" t="s">
        <v>18</v>
      </c>
      <c r="D319" s="11">
        <v>49570</v>
      </c>
      <c r="E319" s="5" t="s">
        <v>50</v>
      </c>
      <c r="F319" s="4" t="s">
        <v>51</v>
      </c>
      <c r="G319" s="5" t="s">
        <v>52</v>
      </c>
      <c r="H319" s="4" t="s">
        <v>23</v>
      </c>
      <c r="I319" s="4" t="s">
        <v>23</v>
      </c>
      <c r="J319" s="6">
        <v>267067.5</v>
      </c>
      <c r="K319" s="6">
        <v>156912.71</v>
      </c>
      <c r="L319" s="6">
        <v>110154.79</v>
      </c>
      <c r="M319" s="23">
        <v>164890.74</v>
      </c>
      <c r="N319" s="23">
        <v>54735.95</v>
      </c>
      <c r="O319" s="23">
        <v>110154.79</v>
      </c>
      <c r="P319" s="6">
        <v>90656.41</v>
      </c>
      <c r="Q319" s="6">
        <v>683177695.21000004</v>
      </c>
      <c r="R319" s="6">
        <v>690517372.88</v>
      </c>
      <c r="S319" s="6">
        <v>5.2999999999999999E-2</v>
      </c>
      <c r="T319" s="4" t="s">
        <v>17</v>
      </c>
      <c r="U319" s="6">
        <v>2.75E-2</v>
      </c>
      <c r="V319" s="6">
        <v>0.1</v>
      </c>
      <c r="W319" s="6"/>
      <c r="X319" s="6">
        <v>145955.1</v>
      </c>
      <c r="Y319" s="5" t="s">
        <v>125</v>
      </c>
    </row>
    <row r="320" spans="1:25" ht="28.8" x14ac:dyDescent="0.25">
      <c r="A320" s="4">
        <v>2019</v>
      </c>
      <c r="B320" s="4">
        <v>3</v>
      </c>
      <c r="C320" s="4" t="s">
        <v>18</v>
      </c>
      <c r="D320" s="11">
        <v>50544</v>
      </c>
      <c r="E320" s="5" t="s">
        <v>53</v>
      </c>
      <c r="F320" s="4" t="s">
        <v>54</v>
      </c>
      <c r="G320" s="5" t="s">
        <v>55</v>
      </c>
      <c r="H320" s="4" t="s">
        <v>34</v>
      </c>
      <c r="I320" s="4" t="s">
        <v>23</v>
      </c>
      <c r="J320" s="6">
        <v>24030.34</v>
      </c>
      <c r="K320" s="6">
        <v>16919.18</v>
      </c>
      <c r="L320" s="6">
        <v>7111.16</v>
      </c>
      <c r="M320" s="23">
        <v>13642.81</v>
      </c>
      <c r="N320" s="23">
        <v>6531.65</v>
      </c>
      <c r="O320" s="23">
        <v>7111.16</v>
      </c>
      <c r="P320" s="6">
        <v>8654.44</v>
      </c>
      <c r="Q320" s="6">
        <v>109665406.29000001</v>
      </c>
      <c r="R320" s="6">
        <v>113127589.59999999</v>
      </c>
      <c r="S320" s="6">
        <v>5.2999999999999999E-2</v>
      </c>
      <c r="T320" s="4" t="s">
        <v>24</v>
      </c>
      <c r="U320" s="6">
        <v>3.27E-2</v>
      </c>
      <c r="V320" s="6">
        <v>0.05</v>
      </c>
      <c r="W320" s="6"/>
      <c r="X320" s="6">
        <v>9422.2900000000009</v>
      </c>
      <c r="Y320" s="5"/>
    </row>
    <row r="321" spans="1:25" ht="28.8" x14ac:dyDescent="0.25">
      <c r="A321" s="4">
        <v>2019</v>
      </c>
      <c r="B321" s="4">
        <v>3</v>
      </c>
      <c r="C321" s="4" t="s">
        <v>18</v>
      </c>
      <c r="D321" s="11">
        <v>650</v>
      </c>
      <c r="E321" s="5" t="s">
        <v>20</v>
      </c>
      <c r="F321" s="4" t="s">
        <v>35</v>
      </c>
      <c r="G321" s="5" t="s">
        <v>36</v>
      </c>
      <c r="H321" s="4" t="s">
        <v>34</v>
      </c>
      <c r="I321" s="4" t="s">
        <v>34</v>
      </c>
      <c r="J321" s="6">
        <v>33625.019999999997</v>
      </c>
      <c r="K321" s="6">
        <v>33625.019999999997</v>
      </c>
      <c r="L321" s="6"/>
      <c r="M321" s="23">
        <v>11636.88</v>
      </c>
      <c r="N321" s="23">
        <v>11636.88</v>
      </c>
      <c r="O321" s="6"/>
      <c r="P321" s="6">
        <v>15418.87</v>
      </c>
      <c r="Q321" s="6">
        <v>90543103.590000004</v>
      </c>
      <c r="R321" s="6">
        <v>90978480.890000001</v>
      </c>
      <c r="S321" s="6"/>
      <c r="T321" s="4"/>
      <c r="U321" s="6"/>
      <c r="V321" s="6"/>
      <c r="W321" s="6"/>
      <c r="X321" s="6"/>
      <c r="Y321" s="5"/>
    </row>
    <row r="322" spans="1:25" ht="28.8" x14ac:dyDescent="0.25">
      <c r="A322" s="4">
        <v>2019</v>
      </c>
      <c r="B322" s="4">
        <v>3</v>
      </c>
      <c r="C322" s="4" t="s">
        <v>18</v>
      </c>
      <c r="D322" s="11">
        <v>650</v>
      </c>
      <c r="E322" s="5" t="s">
        <v>20</v>
      </c>
      <c r="F322" s="4" t="s">
        <v>32</v>
      </c>
      <c r="G322" s="5" t="s">
        <v>33</v>
      </c>
      <c r="H322" s="4" t="s">
        <v>34</v>
      </c>
      <c r="I322" s="4" t="s">
        <v>34</v>
      </c>
      <c r="J322" s="6">
        <v>11041.86</v>
      </c>
      <c r="K322" s="6">
        <v>11041.86</v>
      </c>
      <c r="L322" s="6"/>
      <c r="M322" s="23">
        <v>3494.01</v>
      </c>
      <c r="N322" s="23">
        <v>3494.01</v>
      </c>
      <c r="O322" s="6"/>
      <c r="P322" s="6">
        <v>4629.5600000000004</v>
      </c>
      <c r="Q322" s="6">
        <v>65805667.380000003</v>
      </c>
      <c r="R322" s="6">
        <v>66027534.740000002</v>
      </c>
      <c r="S322" s="6"/>
      <c r="T322" s="4"/>
      <c r="U322" s="6"/>
      <c r="V322" s="6"/>
      <c r="W322" s="6"/>
      <c r="X322" s="6"/>
      <c r="Y322" s="5"/>
    </row>
    <row r="323" spans="1:25" ht="28.8" x14ac:dyDescent="0.25">
      <c r="A323" s="4">
        <v>2019</v>
      </c>
      <c r="B323" s="4">
        <v>3</v>
      </c>
      <c r="C323" s="4" t="s">
        <v>18</v>
      </c>
      <c r="D323" s="11">
        <v>3093</v>
      </c>
      <c r="E323" s="5" t="s">
        <v>37</v>
      </c>
      <c r="F323" s="4" t="s">
        <v>38</v>
      </c>
      <c r="G323" s="5" t="s">
        <v>39</v>
      </c>
      <c r="H323" s="4" t="s">
        <v>34</v>
      </c>
      <c r="I323" s="4" t="s">
        <v>34</v>
      </c>
      <c r="J323" s="6">
        <v>3281</v>
      </c>
      <c r="K323" s="6">
        <v>3281</v>
      </c>
      <c r="L323" s="6"/>
      <c r="M323" s="23">
        <v>1136.26</v>
      </c>
      <c r="N323" s="23">
        <v>1136.26</v>
      </c>
      <c r="O323" s="6"/>
      <c r="P323" s="6">
        <v>1505.55</v>
      </c>
      <c r="Q323" s="6">
        <v>9666082.0199999996</v>
      </c>
      <c r="R323" s="6">
        <v>9705111.8499999996</v>
      </c>
      <c r="S323" s="6"/>
      <c r="T323" s="4"/>
      <c r="U323" s="6"/>
      <c r="V323" s="6"/>
      <c r="W323" s="6"/>
      <c r="X323" s="6"/>
      <c r="Y323" s="5"/>
    </row>
    <row r="324" spans="1:25" ht="28.8" x14ac:dyDescent="0.25">
      <c r="A324" s="4">
        <v>2019</v>
      </c>
      <c r="B324" s="4">
        <v>3</v>
      </c>
      <c r="C324" s="4" t="s">
        <v>18</v>
      </c>
      <c r="D324" s="11">
        <v>9653</v>
      </c>
      <c r="E324" s="5" t="s">
        <v>40</v>
      </c>
      <c r="F324" s="4" t="s">
        <v>41</v>
      </c>
      <c r="G324" s="5" t="s">
        <v>42</v>
      </c>
      <c r="H324" s="4" t="s">
        <v>34</v>
      </c>
      <c r="I324" s="4" t="s">
        <v>34</v>
      </c>
      <c r="J324" s="6">
        <v>37617.089999999997</v>
      </c>
      <c r="K324" s="6">
        <v>37617.089999999997</v>
      </c>
      <c r="L324" s="6"/>
      <c r="M324" s="23">
        <v>13025.25</v>
      </c>
      <c r="N324" s="23">
        <v>13025.25</v>
      </c>
      <c r="O324" s="6"/>
      <c r="P324" s="6">
        <v>17258.46</v>
      </c>
      <c r="Q324" s="6">
        <v>67548981.450000003</v>
      </c>
      <c r="R324" s="6">
        <v>67897284.620000005</v>
      </c>
      <c r="S324" s="6"/>
      <c r="T324" s="4"/>
      <c r="U324" s="6"/>
      <c r="V324" s="6"/>
      <c r="W324" s="6"/>
      <c r="X324" s="6"/>
      <c r="Y324" s="5"/>
    </row>
    <row r="325" spans="1:25" ht="28.8" x14ac:dyDescent="0.25">
      <c r="A325" s="4">
        <v>2019</v>
      </c>
      <c r="B325" s="4">
        <v>4</v>
      </c>
      <c r="C325" s="4" t="s">
        <v>18</v>
      </c>
      <c r="D325" s="11">
        <v>650</v>
      </c>
      <c r="E325" s="5" t="s">
        <v>20</v>
      </c>
      <c r="F325" s="4" t="s">
        <v>21</v>
      </c>
      <c r="G325" s="5" t="s">
        <v>22</v>
      </c>
      <c r="H325" s="4" t="s">
        <v>23</v>
      </c>
      <c r="I325" s="4" t="s">
        <v>23</v>
      </c>
      <c r="J325" s="6">
        <v>43906.74</v>
      </c>
      <c r="K325" s="6">
        <v>33892.19</v>
      </c>
      <c r="L325" s="6">
        <v>10014.549999999999</v>
      </c>
      <c r="M325" s="23">
        <v>8721.9</v>
      </c>
      <c r="N325" s="23">
        <v>6213.65</v>
      </c>
      <c r="O325" s="23">
        <v>2508.25</v>
      </c>
      <c r="P325" s="6">
        <v>10291.36</v>
      </c>
      <c r="Q325" s="6">
        <v>132962450.68000001</v>
      </c>
      <c r="R325" s="6">
        <v>132911935.66</v>
      </c>
      <c r="S325" s="6">
        <v>5.2999999999999999E-2</v>
      </c>
      <c r="T325" s="4" t="s">
        <v>24</v>
      </c>
      <c r="U325" s="6">
        <v>0.05</v>
      </c>
      <c r="V325" s="6">
        <v>0.1</v>
      </c>
      <c r="W325" s="6"/>
      <c r="X325" s="6">
        <v>3323.43</v>
      </c>
      <c r="Y325" s="5"/>
    </row>
    <row r="326" spans="1:25" ht="28.8" x14ac:dyDescent="0.25">
      <c r="A326" s="4">
        <v>2019</v>
      </c>
      <c r="B326" s="4">
        <v>4</v>
      </c>
      <c r="C326" s="4" t="s">
        <v>18</v>
      </c>
      <c r="D326" s="11">
        <v>44321</v>
      </c>
      <c r="E326" s="5" t="s">
        <v>26</v>
      </c>
      <c r="F326" s="4" t="s">
        <v>27</v>
      </c>
      <c r="G326" s="5" t="s">
        <v>28</v>
      </c>
      <c r="H326" s="4" t="s">
        <v>23</v>
      </c>
      <c r="I326" s="4" t="s">
        <v>23</v>
      </c>
      <c r="J326" s="6">
        <v>194801.04</v>
      </c>
      <c r="K326" s="6">
        <v>49888.84</v>
      </c>
      <c r="L326" s="6">
        <v>144912.20000000001</v>
      </c>
      <c r="M326" s="23">
        <v>49704.71</v>
      </c>
      <c r="N326" s="23">
        <v>12651.9</v>
      </c>
      <c r="O326" s="23">
        <v>37052.81</v>
      </c>
      <c r="P326" s="6">
        <v>20954.71</v>
      </c>
      <c r="Q326" s="6">
        <v>229447410.55000001</v>
      </c>
      <c r="R326" s="6">
        <v>232622898.5</v>
      </c>
      <c r="S326" s="6">
        <v>5.2999999999999999E-2</v>
      </c>
      <c r="T326" s="4" t="s">
        <v>17</v>
      </c>
      <c r="U326" s="6">
        <v>2.75E-2</v>
      </c>
      <c r="V326" s="6">
        <v>0.1</v>
      </c>
      <c r="W326" s="6"/>
      <c r="X326" s="6">
        <v>49094.97</v>
      </c>
      <c r="Y326" s="5"/>
    </row>
    <row r="327" spans="1:25" ht="28.8" x14ac:dyDescent="0.25">
      <c r="A327" s="4">
        <v>2019</v>
      </c>
      <c r="B327" s="4">
        <v>4</v>
      </c>
      <c r="C327" s="4" t="s">
        <v>18</v>
      </c>
      <c r="D327" s="11">
        <v>45792</v>
      </c>
      <c r="E327" s="5" t="s">
        <v>43</v>
      </c>
      <c r="F327" s="4" t="s">
        <v>44</v>
      </c>
      <c r="G327" s="5" t="s">
        <v>45</v>
      </c>
      <c r="H327" s="4" t="s">
        <v>34</v>
      </c>
      <c r="I327" s="4" t="s">
        <v>23</v>
      </c>
      <c r="J327" s="6">
        <v>34965.379999999997</v>
      </c>
      <c r="K327" s="6">
        <v>34965.379999999997</v>
      </c>
      <c r="L327" s="6"/>
      <c r="M327" s="23">
        <v>8409.24</v>
      </c>
      <c r="N327" s="23">
        <v>8409.24</v>
      </c>
      <c r="O327" s="6"/>
      <c r="P327" s="6">
        <v>11142.24</v>
      </c>
      <c r="Q327" s="6">
        <v>101855245.53</v>
      </c>
      <c r="R327" s="6">
        <v>102166202.73</v>
      </c>
      <c r="S327" s="6">
        <v>5.2999999999999999E-2</v>
      </c>
      <c r="T327" s="4" t="s">
        <v>17</v>
      </c>
      <c r="U327" s="6">
        <v>2.75E-2</v>
      </c>
      <c r="V327" s="6">
        <v>0.15</v>
      </c>
      <c r="W327" s="6"/>
      <c r="X327" s="6"/>
      <c r="Y327" s="5" t="s">
        <v>260</v>
      </c>
    </row>
    <row r="328" spans="1:25" ht="43.2" x14ac:dyDescent="0.25">
      <c r="A328" s="4">
        <v>2019</v>
      </c>
      <c r="B328" s="4">
        <v>4</v>
      </c>
      <c r="C328" s="4" t="s">
        <v>18</v>
      </c>
      <c r="D328" s="11">
        <v>45817</v>
      </c>
      <c r="E328" s="5" t="s">
        <v>29</v>
      </c>
      <c r="F328" s="4" t="s">
        <v>30</v>
      </c>
      <c r="G328" s="5" t="s">
        <v>31</v>
      </c>
      <c r="H328" s="4" t="s">
        <v>34</v>
      </c>
      <c r="I328" s="4" t="s">
        <v>23</v>
      </c>
      <c r="J328" s="6">
        <v>297847.82</v>
      </c>
      <c r="K328" s="6">
        <v>120586.82</v>
      </c>
      <c r="L328" s="6">
        <v>177261</v>
      </c>
      <c r="M328" s="23">
        <v>76512.78</v>
      </c>
      <c r="N328" s="23">
        <v>30960.42</v>
      </c>
      <c r="O328" s="23">
        <v>45552.36</v>
      </c>
      <c r="P328" s="6">
        <v>41022.550000000003</v>
      </c>
      <c r="Q328" s="6">
        <v>279507076.75</v>
      </c>
      <c r="R328" s="6">
        <v>288557660.70999998</v>
      </c>
      <c r="S328" s="6">
        <v>5.2999999999999999E-2</v>
      </c>
      <c r="T328" s="4" t="s">
        <v>17</v>
      </c>
      <c r="U328" s="6">
        <v>2.75E-2</v>
      </c>
      <c r="V328" s="6">
        <v>0.1</v>
      </c>
      <c r="W328" s="6"/>
      <c r="X328" s="6">
        <v>60356.88</v>
      </c>
      <c r="Y328" s="5"/>
    </row>
    <row r="329" spans="1:25" ht="28.8" x14ac:dyDescent="0.25">
      <c r="A329" s="4">
        <v>2019</v>
      </c>
      <c r="B329" s="4">
        <v>4</v>
      </c>
      <c r="C329" s="4" t="s">
        <v>18</v>
      </c>
      <c r="D329" s="11">
        <v>49570</v>
      </c>
      <c r="E329" s="5" t="s">
        <v>50</v>
      </c>
      <c r="F329" s="4" t="s">
        <v>51</v>
      </c>
      <c r="G329" s="5" t="s">
        <v>52</v>
      </c>
      <c r="H329" s="4" t="s">
        <v>23</v>
      </c>
      <c r="I329" s="4" t="s">
        <v>23</v>
      </c>
      <c r="J329" s="6">
        <v>412094.87</v>
      </c>
      <c r="K329" s="6">
        <v>210433.59</v>
      </c>
      <c r="L329" s="6">
        <v>201661.28</v>
      </c>
      <c r="M329" s="23">
        <v>104581.68</v>
      </c>
      <c r="N329" s="23">
        <v>53520.88</v>
      </c>
      <c r="O329" s="23">
        <v>51060.800000000003</v>
      </c>
      <c r="P329" s="6">
        <v>88643.96</v>
      </c>
      <c r="Q329" s="6">
        <v>690659524.37</v>
      </c>
      <c r="R329" s="6">
        <v>691241353.62</v>
      </c>
      <c r="S329" s="6">
        <v>5.2999999999999999E-2</v>
      </c>
      <c r="T329" s="4" t="s">
        <v>17</v>
      </c>
      <c r="U329" s="6">
        <v>2.75E-2</v>
      </c>
      <c r="V329" s="6">
        <v>0.1</v>
      </c>
      <c r="W329" s="6"/>
      <c r="X329" s="6">
        <v>67655.56</v>
      </c>
      <c r="Y329" s="5" t="s">
        <v>125</v>
      </c>
    </row>
    <row r="330" spans="1:25" ht="28.8" x14ac:dyDescent="0.25">
      <c r="A330" s="4">
        <v>2019</v>
      </c>
      <c r="B330" s="4">
        <v>4</v>
      </c>
      <c r="C330" s="4" t="s">
        <v>18</v>
      </c>
      <c r="D330" s="11">
        <v>50544</v>
      </c>
      <c r="E330" s="5" t="s">
        <v>53</v>
      </c>
      <c r="F330" s="4" t="s">
        <v>54</v>
      </c>
      <c r="G330" s="5" t="s">
        <v>55</v>
      </c>
      <c r="H330" s="4" t="s">
        <v>34</v>
      </c>
      <c r="I330" s="4" t="s">
        <v>23</v>
      </c>
      <c r="J330" s="6">
        <v>51823.839999999997</v>
      </c>
      <c r="K330" s="6">
        <v>23422.06</v>
      </c>
      <c r="L330" s="6">
        <v>28401.78</v>
      </c>
      <c r="M330" s="23">
        <v>14030.47</v>
      </c>
      <c r="N330" s="23">
        <v>6502.88</v>
      </c>
      <c r="O330" s="23">
        <v>7527.59</v>
      </c>
      <c r="P330" s="6">
        <v>8616.31</v>
      </c>
      <c r="Q330" s="6">
        <v>113127803.14</v>
      </c>
      <c r="R330" s="6">
        <v>122711991.89</v>
      </c>
      <c r="S330" s="6">
        <v>5.2999999999999999E-2</v>
      </c>
      <c r="T330" s="4" t="s">
        <v>24</v>
      </c>
      <c r="U330" s="6">
        <v>3.27E-2</v>
      </c>
      <c r="V330" s="6">
        <v>0.05</v>
      </c>
      <c r="W330" s="6"/>
      <c r="X330" s="6">
        <v>9974.06</v>
      </c>
      <c r="Y330" s="5"/>
    </row>
    <row r="331" spans="1:25" ht="28.8" x14ac:dyDescent="0.25">
      <c r="A331" s="4">
        <v>2019</v>
      </c>
      <c r="B331" s="4">
        <v>4</v>
      </c>
      <c r="C331" s="4" t="s">
        <v>18</v>
      </c>
      <c r="D331" s="11">
        <v>650</v>
      </c>
      <c r="E331" s="5" t="s">
        <v>20</v>
      </c>
      <c r="F331" s="4" t="s">
        <v>35</v>
      </c>
      <c r="G331" s="5" t="s">
        <v>36</v>
      </c>
      <c r="H331" s="4" t="s">
        <v>34</v>
      </c>
      <c r="I331" s="4" t="s">
        <v>34</v>
      </c>
      <c r="J331" s="6">
        <v>44940.93</v>
      </c>
      <c r="K331" s="6">
        <v>44940.93</v>
      </c>
      <c r="L331" s="6"/>
      <c r="M331" s="23">
        <v>11315.91</v>
      </c>
      <c r="N331" s="23">
        <v>11315.91</v>
      </c>
      <c r="O331" s="6"/>
      <c r="P331" s="6">
        <v>14993.58</v>
      </c>
      <c r="Q331" s="6">
        <v>91005879.200000003</v>
      </c>
      <c r="R331" s="6">
        <v>91415211.579999998</v>
      </c>
      <c r="S331" s="6"/>
      <c r="T331" s="4"/>
      <c r="U331" s="6"/>
      <c r="V331" s="6"/>
      <c r="W331" s="6"/>
      <c r="X331" s="6"/>
      <c r="Y331" s="5"/>
    </row>
    <row r="332" spans="1:25" ht="28.8" x14ac:dyDescent="0.25">
      <c r="A332" s="4">
        <v>2019</v>
      </c>
      <c r="B332" s="4">
        <v>4</v>
      </c>
      <c r="C332" s="4" t="s">
        <v>18</v>
      </c>
      <c r="D332" s="11">
        <v>650</v>
      </c>
      <c r="E332" s="5" t="s">
        <v>20</v>
      </c>
      <c r="F332" s="4" t="s">
        <v>32</v>
      </c>
      <c r="G332" s="5" t="s">
        <v>33</v>
      </c>
      <c r="H332" s="4" t="s">
        <v>34</v>
      </c>
      <c r="I332" s="4" t="s">
        <v>34</v>
      </c>
      <c r="J332" s="6">
        <v>14438.64</v>
      </c>
      <c r="K332" s="6">
        <v>14438.64</v>
      </c>
      <c r="L332" s="6"/>
      <c r="M332" s="23">
        <v>3396.78</v>
      </c>
      <c r="N332" s="23">
        <v>3396.78</v>
      </c>
      <c r="O332" s="6"/>
      <c r="P332" s="6">
        <v>4500.7299999999996</v>
      </c>
      <c r="Q332" s="6">
        <v>66035665.520000003</v>
      </c>
      <c r="R332" s="6">
        <v>66231918.030000001</v>
      </c>
      <c r="S332" s="6"/>
      <c r="T332" s="4"/>
      <c r="U332" s="6"/>
      <c r="V332" s="6"/>
      <c r="W332" s="6"/>
      <c r="X332" s="6"/>
      <c r="Y332" s="5"/>
    </row>
    <row r="333" spans="1:25" ht="28.8" x14ac:dyDescent="0.25">
      <c r="A333" s="4">
        <v>2019</v>
      </c>
      <c r="B333" s="4">
        <v>4</v>
      </c>
      <c r="C333" s="4" t="s">
        <v>18</v>
      </c>
      <c r="D333" s="11">
        <v>3093</v>
      </c>
      <c r="E333" s="5" t="s">
        <v>37</v>
      </c>
      <c r="F333" s="4" t="s">
        <v>38</v>
      </c>
      <c r="G333" s="5" t="s">
        <v>39</v>
      </c>
      <c r="H333" s="4" t="s">
        <v>34</v>
      </c>
      <c r="I333" s="4" t="s">
        <v>34</v>
      </c>
      <c r="J333" s="6">
        <v>4384.2299999999996</v>
      </c>
      <c r="K333" s="6">
        <v>4384.2299999999996</v>
      </c>
      <c r="L333" s="6"/>
      <c r="M333" s="23">
        <v>1103.22</v>
      </c>
      <c r="N333" s="23">
        <v>1103.22</v>
      </c>
      <c r="O333" s="6"/>
      <c r="P333" s="6">
        <v>1461.77</v>
      </c>
      <c r="Q333" s="6">
        <v>9705190.4900000002</v>
      </c>
      <c r="R333" s="6">
        <v>9696794.9800000004</v>
      </c>
      <c r="S333" s="6"/>
      <c r="T333" s="4"/>
      <c r="U333" s="6"/>
      <c r="V333" s="6"/>
      <c r="W333" s="6"/>
      <c r="X333" s="6"/>
      <c r="Y333" s="5"/>
    </row>
    <row r="334" spans="1:25" ht="28.8" x14ac:dyDescent="0.25">
      <c r="A334" s="4">
        <v>2019</v>
      </c>
      <c r="B334" s="4">
        <v>4</v>
      </c>
      <c r="C334" s="4" t="s">
        <v>18</v>
      </c>
      <c r="D334" s="11">
        <v>9653</v>
      </c>
      <c r="E334" s="5" t="s">
        <v>40</v>
      </c>
      <c r="F334" s="4" t="s">
        <v>41</v>
      </c>
      <c r="G334" s="5" t="s">
        <v>42</v>
      </c>
      <c r="H334" s="4" t="s">
        <v>34</v>
      </c>
      <c r="I334" s="4" t="s">
        <v>34</v>
      </c>
      <c r="J334" s="6">
        <v>50289.919999999998</v>
      </c>
      <c r="K334" s="6">
        <v>50289.919999999998</v>
      </c>
      <c r="L334" s="6"/>
      <c r="M334" s="23">
        <v>12672.84</v>
      </c>
      <c r="N334" s="23">
        <v>12672.84</v>
      </c>
      <c r="O334" s="6"/>
      <c r="P334" s="6">
        <v>16791.509999999998</v>
      </c>
      <c r="Q334" s="6">
        <v>67924434.670000002</v>
      </c>
      <c r="R334" s="6">
        <v>68271133.489999995</v>
      </c>
      <c r="S334" s="6"/>
      <c r="T334" s="4"/>
      <c r="U334" s="6"/>
      <c r="V334" s="6"/>
      <c r="W334" s="6"/>
      <c r="X334" s="6"/>
      <c r="Y334" s="5"/>
    </row>
    <row r="335" spans="1:25" ht="28.8" x14ac:dyDescent="0.25">
      <c r="A335" s="4">
        <v>2019</v>
      </c>
      <c r="B335" s="4">
        <v>5</v>
      </c>
      <c r="C335" s="4" t="s">
        <v>18</v>
      </c>
      <c r="D335" s="11">
        <v>650</v>
      </c>
      <c r="E335" s="5" t="s">
        <v>20</v>
      </c>
      <c r="F335" s="4" t="s">
        <v>21</v>
      </c>
      <c r="G335" s="5" t="s">
        <v>22</v>
      </c>
      <c r="H335" s="4" t="s">
        <v>23</v>
      </c>
      <c r="I335" s="4" t="s">
        <v>23</v>
      </c>
      <c r="J335" s="6">
        <v>50629.45</v>
      </c>
      <c r="K335" s="6">
        <v>38109.050000000003</v>
      </c>
      <c r="L335" s="6">
        <v>12520.4</v>
      </c>
      <c r="M335" s="23">
        <v>6722.72</v>
      </c>
      <c r="N335" s="23">
        <v>4216.8599999999997</v>
      </c>
      <c r="O335" s="23">
        <v>2505.86</v>
      </c>
      <c r="P335" s="6">
        <v>6984.17</v>
      </c>
      <c r="Q335" s="6">
        <v>132944867.06999999</v>
      </c>
      <c r="R335" s="6">
        <v>132675810.62</v>
      </c>
      <c r="S335" s="6">
        <v>5.2999999999999999E-2</v>
      </c>
      <c r="T335" s="4" t="s">
        <v>24</v>
      </c>
      <c r="U335" s="6">
        <v>0.05</v>
      </c>
      <c r="V335" s="6">
        <v>0.1</v>
      </c>
      <c r="W335" s="6"/>
      <c r="X335" s="6">
        <v>3320.26</v>
      </c>
      <c r="Y335" s="5"/>
    </row>
    <row r="336" spans="1:25" ht="28.8" x14ac:dyDescent="0.25">
      <c r="A336" s="4">
        <v>2019</v>
      </c>
      <c r="B336" s="4">
        <v>5</v>
      </c>
      <c r="C336" s="4" t="s">
        <v>18</v>
      </c>
      <c r="D336" s="11">
        <v>44321</v>
      </c>
      <c r="E336" s="5" t="s">
        <v>26</v>
      </c>
      <c r="F336" s="4" t="s">
        <v>27</v>
      </c>
      <c r="G336" s="5" t="s">
        <v>28</v>
      </c>
      <c r="H336" s="4" t="s">
        <v>23</v>
      </c>
      <c r="I336" s="4" t="s">
        <v>23</v>
      </c>
      <c r="J336" s="6">
        <v>244693.41</v>
      </c>
      <c r="K336" s="6">
        <v>62323.11</v>
      </c>
      <c r="L336" s="6">
        <v>182370.3</v>
      </c>
      <c r="M336" s="23">
        <v>49892.37</v>
      </c>
      <c r="N336" s="23">
        <v>12434.27</v>
      </c>
      <c r="O336" s="23">
        <v>37458.1</v>
      </c>
      <c r="P336" s="6">
        <v>20594.259999999998</v>
      </c>
      <c r="Q336" s="6">
        <v>232803409.38</v>
      </c>
      <c r="R336" s="6">
        <v>234321084.02000001</v>
      </c>
      <c r="S336" s="6">
        <v>5.2999999999999999E-2</v>
      </c>
      <c r="T336" s="4" t="s">
        <v>17</v>
      </c>
      <c r="U336" s="6">
        <v>2.75E-2</v>
      </c>
      <c r="V336" s="6">
        <v>0.1</v>
      </c>
      <c r="W336" s="6"/>
      <c r="X336" s="6">
        <v>49631.98</v>
      </c>
      <c r="Y336" s="5"/>
    </row>
    <row r="337" spans="1:25" ht="28.8" x14ac:dyDescent="0.25">
      <c r="A337" s="4">
        <v>2019</v>
      </c>
      <c r="B337" s="4">
        <v>5</v>
      </c>
      <c r="C337" s="4" t="s">
        <v>18</v>
      </c>
      <c r="D337" s="11">
        <v>45792</v>
      </c>
      <c r="E337" s="5" t="s">
        <v>43</v>
      </c>
      <c r="F337" s="4" t="s">
        <v>44</v>
      </c>
      <c r="G337" s="5" t="s">
        <v>45</v>
      </c>
      <c r="H337" s="4" t="s">
        <v>34</v>
      </c>
      <c r="I337" s="4" t="s">
        <v>23</v>
      </c>
      <c r="J337" s="6">
        <v>43297.75</v>
      </c>
      <c r="K337" s="6">
        <v>43297.75</v>
      </c>
      <c r="L337" s="6"/>
      <c r="M337" s="23">
        <v>8332.3700000000008</v>
      </c>
      <c r="N337" s="23">
        <v>8332.3700000000008</v>
      </c>
      <c r="O337" s="6"/>
      <c r="P337" s="6">
        <v>11040.39</v>
      </c>
      <c r="Q337" s="6">
        <v>102126413.23</v>
      </c>
      <c r="R337" s="6">
        <v>102186290.78</v>
      </c>
      <c r="S337" s="6">
        <v>5.2999999999999999E-2</v>
      </c>
      <c r="T337" s="4" t="s">
        <v>17</v>
      </c>
      <c r="U337" s="6">
        <v>2.75E-2</v>
      </c>
      <c r="V337" s="6">
        <v>0.15</v>
      </c>
      <c r="W337" s="6"/>
      <c r="X337" s="6"/>
      <c r="Y337" s="5" t="s">
        <v>260</v>
      </c>
    </row>
    <row r="338" spans="1:25" ht="43.2" x14ac:dyDescent="0.25">
      <c r="A338" s="4">
        <v>2019</v>
      </c>
      <c r="B338" s="4">
        <v>5</v>
      </c>
      <c r="C338" s="4" t="s">
        <v>18</v>
      </c>
      <c r="D338" s="11">
        <v>45817</v>
      </c>
      <c r="E338" s="5" t="s">
        <v>29</v>
      </c>
      <c r="F338" s="4" t="s">
        <v>30</v>
      </c>
      <c r="G338" s="5" t="s">
        <v>31</v>
      </c>
      <c r="H338" s="4" t="s">
        <v>34</v>
      </c>
      <c r="I338" s="4" t="s">
        <v>23</v>
      </c>
      <c r="J338" s="6">
        <v>377037.08</v>
      </c>
      <c r="K338" s="6">
        <v>153003.79999999999</v>
      </c>
      <c r="L338" s="6">
        <v>224033.28</v>
      </c>
      <c r="M338" s="23">
        <v>79189.259999999995</v>
      </c>
      <c r="N338" s="23">
        <v>32416.98</v>
      </c>
      <c r="O338" s="23">
        <v>46772.28</v>
      </c>
      <c r="P338" s="6">
        <v>42952.5</v>
      </c>
      <c r="Q338" s="6">
        <v>288815612.74000001</v>
      </c>
      <c r="R338" s="6">
        <v>294462237.29000002</v>
      </c>
      <c r="S338" s="6">
        <v>5.2999999999999999E-2</v>
      </c>
      <c r="T338" s="4" t="s">
        <v>17</v>
      </c>
      <c r="U338" s="6">
        <v>2.75E-2</v>
      </c>
      <c r="V338" s="6">
        <v>0.1</v>
      </c>
      <c r="W338" s="6"/>
      <c r="X338" s="6">
        <v>61973.27</v>
      </c>
      <c r="Y338" s="5"/>
    </row>
    <row r="339" spans="1:25" ht="28.8" x14ac:dyDescent="0.25">
      <c r="A339" s="4">
        <v>2019</v>
      </c>
      <c r="B339" s="4">
        <v>5</v>
      </c>
      <c r="C339" s="4" t="s">
        <v>18</v>
      </c>
      <c r="D339" s="11">
        <v>49570</v>
      </c>
      <c r="E339" s="5" t="s">
        <v>50</v>
      </c>
      <c r="F339" s="4" t="s">
        <v>51</v>
      </c>
      <c r="G339" s="5" t="s">
        <v>52</v>
      </c>
      <c r="H339" s="4" t="s">
        <v>23</v>
      </c>
      <c r="I339" s="4" t="s">
        <v>23</v>
      </c>
      <c r="J339" s="6">
        <v>517960.12</v>
      </c>
      <c r="K339" s="6">
        <v>265138.03000000003</v>
      </c>
      <c r="L339" s="6">
        <v>252822.09</v>
      </c>
      <c r="M339" s="23">
        <v>105865.25</v>
      </c>
      <c r="N339" s="23">
        <v>54704.44</v>
      </c>
      <c r="O339" s="23">
        <v>51160.81</v>
      </c>
      <c r="P339" s="6">
        <v>90604.23</v>
      </c>
      <c r="Q339" s="6">
        <v>691571146.02999997</v>
      </c>
      <c r="R339" s="6">
        <v>693036365.63</v>
      </c>
      <c r="S339" s="6">
        <v>5.2999999999999999E-2</v>
      </c>
      <c r="T339" s="4" t="s">
        <v>17</v>
      </c>
      <c r="U339" s="6">
        <v>2.75E-2</v>
      </c>
      <c r="V339" s="6">
        <v>0.1</v>
      </c>
      <c r="W339" s="6"/>
      <c r="X339" s="6">
        <v>67788.08</v>
      </c>
      <c r="Y339" s="5" t="s">
        <v>125</v>
      </c>
    </row>
    <row r="340" spans="1:25" ht="28.8" x14ac:dyDescent="0.25">
      <c r="A340" s="4">
        <v>2019</v>
      </c>
      <c r="B340" s="4">
        <v>5</v>
      </c>
      <c r="C340" s="4" t="s">
        <v>18</v>
      </c>
      <c r="D340" s="11">
        <v>50544</v>
      </c>
      <c r="E340" s="5" t="s">
        <v>53</v>
      </c>
      <c r="F340" s="4" t="s">
        <v>54</v>
      </c>
      <c r="G340" s="5" t="s">
        <v>55</v>
      </c>
      <c r="H340" s="4" t="s">
        <v>34</v>
      </c>
      <c r="I340" s="4" t="s">
        <v>23</v>
      </c>
      <c r="J340" s="6">
        <v>66194.86</v>
      </c>
      <c r="K340" s="6">
        <v>29967.34</v>
      </c>
      <c r="L340" s="6">
        <v>36227.519999999997</v>
      </c>
      <c r="M340" s="23">
        <v>14371.01</v>
      </c>
      <c r="N340" s="23">
        <v>6545.28</v>
      </c>
      <c r="O340" s="23">
        <v>7825.73</v>
      </c>
      <c r="P340" s="6">
        <v>8672.5</v>
      </c>
      <c r="Q340" s="6">
        <v>122672692.05</v>
      </c>
      <c r="R340" s="6">
        <v>122507850.89</v>
      </c>
      <c r="S340" s="6">
        <v>5.2999999999999999E-2</v>
      </c>
      <c r="T340" s="4" t="s">
        <v>24</v>
      </c>
      <c r="U340" s="6">
        <v>3.27E-2</v>
      </c>
      <c r="V340" s="6">
        <v>0.05</v>
      </c>
      <c r="W340" s="6"/>
      <c r="X340" s="6">
        <v>10369.09</v>
      </c>
      <c r="Y340" s="5"/>
    </row>
    <row r="341" spans="1:25" ht="28.8" x14ac:dyDescent="0.25">
      <c r="A341" s="4">
        <v>2019</v>
      </c>
      <c r="B341" s="4">
        <v>5</v>
      </c>
      <c r="C341" s="4" t="s">
        <v>18</v>
      </c>
      <c r="D341" s="11">
        <v>650</v>
      </c>
      <c r="E341" s="5" t="s">
        <v>20</v>
      </c>
      <c r="F341" s="4" t="s">
        <v>32</v>
      </c>
      <c r="G341" s="5" t="s">
        <v>33</v>
      </c>
      <c r="H341" s="4" t="s">
        <v>34</v>
      </c>
      <c r="I341" s="4" t="s">
        <v>34</v>
      </c>
      <c r="J341" s="6">
        <v>17786.04</v>
      </c>
      <c r="K341" s="6">
        <v>17786.04</v>
      </c>
      <c r="L341" s="6"/>
      <c r="M341" s="23">
        <v>3347.4</v>
      </c>
      <c r="N341" s="23">
        <v>3347.4</v>
      </c>
      <c r="O341" s="6"/>
      <c r="P341" s="6">
        <v>4435.3</v>
      </c>
      <c r="Q341" s="6">
        <v>66245726.170000002</v>
      </c>
      <c r="R341" s="6">
        <v>66486303.289999999</v>
      </c>
      <c r="S341" s="6"/>
      <c r="T341" s="4"/>
      <c r="U341" s="6"/>
      <c r="V341" s="6"/>
      <c r="W341" s="6"/>
      <c r="X341" s="6"/>
      <c r="Y341" s="5"/>
    </row>
    <row r="342" spans="1:25" ht="28.8" x14ac:dyDescent="0.25">
      <c r="A342" s="4">
        <v>2019</v>
      </c>
      <c r="B342" s="4">
        <v>5</v>
      </c>
      <c r="C342" s="4" t="s">
        <v>18</v>
      </c>
      <c r="D342" s="11">
        <v>650</v>
      </c>
      <c r="E342" s="5" t="s">
        <v>20</v>
      </c>
      <c r="F342" s="4" t="s">
        <v>35</v>
      </c>
      <c r="G342" s="5" t="s">
        <v>36</v>
      </c>
      <c r="H342" s="4" t="s">
        <v>34</v>
      </c>
      <c r="I342" s="4" t="s">
        <v>34</v>
      </c>
      <c r="J342" s="6">
        <v>56689.27</v>
      </c>
      <c r="K342" s="6">
        <v>56689.27</v>
      </c>
      <c r="L342" s="6"/>
      <c r="M342" s="23">
        <v>11748.34</v>
      </c>
      <c r="N342" s="23">
        <v>11748.34</v>
      </c>
      <c r="O342" s="6"/>
      <c r="P342" s="6">
        <v>15566.55</v>
      </c>
      <c r="Q342" s="6">
        <v>91430279.260000005</v>
      </c>
      <c r="R342" s="6">
        <v>91854392.549999997</v>
      </c>
      <c r="S342" s="6"/>
      <c r="T342" s="4"/>
      <c r="U342" s="6"/>
      <c r="V342" s="6"/>
      <c r="W342" s="6"/>
      <c r="X342" s="6"/>
      <c r="Y342" s="5"/>
    </row>
    <row r="343" spans="1:25" ht="28.8" x14ac:dyDescent="0.25">
      <c r="A343" s="4">
        <v>2019</v>
      </c>
      <c r="B343" s="4">
        <v>5</v>
      </c>
      <c r="C343" s="4" t="s">
        <v>18</v>
      </c>
      <c r="D343" s="11">
        <v>3093</v>
      </c>
      <c r="E343" s="5" t="s">
        <v>37</v>
      </c>
      <c r="F343" s="4" t="s">
        <v>38</v>
      </c>
      <c r="G343" s="5" t="s">
        <v>39</v>
      </c>
      <c r="H343" s="4" t="s">
        <v>34</v>
      </c>
      <c r="I343" s="4" t="s">
        <v>34</v>
      </c>
      <c r="J343" s="6">
        <v>5522.94</v>
      </c>
      <c r="K343" s="6">
        <v>5522.94</v>
      </c>
      <c r="L343" s="6"/>
      <c r="M343" s="23">
        <v>1138.71</v>
      </c>
      <c r="N343" s="23">
        <v>1138.71</v>
      </c>
      <c r="O343" s="6"/>
      <c r="P343" s="6">
        <v>1508.79</v>
      </c>
      <c r="Q343" s="6">
        <v>9700757.6500000004</v>
      </c>
      <c r="R343" s="6">
        <v>9549162.3900000006</v>
      </c>
      <c r="S343" s="6"/>
      <c r="T343" s="4"/>
      <c r="U343" s="6"/>
      <c r="V343" s="6"/>
      <c r="W343" s="6"/>
      <c r="X343" s="6"/>
      <c r="Y343" s="5"/>
    </row>
    <row r="344" spans="1:25" ht="28.8" x14ac:dyDescent="0.25">
      <c r="A344" s="4">
        <v>2019</v>
      </c>
      <c r="B344" s="4">
        <v>5</v>
      </c>
      <c r="C344" s="4" t="s">
        <v>18</v>
      </c>
      <c r="D344" s="11">
        <v>9653</v>
      </c>
      <c r="E344" s="5" t="s">
        <v>40</v>
      </c>
      <c r="F344" s="4" t="s">
        <v>41</v>
      </c>
      <c r="G344" s="5" t="s">
        <v>42</v>
      </c>
      <c r="H344" s="4" t="s">
        <v>34</v>
      </c>
      <c r="I344" s="4" t="s">
        <v>34</v>
      </c>
      <c r="J344" s="6">
        <v>63455.28</v>
      </c>
      <c r="K344" s="6">
        <v>63455.28</v>
      </c>
      <c r="L344" s="6"/>
      <c r="M344" s="23">
        <v>13165.36</v>
      </c>
      <c r="N344" s="23">
        <v>13165.36</v>
      </c>
      <c r="O344" s="6"/>
      <c r="P344" s="6">
        <v>17444.099999999999</v>
      </c>
      <c r="Q344" s="6">
        <v>68285985.909999996</v>
      </c>
      <c r="R344" s="6">
        <v>68646285.459999993</v>
      </c>
      <c r="S344" s="6"/>
      <c r="T344" s="4"/>
      <c r="U344" s="6"/>
      <c r="V344" s="6"/>
      <c r="W344" s="6"/>
      <c r="X344" s="6"/>
      <c r="Y344" s="5"/>
    </row>
    <row r="345" spans="1:25" ht="28.8" x14ac:dyDescent="0.25">
      <c r="A345" s="4">
        <v>2019</v>
      </c>
      <c r="B345" s="4">
        <v>6</v>
      </c>
      <c r="C345" s="4" t="s">
        <v>18</v>
      </c>
      <c r="D345" s="11">
        <v>650</v>
      </c>
      <c r="E345" s="5" t="s">
        <v>20</v>
      </c>
      <c r="F345" s="4" t="s">
        <v>21</v>
      </c>
      <c r="G345" s="5" t="s">
        <v>22</v>
      </c>
      <c r="H345" s="4" t="s">
        <v>23</v>
      </c>
      <c r="I345" s="4" t="s">
        <v>23</v>
      </c>
      <c r="J345" s="6">
        <v>55938.47</v>
      </c>
      <c r="K345" s="6">
        <v>40904.129999999997</v>
      </c>
      <c r="L345" s="6">
        <v>15034.34</v>
      </c>
      <c r="M345" s="23">
        <v>5309.02</v>
      </c>
      <c r="N345" s="23">
        <v>2795.08</v>
      </c>
      <c r="O345" s="23">
        <v>2513.94</v>
      </c>
      <c r="P345" s="6">
        <v>4629.3500000000004</v>
      </c>
      <c r="Q345" s="6">
        <v>132582705.33</v>
      </c>
      <c r="R345" s="6">
        <v>133894669.23999999</v>
      </c>
      <c r="S345" s="6">
        <v>5.2999999999999999E-2</v>
      </c>
      <c r="T345" s="4" t="s">
        <v>24</v>
      </c>
      <c r="U345" s="6">
        <v>0.05</v>
      </c>
      <c r="V345" s="6">
        <v>0.1</v>
      </c>
      <c r="W345" s="6"/>
      <c r="X345" s="6">
        <v>3330.97</v>
      </c>
      <c r="Y345" s="5"/>
    </row>
    <row r="346" spans="1:25" ht="28.8" x14ac:dyDescent="0.25">
      <c r="A346" s="4">
        <v>2019</v>
      </c>
      <c r="B346" s="4">
        <v>6</v>
      </c>
      <c r="C346" s="4" t="s">
        <v>18</v>
      </c>
      <c r="D346" s="11">
        <v>44321</v>
      </c>
      <c r="E346" s="5" t="s">
        <v>26</v>
      </c>
      <c r="F346" s="4" t="s">
        <v>27</v>
      </c>
      <c r="G346" s="5" t="s">
        <v>28</v>
      </c>
      <c r="H346" s="4" t="s">
        <v>23</v>
      </c>
      <c r="I346" s="4" t="s">
        <v>23</v>
      </c>
      <c r="J346" s="6">
        <v>295489.33</v>
      </c>
      <c r="K346" s="6">
        <v>74302.48</v>
      </c>
      <c r="L346" s="6">
        <v>221186.85</v>
      </c>
      <c r="M346" s="23">
        <v>50795.92</v>
      </c>
      <c r="N346" s="23">
        <v>11979.37</v>
      </c>
      <c r="O346" s="23">
        <v>38816.550000000003</v>
      </c>
      <c r="P346" s="6">
        <v>19840.830000000002</v>
      </c>
      <c r="Q346" s="6">
        <v>234288888.74000001</v>
      </c>
      <c r="R346" s="6">
        <v>249776305.41</v>
      </c>
      <c r="S346" s="6">
        <v>5.2999999999999999E-2</v>
      </c>
      <c r="T346" s="4" t="s">
        <v>17</v>
      </c>
      <c r="U346" s="6">
        <v>2.75E-2</v>
      </c>
      <c r="V346" s="6">
        <v>0.1</v>
      </c>
      <c r="W346" s="6"/>
      <c r="X346" s="6">
        <v>51431.93</v>
      </c>
      <c r="Y346" s="5"/>
    </row>
    <row r="347" spans="1:25" ht="28.8" x14ac:dyDescent="0.25">
      <c r="A347" s="4">
        <v>2019</v>
      </c>
      <c r="B347" s="4">
        <v>6</v>
      </c>
      <c r="C347" s="4" t="s">
        <v>18</v>
      </c>
      <c r="D347" s="11">
        <v>45792</v>
      </c>
      <c r="E347" s="5" t="s">
        <v>43</v>
      </c>
      <c r="F347" s="4" t="s">
        <v>44</v>
      </c>
      <c r="G347" s="5" t="s">
        <v>45</v>
      </c>
      <c r="H347" s="4" t="s">
        <v>34</v>
      </c>
      <c r="I347" s="4" t="s">
        <v>23</v>
      </c>
      <c r="J347" s="6">
        <v>51524.54</v>
      </c>
      <c r="K347" s="6">
        <v>51524.54</v>
      </c>
      <c r="L347" s="6"/>
      <c r="M347" s="23">
        <v>8226.7800000000007</v>
      </c>
      <c r="N347" s="23">
        <v>8226.7800000000007</v>
      </c>
      <c r="O347" s="6"/>
      <c r="P347" s="6">
        <v>10900.49</v>
      </c>
      <c r="Q347" s="6">
        <v>102156967.69</v>
      </c>
      <c r="R347" s="6">
        <v>102675641.72</v>
      </c>
      <c r="S347" s="6">
        <v>5.2999999999999999E-2</v>
      </c>
      <c r="T347" s="4" t="s">
        <v>17</v>
      </c>
      <c r="U347" s="6">
        <v>2.75E-2</v>
      </c>
      <c r="V347" s="6">
        <v>0.15</v>
      </c>
      <c r="W347" s="6"/>
      <c r="X347" s="6"/>
      <c r="Y347" s="5" t="s">
        <v>260</v>
      </c>
    </row>
    <row r="348" spans="1:25" ht="43.2" x14ac:dyDescent="0.25">
      <c r="A348" s="4">
        <v>2019</v>
      </c>
      <c r="B348" s="4">
        <v>6</v>
      </c>
      <c r="C348" s="4" t="s">
        <v>18</v>
      </c>
      <c r="D348" s="11">
        <v>45817</v>
      </c>
      <c r="E348" s="5" t="s">
        <v>29</v>
      </c>
      <c r="F348" s="4" t="s">
        <v>30</v>
      </c>
      <c r="G348" s="5" t="s">
        <v>31</v>
      </c>
      <c r="H348" s="4" t="s">
        <v>34</v>
      </c>
      <c r="I348" s="4" t="s">
        <v>23</v>
      </c>
      <c r="J348" s="6">
        <v>456107.82</v>
      </c>
      <c r="K348" s="6">
        <v>184293.35</v>
      </c>
      <c r="L348" s="6">
        <v>271814.46999999997</v>
      </c>
      <c r="M348" s="23">
        <v>79070.740000000005</v>
      </c>
      <c r="N348" s="23">
        <v>31289.55</v>
      </c>
      <c r="O348" s="23">
        <v>47781.19</v>
      </c>
      <c r="P348" s="6">
        <v>41458.65</v>
      </c>
      <c r="Q348" s="6">
        <v>294288065.72000003</v>
      </c>
      <c r="R348" s="6">
        <v>301571468.11000001</v>
      </c>
      <c r="S348" s="6">
        <v>5.2999999999999999E-2</v>
      </c>
      <c r="T348" s="4" t="s">
        <v>17</v>
      </c>
      <c r="U348" s="6">
        <v>2.75E-2</v>
      </c>
      <c r="V348" s="6">
        <v>0.1</v>
      </c>
      <c r="W348" s="6"/>
      <c r="X348" s="6">
        <v>63310.080000000002</v>
      </c>
      <c r="Y348" s="5"/>
    </row>
    <row r="349" spans="1:25" ht="28.8" x14ac:dyDescent="0.25">
      <c r="A349" s="4">
        <v>2019</v>
      </c>
      <c r="B349" s="4">
        <v>6</v>
      </c>
      <c r="C349" s="4" t="s">
        <v>18</v>
      </c>
      <c r="D349" s="11">
        <v>49570</v>
      </c>
      <c r="E349" s="5" t="s">
        <v>50</v>
      </c>
      <c r="F349" s="4" t="s">
        <v>51</v>
      </c>
      <c r="G349" s="5" t="s">
        <v>52</v>
      </c>
      <c r="H349" s="4" t="s">
        <v>23</v>
      </c>
      <c r="I349" s="4" t="s">
        <v>23</v>
      </c>
      <c r="J349" s="6">
        <v>618466.30000000005</v>
      </c>
      <c r="K349" s="6">
        <v>314200.32000000001</v>
      </c>
      <c r="L349" s="6">
        <v>304265.98</v>
      </c>
      <c r="M349" s="23">
        <v>100506.17</v>
      </c>
      <c r="N349" s="23">
        <v>49062.29</v>
      </c>
      <c r="O349" s="23">
        <v>51443.88</v>
      </c>
      <c r="P349" s="6">
        <v>81259.42</v>
      </c>
      <c r="Q349" s="6">
        <v>693140262.86000001</v>
      </c>
      <c r="R349" s="6">
        <v>699128275.79999995</v>
      </c>
      <c r="S349" s="6">
        <v>5.2999999999999999E-2</v>
      </c>
      <c r="T349" s="4" t="s">
        <v>17</v>
      </c>
      <c r="U349" s="6">
        <v>2.75E-2</v>
      </c>
      <c r="V349" s="6">
        <v>0.1</v>
      </c>
      <c r="W349" s="6"/>
      <c r="X349" s="6">
        <v>68163.149999999994</v>
      </c>
      <c r="Y349" s="5" t="s">
        <v>125</v>
      </c>
    </row>
    <row r="350" spans="1:25" ht="28.8" x14ac:dyDescent="0.25">
      <c r="A350" s="4">
        <v>2019</v>
      </c>
      <c r="B350" s="4">
        <v>6</v>
      </c>
      <c r="C350" s="4" t="s">
        <v>18</v>
      </c>
      <c r="D350" s="11">
        <v>50544</v>
      </c>
      <c r="E350" s="5" t="s">
        <v>53</v>
      </c>
      <c r="F350" s="4" t="s">
        <v>54</v>
      </c>
      <c r="G350" s="5" t="s">
        <v>55</v>
      </c>
      <c r="H350" s="4" t="s">
        <v>34</v>
      </c>
      <c r="I350" s="4" t="s">
        <v>23</v>
      </c>
      <c r="J350" s="6">
        <v>80463.28</v>
      </c>
      <c r="K350" s="6">
        <v>36274.839999999997</v>
      </c>
      <c r="L350" s="6">
        <v>44188.44</v>
      </c>
      <c r="M350" s="23">
        <v>14268.42</v>
      </c>
      <c r="N350" s="23">
        <v>6307.49</v>
      </c>
      <c r="O350" s="23">
        <v>7960.93</v>
      </c>
      <c r="P350" s="6">
        <v>8357.43</v>
      </c>
      <c r="Q350" s="6">
        <v>122488375.20999999</v>
      </c>
      <c r="R350" s="6">
        <v>126927825.45</v>
      </c>
      <c r="S350" s="6">
        <v>5.2999999999999999E-2</v>
      </c>
      <c r="T350" s="4" t="s">
        <v>24</v>
      </c>
      <c r="U350" s="6">
        <v>3.27E-2</v>
      </c>
      <c r="V350" s="6">
        <v>0.05</v>
      </c>
      <c r="W350" s="6"/>
      <c r="X350" s="6">
        <v>10548.23</v>
      </c>
      <c r="Y350" s="5"/>
    </row>
    <row r="351" spans="1:25" ht="28.8" x14ac:dyDescent="0.25">
      <c r="A351" s="4">
        <v>2019</v>
      </c>
      <c r="B351" s="4">
        <v>6</v>
      </c>
      <c r="C351" s="4" t="s">
        <v>18</v>
      </c>
      <c r="D351" s="11">
        <v>650</v>
      </c>
      <c r="E351" s="5" t="s">
        <v>20</v>
      </c>
      <c r="F351" s="4" t="s">
        <v>35</v>
      </c>
      <c r="G351" s="5" t="s">
        <v>36</v>
      </c>
      <c r="H351" s="4" t="s">
        <v>34</v>
      </c>
      <c r="I351" s="4" t="s">
        <v>34</v>
      </c>
      <c r="J351" s="6">
        <v>68112.23</v>
      </c>
      <c r="K351" s="6">
        <v>68112.23</v>
      </c>
      <c r="L351" s="6"/>
      <c r="M351" s="23">
        <v>11422.96</v>
      </c>
      <c r="N351" s="23">
        <v>11422.96</v>
      </c>
      <c r="O351" s="6"/>
      <c r="P351" s="6">
        <v>15135.42</v>
      </c>
      <c r="Q351" s="6">
        <v>91868521.849999994</v>
      </c>
      <c r="R351" s="6">
        <v>92264360.409999996</v>
      </c>
      <c r="S351" s="6"/>
      <c r="T351" s="4"/>
      <c r="U351" s="6"/>
      <c r="V351" s="6"/>
      <c r="W351" s="6"/>
      <c r="X351" s="6"/>
      <c r="Y351" s="5"/>
    </row>
    <row r="352" spans="1:25" ht="28.8" x14ac:dyDescent="0.25">
      <c r="A352" s="4">
        <v>2019</v>
      </c>
      <c r="B352" s="4">
        <v>6</v>
      </c>
      <c r="C352" s="4" t="s">
        <v>18</v>
      </c>
      <c r="D352" s="11">
        <v>650</v>
      </c>
      <c r="E352" s="5" t="s">
        <v>20</v>
      </c>
      <c r="F352" s="4" t="s">
        <v>32</v>
      </c>
      <c r="G352" s="5" t="s">
        <v>33</v>
      </c>
      <c r="H352" s="4" t="s">
        <v>34</v>
      </c>
      <c r="I352" s="4" t="s">
        <v>34</v>
      </c>
      <c r="J352" s="6">
        <v>20542.580000000002</v>
      </c>
      <c r="K352" s="6">
        <v>20542.580000000002</v>
      </c>
      <c r="L352" s="6"/>
      <c r="M352" s="23">
        <v>2756.54</v>
      </c>
      <c r="N352" s="23">
        <v>2756.54</v>
      </c>
      <c r="O352" s="6"/>
      <c r="P352" s="6">
        <v>3652.42</v>
      </c>
      <c r="Q352" s="6">
        <v>66493064.619999997</v>
      </c>
      <c r="R352" s="6">
        <v>66704529.960000001</v>
      </c>
      <c r="S352" s="6"/>
      <c r="T352" s="4"/>
      <c r="U352" s="6"/>
      <c r="V352" s="6"/>
      <c r="W352" s="6"/>
      <c r="X352" s="6"/>
      <c r="Y352" s="5"/>
    </row>
    <row r="353" spans="1:25" ht="28.8" x14ac:dyDescent="0.25">
      <c r="A353" s="4">
        <v>2019</v>
      </c>
      <c r="B353" s="4">
        <v>6</v>
      </c>
      <c r="C353" s="4" t="s">
        <v>18</v>
      </c>
      <c r="D353" s="11">
        <v>3093</v>
      </c>
      <c r="E353" s="5" t="s">
        <v>37</v>
      </c>
      <c r="F353" s="4" t="s">
        <v>38</v>
      </c>
      <c r="G353" s="5" t="s">
        <v>39</v>
      </c>
      <c r="H353" s="4" t="s">
        <v>34</v>
      </c>
      <c r="I353" s="4" t="s">
        <v>34</v>
      </c>
      <c r="J353" s="6">
        <v>6577.27</v>
      </c>
      <c r="K353" s="6">
        <v>6577.27</v>
      </c>
      <c r="L353" s="6"/>
      <c r="M353" s="23">
        <v>1054.33</v>
      </c>
      <c r="N353" s="23">
        <v>1054.33</v>
      </c>
      <c r="O353" s="6"/>
      <c r="P353" s="6">
        <v>1396.99</v>
      </c>
      <c r="Q353" s="6">
        <v>9545589.2799999993</v>
      </c>
      <c r="R353" s="6">
        <v>9604770.3499999996</v>
      </c>
      <c r="S353" s="6"/>
      <c r="T353" s="4"/>
      <c r="U353" s="6"/>
      <c r="V353" s="6"/>
      <c r="W353" s="6"/>
      <c r="X353" s="6"/>
      <c r="Y353" s="5"/>
    </row>
    <row r="354" spans="1:25" ht="28.8" x14ac:dyDescent="0.25">
      <c r="A354" s="4">
        <v>2019</v>
      </c>
      <c r="B354" s="4">
        <v>6</v>
      </c>
      <c r="C354" s="4" t="s">
        <v>18</v>
      </c>
      <c r="D354" s="11">
        <v>9653</v>
      </c>
      <c r="E354" s="5" t="s">
        <v>40</v>
      </c>
      <c r="F354" s="4" t="s">
        <v>41</v>
      </c>
      <c r="G354" s="5" t="s">
        <v>42</v>
      </c>
      <c r="H354" s="4" t="s">
        <v>34</v>
      </c>
      <c r="I354" s="4" t="s">
        <v>34</v>
      </c>
      <c r="J354" s="6">
        <v>76265.509999999995</v>
      </c>
      <c r="K354" s="6">
        <v>76265.509999999995</v>
      </c>
      <c r="L354" s="6"/>
      <c r="M354" s="23">
        <v>12810.23</v>
      </c>
      <c r="N354" s="23">
        <v>12810.23</v>
      </c>
      <c r="O354" s="6"/>
      <c r="P354" s="6">
        <v>16973.55</v>
      </c>
      <c r="Q354" s="6">
        <v>68660256.340000004</v>
      </c>
      <c r="R354" s="6">
        <v>68988612.150000006</v>
      </c>
      <c r="S354" s="6"/>
      <c r="T354" s="4"/>
      <c r="U354" s="6"/>
      <c r="V354" s="6"/>
      <c r="W354" s="6"/>
      <c r="X354" s="6"/>
      <c r="Y354" s="5"/>
    </row>
    <row r="355" spans="1:25" ht="28.8" x14ac:dyDescent="0.25">
      <c r="A355" s="4">
        <v>2019</v>
      </c>
      <c r="B355" s="4">
        <v>7</v>
      </c>
      <c r="C355" s="4" t="s">
        <v>18</v>
      </c>
      <c r="D355" s="11">
        <v>650</v>
      </c>
      <c r="E355" s="5" t="s">
        <v>20</v>
      </c>
      <c r="F355" s="4" t="s">
        <v>21</v>
      </c>
      <c r="G355" s="5" t="s">
        <v>22</v>
      </c>
      <c r="H355" s="4" t="s">
        <v>23</v>
      </c>
      <c r="I355" s="4" t="s">
        <v>23</v>
      </c>
      <c r="J355" s="6">
        <v>60551.06</v>
      </c>
      <c r="K355" s="6">
        <v>42994.05</v>
      </c>
      <c r="L355" s="6">
        <v>17557.009999999998</v>
      </c>
      <c r="M355" s="23">
        <v>4871.72</v>
      </c>
      <c r="N355" s="23">
        <v>2349.0500000000002</v>
      </c>
      <c r="O355" s="23">
        <v>2522.67</v>
      </c>
      <c r="P355" s="6">
        <v>3890.61</v>
      </c>
      <c r="Q355" s="6">
        <v>133893838.2</v>
      </c>
      <c r="R355" s="6">
        <v>133508810.27</v>
      </c>
      <c r="S355" s="6">
        <v>5.2999999999999999E-2</v>
      </c>
      <c r="T355" s="4" t="s">
        <v>24</v>
      </c>
      <c r="U355" s="6">
        <v>0.05</v>
      </c>
      <c r="V355" s="6">
        <v>0.1</v>
      </c>
      <c r="W355" s="6"/>
      <c r="X355" s="6">
        <v>3342.53</v>
      </c>
      <c r="Y355" s="5"/>
    </row>
    <row r="356" spans="1:25" ht="28.8" x14ac:dyDescent="0.25">
      <c r="A356" s="4">
        <v>2019</v>
      </c>
      <c r="B356" s="4">
        <v>7</v>
      </c>
      <c r="C356" s="4" t="s">
        <v>18</v>
      </c>
      <c r="D356" s="11">
        <v>44321</v>
      </c>
      <c r="E356" s="5" t="s">
        <v>26</v>
      </c>
      <c r="F356" s="4" t="s">
        <v>27</v>
      </c>
      <c r="G356" s="5" t="s">
        <v>28</v>
      </c>
      <c r="H356" s="4" t="s">
        <v>23</v>
      </c>
      <c r="I356" s="4" t="s">
        <v>23</v>
      </c>
      <c r="J356" s="6">
        <v>347148.74</v>
      </c>
      <c r="K356" s="6">
        <v>85613.23</v>
      </c>
      <c r="L356" s="6">
        <v>261535.51</v>
      </c>
      <c r="M356" s="23">
        <v>52463.27</v>
      </c>
      <c r="N356" s="23">
        <v>12114.61</v>
      </c>
      <c r="O356" s="23">
        <v>40348.660000000003</v>
      </c>
      <c r="P356" s="6">
        <v>20064.82</v>
      </c>
      <c r="Q356" s="6">
        <v>249798993.44999999</v>
      </c>
      <c r="R356" s="6">
        <v>253372529.65000001</v>
      </c>
      <c r="S356" s="6">
        <v>5.2999999999999999E-2</v>
      </c>
      <c r="T356" s="4" t="s">
        <v>17</v>
      </c>
      <c r="U356" s="6">
        <v>2.75E-2</v>
      </c>
      <c r="V356" s="6">
        <v>0.1</v>
      </c>
      <c r="W356" s="6"/>
      <c r="X356" s="6">
        <v>53461.97</v>
      </c>
      <c r="Y356" s="5"/>
    </row>
    <row r="357" spans="1:25" ht="28.8" x14ac:dyDescent="0.25">
      <c r="A357" s="4">
        <v>2019</v>
      </c>
      <c r="B357" s="4">
        <v>7</v>
      </c>
      <c r="C357" s="4" t="s">
        <v>18</v>
      </c>
      <c r="D357" s="11">
        <v>45792</v>
      </c>
      <c r="E357" s="5" t="s">
        <v>43</v>
      </c>
      <c r="F357" s="4" t="s">
        <v>44</v>
      </c>
      <c r="G357" s="5" t="s">
        <v>45</v>
      </c>
      <c r="H357" s="4" t="s">
        <v>34</v>
      </c>
      <c r="I357" s="4" t="s">
        <v>23</v>
      </c>
      <c r="J357" s="6">
        <v>56559.15</v>
      </c>
      <c r="K357" s="6">
        <v>56559.15</v>
      </c>
      <c r="L357" s="6"/>
      <c r="M357" s="23">
        <v>5587.08</v>
      </c>
      <c r="N357" s="23">
        <v>5587.08</v>
      </c>
      <c r="O357" s="6"/>
      <c r="P357" s="6">
        <v>7402.88</v>
      </c>
      <c r="Q357" s="6">
        <v>102675899.75</v>
      </c>
      <c r="R357" s="6">
        <v>103497557.78</v>
      </c>
      <c r="S357" s="6">
        <v>5.2999999999999999E-2</v>
      </c>
      <c r="T357" s="4" t="s">
        <v>17</v>
      </c>
      <c r="U357" s="6">
        <v>2.75E-2</v>
      </c>
      <c r="V357" s="6">
        <v>0.15</v>
      </c>
      <c r="W357" s="6"/>
      <c r="X357" s="6"/>
      <c r="Y357" s="5" t="s">
        <v>260</v>
      </c>
    </row>
    <row r="358" spans="1:25" ht="43.2" x14ac:dyDescent="0.25">
      <c r="A358" s="4">
        <v>2019</v>
      </c>
      <c r="B358" s="4">
        <v>7</v>
      </c>
      <c r="C358" s="4" t="s">
        <v>18</v>
      </c>
      <c r="D358" s="11">
        <v>45817</v>
      </c>
      <c r="E358" s="5" t="s">
        <v>29</v>
      </c>
      <c r="F358" s="4" t="s">
        <v>30</v>
      </c>
      <c r="G358" s="5" t="s">
        <v>31</v>
      </c>
      <c r="H358" s="4" t="s">
        <v>34</v>
      </c>
      <c r="I358" s="4" t="s">
        <v>23</v>
      </c>
      <c r="J358" s="6">
        <v>534668.92000000004</v>
      </c>
      <c r="K358" s="6">
        <v>213470.35</v>
      </c>
      <c r="L358" s="6">
        <v>321198.57</v>
      </c>
      <c r="M358" s="23">
        <v>80640.990000000005</v>
      </c>
      <c r="N358" s="23">
        <v>31256.89</v>
      </c>
      <c r="O358" s="23">
        <v>49384.1</v>
      </c>
      <c r="P358" s="6">
        <v>41415.379999999997</v>
      </c>
      <c r="Q358" s="6">
        <v>301633264.17000002</v>
      </c>
      <c r="R358" s="6">
        <v>314215528.81999999</v>
      </c>
      <c r="S358" s="6">
        <v>5.2999999999999999E-2</v>
      </c>
      <c r="T358" s="4" t="s">
        <v>17</v>
      </c>
      <c r="U358" s="6">
        <v>2.75E-2</v>
      </c>
      <c r="V358" s="6">
        <v>0.1</v>
      </c>
      <c r="W358" s="6"/>
      <c r="X358" s="6">
        <v>65433.93</v>
      </c>
      <c r="Y358" s="5"/>
    </row>
    <row r="359" spans="1:25" ht="28.8" x14ac:dyDescent="0.25">
      <c r="A359" s="4">
        <v>2019</v>
      </c>
      <c r="B359" s="4">
        <v>7</v>
      </c>
      <c r="C359" s="4" t="s">
        <v>18</v>
      </c>
      <c r="D359" s="11">
        <v>49570</v>
      </c>
      <c r="E359" s="5" t="s">
        <v>50</v>
      </c>
      <c r="F359" s="4" t="s">
        <v>51</v>
      </c>
      <c r="G359" s="5" t="s">
        <v>52</v>
      </c>
      <c r="H359" s="4" t="s">
        <v>23</v>
      </c>
      <c r="I359" s="4" t="s">
        <v>23</v>
      </c>
      <c r="J359" s="6">
        <v>720120.39</v>
      </c>
      <c r="K359" s="6">
        <v>362925.48</v>
      </c>
      <c r="L359" s="6">
        <v>357194.91</v>
      </c>
      <c r="M359" s="23">
        <v>104922.9</v>
      </c>
      <c r="N359" s="23">
        <v>51993.97</v>
      </c>
      <c r="O359" s="23">
        <v>52928.93</v>
      </c>
      <c r="P359" s="6">
        <v>86115.01</v>
      </c>
      <c r="Q359" s="6">
        <v>699268723.51999998</v>
      </c>
      <c r="R359" s="6">
        <v>733190959.53999996</v>
      </c>
      <c r="S359" s="6">
        <v>5.2999999999999999E-2</v>
      </c>
      <c r="T359" s="4" t="s">
        <v>17</v>
      </c>
      <c r="U359" s="6">
        <v>2.75E-2</v>
      </c>
      <c r="V359" s="6">
        <v>0.1</v>
      </c>
      <c r="W359" s="6"/>
      <c r="X359" s="6">
        <v>70130.84</v>
      </c>
      <c r="Y359" s="5" t="s">
        <v>125</v>
      </c>
    </row>
    <row r="360" spans="1:25" ht="28.8" x14ac:dyDescent="0.25">
      <c r="A360" s="4">
        <v>2019</v>
      </c>
      <c r="B360" s="4">
        <v>7</v>
      </c>
      <c r="C360" s="4" t="s">
        <v>18</v>
      </c>
      <c r="D360" s="11">
        <v>50544</v>
      </c>
      <c r="E360" s="5" t="s">
        <v>53</v>
      </c>
      <c r="F360" s="4" t="s">
        <v>54</v>
      </c>
      <c r="G360" s="5" t="s">
        <v>55</v>
      </c>
      <c r="H360" s="4" t="s">
        <v>34</v>
      </c>
      <c r="I360" s="4" t="s">
        <v>23</v>
      </c>
      <c r="J360" s="6">
        <v>95130.32</v>
      </c>
      <c r="K360" s="6">
        <v>42565.94</v>
      </c>
      <c r="L360" s="6">
        <v>52564.38</v>
      </c>
      <c r="M360" s="23">
        <v>15085.61</v>
      </c>
      <c r="N360" s="23">
        <v>6709.68</v>
      </c>
      <c r="O360" s="23">
        <v>8375.93</v>
      </c>
      <c r="P360" s="6">
        <v>8890.32</v>
      </c>
      <c r="Q360" s="6">
        <v>126927900.93000001</v>
      </c>
      <c r="R360" s="6">
        <v>135490527.88999999</v>
      </c>
      <c r="S360" s="6">
        <v>5.2999999999999999E-2</v>
      </c>
      <c r="T360" s="4" t="s">
        <v>24</v>
      </c>
      <c r="U360" s="6">
        <v>3.27E-2</v>
      </c>
      <c r="V360" s="6">
        <v>0.05</v>
      </c>
      <c r="W360" s="6"/>
      <c r="X360" s="6">
        <v>11098.11</v>
      </c>
      <c r="Y360" s="5"/>
    </row>
    <row r="361" spans="1:25" ht="28.8" x14ac:dyDescent="0.25">
      <c r="A361" s="4">
        <v>2019</v>
      </c>
      <c r="B361" s="4">
        <v>7</v>
      </c>
      <c r="C361" s="4" t="s">
        <v>18</v>
      </c>
      <c r="D361" s="11">
        <v>650</v>
      </c>
      <c r="E361" s="5" t="s">
        <v>20</v>
      </c>
      <c r="F361" s="4" t="s">
        <v>35</v>
      </c>
      <c r="G361" s="5" t="s">
        <v>36</v>
      </c>
      <c r="H361" s="4" t="s">
        <v>34</v>
      </c>
      <c r="I361" s="4" t="s">
        <v>34</v>
      </c>
      <c r="J361" s="6">
        <v>79210.16</v>
      </c>
      <c r="K361" s="6">
        <v>79210.16</v>
      </c>
      <c r="L361" s="6"/>
      <c r="M361" s="23">
        <v>11859.12</v>
      </c>
      <c r="N361" s="23">
        <v>11859.12</v>
      </c>
      <c r="O361" s="6"/>
      <c r="P361" s="6">
        <v>15713.34</v>
      </c>
      <c r="Q361" s="6">
        <v>92291712.390000001</v>
      </c>
      <c r="R361" s="6">
        <v>92719514.5</v>
      </c>
      <c r="S361" s="6"/>
      <c r="T361" s="4"/>
      <c r="U361" s="6"/>
      <c r="V361" s="6"/>
      <c r="W361" s="6"/>
      <c r="X361" s="6"/>
      <c r="Y361" s="5"/>
    </row>
    <row r="362" spans="1:25" ht="28.8" x14ac:dyDescent="0.25">
      <c r="A362" s="4">
        <v>2019</v>
      </c>
      <c r="B362" s="4">
        <v>7</v>
      </c>
      <c r="C362" s="4" t="s">
        <v>18</v>
      </c>
      <c r="D362" s="11">
        <v>650</v>
      </c>
      <c r="E362" s="5" t="s">
        <v>20</v>
      </c>
      <c r="F362" s="4" t="s">
        <v>32</v>
      </c>
      <c r="G362" s="5" t="s">
        <v>33</v>
      </c>
      <c r="H362" s="4" t="s">
        <v>34</v>
      </c>
      <c r="I362" s="4" t="s">
        <v>34</v>
      </c>
      <c r="J362" s="6">
        <v>23225.4</v>
      </c>
      <c r="K362" s="6">
        <v>23225.4</v>
      </c>
      <c r="L362" s="6"/>
      <c r="M362" s="23">
        <v>2866.52</v>
      </c>
      <c r="N362" s="23">
        <v>2866.52</v>
      </c>
      <c r="O362" s="6"/>
      <c r="P362" s="6">
        <v>3798.14</v>
      </c>
      <c r="Q362" s="6">
        <v>66710655.289999999</v>
      </c>
      <c r="R362" s="6">
        <v>65607650.399999999</v>
      </c>
      <c r="S362" s="6"/>
      <c r="T362" s="4"/>
      <c r="U362" s="6"/>
      <c r="V362" s="6"/>
      <c r="W362" s="6"/>
      <c r="X362" s="6"/>
      <c r="Y362" s="5"/>
    </row>
    <row r="363" spans="1:25" ht="28.8" x14ac:dyDescent="0.25">
      <c r="A363" s="4">
        <v>2019</v>
      </c>
      <c r="B363" s="4">
        <v>7</v>
      </c>
      <c r="C363" s="4" t="s">
        <v>18</v>
      </c>
      <c r="D363" s="11">
        <v>3093</v>
      </c>
      <c r="E363" s="5" t="s">
        <v>37</v>
      </c>
      <c r="F363" s="4" t="s">
        <v>38</v>
      </c>
      <c r="G363" s="5" t="s">
        <v>39</v>
      </c>
      <c r="H363" s="4" t="s">
        <v>34</v>
      </c>
      <c r="I363" s="4" t="s">
        <v>34</v>
      </c>
      <c r="J363" s="6">
        <v>7377.59</v>
      </c>
      <c r="K363" s="6">
        <v>7377.59</v>
      </c>
      <c r="L363" s="6"/>
      <c r="M363" s="23">
        <v>874.25</v>
      </c>
      <c r="N363" s="23">
        <v>874.25</v>
      </c>
      <c r="O363" s="6"/>
      <c r="P363" s="6">
        <v>1158.3800000000001</v>
      </c>
      <c r="Q363" s="6">
        <v>9604872.7300000004</v>
      </c>
      <c r="R363" s="6">
        <v>9642646.5399999991</v>
      </c>
      <c r="S363" s="6"/>
      <c r="T363" s="4"/>
      <c r="U363" s="6"/>
      <c r="V363" s="6"/>
      <c r="W363" s="6"/>
      <c r="X363" s="6"/>
      <c r="Y363" s="5"/>
    </row>
    <row r="364" spans="1:25" ht="28.8" x14ac:dyDescent="0.25">
      <c r="A364" s="4">
        <v>2019</v>
      </c>
      <c r="B364" s="4">
        <v>7</v>
      </c>
      <c r="C364" s="4" t="s">
        <v>18</v>
      </c>
      <c r="D364" s="11">
        <v>9653</v>
      </c>
      <c r="E364" s="5" t="s">
        <v>40</v>
      </c>
      <c r="F364" s="4" t="s">
        <v>41</v>
      </c>
      <c r="G364" s="5" t="s">
        <v>42</v>
      </c>
      <c r="H364" s="4" t="s">
        <v>34</v>
      </c>
      <c r="I364" s="4" t="s">
        <v>34</v>
      </c>
      <c r="J364" s="6">
        <v>88717.77</v>
      </c>
      <c r="K364" s="6">
        <v>88717.77</v>
      </c>
      <c r="L364" s="6"/>
      <c r="M364" s="23">
        <v>13306.06</v>
      </c>
      <c r="N364" s="23">
        <v>13306.06</v>
      </c>
      <c r="O364" s="6"/>
      <c r="P364" s="6">
        <v>17630.53</v>
      </c>
      <c r="Q364" s="6">
        <v>69015744.319999993</v>
      </c>
      <c r="R364" s="6">
        <v>69367116.370000005</v>
      </c>
      <c r="S364" s="6"/>
      <c r="T364" s="4"/>
      <c r="U364" s="6"/>
      <c r="V364" s="6"/>
      <c r="W364" s="6"/>
      <c r="X364" s="6"/>
      <c r="Y364" s="5"/>
    </row>
    <row r="365" spans="1:25" ht="28.8" x14ac:dyDescent="0.25">
      <c r="A365" s="4">
        <v>2019</v>
      </c>
      <c r="B365" s="4">
        <v>8</v>
      </c>
      <c r="C365" s="4" t="s">
        <v>18</v>
      </c>
      <c r="D365" s="11">
        <v>650</v>
      </c>
      <c r="E365" s="5" t="s">
        <v>20</v>
      </c>
      <c r="F365" s="4" t="s">
        <v>21</v>
      </c>
      <c r="G365" s="5" t="s">
        <v>22</v>
      </c>
      <c r="H365" s="4" t="s">
        <v>23</v>
      </c>
      <c r="I365" s="4" t="s">
        <v>23</v>
      </c>
      <c r="J365" s="6">
        <v>66245</v>
      </c>
      <c r="K365" s="6">
        <v>46157.39</v>
      </c>
      <c r="L365" s="6">
        <v>20087.61</v>
      </c>
      <c r="M365" s="23">
        <v>5434.82</v>
      </c>
      <c r="N365" s="23">
        <v>2904.21</v>
      </c>
      <c r="O365" s="23">
        <v>2530.61</v>
      </c>
      <c r="P365" s="6">
        <v>4810.1000000000004</v>
      </c>
      <c r="Q365" s="6">
        <v>133457955.25</v>
      </c>
      <c r="R365" s="6">
        <v>134786257.27000001</v>
      </c>
      <c r="S365" s="6">
        <v>5.2999999999999999E-2</v>
      </c>
      <c r="T365" s="4" t="s">
        <v>24</v>
      </c>
      <c r="U365" s="6">
        <v>0.05</v>
      </c>
      <c r="V365" s="6">
        <v>0.1</v>
      </c>
      <c r="W365" s="6"/>
      <c r="X365" s="6">
        <v>3353.05</v>
      </c>
      <c r="Y365" s="5"/>
    </row>
    <row r="366" spans="1:25" ht="28.8" x14ac:dyDescent="0.25">
      <c r="A366" s="4">
        <v>2019</v>
      </c>
      <c r="B366" s="4">
        <v>8</v>
      </c>
      <c r="C366" s="4" t="s">
        <v>18</v>
      </c>
      <c r="D366" s="11">
        <v>44321</v>
      </c>
      <c r="E366" s="5" t="s">
        <v>26</v>
      </c>
      <c r="F366" s="4" t="s">
        <v>27</v>
      </c>
      <c r="G366" s="5" t="s">
        <v>28</v>
      </c>
      <c r="H366" s="4" t="s">
        <v>23</v>
      </c>
      <c r="I366" s="4" t="s">
        <v>23</v>
      </c>
      <c r="J366" s="6">
        <v>400701.26</v>
      </c>
      <c r="K366" s="6">
        <v>98434.4</v>
      </c>
      <c r="L366" s="6">
        <v>302266.86</v>
      </c>
      <c r="M366" s="23">
        <v>52748.67</v>
      </c>
      <c r="N366" s="23">
        <v>12017.32</v>
      </c>
      <c r="O366" s="23">
        <v>40731.35</v>
      </c>
      <c r="P366" s="6">
        <v>19903.68</v>
      </c>
      <c r="Q366" s="6">
        <v>253482498.38</v>
      </c>
      <c r="R366" s="6">
        <v>254461354.97999999</v>
      </c>
      <c r="S366" s="6">
        <v>5.2999999999999999E-2</v>
      </c>
      <c r="T366" s="4" t="s">
        <v>17</v>
      </c>
      <c r="U366" s="6">
        <v>2.75E-2</v>
      </c>
      <c r="V366" s="6">
        <v>0.1</v>
      </c>
      <c r="W366" s="6"/>
      <c r="X366" s="6">
        <v>53969.03</v>
      </c>
      <c r="Y366" s="5"/>
    </row>
    <row r="367" spans="1:25" ht="28.8" x14ac:dyDescent="0.25">
      <c r="A367" s="4">
        <v>2019</v>
      </c>
      <c r="B367" s="4">
        <v>8</v>
      </c>
      <c r="C367" s="4" t="s">
        <v>18</v>
      </c>
      <c r="D367" s="11">
        <v>45792</v>
      </c>
      <c r="E367" s="5" t="s">
        <v>43</v>
      </c>
      <c r="F367" s="4" t="s">
        <v>44</v>
      </c>
      <c r="G367" s="5" t="s">
        <v>45</v>
      </c>
      <c r="H367" s="4" t="s">
        <v>34</v>
      </c>
      <c r="I367" s="4" t="s">
        <v>23</v>
      </c>
      <c r="J367" s="6">
        <v>62619.92</v>
      </c>
      <c r="K367" s="6">
        <v>62619.92</v>
      </c>
      <c r="L367" s="6"/>
      <c r="M367" s="23">
        <v>5508.31</v>
      </c>
      <c r="N367" s="23">
        <v>5508.31</v>
      </c>
      <c r="O367" s="6"/>
      <c r="P367" s="6">
        <v>7298.51</v>
      </c>
      <c r="Q367" s="6">
        <v>103556255.02</v>
      </c>
      <c r="R367" s="6">
        <v>104229483.38</v>
      </c>
      <c r="S367" s="6">
        <v>5.2999999999999999E-2</v>
      </c>
      <c r="T367" s="4" t="s">
        <v>17</v>
      </c>
      <c r="U367" s="6">
        <v>2.75E-2</v>
      </c>
      <c r="V367" s="6">
        <v>0.15</v>
      </c>
      <c r="W367" s="6"/>
      <c r="X367" s="6"/>
      <c r="Y367" s="5" t="s">
        <v>260</v>
      </c>
    </row>
    <row r="368" spans="1:25" ht="43.2" x14ac:dyDescent="0.25">
      <c r="A368" s="4">
        <v>2019</v>
      </c>
      <c r="B368" s="4">
        <v>8</v>
      </c>
      <c r="C368" s="4" t="s">
        <v>18</v>
      </c>
      <c r="D368" s="11">
        <v>45817</v>
      </c>
      <c r="E368" s="5" t="s">
        <v>29</v>
      </c>
      <c r="F368" s="4" t="s">
        <v>30</v>
      </c>
      <c r="G368" s="5" t="s">
        <v>31</v>
      </c>
      <c r="H368" s="4" t="s">
        <v>34</v>
      </c>
      <c r="I368" s="4" t="s">
        <v>23</v>
      </c>
      <c r="J368" s="6">
        <v>618605.38</v>
      </c>
      <c r="K368" s="6">
        <v>246360.93</v>
      </c>
      <c r="L368" s="6">
        <v>372244.45</v>
      </c>
      <c r="M368" s="23">
        <v>81856.570000000007</v>
      </c>
      <c r="N368" s="23">
        <v>30810.69</v>
      </c>
      <c r="O368" s="23">
        <v>51045.88</v>
      </c>
      <c r="P368" s="6">
        <v>40824.160000000003</v>
      </c>
      <c r="Q368" s="6">
        <v>314235918.75</v>
      </c>
      <c r="R368" s="6">
        <v>322336281.33999997</v>
      </c>
      <c r="S368" s="6">
        <v>5.2999999999999999E-2</v>
      </c>
      <c r="T368" s="4" t="s">
        <v>17</v>
      </c>
      <c r="U368" s="6">
        <v>2.75E-2</v>
      </c>
      <c r="V368" s="6">
        <v>0.1</v>
      </c>
      <c r="W368" s="6"/>
      <c r="X368" s="6">
        <v>67635.8</v>
      </c>
      <c r="Y368" s="5"/>
    </row>
    <row r="369" spans="1:25" ht="28.8" x14ac:dyDescent="0.25">
      <c r="A369" s="4">
        <v>2019</v>
      </c>
      <c r="B369" s="4">
        <v>8</v>
      </c>
      <c r="C369" s="4" t="s">
        <v>18</v>
      </c>
      <c r="D369" s="11">
        <v>49570</v>
      </c>
      <c r="E369" s="5" t="s">
        <v>50</v>
      </c>
      <c r="F369" s="4" t="s">
        <v>51</v>
      </c>
      <c r="G369" s="5" t="s">
        <v>52</v>
      </c>
      <c r="H369" s="4" t="s">
        <v>23</v>
      </c>
      <c r="I369" s="4" t="s">
        <v>23</v>
      </c>
      <c r="J369" s="6">
        <v>832030.29</v>
      </c>
      <c r="K369" s="6">
        <v>420458.29</v>
      </c>
      <c r="L369" s="6">
        <v>411572</v>
      </c>
      <c r="M369" s="23">
        <v>108641.1</v>
      </c>
      <c r="N369" s="23">
        <v>54264.01</v>
      </c>
      <c r="O369" s="23">
        <v>54377.09</v>
      </c>
      <c r="P369" s="6">
        <v>89874.76</v>
      </c>
      <c r="Q369" s="6">
        <v>732903797.55999994</v>
      </c>
      <c r="R369" s="6">
        <v>738748429.13</v>
      </c>
      <c r="S369" s="6">
        <v>5.2999999999999999E-2</v>
      </c>
      <c r="T369" s="4" t="s">
        <v>17</v>
      </c>
      <c r="U369" s="6">
        <v>2.75E-2</v>
      </c>
      <c r="V369" s="6">
        <v>0.1</v>
      </c>
      <c r="W369" s="6"/>
      <c r="X369" s="6">
        <v>72049.64</v>
      </c>
      <c r="Y369" s="5" t="s">
        <v>125</v>
      </c>
    </row>
    <row r="370" spans="1:25" ht="28.8" x14ac:dyDescent="0.25">
      <c r="A370" s="4">
        <v>2019</v>
      </c>
      <c r="B370" s="4">
        <v>8</v>
      </c>
      <c r="C370" s="4" t="s">
        <v>18</v>
      </c>
      <c r="D370" s="11">
        <v>50544</v>
      </c>
      <c r="E370" s="5" t="s">
        <v>53</v>
      </c>
      <c r="F370" s="4" t="s">
        <v>54</v>
      </c>
      <c r="G370" s="5" t="s">
        <v>55</v>
      </c>
      <c r="H370" s="4" t="s">
        <v>34</v>
      </c>
      <c r="I370" s="4" t="s">
        <v>23</v>
      </c>
      <c r="J370" s="6">
        <v>112733.4</v>
      </c>
      <c r="K370" s="6">
        <v>51482.66</v>
      </c>
      <c r="L370" s="6">
        <v>61250.74</v>
      </c>
      <c r="M370" s="23">
        <v>17184.52</v>
      </c>
      <c r="N370" s="23">
        <v>8498.15</v>
      </c>
      <c r="O370" s="23">
        <v>8686.3700000000008</v>
      </c>
      <c r="P370" s="6">
        <v>11260.05</v>
      </c>
      <c r="Q370" s="6">
        <v>135561283.75999999</v>
      </c>
      <c r="R370" s="6">
        <v>136582981.5</v>
      </c>
      <c r="S370" s="6">
        <v>5.2999999999999999E-2</v>
      </c>
      <c r="T370" s="4" t="s">
        <v>24</v>
      </c>
      <c r="U370" s="6">
        <v>3.27E-2</v>
      </c>
      <c r="V370" s="6">
        <v>0.05</v>
      </c>
      <c r="W370" s="6"/>
      <c r="X370" s="6">
        <v>11509.43</v>
      </c>
      <c r="Y370" s="5"/>
    </row>
    <row r="371" spans="1:25" ht="28.8" x14ac:dyDescent="0.25">
      <c r="A371" s="4">
        <v>2019</v>
      </c>
      <c r="B371" s="4">
        <v>8</v>
      </c>
      <c r="C371" s="4" t="s">
        <v>18</v>
      </c>
      <c r="D371" s="11">
        <v>650</v>
      </c>
      <c r="E371" s="5" t="s">
        <v>20</v>
      </c>
      <c r="F371" s="4" t="s">
        <v>35</v>
      </c>
      <c r="G371" s="5" t="s">
        <v>36</v>
      </c>
      <c r="H371" s="4" t="s">
        <v>34</v>
      </c>
      <c r="I371" s="4" t="s">
        <v>34</v>
      </c>
      <c r="J371" s="6">
        <v>91886.91</v>
      </c>
      <c r="K371" s="6">
        <v>91886.91</v>
      </c>
      <c r="L371" s="6"/>
      <c r="M371" s="23">
        <v>11915.56</v>
      </c>
      <c r="N371" s="23">
        <v>11915.56</v>
      </c>
      <c r="O371" s="6"/>
      <c r="P371" s="6">
        <v>15788.12</v>
      </c>
      <c r="Q371" s="6">
        <v>92733711.299999997</v>
      </c>
      <c r="R371" s="6">
        <v>93159226.060000002</v>
      </c>
      <c r="S371" s="6"/>
      <c r="T371" s="4"/>
      <c r="U371" s="6"/>
      <c r="V371" s="6"/>
      <c r="W371" s="6"/>
      <c r="X371" s="6"/>
      <c r="Y371" s="5"/>
    </row>
    <row r="372" spans="1:25" ht="28.8" x14ac:dyDescent="0.25">
      <c r="A372" s="4">
        <v>2019</v>
      </c>
      <c r="B372" s="4">
        <v>8</v>
      </c>
      <c r="C372" s="4" t="s">
        <v>18</v>
      </c>
      <c r="D372" s="11">
        <v>650</v>
      </c>
      <c r="E372" s="5" t="s">
        <v>20</v>
      </c>
      <c r="F372" s="4" t="s">
        <v>32</v>
      </c>
      <c r="G372" s="5" t="s">
        <v>33</v>
      </c>
      <c r="H372" s="4" t="s">
        <v>34</v>
      </c>
      <c r="I372" s="4" t="s">
        <v>34</v>
      </c>
      <c r="J372" s="6">
        <v>26282.55</v>
      </c>
      <c r="K372" s="6">
        <v>26282.55</v>
      </c>
      <c r="L372" s="6"/>
      <c r="M372" s="23">
        <v>2873.45</v>
      </c>
      <c r="N372" s="23">
        <v>2873.45</v>
      </c>
      <c r="O372" s="6"/>
      <c r="P372" s="6">
        <v>3807.32</v>
      </c>
      <c r="Q372" s="6">
        <v>65614303.590000004</v>
      </c>
      <c r="R372" s="6">
        <v>65824619.340000004</v>
      </c>
      <c r="S372" s="6"/>
      <c r="T372" s="4"/>
      <c r="U372" s="6"/>
      <c r="V372" s="6"/>
      <c r="W372" s="6"/>
      <c r="X372" s="6"/>
      <c r="Y372" s="5"/>
    </row>
    <row r="373" spans="1:25" ht="28.8" x14ac:dyDescent="0.25">
      <c r="A373" s="4">
        <v>2019</v>
      </c>
      <c r="B373" s="4">
        <v>8</v>
      </c>
      <c r="C373" s="4" t="s">
        <v>18</v>
      </c>
      <c r="D373" s="11">
        <v>3093</v>
      </c>
      <c r="E373" s="5" t="s">
        <v>37</v>
      </c>
      <c r="F373" s="4" t="s">
        <v>38</v>
      </c>
      <c r="G373" s="5" t="s">
        <v>39</v>
      </c>
      <c r="H373" s="4" t="s">
        <v>34</v>
      </c>
      <c r="I373" s="4" t="s">
        <v>34</v>
      </c>
      <c r="J373" s="6">
        <v>8329.84</v>
      </c>
      <c r="K373" s="6">
        <v>8329.84</v>
      </c>
      <c r="L373" s="6"/>
      <c r="M373" s="23">
        <v>878.32</v>
      </c>
      <c r="N373" s="23">
        <v>878.32</v>
      </c>
      <c r="O373" s="6"/>
      <c r="P373" s="6">
        <v>1163.78</v>
      </c>
      <c r="Q373" s="6">
        <v>9650032.1199999992</v>
      </c>
      <c r="R373" s="6">
        <v>9675295.4499999993</v>
      </c>
      <c r="S373" s="6"/>
      <c r="T373" s="4"/>
      <c r="U373" s="6"/>
      <c r="V373" s="6"/>
      <c r="W373" s="6"/>
      <c r="X373" s="6"/>
      <c r="Y373" s="5"/>
    </row>
    <row r="374" spans="1:25" ht="28.8" x14ac:dyDescent="0.25">
      <c r="A374" s="4">
        <v>2019</v>
      </c>
      <c r="B374" s="4">
        <v>8</v>
      </c>
      <c r="C374" s="4" t="s">
        <v>18</v>
      </c>
      <c r="D374" s="11">
        <v>9653</v>
      </c>
      <c r="E374" s="5" t="s">
        <v>40</v>
      </c>
      <c r="F374" s="4" t="s">
        <v>41</v>
      </c>
      <c r="G374" s="5" t="s">
        <v>42</v>
      </c>
      <c r="H374" s="4" t="s">
        <v>34</v>
      </c>
      <c r="I374" s="4" t="s">
        <v>34</v>
      </c>
      <c r="J374" s="6">
        <v>102943.92</v>
      </c>
      <c r="K374" s="6">
        <v>102943.92</v>
      </c>
      <c r="L374" s="6"/>
      <c r="M374" s="23">
        <v>13372.35</v>
      </c>
      <c r="N374" s="23">
        <v>13372.35</v>
      </c>
      <c r="O374" s="6"/>
      <c r="P374" s="6">
        <v>17718.37</v>
      </c>
      <c r="Q374" s="6">
        <v>69381169.640000001</v>
      </c>
      <c r="R374" s="6">
        <v>69718217.620000005</v>
      </c>
      <c r="S374" s="6"/>
      <c r="T374" s="4"/>
      <c r="U374" s="6"/>
      <c r="V374" s="6"/>
      <c r="W374" s="6"/>
      <c r="X374" s="6"/>
      <c r="Y374" s="5"/>
    </row>
    <row r="375" spans="1:25" ht="28.8" x14ac:dyDescent="0.25">
      <c r="A375" s="4">
        <v>2019</v>
      </c>
      <c r="B375" s="4">
        <v>9</v>
      </c>
      <c r="C375" s="4" t="s">
        <v>18</v>
      </c>
      <c r="D375" s="11">
        <v>650</v>
      </c>
      <c r="E375" s="5" t="s">
        <v>20</v>
      </c>
      <c r="F375" s="4" t="s">
        <v>21</v>
      </c>
      <c r="G375" s="5" t="s">
        <v>22</v>
      </c>
      <c r="H375" s="4" t="s">
        <v>23</v>
      </c>
      <c r="I375" s="4" t="s">
        <v>23</v>
      </c>
      <c r="J375" s="6">
        <v>71898.960000000006</v>
      </c>
      <c r="K375" s="6">
        <v>49259.58</v>
      </c>
      <c r="L375" s="6">
        <v>22639.38</v>
      </c>
      <c r="M375" s="23">
        <v>5653.95</v>
      </c>
      <c r="N375" s="23">
        <v>3102.19</v>
      </c>
      <c r="O375" s="23">
        <v>2551.7600000000002</v>
      </c>
      <c r="P375" s="6">
        <v>5138.01</v>
      </c>
      <c r="Q375" s="6">
        <v>134786020.34</v>
      </c>
      <c r="R375" s="6">
        <v>135700659.80000001</v>
      </c>
      <c r="S375" s="6">
        <v>5.2999999999999999E-2</v>
      </c>
      <c r="T375" s="4" t="s">
        <v>24</v>
      </c>
      <c r="U375" s="6">
        <v>0.05</v>
      </c>
      <c r="V375" s="6">
        <v>0.1</v>
      </c>
      <c r="W375" s="6"/>
      <c r="X375" s="6">
        <v>3381.08</v>
      </c>
      <c r="Y375" s="5"/>
    </row>
    <row r="376" spans="1:25" ht="28.8" x14ac:dyDescent="0.25">
      <c r="A376" s="4">
        <v>2019</v>
      </c>
      <c r="B376" s="4">
        <v>9</v>
      </c>
      <c r="C376" s="4" t="s">
        <v>18</v>
      </c>
      <c r="D376" s="11">
        <v>44321</v>
      </c>
      <c r="E376" s="5" t="s">
        <v>26</v>
      </c>
      <c r="F376" s="4" t="s">
        <v>27</v>
      </c>
      <c r="G376" s="5" t="s">
        <v>28</v>
      </c>
      <c r="H376" s="4" t="s">
        <v>23</v>
      </c>
      <c r="I376" s="4" t="s">
        <v>23</v>
      </c>
      <c r="J376" s="6">
        <v>452489.62</v>
      </c>
      <c r="K376" s="6">
        <v>109415.2</v>
      </c>
      <c r="L376" s="6">
        <v>343074.42</v>
      </c>
      <c r="M376" s="23">
        <v>51788.35</v>
      </c>
      <c r="N376" s="23">
        <v>10980.79</v>
      </c>
      <c r="O376" s="23">
        <v>40807.56</v>
      </c>
      <c r="P376" s="6">
        <v>18186.939999999999</v>
      </c>
      <c r="Q376" s="6">
        <v>254472783.28999999</v>
      </c>
      <c r="R376" s="6">
        <v>254421498.08000001</v>
      </c>
      <c r="S376" s="6">
        <v>5.2999999999999999E-2</v>
      </c>
      <c r="T376" s="4" t="s">
        <v>17</v>
      </c>
      <c r="U376" s="6">
        <v>2.75E-2</v>
      </c>
      <c r="V376" s="6">
        <v>0.1</v>
      </c>
      <c r="W376" s="6"/>
      <c r="X376" s="6">
        <v>54070.02</v>
      </c>
      <c r="Y376" s="5"/>
    </row>
    <row r="377" spans="1:25" ht="28.8" x14ac:dyDescent="0.25">
      <c r="A377" s="4">
        <v>2019</v>
      </c>
      <c r="B377" s="4">
        <v>9</v>
      </c>
      <c r="C377" s="4" t="s">
        <v>18</v>
      </c>
      <c r="D377" s="11">
        <v>45792</v>
      </c>
      <c r="E377" s="5" t="s">
        <v>43</v>
      </c>
      <c r="F377" s="4" t="s">
        <v>44</v>
      </c>
      <c r="G377" s="5" t="s">
        <v>45</v>
      </c>
      <c r="H377" s="4" t="s">
        <v>34</v>
      </c>
      <c r="I377" s="4" t="s">
        <v>23</v>
      </c>
      <c r="J377" s="6">
        <v>68299.06</v>
      </c>
      <c r="K377" s="6">
        <v>68299.06</v>
      </c>
      <c r="L377" s="6"/>
      <c r="M377" s="23">
        <v>5679.13</v>
      </c>
      <c r="N377" s="23">
        <v>5679.13</v>
      </c>
      <c r="O377" s="6"/>
      <c r="P377" s="6">
        <v>7524.85</v>
      </c>
      <c r="Q377" s="6">
        <v>104229757.70999999</v>
      </c>
      <c r="R377" s="6">
        <v>115042600.65000001</v>
      </c>
      <c r="S377" s="6">
        <v>5.2999999999999999E-2</v>
      </c>
      <c r="T377" s="4" t="s">
        <v>17</v>
      </c>
      <c r="U377" s="6">
        <v>2.75E-2</v>
      </c>
      <c r="V377" s="6">
        <v>0.15</v>
      </c>
      <c r="W377" s="6"/>
      <c r="X377" s="6"/>
      <c r="Y377" s="5" t="s">
        <v>260</v>
      </c>
    </row>
    <row r="378" spans="1:25" ht="43.2" x14ac:dyDescent="0.25">
      <c r="A378" s="4">
        <v>2019</v>
      </c>
      <c r="B378" s="4">
        <v>9</v>
      </c>
      <c r="C378" s="4" t="s">
        <v>18</v>
      </c>
      <c r="D378" s="11">
        <v>45817</v>
      </c>
      <c r="E378" s="5" t="s">
        <v>29</v>
      </c>
      <c r="F378" s="4" t="s">
        <v>30</v>
      </c>
      <c r="G378" s="5" t="s">
        <v>31</v>
      </c>
      <c r="H378" s="4" t="s">
        <v>34</v>
      </c>
      <c r="I378" s="4" t="s">
        <v>23</v>
      </c>
      <c r="J378" s="6">
        <v>700828.17</v>
      </c>
      <c r="K378" s="6">
        <v>276287.34999999998</v>
      </c>
      <c r="L378" s="6">
        <v>424540.82</v>
      </c>
      <c r="M378" s="23">
        <v>82222.789999999994</v>
      </c>
      <c r="N378" s="23">
        <v>29926.42</v>
      </c>
      <c r="O378" s="23">
        <v>52296.37</v>
      </c>
      <c r="P378" s="6">
        <v>39652.51</v>
      </c>
      <c r="Q378" s="6">
        <v>322368613.60000002</v>
      </c>
      <c r="R378" s="6">
        <v>329797858.86000001</v>
      </c>
      <c r="S378" s="6">
        <v>5.2999999999999999E-2</v>
      </c>
      <c r="T378" s="4" t="s">
        <v>17</v>
      </c>
      <c r="U378" s="6">
        <v>2.75E-2</v>
      </c>
      <c r="V378" s="6">
        <v>0.1</v>
      </c>
      <c r="W378" s="6"/>
      <c r="X378" s="6">
        <v>69292.69</v>
      </c>
      <c r="Y378" s="5"/>
    </row>
    <row r="379" spans="1:25" ht="28.8" x14ac:dyDescent="0.25">
      <c r="A379" s="4">
        <v>2019</v>
      </c>
      <c r="B379" s="4">
        <v>9</v>
      </c>
      <c r="C379" s="4" t="s">
        <v>18</v>
      </c>
      <c r="D379" s="11">
        <v>49570</v>
      </c>
      <c r="E379" s="5" t="s">
        <v>50</v>
      </c>
      <c r="F379" s="4" t="s">
        <v>51</v>
      </c>
      <c r="G379" s="5" t="s">
        <v>52</v>
      </c>
      <c r="H379" s="4" t="s">
        <v>23</v>
      </c>
      <c r="I379" s="4" t="s">
        <v>23</v>
      </c>
      <c r="J379" s="6">
        <v>939673.43</v>
      </c>
      <c r="K379" s="6">
        <v>473437.11</v>
      </c>
      <c r="L379" s="6">
        <v>466236.32</v>
      </c>
      <c r="M379" s="23">
        <v>107643.14</v>
      </c>
      <c r="N379" s="23">
        <v>52978.82</v>
      </c>
      <c r="O379" s="23">
        <v>54664.32</v>
      </c>
      <c r="P379" s="6">
        <v>87746.17</v>
      </c>
      <c r="Q379" s="6">
        <v>738815178.49000001</v>
      </c>
      <c r="R379" s="6">
        <v>740610744.75</v>
      </c>
      <c r="S379" s="6">
        <v>5.2999999999999999E-2</v>
      </c>
      <c r="T379" s="4" t="s">
        <v>17</v>
      </c>
      <c r="U379" s="6">
        <v>2.75E-2</v>
      </c>
      <c r="V379" s="6">
        <v>0.1</v>
      </c>
      <c r="W379" s="6"/>
      <c r="X379" s="6">
        <v>72430.23</v>
      </c>
      <c r="Y379" s="5" t="s">
        <v>125</v>
      </c>
    </row>
    <row r="380" spans="1:25" ht="28.8" x14ac:dyDescent="0.25">
      <c r="A380" s="4">
        <v>2019</v>
      </c>
      <c r="B380" s="4">
        <v>9</v>
      </c>
      <c r="C380" s="4" t="s">
        <v>18</v>
      </c>
      <c r="D380" s="11">
        <v>50544</v>
      </c>
      <c r="E380" s="5" t="s">
        <v>53</v>
      </c>
      <c r="F380" s="4" t="s">
        <v>54</v>
      </c>
      <c r="G380" s="5" t="s">
        <v>55</v>
      </c>
      <c r="H380" s="4" t="s">
        <v>34</v>
      </c>
      <c r="I380" s="4" t="s">
        <v>23</v>
      </c>
      <c r="J380" s="6">
        <v>131202.13</v>
      </c>
      <c r="K380" s="6">
        <v>61075.58</v>
      </c>
      <c r="L380" s="6">
        <v>70126.55</v>
      </c>
      <c r="M380" s="23">
        <v>18468.72</v>
      </c>
      <c r="N380" s="23">
        <v>9592.91</v>
      </c>
      <c r="O380" s="23">
        <v>8875.81</v>
      </c>
      <c r="P380" s="6">
        <v>12710.61</v>
      </c>
      <c r="Q380" s="6">
        <v>136582975.86000001</v>
      </c>
      <c r="R380" s="6">
        <v>141496482.43000001</v>
      </c>
      <c r="S380" s="6">
        <v>5.2999999999999999E-2</v>
      </c>
      <c r="T380" s="4" t="s">
        <v>24</v>
      </c>
      <c r="U380" s="6">
        <v>3.27E-2</v>
      </c>
      <c r="V380" s="6">
        <v>0.05</v>
      </c>
      <c r="W380" s="6"/>
      <c r="X380" s="6">
        <v>11760.44</v>
      </c>
      <c r="Y380" s="5"/>
    </row>
    <row r="381" spans="1:25" ht="28.8" x14ac:dyDescent="0.25">
      <c r="A381" s="4">
        <v>2019</v>
      </c>
      <c r="B381" s="4">
        <v>9</v>
      </c>
      <c r="C381" s="4" t="s">
        <v>18</v>
      </c>
      <c r="D381" s="11">
        <v>650</v>
      </c>
      <c r="E381" s="5" t="s">
        <v>20</v>
      </c>
      <c r="F381" s="4" t="s">
        <v>32</v>
      </c>
      <c r="G381" s="5" t="s">
        <v>33</v>
      </c>
      <c r="H381" s="4" t="s">
        <v>34</v>
      </c>
      <c r="I381" s="4" t="s">
        <v>34</v>
      </c>
      <c r="J381" s="6">
        <v>29083.919999999998</v>
      </c>
      <c r="K381" s="6">
        <v>29083.919999999998</v>
      </c>
      <c r="L381" s="6"/>
      <c r="M381" s="23">
        <v>2801.37</v>
      </c>
      <c r="N381" s="23">
        <v>2801.37</v>
      </c>
      <c r="O381" s="6"/>
      <c r="P381" s="6">
        <v>3711.81</v>
      </c>
      <c r="Q381" s="6">
        <v>65827684.840000004</v>
      </c>
      <c r="R381" s="6">
        <v>66010702.560000002</v>
      </c>
      <c r="S381" s="6"/>
      <c r="T381" s="4"/>
      <c r="U381" s="6"/>
      <c r="V381" s="6"/>
      <c r="W381" s="6"/>
      <c r="X381" s="6"/>
      <c r="Y381" s="5"/>
    </row>
    <row r="382" spans="1:25" ht="28.8" x14ac:dyDescent="0.25">
      <c r="A382" s="4">
        <v>2019</v>
      </c>
      <c r="B382" s="4">
        <v>9</v>
      </c>
      <c r="C382" s="4" t="s">
        <v>18</v>
      </c>
      <c r="D382" s="11">
        <v>650</v>
      </c>
      <c r="E382" s="5" t="s">
        <v>20</v>
      </c>
      <c r="F382" s="4" t="s">
        <v>35</v>
      </c>
      <c r="G382" s="5" t="s">
        <v>36</v>
      </c>
      <c r="H382" s="4" t="s">
        <v>34</v>
      </c>
      <c r="I382" s="4" t="s">
        <v>34</v>
      </c>
      <c r="J382" s="6">
        <v>103473</v>
      </c>
      <c r="K382" s="6">
        <v>103473</v>
      </c>
      <c r="L382" s="6"/>
      <c r="M382" s="23">
        <v>11586.09</v>
      </c>
      <c r="N382" s="23">
        <v>11586.09</v>
      </c>
      <c r="O382" s="6"/>
      <c r="P382" s="6">
        <v>15351.57</v>
      </c>
      <c r="Q382" s="6">
        <v>93172893.329999998</v>
      </c>
      <c r="R382" s="6">
        <v>93569755.109999999</v>
      </c>
      <c r="S382" s="6"/>
      <c r="T382" s="4"/>
      <c r="U382" s="6"/>
      <c r="V382" s="6"/>
      <c r="W382" s="6"/>
      <c r="X382" s="6"/>
      <c r="Y382" s="5"/>
    </row>
    <row r="383" spans="1:25" ht="28.8" x14ac:dyDescent="0.25">
      <c r="A383" s="4">
        <v>2019</v>
      </c>
      <c r="B383" s="4">
        <v>9</v>
      </c>
      <c r="C383" s="4" t="s">
        <v>18</v>
      </c>
      <c r="D383" s="11">
        <v>3093</v>
      </c>
      <c r="E383" s="5" t="s">
        <v>37</v>
      </c>
      <c r="F383" s="4" t="s">
        <v>38</v>
      </c>
      <c r="G383" s="5" t="s">
        <v>39</v>
      </c>
      <c r="H383" s="4" t="s">
        <v>34</v>
      </c>
      <c r="I383" s="4" t="s">
        <v>34</v>
      </c>
      <c r="J383" s="6">
        <v>11243.92</v>
      </c>
      <c r="K383" s="6">
        <v>11243.92</v>
      </c>
      <c r="L383" s="6"/>
      <c r="M383" s="23">
        <v>2914.08</v>
      </c>
      <c r="N383" s="23">
        <v>2914.08</v>
      </c>
      <c r="O383" s="6"/>
      <c r="P383" s="6">
        <v>3861.15</v>
      </c>
      <c r="Q383" s="6">
        <v>9675345.8900000006</v>
      </c>
      <c r="R383" s="6">
        <v>34630834.359999999</v>
      </c>
      <c r="S383" s="6"/>
      <c r="T383" s="4"/>
      <c r="U383" s="6"/>
      <c r="V383" s="6"/>
      <c r="W383" s="6"/>
      <c r="X383" s="6"/>
      <c r="Y383" s="5"/>
    </row>
    <row r="384" spans="1:25" ht="28.8" x14ac:dyDescent="0.25">
      <c r="A384" s="4">
        <v>2019</v>
      </c>
      <c r="B384" s="4">
        <v>9</v>
      </c>
      <c r="C384" s="4" t="s">
        <v>18</v>
      </c>
      <c r="D384" s="11">
        <v>9653</v>
      </c>
      <c r="E384" s="5" t="s">
        <v>40</v>
      </c>
      <c r="F384" s="4" t="s">
        <v>41</v>
      </c>
      <c r="G384" s="5" t="s">
        <v>42</v>
      </c>
      <c r="H384" s="4" t="s">
        <v>34</v>
      </c>
      <c r="I384" s="4" t="s">
        <v>34</v>
      </c>
      <c r="J384" s="6">
        <v>115938.06</v>
      </c>
      <c r="K384" s="6">
        <v>115938.06</v>
      </c>
      <c r="L384" s="6"/>
      <c r="M384" s="23">
        <v>12994.14</v>
      </c>
      <c r="N384" s="23">
        <v>12994.14</v>
      </c>
      <c r="O384" s="6"/>
      <c r="P384" s="6">
        <v>17217.23</v>
      </c>
      <c r="Q384" s="6">
        <v>69731767.420000002</v>
      </c>
      <c r="R384" s="6">
        <v>69812568.969999999</v>
      </c>
      <c r="S384" s="6"/>
      <c r="T384" s="4"/>
      <c r="U384" s="6"/>
      <c r="V384" s="6"/>
      <c r="W384" s="6"/>
      <c r="X384" s="6"/>
      <c r="Y384" s="5"/>
    </row>
    <row r="385" spans="1:25" ht="28.8" x14ac:dyDescent="0.25">
      <c r="A385" s="4">
        <v>2019</v>
      </c>
      <c r="B385" s="4">
        <v>10</v>
      </c>
      <c r="C385" s="4" t="s">
        <v>18</v>
      </c>
      <c r="D385" s="11">
        <v>650</v>
      </c>
      <c r="E385" s="5" t="s">
        <v>20</v>
      </c>
      <c r="F385" s="4" t="s">
        <v>21</v>
      </c>
      <c r="G385" s="5" t="s">
        <v>22</v>
      </c>
      <c r="H385" s="4" t="s">
        <v>23</v>
      </c>
      <c r="I385" s="4" t="s">
        <v>23</v>
      </c>
      <c r="J385" s="6">
        <v>77394.320000000007</v>
      </c>
      <c r="K385" s="6">
        <v>52189.27</v>
      </c>
      <c r="L385" s="6">
        <v>25205.05</v>
      </c>
      <c r="M385" s="23">
        <v>5495.37</v>
      </c>
      <c r="N385" s="23">
        <v>2929.69</v>
      </c>
      <c r="O385" s="23">
        <v>2565.6799999999998</v>
      </c>
      <c r="P385" s="6">
        <v>4852.3</v>
      </c>
      <c r="Q385" s="6">
        <v>135496489.91999999</v>
      </c>
      <c r="R385" s="6">
        <v>136465277.65000001</v>
      </c>
      <c r="S385" s="6">
        <v>5.2999999999999999E-2</v>
      </c>
      <c r="T385" s="4" t="s">
        <v>24</v>
      </c>
      <c r="U385" s="6">
        <v>0.05</v>
      </c>
      <c r="V385" s="6">
        <v>0.1</v>
      </c>
      <c r="W385" s="6"/>
      <c r="X385" s="6">
        <v>3399.52</v>
      </c>
      <c r="Y385" s="5"/>
    </row>
    <row r="386" spans="1:25" ht="28.8" x14ac:dyDescent="0.25">
      <c r="A386" s="4">
        <v>2019</v>
      </c>
      <c r="B386" s="4">
        <v>10</v>
      </c>
      <c r="C386" s="4" t="s">
        <v>18</v>
      </c>
      <c r="D386" s="11">
        <v>44321</v>
      </c>
      <c r="E386" s="5" t="s">
        <v>26</v>
      </c>
      <c r="F386" s="4" t="s">
        <v>27</v>
      </c>
      <c r="G386" s="5" t="s">
        <v>28</v>
      </c>
      <c r="H386" s="4" t="s">
        <v>23</v>
      </c>
      <c r="I386" s="4" t="s">
        <v>23</v>
      </c>
      <c r="J386" s="6">
        <v>504902.96</v>
      </c>
      <c r="K386" s="6">
        <v>121015.54</v>
      </c>
      <c r="L386" s="6">
        <v>383887.42</v>
      </c>
      <c r="M386" s="23">
        <v>52413.35</v>
      </c>
      <c r="N386" s="23">
        <v>11600.34</v>
      </c>
      <c r="O386" s="23">
        <v>40813.01</v>
      </c>
      <c r="P386" s="6">
        <v>19213.07</v>
      </c>
      <c r="Q386" s="6">
        <v>254485329.22999999</v>
      </c>
      <c r="R386" s="6">
        <v>254476864.38999999</v>
      </c>
      <c r="S386" s="6">
        <v>5.2999999999999999E-2</v>
      </c>
      <c r="T386" s="4" t="s">
        <v>17</v>
      </c>
      <c r="U386" s="6">
        <v>2.75E-2</v>
      </c>
      <c r="V386" s="6">
        <v>0.1</v>
      </c>
      <c r="W386" s="6"/>
      <c r="X386" s="6">
        <v>54077.23</v>
      </c>
      <c r="Y386" s="5"/>
    </row>
    <row r="387" spans="1:25" ht="28.8" x14ac:dyDescent="0.25">
      <c r="A387" s="4">
        <v>2019</v>
      </c>
      <c r="B387" s="4">
        <v>10</v>
      </c>
      <c r="C387" s="4" t="s">
        <v>18</v>
      </c>
      <c r="D387" s="11">
        <v>45792</v>
      </c>
      <c r="E387" s="5" t="s">
        <v>43</v>
      </c>
      <c r="F387" s="4" t="s">
        <v>44</v>
      </c>
      <c r="G387" s="5" t="s">
        <v>45</v>
      </c>
      <c r="H387" s="4" t="s">
        <v>34</v>
      </c>
      <c r="I387" s="4" t="s">
        <v>23</v>
      </c>
      <c r="J387" s="6">
        <v>74182.89</v>
      </c>
      <c r="K387" s="6">
        <v>74182.89</v>
      </c>
      <c r="L387" s="6"/>
      <c r="M387" s="23">
        <v>5883.83</v>
      </c>
      <c r="N387" s="23">
        <v>5883.83</v>
      </c>
      <c r="O387" s="6"/>
      <c r="P387" s="6">
        <v>7796.08</v>
      </c>
      <c r="Q387" s="6">
        <v>114971364.23999999</v>
      </c>
      <c r="R387" s="6">
        <v>128196841.51000001</v>
      </c>
      <c r="S387" s="6">
        <v>5.2999999999999999E-2</v>
      </c>
      <c r="T387" s="4" t="s">
        <v>17</v>
      </c>
      <c r="U387" s="6">
        <v>2.75E-2</v>
      </c>
      <c r="V387" s="6">
        <v>0.15</v>
      </c>
      <c r="W387" s="6"/>
      <c r="X387" s="6"/>
      <c r="Y387" s="5" t="s">
        <v>260</v>
      </c>
    </row>
    <row r="388" spans="1:25" ht="43.2" x14ac:dyDescent="0.25">
      <c r="A388" s="4">
        <v>2019</v>
      </c>
      <c r="B388" s="4">
        <v>10</v>
      </c>
      <c r="C388" s="4" t="s">
        <v>18</v>
      </c>
      <c r="D388" s="11">
        <v>45817</v>
      </c>
      <c r="E388" s="5" t="s">
        <v>29</v>
      </c>
      <c r="F388" s="4" t="s">
        <v>30</v>
      </c>
      <c r="G388" s="5" t="s">
        <v>31</v>
      </c>
      <c r="H388" s="4" t="s">
        <v>34</v>
      </c>
      <c r="I388" s="4" t="s">
        <v>23</v>
      </c>
      <c r="J388" s="6">
        <v>784046.66</v>
      </c>
      <c r="K388" s="6">
        <v>305850.51</v>
      </c>
      <c r="L388" s="6">
        <v>478196.15</v>
      </c>
      <c r="M388" s="23">
        <v>83218.48</v>
      </c>
      <c r="N388" s="23">
        <v>29563.15</v>
      </c>
      <c r="O388" s="23">
        <v>53655.33</v>
      </c>
      <c r="P388" s="6">
        <v>39171.18</v>
      </c>
      <c r="Q388" s="6">
        <v>329896253.49000001</v>
      </c>
      <c r="R388" s="6">
        <v>339217280.87</v>
      </c>
      <c r="S388" s="6">
        <v>5.2999999999999999E-2</v>
      </c>
      <c r="T388" s="4" t="s">
        <v>17</v>
      </c>
      <c r="U388" s="6">
        <v>2.75E-2</v>
      </c>
      <c r="V388" s="6">
        <v>0.1</v>
      </c>
      <c r="W388" s="6"/>
      <c r="X388" s="6">
        <v>71093.31</v>
      </c>
      <c r="Y388" s="5"/>
    </row>
    <row r="389" spans="1:25" ht="28.8" x14ac:dyDescent="0.25">
      <c r="A389" s="4">
        <v>2019</v>
      </c>
      <c r="B389" s="4">
        <v>10</v>
      </c>
      <c r="C389" s="4" t="s">
        <v>18</v>
      </c>
      <c r="D389" s="11">
        <v>49570</v>
      </c>
      <c r="E389" s="5" t="s">
        <v>50</v>
      </c>
      <c r="F389" s="4" t="s">
        <v>51</v>
      </c>
      <c r="G389" s="5" t="s">
        <v>52</v>
      </c>
      <c r="H389" s="4" t="s">
        <v>23</v>
      </c>
      <c r="I389" s="4" t="s">
        <v>23</v>
      </c>
      <c r="J389" s="6">
        <v>1049427.96</v>
      </c>
      <c r="K389" s="6">
        <v>528336.51</v>
      </c>
      <c r="L389" s="6">
        <v>521091.45</v>
      </c>
      <c r="M389" s="23">
        <v>109754.53</v>
      </c>
      <c r="N389" s="23">
        <v>54899.4</v>
      </c>
      <c r="O389" s="23">
        <v>54855.13</v>
      </c>
      <c r="P389" s="6">
        <v>90927.13</v>
      </c>
      <c r="Q389" s="6">
        <v>740299456.02999997</v>
      </c>
      <c r="R389" s="6">
        <v>744290413.87</v>
      </c>
      <c r="S389" s="6">
        <v>5.2999999999999999E-2</v>
      </c>
      <c r="T389" s="4" t="s">
        <v>17</v>
      </c>
      <c r="U389" s="6">
        <v>2.75E-2</v>
      </c>
      <c r="V389" s="6">
        <v>0.1</v>
      </c>
      <c r="W389" s="6"/>
      <c r="X389" s="6">
        <v>72683.05</v>
      </c>
      <c r="Y389" s="5" t="s">
        <v>125</v>
      </c>
    </row>
    <row r="390" spans="1:25" ht="28.8" x14ac:dyDescent="0.25">
      <c r="A390" s="4">
        <v>2019</v>
      </c>
      <c r="B390" s="4">
        <v>10</v>
      </c>
      <c r="C390" s="4" t="s">
        <v>18</v>
      </c>
      <c r="D390" s="11">
        <v>50544</v>
      </c>
      <c r="E390" s="5" t="s">
        <v>53</v>
      </c>
      <c r="F390" s="4" t="s">
        <v>54</v>
      </c>
      <c r="G390" s="5" t="s">
        <v>55</v>
      </c>
      <c r="H390" s="4" t="s">
        <v>34</v>
      </c>
      <c r="I390" s="4" t="s">
        <v>23</v>
      </c>
      <c r="J390" s="6">
        <v>150914.98000000001</v>
      </c>
      <c r="K390" s="6">
        <v>71613.179999999993</v>
      </c>
      <c r="L390" s="6">
        <v>79301.8</v>
      </c>
      <c r="M390" s="23">
        <v>19712.86</v>
      </c>
      <c r="N390" s="23">
        <v>10537.6</v>
      </c>
      <c r="O390" s="23">
        <v>9175.26</v>
      </c>
      <c r="P390" s="6">
        <v>13962.32</v>
      </c>
      <c r="Q390" s="6">
        <v>141266929.43000001</v>
      </c>
      <c r="R390" s="6">
        <v>146194304.53</v>
      </c>
      <c r="S390" s="6">
        <v>5.2999999999999999E-2</v>
      </c>
      <c r="T390" s="4" t="s">
        <v>24</v>
      </c>
      <c r="U390" s="6">
        <v>3.27E-2</v>
      </c>
      <c r="V390" s="6">
        <v>0.05</v>
      </c>
      <c r="W390" s="6"/>
      <c r="X390" s="6">
        <v>12157.21</v>
      </c>
      <c r="Y390" s="5"/>
    </row>
    <row r="391" spans="1:25" ht="28.8" x14ac:dyDescent="0.25">
      <c r="A391" s="4">
        <v>2019</v>
      </c>
      <c r="B391" s="4">
        <v>10</v>
      </c>
      <c r="C391" s="4" t="s">
        <v>18</v>
      </c>
      <c r="D391" s="11">
        <v>650</v>
      </c>
      <c r="E391" s="5" t="s">
        <v>20</v>
      </c>
      <c r="F391" s="4" t="s">
        <v>32</v>
      </c>
      <c r="G391" s="5" t="s">
        <v>33</v>
      </c>
      <c r="H391" s="4" t="s">
        <v>34</v>
      </c>
      <c r="I391" s="4" t="s">
        <v>34</v>
      </c>
      <c r="J391" s="6">
        <v>32027.49</v>
      </c>
      <c r="K391" s="6">
        <v>32027.49</v>
      </c>
      <c r="L391" s="6"/>
      <c r="M391" s="23">
        <v>2943.58</v>
      </c>
      <c r="N391" s="23">
        <v>2943.58</v>
      </c>
      <c r="O391" s="6"/>
      <c r="P391" s="6">
        <v>3900.24</v>
      </c>
      <c r="Q391" s="6">
        <v>66023445.469999999</v>
      </c>
      <c r="R391" s="6">
        <v>66201976.909999996</v>
      </c>
      <c r="S391" s="6"/>
      <c r="T391" s="4"/>
      <c r="U391" s="6"/>
      <c r="V391" s="6"/>
      <c r="W391" s="6"/>
      <c r="X391" s="6"/>
      <c r="Y391" s="5"/>
    </row>
    <row r="392" spans="1:25" ht="28.8" x14ac:dyDescent="0.25">
      <c r="A392" s="4">
        <v>2019</v>
      </c>
      <c r="B392" s="4">
        <v>10</v>
      </c>
      <c r="C392" s="4" t="s">
        <v>18</v>
      </c>
      <c r="D392" s="11">
        <v>650</v>
      </c>
      <c r="E392" s="5" t="s">
        <v>20</v>
      </c>
      <c r="F392" s="4" t="s">
        <v>35</v>
      </c>
      <c r="G392" s="5" t="s">
        <v>36</v>
      </c>
      <c r="H392" s="4" t="s">
        <v>34</v>
      </c>
      <c r="I392" s="4" t="s">
        <v>34</v>
      </c>
      <c r="J392" s="6">
        <v>115501.1</v>
      </c>
      <c r="K392" s="6">
        <v>115501.1</v>
      </c>
      <c r="L392" s="6"/>
      <c r="M392" s="23">
        <v>12028.1</v>
      </c>
      <c r="N392" s="23">
        <v>12028.1</v>
      </c>
      <c r="O392" s="6"/>
      <c r="P392" s="6">
        <v>15937.23</v>
      </c>
      <c r="Q392" s="6">
        <v>93611304.319999993</v>
      </c>
      <c r="R392" s="6">
        <v>94038023.129999995</v>
      </c>
      <c r="S392" s="6"/>
      <c r="T392" s="4"/>
      <c r="U392" s="6"/>
      <c r="V392" s="6"/>
      <c r="W392" s="6"/>
      <c r="X392" s="6"/>
      <c r="Y392" s="5"/>
    </row>
    <row r="393" spans="1:25" ht="28.8" x14ac:dyDescent="0.25">
      <c r="A393" s="4">
        <v>2019</v>
      </c>
      <c r="B393" s="4">
        <v>10</v>
      </c>
      <c r="C393" s="4" t="s">
        <v>18</v>
      </c>
      <c r="D393" s="11">
        <v>3093</v>
      </c>
      <c r="E393" s="5" t="s">
        <v>37</v>
      </c>
      <c r="F393" s="4" t="s">
        <v>38</v>
      </c>
      <c r="G393" s="5" t="s">
        <v>39</v>
      </c>
      <c r="H393" s="4" t="s">
        <v>34</v>
      </c>
      <c r="I393" s="4" t="s">
        <v>34</v>
      </c>
      <c r="J393" s="6">
        <v>17961.560000000001</v>
      </c>
      <c r="K393" s="6">
        <v>17961.560000000001</v>
      </c>
      <c r="L393" s="6"/>
      <c r="M393" s="23">
        <v>6717.65</v>
      </c>
      <c r="N393" s="23">
        <v>6717.65</v>
      </c>
      <c r="O393" s="6"/>
      <c r="P393" s="6">
        <v>8900.8799999999992</v>
      </c>
      <c r="Q393" s="6">
        <v>34631070.960000001</v>
      </c>
      <c r="R393" s="6">
        <v>34089130.869999997</v>
      </c>
      <c r="S393" s="6"/>
      <c r="T393" s="4"/>
      <c r="U393" s="6"/>
      <c r="V393" s="6"/>
      <c r="W393" s="6"/>
      <c r="X393" s="6"/>
      <c r="Y393" s="5"/>
    </row>
    <row r="394" spans="1:25" ht="28.8" x14ac:dyDescent="0.25">
      <c r="A394" s="4">
        <v>2019</v>
      </c>
      <c r="B394" s="4">
        <v>10</v>
      </c>
      <c r="C394" s="4" t="s">
        <v>18</v>
      </c>
      <c r="D394" s="11">
        <v>9653</v>
      </c>
      <c r="E394" s="5" t="s">
        <v>40</v>
      </c>
      <c r="F394" s="4" t="s">
        <v>41</v>
      </c>
      <c r="G394" s="5" t="s">
        <v>42</v>
      </c>
      <c r="H394" s="4" t="s">
        <v>34</v>
      </c>
      <c r="I394" s="4" t="s">
        <v>34</v>
      </c>
      <c r="J394" s="6">
        <v>125900.27</v>
      </c>
      <c r="K394" s="6">
        <v>125900.27</v>
      </c>
      <c r="L394" s="6"/>
      <c r="M394" s="23">
        <v>9962.2099999999991</v>
      </c>
      <c r="N394" s="23">
        <v>9962.2099999999991</v>
      </c>
      <c r="O394" s="6"/>
      <c r="P394" s="6">
        <v>13199.93</v>
      </c>
      <c r="Q394" s="6">
        <v>69812882.730000004</v>
      </c>
      <c r="R394" s="6">
        <v>52010.03</v>
      </c>
      <c r="S394" s="6"/>
      <c r="T394" s="4"/>
      <c r="U394" s="6"/>
      <c r="V394" s="6"/>
      <c r="W394" s="6"/>
      <c r="X394" s="6"/>
      <c r="Y394" s="5"/>
    </row>
    <row r="395" spans="1:25" ht="28.8" x14ac:dyDescent="0.25">
      <c r="A395" s="4">
        <v>2019</v>
      </c>
      <c r="B395" s="4">
        <v>11</v>
      </c>
      <c r="C395" s="4" t="s">
        <v>18</v>
      </c>
      <c r="D395" s="11">
        <v>650</v>
      </c>
      <c r="E395" s="5" t="s">
        <v>20</v>
      </c>
      <c r="F395" s="4" t="s">
        <v>21</v>
      </c>
      <c r="G395" s="5" t="s">
        <v>22</v>
      </c>
      <c r="H395" s="4" t="s">
        <v>23</v>
      </c>
      <c r="I395" s="4" t="s">
        <v>23</v>
      </c>
      <c r="J395" s="6">
        <v>82824.58</v>
      </c>
      <c r="K395" s="6">
        <v>55063.15</v>
      </c>
      <c r="L395" s="6">
        <v>27761.43</v>
      </c>
      <c r="M395" s="23">
        <v>5430.26</v>
      </c>
      <c r="N395" s="23">
        <v>2873.88</v>
      </c>
      <c r="O395" s="23">
        <v>2556.38</v>
      </c>
      <c r="P395" s="6">
        <v>4759.87</v>
      </c>
      <c r="Q395" s="6">
        <v>136333262.97999999</v>
      </c>
      <c r="R395" s="6">
        <v>134642864.61000001</v>
      </c>
      <c r="S395" s="6">
        <v>5.2999999999999999E-2</v>
      </c>
      <c r="T395" s="4" t="s">
        <v>24</v>
      </c>
      <c r="U395" s="6">
        <v>0.05</v>
      </c>
      <c r="V395" s="6">
        <v>0.1</v>
      </c>
      <c r="W395" s="6"/>
      <c r="X395" s="6">
        <v>3387.2</v>
      </c>
      <c r="Y395" s="5"/>
    </row>
    <row r="396" spans="1:25" ht="28.8" x14ac:dyDescent="0.25">
      <c r="A396" s="4">
        <v>2019</v>
      </c>
      <c r="B396" s="4">
        <v>11</v>
      </c>
      <c r="C396" s="4" t="s">
        <v>18</v>
      </c>
      <c r="D396" s="11">
        <v>44321</v>
      </c>
      <c r="E396" s="5" t="s">
        <v>26</v>
      </c>
      <c r="F396" s="4" t="s">
        <v>27</v>
      </c>
      <c r="G396" s="5" t="s">
        <v>28</v>
      </c>
      <c r="H396" s="4" t="s">
        <v>23</v>
      </c>
      <c r="I396" s="4" t="s">
        <v>23</v>
      </c>
      <c r="J396" s="6">
        <v>557345.57999999996</v>
      </c>
      <c r="K396" s="6">
        <v>132674.89000000001</v>
      </c>
      <c r="L396" s="6">
        <v>424670.69</v>
      </c>
      <c r="M396" s="23">
        <v>52442.62</v>
      </c>
      <c r="N396" s="23">
        <v>11659.35</v>
      </c>
      <c r="O396" s="23">
        <v>40783.269999999997</v>
      </c>
      <c r="P396" s="6">
        <v>19310.8</v>
      </c>
      <c r="Q396" s="6">
        <v>254316673.93000001</v>
      </c>
      <c r="R396" s="6">
        <v>254274635.30000001</v>
      </c>
      <c r="S396" s="6">
        <v>5.2999999999999999E-2</v>
      </c>
      <c r="T396" s="4" t="s">
        <v>17</v>
      </c>
      <c r="U396" s="6">
        <v>2.75E-2</v>
      </c>
      <c r="V396" s="6">
        <v>0.1</v>
      </c>
      <c r="W396" s="6"/>
      <c r="X396" s="6">
        <v>54037.83</v>
      </c>
      <c r="Y396" s="5"/>
    </row>
    <row r="397" spans="1:25" ht="28.8" x14ac:dyDescent="0.25">
      <c r="A397" s="4">
        <v>2019</v>
      </c>
      <c r="B397" s="4">
        <v>11</v>
      </c>
      <c r="C397" s="4" t="s">
        <v>18</v>
      </c>
      <c r="D397" s="11">
        <v>45792</v>
      </c>
      <c r="E397" s="5" t="s">
        <v>43</v>
      </c>
      <c r="F397" s="4" t="s">
        <v>44</v>
      </c>
      <c r="G397" s="5" t="s">
        <v>45</v>
      </c>
      <c r="H397" s="4" t="s">
        <v>34</v>
      </c>
      <c r="I397" s="4" t="s">
        <v>23</v>
      </c>
      <c r="J397" s="6">
        <v>83847.28</v>
      </c>
      <c r="K397" s="6">
        <v>83847.28</v>
      </c>
      <c r="L397" s="6"/>
      <c r="M397" s="23">
        <v>9664.3799999999992</v>
      </c>
      <c r="N397" s="23">
        <v>9664.3799999999992</v>
      </c>
      <c r="O397" s="6"/>
      <c r="P397" s="6">
        <v>12805.31</v>
      </c>
      <c r="Q397" s="6">
        <v>128134472.09999999</v>
      </c>
      <c r="R397" s="6">
        <v>179193035.38999999</v>
      </c>
      <c r="S397" s="6">
        <v>5.2999999999999999E-2</v>
      </c>
      <c r="T397" s="4" t="s">
        <v>17</v>
      </c>
      <c r="U397" s="6">
        <v>2.75E-2</v>
      </c>
      <c r="V397" s="6">
        <v>0.15</v>
      </c>
      <c r="W397" s="6"/>
      <c r="X397" s="6"/>
      <c r="Y397" s="5" t="s">
        <v>260</v>
      </c>
    </row>
    <row r="398" spans="1:25" ht="43.2" x14ac:dyDescent="0.25">
      <c r="A398" s="4">
        <v>2019</v>
      </c>
      <c r="B398" s="4">
        <v>11</v>
      </c>
      <c r="C398" s="4" t="s">
        <v>18</v>
      </c>
      <c r="D398" s="11">
        <v>45817</v>
      </c>
      <c r="E398" s="5" t="s">
        <v>29</v>
      </c>
      <c r="F398" s="4" t="s">
        <v>30</v>
      </c>
      <c r="G398" s="5" t="s">
        <v>31</v>
      </c>
      <c r="H398" s="4" t="s">
        <v>34</v>
      </c>
      <c r="I398" s="4" t="s">
        <v>23</v>
      </c>
      <c r="J398" s="6">
        <v>868678.41</v>
      </c>
      <c r="K398" s="6">
        <v>335490.53999999998</v>
      </c>
      <c r="L398" s="6">
        <v>533187.87</v>
      </c>
      <c r="M398" s="23">
        <v>84631.76</v>
      </c>
      <c r="N398" s="23">
        <v>29640.04</v>
      </c>
      <c r="O398" s="23">
        <v>54991.72</v>
      </c>
      <c r="P398" s="6">
        <v>39273.050000000003</v>
      </c>
      <c r="Q398" s="6">
        <v>339200618.29000002</v>
      </c>
      <c r="R398" s="6">
        <v>346578520.73000002</v>
      </c>
      <c r="S398" s="6">
        <v>5.2999999999999999E-2</v>
      </c>
      <c r="T398" s="4" t="s">
        <v>17</v>
      </c>
      <c r="U398" s="6">
        <v>2.75E-2</v>
      </c>
      <c r="V398" s="6">
        <v>0.1</v>
      </c>
      <c r="W398" s="6"/>
      <c r="X398" s="6">
        <v>72864.03</v>
      </c>
      <c r="Y398" s="5"/>
    </row>
    <row r="399" spans="1:25" ht="28.8" x14ac:dyDescent="0.25">
      <c r="A399" s="4">
        <v>2019</v>
      </c>
      <c r="B399" s="4">
        <v>11</v>
      </c>
      <c r="C399" s="4" t="s">
        <v>18</v>
      </c>
      <c r="D399" s="11">
        <v>49570</v>
      </c>
      <c r="E399" s="5" t="s">
        <v>50</v>
      </c>
      <c r="F399" s="4" t="s">
        <v>51</v>
      </c>
      <c r="G399" s="5" t="s">
        <v>52</v>
      </c>
      <c r="H399" s="4" t="s">
        <v>23</v>
      </c>
      <c r="I399" s="4" t="s">
        <v>23</v>
      </c>
      <c r="J399" s="6">
        <v>1157811.6200000001</v>
      </c>
      <c r="K399" s="6">
        <v>581701.87</v>
      </c>
      <c r="L399" s="6">
        <v>576109.75</v>
      </c>
      <c r="M399" s="23">
        <v>108383.66</v>
      </c>
      <c r="N399" s="23">
        <v>53365.36</v>
      </c>
      <c r="O399" s="23">
        <v>55018.3</v>
      </c>
      <c r="P399" s="6">
        <v>88386.38</v>
      </c>
      <c r="Q399" s="6">
        <v>744238189.49000001</v>
      </c>
      <c r="R399" s="6">
        <v>744767633.57000005</v>
      </c>
      <c r="S399" s="6">
        <v>5.2999999999999999E-2</v>
      </c>
      <c r="T399" s="4" t="s">
        <v>17</v>
      </c>
      <c r="U399" s="6">
        <v>2.75E-2</v>
      </c>
      <c r="V399" s="6">
        <v>0.1</v>
      </c>
      <c r="W399" s="6"/>
      <c r="X399" s="6">
        <v>72899.240000000005</v>
      </c>
      <c r="Y399" s="5" t="s">
        <v>125</v>
      </c>
    </row>
    <row r="400" spans="1:25" ht="28.8" x14ac:dyDescent="0.25">
      <c r="A400" s="4">
        <v>2019</v>
      </c>
      <c r="B400" s="4">
        <v>11</v>
      </c>
      <c r="C400" s="4" t="s">
        <v>18</v>
      </c>
      <c r="D400" s="11">
        <v>50544</v>
      </c>
      <c r="E400" s="5" t="s">
        <v>53</v>
      </c>
      <c r="F400" s="4" t="s">
        <v>54</v>
      </c>
      <c r="G400" s="5" t="s">
        <v>55</v>
      </c>
      <c r="H400" s="4" t="s">
        <v>34</v>
      </c>
      <c r="I400" s="4" t="s">
        <v>23</v>
      </c>
      <c r="J400" s="6">
        <v>171278.37</v>
      </c>
      <c r="K400" s="6">
        <v>82500.639999999999</v>
      </c>
      <c r="L400" s="6">
        <v>88777.73</v>
      </c>
      <c r="M400" s="23">
        <v>20363.39</v>
      </c>
      <c r="N400" s="23">
        <v>10887.46</v>
      </c>
      <c r="O400" s="23">
        <v>9475.93</v>
      </c>
      <c r="P400" s="6">
        <v>14425.89</v>
      </c>
      <c r="Q400" s="6">
        <v>146073494.38999999</v>
      </c>
      <c r="R400" s="6">
        <v>150807735.72</v>
      </c>
      <c r="S400" s="6">
        <v>5.2999999999999999E-2</v>
      </c>
      <c r="T400" s="4" t="s">
        <v>24</v>
      </c>
      <c r="U400" s="6">
        <v>3.27E-2</v>
      </c>
      <c r="V400" s="6">
        <v>0.05</v>
      </c>
      <c r="W400" s="6"/>
      <c r="X400" s="6">
        <v>12555.6</v>
      </c>
      <c r="Y400" s="5"/>
    </row>
    <row r="401" spans="1:25" ht="28.8" x14ac:dyDescent="0.25">
      <c r="A401" s="4">
        <v>2019</v>
      </c>
      <c r="B401" s="4">
        <v>11</v>
      </c>
      <c r="C401" s="4" t="s">
        <v>18</v>
      </c>
      <c r="D401" s="11">
        <v>650</v>
      </c>
      <c r="E401" s="5" t="s">
        <v>20</v>
      </c>
      <c r="F401" s="4" t="s">
        <v>35</v>
      </c>
      <c r="G401" s="5" t="s">
        <v>36</v>
      </c>
      <c r="H401" s="4" t="s">
        <v>34</v>
      </c>
      <c r="I401" s="4" t="s">
        <v>34</v>
      </c>
      <c r="J401" s="6">
        <v>127195.03</v>
      </c>
      <c r="K401" s="6">
        <v>127195.03</v>
      </c>
      <c r="L401" s="6"/>
      <c r="M401" s="23">
        <v>11693.92</v>
      </c>
      <c r="N401" s="23">
        <v>11693.92</v>
      </c>
      <c r="O401" s="6"/>
      <c r="P401" s="6">
        <v>15494.45</v>
      </c>
      <c r="Q401" s="6">
        <v>94052214.890000001</v>
      </c>
      <c r="R401" s="6">
        <v>94464838.909999996</v>
      </c>
      <c r="S401" s="6"/>
      <c r="T401" s="4"/>
      <c r="U401" s="6"/>
      <c r="V401" s="6"/>
      <c r="W401" s="6"/>
      <c r="X401" s="6"/>
      <c r="Y401" s="5"/>
    </row>
    <row r="402" spans="1:25" ht="28.8" x14ac:dyDescent="0.25">
      <c r="A402" s="4">
        <v>2019</v>
      </c>
      <c r="B402" s="4">
        <v>11</v>
      </c>
      <c r="C402" s="4" t="s">
        <v>18</v>
      </c>
      <c r="D402" s="11">
        <v>650</v>
      </c>
      <c r="E402" s="5" t="s">
        <v>20</v>
      </c>
      <c r="F402" s="4" t="s">
        <v>32</v>
      </c>
      <c r="G402" s="5" t="s">
        <v>33</v>
      </c>
      <c r="H402" s="4" t="s">
        <v>34</v>
      </c>
      <c r="I402" s="4" t="s">
        <v>34</v>
      </c>
      <c r="J402" s="6">
        <v>34880.01</v>
      </c>
      <c r="K402" s="6">
        <v>34880.01</v>
      </c>
      <c r="L402" s="6"/>
      <c r="M402" s="23">
        <v>2852.51</v>
      </c>
      <c r="N402" s="23">
        <v>2852.51</v>
      </c>
      <c r="O402" s="6"/>
      <c r="P402" s="6">
        <v>3779.58</v>
      </c>
      <c r="Q402" s="6">
        <v>66208593.979999997</v>
      </c>
      <c r="R402" s="6">
        <v>64339650.520000003</v>
      </c>
      <c r="S402" s="6"/>
      <c r="T402" s="4"/>
      <c r="U402" s="6"/>
      <c r="V402" s="6"/>
      <c r="W402" s="6"/>
      <c r="X402" s="6"/>
      <c r="Y402" s="5"/>
    </row>
    <row r="403" spans="1:25" ht="28.8" x14ac:dyDescent="0.25">
      <c r="A403" s="4">
        <v>2019</v>
      </c>
      <c r="B403" s="4">
        <v>11</v>
      </c>
      <c r="C403" s="4" t="s">
        <v>18</v>
      </c>
      <c r="D403" s="11">
        <v>3093</v>
      </c>
      <c r="E403" s="5" t="s">
        <v>37</v>
      </c>
      <c r="F403" s="4" t="s">
        <v>38</v>
      </c>
      <c r="G403" s="5" t="s">
        <v>39</v>
      </c>
      <c r="H403" s="4" t="s">
        <v>34</v>
      </c>
      <c r="I403" s="4" t="s">
        <v>34</v>
      </c>
      <c r="J403" s="6">
        <v>18807.61</v>
      </c>
      <c r="K403" s="6">
        <v>18807.61</v>
      </c>
      <c r="L403" s="6"/>
      <c r="M403" s="23">
        <v>846.05</v>
      </c>
      <c r="N403" s="23">
        <v>846.05</v>
      </c>
      <c r="O403" s="6"/>
      <c r="P403" s="6">
        <v>1121.01</v>
      </c>
      <c r="Q403" s="6">
        <v>34061926.82</v>
      </c>
      <c r="R403" s="6">
        <v>34190754.759999998</v>
      </c>
      <c r="S403" s="6"/>
      <c r="T403" s="4"/>
      <c r="U403" s="6"/>
      <c r="V403" s="6"/>
      <c r="W403" s="6"/>
      <c r="X403" s="6"/>
      <c r="Y403" s="5"/>
    </row>
    <row r="404" spans="1:25" ht="28.8" x14ac:dyDescent="0.25">
      <c r="A404" s="4">
        <v>2019</v>
      </c>
      <c r="B404" s="4">
        <v>11</v>
      </c>
      <c r="C404" s="4" t="s">
        <v>18</v>
      </c>
      <c r="D404" s="11">
        <v>9653</v>
      </c>
      <c r="E404" s="5" t="s">
        <v>40</v>
      </c>
      <c r="F404" s="4" t="s">
        <v>41</v>
      </c>
      <c r="G404" s="5" t="s">
        <v>42</v>
      </c>
      <c r="H404" s="4" t="s">
        <v>34</v>
      </c>
      <c r="I404" s="4" t="s">
        <v>34</v>
      </c>
      <c r="J404" s="6">
        <v>125910.57</v>
      </c>
      <c r="K404" s="6">
        <v>125910.57</v>
      </c>
      <c r="L404" s="6"/>
      <c r="M404" s="23">
        <v>10.29</v>
      </c>
      <c r="N404" s="23">
        <v>10.29</v>
      </c>
      <c r="O404" s="6"/>
      <c r="P404" s="6">
        <v>13.64</v>
      </c>
      <c r="Q404" s="6">
        <v>55922.19</v>
      </c>
      <c r="R404" s="6">
        <v>71928.240000000005</v>
      </c>
      <c r="S404" s="6"/>
      <c r="T404" s="4"/>
      <c r="U404" s="6"/>
      <c r="V404" s="6"/>
      <c r="W404" s="6"/>
      <c r="X404" s="6"/>
      <c r="Y404" s="5"/>
    </row>
    <row r="405" spans="1:25" ht="28.8" x14ac:dyDescent="0.25">
      <c r="A405" s="4">
        <v>2019</v>
      </c>
      <c r="B405" s="4">
        <v>11</v>
      </c>
      <c r="C405" s="4" t="s">
        <v>18</v>
      </c>
      <c r="D405" s="11">
        <v>62486</v>
      </c>
      <c r="E405" s="5" t="s">
        <v>275</v>
      </c>
      <c r="F405" s="4" t="s">
        <v>276</v>
      </c>
      <c r="G405" s="5" t="s">
        <v>277</v>
      </c>
      <c r="H405" s="4"/>
      <c r="I405" s="4" t="s">
        <v>34</v>
      </c>
      <c r="J405" s="6">
        <v>360.3</v>
      </c>
      <c r="K405" s="6">
        <v>360.3</v>
      </c>
      <c r="L405" s="6"/>
      <c r="M405" s="23">
        <v>360.3</v>
      </c>
      <c r="N405" s="23">
        <v>360.3</v>
      </c>
      <c r="O405" s="6"/>
      <c r="P405" s="6">
        <v>477.4</v>
      </c>
      <c r="Q405" s="6">
        <v>0</v>
      </c>
      <c r="R405" s="6">
        <v>13408047.02</v>
      </c>
      <c r="S405" s="6"/>
      <c r="T405" s="4"/>
      <c r="U405" s="6"/>
      <c r="V405" s="6"/>
      <c r="W405" s="6"/>
      <c r="X405" s="6"/>
      <c r="Y405" s="5"/>
    </row>
    <row r="406" spans="1:25" ht="28.8" x14ac:dyDescent="0.25">
      <c r="A406" s="4">
        <v>2019</v>
      </c>
      <c r="B406" s="4">
        <v>12</v>
      </c>
      <c r="C406" s="4" t="s">
        <v>18</v>
      </c>
      <c r="D406" s="11">
        <v>650</v>
      </c>
      <c r="E406" s="5" t="s">
        <v>20</v>
      </c>
      <c r="F406" s="4" t="s">
        <v>21</v>
      </c>
      <c r="G406" s="5" t="s">
        <v>22</v>
      </c>
      <c r="H406" s="4" t="s">
        <v>23</v>
      </c>
      <c r="I406" s="4" t="s">
        <v>23</v>
      </c>
      <c r="J406" s="6">
        <v>88415.55</v>
      </c>
      <c r="K406" s="6">
        <v>58095.35</v>
      </c>
      <c r="L406" s="6">
        <v>30320.2</v>
      </c>
      <c r="M406" s="23">
        <v>5590.97</v>
      </c>
      <c r="N406" s="23">
        <v>3032.2</v>
      </c>
      <c r="O406" s="23">
        <v>2558.77</v>
      </c>
      <c r="P406" s="6">
        <v>5022.08</v>
      </c>
      <c r="Q406" s="6">
        <v>134642282.52000001</v>
      </c>
      <c r="R406" s="6">
        <v>136587209.53</v>
      </c>
      <c r="S406" s="6">
        <v>5.2999999999999999E-2</v>
      </c>
      <c r="T406" s="4" t="s">
        <v>24</v>
      </c>
      <c r="U406" s="6">
        <v>0.05</v>
      </c>
      <c r="V406" s="6">
        <v>0.1</v>
      </c>
      <c r="W406" s="6"/>
      <c r="X406" s="6">
        <v>3390.37</v>
      </c>
      <c r="Y406" s="5"/>
    </row>
    <row r="407" spans="1:25" ht="28.8" x14ac:dyDescent="0.25">
      <c r="A407" s="4">
        <v>2019</v>
      </c>
      <c r="B407" s="4">
        <v>12</v>
      </c>
      <c r="C407" s="4" t="s">
        <v>18</v>
      </c>
      <c r="D407" s="11">
        <v>44321</v>
      </c>
      <c r="E407" s="5" t="s">
        <v>26</v>
      </c>
      <c r="F407" s="4" t="s">
        <v>27</v>
      </c>
      <c r="G407" s="5" t="s">
        <v>28</v>
      </c>
      <c r="H407" s="4" t="s">
        <v>23</v>
      </c>
      <c r="I407" s="4" t="s">
        <v>23</v>
      </c>
      <c r="J407" s="6">
        <v>609987.75</v>
      </c>
      <c r="K407" s="6">
        <v>144350.69</v>
      </c>
      <c r="L407" s="6">
        <v>465637.06</v>
      </c>
      <c r="M407" s="23">
        <v>52642.17</v>
      </c>
      <c r="N407" s="23">
        <v>11675.8</v>
      </c>
      <c r="O407" s="23">
        <v>40966.370000000003</v>
      </c>
      <c r="P407" s="6">
        <v>19338.04</v>
      </c>
      <c r="Q407" s="6">
        <v>254280655.72999999</v>
      </c>
      <c r="R407" s="6">
        <v>256594045.53</v>
      </c>
      <c r="S407" s="6">
        <v>5.2999999999999999E-2</v>
      </c>
      <c r="T407" s="4" t="s">
        <v>17</v>
      </c>
      <c r="U407" s="6">
        <v>2.75E-2</v>
      </c>
      <c r="V407" s="6">
        <v>0.1</v>
      </c>
      <c r="W407" s="6"/>
      <c r="X407" s="6">
        <v>54280.44</v>
      </c>
      <c r="Y407" s="5"/>
    </row>
    <row r="408" spans="1:25" ht="28.8" x14ac:dyDescent="0.25">
      <c r="A408" s="4">
        <v>2019</v>
      </c>
      <c r="B408" s="4">
        <v>12</v>
      </c>
      <c r="C408" s="4" t="s">
        <v>18</v>
      </c>
      <c r="D408" s="11">
        <v>45792</v>
      </c>
      <c r="E408" s="5" t="s">
        <v>43</v>
      </c>
      <c r="F408" s="4" t="s">
        <v>44</v>
      </c>
      <c r="G408" s="5" t="s">
        <v>45</v>
      </c>
      <c r="H408" s="4" t="s">
        <v>34</v>
      </c>
      <c r="I408" s="4" t="s">
        <v>23</v>
      </c>
      <c r="J408" s="6">
        <v>94325.32</v>
      </c>
      <c r="K408" s="6">
        <v>94325.32</v>
      </c>
      <c r="L408" s="6"/>
      <c r="M408" s="23">
        <v>10478.049999999999</v>
      </c>
      <c r="N408" s="23">
        <v>10478.049999999999</v>
      </c>
      <c r="O408" s="6"/>
      <c r="P408" s="6">
        <v>13883.41</v>
      </c>
      <c r="Q408" s="6">
        <v>179195570.47999999</v>
      </c>
      <c r="R408" s="6">
        <v>180820919.56999999</v>
      </c>
      <c r="S408" s="6">
        <v>5.2999999999999999E-2</v>
      </c>
      <c r="T408" s="4" t="s">
        <v>17</v>
      </c>
      <c r="U408" s="6">
        <v>2.75E-2</v>
      </c>
      <c r="V408" s="6">
        <v>0.15</v>
      </c>
      <c r="W408" s="6"/>
      <c r="X408" s="6"/>
      <c r="Y408" s="5" t="s">
        <v>260</v>
      </c>
    </row>
    <row r="409" spans="1:25" ht="43.2" x14ac:dyDescent="0.25">
      <c r="A409" s="4">
        <v>2019</v>
      </c>
      <c r="B409" s="4">
        <v>12</v>
      </c>
      <c r="C409" s="4" t="s">
        <v>18</v>
      </c>
      <c r="D409" s="11">
        <v>45817</v>
      </c>
      <c r="E409" s="5" t="s">
        <v>29</v>
      </c>
      <c r="F409" s="4" t="s">
        <v>30</v>
      </c>
      <c r="G409" s="5" t="s">
        <v>31</v>
      </c>
      <c r="H409" s="4" t="s">
        <v>34</v>
      </c>
      <c r="I409" s="4" t="s">
        <v>23</v>
      </c>
      <c r="J409" s="6">
        <v>956098.21</v>
      </c>
      <c r="K409" s="6">
        <v>366317.4</v>
      </c>
      <c r="L409" s="6">
        <v>589780.81000000006</v>
      </c>
      <c r="M409" s="23">
        <v>87419.8</v>
      </c>
      <c r="N409" s="23">
        <v>30826.86</v>
      </c>
      <c r="O409" s="23">
        <v>56592.94</v>
      </c>
      <c r="P409" s="6">
        <v>40845.589999999997</v>
      </c>
      <c r="Q409" s="6">
        <v>346610207.04000002</v>
      </c>
      <c r="R409" s="6">
        <v>359137040.10000002</v>
      </c>
      <c r="S409" s="6">
        <v>5.2999999999999999E-2</v>
      </c>
      <c r="T409" s="4" t="s">
        <v>17</v>
      </c>
      <c r="U409" s="6">
        <v>2.75E-2</v>
      </c>
      <c r="V409" s="6">
        <v>0.1</v>
      </c>
      <c r="W409" s="6"/>
      <c r="X409" s="6">
        <v>74985.649999999994</v>
      </c>
      <c r="Y409" s="5"/>
    </row>
    <row r="410" spans="1:25" ht="28.8" x14ac:dyDescent="0.25">
      <c r="A410" s="4">
        <v>2019</v>
      </c>
      <c r="B410" s="4">
        <v>12</v>
      </c>
      <c r="C410" s="4" t="s">
        <v>18</v>
      </c>
      <c r="D410" s="11">
        <v>49570</v>
      </c>
      <c r="E410" s="5" t="s">
        <v>50</v>
      </c>
      <c r="F410" s="4" t="s">
        <v>51</v>
      </c>
      <c r="G410" s="5" t="s">
        <v>52</v>
      </c>
      <c r="H410" s="4" t="s">
        <v>23</v>
      </c>
      <c r="I410" s="4" t="s">
        <v>23</v>
      </c>
      <c r="J410" s="6">
        <v>1266665.92</v>
      </c>
      <c r="K410" s="6">
        <v>635249.73</v>
      </c>
      <c r="L410" s="6">
        <v>631416.18999999994</v>
      </c>
      <c r="M410" s="23">
        <v>108854.3</v>
      </c>
      <c r="N410" s="23">
        <v>53547.86</v>
      </c>
      <c r="O410" s="23">
        <v>55306.44</v>
      </c>
      <c r="P410" s="6">
        <v>88688.639999999999</v>
      </c>
      <c r="Q410" s="6">
        <v>744833329.88</v>
      </c>
      <c r="R410" s="6">
        <v>751970795.63</v>
      </c>
      <c r="S410" s="6">
        <v>5.2999999999999999E-2</v>
      </c>
      <c r="T410" s="4" t="s">
        <v>17</v>
      </c>
      <c r="U410" s="6">
        <v>2.75E-2</v>
      </c>
      <c r="V410" s="6">
        <v>0.1</v>
      </c>
      <c r="W410" s="6"/>
      <c r="X410" s="6">
        <v>73281.039999999994</v>
      </c>
      <c r="Y410" s="5" t="s">
        <v>125</v>
      </c>
    </row>
    <row r="411" spans="1:25" ht="28.8" x14ac:dyDescent="0.25">
      <c r="A411" s="4">
        <v>2019</v>
      </c>
      <c r="B411" s="4">
        <v>12</v>
      </c>
      <c r="C411" s="4" t="s">
        <v>18</v>
      </c>
      <c r="D411" s="11">
        <v>50544</v>
      </c>
      <c r="E411" s="5" t="s">
        <v>53</v>
      </c>
      <c r="F411" s="4" t="s">
        <v>54</v>
      </c>
      <c r="G411" s="5" t="s">
        <v>55</v>
      </c>
      <c r="H411" s="4" t="s">
        <v>34</v>
      </c>
      <c r="I411" s="4" t="s">
        <v>23</v>
      </c>
      <c r="J411" s="6">
        <v>193003.67</v>
      </c>
      <c r="K411" s="6">
        <v>94265.22</v>
      </c>
      <c r="L411" s="6">
        <v>98738.45</v>
      </c>
      <c r="M411" s="23">
        <v>21725.3</v>
      </c>
      <c r="N411" s="23">
        <v>11764.58</v>
      </c>
      <c r="O411" s="23">
        <v>9960.7199999999993</v>
      </c>
      <c r="P411" s="6">
        <v>15588.07</v>
      </c>
      <c r="Q411" s="6">
        <v>150809081.88999999</v>
      </c>
      <c r="R411" s="6">
        <v>161260873.53999999</v>
      </c>
      <c r="S411" s="6">
        <v>5.2999999999999999E-2</v>
      </c>
      <c r="T411" s="4" t="s">
        <v>24</v>
      </c>
      <c r="U411" s="6">
        <v>3.27E-2</v>
      </c>
      <c r="V411" s="6">
        <v>0.05</v>
      </c>
      <c r="W411" s="6"/>
      <c r="X411" s="6">
        <v>13197.96</v>
      </c>
      <c r="Y411" s="5"/>
    </row>
    <row r="412" spans="1:25" ht="28.8" x14ac:dyDescent="0.25">
      <c r="A412" s="4">
        <v>2019</v>
      </c>
      <c r="B412" s="4">
        <v>12</v>
      </c>
      <c r="C412" s="4" t="s">
        <v>18</v>
      </c>
      <c r="D412" s="11">
        <v>650</v>
      </c>
      <c r="E412" s="5" t="s">
        <v>20</v>
      </c>
      <c r="F412" s="4" t="s">
        <v>32</v>
      </c>
      <c r="G412" s="5" t="s">
        <v>33</v>
      </c>
      <c r="H412" s="4" t="s">
        <v>34</v>
      </c>
      <c r="I412" s="4" t="s">
        <v>34</v>
      </c>
      <c r="J412" s="6">
        <v>37627.93</v>
      </c>
      <c r="K412" s="6">
        <v>37627.93</v>
      </c>
      <c r="L412" s="6"/>
      <c r="M412" s="23">
        <v>2747.92</v>
      </c>
      <c r="N412" s="23">
        <v>2747.92</v>
      </c>
      <c r="O412" s="6"/>
      <c r="P412" s="6">
        <v>3641</v>
      </c>
      <c r="Q412" s="6">
        <v>64342719.090000004</v>
      </c>
      <c r="R412" s="6">
        <v>64500811.219999999</v>
      </c>
      <c r="S412" s="6"/>
      <c r="T412" s="4"/>
      <c r="U412" s="6"/>
      <c r="V412" s="6"/>
      <c r="W412" s="6"/>
      <c r="X412" s="6"/>
      <c r="Y412" s="5"/>
    </row>
    <row r="413" spans="1:25" ht="28.8" x14ac:dyDescent="0.25">
      <c r="A413" s="4">
        <v>2019</v>
      </c>
      <c r="B413" s="4">
        <v>12</v>
      </c>
      <c r="C413" s="4" t="s">
        <v>18</v>
      </c>
      <c r="D413" s="11">
        <v>650</v>
      </c>
      <c r="E413" s="5" t="s">
        <v>20</v>
      </c>
      <c r="F413" s="4" t="s">
        <v>35</v>
      </c>
      <c r="G413" s="5" t="s">
        <v>36</v>
      </c>
      <c r="H413" s="4" t="s">
        <v>34</v>
      </c>
      <c r="I413" s="4" t="s">
        <v>34</v>
      </c>
      <c r="J413" s="6">
        <v>138943.18</v>
      </c>
      <c r="K413" s="6">
        <v>138943.18</v>
      </c>
      <c r="L413" s="6"/>
      <c r="M413" s="23">
        <v>11748.15</v>
      </c>
      <c r="N413" s="23">
        <v>11748.15</v>
      </c>
      <c r="O413" s="6"/>
      <c r="P413" s="6">
        <v>15566.3</v>
      </c>
      <c r="Q413" s="6">
        <v>94478493.569999993</v>
      </c>
      <c r="R413" s="6">
        <v>94910893.540000007</v>
      </c>
      <c r="S413" s="6"/>
      <c r="T413" s="4"/>
      <c r="U413" s="6"/>
      <c r="V413" s="6"/>
      <c r="W413" s="6"/>
      <c r="X413" s="6"/>
      <c r="Y413" s="5"/>
    </row>
    <row r="414" spans="1:25" ht="28.8" x14ac:dyDescent="0.25">
      <c r="A414" s="4">
        <v>2019</v>
      </c>
      <c r="B414" s="4">
        <v>12</v>
      </c>
      <c r="C414" s="4" t="s">
        <v>18</v>
      </c>
      <c r="D414" s="11">
        <v>3093</v>
      </c>
      <c r="E414" s="5" t="s">
        <v>37</v>
      </c>
      <c r="F414" s="4" t="s">
        <v>38</v>
      </c>
      <c r="G414" s="5" t="s">
        <v>39</v>
      </c>
      <c r="H414" s="4" t="s">
        <v>34</v>
      </c>
      <c r="I414" s="4" t="s">
        <v>34</v>
      </c>
      <c r="J414" s="6">
        <v>19668.68</v>
      </c>
      <c r="K414" s="6">
        <v>19668.68</v>
      </c>
      <c r="L414" s="6"/>
      <c r="M414" s="23">
        <v>861.07</v>
      </c>
      <c r="N414" s="23">
        <v>861.07</v>
      </c>
      <c r="O414" s="6"/>
      <c r="P414" s="6">
        <v>1140.92</v>
      </c>
      <c r="Q414" s="6">
        <v>34190684.399999999</v>
      </c>
      <c r="R414" s="6">
        <v>34560129.32</v>
      </c>
      <c r="S414" s="6"/>
      <c r="T414" s="4"/>
      <c r="U414" s="6"/>
      <c r="V414" s="6"/>
      <c r="W414" s="6"/>
      <c r="X414" s="6"/>
      <c r="Y414" s="5"/>
    </row>
    <row r="415" spans="1:25" ht="28.8" x14ac:dyDescent="0.25">
      <c r="A415" s="4">
        <v>2019</v>
      </c>
      <c r="B415" s="4">
        <v>12</v>
      </c>
      <c r="C415" s="4" t="s">
        <v>18</v>
      </c>
      <c r="D415" s="11">
        <v>9653</v>
      </c>
      <c r="E415" s="5" t="s">
        <v>40</v>
      </c>
      <c r="F415" s="4" t="s">
        <v>41</v>
      </c>
      <c r="G415" s="5" t="s">
        <v>42</v>
      </c>
      <c r="H415" s="4" t="s">
        <v>34</v>
      </c>
      <c r="I415" s="4" t="s">
        <v>34</v>
      </c>
      <c r="J415" s="6">
        <v>125910.57</v>
      </c>
      <c r="K415" s="6">
        <v>125910.57</v>
      </c>
      <c r="L415" s="6"/>
      <c r="M415" s="23">
        <v>0</v>
      </c>
      <c r="N415" s="6"/>
      <c r="O415" s="6"/>
      <c r="P415" s="6"/>
      <c r="Q415" s="6"/>
      <c r="R415" s="6"/>
      <c r="S415" s="6"/>
      <c r="T415" s="4"/>
      <c r="U415" s="6"/>
      <c r="V415" s="6"/>
      <c r="W415" s="6"/>
      <c r="X415" s="6"/>
      <c r="Y415" s="5"/>
    </row>
    <row r="416" spans="1:25" ht="28.8" x14ac:dyDescent="0.25">
      <c r="A416" s="4">
        <v>2019</v>
      </c>
      <c r="B416" s="4">
        <v>12</v>
      </c>
      <c r="C416" s="4" t="s">
        <v>18</v>
      </c>
      <c r="D416" s="11">
        <v>62486</v>
      </c>
      <c r="E416" s="5" t="s">
        <v>275</v>
      </c>
      <c r="F416" s="4" t="s">
        <v>276</v>
      </c>
      <c r="G416" s="5" t="s">
        <v>277</v>
      </c>
      <c r="H416" s="4" t="s">
        <v>34</v>
      </c>
      <c r="I416" s="4" t="s">
        <v>34</v>
      </c>
      <c r="J416" s="6">
        <v>856.92</v>
      </c>
      <c r="K416" s="6">
        <v>856.92</v>
      </c>
      <c r="L416" s="6"/>
      <c r="M416" s="23">
        <v>496.62</v>
      </c>
      <c r="N416" s="23">
        <v>496.62</v>
      </c>
      <c r="O416" s="6"/>
      <c r="P416" s="6">
        <v>658.02</v>
      </c>
      <c r="Q416" s="6">
        <v>13407988.01</v>
      </c>
      <c r="R416" s="6">
        <v>30562523.109999999</v>
      </c>
      <c r="S416" s="6"/>
      <c r="T416" s="4"/>
      <c r="U416" s="6"/>
      <c r="V416" s="6"/>
      <c r="W416" s="6"/>
      <c r="X416" s="6"/>
      <c r="Y416" s="5"/>
    </row>
    <row r="417" spans="1:25" ht="28.8" x14ac:dyDescent="0.25">
      <c r="A417" s="4">
        <v>2020</v>
      </c>
      <c r="B417" s="4">
        <v>1</v>
      </c>
      <c r="C417" s="4" t="s">
        <v>18</v>
      </c>
      <c r="D417" s="11">
        <v>650</v>
      </c>
      <c r="E417" s="5" t="s">
        <v>20</v>
      </c>
      <c r="F417" s="4" t="s">
        <v>21</v>
      </c>
      <c r="G417" s="5" t="s">
        <v>22</v>
      </c>
      <c r="H417" s="4" t="s">
        <v>23</v>
      </c>
      <c r="I417" s="4" t="s">
        <v>23</v>
      </c>
      <c r="J417" s="6">
        <v>5712.69</v>
      </c>
      <c r="K417" s="6">
        <v>3120.91</v>
      </c>
      <c r="L417" s="6">
        <v>2591.7800000000002</v>
      </c>
      <c r="M417" s="23">
        <v>5712.69</v>
      </c>
      <c r="N417" s="23">
        <v>3120.91</v>
      </c>
      <c r="O417" s="23">
        <v>2591.7800000000002</v>
      </c>
      <c r="P417" s="6">
        <v>5169.01</v>
      </c>
      <c r="Q417" s="6">
        <v>136800912.47999999</v>
      </c>
      <c r="R417" s="6">
        <v>137927538.12</v>
      </c>
      <c r="S417" s="6">
        <v>5.2999999999999999E-2</v>
      </c>
      <c r="T417" s="4" t="s">
        <v>24</v>
      </c>
      <c r="U417" s="6">
        <v>0.05</v>
      </c>
      <c r="V417" s="6">
        <v>0.1</v>
      </c>
      <c r="W417" s="6"/>
      <c r="X417" s="6">
        <v>3434.11</v>
      </c>
      <c r="Y417" s="5"/>
    </row>
    <row r="418" spans="1:25" ht="28.8" x14ac:dyDescent="0.25">
      <c r="A418" s="4">
        <v>2020</v>
      </c>
      <c r="B418" s="4">
        <v>1</v>
      </c>
      <c r="C418" s="4" t="s">
        <v>18</v>
      </c>
      <c r="D418" s="11">
        <v>44321</v>
      </c>
      <c r="E418" s="5" t="s">
        <v>26</v>
      </c>
      <c r="F418" s="4" t="s">
        <v>27</v>
      </c>
      <c r="G418" s="5" t="s">
        <v>28</v>
      </c>
      <c r="H418" s="4" t="s">
        <v>23</v>
      </c>
      <c r="I418" s="4" t="s">
        <v>23</v>
      </c>
      <c r="J418" s="6">
        <v>53437.02</v>
      </c>
      <c r="K418" s="6">
        <v>12065.19</v>
      </c>
      <c r="L418" s="6">
        <v>41371.83</v>
      </c>
      <c r="M418" s="23">
        <v>53437.02</v>
      </c>
      <c r="N418" s="23">
        <v>12065.19</v>
      </c>
      <c r="O418" s="23">
        <v>41371.83</v>
      </c>
      <c r="P418" s="6">
        <v>19982.97</v>
      </c>
      <c r="Q418" s="6">
        <v>256957386.25999999</v>
      </c>
      <c r="R418" s="6">
        <v>258973693.41</v>
      </c>
      <c r="S418" s="6">
        <v>5.2999999999999999E-2</v>
      </c>
      <c r="T418" s="4" t="s">
        <v>17</v>
      </c>
      <c r="U418" s="6">
        <v>2.75E-2</v>
      </c>
      <c r="V418" s="6">
        <v>0.1</v>
      </c>
      <c r="W418" s="6"/>
      <c r="X418" s="6">
        <v>54817.68</v>
      </c>
      <c r="Y418" s="5"/>
    </row>
    <row r="419" spans="1:25" ht="28.8" x14ac:dyDescent="0.25">
      <c r="A419" s="4">
        <v>2020</v>
      </c>
      <c r="B419" s="4">
        <v>1</v>
      </c>
      <c r="C419" s="4" t="s">
        <v>18</v>
      </c>
      <c r="D419" s="11">
        <v>45792</v>
      </c>
      <c r="E419" s="5" t="s">
        <v>43</v>
      </c>
      <c r="F419" s="4" t="s">
        <v>44</v>
      </c>
      <c r="G419" s="5" t="s">
        <v>45</v>
      </c>
      <c r="H419" s="4" t="s">
        <v>34</v>
      </c>
      <c r="I419" s="4" t="s">
        <v>23</v>
      </c>
      <c r="J419" s="6">
        <v>9766.01</v>
      </c>
      <c r="K419" s="6">
        <v>9766.01</v>
      </c>
      <c r="L419" s="6"/>
      <c r="M419" s="23">
        <v>9766.01</v>
      </c>
      <c r="N419" s="23">
        <v>9766.01</v>
      </c>
      <c r="O419" s="6"/>
      <c r="P419" s="6">
        <v>12939.96</v>
      </c>
      <c r="Q419" s="6">
        <v>181106620.68000001</v>
      </c>
      <c r="R419" s="6">
        <v>183255059.61000001</v>
      </c>
      <c r="S419" s="6">
        <v>5.2999999999999999E-2</v>
      </c>
      <c r="T419" s="4" t="s">
        <v>17</v>
      </c>
      <c r="U419" s="6">
        <v>2.75E-2</v>
      </c>
      <c r="V419" s="6">
        <v>0.15</v>
      </c>
      <c r="W419" s="6"/>
      <c r="X419" s="6"/>
      <c r="Y419" s="5" t="s">
        <v>260</v>
      </c>
    </row>
    <row r="420" spans="1:25" ht="43.2" x14ac:dyDescent="0.25">
      <c r="A420" s="4">
        <v>2020</v>
      </c>
      <c r="B420" s="4">
        <v>1</v>
      </c>
      <c r="C420" s="4" t="s">
        <v>18</v>
      </c>
      <c r="D420" s="11">
        <v>45817</v>
      </c>
      <c r="E420" s="5" t="s">
        <v>29</v>
      </c>
      <c r="F420" s="4" t="s">
        <v>30</v>
      </c>
      <c r="G420" s="5" t="s">
        <v>31</v>
      </c>
      <c r="H420" s="4" t="s">
        <v>34</v>
      </c>
      <c r="I420" s="4" t="s">
        <v>23</v>
      </c>
      <c r="J420" s="6">
        <v>94375.39</v>
      </c>
      <c r="K420" s="6">
        <v>33823.71</v>
      </c>
      <c r="L420" s="6">
        <v>60551.68</v>
      </c>
      <c r="M420" s="23">
        <v>94375.39</v>
      </c>
      <c r="N420" s="23">
        <v>33823.71</v>
      </c>
      <c r="O420" s="23">
        <v>60551.68</v>
      </c>
      <c r="P420" s="6">
        <v>44816.41</v>
      </c>
      <c r="Q420" s="6">
        <v>366654938.07999998</v>
      </c>
      <c r="R420" s="6">
        <v>388460083.89999998</v>
      </c>
      <c r="S420" s="6">
        <v>5.2999999999999999E-2</v>
      </c>
      <c r="T420" s="4" t="s">
        <v>17</v>
      </c>
      <c r="U420" s="6">
        <v>2.75E-2</v>
      </c>
      <c r="V420" s="6">
        <v>0.1</v>
      </c>
      <c r="W420" s="6"/>
      <c r="X420" s="6">
        <v>80230.97</v>
      </c>
      <c r="Y420" s="5"/>
    </row>
    <row r="421" spans="1:25" ht="28.8" x14ac:dyDescent="0.25">
      <c r="A421" s="4">
        <v>2020</v>
      </c>
      <c r="B421" s="4">
        <v>1</v>
      </c>
      <c r="C421" s="4" t="s">
        <v>18</v>
      </c>
      <c r="D421" s="11">
        <v>49570</v>
      </c>
      <c r="E421" s="5" t="s">
        <v>50</v>
      </c>
      <c r="F421" s="4" t="s">
        <v>51</v>
      </c>
      <c r="G421" s="5" t="s">
        <v>52</v>
      </c>
      <c r="H421" s="4" t="s">
        <v>23</v>
      </c>
      <c r="I421" s="4" t="s">
        <v>23</v>
      </c>
      <c r="J421" s="6">
        <v>111272.67</v>
      </c>
      <c r="K421" s="6">
        <v>55656.27</v>
      </c>
      <c r="L421" s="6">
        <v>55616.4</v>
      </c>
      <c r="M421" s="23">
        <v>111272.67</v>
      </c>
      <c r="N421" s="23">
        <v>55656.27</v>
      </c>
      <c r="O421" s="23">
        <v>55616.4</v>
      </c>
      <c r="P421" s="6">
        <v>92180.69</v>
      </c>
      <c r="Q421" s="6">
        <v>749890679.75999999</v>
      </c>
      <c r="R421" s="6">
        <v>755302131.44000006</v>
      </c>
      <c r="S421" s="6">
        <v>5.2999999999999999E-2</v>
      </c>
      <c r="T421" s="4" t="s">
        <v>17</v>
      </c>
      <c r="U421" s="6">
        <v>2.75E-2</v>
      </c>
      <c r="V421" s="6">
        <v>0.1</v>
      </c>
      <c r="W421" s="6"/>
      <c r="X421" s="6">
        <v>73691.73</v>
      </c>
      <c r="Y421" s="5" t="s">
        <v>125</v>
      </c>
    </row>
    <row r="422" spans="1:25" ht="28.8" x14ac:dyDescent="0.25">
      <c r="A422" s="4">
        <v>2020</v>
      </c>
      <c r="B422" s="4">
        <v>1</v>
      </c>
      <c r="C422" s="4" t="s">
        <v>18</v>
      </c>
      <c r="D422" s="11">
        <v>50544</v>
      </c>
      <c r="E422" s="5" t="s">
        <v>53</v>
      </c>
      <c r="F422" s="4" t="s">
        <v>54</v>
      </c>
      <c r="G422" s="5" t="s">
        <v>55</v>
      </c>
      <c r="H422" s="4" t="s">
        <v>34</v>
      </c>
      <c r="I422" s="4" t="s">
        <v>23</v>
      </c>
      <c r="J422" s="6">
        <v>23637.45</v>
      </c>
      <c r="K422" s="6">
        <v>13299.63</v>
      </c>
      <c r="L422" s="6">
        <v>10337.82</v>
      </c>
      <c r="M422" s="23">
        <v>23637.45</v>
      </c>
      <c r="N422" s="23">
        <v>13299.63</v>
      </c>
      <c r="O422" s="23">
        <v>10337.82</v>
      </c>
      <c r="P422" s="6">
        <v>17622.009999999998</v>
      </c>
      <c r="Q422" s="6">
        <v>161468187.90000001</v>
      </c>
      <c r="R422" s="6">
        <v>162416283.25</v>
      </c>
      <c r="S422" s="6">
        <v>5.2999999999999999E-2</v>
      </c>
      <c r="T422" s="4" t="s">
        <v>24</v>
      </c>
      <c r="U422" s="6">
        <v>3.27E-2</v>
      </c>
      <c r="V422" s="6">
        <v>0.05</v>
      </c>
      <c r="W422" s="6"/>
      <c r="X422" s="6">
        <v>13697.61</v>
      </c>
      <c r="Y422" s="5"/>
    </row>
    <row r="423" spans="1:25" ht="28.8" x14ac:dyDescent="0.25">
      <c r="A423" s="4">
        <v>2020</v>
      </c>
      <c r="B423" s="4">
        <v>1</v>
      </c>
      <c r="C423" s="4" t="s">
        <v>18</v>
      </c>
      <c r="D423" s="11">
        <v>650</v>
      </c>
      <c r="E423" s="5" t="s">
        <v>20</v>
      </c>
      <c r="F423" s="4" t="s">
        <v>35</v>
      </c>
      <c r="G423" s="5" t="s">
        <v>36</v>
      </c>
      <c r="H423" s="4" t="s">
        <v>34</v>
      </c>
      <c r="I423" s="4" t="s">
        <v>34</v>
      </c>
      <c r="J423" s="6">
        <v>12163.74</v>
      </c>
      <c r="K423" s="6">
        <v>12163.74</v>
      </c>
      <c r="L423" s="6"/>
      <c r="M423" s="23">
        <v>12163.74</v>
      </c>
      <c r="N423" s="23">
        <v>12163.74</v>
      </c>
      <c r="O423" s="6"/>
      <c r="P423" s="6">
        <v>16116.96</v>
      </c>
      <c r="Q423" s="6">
        <v>94927015.340000004</v>
      </c>
      <c r="R423" s="6">
        <v>95367710.349999994</v>
      </c>
      <c r="S423" s="6"/>
      <c r="T423" s="4"/>
      <c r="U423" s="6"/>
      <c r="V423" s="6"/>
      <c r="W423" s="6"/>
      <c r="X423" s="6"/>
      <c r="Y423" s="5"/>
    </row>
    <row r="424" spans="1:25" ht="28.8" x14ac:dyDescent="0.25">
      <c r="A424" s="4">
        <v>2020</v>
      </c>
      <c r="B424" s="4">
        <v>1</v>
      </c>
      <c r="C424" s="4" t="s">
        <v>18</v>
      </c>
      <c r="D424" s="11">
        <v>650</v>
      </c>
      <c r="E424" s="5" t="s">
        <v>20</v>
      </c>
      <c r="F424" s="4" t="s">
        <v>32</v>
      </c>
      <c r="G424" s="5" t="s">
        <v>33</v>
      </c>
      <c r="H424" s="4" t="s">
        <v>34</v>
      </c>
      <c r="I424" s="4" t="s">
        <v>34</v>
      </c>
      <c r="J424" s="6">
        <v>2692.85</v>
      </c>
      <c r="K424" s="6">
        <v>2692.85</v>
      </c>
      <c r="L424" s="6"/>
      <c r="M424" s="23">
        <v>2692.85</v>
      </c>
      <c r="N424" s="23">
        <v>2692.85</v>
      </c>
      <c r="O424" s="6"/>
      <c r="P424" s="6">
        <v>3568.02</v>
      </c>
      <c r="Q424" s="6">
        <v>64517967.5</v>
      </c>
      <c r="R424" s="6">
        <v>64699586.140000001</v>
      </c>
      <c r="S424" s="6"/>
      <c r="T424" s="4"/>
      <c r="U424" s="6"/>
      <c r="V424" s="6"/>
      <c r="W424" s="6"/>
      <c r="X424" s="6"/>
      <c r="Y424" s="5"/>
    </row>
    <row r="425" spans="1:25" ht="28.8" x14ac:dyDescent="0.25">
      <c r="A425" s="4">
        <v>2020</v>
      </c>
      <c r="B425" s="4">
        <v>1</v>
      </c>
      <c r="C425" s="4" t="s">
        <v>18</v>
      </c>
      <c r="D425" s="11">
        <v>3093</v>
      </c>
      <c r="E425" s="5" t="s">
        <v>37</v>
      </c>
      <c r="F425" s="4" t="s">
        <v>38</v>
      </c>
      <c r="G425" s="5" t="s">
        <v>39</v>
      </c>
      <c r="H425" s="4" t="s">
        <v>34</v>
      </c>
      <c r="I425" s="4" t="s">
        <v>34</v>
      </c>
      <c r="J425" s="6">
        <v>908.26</v>
      </c>
      <c r="K425" s="6">
        <v>908.26</v>
      </c>
      <c r="L425" s="6"/>
      <c r="M425" s="23">
        <v>908.26</v>
      </c>
      <c r="N425" s="23">
        <v>908.26</v>
      </c>
      <c r="O425" s="6"/>
      <c r="P425" s="6">
        <v>1203.44</v>
      </c>
      <c r="Q425" s="6">
        <v>34554944.490000002</v>
      </c>
      <c r="R425" s="6">
        <v>34991200.229999997</v>
      </c>
      <c r="S425" s="6"/>
      <c r="T425" s="4"/>
      <c r="U425" s="6"/>
      <c r="V425" s="6"/>
      <c r="W425" s="6"/>
      <c r="X425" s="6"/>
      <c r="Y425" s="5"/>
    </row>
    <row r="426" spans="1:25" ht="28.8" x14ac:dyDescent="0.25">
      <c r="A426" s="4">
        <v>2020</v>
      </c>
      <c r="B426" s="4">
        <v>1</v>
      </c>
      <c r="C426" s="4" t="s">
        <v>18</v>
      </c>
      <c r="D426" s="11">
        <v>62486</v>
      </c>
      <c r="E426" s="5" t="s">
        <v>275</v>
      </c>
      <c r="F426" s="4" t="s">
        <v>276</v>
      </c>
      <c r="G426" s="5" t="s">
        <v>277</v>
      </c>
      <c r="H426" s="4" t="s">
        <v>34</v>
      </c>
      <c r="I426" s="4" t="s">
        <v>34</v>
      </c>
      <c r="J426" s="6">
        <v>1015.74</v>
      </c>
      <c r="K426" s="6">
        <v>1015.74</v>
      </c>
      <c r="L426" s="6"/>
      <c r="M426" s="23">
        <v>1015.74</v>
      </c>
      <c r="N426" s="23">
        <v>1015.74</v>
      </c>
      <c r="O426" s="6"/>
      <c r="P426" s="6">
        <v>1345.85</v>
      </c>
      <c r="Q426" s="6">
        <v>30587915.370000001</v>
      </c>
      <c r="R426" s="6">
        <v>38185978.869999997</v>
      </c>
      <c r="S426" s="6"/>
      <c r="T426" s="4"/>
      <c r="U426" s="6"/>
      <c r="V426" s="6"/>
      <c r="W426" s="6"/>
      <c r="X426" s="6"/>
      <c r="Y426" s="5"/>
    </row>
    <row r="427" spans="1:25" ht="28.8" x14ac:dyDescent="0.25">
      <c r="A427" s="4">
        <v>2020</v>
      </c>
      <c r="B427" s="4">
        <v>2</v>
      </c>
      <c r="C427" s="4" t="s">
        <v>18</v>
      </c>
      <c r="D427" s="11">
        <v>650</v>
      </c>
      <c r="E427" s="5" t="s">
        <v>20</v>
      </c>
      <c r="F427" s="4" t="s">
        <v>21</v>
      </c>
      <c r="G427" s="5" t="s">
        <v>22</v>
      </c>
      <c r="H427" s="4" t="s">
        <v>23</v>
      </c>
      <c r="I427" s="4" t="s">
        <v>23</v>
      </c>
      <c r="J427" s="6">
        <v>11150.99</v>
      </c>
      <c r="K427" s="6">
        <v>5943.03</v>
      </c>
      <c r="L427" s="6">
        <v>5207.96</v>
      </c>
      <c r="M427" s="23">
        <v>5438.3</v>
      </c>
      <c r="N427" s="23">
        <v>2822.12</v>
      </c>
      <c r="O427" s="23">
        <v>2616.1799999999998</v>
      </c>
      <c r="P427" s="6">
        <v>4674.1400000000003</v>
      </c>
      <c r="Q427" s="6">
        <v>137927538.12</v>
      </c>
      <c r="R427" s="6">
        <v>139387308.81999999</v>
      </c>
      <c r="S427" s="6">
        <v>5.2999999999999999E-2</v>
      </c>
      <c r="T427" s="4" t="s">
        <v>24</v>
      </c>
      <c r="U427" s="6">
        <v>0.05</v>
      </c>
      <c r="V427" s="6">
        <v>0.1</v>
      </c>
      <c r="W427" s="6"/>
      <c r="X427" s="6">
        <v>3466.44</v>
      </c>
      <c r="Y427" s="5"/>
    </row>
    <row r="428" spans="1:25" ht="28.8" x14ac:dyDescent="0.25">
      <c r="A428" s="4">
        <v>2020</v>
      </c>
      <c r="B428" s="4">
        <v>2</v>
      </c>
      <c r="C428" s="4" t="s">
        <v>18</v>
      </c>
      <c r="D428" s="11">
        <v>44321</v>
      </c>
      <c r="E428" s="5" t="s">
        <v>26</v>
      </c>
      <c r="F428" s="4" t="s">
        <v>27</v>
      </c>
      <c r="G428" s="5" t="s">
        <v>28</v>
      </c>
      <c r="H428" s="4" t="s">
        <v>23</v>
      </c>
      <c r="I428" s="4" t="s">
        <v>23</v>
      </c>
      <c r="J428" s="6">
        <v>106495.05</v>
      </c>
      <c r="K428" s="6">
        <v>23348.34</v>
      </c>
      <c r="L428" s="6">
        <v>83146.710000000006</v>
      </c>
      <c r="M428" s="23">
        <v>53058.03</v>
      </c>
      <c r="N428" s="23">
        <v>11283.15</v>
      </c>
      <c r="O428" s="23">
        <v>41774.879999999997</v>
      </c>
      <c r="P428" s="6">
        <v>18687.71</v>
      </c>
      <c r="Q428" s="6">
        <v>258973693.41</v>
      </c>
      <c r="R428" s="6">
        <v>261983629.87</v>
      </c>
      <c r="S428" s="6">
        <v>5.2999999999999999E-2</v>
      </c>
      <c r="T428" s="4" t="s">
        <v>17</v>
      </c>
      <c r="U428" s="6">
        <v>2.75E-2</v>
      </c>
      <c r="V428" s="6">
        <v>0.1</v>
      </c>
      <c r="W428" s="6"/>
      <c r="X428" s="6">
        <v>55351.72</v>
      </c>
      <c r="Y428" s="5"/>
    </row>
    <row r="429" spans="1:25" ht="28.8" x14ac:dyDescent="0.25">
      <c r="A429" s="4">
        <v>2020</v>
      </c>
      <c r="B429" s="4">
        <v>2</v>
      </c>
      <c r="C429" s="4" t="s">
        <v>18</v>
      </c>
      <c r="D429" s="11">
        <v>45792</v>
      </c>
      <c r="E429" s="5" t="s">
        <v>43</v>
      </c>
      <c r="F429" s="4" t="s">
        <v>44</v>
      </c>
      <c r="G429" s="5" t="s">
        <v>45</v>
      </c>
      <c r="H429" s="4" t="s">
        <v>34</v>
      </c>
      <c r="I429" s="4" t="s">
        <v>23</v>
      </c>
      <c r="J429" s="6">
        <v>20573.96</v>
      </c>
      <c r="K429" s="6">
        <v>20573.96</v>
      </c>
      <c r="L429" s="6"/>
      <c r="M429" s="23">
        <v>10807.95</v>
      </c>
      <c r="N429" s="23">
        <v>10807.95</v>
      </c>
      <c r="O429" s="6"/>
      <c r="P429" s="6">
        <v>14320.54</v>
      </c>
      <c r="Q429" s="6">
        <v>183255059.61000001</v>
      </c>
      <c r="R429" s="6">
        <v>195075304.78</v>
      </c>
      <c r="S429" s="6">
        <v>5.2999999999999999E-2</v>
      </c>
      <c r="T429" s="4" t="s">
        <v>17</v>
      </c>
      <c r="U429" s="6">
        <v>2.75E-2</v>
      </c>
      <c r="V429" s="6">
        <v>0.15</v>
      </c>
      <c r="W429" s="6"/>
      <c r="X429" s="6"/>
      <c r="Y429" s="5" t="s">
        <v>260</v>
      </c>
    </row>
    <row r="430" spans="1:25" ht="43.2" x14ac:dyDescent="0.25">
      <c r="A430" s="4">
        <v>2020</v>
      </c>
      <c r="B430" s="4">
        <v>2</v>
      </c>
      <c r="C430" s="4" t="s">
        <v>18</v>
      </c>
      <c r="D430" s="11">
        <v>45817</v>
      </c>
      <c r="E430" s="5" t="s">
        <v>29</v>
      </c>
      <c r="F430" s="4" t="s">
        <v>30</v>
      </c>
      <c r="G430" s="5" t="s">
        <v>31</v>
      </c>
      <c r="H430" s="4" t="s">
        <v>34</v>
      </c>
      <c r="I430" s="4" t="s">
        <v>23</v>
      </c>
      <c r="J430" s="6">
        <v>191848.39</v>
      </c>
      <c r="K430" s="6">
        <v>66824.13</v>
      </c>
      <c r="L430" s="6">
        <v>125024.26</v>
      </c>
      <c r="M430" s="23">
        <v>97473.01</v>
      </c>
      <c r="N430" s="23">
        <v>33000.42</v>
      </c>
      <c r="O430" s="23">
        <v>64472.59</v>
      </c>
      <c r="P430" s="6">
        <v>43725.56</v>
      </c>
      <c r="Q430" s="6">
        <v>388460083.89999998</v>
      </c>
      <c r="R430" s="6">
        <v>415551005.38999999</v>
      </c>
      <c r="S430" s="6">
        <v>5.2999999999999999E-2</v>
      </c>
      <c r="T430" s="4" t="s">
        <v>17</v>
      </c>
      <c r="U430" s="6">
        <v>2.75E-2</v>
      </c>
      <c r="V430" s="6">
        <v>0.1</v>
      </c>
      <c r="W430" s="6"/>
      <c r="X430" s="6">
        <v>85426.18</v>
      </c>
      <c r="Y430" s="5"/>
    </row>
    <row r="431" spans="1:25" ht="28.8" x14ac:dyDescent="0.25">
      <c r="A431" s="4">
        <v>2020</v>
      </c>
      <c r="B431" s="4">
        <v>2</v>
      </c>
      <c r="C431" s="4" t="s">
        <v>18</v>
      </c>
      <c r="D431" s="11">
        <v>49570</v>
      </c>
      <c r="E431" s="5" t="s">
        <v>50</v>
      </c>
      <c r="F431" s="4" t="s">
        <v>51</v>
      </c>
      <c r="G431" s="5" t="s">
        <v>52</v>
      </c>
      <c r="H431" s="4" t="s">
        <v>23</v>
      </c>
      <c r="I431" s="4" t="s">
        <v>23</v>
      </c>
      <c r="J431" s="6">
        <v>220038.82</v>
      </c>
      <c r="K431" s="6">
        <v>108290.45</v>
      </c>
      <c r="L431" s="6">
        <v>111748.37</v>
      </c>
      <c r="M431" s="23">
        <v>108766.15</v>
      </c>
      <c r="N431" s="23">
        <v>52634.18</v>
      </c>
      <c r="O431" s="23">
        <v>56131.97</v>
      </c>
      <c r="P431" s="6">
        <v>87175.360000000001</v>
      </c>
      <c r="Q431" s="6">
        <v>755302131.44000006</v>
      </c>
      <c r="R431" s="6">
        <v>763843913.01999998</v>
      </c>
      <c r="S431" s="6">
        <v>5.2999999999999999E-2</v>
      </c>
      <c r="T431" s="4" t="s">
        <v>17</v>
      </c>
      <c r="U431" s="6">
        <v>2.75E-2</v>
      </c>
      <c r="V431" s="6">
        <v>0.1</v>
      </c>
      <c r="W431" s="6"/>
      <c r="X431" s="6">
        <v>74374.86</v>
      </c>
      <c r="Y431" s="5" t="s">
        <v>125</v>
      </c>
    </row>
    <row r="432" spans="1:25" ht="28.8" x14ac:dyDescent="0.25">
      <c r="A432" s="4">
        <v>2020</v>
      </c>
      <c r="B432" s="4">
        <v>2</v>
      </c>
      <c r="C432" s="4" t="s">
        <v>18</v>
      </c>
      <c r="D432" s="11">
        <v>50544</v>
      </c>
      <c r="E432" s="5" t="s">
        <v>53</v>
      </c>
      <c r="F432" s="4" t="s">
        <v>54</v>
      </c>
      <c r="G432" s="5" t="s">
        <v>55</v>
      </c>
      <c r="H432" s="4" t="s">
        <v>34</v>
      </c>
      <c r="I432" s="4" t="s">
        <v>23</v>
      </c>
      <c r="J432" s="6">
        <v>45860.55</v>
      </c>
      <c r="K432" s="6">
        <v>25097.8</v>
      </c>
      <c r="L432" s="6">
        <v>20762.75</v>
      </c>
      <c r="M432" s="23">
        <v>22223.09</v>
      </c>
      <c r="N432" s="23">
        <v>11798.17</v>
      </c>
      <c r="O432" s="23">
        <v>10424.92</v>
      </c>
      <c r="P432" s="6">
        <v>15632.58</v>
      </c>
      <c r="Q432" s="6">
        <v>162416283.25</v>
      </c>
      <c r="R432" s="6">
        <v>164197115.44999999</v>
      </c>
      <c r="S432" s="6">
        <v>5.2999999999999999E-2</v>
      </c>
      <c r="T432" s="4" t="s">
        <v>24</v>
      </c>
      <c r="U432" s="6">
        <v>3.27E-2</v>
      </c>
      <c r="V432" s="6">
        <v>0.05</v>
      </c>
      <c r="W432" s="6"/>
      <c r="X432" s="6">
        <v>13813.02</v>
      </c>
      <c r="Y432" s="5"/>
    </row>
    <row r="433" spans="1:25" ht="28.8" x14ac:dyDescent="0.25">
      <c r="A433" s="4">
        <v>2020</v>
      </c>
      <c r="B433" s="4">
        <v>2</v>
      </c>
      <c r="C433" s="4" t="s">
        <v>18</v>
      </c>
      <c r="D433" s="11">
        <v>62486</v>
      </c>
      <c r="E433" s="5" t="s">
        <v>275</v>
      </c>
      <c r="F433" s="4" t="s">
        <v>276</v>
      </c>
      <c r="G433" s="5" t="s">
        <v>277</v>
      </c>
      <c r="H433" s="4" t="s">
        <v>34</v>
      </c>
      <c r="I433" s="4" t="s">
        <v>23</v>
      </c>
      <c r="J433" s="6">
        <v>6387.62</v>
      </c>
      <c r="K433" s="6">
        <v>2336.2600000000002</v>
      </c>
      <c r="L433" s="6">
        <v>4051.36</v>
      </c>
      <c r="M433" s="23">
        <v>5371.88</v>
      </c>
      <c r="N433" s="23">
        <v>1320.52</v>
      </c>
      <c r="O433" s="23">
        <v>4051.36</v>
      </c>
      <c r="P433" s="6">
        <v>1749.69</v>
      </c>
      <c r="Q433" s="6">
        <v>38185978.869999997</v>
      </c>
      <c r="R433" s="6">
        <v>51281645.170000002</v>
      </c>
      <c r="S433" s="6">
        <v>5.2999999999999999E-2</v>
      </c>
      <c r="T433" s="4" t="s">
        <v>17</v>
      </c>
      <c r="U433" s="6">
        <v>2.75E-2</v>
      </c>
      <c r="V433" s="6">
        <v>0.08</v>
      </c>
      <c r="W433" s="6"/>
      <c r="X433" s="6">
        <v>5368.06</v>
      </c>
      <c r="Y433" s="5" t="s">
        <v>279</v>
      </c>
    </row>
    <row r="434" spans="1:25" ht="28.8" x14ac:dyDescent="0.25">
      <c r="A434" s="4">
        <v>2020</v>
      </c>
      <c r="B434" s="4">
        <v>2</v>
      </c>
      <c r="C434" s="4" t="s">
        <v>18</v>
      </c>
      <c r="D434" s="11">
        <v>650</v>
      </c>
      <c r="E434" s="5" t="s">
        <v>20</v>
      </c>
      <c r="F434" s="4" t="s">
        <v>32</v>
      </c>
      <c r="G434" s="5" t="s">
        <v>33</v>
      </c>
      <c r="H434" s="4" t="s">
        <v>34</v>
      </c>
      <c r="I434" s="4" t="s">
        <v>34</v>
      </c>
      <c r="J434" s="6">
        <v>5218.3500000000004</v>
      </c>
      <c r="K434" s="6">
        <v>5218.3500000000004</v>
      </c>
      <c r="L434" s="6"/>
      <c r="M434" s="23">
        <v>2525.5100000000002</v>
      </c>
      <c r="N434" s="23">
        <v>2525.5100000000002</v>
      </c>
      <c r="O434" s="6"/>
      <c r="P434" s="6">
        <v>3346.3</v>
      </c>
      <c r="Q434" s="6">
        <v>64699586.140000001</v>
      </c>
      <c r="R434" s="6">
        <v>64943356.310000002</v>
      </c>
      <c r="S434" s="6"/>
      <c r="T434" s="4"/>
      <c r="U434" s="6"/>
      <c r="V434" s="6"/>
      <c r="W434" s="6"/>
      <c r="X434" s="6"/>
      <c r="Y434" s="5"/>
    </row>
    <row r="435" spans="1:25" ht="28.8" x14ac:dyDescent="0.25">
      <c r="A435" s="4">
        <v>2020</v>
      </c>
      <c r="B435" s="4">
        <v>2</v>
      </c>
      <c r="C435" s="4" t="s">
        <v>18</v>
      </c>
      <c r="D435" s="11">
        <v>650</v>
      </c>
      <c r="E435" s="5" t="s">
        <v>20</v>
      </c>
      <c r="F435" s="4" t="s">
        <v>35</v>
      </c>
      <c r="G435" s="5" t="s">
        <v>36</v>
      </c>
      <c r="H435" s="4" t="s">
        <v>34</v>
      </c>
      <c r="I435" s="4" t="s">
        <v>34</v>
      </c>
      <c r="J435" s="6">
        <v>23594.36</v>
      </c>
      <c r="K435" s="6">
        <v>23594.36</v>
      </c>
      <c r="L435" s="6"/>
      <c r="M435" s="23">
        <v>11430.62</v>
      </c>
      <c r="N435" s="23">
        <v>11430.62</v>
      </c>
      <c r="O435" s="6"/>
      <c r="P435" s="6">
        <v>15145.57</v>
      </c>
      <c r="Q435" s="6">
        <v>95367710.349999994</v>
      </c>
      <c r="R435" s="6">
        <v>95790171.469999999</v>
      </c>
      <c r="S435" s="6"/>
      <c r="T435" s="4"/>
      <c r="U435" s="6"/>
      <c r="V435" s="6"/>
      <c r="W435" s="6"/>
      <c r="X435" s="6"/>
      <c r="Y435" s="5"/>
    </row>
    <row r="436" spans="1:25" ht="28.8" x14ac:dyDescent="0.25">
      <c r="A436" s="4">
        <v>2020</v>
      </c>
      <c r="B436" s="4">
        <v>2</v>
      </c>
      <c r="C436" s="4" t="s">
        <v>18</v>
      </c>
      <c r="D436" s="11">
        <v>3093</v>
      </c>
      <c r="E436" s="5" t="s">
        <v>37</v>
      </c>
      <c r="F436" s="4" t="s">
        <v>38</v>
      </c>
      <c r="G436" s="5" t="s">
        <v>39</v>
      </c>
      <c r="H436" s="4" t="s">
        <v>34</v>
      </c>
      <c r="I436" s="4" t="s">
        <v>34</v>
      </c>
      <c r="J436" s="6">
        <v>1760.55</v>
      </c>
      <c r="K436" s="6">
        <v>1760.55</v>
      </c>
      <c r="L436" s="6"/>
      <c r="M436" s="23">
        <v>852.29</v>
      </c>
      <c r="N436" s="23">
        <v>852.29</v>
      </c>
      <c r="O436" s="6"/>
      <c r="P436" s="6">
        <v>1129.29</v>
      </c>
      <c r="Q436" s="6">
        <v>34991200.229999997</v>
      </c>
      <c r="R436" s="6">
        <v>35375766.619999997</v>
      </c>
      <c r="S436" s="6"/>
      <c r="T436" s="4"/>
      <c r="U436" s="6"/>
      <c r="V436" s="6"/>
      <c r="W436" s="6"/>
      <c r="X436" s="6"/>
      <c r="Y436" s="5"/>
    </row>
    <row r="437" spans="1:25" ht="28.8" x14ac:dyDescent="0.25">
      <c r="A437" s="4">
        <v>2020</v>
      </c>
      <c r="B437" s="4">
        <v>3</v>
      </c>
      <c r="C437" s="4" t="s">
        <v>18</v>
      </c>
      <c r="D437" s="11">
        <v>650</v>
      </c>
      <c r="E437" s="5" t="s">
        <v>20</v>
      </c>
      <c r="F437" s="4" t="s">
        <v>21</v>
      </c>
      <c r="G437" s="5" t="s">
        <v>22</v>
      </c>
      <c r="H437" s="4" t="s">
        <v>23</v>
      </c>
      <c r="I437" s="4" t="s">
        <v>23</v>
      </c>
      <c r="J437" s="6">
        <v>15575.85</v>
      </c>
      <c r="K437" s="6">
        <v>7753.26</v>
      </c>
      <c r="L437" s="6">
        <v>7822.59</v>
      </c>
      <c r="M437" s="23">
        <v>4424.8599999999997</v>
      </c>
      <c r="N437" s="23">
        <v>1810.23</v>
      </c>
      <c r="O437" s="23">
        <v>2614.63</v>
      </c>
      <c r="P437" s="6">
        <v>2998.19</v>
      </c>
      <c r="Q437" s="6">
        <v>139387308.81999999</v>
      </c>
      <c r="R437" s="6">
        <v>137763780.50999999</v>
      </c>
      <c r="S437" s="6">
        <v>5.2999999999999999E-2</v>
      </c>
      <c r="T437" s="4" t="s">
        <v>24</v>
      </c>
      <c r="U437" s="6">
        <v>0.05</v>
      </c>
      <c r="V437" s="6">
        <v>0.1</v>
      </c>
      <c r="W437" s="6"/>
      <c r="X437" s="6">
        <v>3464.39</v>
      </c>
      <c r="Y437" s="5"/>
    </row>
    <row r="438" spans="1:25" ht="28.8" x14ac:dyDescent="0.25">
      <c r="A438" s="4">
        <v>2020</v>
      </c>
      <c r="B438" s="4">
        <v>3</v>
      </c>
      <c r="C438" s="4" t="s">
        <v>18</v>
      </c>
      <c r="D438" s="11">
        <v>44321</v>
      </c>
      <c r="E438" s="5" t="s">
        <v>26</v>
      </c>
      <c r="F438" s="4" t="s">
        <v>27</v>
      </c>
      <c r="G438" s="5" t="s">
        <v>28</v>
      </c>
      <c r="H438" s="4" t="s">
        <v>23</v>
      </c>
      <c r="I438" s="4" t="s">
        <v>23</v>
      </c>
      <c r="J438" s="6">
        <v>159472.78</v>
      </c>
      <c r="K438" s="6">
        <v>34511.49</v>
      </c>
      <c r="L438" s="6">
        <v>124961.29</v>
      </c>
      <c r="M438" s="23">
        <v>52977.72</v>
      </c>
      <c r="N438" s="23">
        <v>11163.15</v>
      </c>
      <c r="O438" s="23">
        <v>41814.57</v>
      </c>
      <c r="P438" s="6">
        <v>18488.97</v>
      </c>
      <c r="Q438" s="6">
        <v>261983629.87</v>
      </c>
      <c r="R438" s="6">
        <v>259468704.87</v>
      </c>
      <c r="S438" s="6">
        <v>5.2999999999999999E-2</v>
      </c>
      <c r="T438" s="4" t="s">
        <v>17</v>
      </c>
      <c r="U438" s="6">
        <v>2.75E-2</v>
      </c>
      <c r="V438" s="6">
        <v>0.1</v>
      </c>
      <c r="W438" s="6"/>
      <c r="X438" s="6">
        <v>55404.31</v>
      </c>
      <c r="Y438" s="5"/>
    </row>
    <row r="439" spans="1:25" ht="28.8" x14ac:dyDescent="0.25">
      <c r="A439" s="4">
        <v>2020</v>
      </c>
      <c r="B439" s="4">
        <v>3</v>
      </c>
      <c r="C439" s="4" t="s">
        <v>18</v>
      </c>
      <c r="D439" s="11">
        <v>45792</v>
      </c>
      <c r="E439" s="5" t="s">
        <v>43</v>
      </c>
      <c r="F439" s="4" t="s">
        <v>44</v>
      </c>
      <c r="G439" s="5" t="s">
        <v>45</v>
      </c>
      <c r="H439" s="4" t="s">
        <v>34</v>
      </c>
      <c r="I439" s="4" t="s">
        <v>23</v>
      </c>
      <c r="J439" s="6">
        <v>33989.53</v>
      </c>
      <c r="K439" s="6">
        <v>33989.53</v>
      </c>
      <c r="L439" s="6"/>
      <c r="M439" s="23">
        <v>13415.57</v>
      </c>
      <c r="N439" s="23">
        <v>13415.57</v>
      </c>
      <c r="O439" s="6"/>
      <c r="P439" s="6">
        <v>17775.63</v>
      </c>
      <c r="Q439" s="6">
        <v>195075304.78</v>
      </c>
      <c r="R439" s="6">
        <v>193552622.52000001</v>
      </c>
      <c r="S439" s="6">
        <v>5.2999999999999999E-2</v>
      </c>
      <c r="T439" s="4" t="s">
        <v>17</v>
      </c>
      <c r="U439" s="6">
        <v>2.75E-2</v>
      </c>
      <c r="V439" s="6">
        <v>0.15</v>
      </c>
      <c r="W439" s="6"/>
      <c r="X439" s="6"/>
      <c r="Y439" s="5" t="s">
        <v>260</v>
      </c>
    </row>
    <row r="440" spans="1:25" ht="43.2" x14ac:dyDescent="0.25">
      <c r="A440" s="4">
        <v>2020</v>
      </c>
      <c r="B440" s="4">
        <v>3</v>
      </c>
      <c r="C440" s="4" t="s">
        <v>18</v>
      </c>
      <c r="D440" s="11">
        <v>45817</v>
      </c>
      <c r="E440" s="5" t="s">
        <v>29</v>
      </c>
      <c r="F440" s="4" t="s">
        <v>30</v>
      </c>
      <c r="G440" s="5" t="s">
        <v>31</v>
      </c>
      <c r="H440" s="4" t="s">
        <v>34</v>
      </c>
      <c r="I440" s="4" t="s">
        <v>23</v>
      </c>
      <c r="J440" s="6">
        <v>296699.27</v>
      </c>
      <c r="K440" s="6">
        <v>103372.56</v>
      </c>
      <c r="L440" s="6">
        <v>193326.71</v>
      </c>
      <c r="M440" s="23">
        <v>104850.87</v>
      </c>
      <c r="N440" s="23">
        <v>36548.43</v>
      </c>
      <c r="O440" s="23">
        <v>68302.44</v>
      </c>
      <c r="P440" s="6">
        <v>48426.67</v>
      </c>
      <c r="Q440" s="6">
        <v>415551005.38999999</v>
      </c>
      <c r="R440" s="6">
        <v>436220643.88</v>
      </c>
      <c r="S440" s="6">
        <v>5.2999999999999999E-2</v>
      </c>
      <c r="T440" s="4" t="s">
        <v>17</v>
      </c>
      <c r="U440" s="6">
        <v>2.75E-2</v>
      </c>
      <c r="V440" s="6">
        <v>0.1</v>
      </c>
      <c r="W440" s="6"/>
      <c r="X440" s="6">
        <v>90500.74</v>
      </c>
      <c r="Y440" s="5"/>
    </row>
    <row r="441" spans="1:25" ht="28.8" x14ac:dyDescent="0.25">
      <c r="A441" s="4">
        <v>2020</v>
      </c>
      <c r="B441" s="4">
        <v>3</v>
      </c>
      <c r="C441" s="4" t="s">
        <v>18</v>
      </c>
      <c r="D441" s="11">
        <v>49570</v>
      </c>
      <c r="E441" s="5" t="s">
        <v>50</v>
      </c>
      <c r="F441" s="4" t="s">
        <v>51</v>
      </c>
      <c r="G441" s="5" t="s">
        <v>52</v>
      </c>
      <c r="H441" s="4" t="s">
        <v>23</v>
      </c>
      <c r="I441" s="4" t="s">
        <v>23</v>
      </c>
      <c r="J441" s="6">
        <v>332483.96000000002</v>
      </c>
      <c r="K441" s="6">
        <v>164469.51</v>
      </c>
      <c r="L441" s="6">
        <v>168014.45</v>
      </c>
      <c r="M441" s="23">
        <v>112445.15</v>
      </c>
      <c r="N441" s="23">
        <v>56179.07</v>
      </c>
      <c r="O441" s="23">
        <v>56266.080000000002</v>
      </c>
      <c r="P441" s="6">
        <v>93046.58</v>
      </c>
      <c r="Q441" s="6">
        <v>763843913.01999998</v>
      </c>
      <c r="R441" s="6">
        <v>758931758.53999996</v>
      </c>
      <c r="S441" s="6">
        <v>5.2999999999999999E-2</v>
      </c>
      <c r="T441" s="4" t="s">
        <v>17</v>
      </c>
      <c r="U441" s="6">
        <v>2.75E-2</v>
      </c>
      <c r="V441" s="6">
        <v>0.1</v>
      </c>
      <c r="W441" s="6"/>
      <c r="X441" s="6">
        <v>74552.56</v>
      </c>
      <c r="Y441" s="5" t="s">
        <v>125</v>
      </c>
    </row>
    <row r="442" spans="1:25" ht="28.8" x14ac:dyDescent="0.25">
      <c r="A442" s="4">
        <v>2020</v>
      </c>
      <c r="B442" s="4">
        <v>3</v>
      </c>
      <c r="C442" s="4" t="s">
        <v>18</v>
      </c>
      <c r="D442" s="11">
        <v>50544</v>
      </c>
      <c r="E442" s="5" t="s">
        <v>53</v>
      </c>
      <c r="F442" s="4" t="s">
        <v>54</v>
      </c>
      <c r="G442" s="5" t="s">
        <v>55</v>
      </c>
      <c r="H442" s="4" t="s">
        <v>34</v>
      </c>
      <c r="I442" s="4" t="s">
        <v>23</v>
      </c>
      <c r="J442" s="6">
        <v>66698.84</v>
      </c>
      <c r="K442" s="6">
        <v>35521.99</v>
      </c>
      <c r="L442" s="6">
        <v>31176.85</v>
      </c>
      <c r="M442" s="23">
        <v>20838.29</v>
      </c>
      <c r="N442" s="23">
        <v>10424.19</v>
      </c>
      <c r="O442" s="23">
        <v>10414.1</v>
      </c>
      <c r="P442" s="6">
        <v>13812.05</v>
      </c>
      <c r="Q442" s="6">
        <v>164197115.44999999</v>
      </c>
      <c r="R442" s="6">
        <v>162077266.66999999</v>
      </c>
      <c r="S442" s="6">
        <v>5.2999999999999999E-2</v>
      </c>
      <c r="T442" s="4" t="s">
        <v>24</v>
      </c>
      <c r="U442" s="6">
        <v>3.27E-2</v>
      </c>
      <c r="V442" s="6">
        <v>0.05</v>
      </c>
      <c r="W442" s="6"/>
      <c r="X442" s="6">
        <v>13798.69</v>
      </c>
      <c r="Y442" s="5"/>
    </row>
    <row r="443" spans="1:25" ht="28.8" x14ac:dyDescent="0.25">
      <c r="A443" s="4">
        <v>2020</v>
      </c>
      <c r="B443" s="4">
        <v>3</v>
      </c>
      <c r="C443" s="4" t="s">
        <v>18</v>
      </c>
      <c r="D443" s="11">
        <v>62486</v>
      </c>
      <c r="E443" s="5" t="s">
        <v>275</v>
      </c>
      <c r="F443" s="4" t="s">
        <v>276</v>
      </c>
      <c r="G443" s="5" t="s">
        <v>277</v>
      </c>
      <c r="H443" s="4" t="s">
        <v>34</v>
      </c>
      <c r="I443" s="4" t="s">
        <v>23</v>
      </c>
      <c r="J443" s="6">
        <v>13126.99</v>
      </c>
      <c r="K443" s="6">
        <v>3690.8</v>
      </c>
      <c r="L443" s="6">
        <v>9436.19</v>
      </c>
      <c r="M443" s="23">
        <v>6739.37</v>
      </c>
      <c r="N443" s="23">
        <v>1354.54</v>
      </c>
      <c r="O443" s="23">
        <v>5384.83</v>
      </c>
      <c r="P443" s="6">
        <v>1794.77</v>
      </c>
      <c r="Q443" s="6">
        <v>51281645.170000002</v>
      </c>
      <c r="R443" s="6">
        <v>67633301.629999995</v>
      </c>
      <c r="S443" s="6">
        <v>5.2999999999999999E-2</v>
      </c>
      <c r="T443" s="4" t="s">
        <v>17</v>
      </c>
      <c r="U443" s="6">
        <v>2.75E-2</v>
      </c>
      <c r="V443" s="6">
        <v>0.08</v>
      </c>
      <c r="W443" s="6"/>
      <c r="X443" s="6">
        <v>7134.9</v>
      </c>
      <c r="Y443" s="5" t="s">
        <v>279</v>
      </c>
    </row>
    <row r="444" spans="1:25" ht="28.8" x14ac:dyDescent="0.25">
      <c r="A444" s="4">
        <v>2020</v>
      </c>
      <c r="B444" s="4">
        <v>3</v>
      </c>
      <c r="C444" s="4" t="s">
        <v>18</v>
      </c>
      <c r="D444" s="11">
        <v>650</v>
      </c>
      <c r="E444" s="5" t="s">
        <v>20</v>
      </c>
      <c r="F444" s="4" t="s">
        <v>32</v>
      </c>
      <c r="G444" s="5" t="s">
        <v>33</v>
      </c>
      <c r="H444" s="4" t="s">
        <v>34</v>
      </c>
      <c r="I444" s="4" t="s">
        <v>34</v>
      </c>
      <c r="J444" s="6">
        <v>7926.26</v>
      </c>
      <c r="K444" s="6">
        <v>7926.26</v>
      </c>
      <c r="L444" s="6"/>
      <c r="M444" s="23">
        <v>2707.9</v>
      </c>
      <c r="N444" s="23">
        <v>2707.9</v>
      </c>
      <c r="O444" s="6"/>
      <c r="P444" s="6">
        <v>3587.97</v>
      </c>
      <c r="Q444" s="6">
        <v>64943356.310000002</v>
      </c>
      <c r="R444" s="6">
        <v>65172572.149999999</v>
      </c>
      <c r="S444" s="6"/>
      <c r="T444" s="4"/>
      <c r="U444" s="6"/>
      <c r="V444" s="6"/>
      <c r="W444" s="6"/>
      <c r="X444" s="6"/>
      <c r="Y444" s="5"/>
    </row>
    <row r="445" spans="1:25" ht="28.8" x14ac:dyDescent="0.25">
      <c r="A445" s="4">
        <v>2020</v>
      </c>
      <c r="B445" s="4">
        <v>3</v>
      </c>
      <c r="C445" s="4" t="s">
        <v>18</v>
      </c>
      <c r="D445" s="11">
        <v>650</v>
      </c>
      <c r="E445" s="5" t="s">
        <v>20</v>
      </c>
      <c r="F445" s="4" t="s">
        <v>35</v>
      </c>
      <c r="G445" s="5" t="s">
        <v>36</v>
      </c>
      <c r="H445" s="4" t="s">
        <v>34</v>
      </c>
      <c r="I445" s="4" t="s">
        <v>34</v>
      </c>
      <c r="J445" s="6">
        <v>35869.410000000003</v>
      </c>
      <c r="K445" s="6">
        <v>35869.410000000003</v>
      </c>
      <c r="L445" s="6"/>
      <c r="M445" s="23">
        <v>12275.05</v>
      </c>
      <c r="N445" s="23">
        <v>12275.05</v>
      </c>
      <c r="O445" s="6"/>
      <c r="P445" s="6">
        <v>16264.44</v>
      </c>
      <c r="Q445" s="6">
        <v>95790171.469999999</v>
      </c>
      <c r="R445" s="6">
        <v>96248658.329999998</v>
      </c>
      <c r="S445" s="6"/>
      <c r="T445" s="4"/>
      <c r="U445" s="6"/>
      <c r="V445" s="6"/>
      <c r="W445" s="6"/>
      <c r="X445" s="6"/>
      <c r="Y445" s="5"/>
    </row>
    <row r="446" spans="1:25" ht="28.8" x14ac:dyDescent="0.25">
      <c r="A446" s="4">
        <v>2020</v>
      </c>
      <c r="B446" s="4">
        <v>3</v>
      </c>
      <c r="C446" s="4" t="s">
        <v>18</v>
      </c>
      <c r="D446" s="11">
        <v>3093</v>
      </c>
      <c r="E446" s="5" t="s">
        <v>37</v>
      </c>
      <c r="F446" s="4" t="s">
        <v>38</v>
      </c>
      <c r="G446" s="5" t="s">
        <v>39</v>
      </c>
      <c r="H446" s="4" t="s">
        <v>34</v>
      </c>
      <c r="I446" s="4" t="s">
        <v>34</v>
      </c>
      <c r="J446" s="6">
        <v>2679.16</v>
      </c>
      <c r="K446" s="6">
        <v>2679.16</v>
      </c>
      <c r="L446" s="6"/>
      <c r="M446" s="23">
        <v>918.61</v>
      </c>
      <c r="N446" s="23">
        <v>918.61</v>
      </c>
      <c r="O446" s="6"/>
      <c r="P446" s="6">
        <v>1217.1600000000001</v>
      </c>
      <c r="Q446" s="6">
        <v>35375766.619999997</v>
      </c>
      <c r="R446" s="6">
        <v>34838229.5</v>
      </c>
      <c r="S446" s="6"/>
      <c r="T446" s="4"/>
      <c r="U446" s="6"/>
      <c r="V446" s="6"/>
      <c r="W446" s="6"/>
      <c r="X446" s="6"/>
      <c r="Y446" s="5"/>
    </row>
    <row r="447" spans="1:25" ht="28.8" x14ac:dyDescent="0.25">
      <c r="A447" s="4">
        <v>2020</v>
      </c>
      <c r="B447" s="4">
        <v>4</v>
      </c>
      <c r="C447" s="4" t="s">
        <v>18</v>
      </c>
      <c r="D447" s="11">
        <v>650</v>
      </c>
      <c r="E447" s="5" t="s">
        <v>20</v>
      </c>
      <c r="F447" s="4" t="s">
        <v>21</v>
      </c>
      <c r="G447" s="5" t="s">
        <v>22</v>
      </c>
      <c r="H447" s="4" t="s">
        <v>23</v>
      </c>
      <c r="I447" s="4" t="s">
        <v>23</v>
      </c>
      <c r="J447" s="6">
        <v>19147.240000000002</v>
      </c>
      <c r="K447" s="6">
        <v>8707.59</v>
      </c>
      <c r="L447" s="6">
        <v>10439.65</v>
      </c>
      <c r="M447" s="23">
        <v>3571.38</v>
      </c>
      <c r="N447" s="23">
        <v>954.32</v>
      </c>
      <c r="O447" s="23">
        <v>2617.06</v>
      </c>
      <c r="P447" s="6">
        <v>1580.6</v>
      </c>
      <c r="Q447" s="6">
        <v>137763780.50999999</v>
      </c>
      <c r="R447" s="6">
        <v>139644861.50999999</v>
      </c>
      <c r="S447" s="6">
        <v>5.2999999999999999E-2</v>
      </c>
      <c r="T447" s="4" t="s">
        <v>24</v>
      </c>
      <c r="U447" s="6">
        <v>0.05</v>
      </c>
      <c r="V447" s="6">
        <v>0.1</v>
      </c>
      <c r="W447" s="6"/>
      <c r="X447" s="6">
        <v>3467.61</v>
      </c>
      <c r="Y447" s="5"/>
    </row>
    <row r="448" spans="1:25" ht="28.8" x14ac:dyDescent="0.25">
      <c r="A448" s="4">
        <v>2020</v>
      </c>
      <c r="B448" s="4">
        <v>4</v>
      </c>
      <c r="C448" s="4" t="s">
        <v>18</v>
      </c>
      <c r="D448" s="11">
        <v>44321</v>
      </c>
      <c r="E448" s="5" t="s">
        <v>26</v>
      </c>
      <c r="F448" s="4" t="s">
        <v>27</v>
      </c>
      <c r="G448" s="5" t="s">
        <v>28</v>
      </c>
      <c r="H448" s="4" t="s">
        <v>23</v>
      </c>
      <c r="I448" s="4" t="s">
        <v>23</v>
      </c>
      <c r="J448" s="6">
        <v>212688.16</v>
      </c>
      <c r="K448" s="6">
        <v>45874.28</v>
      </c>
      <c r="L448" s="6">
        <v>166813.88</v>
      </c>
      <c r="M448" s="23">
        <v>53215.39</v>
      </c>
      <c r="N448" s="23">
        <v>11362.8</v>
      </c>
      <c r="O448" s="23">
        <v>41852.589999999997</v>
      </c>
      <c r="P448" s="6">
        <v>18819.63</v>
      </c>
      <c r="Q448" s="6">
        <v>259468704.87</v>
      </c>
      <c r="R448" s="6">
        <v>262457717.93000001</v>
      </c>
      <c r="S448" s="6">
        <v>5.2999999999999999E-2</v>
      </c>
      <c r="T448" s="4" t="s">
        <v>17</v>
      </c>
      <c r="U448" s="6">
        <v>2.75E-2</v>
      </c>
      <c r="V448" s="6">
        <v>0.1</v>
      </c>
      <c r="W448" s="6"/>
      <c r="X448" s="6">
        <v>55454.68</v>
      </c>
      <c r="Y448" s="5"/>
    </row>
    <row r="449" spans="1:25" ht="28.8" x14ac:dyDescent="0.25">
      <c r="A449" s="4">
        <v>2020</v>
      </c>
      <c r="B449" s="4">
        <v>4</v>
      </c>
      <c r="C449" s="4" t="s">
        <v>18</v>
      </c>
      <c r="D449" s="11">
        <v>45792</v>
      </c>
      <c r="E449" s="5" t="s">
        <v>43</v>
      </c>
      <c r="F449" s="4" t="s">
        <v>44</v>
      </c>
      <c r="G449" s="5" t="s">
        <v>45</v>
      </c>
      <c r="H449" s="4" t="s">
        <v>34</v>
      </c>
      <c r="I449" s="4" t="s">
        <v>23</v>
      </c>
      <c r="J449" s="6">
        <v>46647.98</v>
      </c>
      <c r="K449" s="6">
        <v>46647.98</v>
      </c>
      <c r="L449" s="6"/>
      <c r="M449" s="23">
        <v>12658.45</v>
      </c>
      <c r="N449" s="23">
        <v>12658.45</v>
      </c>
      <c r="O449" s="6"/>
      <c r="P449" s="6">
        <v>16772.45</v>
      </c>
      <c r="Q449" s="6">
        <v>193552622.52000001</v>
      </c>
      <c r="R449" s="6">
        <v>207212769.09</v>
      </c>
      <c r="S449" s="6">
        <v>5.2999999999999999E-2</v>
      </c>
      <c r="T449" s="4" t="s">
        <v>17</v>
      </c>
      <c r="U449" s="6">
        <v>2.75E-2</v>
      </c>
      <c r="V449" s="6">
        <v>0.15</v>
      </c>
      <c r="W449" s="6"/>
      <c r="X449" s="6"/>
      <c r="Y449" s="5" t="s">
        <v>260</v>
      </c>
    </row>
    <row r="450" spans="1:25" ht="43.2" x14ac:dyDescent="0.25">
      <c r="A450" s="4">
        <v>2020</v>
      </c>
      <c r="B450" s="4">
        <v>4</v>
      </c>
      <c r="C450" s="4" t="s">
        <v>18</v>
      </c>
      <c r="D450" s="11">
        <v>45817</v>
      </c>
      <c r="E450" s="5" t="s">
        <v>29</v>
      </c>
      <c r="F450" s="4" t="s">
        <v>30</v>
      </c>
      <c r="G450" s="5" t="s">
        <v>31</v>
      </c>
      <c r="H450" s="4" t="s">
        <v>34</v>
      </c>
      <c r="I450" s="4" t="s">
        <v>23</v>
      </c>
      <c r="J450" s="6">
        <v>401673.7</v>
      </c>
      <c r="K450" s="6">
        <v>137507.44</v>
      </c>
      <c r="L450" s="6">
        <v>264166.26</v>
      </c>
      <c r="M450" s="23">
        <v>104974.44</v>
      </c>
      <c r="N450" s="23">
        <v>34134.879999999997</v>
      </c>
      <c r="O450" s="23">
        <v>70839.56</v>
      </c>
      <c r="P450" s="6">
        <v>45228.72</v>
      </c>
      <c r="Q450" s="6">
        <v>436220643.88</v>
      </c>
      <c r="R450" s="6">
        <v>447190307</v>
      </c>
      <c r="S450" s="6">
        <v>5.2999999999999999E-2</v>
      </c>
      <c r="T450" s="4" t="s">
        <v>17</v>
      </c>
      <c r="U450" s="6">
        <v>2.75E-2</v>
      </c>
      <c r="V450" s="6">
        <v>0.1</v>
      </c>
      <c r="W450" s="6"/>
      <c r="X450" s="6">
        <v>93862.41</v>
      </c>
      <c r="Y450" s="5"/>
    </row>
    <row r="451" spans="1:25" ht="28.8" x14ac:dyDescent="0.25">
      <c r="A451" s="4">
        <v>2020</v>
      </c>
      <c r="B451" s="4">
        <v>4</v>
      </c>
      <c r="C451" s="4" t="s">
        <v>18</v>
      </c>
      <c r="D451" s="11">
        <v>49570</v>
      </c>
      <c r="E451" s="5" t="s">
        <v>50</v>
      </c>
      <c r="F451" s="4" t="s">
        <v>51</v>
      </c>
      <c r="G451" s="5" t="s">
        <v>52</v>
      </c>
      <c r="H451" s="4" t="s">
        <v>23</v>
      </c>
      <c r="I451" s="4" t="s">
        <v>23</v>
      </c>
      <c r="J451" s="6">
        <v>443689.87</v>
      </c>
      <c r="K451" s="6">
        <v>219114.42</v>
      </c>
      <c r="L451" s="6">
        <v>224575.45</v>
      </c>
      <c r="M451" s="23">
        <v>111205.91</v>
      </c>
      <c r="N451" s="23">
        <v>54644.91</v>
      </c>
      <c r="O451" s="23">
        <v>56561</v>
      </c>
      <c r="P451" s="6">
        <v>90505.63</v>
      </c>
      <c r="Q451" s="6">
        <v>758931758.53999996</v>
      </c>
      <c r="R451" s="6">
        <v>771825583.98000002</v>
      </c>
      <c r="S451" s="6">
        <v>5.2999999999999999E-2</v>
      </c>
      <c r="T451" s="4" t="s">
        <v>17</v>
      </c>
      <c r="U451" s="6">
        <v>2.75E-2</v>
      </c>
      <c r="V451" s="6">
        <v>0.1</v>
      </c>
      <c r="W451" s="6"/>
      <c r="X451" s="6">
        <v>74943.33</v>
      </c>
      <c r="Y451" s="5" t="s">
        <v>125</v>
      </c>
    </row>
    <row r="452" spans="1:25" ht="28.8" x14ac:dyDescent="0.25">
      <c r="A452" s="4">
        <v>2020</v>
      </c>
      <c r="B452" s="4">
        <v>4</v>
      </c>
      <c r="C452" s="4" t="s">
        <v>18</v>
      </c>
      <c r="D452" s="11">
        <v>50544</v>
      </c>
      <c r="E452" s="5" t="s">
        <v>53</v>
      </c>
      <c r="F452" s="4" t="s">
        <v>54</v>
      </c>
      <c r="G452" s="5" t="s">
        <v>55</v>
      </c>
      <c r="H452" s="4" t="s">
        <v>34</v>
      </c>
      <c r="I452" s="4" t="s">
        <v>23</v>
      </c>
      <c r="J452" s="6">
        <v>85016.72</v>
      </c>
      <c r="K452" s="6">
        <v>43426.23</v>
      </c>
      <c r="L452" s="6">
        <v>41590.49</v>
      </c>
      <c r="M452" s="23">
        <v>18317.87</v>
      </c>
      <c r="N452" s="23">
        <v>7904.23</v>
      </c>
      <c r="O452" s="23">
        <v>10413.64</v>
      </c>
      <c r="P452" s="6">
        <v>10473.11</v>
      </c>
      <c r="Q452" s="6">
        <v>162077266.66999999</v>
      </c>
      <c r="R452" s="6">
        <v>164182497.31</v>
      </c>
      <c r="S452" s="6">
        <v>5.2999999999999999E-2</v>
      </c>
      <c r="T452" s="4" t="s">
        <v>24</v>
      </c>
      <c r="U452" s="6">
        <v>3.27E-2</v>
      </c>
      <c r="V452" s="6">
        <v>0.05</v>
      </c>
      <c r="W452" s="6"/>
      <c r="X452" s="6">
        <v>13798.07</v>
      </c>
      <c r="Y452" s="5"/>
    </row>
    <row r="453" spans="1:25" ht="28.8" x14ac:dyDescent="0.25">
      <c r="A453" s="4">
        <v>2020</v>
      </c>
      <c r="B453" s="4">
        <v>4</v>
      </c>
      <c r="C453" s="4" t="s">
        <v>18</v>
      </c>
      <c r="D453" s="11">
        <v>62486</v>
      </c>
      <c r="E453" s="5" t="s">
        <v>275</v>
      </c>
      <c r="F453" s="4" t="s">
        <v>276</v>
      </c>
      <c r="G453" s="5" t="s">
        <v>277</v>
      </c>
      <c r="H453" s="4" t="s">
        <v>34</v>
      </c>
      <c r="I453" s="4" t="s">
        <v>23</v>
      </c>
      <c r="J453" s="6">
        <v>20311.07</v>
      </c>
      <c r="K453" s="6">
        <v>4385.3</v>
      </c>
      <c r="L453" s="6">
        <v>15925.77</v>
      </c>
      <c r="M453" s="23">
        <v>7184.08</v>
      </c>
      <c r="N453" s="23">
        <v>694.5</v>
      </c>
      <c r="O453" s="23">
        <v>6489.58</v>
      </c>
      <c r="P453" s="6">
        <v>920.21</v>
      </c>
      <c r="Q453" s="6">
        <v>67633301.629999995</v>
      </c>
      <c r="R453" s="6">
        <v>75678197.569999993</v>
      </c>
      <c r="S453" s="6">
        <v>5.2999999999999999E-2</v>
      </c>
      <c r="T453" s="4" t="s">
        <v>17</v>
      </c>
      <c r="U453" s="6">
        <v>2.75E-2</v>
      </c>
      <c r="V453" s="6">
        <v>0.08</v>
      </c>
      <c r="W453" s="6"/>
      <c r="X453" s="6">
        <v>8598.69</v>
      </c>
      <c r="Y453" s="5" t="s">
        <v>279</v>
      </c>
    </row>
    <row r="454" spans="1:25" ht="28.8" x14ac:dyDescent="0.25">
      <c r="A454" s="4">
        <v>2020</v>
      </c>
      <c r="B454" s="4">
        <v>4</v>
      </c>
      <c r="C454" s="4" t="s">
        <v>18</v>
      </c>
      <c r="D454" s="11">
        <v>650</v>
      </c>
      <c r="E454" s="5" t="s">
        <v>20</v>
      </c>
      <c r="F454" s="4" t="s">
        <v>35</v>
      </c>
      <c r="G454" s="5" t="s">
        <v>36</v>
      </c>
      <c r="H454" s="4" t="s">
        <v>34</v>
      </c>
      <c r="I454" s="4" t="s">
        <v>34</v>
      </c>
      <c r="J454" s="6">
        <v>47803.23</v>
      </c>
      <c r="K454" s="6">
        <v>47803.23</v>
      </c>
      <c r="L454" s="6"/>
      <c r="M454" s="23">
        <v>11933.82</v>
      </c>
      <c r="N454" s="23">
        <v>11933.82</v>
      </c>
      <c r="O454" s="6"/>
      <c r="P454" s="6">
        <v>15812.31</v>
      </c>
      <c r="Q454" s="6">
        <v>96248658.329999998</v>
      </c>
      <c r="R454" s="6">
        <v>96676526.040000007</v>
      </c>
      <c r="S454" s="6"/>
      <c r="T454" s="4"/>
      <c r="U454" s="6"/>
      <c r="V454" s="6"/>
      <c r="W454" s="6"/>
      <c r="X454" s="6"/>
      <c r="Y454" s="5"/>
    </row>
    <row r="455" spans="1:25" ht="28.8" x14ac:dyDescent="0.25">
      <c r="A455" s="4">
        <v>2020</v>
      </c>
      <c r="B455" s="4">
        <v>4</v>
      </c>
      <c r="C455" s="4" t="s">
        <v>18</v>
      </c>
      <c r="D455" s="11">
        <v>650</v>
      </c>
      <c r="E455" s="5" t="s">
        <v>20</v>
      </c>
      <c r="F455" s="4" t="s">
        <v>32</v>
      </c>
      <c r="G455" s="5" t="s">
        <v>33</v>
      </c>
      <c r="H455" s="4" t="s">
        <v>34</v>
      </c>
      <c r="I455" s="4" t="s">
        <v>34</v>
      </c>
      <c r="J455" s="6">
        <v>10557.8</v>
      </c>
      <c r="K455" s="6">
        <v>10557.8</v>
      </c>
      <c r="L455" s="6"/>
      <c r="M455" s="23">
        <v>2631.55</v>
      </c>
      <c r="N455" s="23">
        <v>2631.55</v>
      </c>
      <c r="O455" s="6"/>
      <c r="P455" s="6">
        <v>3486.8</v>
      </c>
      <c r="Q455" s="6">
        <v>65172572.149999999</v>
      </c>
      <c r="R455" s="6">
        <v>65385952.189999998</v>
      </c>
      <c r="S455" s="6"/>
      <c r="T455" s="4"/>
      <c r="U455" s="6"/>
      <c r="V455" s="6"/>
      <c r="W455" s="6"/>
      <c r="X455" s="6"/>
      <c r="Y455" s="5"/>
    </row>
    <row r="456" spans="1:25" ht="28.8" x14ac:dyDescent="0.25">
      <c r="A456" s="4">
        <v>2020</v>
      </c>
      <c r="B456" s="4">
        <v>4</v>
      </c>
      <c r="C456" s="4" t="s">
        <v>18</v>
      </c>
      <c r="D456" s="11">
        <v>3093</v>
      </c>
      <c r="E456" s="5" t="s">
        <v>37</v>
      </c>
      <c r="F456" s="4" t="s">
        <v>38</v>
      </c>
      <c r="G456" s="5" t="s">
        <v>39</v>
      </c>
      <c r="H456" s="4" t="s">
        <v>34</v>
      </c>
      <c r="I456" s="4" t="s">
        <v>34</v>
      </c>
      <c r="J456" s="6">
        <v>3567.06</v>
      </c>
      <c r="K456" s="6">
        <v>3567.06</v>
      </c>
      <c r="L456" s="6"/>
      <c r="M456" s="23">
        <v>887.9</v>
      </c>
      <c r="N456" s="23">
        <v>887.9</v>
      </c>
      <c r="O456" s="6"/>
      <c r="P456" s="6">
        <v>1176.47</v>
      </c>
      <c r="Q456" s="6">
        <v>34838229.5</v>
      </c>
      <c r="R456" s="6">
        <v>35352254.609999999</v>
      </c>
      <c r="S456" s="6"/>
      <c r="T456" s="4"/>
      <c r="U456" s="6"/>
      <c r="V456" s="6"/>
      <c r="W456" s="6"/>
      <c r="X456" s="6"/>
      <c r="Y456" s="5"/>
    </row>
    <row r="457" spans="1:25" ht="28.8" x14ac:dyDescent="0.25">
      <c r="A457" s="4">
        <v>2020</v>
      </c>
      <c r="B457" s="4">
        <v>5</v>
      </c>
      <c r="C457" s="4" t="s">
        <v>18</v>
      </c>
      <c r="D457" s="11">
        <v>650</v>
      </c>
      <c r="E457" s="5" t="s">
        <v>20</v>
      </c>
      <c r="F457" s="4" t="s">
        <v>21</v>
      </c>
      <c r="G457" s="5" t="s">
        <v>22</v>
      </c>
      <c r="H457" s="4" t="s">
        <v>23</v>
      </c>
      <c r="I457" s="4" t="s">
        <v>23</v>
      </c>
      <c r="J457" s="6">
        <v>22740.46</v>
      </c>
      <c r="K457" s="6">
        <v>9664.07</v>
      </c>
      <c r="L457" s="6">
        <v>13076.39</v>
      </c>
      <c r="M457" s="23">
        <v>3593.22</v>
      </c>
      <c r="N457" s="23">
        <v>956.48</v>
      </c>
      <c r="O457" s="23">
        <v>2636.74</v>
      </c>
      <c r="P457" s="6">
        <v>1584.17</v>
      </c>
      <c r="Q457" s="6">
        <v>139644861.50999999</v>
      </c>
      <c r="R457" s="6">
        <v>139849904.90000001</v>
      </c>
      <c r="S457" s="6">
        <v>5.2999999999999999E-2</v>
      </c>
      <c r="T457" s="4" t="s">
        <v>24</v>
      </c>
      <c r="U457" s="6">
        <v>0.05</v>
      </c>
      <c r="V457" s="6">
        <v>0.1</v>
      </c>
      <c r="W457" s="6"/>
      <c r="X457" s="6">
        <v>3493.68</v>
      </c>
      <c r="Y457" s="5"/>
    </row>
    <row r="458" spans="1:25" ht="28.8" x14ac:dyDescent="0.25">
      <c r="A458" s="4">
        <v>2020</v>
      </c>
      <c r="B458" s="4">
        <v>5</v>
      </c>
      <c r="C458" s="4" t="s">
        <v>18</v>
      </c>
      <c r="D458" s="11">
        <v>44321</v>
      </c>
      <c r="E458" s="5" t="s">
        <v>26</v>
      </c>
      <c r="F458" s="4" t="s">
        <v>27</v>
      </c>
      <c r="G458" s="5" t="s">
        <v>28</v>
      </c>
      <c r="H458" s="4" t="s">
        <v>23</v>
      </c>
      <c r="I458" s="4" t="s">
        <v>23</v>
      </c>
      <c r="J458" s="6">
        <v>266712.78999999998</v>
      </c>
      <c r="K458" s="6">
        <v>57802.49</v>
      </c>
      <c r="L458" s="6">
        <v>208910.3</v>
      </c>
      <c r="M458" s="23">
        <v>54024.63</v>
      </c>
      <c r="N458" s="23">
        <v>11928.21</v>
      </c>
      <c r="O458" s="23">
        <v>42096.42</v>
      </c>
      <c r="P458" s="6">
        <v>19756.09</v>
      </c>
      <c r="Q458" s="6">
        <v>262457717.93000001</v>
      </c>
      <c r="R458" s="6">
        <v>262509455.41999999</v>
      </c>
      <c r="S458" s="6">
        <v>5.2999999999999999E-2</v>
      </c>
      <c r="T458" s="4" t="s">
        <v>17</v>
      </c>
      <c r="U458" s="6">
        <v>2.75E-2</v>
      </c>
      <c r="V458" s="6">
        <v>0.1</v>
      </c>
      <c r="W458" s="6"/>
      <c r="X458" s="6">
        <v>55777.760000000002</v>
      </c>
      <c r="Y458" s="5"/>
    </row>
    <row r="459" spans="1:25" ht="28.8" x14ac:dyDescent="0.25">
      <c r="A459" s="4">
        <v>2020</v>
      </c>
      <c r="B459" s="4">
        <v>5</v>
      </c>
      <c r="C459" s="4" t="s">
        <v>18</v>
      </c>
      <c r="D459" s="11">
        <v>45792</v>
      </c>
      <c r="E459" s="5" t="s">
        <v>43</v>
      </c>
      <c r="F459" s="4" t="s">
        <v>44</v>
      </c>
      <c r="G459" s="5" t="s">
        <v>45</v>
      </c>
      <c r="H459" s="4" t="s">
        <v>34</v>
      </c>
      <c r="I459" s="4" t="s">
        <v>23</v>
      </c>
      <c r="J459" s="6">
        <v>57698.97</v>
      </c>
      <c r="K459" s="6">
        <v>57698.97</v>
      </c>
      <c r="L459" s="6"/>
      <c r="M459" s="23">
        <v>11050.98</v>
      </c>
      <c r="N459" s="23">
        <v>11050.98</v>
      </c>
      <c r="O459" s="6"/>
      <c r="P459" s="6">
        <v>14642.55</v>
      </c>
      <c r="Q459" s="6">
        <v>207212769.09</v>
      </c>
      <c r="R459" s="6">
        <v>207572797.56</v>
      </c>
      <c r="S459" s="6">
        <v>5.2999999999999999E-2</v>
      </c>
      <c r="T459" s="4" t="s">
        <v>17</v>
      </c>
      <c r="U459" s="6">
        <v>2.75E-2</v>
      </c>
      <c r="V459" s="6">
        <v>0.15</v>
      </c>
      <c r="W459" s="6"/>
      <c r="X459" s="6"/>
      <c r="Y459" s="5" t="s">
        <v>260</v>
      </c>
    </row>
    <row r="460" spans="1:25" ht="43.2" x14ac:dyDescent="0.25">
      <c r="A460" s="4">
        <v>2020</v>
      </c>
      <c r="B460" s="4">
        <v>5</v>
      </c>
      <c r="C460" s="4" t="s">
        <v>18</v>
      </c>
      <c r="D460" s="11">
        <v>45817</v>
      </c>
      <c r="E460" s="5" t="s">
        <v>29</v>
      </c>
      <c r="F460" s="4" t="s">
        <v>30</v>
      </c>
      <c r="G460" s="5" t="s">
        <v>31</v>
      </c>
      <c r="H460" s="4" t="s">
        <v>34</v>
      </c>
      <c r="I460" s="4" t="s">
        <v>23</v>
      </c>
      <c r="J460" s="6">
        <v>511043.9</v>
      </c>
      <c r="K460" s="6">
        <v>174711.98</v>
      </c>
      <c r="L460" s="6">
        <v>336331.92</v>
      </c>
      <c r="M460" s="23">
        <v>109370.2</v>
      </c>
      <c r="N460" s="23">
        <v>37204.54</v>
      </c>
      <c r="O460" s="23">
        <v>72165.66</v>
      </c>
      <c r="P460" s="6">
        <v>49296.01</v>
      </c>
      <c r="Q460" s="6">
        <v>447190307</v>
      </c>
      <c r="R460" s="6">
        <v>452757889.68000001</v>
      </c>
      <c r="S460" s="6">
        <v>5.2999999999999999E-2</v>
      </c>
      <c r="T460" s="4" t="s">
        <v>17</v>
      </c>
      <c r="U460" s="6">
        <v>2.75E-2</v>
      </c>
      <c r="V460" s="6">
        <v>0.1</v>
      </c>
      <c r="W460" s="6"/>
      <c r="X460" s="6">
        <v>95619.5</v>
      </c>
      <c r="Y460" s="5"/>
    </row>
    <row r="461" spans="1:25" ht="28.8" x14ac:dyDescent="0.25">
      <c r="A461" s="4">
        <v>2020</v>
      </c>
      <c r="B461" s="4">
        <v>5</v>
      </c>
      <c r="C461" s="4" t="s">
        <v>18</v>
      </c>
      <c r="D461" s="11">
        <v>49570</v>
      </c>
      <c r="E461" s="5" t="s">
        <v>50</v>
      </c>
      <c r="F461" s="4" t="s">
        <v>51</v>
      </c>
      <c r="G461" s="5" t="s">
        <v>52</v>
      </c>
      <c r="H461" s="4" t="s">
        <v>23</v>
      </c>
      <c r="I461" s="4" t="s">
        <v>23</v>
      </c>
      <c r="J461" s="6">
        <v>558234.37</v>
      </c>
      <c r="K461" s="6">
        <v>276424.34000000003</v>
      </c>
      <c r="L461" s="6">
        <v>281810.03000000003</v>
      </c>
      <c r="M461" s="23">
        <v>114544.49</v>
      </c>
      <c r="N461" s="23">
        <v>57309.919999999998</v>
      </c>
      <c r="O461" s="23">
        <v>57234.57</v>
      </c>
      <c r="P461" s="6">
        <v>94919.55</v>
      </c>
      <c r="Q461" s="6">
        <v>771825583.98000002</v>
      </c>
      <c r="R461" s="6">
        <v>777161162.97000003</v>
      </c>
      <c r="S461" s="6">
        <v>5.2999999999999999E-2</v>
      </c>
      <c r="T461" s="4" t="s">
        <v>17</v>
      </c>
      <c r="U461" s="6">
        <v>2.75E-2</v>
      </c>
      <c r="V461" s="6">
        <v>0.1</v>
      </c>
      <c r="W461" s="6"/>
      <c r="X461" s="6">
        <v>75835.81</v>
      </c>
      <c r="Y461" s="5" t="s">
        <v>125</v>
      </c>
    </row>
    <row r="462" spans="1:25" ht="28.8" x14ac:dyDescent="0.25">
      <c r="A462" s="4">
        <v>2020</v>
      </c>
      <c r="B462" s="4">
        <v>5</v>
      </c>
      <c r="C462" s="4" t="s">
        <v>18</v>
      </c>
      <c r="D462" s="11">
        <v>50544</v>
      </c>
      <c r="E462" s="5" t="s">
        <v>53</v>
      </c>
      <c r="F462" s="4" t="s">
        <v>54</v>
      </c>
      <c r="G462" s="5" t="s">
        <v>55</v>
      </c>
      <c r="H462" s="4" t="s">
        <v>34</v>
      </c>
      <c r="I462" s="4" t="s">
        <v>23</v>
      </c>
      <c r="J462" s="6">
        <v>102474.61</v>
      </c>
      <c r="K462" s="6">
        <v>50418.86</v>
      </c>
      <c r="L462" s="6">
        <v>52055.75</v>
      </c>
      <c r="M462" s="23">
        <v>17457.89</v>
      </c>
      <c r="N462" s="23">
        <v>6992.63</v>
      </c>
      <c r="O462" s="23">
        <v>10465.26</v>
      </c>
      <c r="P462" s="6">
        <v>9265.24</v>
      </c>
      <c r="Q462" s="6">
        <v>164182497.31</v>
      </c>
      <c r="R462" s="6">
        <v>163694730.33000001</v>
      </c>
      <c r="S462" s="6">
        <v>5.2999999999999999E-2</v>
      </c>
      <c r="T462" s="4" t="s">
        <v>24</v>
      </c>
      <c r="U462" s="6">
        <v>3.27E-2</v>
      </c>
      <c r="V462" s="6">
        <v>0.05</v>
      </c>
      <c r="W462" s="6"/>
      <c r="X462" s="6">
        <v>13866.47</v>
      </c>
      <c r="Y462" s="5"/>
    </row>
    <row r="463" spans="1:25" ht="28.8" x14ac:dyDescent="0.25">
      <c r="A463" s="4">
        <v>2020</v>
      </c>
      <c r="B463" s="4">
        <v>5</v>
      </c>
      <c r="C463" s="4" t="s">
        <v>18</v>
      </c>
      <c r="D463" s="11">
        <v>62486</v>
      </c>
      <c r="E463" s="5" t="s">
        <v>275</v>
      </c>
      <c r="F463" s="4" t="s">
        <v>276</v>
      </c>
      <c r="G463" s="5" t="s">
        <v>277</v>
      </c>
      <c r="H463" s="4" t="s">
        <v>34</v>
      </c>
      <c r="I463" s="4" t="s">
        <v>23</v>
      </c>
      <c r="J463" s="6">
        <v>28561.64</v>
      </c>
      <c r="K463" s="6">
        <v>5221.12</v>
      </c>
      <c r="L463" s="6">
        <v>23340.52</v>
      </c>
      <c r="M463" s="23">
        <v>8250.58</v>
      </c>
      <c r="N463" s="23">
        <v>835.83</v>
      </c>
      <c r="O463" s="23">
        <v>7414.75</v>
      </c>
      <c r="P463" s="6">
        <v>1107.47</v>
      </c>
      <c r="Q463" s="6">
        <v>75678197.569999993</v>
      </c>
      <c r="R463" s="6">
        <v>88064146</v>
      </c>
      <c r="S463" s="6">
        <v>5.2999999999999999E-2</v>
      </c>
      <c r="T463" s="4" t="s">
        <v>17</v>
      </c>
      <c r="U463" s="6">
        <v>2.75E-2</v>
      </c>
      <c r="V463" s="6">
        <v>0.08</v>
      </c>
      <c r="W463" s="6"/>
      <c r="X463" s="6">
        <v>9824.5400000000009</v>
      </c>
      <c r="Y463" s="5" t="s">
        <v>279</v>
      </c>
    </row>
    <row r="464" spans="1:25" ht="28.8" x14ac:dyDescent="0.25">
      <c r="A464" s="4">
        <v>2020</v>
      </c>
      <c r="B464" s="4">
        <v>5</v>
      </c>
      <c r="C464" s="4" t="s">
        <v>18</v>
      </c>
      <c r="D464" s="11">
        <v>650</v>
      </c>
      <c r="E464" s="5" t="s">
        <v>20</v>
      </c>
      <c r="F464" s="4" t="s">
        <v>35</v>
      </c>
      <c r="G464" s="5" t="s">
        <v>36</v>
      </c>
      <c r="H464" s="4" t="s">
        <v>34</v>
      </c>
      <c r="I464" s="4" t="s">
        <v>34</v>
      </c>
      <c r="J464" s="6">
        <v>60190.33</v>
      </c>
      <c r="K464" s="6">
        <v>60190.33</v>
      </c>
      <c r="L464" s="6"/>
      <c r="M464" s="23">
        <v>12387.1</v>
      </c>
      <c r="N464" s="23">
        <v>12387.1</v>
      </c>
      <c r="O464" s="6"/>
      <c r="P464" s="6">
        <v>16412.91</v>
      </c>
      <c r="Q464" s="6">
        <v>96676526.040000007</v>
      </c>
      <c r="R464" s="6">
        <v>97115427.640000001</v>
      </c>
      <c r="S464" s="6"/>
      <c r="T464" s="4"/>
      <c r="U464" s="6"/>
      <c r="V464" s="6"/>
      <c r="W464" s="6"/>
      <c r="X464" s="6"/>
      <c r="Y464" s="5"/>
    </row>
    <row r="465" spans="1:25" ht="28.8" x14ac:dyDescent="0.25">
      <c r="A465" s="4">
        <v>2020</v>
      </c>
      <c r="B465" s="4">
        <v>5</v>
      </c>
      <c r="C465" s="4" t="s">
        <v>18</v>
      </c>
      <c r="D465" s="11">
        <v>650</v>
      </c>
      <c r="E465" s="5" t="s">
        <v>20</v>
      </c>
      <c r="F465" s="4" t="s">
        <v>32</v>
      </c>
      <c r="G465" s="5" t="s">
        <v>33</v>
      </c>
      <c r="H465" s="4" t="s">
        <v>34</v>
      </c>
      <c r="I465" s="4" t="s">
        <v>34</v>
      </c>
      <c r="J465" s="6">
        <v>13288.02</v>
      </c>
      <c r="K465" s="6">
        <v>13288.02</v>
      </c>
      <c r="L465" s="6"/>
      <c r="M465" s="23">
        <v>2730.22</v>
      </c>
      <c r="N465" s="23">
        <v>2730.22</v>
      </c>
      <c r="O465" s="6"/>
      <c r="P465" s="6">
        <v>3617.54</v>
      </c>
      <c r="Q465" s="6">
        <v>65385952.189999998</v>
      </c>
      <c r="R465" s="6">
        <v>65522388.079999998</v>
      </c>
      <c r="S465" s="6"/>
      <c r="T465" s="4"/>
      <c r="U465" s="6"/>
      <c r="V465" s="6"/>
      <c r="W465" s="6"/>
      <c r="X465" s="6"/>
      <c r="Y465" s="5"/>
    </row>
    <row r="466" spans="1:25" ht="28.8" x14ac:dyDescent="0.25">
      <c r="A466" s="4">
        <v>2020</v>
      </c>
      <c r="B466" s="4">
        <v>5</v>
      </c>
      <c r="C466" s="4" t="s">
        <v>18</v>
      </c>
      <c r="D466" s="11">
        <v>3093</v>
      </c>
      <c r="E466" s="5" t="s">
        <v>37</v>
      </c>
      <c r="F466" s="4" t="s">
        <v>38</v>
      </c>
      <c r="G466" s="5" t="s">
        <v>39</v>
      </c>
      <c r="H466" s="4" t="s">
        <v>34</v>
      </c>
      <c r="I466" s="4" t="s">
        <v>34</v>
      </c>
      <c r="J466" s="6">
        <v>4596.96</v>
      </c>
      <c r="K466" s="6">
        <v>4596.96</v>
      </c>
      <c r="L466" s="6"/>
      <c r="M466" s="23">
        <v>1029.8900000000001</v>
      </c>
      <c r="N466" s="23">
        <v>1029.8900000000001</v>
      </c>
      <c r="O466" s="6"/>
      <c r="P466" s="6">
        <v>1364.61</v>
      </c>
      <c r="Q466" s="6">
        <v>35352254.609999999</v>
      </c>
      <c r="R466" s="6">
        <v>37080462.43</v>
      </c>
      <c r="S466" s="6"/>
      <c r="T466" s="4"/>
      <c r="U466" s="6"/>
      <c r="V466" s="6"/>
      <c r="W466" s="6"/>
      <c r="X466" s="6"/>
      <c r="Y466" s="5"/>
    </row>
    <row r="467" spans="1:25" ht="28.8" x14ac:dyDescent="0.25">
      <c r="A467" s="4">
        <v>2020</v>
      </c>
      <c r="B467" s="4">
        <v>6</v>
      </c>
      <c r="C467" s="4" t="s">
        <v>18</v>
      </c>
      <c r="D467" s="11">
        <v>650</v>
      </c>
      <c r="E467" s="5" t="s">
        <v>20</v>
      </c>
      <c r="F467" s="4" t="s">
        <v>21</v>
      </c>
      <c r="G467" s="5" t="s">
        <v>22</v>
      </c>
      <c r="H467" s="4" t="s">
        <v>23</v>
      </c>
      <c r="I467" s="4" t="s">
        <v>23</v>
      </c>
      <c r="J467" s="6">
        <v>26043.73</v>
      </c>
      <c r="K467" s="6">
        <v>10310.790000000001</v>
      </c>
      <c r="L467" s="6">
        <v>15732.94</v>
      </c>
      <c r="M467" s="23">
        <v>3303.28</v>
      </c>
      <c r="N467" s="23">
        <v>646.73</v>
      </c>
      <c r="O467" s="23">
        <v>2656.55</v>
      </c>
      <c r="P467" s="6">
        <v>1071.1400000000001</v>
      </c>
      <c r="Q467" s="6">
        <v>139849904.90000001</v>
      </c>
      <c r="R467" s="6">
        <v>141744349.61000001</v>
      </c>
      <c r="S467" s="6">
        <v>5.2999999999999999E-2</v>
      </c>
      <c r="T467" s="4" t="s">
        <v>24</v>
      </c>
      <c r="U467" s="6">
        <v>0.05</v>
      </c>
      <c r="V467" s="6">
        <v>0.1</v>
      </c>
      <c r="W467" s="6"/>
      <c r="X467" s="6">
        <v>3519.93</v>
      </c>
      <c r="Y467" s="5"/>
    </row>
    <row r="468" spans="1:25" ht="28.8" x14ac:dyDescent="0.25">
      <c r="A468" s="4">
        <v>2020</v>
      </c>
      <c r="B468" s="4">
        <v>6</v>
      </c>
      <c r="C468" s="4" t="s">
        <v>18</v>
      </c>
      <c r="D468" s="11">
        <v>44321</v>
      </c>
      <c r="E468" s="5" t="s">
        <v>26</v>
      </c>
      <c r="F468" s="4" t="s">
        <v>27</v>
      </c>
      <c r="G468" s="5" t="s">
        <v>28</v>
      </c>
      <c r="H468" s="4" t="s">
        <v>23</v>
      </c>
      <c r="I468" s="4" t="s">
        <v>23</v>
      </c>
      <c r="J468" s="6">
        <v>320914.27</v>
      </c>
      <c r="K468" s="6">
        <v>69634.83</v>
      </c>
      <c r="L468" s="6">
        <v>251279.44</v>
      </c>
      <c r="M468" s="23">
        <v>54201.48</v>
      </c>
      <c r="N468" s="23">
        <v>11832.34</v>
      </c>
      <c r="O468" s="23">
        <v>42369.14</v>
      </c>
      <c r="P468" s="6">
        <v>19597.310000000001</v>
      </c>
      <c r="Q468" s="6">
        <v>262509455.41999999</v>
      </c>
      <c r="R468" s="6">
        <v>265858692.16999999</v>
      </c>
      <c r="S468" s="6">
        <v>5.2999999999999999E-2</v>
      </c>
      <c r="T468" s="4" t="s">
        <v>17</v>
      </c>
      <c r="U468" s="6">
        <v>2.75E-2</v>
      </c>
      <c r="V468" s="6">
        <v>0.1</v>
      </c>
      <c r="W468" s="6"/>
      <c r="X468" s="6">
        <v>56139.12</v>
      </c>
      <c r="Y468" s="5"/>
    </row>
    <row r="469" spans="1:25" ht="28.8" x14ac:dyDescent="0.25">
      <c r="A469" s="4">
        <v>2020</v>
      </c>
      <c r="B469" s="4">
        <v>6</v>
      </c>
      <c r="C469" s="4" t="s">
        <v>18</v>
      </c>
      <c r="D469" s="11">
        <v>45792</v>
      </c>
      <c r="E469" s="5" t="s">
        <v>43</v>
      </c>
      <c r="F469" s="4" t="s">
        <v>44</v>
      </c>
      <c r="G469" s="5" t="s">
        <v>45</v>
      </c>
      <c r="H469" s="4" t="s">
        <v>34</v>
      </c>
      <c r="I469" s="4" t="s">
        <v>23</v>
      </c>
      <c r="J469" s="6">
        <v>68342.09</v>
      </c>
      <c r="K469" s="6">
        <v>68342.09</v>
      </c>
      <c r="L469" s="6"/>
      <c r="M469" s="23">
        <v>10643.12</v>
      </c>
      <c r="N469" s="23">
        <v>10643.12</v>
      </c>
      <c r="O469" s="6"/>
      <c r="P469" s="6">
        <v>14102.14</v>
      </c>
      <c r="Q469" s="6">
        <v>207572797.56</v>
      </c>
      <c r="R469" s="6">
        <v>209486533.97</v>
      </c>
      <c r="S469" s="6">
        <v>5.2999999999999999E-2</v>
      </c>
      <c r="T469" s="4" t="s">
        <v>17</v>
      </c>
      <c r="U469" s="6">
        <v>2.75E-2</v>
      </c>
      <c r="V469" s="6">
        <v>0.15</v>
      </c>
      <c r="W469" s="6"/>
      <c r="X469" s="6"/>
      <c r="Y469" s="5" t="s">
        <v>260</v>
      </c>
    </row>
    <row r="470" spans="1:25" ht="43.2" x14ac:dyDescent="0.25">
      <c r="A470" s="4">
        <v>2020</v>
      </c>
      <c r="B470" s="4">
        <v>6</v>
      </c>
      <c r="C470" s="4" t="s">
        <v>18</v>
      </c>
      <c r="D470" s="11">
        <v>45817</v>
      </c>
      <c r="E470" s="5" t="s">
        <v>29</v>
      </c>
      <c r="F470" s="4" t="s">
        <v>30</v>
      </c>
      <c r="G470" s="5" t="s">
        <v>31</v>
      </c>
      <c r="H470" s="4" t="s">
        <v>34</v>
      </c>
      <c r="I470" s="4" t="s">
        <v>23</v>
      </c>
      <c r="J470" s="6">
        <v>622075.36</v>
      </c>
      <c r="K470" s="6">
        <v>212207.03</v>
      </c>
      <c r="L470" s="6">
        <v>409868.33</v>
      </c>
      <c r="M470" s="23">
        <v>111031.46</v>
      </c>
      <c r="N470" s="23">
        <v>37495.050000000003</v>
      </c>
      <c r="O470" s="23">
        <v>73536.41</v>
      </c>
      <c r="P470" s="6">
        <v>49680.94</v>
      </c>
      <c r="Q470" s="6">
        <v>452757889.68000001</v>
      </c>
      <c r="R470" s="6">
        <v>464284435.11000001</v>
      </c>
      <c r="S470" s="6">
        <v>5.2999999999999999E-2</v>
      </c>
      <c r="T470" s="4" t="s">
        <v>17</v>
      </c>
      <c r="U470" s="6">
        <v>2.75E-2</v>
      </c>
      <c r="V470" s="6">
        <v>0.1</v>
      </c>
      <c r="W470" s="6"/>
      <c r="X470" s="6">
        <v>97435.75</v>
      </c>
      <c r="Y470" s="5"/>
    </row>
    <row r="471" spans="1:25" ht="28.8" x14ac:dyDescent="0.25">
      <c r="A471" s="4">
        <v>2020</v>
      </c>
      <c r="B471" s="4">
        <v>6</v>
      </c>
      <c r="C471" s="4" t="s">
        <v>18</v>
      </c>
      <c r="D471" s="11">
        <v>49570</v>
      </c>
      <c r="E471" s="5" t="s">
        <v>50</v>
      </c>
      <c r="F471" s="4" t="s">
        <v>51</v>
      </c>
      <c r="G471" s="5" t="s">
        <v>52</v>
      </c>
      <c r="H471" s="4" t="s">
        <v>23</v>
      </c>
      <c r="I471" s="4" t="s">
        <v>23</v>
      </c>
      <c r="J471" s="6">
        <v>672186.25</v>
      </c>
      <c r="K471" s="6">
        <v>332484.82</v>
      </c>
      <c r="L471" s="6">
        <v>339701.43</v>
      </c>
      <c r="M471" s="23">
        <v>113951.89</v>
      </c>
      <c r="N471" s="23">
        <v>56060.49</v>
      </c>
      <c r="O471" s="23">
        <v>57891.4</v>
      </c>
      <c r="P471" s="6">
        <v>92850.18</v>
      </c>
      <c r="Q471" s="6">
        <v>777161162.97000003</v>
      </c>
      <c r="R471" s="6">
        <v>789601876.83000004</v>
      </c>
      <c r="S471" s="6">
        <v>5.2999999999999999E-2</v>
      </c>
      <c r="T471" s="4" t="s">
        <v>17</v>
      </c>
      <c r="U471" s="6">
        <v>2.75E-2</v>
      </c>
      <c r="V471" s="6">
        <v>0.1</v>
      </c>
      <c r="W471" s="6"/>
      <c r="X471" s="6">
        <v>76706.11</v>
      </c>
      <c r="Y471" s="5" t="s">
        <v>125</v>
      </c>
    </row>
    <row r="472" spans="1:25" ht="28.8" x14ac:dyDescent="0.25">
      <c r="A472" s="4">
        <v>2020</v>
      </c>
      <c r="B472" s="4">
        <v>6</v>
      </c>
      <c r="C472" s="4" t="s">
        <v>18</v>
      </c>
      <c r="D472" s="11">
        <v>50544</v>
      </c>
      <c r="E472" s="5" t="s">
        <v>53</v>
      </c>
      <c r="F472" s="4" t="s">
        <v>54</v>
      </c>
      <c r="G472" s="5" t="s">
        <v>55</v>
      </c>
      <c r="H472" s="4" t="s">
        <v>34</v>
      </c>
      <c r="I472" s="4" t="s">
        <v>23</v>
      </c>
      <c r="J472" s="6">
        <v>118682.5</v>
      </c>
      <c r="K472" s="6">
        <v>56121.36</v>
      </c>
      <c r="L472" s="6">
        <v>62561.14</v>
      </c>
      <c r="M472" s="23">
        <v>16207.89</v>
      </c>
      <c r="N472" s="23">
        <v>5702.5</v>
      </c>
      <c r="O472" s="23">
        <v>10505.39</v>
      </c>
      <c r="P472" s="6">
        <v>7555.81</v>
      </c>
      <c r="Q472" s="6">
        <v>163694730.33000001</v>
      </c>
      <c r="R472" s="6">
        <v>165439572.56</v>
      </c>
      <c r="S472" s="6">
        <v>5.2999999999999999E-2</v>
      </c>
      <c r="T472" s="4" t="s">
        <v>24</v>
      </c>
      <c r="U472" s="6">
        <v>3.27E-2</v>
      </c>
      <c r="V472" s="6">
        <v>0.05</v>
      </c>
      <c r="W472" s="6"/>
      <c r="X472" s="6">
        <v>13919.64</v>
      </c>
      <c r="Y472" s="5"/>
    </row>
    <row r="473" spans="1:25" ht="28.8" x14ac:dyDescent="0.25">
      <c r="A473" s="4">
        <v>2020</v>
      </c>
      <c r="B473" s="4">
        <v>6</v>
      </c>
      <c r="C473" s="4" t="s">
        <v>18</v>
      </c>
      <c r="D473" s="11">
        <v>62486</v>
      </c>
      <c r="E473" s="5" t="s">
        <v>275</v>
      </c>
      <c r="F473" s="4" t="s">
        <v>276</v>
      </c>
      <c r="G473" s="5" t="s">
        <v>277</v>
      </c>
      <c r="H473" s="4" t="s">
        <v>34</v>
      </c>
      <c r="I473" s="4" t="s">
        <v>23</v>
      </c>
      <c r="J473" s="6">
        <v>37875.040000000001</v>
      </c>
      <c r="K473" s="6">
        <v>5966.11</v>
      </c>
      <c r="L473" s="6">
        <v>31908.93</v>
      </c>
      <c r="M473" s="23">
        <v>9313.4</v>
      </c>
      <c r="N473" s="23">
        <v>744.99</v>
      </c>
      <c r="O473" s="23">
        <v>8568.41</v>
      </c>
      <c r="P473" s="6">
        <v>987.11</v>
      </c>
      <c r="Q473" s="6">
        <v>88064146</v>
      </c>
      <c r="R473" s="6">
        <v>101154896.44</v>
      </c>
      <c r="S473" s="6">
        <v>5.2999999999999999E-2</v>
      </c>
      <c r="T473" s="4" t="s">
        <v>17</v>
      </c>
      <c r="U473" s="6">
        <v>2.75E-2</v>
      </c>
      <c r="V473" s="6">
        <v>0.08</v>
      </c>
      <c r="W473" s="6"/>
      <c r="X473" s="6">
        <v>11353.14</v>
      </c>
      <c r="Y473" s="5" t="s">
        <v>279</v>
      </c>
    </row>
    <row r="474" spans="1:25" ht="28.8" x14ac:dyDescent="0.25">
      <c r="A474" s="4">
        <v>2020</v>
      </c>
      <c r="B474" s="4">
        <v>6</v>
      </c>
      <c r="C474" s="4" t="s">
        <v>18</v>
      </c>
      <c r="D474" s="11">
        <v>650</v>
      </c>
      <c r="E474" s="5" t="s">
        <v>20</v>
      </c>
      <c r="F474" s="4" t="s">
        <v>35</v>
      </c>
      <c r="G474" s="5" t="s">
        <v>36</v>
      </c>
      <c r="H474" s="4" t="s">
        <v>34</v>
      </c>
      <c r="I474" s="4" t="s">
        <v>34</v>
      </c>
      <c r="J474" s="6">
        <v>72232.52</v>
      </c>
      <c r="K474" s="6">
        <v>72232.52</v>
      </c>
      <c r="L474" s="6"/>
      <c r="M474" s="23">
        <v>12042.19</v>
      </c>
      <c r="N474" s="23">
        <v>12042.19</v>
      </c>
      <c r="O474" s="6"/>
      <c r="P474" s="6">
        <v>15955.9</v>
      </c>
      <c r="Q474" s="6">
        <v>97115427.640000001</v>
      </c>
      <c r="R474" s="6">
        <v>97555693.810000002</v>
      </c>
      <c r="S474" s="6"/>
      <c r="T474" s="4"/>
      <c r="U474" s="6"/>
      <c r="V474" s="6"/>
      <c r="W474" s="6"/>
      <c r="X474" s="6"/>
      <c r="Y474" s="5"/>
    </row>
    <row r="475" spans="1:25" ht="28.8" x14ac:dyDescent="0.25">
      <c r="A475" s="4">
        <v>2020</v>
      </c>
      <c r="B475" s="4">
        <v>6</v>
      </c>
      <c r="C475" s="4" t="s">
        <v>18</v>
      </c>
      <c r="D475" s="11">
        <v>650</v>
      </c>
      <c r="E475" s="5" t="s">
        <v>20</v>
      </c>
      <c r="F475" s="4" t="s">
        <v>32</v>
      </c>
      <c r="G475" s="5" t="s">
        <v>33</v>
      </c>
      <c r="H475" s="4" t="s">
        <v>34</v>
      </c>
      <c r="I475" s="4" t="s">
        <v>34</v>
      </c>
      <c r="J475" s="6">
        <v>15941.43</v>
      </c>
      <c r="K475" s="6">
        <v>15941.43</v>
      </c>
      <c r="L475" s="6"/>
      <c r="M475" s="23">
        <v>2653.41</v>
      </c>
      <c r="N475" s="23">
        <v>2653.41</v>
      </c>
      <c r="O475" s="6"/>
      <c r="P475" s="6">
        <v>3515.77</v>
      </c>
      <c r="Q475" s="6">
        <v>65522388.079999998</v>
      </c>
      <c r="R475" s="6">
        <v>65620237.159999996</v>
      </c>
      <c r="S475" s="6"/>
      <c r="T475" s="4"/>
      <c r="U475" s="6"/>
      <c r="V475" s="6"/>
      <c r="W475" s="6"/>
      <c r="X475" s="6"/>
      <c r="Y475" s="5"/>
    </row>
    <row r="476" spans="1:25" ht="28.8" x14ac:dyDescent="0.25">
      <c r="A476" s="4">
        <v>2020</v>
      </c>
      <c r="B476" s="4">
        <v>6</v>
      </c>
      <c r="C476" s="4" t="s">
        <v>18</v>
      </c>
      <c r="D476" s="11">
        <v>3093</v>
      </c>
      <c r="E476" s="5" t="s">
        <v>37</v>
      </c>
      <c r="F476" s="4" t="s">
        <v>38</v>
      </c>
      <c r="G476" s="5" t="s">
        <v>39</v>
      </c>
      <c r="H476" s="4" t="s">
        <v>34</v>
      </c>
      <c r="I476" s="4" t="s">
        <v>34</v>
      </c>
      <c r="J476" s="6">
        <v>5486.17</v>
      </c>
      <c r="K476" s="6">
        <v>5486.17</v>
      </c>
      <c r="L476" s="6"/>
      <c r="M476" s="23">
        <v>889.22</v>
      </c>
      <c r="N476" s="23">
        <v>889.22</v>
      </c>
      <c r="O476" s="6"/>
      <c r="P476" s="6">
        <v>1178.21</v>
      </c>
      <c r="Q476" s="6">
        <v>37080462.43</v>
      </c>
      <c r="R476" s="6">
        <v>37487131.759999998</v>
      </c>
      <c r="S476" s="6"/>
      <c r="T476" s="4"/>
      <c r="U476" s="6"/>
      <c r="V476" s="6"/>
      <c r="W476" s="6"/>
      <c r="X476" s="6"/>
      <c r="Y476" s="5"/>
    </row>
    <row r="477" spans="1:25" x14ac:dyDescent="0.25">
      <c r="A477">
        <v>2020</v>
      </c>
      <c r="B477">
        <v>7</v>
      </c>
      <c r="C477" t="s">
        <v>18</v>
      </c>
      <c r="D477">
        <v>650</v>
      </c>
      <c r="E477" t="s">
        <v>20</v>
      </c>
      <c r="F477" t="s">
        <v>21</v>
      </c>
      <c r="G477" t="s">
        <v>22</v>
      </c>
      <c r="H477" t="s">
        <v>23</v>
      </c>
      <c r="I477" t="s">
        <v>23</v>
      </c>
      <c r="J477">
        <v>29688.48</v>
      </c>
      <c r="K477">
        <v>11239.36</v>
      </c>
      <c r="L477">
        <v>18449.12</v>
      </c>
      <c r="M477" s="22">
        <v>3644.74</v>
      </c>
      <c r="N477" s="22">
        <v>928.57</v>
      </c>
      <c r="O477" s="22">
        <v>2716.17</v>
      </c>
      <c r="P477">
        <v>1537.94</v>
      </c>
      <c r="Q477">
        <v>141744349.59999999</v>
      </c>
      <c r="R477">
        <v>146169870</v>
      </c>
      <c r="S477">
        <v>5.2999999999999999E-2</v>
      </c>
      <c r="T477" t="s">
        <v>24</v>
      </c>
      <c r="U477">
        <v>0.05</v>
      </c>
      <c r="V477">
        <v>0.1</v>
      </c>
      <c r="X477">
        <v>3598.93</v>
      </c>
    </row>
    <row r="478" spans="1:25" x14ac:dyDescent="0.25">
      <c r="A478">
        <v>2020</v>
      </c>
      <c r="B478">
        <v>7</v>
      </c>
      <c r="C478" t="s">
        <v>18</v>
      </c>
      <c r="D478">
        <v>44321</v>
      </c>
      <c r="E478" t="s">
        <v>26</v>
      </c>
      <c r="F478" t="s">
        <v>27</v>
      </c>
      <c r="G478" t="s">
        <v>28</v>
      </c>
      <c r="H478" t="s">
        <v>23</v>
      </c>
      <c r="I478" t="s">
        <v>23</v>
      </c>
      <c r="J478">
        <v>377394.32</v>
      </c>
      <c r="K478">
        <v>82964.929999999993</v>
      </c>
      <c r="L478">
        <v>294429.39</v>
      </c>
      <c r="M478" s="22">
        <v>56480.06</v>
      </c>
      <c r="N478" s="22">
        <v>13330.11</v>
      </c>
      <c r="O478" s="22">
        <v>43149.95</v>
      </c>
      <c r="P478">
        <v>22077.99</v>
      </c>
      <c r="Q478">
        <v>265858692.19999999</v>
      </c>
      <c r="R478">
        <v>272246543</v>
      </c>
      <c r="S478">
        <v>5.2999999999999999E-2</v>
      </c>
      <c r="T478">
        <v>3</v>
      </c>
      <c r="U478">
        <v>2.75E-2</v>
      </c>
      <c r="V478">
        <v>0.1</v>
      </c>
      <c r="X478">
        <v>57173.68</v>
      </c>
    </row>
    <row r="479" spans="1:25" x14ac:dyDescent="0.25">
      <c r="A479">
        <v>2020</v>
      </c>
      <c r="B479">
        <v>7</v>
      </c>
      <c r="C479" t="s">
        <v>18</v>
      </c>
      <c r="D479">
        <v>45792</v>
      </c>
      <c r="E479" t="s">
        <v>43</v>
      </c>
      <c r="F479" t="s">
        <v>44</v>
      </c>
      <c r="G479" t="s">
        <v>45</v>
      </c>
      <c r="H479" t="s">
        <v>34</v>
      </c>
      <c r="I479" t="s">
        <v>23</v>
      </c>
      <c r="J479">
        <v>79831.98</v>
      </c>
      <c r="K479">
        <v>79831.98</v>
      </c>
      <c r="M479" s="22">
        <v>11489.89</v>
      </c>
      <c r="N479" s="22">
        <v>11489.89</v>
      </c>
      <c r="P479">
        <v>15224.11</v>
      </c>
      <c r="Q479">
        <v>209486534</v>
      </c>
      <c r="R479">
        <v>224145104.40000001</v>
      </c>
      <c r="S479">
        <v>5.2999999999999999E-2</v>
      </c>
      <c r="T479">
        <v>3</v>
      </c>
      <c r="U479">
        <v>2.75E-2</v>
      </c>
      <c r="V479">
        <v>0.15</v>
      </c>
      <c r="Y479">
        <v>0.03</v>
      </c>
    </row>
    <row r="480" spans="1:25" x14ac:dyDescent="0.25">
      <c r="A480">
        <v>2020</v>
      </c>
      <c r="B480">
        <v>7</v>
      </c>
      <c r="C480" t="s">
        <v>18</v>
      </c>
      <c r="D480">
        <v>45817</v>
      </c>
      <c r="E480" t="s">
        <v>29</v>
      </c>
      <c r="F480" t="s">
        <v>30</v>
      </c>
      <c r="G480" t="s">
        <v>31</v>
      </c>
      <c r="H480" t="s">
        <v>34</v>
      </c>
      <c r="I480" t="s">
        <v>23</v>
      </c>
      <c r="J480">
        <v>737557.56</v>
      </c>
      <c r="K480">
        <v>251787.83</v>
      </c>
      <c r="L480">
        <v>485769.73</v>
      </c>
      <c r="M480" s="22">
        <v>115482.19</v>
      </c>
      <c r="N480" s="22">
        <v>39580.800000000003</v>
      </c>
      <c r="O480" s="22">
        <v>75901.39</v>
      </c>
      <c r="P480">
        <v>52444.56</v>
      </c>
      <c r="Q480">
        <v>464284435.10000002</v>
      </c>
      <c r="R480">
        <v>482250607.10000002</v>
      </c>
      <c r="S480">
        <v>5.2999999999999999E-2</v>
      </c>
      <c r="T480">
        <v>3</v>
      </c>
      <c r="U480">
        <v>2.75E-2</v>
      </c>
      <c r="V480">
        <v>0.1</v>
      </c>
      <c r="X480">
        <v>100569.35</v>
      </c>
    </row>
    <row r="481" spans="1:25" x14ac:dyDescent="0.25">
      <c r="A481">
        <v>2020</v>
      </c>
      <c r="B481">
        <v>7</v>
      </c>
      <c r="C481" t="s">
        <v>18</v>
      </c>
      <c r="D481">
        <v>49570</v>
      </c>
      <c r="E481" t="s">
        <v>50</v>
      </c>
      <c r="F481">
        <v>1657</v>
      </c>
      <c r="G481" t="s">
        <v>52</v>
      </c>
      <c r="H481" t="s">
        <v>23</v>
      </c>
      <c r="I481" t="s">
        <v>23</v>
      </c>
      <c r="J481">
        <v>790104.38</v>
      </c>
      <c r="K481">
        <v>391619.2</v>
      </c>
      <c r="L481">
        <v>398485.18</v>
      </c>
      <c r="M481" s="22">
        <v>117918.13</v>
      </c>
      <c r="N481" s="22">
        <v>59134.38</v>
      </c>
      <c r="O481" s="22">
        <v>58783.75</v>
      </c>
      <c r="P481">
        <v>97941.31</v>
      </c>
      <c r="Q481">
        <v>789601876.79999995</v>
      </c>
      <c r="R481">
        <v>801311481.20000005</v>
      </c>
      <c r="S481">
        <v>5.2999999999999999E-2</v>
      </c>
      <c r="T481">
        <v>3</v>
      </c>
      <c r="U481">
        <v>2.75E-2</v>
      </c>
      <c r="V481">
        <v>0.1</v>
      </c>
      <c r="X481">
        <v>77888.47</v>
      </c>
      <c r="Y481" t="s">
        <v>125</v>
      </c>
    </row>
    <row r="482" spans="1:25" x14ac:dyDescent="0.25">
      <c r="A482">
        <v>2020</v>
      </c>
      <c r="B482">
        <v>7</v>
      </c>
      <c r="C482" t="s">
        <v>18</v>
      </c>
      <c r="D482">
        <v>50544</v>
      </c>
      <c r="E482" t="s">
        <v>53</v>
      </c>
      <c r="F482">
        <v>1610</v>
      </c>
      <c r="G482" t="s">
        <v>55</v>
      </c>
      <c r="H482" t="s">
        <v>34</v>
      </c>
      <c r="I482" t="s">
        <v>23</v>
      </c>
      <c r="J482">
        <v>134621.15</v>
      </c>
      <c r="K482">
        <v>61341.05</v>
      </c>
      <c r="L482">
        <v>73280.100000000006</v>
      </c>
      <c r="M482" s="22">
        <v>15938.65</v>
      </c>
      <c r="N482" s="22">
        <v>5219.6899999999996</v>
      </c>
      <c r="O482" s="22">
        <v>10718.96</v>
      </c>
      <c r="P482">
        <v>6916.09</v>
      </c>
      <c r="Q482">
        <v>165439572.59999999</v>
      </c>
      <c r="R482">
        <v>170385970.30000001</v>
      </c>
      <c r="S482">
        <v>5.2999999999999999E-2</v>
      </c>
      <c r="T482" t="s">
        <v>24</v>
      </c>
      <c r="U482">
        <v>3.27E-2</v>
      </c>
      <c r="V482">
        <v>0.05</v>
      </c>
      <c r="X482">
        <v>14202.62</v>
      </c>
    </row>
    <row r="483" spans="1:25" x14ac:dyDescent="0.25">
      <c r="A483">
        <v>2020</v>
      </c>
      <c r="B483">
        <v>7</v>
      </c>
      <c r="C483" t="s">
        <v>18</v>
      </c>
      <c r="D483">
        <v>62486</v>
      </c>
      <c r="E483" t="s">
        <v>275</v>
      </c>
      <c r="F483">
        <v>1737</v>
      </c>
      <c r="G483" t="s">
        <v>277</v>
      </c>
      <c r="H483" t="s">
        <v>34</v>
      </c>
      <c r="I483" t="s">
        <v>23</v>
      </c>
      <c r="J483">
        <v>49062.720000000001</v>
      </c>
      <c r="K483">
        <v>7322.48</v>
      </c>
      <c r="L483">
        <v>41740.239999999998</v>
      </c>
      <c r="M483" s="22">
        <v>11187.67</v>
      </c>
      <c r="N483" s="22">
        <v>1356.36</v>
      </c>
      <c r="O483" s="22">
        <v>9831.31</v>
      </c>
      <c r="P483">
        <v>1797.18</v>
      </c>
      <c r="Q483">
        <v>101154896.40000001</v>
      </c>
      <c r="R483">
        <v>115953267.2</v>
      </c>
      <c r="S483">
        <v>5.2999999999999999E-2</v>
      </c>
      <c r="T483">
        <v>3</v>
      </c>
      <c r="U483">
        <v>2.75E-2</v>
      </c>
      <c r="V483">
        <v>0.08</v>
      </c>
      <c r="X483">
        <v>13026.49</v>
      </c>
      <c r="Y483">
        <v>7.4999999999999997E-3</v>
      </c>
    </row>
    <row r="484" spans="1:25" x14ac:dyDescent="0.25">
      <c r="A484">
        <v>2020</v>
      </c>
      <c r="B484">
        <v>7</v>
      </c>
      <c r="C484" t="s">
        <v>18</v>
      </c>
      <c r="D484">
        <v>650</v>
      </c>
      <c r="E484" t="s">
        <v>20</v>
      </c>
      <c r="F484" t="s">
        <v>32</v>
      </c>
      <c r="G484" t="s">
        <v>33</v>
      </c>
      <c r="H484" t="s">
        <v>34</v>
      </c>
      <c r="I484" t="s">
        <v>34</v>
      </c>
      <c r="J484">
        <v>18695.86</v>
      </c>
      <c r="K484">
        <v>18695.86</v>
      </c>
      <c r="M484" s="22">
        <v>2754.42</v>
      </c>
      <c r="N484" s="22">
        <v>2754.42</v>
      </c>
      <c r="P484">
        <v>3649.61</v>
      </c>
    </row>
    <row r="485" spans="1:25" x14ac:dyDescent="0.25">
      <c r="A485">
        <v>2020</v>
      </c>
      <c r="B485">
        <v>7</v>
      </c>
      <c r="C485" t="s">
        <v>18</v>
      </c>
      <c r="D485">
        <v>650</v>
      </c>
      <c r="E485" t="s">
        <v>20</v>
      </c>
      <c r="F485" t="s">
        <v>35</v>
      </c>
      <c r="G485" t="s">
        <v>36</v>
      </c>
      <c r="H485" t="s">
        <v>34</v>
      </c>
      <c r="I485" t="s">
        <v>34</v>
      </c>
      <c r="J485">
        <v>84726.98</v>
      </c>
      <c r="K485">
        <v>84726.98</v>
      </c>
      <c r="M485" s="22">
        <v>12494.46</v>
      </c>
      <c r="N485" s="22">
        <v>12494.46</v>
      </c>
      <c r="P485">
        <v>16555.16</v>
      </c>
    </row>
    <row r="486" spans="1:25" x14ac:dyDescent="0.25">
      <c r="A486">
        <v>2020</v>
      </c>
      <c r="B486">
        <v>7</v>
      </c>
      <c r="C486" t="s">
        <v>18</v>
      </c>
      <c r="D486">
        <v>3093</v>
      </c>
      <c r="E486" t="s">
        <v>37</v>
      </c>
      <c r="F486" t="s">
        <v>38</v>
      </c>
      <c r="G486" t="s">
        <v>39</v>
      </c>
      <c r="H486" t="s">
        <v>34</v>
      </c>
      <c r="I486" t="s">
        <v>34</v>
      </c>
      <c r="J486">
        <v>6602.86</v>
      </c>
      <c r="K486">
        <v>6602.86</v>
      </c>
      <c r="M486" s="22">
        <v>1116.69</v>
      </c>
      <c r="N486" s="22">
        <v>1116.69</v>
      </c>
      <c r="P486">
        <v>1479.61</v>
      </c>
    </row>
    <row r="487" spans="1:25" x14ac:dyDescent="0.25">
      <c r="A487">
        <v>2020</v>
      </c>
      <c r="B487">
        <v>7</v>
      </c>
      <c r="C487" t="s">
        <v>18</v>
      </c>
      <c r="D487">
        <v>9653</v>
      </c>
      <c r="E487" t="s">
        <v>280</v>
      </c>
      <c r="F487">
        <v>1774</v>
      </c>
      <c r="G487" t="s">
        <v>281</v>
      </c>
      <c r="H487" t="s">
        <v>34</v>
      </c>
      <c r="I487" t="s">
        <v>34</v>
      </c>
      <c r="J487">
        <v>52055.27</v>
      </c>
      <c r="K487">
        <v>52055.27</v>
      </c>
      <c r="M487" s="22">
        <v>52055.27</v>
      </c>
      <c r="N487" s="22">
        <v>52055.27</v>
      </c>
      <c r="P487">
        <v>68973.23</v>
      </c>
    </row>
    <row r="488" spans="1:25" x14ac:dyDescent="0.25">
      <c r="A488">
        <v>2020</v>
      </c>
      <c r="B488">
        <v>8</v>
      </c>
      <c r="C488" t="s">
        <v>18</v>
      </c>
      <c r="D488">
        <v>650</v>
      </c>
      <c r="E488" t="s">
        <v>20</v>
      </c>
      <c r="F488" t="s">
        <v>21</v>
      </c>
      <c r="G488" t="s">
        <v>22</v>
      </c>
      <c r="H488" t="s">
        <v>23</v>
      </c>
      <c r="I488" t="s">
        <v>23</v>
      </c>
      <c r="J488">
        <v>33427.11</v>
      </c>
      <c r="K488">
        <v>12213.4</v>
      </c>
      <c r="L488">
        <v>21213.71</v>
      </c>
      <c r="M488" s="22">
        <v>3738.64</v>
      </c>
      <c r="N488" s="22">
        <v>974.04</v>
      </c>
      <c r="O488" s="22">
        <v>2764.6</v>
      </c>
      <c r="P488">
        <v>1613.25</v>
      </c>
      <c r="Q488">
        <v>146169870</v>
      </c>
      <c r="R488">
        <v>146877574.30000001</v>
      </c>
      <c r="S488">
        <v>5.2999999999999999E-2</v>
      </c>
      <c r="T488" t="s">
        <v>24</v>
      </c>
      <c r="U488">
        <v>0.05</v>
      </c>
      <c r="V488">
        <v>0.1</v>
      </c>
      <c r="X488">
        <v>3663.09</v>
      </c>
    </row>
    <row r="489" spans="1:25" x14ac:dyDescent="0.25">
      <c r="A489">
        <v>2020</v>
      </c>
      <c r="B489">
        <v>8</v>
      </c>
      <c r="C489" t="s">
        <v>18</v>
      </c>
      <c r="D489">
        <v>44321</v>
      </c>
      <c r="E489" t="s">
        <v>26</v>
      </c>
      <c r="F489" t="s">
        <v>27</v>
      </c>
      <c r="G489" t="s">
        <v>28</v>
      </c>
      <c r="H489" t="s">
        <v>23</v>
      </c>
      <c r="I489" t="s">
        <v>23</v>
      </c>
      <c r="J489">
        <v>434304.94</v>
      </c>
      <c r="K489">
        <v>96066.25</v>
      </c>
      <c r="L489">
        <v>338238.69</v>
      </c>
      <c r="M489" s="22">
        <v>56910.62</v>
      </c>
      <c r="N489" s="22">
        <v>13101.32</v>
      </c>
      <c r="O489" s="22">
        <v>43809.3</v>
      </c>
      <c r="P489">
        <v>21699.06</v>
      </c>
      <c r="Q489">
        <v>272246543</v>
      </c>
      <c r="R489">
        <v>274081136.5</v>
      </c>
      <c r="S489">
        <v>5.2999999999999999E-2</v>
      </c>
      <c r="T489">
        <v>3</v>
      </c>
      <c r="U489">
        <v>2.75E-2</v>
      </c>
      <c r="V489">
        <v>0.1</v>
      </c>
      <c r="X489">
        <v>58047.32</v>
      </c>
    </row>
    <row r="490" spans="1:25" x14ac:dyDescent="0.25">
      <c r="A490">
        <v>2020</v>
      </c>
      <c r="B490">
        <v>8</v>
      </c>
      <c r="C490" t="s">
        <v>18</v>
      </c>
      <c r="D490">
        <v>45792</v>
      </c>
      <c r="E490" t="s">
        <v>43</v>
      </c>
      <c r="F490" t="s">
        <v>44</v>
      </c>
      <c r="G490" t="s">
        <v>45</v>
      </c>
      <c r="H490" t="s">
        <v>34</v>
      </c>
      <c r="I490" t="s">
        <v>23</v>
      </c>
      <c r="J490">
        <v>91323.12</v>
      </c>
      <c r="K490">
        <v>91323.12</v>
      </c>
      <c r="M490" s="22">
        <v>11491.14</v>
      </c>
      <c r="N490" s="22">
        <v>11491.14</v>
      </c>
      <c r="P490">
        <v>15225.76</v>
      </c>
      <c r="Q490">
        <v>224145104.40000001</v>
      </c>
      <c r="R490">
        <v>227358402.30000001</v>
      </c>
      <c r="S490">
        <v>5.2999999999999999E-2</v>
      </c>
      <c r="T490">
        <v>3</v>
      </c>
      <c r="U490">
        <v>2.75E-2</v>
      </c>
      <c r="V490">
        <v>0.15</v>
      </c>
      <c r="Y490">
        <v>0.03</v>
      </c>
    </row>
    <row r="491" spans="1:25" x14ac:dyDescent="0.25">
      <c r="A491">
        <v>2020</v>
      </c>
      <c r="B491">
        <v>8</v>
      </c>
      <c r="C491" t="s">
        <v>18</v>
      </c>
      <c r="D491">
        <v>45817</v>
      </c>
      <c r="E491" t="s">
        <v>29</v>
      </c>
      <c r="F491" t="s">
        <v>30</v>
      </c>
      <c r="G491" t="s">
        <v>31</v>
      </c>
      <c r="H491" t="s">
        <v>34</v>
      </c>
      <c r="I491" t="s">
        <v>23</v>
      </c>
      <c r="J491">
        <v>857268.76</v>
      </c>
      <c r="K491">
        <v>293241.09000000003</v>
      </c>
      <c r="L491">
        <v>564027.67000000004</v>
      </c>
      <c r="M491" s="22">
        <v>119711.21</v>
      </c>
      <c r="N491" s="22">
        <v>41453.269999999997</v>
      </c>
      <c r="O491" s="22">
        <v>78257.94</v>
      </c>
      <c r="P491">
        <v>54925.58</v>
      </c>
      <c r="Q491">
        <v>482250607.10000002</v>
      </c>
      <c r="R491">
        <v>493671940</v>
      </c>
      <c r="S491">
        <v>5.2999999999999999E-2</v>
      </c>
      <c r="T491">
        <v>3</v>
      </c>
      <c r="U491">
        <v>2.75E-2</v>
      </c>
      <c r="V491">
        <v>0.1</v>
      </c>
      <c r="X491">
        <v>103691.77</v>
      </c>
    </row>
    <row r="492" spans="1:25" x14ac:dyDescent="0.25">
      <c r="A492">
        <v>2020</v>
      </c>
      <c r="B492">
        <v>8</v>
      </c>
      <c r="C492" t="s">
        <v>18</v>
      </c>
      <c r="D492">
        <v>49570</v>
      </c>
      <c r="E492" t="s">
        <v>50</v>
      </c>
      <c r="F492">
        <v>1657</v>
      </c>
      <c r="G492" t="s">
        <v>52</v>
      </c>
      <c r="H492" t="s">
        <v>23</v>
      </c>
      <c r="I492" t="s">
        <v>23</v>
      </c>
      <c r="J492">
        <v>909322.8</v>
      </c>
      <c r="K492">
        <v>451359.82</v>
      </c>
      <c r="L492">
        <v>457962.98</v>
      </c>
      <c r="M492" s="22">
        <v>119218.42</v>
      </c>
      <c r="N492" s="22">
        <v>59740.62</v>
      </c>
      <c r="O492" s="22">
        <v>59477.8</v>
      </c>
      <c r="P492">
        <v>98945.41</v>
      </c>
      <c r="Q492">
        <v>801311481.20000005</v>
      </c>
      <c r="R492">
        <v>808385639.89999998</v>
      </c>
      <c r="S492">
        <v>5.2999999999999999E-2</v>
      </c>
      <c r="T492">
        <v>3</v>
      </c>
      <c r="U492">
        <v>2.75E-2</v>
      </c>
      <c r="V492">
        <v>0.1</v>
      </c>
      <c r="X492">
        <v>78808.09</v>
      </c>
      <c r="Y492" t="s">
        <v>125</v>
      </c>
    </row>
    <row r="493" spans="1:25" x14ac:dyDescent="0.25">
      <c r="A493">
        <v>2020</v>
      </c>
      <c r="B493">
        <v>8</v>
      </c>
      <c r="C493" t="s">
        <v>18</v>
      </c>
      <c r="D493">
        <v>50544</v>
      </c>
      <c r="E493" t="s">
        <v>53</v>
      </c>
      <c r="F493">
        <v>1610</v>
      </c>
      <c r="G493" t="s">
        <v>55</v>
      </c>
      <c r="H493" t="s">
        <v>34</v>
      </c>
      <c r="I493" t="s">
        <v>23</v>
      </c>
      <c r="J493">
        <v>150130.25</v>
      </c>
      <c r="K493">
        <v>65966.63</v>
      </c>
      <c r="L493">
        <v>84163.62</v>
      </c>
      <c r="M493" s="22">
        <v>15509.1</v>
      </c>
      <c r="N493" s="22">
        <v>4625.58</v>
      </c>
      <c r="O493" s="22">
        <v>10883.52</v>
      </c>
      <c r="P493">
        <v>6128.89</v>
      </c>
      <c r="Q493">
        <v>170385970.30000001</v>
      </c>
      <c r="R493">
        <v>170595147.90000001</v>
      </c>
      <c r="S493">
        <v>5.2999999999999999E-2</v>
      </c>
      <c r="T493" t="s">
        <v>24</v>
      </c>
      <c r="U493">
        <v>3.27E-2</v>
      </c>
      <c r="V493">
        <v>0.05</v>
      </c>
      <c r="X493">
        <v>14420.66</v>
      </c>
    </row>
    <row r="494" spans="1:25" x14ac:dyDescent="0.25">
      <c r="A494">
        <v>2020</v>
      </c>
      <c r="B494">
        <v>8</v>
      </c>
      <c r="C494" t="s">
        <v>18</v>
      </c>
      <c r="D494">
        <v>62486</v>
      </c>
      <c r="E494" t="s">
        <v>275</v>
      </c>
      <c r="F494">
        <v>1737</v>
      </c>
      <c r="G494" t="s">
        <v>277</v>
      </c>
      <c r="H494" t="s">
        <v>34</v>
      </c>
      <c r="I494" t="s">
        <v>23</v>
      </c>
      <c r="J494">
        <v>61507.24</v>
      </c>
      <c r="K494">
        <v>8863.58</v>
      </c>
      <c r="L494">
        <v>52643.66</v>
      </c>
      <c r="M494" s="22">
        <v>12444.52</v>
      </c>
      <c r="N494" s="22">
        <v>1541.1</v>
      </c>
      <c r="O494" s="22">
        <v>10903.42</v>
      </c>
      <c r="P494">
        <v>2041.96</v>
      </c>
      <c r="Q494">
        <v>115953267.2</v>
      </c>
      <c r="R494">
        <v>124830553.09999999</v>
      </c>
      <c r="S494">
        <v>5.2999999999999999E-2</v>
      </c>
      <c r="T494">
        <v>3</v>
      </c>
      <c r="U494">
        <v>2.75E-2</v>
      </c>
      <c r="V494">
        <v>0.08</v>
      </c>
      <c r="X494">
        <v>14447.03</v>
      </c>
      <c r="Y494">
        <v>7.4999999999999997E-3</v>
      </c>
    </row>
    <row r="495" spans="1:25" x14ac:dyDescent="0.25">
      <c r="A495">
        <v>2020</v>
      </c>
      <c r="B495">
        <v>8</v>
      </c>
      <c r="C495" t="s">
        <v>18</v>
      </c>
      <c r="D495">
        <v>650</v>
      </c>
      <c r="E495" t="s">
        <v>20</v>
      </c>
      <c r="F495" t="s">
        <v>32</v>
      </c>
      <c r="G495" t="s">
        <v>33</v>
      </c>
      <c r="H495" t="s">
        <v>34</v>
      </c>
      <c r="I495" t="s">
        <v>34</v>
      </c>
      <c r="J495">
        <v>21460.84</v>
      </c>
      <c r="K495">
        <v>21460.84</v>
      </c>
      <c r="M495" s="22">
        <v>2764.98</v>
      </c>
      <c r="N495" s="22">
        <v>2764.98</v>
      </c>
      <c r="P495">
        <v>3663.6</v>
      </c>
    </row>
    <row r="496" spans="1:25" x14ac:dyDescent="0.25">
      <c r="A496">
        <v>2020</v>
      </c>
      <c r="B496">
        <v>8</v>
      </c>
      <c r="C496" t="s">
        <v>18</v>
      </c>
      <c r="D496">
        <v>650</v>
      </c>
      <c r="E496" t="s">
        <v>20</v>
      </c>
      <c r="F496" t="s">
        <v>35</v>
      </c>
      <c r="G496" t="s">
        <v>36</v>
      </c>
      <c r="H496" t="s">
        <v>34</v>
      </c>
      <c r="I496" t="s">
        <v>34</v>
      </c>
      <c r="J496">
        <v>97243.4</v>
      </c>
      <c r="K496">
        <v>97243.4</v>
      </c>
      <c r="M496" s="22">
        <v>12516.42</v>
      </c>
      <c r="N496" s="22">
        <v>12516.42</v>
      </c>
      <c r="P496">
        <v>16584.259999999998</v>
      </c>
    </row>
    <row r="497" spans="1:25" x14ac:dyDescent="0.25">
      <c r="A497">
        <v>2020</v>
      </c>
      <c r="B497">
        <v>8</v>
      </c>
      <c r="C497" t="s">
        <v>18</v>
      </c>
      <c r="D497">
        <v>3093</v>
      </c>
      <c r="E497" t="s">
        <v>37</v>
      </c>
      <c r="F497" t="s">
        <v>38</v>
      </c>
      <c r="G497" t="s">
        <v>39</v>
      </c>
      <c r="H497" t="s">
        <v>34</v>
      </c>
      <c r="I497" t="s">
        <v>34</v>
      </c>
      <c r="J497">
        <v>7530.72</v>
      </c>
      <c r="K497">
        <v>7530.72</v>
      </c>
      <c r="M497" s="22">
        <v>927.86</v>
      </c>
      <c r="N497" s="22">
        <v>927.86</v>
      </c>
      <c r="P497">
        <v>1229.4100000000001</v>
      </c>
    </row>
    <row r="498" spans="1:25" x14ac:dyDescent="0.25">
      <c r="A498">
        <v>2020</v>
      </c>
      <c r="B498">
        <v>8</v>
      </c>
      <c r="C498" t="s">
        <v>18</v>
      </c>
      <c r="D498">
        <v>9653</v>
      </c>
      <c r="E498" t="s">
        <v>280</v>
      </c>
      <c r="F498">
        <v>1774</v>
      </c>
      <c r="G498" t="s">
        <v>281</v>
      </c>
      <c r="H498" t="s">
        <v>34</v>
      </c>
      <c r="I498" t="s">
        <v>34</v>
      </c>
      <c r="J498">
        <v>87349.26</v>
      </c>
      <c r="K498">
        <v>87349.26</v>
      </c>
      <c r="M498" s="22">
        <v>35293.99</v>
      </c>
      <c r="N498" s="22">
        <v>35293.99</v>
      </c>
      <c r="P498">
        <v>46764.54</v>
      </c>
    </row>
    <row r="499" spans="1:25" x14ac:dyDescent="0.25">
      <c r="A499">
        <v>2020</v>
      </c>
      <c r="B499">
        <v>9</v>
      </c>
      <c r="C499" t="s">
        <v>18</v>
      </c>
      <c r="D499">
        <v>650</v>
      </c>
      <c r="E499" t="s">
        <v>20</v>
      </c>
      <c r="F499" t="s">
        <v>21</v>
      </c>
      <c r="G499" t="s">
        <v>22</v>
      </c>
      <c r="H499" t="s">
        <v>23</v>
      </c>
      <c r="I499" t="s">
        <v>23</v>
      </c>
      <c r="J499">
        <v>37128.620000000003</v>
      </c>
      <c r="K499">
        <v>13148.35</v>
      </c>
      <c r="L499">
        <v>23980.27</v>
      </c>
      <c r="M499" s="22">
        <v>3701.51</v>
      </c>
      <c r="N499" s="22">
        <v>934.96</v>
      </c>
      <c r="O499" s="22">
        <v>2766.55</v>
      </c>
      <c r="P499">
        <v>1548.52</v>
      </c>
      <c r="Q499">
        <v>146877574.30000001</v>
      </c>
      <c r="R499">
        <v>146376817.80000001</v>
      </c>
      <c r="S499">
        <v>5.2999999999999999E-2</v>
      </c>
      <c r="T499" t="s">
        <v>24</v>
      </c>
      <c r="U499">
        <v>0.05</v>
      </c>
      <c r="V499">
        <v>0.1</v>
      </c>
      <c r="X499">
        <v>3665.68</v>
      </c>
    </row>
    <row r="500" spans="1:25" x14ac:dyDescent="0.25">
      <c r="A500">
        <v>2020</v>
      </c>
      <c r="B500">
        <v>9</v>
      </c>
      <c r="C500" t="s">
        <v>18</v>
      </c>
      <c r="D500">
        <v>44321</v>
      </c>
      <c r="E500" t="s">
        <v>26</v>
      </c>
      <c r="F500" t="s">
        <v>27</v>
      </c>
      <c r="G500" t="s">
        <v>28</v>
      </c>
      <c r="H500" t="s">
        <v>23</v>
      </c>
      <c r="I500" t="s">
        <v>23</v>
      </c>
      <c r="J500">
        <v>490444.5</v>
      </c>
      <c r="K500">
        <v>108070.33</v>
      </c>
      <c r="L500">
        <v>382374.17</v>
      </c>
      <c r="M500" s="22">
        <v>56139.56</v>
      </c>
      <c r="N500" s="22">
        <v>12004.08</v>
      </c>
      <c r="O500" s="22">
        <v>44135.48</v>
      </c>
      <c r="P500">
        <v>19881.759999999998</v>
      </c>
      <c r="Q500">
        <v>274081136.5</v>
      </c>
      <c r="R500">
        <v>276314257.19999999</v>
      </c>
      <c r="S500">
        <v>5.2999999999999999E-2</v>
      </c>
      <c r="T500">
        <v>3</v>
      </c>
      <c r="U500">
        <v>2.75E-2</v>
      </c>
      <c r="V500">
        <v>0.1</v>
      </c>
      <c r="X500">
        <v>58479.51</v>
      </c>
    </row>
    <row r="501" spans="1:25" x14ac:dyDescent="0.25">
      <c r="A501">
        <v>2020</v>
      </c>
      <c r="B501">
        <v>9</v>
      </c>
      <c r="C501" t="s">
        <v>18</v>
      </c>
      <c r="D501">
        <v>45792</v>
      </c>
      <c r="E501" t="s">
        <v>43</v>
      </c>
      <c r="F501" t="s">
        <v>44</v>
      </c>
      <c r="G501" t="s">
        <v>45</v>
      </c>
      <c r="H501" t="s">
        <v>34</v>
      </c>
      <c r="I501" t="s">
        <v>23</v>
      </c>
      <c r="J501">
        <v>102373.33</v>
      </c>
      <c r="K501">
        <v>102373.33</v>
      </c>
      <c r="M501" s="22">
        <v>11050.2</v>
      </c>
      <c r="N501" s="22">
        <v>11050.2</v>
      </c>
      <c r="P501">
        <v>14641.52</v>
      </c>
      <c r="Q501">
        <v>227358402.30000001</v>
      </c>
      <c r="R501">
        <v>224230024.5</v>
      </c>
      <c r="S501">
        <v>5.2999999999999999E-2</v>
      </c>
      <c r="T501">
        <v>3</v>
      </c>
      <c r="U501">
        <v>2.75E-2</v>
      </c>
      <c r="V501">
        <v>0.15</v>
      </c>
      <c r="Y501">
        <v>0.03</v>
      </c>
    </row>
    <row r="502" spans="1:25" x14ac:dyDescent="0.25">
      <c r="A502">
        <v>2020</v>
      </c>
      <c r="B502">
        <v>9</v>
      </c>
      <c r="C502" t="s">
        <v>18</v>
      </c>
      <c r="D502">
        <v>45817</v>
      </c>
      <c r="E502" t="s">
        <v>29</v>
      </c>
      <c r="F502" t="s">
        <v>30</v>
      </c>
      <c r="G502" t="s">
        <v>31</v>
      </c>
      <c r="H502" t="s">
        <v>34</v>
      </c>
      <c r="I502" t="s">
        <v>23</v>
      </c>
      <c r="J502">
        <v>976776.6</v>
      </c>
      <c r="K502">
        <v>333512.86</v>
      </c>
      <c r="L502">
        <v>643263.74</v>
      </c>
      <c r="M502" s="22">
        <v>119507.84</v>
      </c>
      <c r="N502" s="22">
        <v>40271.769999999997</v>
      </c>
      <c r="O502" s="22">
        <v>79236.070000000007</v>
      </c>
      <c r="P502">
        <v>53360.09</v>
      </c>
      <c r="Q502">
        <v>493671940</v>
      </c>
      <c r="R502">
        <v>494448471.5</v>
      </c>
      <c r="S502">
        <v>5.2999999999999999E-2</v>
      </c>
      <c r="T502">
        <v>3</v>
      </c>
      <c r="U502">
        <v>2.75E-2</v>
      </c>
      <c r="V502">
        <v>0.1</v>
      </c>
      <c r="X502">
        <v>104987.79</v>
      </c>
    </row>
    <row r="503" spans="1:25" x14ac:dyDescent="0.25">
      <c r="A503">
        <v>2020</v>
      </c>
      <c r="B503">
        <v>9</v>
      </c>
      <c r="C503" t="s">
        <v>18</v>
      </c>
      <c r="D503">
        <v>49570</v>
      </c>
      <c r="E503" t="s">
        <v>50</v>
      </c>
      <c r="F503">
        <v>1657</v>
      </c>
      <c r="G503" t="s">
        <v>52</v>
      </c>
      <c r="H503" t="s">
        <v>23</v>
      </c>
      <c r="I503" t="s">
        <v>23</v>
      </c>
      <c r="J503">
        <v>1026277.63</v>
      </c>
      <c r="K503">
        <v>508923.02</v>
      </c>
      <c r="L503">
        <v>517354.61</v>
      </c>
      <c r="M503" s="22">
        <v>116954.83</v>
      </c>
      <c r="N503" s="22">
        <v>57563.199999999997</v>
      </c>
      <c r="O503" s="22">
        <v>59391.63</v>
      </c>
      <c r="P503">
        <v>95339.05</v>
      </c>
      <c r="Q503">
        <v>808385639.89999998</v>
      </c>
      <c r="R503">
        <v>798979326.20000005</v>
      </c>
      <c r="S503">
        <v>5.2999999999999999E-2</v>
      </c>
      <c r="T503">
        <v>3</v>
      </c>
      <c r="U503">
        <v>2.75E-2</v>
      </c>
      <c r="V503">
        <v>0.1</v>
      </c>
      <c r="X503">
        <v>78693.91</v>
      </c>
      <c r="Y503" t="s">
        <v>125</v>
      </c>
    </row>
    <row r="504" spans="1:25" x14ac:dyDescent="0.25">
      <c r="A504">
        <v>2020</v>
      </c>
      <c r="B504">
        <v>9</v>
      </c>
      <c r="C504" t="s">
        <v>18</v>
      </c>
      <c r="D504">
        <v>50544</v>
      </c>
      <c r="E504" t="s">
        <v>53</v>
      </c>
      <c r="F504">
        <v>1610</v>
      </c>
      <c r="G504" t="s">
        <v>55</v>
      </c>
      <c r="H504" t="s">
        <v>34</v>
      </c>
      <c r="I504" t="s">
        <v>23</v>
      </c>
      <c r="J504">
        <v>165331.89000000001</v>
      </c>
      <c r="K504">
        <v>70317.490000000005</v>
      </c>
      <c r="L504">
        <v>95014.399999999994</v>
      </c>
      <c r="M504" s="22">
        <v>15201.66</v>
      </c>
      <c r="N504" s="22">
        <v>4350.87</v>
      </c>
      <c r="O504" s="22">
        <v>10850.79</v>
      </c>
      <c r="P504">
        <v>5764.9</v>
      </c>
      <c r="Q504">
        <v>170595147.90000001</v>
      </c>
      <c r="R504">
        <v>169360499.69999999</v>
      </c>
      <c r="S504">
        <v>5.2999999999999999E-2</v>
      </c>
      <c r="T504" t="s">
        <v>24</v>
      </c>
      <c r="U504">
        <v>3.27E-2</v>
      </c>
      <c r="V504">
        <v>0.05</v>
      </c>
      <c r="X504">
        <v>14377.29</v>
      </c>
    </row>
    <row r="505" spans="1:25" x14ac:dyDescent="0.25">
      <c r="A505">
        <v>2020</v>
      </c>
      <c r="B505">
        <v>9</v>
      </c>
      <c r="C505" t="s">
        <v>18</v>
      </c>
      <c r="D505">
        <v>62486</v>
      </c>
      <c r="E505" t="s">
        <v>275</v>
      </c>
      <c r="F505">
        <v>1737</v>
      </c>
      <c r="G505" t="s">
        <v>277</v>
      </c>
      <c r="H505" t="s">
        <v>34</v>
      </c>
      <c r="I505" t="s">
        <v>23</v>
      </c>
      <c r="J505">
        <v>74659.11</v>
      </c>
      <c r="K505">
        <v>10384.030000000001</v>
      </c>
      <c r="L505">
        <v>64275.08</v>
      </c>
      <c r="M505" s="22">
        <v>13151.88</v>
      </c>
      <c r="N505" s="22">
        <v>1520.45</v>
      </c>
      <c r="O505" s="22">
        <v>11631.43</v>
      </c>
      <c r="P505">
        <v>2014.6</v>
      </c>
      <c r="Q505">
        <v>124830553.09999999</v>
      </c>
      <c r="R505">
        <v>132030109</v>
      </c>
      <c r="S505">
        <v>5.2999999999999999E-2</v>
      </c>
      <c r="T505">
        <v>3</v>
      </c>
      <c r="U505">
        <v>2.75E-2</v>
      </c>
      <c r="V505">
        <v>0.08</v>
      </c>
      <c r="X505">
        <v>15411.64</v>
      </c>
      <c r="Y505">
        <v>7.4999999999999997E-3</v>
      </c>
    </row>
    <row r="506" spans="1:25" x14ac:dyDescent="0.25">
      <c r="A506">
        <v>2020</v>
      </c>
      <c r="B506">
        <v>9</v>
      </c>
      <c r="C506" t="s">
        <v>18</v>
      </c>
      <c r="D506">
        <v>650</v>
      </c>
      <c r="E506" t="s">
        <v>20</v>
      </c>
      <c r="F506" t="s">
        <v>35</v>
      </c>
      <c r="G506" t="s">
        <v>36</v>
      </c>
      <c r="H506" t="s">
        <v>34</v>
      </c>
      <c r="I506" t="s">
        <v>34</v>
      </c>
      <c r="J506">
        <v>104350.17</v>
      </c>
      <c r="K506">
        <v>104350.17</v>
      </c>
      <c r="M506" s="22">
        <v>7106.76</v>
      </c>
      <c r="N506" s="22">
        <v>7106.76</v>
      </c>
      <c r="P506">
        <v>9416.4599999999991</v>
      </c>
    </row>
    <row r="507" spans="1:25" x14ac:dyDescent="0.25">
      <c r="A507">
        <v>2020</v>
      </c>
      <c r="B507">
        <v>9</v>
      </c>
      <c r="C507" t="s">
        <v>18</v>
      </c>
      <c r="D507">
        <v>650</v>
      </c>
      <c r="E507" t="s">
        <v>20</v>
      </c>
      <c r="F507" t="s">
        <v>32</v>
      </c>
      <c r="G507" t="s">
        <v>33</v>
      </c>
      <c r="H507" t="s">
        <v>34</v>
      </c>
      <c r="I507" t="s">
        <v>34</v>
      </c>
      <c r="J507">
        <v>21655.41</v>
      </c>
      <c r="K507">
        <v>21655.41</v>
      </c>
      <c r="M507" s="22">
        <v>194.57</v>
      </c>
      <c r="N507" s="22">
        <v>194.57</v>
      </c>
      <c r="P507">
        <v>257.81</v>
      </c>
    </row>
    <row r="508" spans="1:25" x14ac:dyDescent="0.25">
      <c r="A508">
        <v>2020</v>
      </c>
      <c r="B508">
        <v>9</v>
      </c>
      <c r="C508" t="s">
        <v>18</v>
      </c>
      <c r="D508">
        <v>3093</v>
      </c>
      <c r="E508" t="s">
        <v>37</v>
      </c>
      <c r="F508" t="s">
        <v>38</v>
      </c>
      <c r="G508" t="s">
        <v>39</v>
      </c>
      <c r="H508" t="s">
        <v>34</v>
      </c>
      <c r="I508" t="s">
        <v>34</v>
      </c>
      <c r="J508">
        <v>8462.14</v>
      </c>
      <c r="K508">
        <v>8462.14</v>
      </c>
      <c r="M508" s="22">
        <v>931.43</v>
      </c>
      <c r="N508" s="22">
        <v>931.43</v>
      </c>
      <c r="P508">
        <v>1234.1400000000001</v>
      </c>
    </row>
    <row r="509" spans="1:25" x14ac:dyDescent="0.25">
      <c r="A509">
        <v>2020</v>
      </c>
      <c r="B509">
        <v>9</v>
      </c>
      <c r="C509" t="s">
        <v>18</v>
      </c>
      <c r="D509">
        <v>9653</v>
      </c>
      <c r="E509" t="s">
        <v>280</v>
      </c>
      <c r="F509">
        <v>1774</v>
      </c>
      <c r="G509" t="s">
        <v>281</v>
      </c>
      <c r="H509" t="s">
        <v>34</v>
      </c>
      <c r="I509" t="s">
        <v>34</v>
      </c>
      <c r="J509">
        <v>114404.28</v>
      </c>
      <c r="K509">
        <v>114404.28</v>
      </c>
      <c r="M509" s="22">
        <v>27055.02</v>
      </c>
      <c r="N509" s="22">
        <v>27055.02</v>
      </c>
      <c r="P509">
        <v>35847.9</v>
      </c>
    </row>
    <row r="510" spans="1:25" x14ac:dyDescent="0.25">
      <c r="A510">
        <v>2020</v>
      </c>
      <c r="B510">
        <v>10</v>
      </c>
      <c r="C510" t="s">
        <v>18</v>
      </c>
      <c r="D510">
        <v>650</v>
      </c>
      <c r="E510" t="s">
        <v>20</v>
      </c>
      <c r="F510" t="s">
        <v>21</v>
      </c>
      <c r="G510" t="s">
        <v>22</v>
      </c>
      <c r="H510" t="s">
        <v>23</v>
      </c>
      <c r="I510" t="s">
        <v>23</v>
      </c>
      <c r="J510">
        <v>40913.550000000003</v>
      </c>
      <c r="K510">
        <v>14149.72</v>
      </c>
      <c r="L510">
        <v>26763.83</v>
      </c>
      <c r="M510" s="22">
        <v>3784.92</v>
      </c>
      <c r="N510" s="22">
        <v>1001.36</v>
      </c>
      <c r="O510" s="22">
        <v>2783.56</v>
      </c>
      <c r="P510">
        <v>1658.51</v>
      </c>
      <c r="Q510">
        <v>146376817.80000001</v>
      </c>
      <c r="R510">
        <v>148681062.80000001</v>
      </c>
      <c r="S510">
        <v>5.2999999999999999E-2</v>
      </c>
      <c r="T510" t="s">
        <v>24</v>
      </c>
      <c r="U510">
        <v>0.05</v>
      </c>
      <c r="V510">
        <v>0.1</v>
      </c>
      <c r="X510">
        <v>3688.22</v>
      </c>
    </row>
    <row r="511" spans="1:25" x14ac:dyDescent="0.25">
      <c r="A511">
        <v>2020</v>
      </c>
      <c r="B511">
        <v>10</v>
      </c>
      <c r="C511" t="s">
        <v>18</v>
      </c>
      <c r="D511">
        <v>44321</v>
      </c>
      <c r="E511" t="s">
        <v>26</v>
      </c>
      <c r="F511" t="s">
        <v>27</v>
      </c>
      <c r="G511" t="s">
        <v>28</v>
      </c>
      <c r="H511" t="s">
        <v>23</v>
      </c>
      <c r="I511" t="s">
        <v>23</v>
      </c>
      <c r="J511">
        <v>548110.27</v>
      </c>
      <c r="K511">
        <v>121033.63</v>
      </c>
      <c r="L511">
        <v>427076.64</v>
      </c>
      <c r="M511" s="22">
        <v>57665.77</v>
      </c>
      <c r="N511" s="22">
        <v>12963.3</v>
      </c>
      <c r="O511" s="22">
        <v>44702.47</v>
      </c>
      <c r="P511">
        <v>21470.46</v>
      </c>
      <c r="Q511">
        <v>276314257.19999999</v>
      </c>
      <c r="R511">
        <v>281151834.39999998</v>
      </c>
      <c r="S511">
        <v>5.2999999999999999E-2</v>
      </c>
      <c r="T511">
        <v>3</v>
      </c>
      <c r="U511">
        <v>2.75E-2</v>
      </c>
      <c r="V511">
        <v>0.1</v>
      </c>
      <c r="X511">
        <v>59230.77</v>
      </c>
    </row>
    <row r="512" spans="1:25" x14ac:dyDescent="0.25">
      <c r="A512">
        <v>2020</v>
      </c>
      <c r="B512">
        <v>10</v>
      </c>
      <c r="C512" t="s">
        <v>18</v>
      </c>
      <c r="D512">
        <v>45792</v>
      </c>
      <c r="E512" t="s">
        <v>43</v>
      </c>
      <c r="F512" t="s">
        <v>44</v>
      </c>
      <c r="G512" t="s">
        <v>45</v>
      </c>
      <c r="H512" t="s">
        <v>34</v>
      </c>
      <c r="I512" t="s">
        <v>23</v>
      </c>
      <c r="J512">
        <v>114061.04</v>
      </c>
      <c r="K512">
        <v>114061.04</v>
      </c>
      <c r="M512" s="22">
        <v>11687.71</v>
      </c>
      <c r="N512" s="22">
        <v>11687.71</v>
      </c>
      <c r="P512">
        <v>15486.22</v>
      </c>
      <c r="Q512">
        <v>224230024.5</v>
      </c>
      <c r="R512">
        <v>235734803.5</v>
      </c>
      <c r="S512">
        <v>5.2999999999999999E-2</v>
      </c>
      <c r="T512">
        <v>3</v>
      </c>
      <c r="U512">
        <v>2.75E-2</v>
      </c>
      <c r="V512">
        <v>0.15</v>
      </c>
      <c r="Y512">
        <v>0.03</v>
      </c>
    </row>
    <row r="513" spans="1:25" x14ac:dyDescent="0.25">
      <c r="A513">
        <v>2020</v>
      </c>
      <c r="B513">
        <v>10</v>
      </c>
      <c r="C513" t="s">
        <v>18</v>
      </c>
      <c r="D513">
        <v>45817</v>
      </c>
      <c r="E513" t="s">
        <v>29</v>
      </c>
      <c r="F513" t="s">
        <v>30</v>
      </c>
      <c r="G513" t="s">
        <v>31</v>
      </c>
      <c r="H513" t="s">
        <v>34</v>
      </c>
      <c r="I513" t="s">
        <v>23</v>
      </c>
      <c r="J513">
        <v>1099983.3</v>
      </c>
      <c r="K513">
        <v>376818.63</v>
      </c>
      <c r="L513">
        <v>723164.67</v>
      </c>
      <c r="M513" s="22">
        <v>123206.7</v>
      </c>
      <c r="N513" s="22">
        <v>43305.77</v>
      </c>
      <c r="O513" s="22">
        <v>79900.929999999993</v>
      </c>
      <c r="P513">
        <v>57380.15</v>
      </c>
      <c r="Q513">
        <v>494448471.5</v>
      </c>
      <c r="R513">
        <v>501963121.60000002</v>
      </c>
      <c r="S513">
        <v>5.2999999999999999E-2</v>
      </c>
      <c r="T513">
        <v>3</v>
      </c>
      <c r="U513">
        <v>2.75E-2</v>
      </c>
      <c r="V513">
        <v>0.1</v>
      </c>
      <c r="X513">
        <v>105868.73</v>
      </c>
    </row>
    <row r="514" spans="1:25" x14ac:dyDescent="0.25">
      <c r="A514">
        <v>2020</v>
      </c>
      <c r="B514">
        <v>10</v>
      </c>
      <c r="C514" t="s">
        <v>18</v>
      </c>
      <c r="D514">
        <v>49570</v>
      </c>
      <c r="E514" t="s">
        <v>50</v>
      </c>
      <c r="F514">
        <v>1657</v>
      </c>
      <c r="G514" t="s">
        <v>52</v>
      </c>
      <c r="H514" t="s">
        <v>23</v>
      </c>
      <c r="I514" t="s">
        <v>23</v>
      </c>
      <c r="J514">
        <v>1145123.98</v>
      </c>
      <c r="K514">
        <v>568583.77</v>
      </c>
      <c r="L514">
        <v>576540.21</v>
      </c>
      <c r="M514" s="22">
        <v>118846.35</v>
      </c>
      <c r="N514" s="22">
        <v>59660.75</v>
      </c>
      <c r="O514" s="22">
        <v>59185.599999999999</v>
      </c>
      <c r="P514">
        <v>98813.11</v>
      </c>
      <c r="Q514">
        <v>798979326.20000005</v>
      </c>
      <c r="R514">
        <v>802809666.20000005</v>
      </c>
      <c r="S514">
        <v>5.2999999999999999E-2</v>
      </c>
      <c r="T514">
        <v>3</v>
      </c>
      <c r="U514">
        <v>2.75E-2</v>
      </c>
      <c r="V514">
        <v>0.1</v>
      </c>
      <c r="X514">
        <v>78420.92</v>
      </c>
      <c r="Y514" t="s">
        <v>125</v>
      </c>
    </row>
    <row r="515" spans="1:25" x14ac:dyDescent="0.25">
      <c r="A515">
        <v>2020</v>
      </c>
      <c r="B515">
        <v>10</v>
      </c>
      <c r="C515" t="s">
        <v>18</v>
      </c>
      <c r="D515">
        <v>50544</v>
      </c>
      <c r="E515" t="s">
        <v>53</v>
      </c>
      <c r="F515">
        <v>1610</v>
      </c>
      <c r="G515" t="s">
        <v>55</v>
      </c>
      <c r="H515" t="s">
        <v>34</v>
      </c>
      <c r="I515" t="s">
        <v>23</v>
      </c>
      <c r="J515">
        <v>180688.06</v>
      </c>
      <c r="K515">
        <v>74799.009999999995</v>
      </c>
      <c r="L515">
        <v>105889.05</v>
      </c>
      <c r="M515" s="22">
        <v>15356.17</v>
      </c>
      <c r="N515" s="22">
        <v>4481.5200000000004</v>
      </c>
      <c r="O515" s="22">
        <v>10874.65</v>
      </c>
      <c r="P515">
        <v>5938.01</v>
      </c>
      <c r="Q515">
        <v>169360499.69999999</v>
      </c>
      <c r="R515">
        <v>171342767.69999999</v>
      </c>
      <c r="S515">
        <v>5.2999999999999999E-2</v>
      </c>
      <c r="T515" t="s">
        <v>24</v>
      </c>
      <c r="U515">
        <v>3.27E-2</v>
      </c>
      <c r="V515">
        <v>0.05</v>
      </c>
      <c r="X515">
        <v>14408.91</v>
      </c>
    </row>
    <row r="516" spans="1:25" x14ac:dyDescent="0.25">
      <c r="A516">
        <v>2020</v>
      </c>
      <c r="B516">
        <v>10</v>
      </c>
      <c r="C516" t="s">
        <v>18</v>
      </c>
      <c r="D516">
        <v>62486</v>
      </c>
      <c r="E516" t="s">
        <v>275</v>
      </c>
      <c r="F516">
        <v>1737</v>
      </c>
      <c r="G516" t="s">
        <v>277</v>
      </c>
      <c r="H516" t="s">
        <v>34</v>
      </c>
      <c r="I516" t="s">
        <v>23</v>
      </c>
      <c r="J516">
        <v>88487.24</v>
      </c>
      <c r="K516">
        <v>11813.57</v>
      </c>
      <c r="L516">
        <v>76673.67</v>
      </c>
      <c r="M516" s="22">
        <v>13828.12</v>
      </c>
      <c r="N516" s="22">
        <v>1429.54</v>
      </c>
      <c r="O516" s="22">
        <v>12398.58</v>
      </c>
      <c r="P516">
        <v>1894.14</v>
      </c>
      <c r="Q516">
        <v>132030109</v>
      </c>
      <c r="R516">
        <v>141771891.80000001</v>
      </c>
      <c r="S516">
        <v>5.2999999999999999E-2</v>
      </c>
      <c r="T516">
        <v>3</v>
      </c>
      <c r="U516">
        <v>2.75E-2</v>
      </c>
      <c r="V516">
        <v>0.08</v>
      </c>
      <c r="X516">
        <v>16428.12</v>
      </c>
      <c r="Y516">
        <v>7.4999999999999997E-3</v>
      </c>
    </row>
    <row r="517" spans="1:25" x14ac:dyDescent="0.25">
      <c r="A517">
        <v>2020</v>
      </c>
      <c r="B517">
        <v>10</v>
      </c>
      <c r="C517" t="s">
        <v>18</v>
      </c>
      <c r="D517">
        <v>650</v>
      </c>
      <c r="E517" t="s">
        <v>20</v>
      </c>
      <c r="F517" t="s">
        <v>35</v>
      </c>
      <c r="G517" t="s">
        <v>36</v>
      </c>
      <c r="H517" t="s">
        <v>34</v>
      </c>
      <c r="I517" t="s">
        <v>34</v>
      </c>
      <c r="J517">
        <v>105060.72</v>
      </c>
      <c r="K517">
        <v>105060.72</v>
      </c>
      <c r="M517" s="22">
        <v>710.56</v>
      </c>
      <c r="N517" s="22">
        <v>710.56</v>
      </c>
      <c r="P517">
        <v>941.49</v>
      </c>
    </row>
    <row r="518" spans="1:25" x14ac:dyDescent="0.25">
      <c r="A518">
        <v>2020</v>
      </c>
      <c r="B518">
        <v>10</v>
      </c>
      <c r="C518" t="s">
        <v>18</v>
      </c>
      <c r="D518">
        <v>650</v>
      </c>
      <c r="E518" t="s">
        <v>20</v>
      </c>
      <c r="F518" t="s">
        <v>32</v>
      </c>
      <c r="G518" t="s">
        <v>33</v>
      </c>
      <c r="H518" t="s">
        <v>34</v>
      </c>
      <c r="I518" t="s">
        <v>34</v>
      </c>
      <c r="J518">
        <v>21773.65</v>
      </c>
      <c r="K518">
        <v>21773.65</v>
      </c>
      <c r="M518" s="22">
        <v>118.24</v>
      </c>
      <c r="N518" s="22">
        <v>118.24</v>
      </c>
      <c r="P518">
        <v>156.66999999999999</v>
      </c>
    </row>
    <row r="519" spans="1:25" x14ac:dyDescent="0.25">
      <c r="A519">
        <v>2020</v>
      </c>
      <c r="B519">
        <v>10</v>
      </c>
      <c r="C519" t="s">
        <v>18</v>
      </c>
      <c r="D519">
        <v>3093</v>
      </c>
      <c r="E519" t="s">
        <v>37</v>
      </c>
      <c r="F519" t="s">
        <v>38</v>
      </c>
      <c r="G519" t="s">
        <v>39</v>
      </c>
      <c r="H519" t="s">
        <v>34</v>
      </c>
      <c r="I519" t="s">
        <v>34</v>
      </c>
      <c r="J519">
        <v>9896.3700000000008</v>
      </c>
      <c r="K519">
        <v>9896.3700000000008</v>
      </c>
      <c r="M519" s="22">
        <v>1434.23</v>
      </c>
      <c r="N519" s="22">
        <v>1434.23</v>
      </c>
      <c r="P519">
        <v>1900.35</v>
      </c>
    </row>
    <row r="520" spans="1:25" x14ac:dyDescent="0.25">
      <c r="A520">
        <v>2020</v>
      </c>
      <c r="B520">
        <v>10</v>
      </c>
      <c r="C520" t="s">
        <v>18</v>
      </c>
      <c r="D520">
        <v>9653</v>
      </c>
      <c r="E520" t="s">
        <v>280</v>
      </c>
      <c r="F520">
        <v>1774</v>
      </c>
      <c r="G520" t="s">
        <v>281</v>
      </c>
      <c r="H520" t="s">
        <v>34</v>
      </c>
      <c r="I520" t="s">
        <v>34</v>
      </c>
      <c r="J520">
        <v>139970.93</v>
      </c>
      <c r="K520">
        <v>139970.93</v>
      </c>
      <c r="M520" s="22">
        <v>25566.65</v>
      </c>
      <c r="N520" s="22">
        <v>25566.65</v>
      </c>
      <c r="P520">
        <v>33875.81</v>
      </c>
    </row>
    <row r="521" spans="1:25" x14ac:dyDescent="0.25">
      <c r="A521">
        <v>2020</v>
      </c>
      <c r="B521">
        <v>11</v>
      </c>
      <c r="C521" t="s">
        <v>18</v>
      </c>
      <c r="D521">
        <v>650</v>
      </c>
      <c r="E521" t="s">
        <v>20</v>
      </c>
      <c r="F521" t="s">
        <v>21</v>
      </c>
      <c r="G521" t="s">
        <v>22</v>
      </c>
      <c r="H521" t="s">
        <v>23</v>
      </c>
      <c r="I521" t="s">
        <v>23</v>
      </c>
      <c r="J521">
        <v>44377.31</v>
      </c>
      <c r="K521">
        <v>14804.78</v>
      </c>
      <c r="L521">
        <v>29572.53</v>
      </c>
      <c r="M521" s="22">
        <v>3463.76</v>
      </c>
      <c r="N521" s="22">
        <v>655.05999999999995</v>
      </c>
      <c r="O521" s="22">
        <v>2808.7</v>
      </c>
      <c r="P521">
        <v>1084.95</v>
      </c>
      <c r="Q521">
        <v>148681062.80000001</v>
      </c>
      <c r="R521">
        <v>149040637.69999999</v>
      </c>
      <c r="S521">
        <v>5.2999999999999999E-2</v>
      </c>
      <c r="T521" t="s">
        <v>24</v>
      </c>
      <c r="U521">
        <v>0.05</v>
      </c>
      <c r="V521">
        <v>0.1</v>
      </c>
      <c r="X521">
        <v>3721.52</v>
      </c>
    </row>
    <row r="522" spans="1:25" x14ac:dyDescent="0.25">
      <c r="A522">
        <v>2020</v>
      </c>
      <c r="B522">
        <v>11</v>
      </c>
      <c r="C522" t="s">
        <v>18</v>
      </c>
      <c r="D522">
        <v>44321</v>
      </c>
      <c r="E522" t="s">
        <v>26</v>
      </c>
      <c r="F522" t="s">
        <v>27</v>
      </c>
      <c r="G522" t="s">
        <v>28</v>
      </c>
      <c r="H522" t="s">
        <v>23</v>
      </c>
      <c r="I522" t="s">
        <v>23</v>
      </c>
      <c r="J522">
        <v>605680.21</v>
      </c>
      <c r="K522">
        <v>133504.94</v>
      </c>
      <c r="L522">
        <v>472175.27</v>
      </c>
      <c r="M522" s="22">
        <v>57569.94</v>
      </c>
      <c r="N522" s="22">
        <v>12471.31</v>
      </c>
      <c r="O522" s="22">
        <v>45098.63</v>
      </c>
      <c r="P522">
        <v>20655.61</v>
      </c>
      <c r="Q522">
        <v>281151834.39999998</v>
      </c>
      <c r="R522">
        <v>281254623.60000002</v>
      </c>
      <c r="S522">
        <v>5.2999999999999999E-2</v>
      </c>
      <c r="T522">
        <v>3</v>
      </c>
      <c r="U522">
        <v>2.75E-2</v>
      </c>
      <c r="V522">
        <v>0.1</v>
      </c>
      <c r="X522">
        <v>59755.69</v>
      </c>
    </row>
    <row r="523" spans="1:25" x14ac:dyDescent="0.25">
      <c r="A523">
        <v>2020</v>
      </c>
      <c r="B523">
        <v>11</v>
      </c>
      <c r="C523" t="s">
        <v>18</v>
      </c>
      <c r="D523">
        <v>45792</v>
      </c>
      <c r="E523" t="s">
        <v>43</v>
      </c>
      <c r="F523" t="s">
        <v>44</v>
      </c>
      <c r="G523" t="s">
        <v>45</v>
      </c>
      <c r="H523" t="s">
        <v>34</v>
      </c>
      <c r="I523" t="s">
        <v>23</v>
      </c>
      <c r="J523">
        <v>125733.26</v>
      </c>
      <c r="K523">
        <v>125733.26</v>
      </c>
      <c r="M523" s="22">
        <v>11672.22</v>
      </c>
      <c r="N523" s="22">
        <v>11672.22</v>
      </c>
      <c r="P523">
        <v>15465.69</v>
      </c>
      <c r="Q523">
        <v>235734803.5</v>
      </c>
      <c r="R523">
        <v>237577364.69999999</v>
      </c>
      <c r="S523">
        <v>5.2999999999999999E-2</v>
      </c>
      <c r="T523">
        <v>3</v>
      </c>
      <c r="U523">
        <v>2.75E-2</v>
      </c>
      <c r="V523">
        <v>0.15</v>
      </c>
      <c r="Y523">
        <v>0.03</v>
      </c>
    </row>
    <row r="524" spans="1:25" x14ac:dyDescent="0.25">
      <c r="A524">
        <v>2020</v>
      </c>
      <c r="B524">
        <v>11</v>
      </c>
      <c r="C524" t="s">
        <v>18</v>
      </c>
      <c r="D524">
        <v>45817</v>
      </c>
      <c r="E524" t="s">
        <v>29</v>
      </c>
      <c r="F524" t="s">
        <v>30</v>
      </c>
      <c r="G524" t="s">
        <v>31</v>
      </c>
      <c r="H524" t="s">
        <v>34</v>
      </c>
      <c r="I524" t="s">
        <v>23</v>
      </c>
      <c r="J524">
        <v>1223435.74</v>
      </c>
      <c r="K524">
        <v>418969.11</v>
      </c>
      <c r="L524">
        <v>804466.63</v>
      </c>
      <c r="M524" s="22">
        <v>123452.44</v>
      </c>
      <c r="N524" s="22">
        <v>42150.48</v>
      </c>
      <c r="O524" s="22">
        <v>81301.960000000006</v>
      </c>
      <c r="P524">
        <v>55849.38</v>
      </c>
      <c r="Q524">
        <v>501963121.60000002</v>
      </c>
      <c r="R524">
        <v>511920110.30000001</v>
      </c>
      <c r="S524">
        <v>5.2999999999999999E-2</v>
      </c>
      <c r="T524">
        <v>3</v>
      </c>
      <c r="U524">
        <v>2.75E-2</v>
      </c>
      <c r="V524">
        <v>0.1</v>
      </c>
      <c r="X524">
        <v>107725.09</v>
      </c>
    </row>
    <row r="525" spans="1:25" x14ac:dyDescent="0.25">
      <c r="A525">
        <v>2020</v>
      </c>
      <c r="B525">
        <v>11</v>
      </c>
      <c r="C525" t="s">
        <v>18</v>
      </c>
      <c r="D525">
        <v>49570</v>
      </c>
      <c r="E525" t="s">
        <v>50</v>
      </c>
      <c r="F525">
        <v>1657</v>
      </c>
      <c r="G525" t="s">
        <v>52</v>
      </c>
      <c r="H525" t="s">
        <v>23</v>
      </c>
      <c r="I525" t="s">
        <v>23</v>
      </c>
      <c r="J525">
        <v>1262706.2</v>
      </c>
      <c r="K525">
        <v>626648.27</v>
      </c>
      <c r="L525">
        <v>636057.93000000005</v>
      </c>
      <c r="M525" s="22">
        <v>117582.22</v>
      </c>
      <c r="N525" s="22">
        <v>58064.5</v>
      </c>
      <c r="O525" s="22">
        <v>59517.72</v>
      </c>
      <c r="P525">
        <v>96169.32</v>
      </c>
      <c r="Q525">
        <v>802809666.20000005</v>
      </c>
      <c r="R525">
        <v>807967817</v>
      </c>
      <c r="S525">
        <v>5.2999999999999999E-2</v>
      </c>
      <c r="T525">
        <v>3</v>
      </c>
      <c r="U525">
        <v>2.75E-2</v>
      </c>
      <c r="V525">
        <v>0.1</v>
      </c>
      <c r="X525">
        <v>78860.98</v>
      </c>
      <c r="Y525" t="s">
        <v>125</v>
      </c>
    </row>
    <row r="526" spans="1:25" x14ac:dyDescent="0.25">
      <c r="A526">
        <v>2020</v>
      </c>
      <c r="B526">
        <v>11</v>
      </c>
      <c r="C526" t="s">
        <v>18</v>
      </c>
      <c r="D526">
        <v>50544</v>
      </c>
      <c r="E526" t="s">
        <v>53</v>
      </c>
      <c r="F526">
        <v>1610</v>
      </c>
      <c r="G526" t="s">
        <v>55</v>
      </c>
      <c r="H526" t="s">
        <v>34</v>
      </c>
      <c r="I526" t="s">
        <v>23</v>
      </c>
      <c r="J526">
        <v>195634.65</v>
      </c>
      <c r="K526">
        <v>78807.199999999997</v>
      </c>
      <c r="L526">
        <v>116827.45</v>
      </c>
      <c r="M526" s="22">
        <v>14946.6</v>
      </c>
      <c r="N526" s="22">
        <v>4008.19</v>
      </c>
      <c r="O526" s="22">
        <v>10938.41</v>
      </c>
      <c r="P526">
        <v>5310.85</v>
      </c>
      <c r="Q526">
        <v>171342767.69999999</v>
      </c>
      <c r="R526">
        <v>171358024.40000001</v>
      </c>
      <c r="S526">
        <v>5.2999999999999999E-2</v>
      </c>
      <c r="T526" t="s">
        <v>24</v>
      </c>
      <c r="U526">
        <v>3.27E-2</v>
      </c>
      <c r="V526">
        <v>0.05</v>
      </c>
      <c r="X526">
        <v>14493.39</v>
      </c>
    </row>
    <row r="527" spans="1:25" x14ac:dyDescent="0.25">
      <c r="A527">
        <v>2020</v>
      </c>
      <c r="B527">
        <v>11</v>
      </c>
      <c r="C527" t="s">
        <v>18</v>
      </c>
      <c r="D527">
        <v>62486</v>
      </c>
      <c r="E527" t="s">
        <v>275</v>
      </c>
      <c r="F527">
        <v>1737</v>
      </c>
      <c r="G527" t="s">
        <v>277</v>
      </c>
      <c r="H527" t="s">
        <v>34</v>
      </c>
      <c r="I527" t="s">
        <v>23</v>
      </c>
      <c r="J527">
        <v>102545.62</v>
      </c>
      <c r="K527">
        <v>12664.37</v>
      </c>
      <c r="L527">
        <v>89881.25</v>
      </c>
      <c r="M527" s="22">
        <v>14058.38</v>
      </c>
      <c r="N527" s="22">
        <v>850.8</v>
      </c>
      <c r="O527" s="22">
        <v>13207.58</v>
      </c>
      <c r="P527">
        <v>1127.31</v>
      </c>
      <c r="Q527">
        <v>141771891.80000001</v>
      </c>
      <c r="R527">
        <v>149895505</v>
      </c>
      <c r="S527">
        <v>5.2999999999999999E-2</v>
      </c>
      <c r="T527">
        <v>3</v>
      </c>
      <c r="U527">
        <v>2.75E-2</v>
      </c>
      <c r="V527">
        <v>0.08</v>
      </c>
      <c r="X527">
        <v>17500.04</v>
      </c>
      <c r="Y527">
        <v>7.4999999999999997E-3</v>
      </c>
    </row>
    <row r="528" spans="1:25" x14ac:dyDescent="0.25">
      <c r="A528">
        <v>2020</v>
      </c>
      <c r="B528">
        <v>11</v>
      </c>
      <c r="C528" t="s">
        <v>18</v>
      </c>
      <c r="D528">
        <v>650</v>
      </c>
      <c r="E528" t="s">
        <v>20</v>
      </c>
      <c r="F528" t="s">
        <v>32</v>
      </c>
      <c r="G528" t="s">
        <v>33</v>
      </c>
      <c r="H528" t="s">
        <v>34</v>
      </c>
      <c r="I528" t="s">
        <v>34</v>
      </c>
      <c r="J528">
        <v>21886.89</v>
      </c>
      <c r="K528">
        <v>21886.89</v>
      </c>
      <c r="M528" s="22">
        <v>113.24</v>
      </c>
      <c r="N528" s="22">
        <v>113.24</v>
      </c>
      <c r="P528">
        <v>150.04</v>
      </c>
    </row>
    <row r="529" spans="1:25" x14ac:dyDescent="0.25">
      <c r="A529">
        <v>2020</v>
      </c>
      <c r="B529">
        <v>11</v>
      </c>
      <c r="C529" t="s">
        <v>18</v>
      </c>
      <c r="D529">
        <v>650</v>
      </c>
      <c r="E529" t="s">
        <v>20</v>
      </c>
      <c r="F529" t="s">
        <v>35</v>
      </c>
      <c r="G529" t="s">
        <v>36</v>
      </c>
      <c r="H529" t="s">
        <v>34</v>
      </c>
      <c r="I529" t="s">
        <v>34</v>
      </c>
      <c r="J529">
        <v>105657.19</v>
      </c>
      <c r="K529">
        <v>105657.19</v>
      </c>
      <c r="M529" s="22">
        <v>596.47</v>
      </c>
      <c r="N529" s="22">
        <v>596.47</v>
      </c>
      <c r="P529">
        <v>790.32</v>
      </c>
    </row>
    <row r="530" spans="1:25" x14ac:dyDescent="0.25">
      <c r="A530">
        <v>2020</v>
      </c>
      <c r="B530">
        <v>11</v>
      </c>
      <c r="C530" t="s">
        <v>18</v>
      </c>
      <c r="D530">
        <v>3093</v>
      </c>
      <c r="E530" t="s">
        <v>37</v>
      </c>
      <c r="F530" t="s">
        <v>38</v>
      </c>
      <c r="G530" t="s">
        <v>39</v>
      </c>
      <c r="H530" t="s">
        <v>34</v>
      </c>
      <c r="I530" t="s">
        <v>34</v>
      </c>
      <c r="J530">
        <v>10817.89</v>
      </c>
      <c r="K530">
        <v>10817.89</v>
      </c>
      <c r="M530" s="22">
        <v>921.52</v>
      </c>
      <c r="N530" s="22">
        <v>921.52</v>
      </c>
      <c r="P530">
        <v>1221.02</v>
      </c>
    </row>
    <row r="531" spans="1:25" x14ac:dyDescent="0.25">
      <c r="A531">
        <v>2020</v>
      </c>
      <c r="B531">
        <v>11</v>
      </c>
      <c r="C531" t="s">
        <v>18</v>
      </c>
      <c r="D531">
        <v>9653</v>
      </c>
      <c r="E531" t="s">
        <v>280</v>
      </c>
      <c r="F531">
        <v>1774</v>
      </c>
      <c r="G531" t="s">
        <v>281</v>
      </c>
      <c r="H531" t="s">
        <v>34</v>
      </c>
      <c r="I531" t="s">
        <v>34</v>
      </c>
      <c r="J531">
        <v>166950.15</v>
      </c>
      <c r="K531">
        <v>166950.15</v>
      </c>
      <c r="M531" s="22">
        <v>26979.22</v>
      </c>
      <c r="N531" s="22">
        <v>26979.22</v>
      </c>
      <c r="P531">
        <v>35747.47</v>
      </c>
    </row>
    <row r="532" spans="1:25" x14ac:dyDescent="0.25">
      <c r="A532">
        <v>2020</v>
      </c>
      <c r="B532">
        <v>12</v>
      </c>
      <c r="C532" t="s">
        <v>18</v>
      </c>
      <c r="D532">
        <v>650</v>
      </c>
      <c r="E532" t="s">
        <v>20</v>
      </c>
      <c r="F532" t="s">
        <v>21</v>
      </c>
      <c r="G532" t="s">
        <v>22</v>
      </c>
      <c r="H532" t="s">
        <v>23</v>
      </c>
      <c r="I532" t="s">
        <v>23</v>
      </c>
      <c r="J532">
        <v>47930.43</v>
      </c>
      <c r="K532">
        <v>15522.26</v>
      </c>
      <c r="L532">
        <v>32408.17</v>
      </c>
      <c r="M532" s="22">
        <v>3553.12</v>
      </c>
      <c r="N532" s="22">
        <v>717.48</v>
      </c>
      <c r="O532" s="22">
        <v>2835.64</v>
      </c>
      <c r="P532">
        <v>1188.33</v>
      </c>
      <c r="Q532">
        <v>149040637.69999999</v>
      </c>
      <c r="R532">
        <v>151537408</v>
      </c>
      <c r="S532">
        <v>5.2999999999999999E-2</v>
      </c>
      <c r="T532" t="s">
        <v>24</v>
      </c>
      <c r="U532">
        <v>0.05</v>
      </c>
      <c r="V532">
        <v>0.1</v>
      </c>
      <c r="X532">
        <v>3757.23</v>
      </c>
    </row>
    <row r="533" spans="1:25" x14ac:dyDescent="0.25">
      <c r="A533">
        <v>2020</v>
      </c>
      <c r="B533">
        <v>12</v>
      </c>
      <c r="C533" t="s">
        <v>18</v>
      </c>
      <c r="D533">
        <v>44321</v>
      </c>
      <c r="E533" t="s">
        <v>26</v>
      </c>
      <c r="F533" t="s">
        <v>27</v>
      </c>
      <c r="G533" t="s">
        <v>28</v>
      </c>
      <c r="H533" t="s">
        <v>23</v>
      </c>
      <c r="I533" t="s">
        <v>23</v>
      </c>
      <c r="J533">
        <v>663723.34</v>
      </c>
      <c r="K533">
        <v>145778.04</v>
      </c>
      <c r="L533">
        <v>517945.3</v>
      </c>
      <c r="M533" s="22">
        <v>58043.13</v>
      </c>
      <c r="N533" s="22">
        <v>12273.1</v>
      </c>
      <c r="O533" s="22">
        <v>45770.03</v>
      </c>
      <c r="P533">
        <v>20327.32</v>
      </c>
      <c r="Q533">
        <v>281254623.60000002</v>
      </c>
      <c r="R533">
        <v>289524555.60000002</v>
      </c>
      <c r="S533">
        <v>5.2999999999999999E-2</v>
      </c>
      <c r="T533">
        <v>3</v>
      </c>
      <c r="U533">
        <v>2.75E-2</v>
      </c>
      <c r="V533">
        <v>0.1</v>
      </c>
      <c r="X533">
        <v>60645.29</v>
      </c>
    </row>
    <row r="534" spans="1:25" x14ac:dyDescent="0.25">
      <c r="A534">
        <v>2020</v>
      </c>
      <c r="B534">
        <v>12</v>
      </c>
      <c r="C534" t="s">
        <v>18</v>
      </c>
      <c r="D534">
        <v>45792</v>
      </c>
      <c r="E534" t="s">
        <v>43</v>
      </c>
      <c r="F534" t="s">
        <v>44</v>
      </c>
      <c r="G534" t="s">
        <v>45</v>
      </c>
      <c r="H534" t="s">
        <v>34</v>
      </c>
      <c r="I534" t="s">
        <v>23</v>
      </c>
      <c r="J534">
        <v>138607.29999999999</v>
      </c>
      <c r="K534">
        <v>138607.29999999999</v>
      </c>
      <c r="M534" s="22">
        <v>12874.04</v>
      </c>
      <c r="N534" s="22">
        <v>12874.04</v>
      </c>
      <c r="P534">
        <v>17058.099999999999</v>
      </c>
      <c r="Q534">
        <v>237577364.69999999</v>
      </c>
      <c r="R534">
        <v>237843069.69999999</v>
      </c>
      <c r="S534">
        <v>5.2999999999999999E-2</v>
      </c>
      <c r="T534">
        <v>3</v>
      </c>
      <c r="U534">
        <v>2.75E-2</v>
      </c>
      <c r="V534">
        <v>0.15</v>
      </c>
      <c r="Y534">
        <v>0.03</v>
      </c>
    </row>
    <row r="535" spans="1:25" x14ac:dyDescent="0.25">
      <c r="A535">
        <v>2020</v>
      </c>
      <c r="B535">
        <v>12</v>
      </c>
      <c r="C535" t="s">
        <v>18</v>
      </c>
      <c r="D535">
        <v>45817</v>
      </c>
      <c r="E535" t="s">
        <v>29</v>
      </c>
      <c r="F535" t="s">
        <v>30</v>
      </c>
      <c r="G535" t="s">
        <v>31</v>
      </c>
      <c r="H535" t="s">
        <v>34</v>
      </c>
      <c r="I535" t="s">
        <v>23</v>
      </c>
      <c r="J535">
        <v>1352165.28</v>
      </c>
      <c r="K535">
        <v>464920.8</v>
      </c>
      <c r="L535">
        <v>887244.48</v>
      </c>
      <c r="M535" s="22">
        <v>128729.54</v>
      </c>
      <c r="N535" s="22">
        <v>45951.69</v>
      </c>
      <c r="O535" s="22">
        <v>82777.850000000006</v>
      </c>
      <c r="P535">
        <v>60885.99</v>
      </c>
      <c r="Q535">
        <v>511920110.30000001</v>
      </c>
      <c r="R535">
        <v>520368346.69999999</v>
      </c>
      <c r="S535">
        <v>5.2999999999999999E-2</v>
      </c>
      <c r="T535">
        <v>3</v>
      </c>
      <c r="U535">
        <v>2.75E-2</v>
      </c>
      <c r="V535">
        <v>0.1</v>
      </c>
      <c r="X535">
        <v>109680.65</v>
      </c>
    </row>
    <row r="536" spans="1:25" x14ac:dyDescent="0.25">
      <c r="A536">
        <v>2020</v>
      </c>
      <c r="B536">
        <v>12</v>
      </c>
      <c r="C536" t="s">
        <v>18</v>
      </c>
      <c r="D536">
        <v>49570</v>
      </c>
      <c r="E536" t="s">
        <v>50</v>
      </c>
      <c r="F536">
        <v>1657</v>
      </c>
      <c r="G536" t="s">
        <v>52</v>
      </c>
      <c r="H536" t="s">
        <v>23</v>
      </c>
      <c r="I536" t="s">
        <v>23</v>
      </c>
      <c r="J536">
        <v>1383365.05</v>
      </c>
      <c r="K536">
        <v>687194.83</v>
      </c>
      <c r="L536">
        <v>696170.22</v>
      </c>
      <c r="M536" s="22">
        <v>120658.85</v>
      </c>
      <c r="N536" s="22">
        <v>60546.559999999998</v>
      </c>
      <c r="O536" s="22">
        <v>60112.29</v>
      </c>
      <c r="P536">
        <v>100280.24</v>
      </c>
      <c r="Q536">
        <v>807967817</v>
      </c>
      <c r="R536">
        <v>818900958</v>
      </c>
      <c r="S536">
        <v>5.2999999999999999E-2</v>
      </c>
      <c r="T536">
        <v>3</v>
      </c>
      <c r="U536">
        <v>2.75E-2</v>
      </c>
      <c r="V536">
        <v>0.1</v>
      </c>
      <c r="X536">
        <v>79648.78</v>
      </c>
      <c r="Y536" t="s">
        <v>125</v>
      </c>
    </row>
    <row r="537" spans="1:25" x14ac:dyDescent="0.25">
      <c r="A537">
        <v>2020</v>
      </c>
      <c r="B537">
        <v>12</v>
      </c>
      <c r="C537" t="s">
        <v>18</v>
      </c>
      <c r="D537">
        <v>50544</v>
      </c>
      <c r="E537" t="s">
        <v>53</v>
      </c>
      <c r="F537">
        <v>1610</v>
      </c>
      <c r="G537" t="s">
        <v>55</v>
      </c>
      <c r="H537" t="s">
        <v>34</v>
      </c>
      <c r="I537" t="s">
        <v>23</v>
      </c>
      <c r="J537">
        <v>210834.38</v>
      </c>
      <c r="K537">
        <v>82981.429999999993</v>
      </c>
      <c r="L537">
        <v>127852.95</v>
      </c>
      <c r="M537" s="22">
        <v>15199.72</v>
      </c>
      <c r="N537" s="22">
        <v>4174.2299999999996</v>
      </c>
      <c r="O537" s="22">
        <v>11025.49</v>
      </c>
      <c r="P537">
        <v>5530.86</v>
      </c>
      <c r="Q537">
        <v>171358024.40000001</v>
      </c>
      <c r="R537">
        <v>174071170</v>
      </c>
      <c r="S537">
        <v>5.2999999999999999E-2</v>
      </c>
      <c r="T537" t="s">
        <v>24</v>
      </c>
      <c r="U537">
        <v>3.27E-2</v>
      </c>
      <c r="V537">
        <v>0.05</v>
      </c>
      <c r="X537">
        <v>14608.78</v>
      </c>
    </row>
    <row r="538" spans="1:25" x14ac:dyDescent="0.25">
      <c r="A538">
        <v>2020</v>
      </c>
      <c r="B538">
        <v>12</v>
      </c>
      <c r="C538" t="s">
        <v>18</v>
      </c>
      <c r="D538">
        <v>62486</v>
      </c>
      <c r="E538" t="s">
        <v>275</v>
      </c>
      <c r="F538">
        <v>1737</v>
      </c>
      <c r="G538" t="s">
        <v>277</v>
      </c>
      <c r="H538" t="s">
        <v>34</v>
      </c>
      <c r="I538" t="s">
        <v>23</v>
      </c>
      <c r="J538">
        <v>117825.61</v>
      </c>
      <c r="K538">
        <v>13762.76</v>
      </c>
      <c r="L538">
        <v>104062.85</v>
      </c>
      <c r="M538" s="22">
        <v>15280</v>
      </c>
      <c r="N538" s="22">
        <v>1098.3900000000001</v>
      </c>
      <c r="O538" s="22">
        <v>14181.61</v>
      </c>
      <c r="P538">
        <v>1455.37</v>
      </c>
      <c r="Q538">
        <v>149895505</v>
      </c>
      <c r="R538">
        <v>163281668.80000001</v>
      </c>
      <c r="S538">
        <v>5.2999999999999999E-2</v>
      </c>
      <c r="T538">
        <v>3</v>
      </c>
      <c r="U538">
        <v>2.75E-2</v>
      </c>
      <c r="V538">
        <v>0.08</v>
      </c>
      <c r="X538">
        <v>18790.63</v>
      </c>
      <c r="Y538">
        <v>7.4999999999999997E-3</v>
      </c>
    </row>
    <row r="539" spans="1:25" x14ac:dyDescent="0.25">
      <c r="A539">
        <v>2020</v>
      </c>
      <c r="B539">
        <v>12</v>
      </c>
      <c r="C539" t="s">
        <v>18</v>
      </c>
      <c r="D539">
        <v>650</v>
      </c>
      <c r="E539" t="s">
        <v>20</v>
      </c>
      <c r="F539" t="s">
        <v>32</v>
      </c>
      <c r="G539" t="s">
        <v>33</v>
      </c>
      <c r="H539" t="s">
        <v>34</v>
      </c>
      <c r="I539" t="s">
        <v>34</v>
      </c>
      <c r="J539">
        <v>21943.279999999999</v>
      </c>
      <c r="K539">
        <v>21943.279999999999</v>
      </c>
      <c r="M539" s="22">
        <v>56.39</v>
      </c>
      <c r="N539" s="22">
        <v>56.39</v>
      </c>
      <c r="P539">
        <v>74.72</v>
      </c>
    </row>
    <row r="540" spans="1:25" x14ac:dyDescent="0.25">
      <c r="A540">
        <v>2020</v>
      </c>
      <c r="B540">
        <v>12</v>
      </c>
      <c r="C540" t="s">
        <v>18</v>
      </c>
      <c r="D540">
        <v>650</v>
      </c>
      <c r="E540" t="s">
        <v>20</v>
      </c>
      <c r="F540" t="s">
        <v>35</v>
      </c>
      <c r="G540" t="s">
        <v>36</v>
      </c>
      <c r="H540" t="s">
        <v>34</v>
      </c>
      <c r="I540" t="s">
        <v>34</v>
      </c>
      <c r="J540">
        <v>106054.13</v>
      </c>
      <c r="K540">
        <v>106054.13</v>
      </c>
      <c r="M540" s="22">
        <v>396.94</v>
      </c>
      <c r="N540" s="22">
        <v>396.94</v>
      </c>
      <c r="P540">
        <v>525.94000000000005</v>
      </c>
    </row>
    <row r="541" spans="1:25" x14ac:dyDescent="0.25">
      <c r="A541">
        <v>2020</v>
      </c>
      <c r="B541">
        <v>12</v>
      </c>
      <c r="C541" t="s">
        <v>18</v>
      </c>
      <c r="D541">
        <v>3093</v>
      </c>
      <c r="E541" t="s">
        <v>37</v>
      </c>
      <c r="F541" t="s">
        <v>38</v>
      </c>
      <c r="G541" t="s">
        <v>39</v>
      </c>
      <c r="H541" t="s">
        <v>34</v>
      </c>
      <c r="I541" t="s">
        <v>34</v>
      </c>
      <c r="J541">
        <v>11670.05</v>
      </c>
      <c r="K541">
        <v>11670.05</v>
      </c>
      <c r="M541" s="22">
        <v>852.15</v>
      </c>
      <c r="N541" s="22">
        <v>852.15</v>
      </c>
      <c r="P541">
        <v>1129.0999999999999</v>
      </c>
    </row>
    <row r="542" spans="1:25" x14ac:dyDescent="0.25">
      <c r="A542">
        <v>2020</v>
      </c>
      <c r="B542">
        <v>12</v>
      </c>
      <c r="C542" t="s">
        <v>18</v>
      </c>
      <c r="D542">
        <v>9653</v>
      </c>
      <c r="E542" t="s">
        <v>280</v>
      </c>
      <c r="F542">
        <v>1774</v>
      </c>
      <c r="G542" t="s">
        <v>281</v>
      </c>
      <c r="H542" t="s">
        <v>34</v>
      </c>
      <c r="I542" t="s">
        <v>34</v>
      </c>
      <c r="J542">
        <v>193482.05</v>
      </c>
      <c r="K542">
        <v>193482.05</v>
      </c>
      <c r="M542" s="22">
        <v>26531.9</v>
      </c>
      <c r="N542" s="22">
        <v>26531.9</v>
      </c>
      <c r="P542">
        <v>35154.769999999997</v>
      </c>
    </row>
  </sheetData>
  <autoFilter ref="A1:Y354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4"/>
  <sheetViews>
    <sheetView topLeftCell="A76" workbookViewId="0">
      <selection activeCell="H90" sqref="H90:H94"/>
    </sheetView>
  </sheetViews>
  <sheetFormatPr defaultRowHeight="13.8" x14ac:dyDescent="0.25"/>
  <cols>
    <col min="1" max="2" width="8" bestFit="1" customWidth="1"/>
    <col min="3" max="3" width="14.6640625" customWidth="1"/>
    <col min="4" max="4" width="15.21875" customWidth="1"/>
    <col min="5" max="5" width="24.5546875" customWidth="1"/>
    <col min="6" max="6" width="20.109375" customWidth="1"/>
    <col min="7" max="7" width="17.6640625" customWidth="1"/>
    <col min="8" max="8" width="16.33203125" customWidth="1"/>
  </cols>
  <sheetData>
    <row r="1" spans="1:12" ht="28.8" x14ac:dyDescent="0.25">
      <c r="A1" s="1" t="s">
        <v>145</v>
      </c>
      <c r="B1" s="1" t="s">
        <v>146</v>
      </c>
      <c r="C1" s="1" t="s">
        <v>147</v>
      </c>
      <c r="D1" s="1" t="s">
        <v>164</v>
      </c>
      <c r="E1" s="1" t="s">
        <v>148</v>
      </c>
      <c r="F1" s="1" t="s">
        <v>150</v>
      </c>
      <c r="G1" s="1" t="s">
        <v>151</v>
      </c>
      <c r="H1" s="1" t="s">
        <v>167</v>
      </c>
    </row>
    <row r="2" spans="1:12" ht="28.8" x14ac:dyDescent="0.25">
      <c r="A2" s="4">
        <v>2017</v>
      </c>
      <c r="B2" s="4">
        <v>1</v>
      </c>
      <c r="C2" s="4" t="s">
        <v>18</v>
      </c>
      <c r="D2" s="4" t="s">
        <v>76</v>
      </c>
      <c r="E2" s="5" t="s">
        <v>77</v>
      </c>
      <c r="F2" s="6">
        <v>16583.96</v>
      </c>
      <c r="G2" s="6">
        <v>16583.96</v>
      </c>
      <c r="H2" s="4" t="str">
        <f t="shared" ref="H2:H33" si="0">season(B2)</f>
        <v>一季度</v>
      </c>
    </row>
    <row r="3" spans="1:12" ht="28.8" x14ac:dyDescent="0.25">
      <c r="A3" s="4">
        <v>2017</v>
      </c>
      <c r="B3" s="4">
        <v>2</v>
      </c>
      <c r="C3" s="4" t="s">
        <v>18</v>
      </c>
      <c r="D3" s="4" t="s">
        <v>76</v>
      </c>
      <c r="E3" s="5" t="s">
        <v>77</v>
      </c>
      <c r="F3" s="6">
        <v>16583.96</v>
      </c>
      <c r="G3" s="6">
        <v>33167.919999999998</v>
      </c>
      <c r="H3" s="4" t="str">
        <f t="shared" si="0"/>
        <v>一季度</v>
      </c>
    </row>
    <row r="4" spans="1:12" ht="28.8" x14ac:dyDescent="0.25">
      <c r="A4" s="4">
        <v>2017</v>
      </c>
      <c r="B4" s="4">
        <v>3</v>
      </c>
      <c r="C4" s="4" t="s">
        <v>18</v>
      </c>
      <c r="D4" s="4" t="s">
        <v>76</v>
      </c>
      <c r="E4" s="5" t="s">
        <v>77</v>
      </c>
      <c r="F4" s="6">
        <v>16583.96</v>
      </c>
      <c r="G4" s="6">
        <v>49751.89</v>
      </c>
      <c r="H4" s="4" t="str">
        <f t="shared" si="0"/>
        <v>一季度</v>
      </c>
    </row>
    <row r="5" spans="1:12" ht="28.8" x14ac:dyDescent="0.25">
      <c r="A5" s="4">
        <v>2017</v>
      </c>
      <c r="B5" s="4">
        <v>4</v>
      </c>
      <c r="C5" s="4" t="s">
        <v>18</v>
      </c>
      <c r="D5" s="4" t="s">
        <v>76</v>
      </c>
      <c r="E5" s="5" t="s">
        <v>77</v>
      </c>
      <c r="F5" s="6">
        <v>16583.96</v>
      </c>
      <c r="G5" s="6">
        <v>66335.850000000006</v>
      </c>
      <c r="H5" s="4" t="str">
        <f t="shared" si="0"/>
        <v>二季度</v>
      </c>
    </row>
    <row r="6" spans="1:12" ht="28.8" x14ac:dyDescent="0.25">
      <c r="A6" s="4">
        <v>2017</v>
      </c>
      <c r="B6" s="4">
        <v>5</v>
      </c>
      <c r="C6" s="4" t="s">
        <v>18</v>
      </c>
      <c r="D6" s="4" t="s">
        <v>76</v>
      </c>
      <c r="E6" s="5" t="s">
        <v>77</v>
      </c>
      <c r="F6" s="6">
        <v>16583.96</v>
      </c>
      <c r="G6" s="6">
        <v>82919.81</v>
      </c>
      <c r="H6" s="4" t="str">
        <f t="shared" si="0"/>
        <v>二季度</v>
      </c>
    </row>
    <row r="7" spans="1:12" ht="28.8" x14ac:dyDescent="0.25">
      <c r="A7" s="4">
        <v>2017</v>
      </c>
      <c r="B7" s="4">
        <v>6</v>
      </c>
      <c r="C7" s="4" t="s">
        <v>18</v>
      </c>
      <c r="D7" s="4" t="s">
        <v>76</v>
      </c>
      <c r="E7" s="5" t="s">
        <v>77</v>
      </c>
      <c r="F7" s="6">
        <v>16583.96</v>
      </c>
      <c r="G7" s="6">
        <v>99503.77</v>
      </c>
      <c r="H7" s="4" t="str">
        <f t="shared" si="0"/>
        <v>二季度</v>
      </c>
    </row>
    <row r="8" spans="1:12" ht="28.8" x14ac:dyDescent="0.25">
      <c r="A8" s="4">
        <v>2017</v>
      </c>
      <c r="B8" s="4">
        <v>7</v>
      </c>
      <c r="C8" s="4" t="s">
        <v>18</v>
      </c>
      <c r="D8" s="4" t="s">
        <v>76</v>
      </c>
      <c r="E8" s="5" t="s">
        <v>77</v>
      </c>
      <c r="F8" s="6">
        <v>16662.259999999998</v>
      </c>
      <c r="G8" s="6">
        <v>116166.04</v>
      </c>
      <c r="H8" s="4" t="str">
        <f t="shared" si="0"/>
        <v>三季度</v>
      </c>
    </row>
    <row r="9" spans="1:12" ht="28.8" x14ac:dyDescent="0.25">
      <c r="A9" s="4">
        <v>2017</v>
      </c>
      <c r="B9" s="4">
        <v>8</v>
      </c>
      <c r="C9" s="4" t="s">
        <v>18</v>
      </c>
      <c r="D9" s="4" t="s">
        <v>76</v>
      </c>
      <c r="E9" s="5" t="s">
        <v>77</v>
      </c>
      <c r="F9" s="6">
        <v>16233.96</v>
      </c>
      <c r="G9" s="6">
        <v>132400</v>
      </c>
      <c r="H9" s="4" t="str">
        <f t="shared" si="0"/>
        <v>三季度</v>
      </c>
    </row>
    <row r="10" spans="1:12" ht="28.8" x14ac:dyDescent="0.25">
      <c r="A10" s="4">
        <v>2017</v>
      </c>
      <c r="B10" s="4">
        <v>9</v>
      </c>
      <c r="C10" s="4" t="s">
        <v>18</v>
      </c>
      <c r="D10" s="4" t="s">
        <v>76</v>
      </c>
      <c r="E10" s="5" t="s">
        <v>77</v>
      </c>
      <c r="F10" s="6">
        <v>16233.96</v>
      </c>
      <c r="G10" s="6">
        <v>148633.96</v>
      </c>
      <c r="H10" s="4" t="str">
        <f t="shared" si="0"/>
        <v>三季度</v>
      </c>
    </row>
    <row r="11" spans="1:12" ht="28.8" x14ac:dyDescent="0.25">
      <c r="A11" s="4">
        <v>2017</v>
      </c>
      <c r="B11" s="4">
        <v>10</v>
      </c>
      <c r="C11" s="4" t="s">
        <v>18</v>
      </c>
      <c r="D11" s="4" t="s">
        <v>76</v>
      </c>
      <c r="E11" s="5" t="s">
        <v>77</v>
      </c>
      <c r="F11" s="6">
        <v>16233.96</v>
      </c>
      <c r="G11" s="6">
        <v>164867.92000000001</v>
      </c>
      <c r="H11" s="4" t="str">
        <f t="shared" si="0"/>
        <v>四季度</v>
      </c>
    </row>
    <row r="12" spans="1:12" ht="28.8" x14ac:dyDescent="0.25">
      <c r="A12" s="4">
        <v>2017</v>
      </c>
      <c r="B12" s="4">
        <v>11</v>
      </c>
      <c r="C12" s="4" t="s">
        <v>18</v>
      </c>
      <c r="D12" s="4" t="s">
        <v>76</v>
      </c>
      <c r="E12" s="5" t="s">
        <v>77</v>
      </c>
      <c r="F12" s="6">
        <v>16233.96</v>
      </c>
      <c r="G12" s="6">
        <v>181101.89</v>
      </c>
      <c r="H12" s="4" t="str">
        <f t="shared" si="0"/>
        <v>四季度</v>
      </c>
      <c r="L12" s="6">
        <v>16233.96</v>
      </c>
    </row>
    <row r="13" spans="1:12" ht="28.8" x14ac:dyDescent="0.25">
      <c r="A13" s="4">
        <v>2017</v>
      </c>
      <c r="B13" s="4">
        <v>12</v>
      </c>
      <c r="C13" s="4" t="s">
        <v>18</v>
      </c>
      <c r="D13" s="4" t="s">
        <v>76</v>
      </c>
      <c r="E13" s="5" t="s">
        <v>77</v>
      </c>
      <c r="F13" s="6">
        <v>16233.96</v>
      </c>
      <c r="G13" s="6">
        <v>197335.85</v>
      </c>
      <c r="H13" s="4" t="str">
        <f t="shared" si="0"/>
        <v>四季度</v>
      </c>
      <c r="L13" s="6">
        <v>30.09</v>
      </c>
    </row>
    <row r="14" spans="1:12" ht="28.8" x14ac:dyDescent="0.25">
      <c r="A14" s="4">
        <v>2017</v>
      </c>
      <c r="B14" s="4">
        <v>12</v>
      </c>
      <c r="C14" s="4" t="s">
        <v>18</v>
      </c>
      <c r="D14" s="4" t="s">
        <v>165</v>
      </c>
      <c r="E14" s="5" t="s">
        <v>166</v>
      </c>
      <c r="F14" s="6">
        <v>58.39</v>
      </c>
      <c r="G14" s="6">
        <v>58.39</v>
      </c>
      <c r="H14" s="4" t="str">
        <f t="shared" si="0"/>
        <v>四季度</v>
      </c>
      <c r="L14" s="83">
        <v>7529</v>
      </c>
    </row>
    <row r="15" spans="1:12" ht="28.8" x14ac:dyDescent="0.25">
      <c r="A15" s="4">
        <v>2017</v>
      </c>
      <c r="B15" s="4">
        <v>12</v>
      </c>
      <c r="C15" s="4" t="s">
        <v>18</v>
      </c>
      <c r="D15" s="4" t="s">
        <v>79</v>
      </c>
      <c r="E15" s="5" t="s">
        <v>80</v>
      </c>
      <c r="F15" s="6">
        <v>30.18</v>
      </c>
      <c r="G15" s="6">
        <v>30.18</v>
      </c>
      <c r="H15" s="4" t="str">
        <f t="shared" si="0"/>
        <v>四季度</v>
      </c>
    </row>
    <row r="16" spans="1:12" ht="28.8" x14ac:dyDescent="0.25">
      <c r="A16" s="4">
        <v>2018</v>
      </c>
      <c r="B16" s="4">
        <v>1</v>
      </c>
      <c r="C16" s="4" t="s">
        <v>18</v>
      </c>
      <c r="D16" s="4" t="s">
        <v>76</v>
      </c>
      <c r="E16" s="5" t="s">
        <v>77</v>
      </c>
      <c r="F16" s="6">
        <v>16233.96</v>
      </c>
      <c r="G16" s="6">
        <v>16233.96</v>
      </c>
      <c r="H16" s="4" t="str">
        <f t="shared" si="0"/>
        <v>一季度</v>
      </c>
    </row>
    <row r="17" spans="1:8" ht="28.8" x14ac:dyDescent="0.25">
      <c r="A17" s="4">
        <v>2018</v>
      </c>
      <c r="B17" s="4">
        <v>1</v>
      </c>
      <c r="C17" s="4" t="s">
        <v>18</v>
      </c>
      <c r="D17" s="4" t="s">
        <v>165</v>
      </c>
      <c r="E17" s="5" t="s">
        <v>166</v>
      </c>
      <c r="F17" s="6">
        <v>58.4</v>
      </c>
      <c r="G17" s="6">
        <v>58.4</v>
      </c>
      <c r="H17" s="4" t="str">
        <f t="shared" si="0"/>
        <v>一季度</v>
      </c>
    </row>
    <row r="18" spans="1:8" ht="28.8" x14ac:dyDescent="0.25">
      <c r="A18" s="4">
        <v>2018</v>
      </c>
      <c r="B18" s="4">
        <v>1</v>
      </c>
      <c r="C18" s="4" t="s">
        <v>18</v>
      </c>
      <c r="D18" s="4" t="s">
        <v>79</v>
      </c>
      <c r="E18" s="5" t="s">
        <v>80</v>
      </c>
      <c r="F18" s="6">
        <v>30.09</v>
      </c>
      <c r="G18" s="6">
        <v>30.09</v>
      </c>
      <c r="H18" s="4" t="str">
        <f t="shared" si="0"/>
        <v>一季度</v>
      </c>
    </row>
    <row r="19" spans="1:8" ht="28.8" x14ac:dyDescent="0.25">
      <c r="A19" s="4">
        <v>2018</v>
      </c>
      <c r="B19" s="4">
        <v>2</v>
      </c>
      <c r="C19" s="4" t="s">
        <v>18</v>
      </c>
      <c r="D19" s="4" t="s">
        <v>76</v>
      </c>
      <c r="E19" s="5" t="s">
        <v>77</v>
      </c>
      <c r="F19" s="6">
        <v>16233.96</v>
      </c>
      <c r="G19" s="6">
        <v>32467.919999999998</v>
      </c>
      <c r="H19" s="4" t="str">
        <f t="shared" si="0"/>
        <v>一季度</v>
      </c>
    </row>
    <row r="20" spans="1:8" ht="28.8" x14ac:dyDescent="0.25">
      <c r="A20" s="4">
        <v>2018</v>
      </c>
      <c r="B20" s="4">
        <v>2</v>
      </c>
      <c r="C20" s="4" t="s">
        <v>18</v>
      </c>
      <c r="D20" s="4" t="s">
        <v>165</v>
      </c>
      <c r="E20" s="5" t="s">
        <v>166</v>
      </c>
      <c r="F20" s="6">
        <v>58.44</v>
      </c>
      <c r="G20" s="6">
        <v>116.84</v>
      </c>
      <c r="H20" s="4" t="str">
        <f t="shared" si="0"/>
        <v>一季度</v>
      </c>
    </row>
    <row r="21" spans="1:8" ht="28.8" x14ac:dyDescent="0.25">
      <c r="A21" s="4">
        <v>2018</v>
      </c>
      <c r="B21" s="4">
        <v>2</v>
      </c>
      <c r="C21" s="4" t="s">
        <v>18</v>
      </c>
      <c r="D21" s="4" t="s">
        <v>79</v>
      </c>
      <c r="E21" s="5" t="s">
        <v>80</v>
      </c>
      <c r="F21" s="6">
        <v>30.09</v>
      </c>
      <c r="G21" s="6">
        <v>60.19</v>
      </c>
      <c r="H21" s="4" t="str">
        <f t="shared" si="0"/>
        <v>一季度</v>
      </c>
    </row>
    <row r="22" spans="1:8" ht="28.8" x14ac:dyDescent="0.25">
      <c r="A22" s="4">
        <v>2018</v>
      </c>
      <c r="B22" s="4">
        <v>3</v>
      </c>
      <c r="C22" s="4" t="s">
        <v>18</v>
      </c>
      <c r="D22" s="4" t="s">
        <v>76</v>
      </c>
      <c r="E22" s="5" t="s">
        <v>77</v>
      </c>
      <c r="F22" s="6">
        <v>16233.96</v>
      </c>
      <c r="G22" s="6">
        <v>48701.89</v>
      </c>
      <c r="H22" s="4" t="str">
        <f t="shared" si="0"/>
        <v>一季度</v>
      </c>
    </row>
    <row r="23" spans="1:8" ht="28.8" x14ac:dyDescent="0.25">
      <c r="A23" s="4">
        <v>2018</v>
      </c>
      <c r="B23" s="4">
        <v>3</v>
      </c>
      <c r="C23" s="4" t="s">
        <v>18</v>
      </c>
      <c r="D23" s="4" t="s">
        <v>165</v>
      </c>
      <c r="E23" s="5" t="s">
        <v>166</v>
      </c>
      <c r="F23" s="6">
        <v>58.59</v>
      </c>
      <c r="G23" s="6">
        <v>175.43</v>
      </c>
      <c r="H23" s="4" t="str">
        <f t="shared" si="0"/>
        <v>一季度</v>
      </c>
    </row>
    <row r="24" spans="1:8" ht="28.8" x14ac:dyDescent="0.25">
      <c r="A24" s="4">
        <v>2018</v>
      </c>
      <c r="B24" s="4">
        <v>3</v>
      </c>
      <c r="C24" s="4" t="s">
        <v>18</v>
      </c>
      <c r="D24" s="4" t="s">
        <v>79</v>
      </c>
      <c r="E24" s="5" t="s">
        <v>80</v>
      </c>
      <c r="F24" s="6">
        <v>30.09</v>
      </c>
      <c r="G24" s="6">
        <v>90.28</v>
      </c>
      <c r="H24" s="4" t="str">
        <f t="shared" si="0"/>
        <v>一季度</v>
      </c>
    </row>
    <row r="25" spans="1:8" ht="28.8" x14ac:dyDescent="0.25">
      <c r="A25" s="4">
        <v>2018</v>
      </c>
      <c r="B25" s="4">
        <v>4</v>
      </c>
      <c r="C25" s="4" t="s">
        <v>18</v>
      </c>
      <c r="D25" s="4" t="s">
        <v>76</v>
      </c>
      <c r="E25" s="5" t="s">
        <v>77</v>
      </c>
      <c r="F25" s="6">
        <v>16233.96</v>
      </c>
      <c r="G25" s="6">
        <v>64935.85</v>
      </c>
      <c r="H25" s="4" t="str">
        <f t="shared" si="0"/>
        <v>二季度</v>
      </c>
    </row>
    <row r="26" spans="1:8" ht="28.8" x14ac:dyDescent="0.25">
      <c r="A26" s="4">
        <v>2018</v>
      </c>
      <c r="B26" s="4">
        <v>4</v>
      </c>
      <c r="C26" s="4" t="s">
        <v>18</v>
      </c>
      <c r="D26" s="4" t="s">
        <v>165</v>
      </c>
      <c r="E26" s="5" t="s">
        <v>166</v>
      </c>
      <c r="F26" s="6">
        <v>58.32</v>
      </c>
      <c r="G26" s="6">
        <v>233.75</v>
      </c>
      <c r="H26" s="4" t="str">
        <f t="shared" si="0"/>
        <v>二季度</v>
      </c>
    </row>
    <row r="27" spans="1:8" ht="28.8" x14ac:dyDescent="0.25">
      <c r="A27" s="4">
        <v>2018</v>
      </c>
      <c r="B27" s="4">
        <v>4</v>
      </c>
      <c r="C27" s="4" t="s">
        <v>18</v>
      </c>
      <c r="D27" s="4" t="s">
        <v>79</v>
      </c>
      <c r="E27" s="5" t="s">
        <v>80</v>
      </c>
      <c r="F27" s="6">
        <v>29.9</v>
      </c>
      <c r="G27" s="6">
        <v>120.18</v>
      </c>
      <c r="H27" s="4" t="str">
        <f t="shared" si="0"/>
        <v>二季度</v>
      </c>
    </row>
    <row r="28" spans="1:8" ht="28.8" x14ac:dyDescent="0.25">
      <c r="A28" s="4">
        <v>2018</v>
      </c>
      <c r="B28" s="4">
        <v>5</v>
      </c>
      <c r="C28" s="4" t="s">
        <v>18</v>
      </c>
      <c r="D28" s="4" t="s">
        <v>76</v>
      </c>
      <c r="E28" s="5" t="s">
        <v>77</v>
      </c>
      <c r="F28" s="6">
        <v>16233.96</v>
      </c>
      <c r="G28" s="6">
        <v>81169.81</v>
      </c>
      <c r="H28" s="4" t="str">
        <f t="shared" si="0"/>
        <v>二季度</v>
      </c>
    </row>
    <row r="29" spans="1:8" ht="28.8" x14ac:dyDescent="0.25">
      <c r="A29" s="4">
        <v>2018</v>
      </c>
      <c r="B29" s="4">
        <v>5</v>
      </c>
      <c r="C29" s="4" t="s">
        <v>18</v>
      </c>
      <c r="D29" s="4" t="s">
        <v>165</v>
      </c>
      <c r="E29" s="5" t="s">
        <v>166</v>
      </c>
      <c r="F29" s="6">
        <v>57.99</v>
      </c>
      <c r="G29" s="6">
        <v>291.75</v>
      </c>
      <c r="H29" s="4" t="str">
        <f t="shared" si="0"/>
        <v>二季度</v>
      </c>
    </row>
    <row r="30" spans="1:8" ht="28.8" x14ac:dyDescent="0.25">
      <c r="A30" s="4">
        <v>2018</v>
      </c>
      <c r="B30" s="4">
        <v>5</v>
      </c>
      <c r="C30" s="4" t="s">
        <v>18</v>
      </c>
      <c r="D30" s="4" t="s">
        <v>79</v>
      </c>
      <c r="E30" s="5" t="s">
        <v>80</v>
      </c>
      <c r="F30" s="6">
        <v>29.9</v>
      </c>
      <c r="G30" s="6">
        <v>150.08000000000001</v>
      </c>
      <c r="H30" s="4" t="str">
        <f t="shared" si="0"/>
        <v>二季度</v>
      </c>
    </row>
    <row r="31" spans="1:8" ht="28.8" x14ac:dyDescent="0.25">
      <c r="A31" s="4">
        <v>2018</v>
      </c>
      <c r="B31" s="4">
        <v>6</v>
      </c>
      <c r="C31" s="4" t="s">
        <v>18</v>
      </c>
      <c r="D31" s="4" t="s">
        <v>76</v>
      </c>
      <c r="E31" s="5" t="s">
        <v>77</v>
      </c>
      <c r="F31" s="6">
        <v>16233.96</v>
      </c>
      <c r="G31" s="6">
        <v>97403.77</v>
      </c>
      <c r="H31" s="4" t="str">
        <f t="shared" si="0"/>
        <v>二季度</v>
      </c>
    </row>
    <row r="32" spans="1:8" ht="28.8" x14ac:dyDescent="0.25">
      <c r="A32" s="4">
        <v>2018</v>
      </c>
      <c r="B32" s="4">
        <v>6</v>
      </c>
      <c r="C32" s="4" t="s">
        <v>18</v>
      </c>
      <c r="D32" s="4" t="s">
        <v>165</v>
      </c>
      <c r="E32" s="5" t="s">
        <v>166</v>
      </c>
      <c r="F32" s="6">
        <v>58.13</v>
      </c>
      <c r="G32" s="6">
        <v>349.88</v>
      </c>
      <c r="H32" s="4" t="str">
        <f t="shared" si="0"/>
        <v>二季度</v>
      </c>
    </row>
    <row r="33" spans="1:8" ht="28.8" x14ac:dyDescent="0.25">
      <c r="A33" s="4">
        <v>2018</v>
      </c>
      <c r="B33" s="4">
        <v>6</v>
      </c>
      <c r="C33" s="4" t="s">
        <v>18</v>
      </c>
      <c r="D33" s="4" t="s">
        <v>79</v>
      </c>
      <c r="E33" s="5" t="s">
        <v>80</v>
      </c>
      <c r="F33" s="6">
        <v>29.84</v>
      </c>
      <c r="G33" s="6">
        <v>179.92</v>
      </c>
      <c r="H33" s="4" t="str">
        <f t="shared" si="0"/>
        <v>二季度</v>
      </c>
    </row>
    <row r="34" spans="1:8" ht="28.8" x14ac:dyDescent="0.25">
      <c r="A34" s="4">
        <v>2018</v>
      </c>
      <c r="B34" s="4">
        <v>7</v>
      </c>
      <c r="C34" s="4" t="s">
        <v>18</v>
      </c>
      <c r="D34" s="4" t="s">
        <v>76</v>
      </c>
      <c r="E34" s="5" t="s">
        <v>77</v>
      </c>
      <c r="F34" s="6">
        <v>16233.96</v>
      </c>
      <c r="G34" s="6">
        <v>113637.74</v>
      </c>
      <c r="H34" s="4" t="str">
        <f t="shared" ref="H34:H94" si="1">season(B34)</f>
        <v>三季度</v>
      </c>
    </row>
    <row r="35" spans="1:8" ht="28.8" x14ac:dyDescent="0.25">
      <c r="A35" s="4">
        <v>2018</v>
      </c>
      <c r="B35" s="4">
        <v>7</v>
      </c>
      <c r="C35" s="4" t="s">
        <v>18</v>
      </c>
      <c r="D35" s="4" t="s">
        <v>165</v>
      </c>
      <c r="E35" s="5" t="s">
        <v>166</v>
      </c>
      <c r="F35" s="6">
        <v>58.15</v>
      </c>
      <c r="G35" s="6">
        <v>408.03</v>
      </c>
      <c r="H35" s="4" t="str">
        <f t="shared" si="1"/>
        <v>三季度</v>
      </c>
    </row>
    <row r="36" spans="1:8" ht="28.8" x14ac:dyDescent="0.25">
      <c r="A36" s="4">
        <v>2018</v>
      </c>
      <c r="B36" s="4">
        <v>7</v>
      </c>
      <c r="C36" s="4" t="s">
        <v>18</v>
      </c>
      <c r="D36" s="4" t="s">
        <v>79</v>
      </c>
      <c r="E36" s="5" t="s">
        <v>80</v>
      </c>
      <c r="F36" s="6">
        <v>29.84</v>
      </c>
      <c r="G36" s="6">
        <v>209.75</v>
      </c>
      <c r="H36" s="4" t="str">
        <f t="shared" si="1"/>
        <v>三季度</v>
      </c>
    </row>
    <row r="37" spans="1:8" ht="28.8" x14ac:dyDescent="0.25">
      <c r="A37" s="4">
        <v>2018</v>
      </c>
      <c r="B37" s="4">
        <v>8</v>
      </c>
      <c r="C37" s="4" t="s">
        <v>18</v>
      </c>
      <c r="D37" s="4" t="s">
        <v>76</v>
      </c>
      <c r="E37" s="5" t="s">
        <v>77</v>
      </c>
      <c r="F37" s="6">
        <v>16321.7</v>
      </c>
      <c r="G37" s="6">
        <v>129959.43</v>
      </c>
      <c r="H37" s="4" t="str">
        <f t="shared" si="1"/>
        <v>三季度</v>
      </c>
    </row>
    <row r="38" spans="1:8" ht="28.8" x14ac:dyDescent="0.25">
      <c r="A38" s="4">
        <v>2018</v>
      </c>
      <c r="B38" s="4">
        <v>8</v>
      </c>
      <c r="C38" s="4" t="s">
        <v>18</v>
      </c>
      <c r="D38" s="4" t="s">
        <v>165</v>
      </c>
      <c r="E38" s="5" t="s">
        <v>166</v>
      </c>
      <c r="F38" s="6">
        <v>58.05</v>
      </c>
      <c r="G38" s="6">
        <v>466.08</v>
      </c>
      <c r="H38" s="4" t="str">
        <f t="shared" si="1"/>
        <v>三季度</v>
      </c>
    </row>
    <row r="39" spans="1:8" ht="28.8" x14ac:dyDescent="0.25">
      <c r="A39" s="4">
        <v>2018</v>
      </c>
      <c r="B39" s="4">
        <v>8</v>
      </c>
      <c r="C39" s="4" t="s">
        <v>18</v>
      </c>
      <c r="D39" s="4" t="s">
        <v>79</v>
      </c>
      <c r="E39" s="5" t="s">
        <v>80</v>
      </c>
      <c r="F39" s="6">
        <v>29.42</v>
      </c>
      <c r="G39" s="6">
        <v>239.17</v>
      </c>
      <c r="H39" s="4" t="str">
        <f t="shared" si="1"/>
        <v>三季度</v>
      </c>
    </row>
    <row r="40" spans="1:8" ht="28.8" x14ac:dyDescent="0.25">
      <c r="A40" s="4">
        <v>2018</v>
      </c>
      <c r="B40" s="4">
        <v>9</v>
      </c>
      <c r="C40" s="4" t="s">
        <v>18</v>
      </c>
      <c r="D40" s="4" t="s">
        <v>76</v>
      </c>
      <c r="E40" s="5" t="s">
        <v>77</v>
      </c>
      <c r="F40" s="6">
        <v>16321.7</v>
      </c>
      <c r="G40" s="6">
        <v>146281.13</v>
      </c>
      <c r="H40" s="4" t="str">
        <f t="shared" si="1"/>
        <v>三季度</v>
      </c>
    </row>
    <row r="41" spans="1:8" ht="28.8" x14ac:dyDescent="0.25">
      <c r="A41" s="4">
        <v>2018</v>
      </c>
      <c r="B41" s="4">
        <v>9</v>
      </c>
      <c r="C41" s="4" t="s">
        <v>18</v>
      </c>
      <c r="D41" s="4" t="s">
        <v>165</v>
      </c>
      <c r="E41" s="5" t="s">
        <v>166</v>
      </c>
      <c r="F41" s="6">
        <v>58.28</v>
      </c>
      <c r="G41" s="6">
        <v>524.36</v>
      </c>
      <c r="H41" s="4" t="str">
        <f t="shared" si="1"/>
        <v>三季度</v>
      </c>
    </row>
    <row r="42" spans="1:8" ht="28.8" x14ac:dyDescent="0.25">
      <c r="A42" s="4">
        <v>2018</v>
      </c>
      <c r="B42" s="4">
        <v>9</v>
      </c>
      <c r="C42" s="4" t="s">
        <v>18</v>
      </c>
      <c r="D42" s="4" t="s">
        <v>79</v>
      </c>
      <c r="E42" s="5" t="s">
        <v>80</v>
      </c>
      <c r="F42" s="6">
        <v>29.42</v>
      </c>
      <c r="G42" s="6">
        <v>268.58</v>
      </c>
      <c r="H42" s="4" t="str">
        <f t="shared" si="1"/>
        <v>三季度</v>
      </c>
    </row>
    <row r="43" spans="1:8" ht="28.8" x14ac:dyDescent="0.25">
      <c r="A43" s="4">
        <v>2018</v>
      </c>
      <c r="B43" s="4">
        <v>10</v>
      </c>
      <c r="C43" s="4" t="s">
        <v>18</v>
      </c>
      <c r="D43" s="4" t="s">
        <v>76</v>
      </c>
      <c r="E43" s="5" t="s">
        <v>77</v>
      </c>
      <c r="F43" s="6">
        <v>15642.45</v>
      </c>
      <c r="G43" s="6">
        <v>161923.57999999999</v>
      </c>
      <c r="H43" s="4" t="str">
        <f t="shared" si="1"/>
        <v>四季度</v>
      </c>
    </row>
    <row r="44" spans="1:8" ht="28.8" x14ac:dyDescent="0.25">
      <c r="A44" s="4">
        <v>2018</v>
      </c>
      <c r="B44" s="4">
        <v>10</v>
      </c>
      <c r="C44" s="4" t="s">
        <v>18</v>
      </c>
      <c r="D44" s="4" t="s">
        <v>165</v>
      </c>
      <c r="E44" s="5" t="s">
        <v>166</v>
      </c>
      <c r="F44" s="6">
        <v>58.58</v>
      </c>
      <c r="G44" s="6">
        <v>582.92999999999995</v>
      </c>
      <c r="H44" s="4" t="str">
        <f t="shared" si="1"/>
        <v>四季度</v>
      </c>
    </row>
    <row r="45" spans="1:8" ht="28.8" x14ac:dyDescent="0.25">
      <c r="A45" s="4">
        <v>2018</v>
      </c>
      <c r="B45" s="4">
        <v>10</v>
      </c>
      <c r="C45" s="4" t="s">
        <v>18</v>
      </c>
      <c r="D45" s="4" t="s">
        <v>79</v>
      </c>
      <c r="E45" s="5" t="s">
        <v>80</v>
      </c>
      <c r="F45" s="6">
        <v>29.42</v>
      </c>
      <c r="G45" s="6">
        <v>298</v>
      </c>
      <c r="H45" s="4" t="str">
        <f t="shared" si="1"/>
        <v>四季度</v>
      </c>
    </row>
    <row r="46" spans="1:8" ht="28.8" x14ac:dyDescent="0.25">
      <c r="A46" s="4">
        <v>2018</v>
      </c>
      <c r="B46" s="4">
        <v>11</v>
      </c>
      <c r="C46" s="4" t="s">
        <v>18</v>
      </c>
      <c r="D46" s="4" t="s">
        <v>76</v>
      </c>
      <c r="E46" s="5" t="s">
        <v>77</v>
      </c>
      <c r="F46" s="6">
        <v>15642.45</v>
      </c>
      <c r="G46" s="6">
        <v>177566.04</v>
      </c>
      <c r="H46" s="4" t="str">
        <f t="shared" si="1"/>
        <v>四季度</v>
      </c>
    </row>
    <row r="47" spans="1:8" ht="28.8" x14ac:dyDescent="0.25">
      <c r="A47" s="4">
        <v>2018</v>
      </c>
      <c r="B47" s="4">
        <v>11</v>
      </c>
      <c r="C47" s="4" t="s">
        <v>18</v>
      </c>
      <c r="D47" s="4" t="s">
        <v>165</v>
      </c>
      <c r="E47" s="5" t="s">
        <v>166</v>
      </c>
      <c r="F47" s="6">
        <v>58.63</v>
      </c>
      <c r="G47" s="6">
        <v>641.57000000000005</v>
      </c>
      <c r="H47" s="4" t="str">
        <f t="shared" si="1"/>
        <v>四季度</v>
      </c>
    </row>
    <row r="48" spans="1:8" ht="28.8" x14ac:dyDescent="0.25">
      <c r="A48" s="4">
        <v>2018</v>
      </c>
      <c r="B48" s="4">
        <v>11</v>
      </c>
      <c r="C48" s="4" t="s">
        <v>18</v>
      </c>
      <c r="D48" s="4" t="s">
        <v>79</v>
      </c>
      <c r="E48" s="5" t="s">
        <v>80</v>
      </c>
      <c r="F48" s="6">
        <v>28.58</v>
      </c>
      <c r="G48" s="6">
        <v>326.58</v>
      </c>
      <c r="H48" s="4" t="str">
        <f t="shared" si="1"/>
        <v>四季度</v>
      </c>
    </row>
    <row r="49" spans="1:8" ht="28.8" x14ac:dyDescent="0.25">
      <c r="A49" s="4">
        <v>2018</v>
      </c>
      <c r="B49" s="4">
        <v>12</v>
      </c>
      <c r="C49" s="4" t="s">
        <v>18</v>
      </c>
      <c r="D49" s="4" t="s">
        <v>76</v>
      </c>
      <c r="E49" s="5" t="s">
        <v>77</v>
      </c>
      <c r="F49" s="6">
        <v>15642.45</v>
      </c>
      <c r="G49" s="6">
        <v>193208.49</v>
      </c>
      <c r="H49" s="4" t="str">
        <f t="shared" si="1"/>
        <v>四季度</v>
      </c>
    </row>
    <row r="50" spans="1:8" ht="28.8" x14ac:dyDescent="0.25">
      <c r="A50" s="4">
        <v>2018</v>
      </c>
      <c r="B50" s="4">
        <v>12</v>
      </c>
      <c r="C50" s="4" t="s">
        <v>18</v>
      </c>
      <c r="D50" s="4" t="s">
        <v>165</v>
      </c>
      <c r="E50" s="5" t="s">
        <v>166</v>
      </c>
      <c r="F50" s="6">
        <v>-583.07000000000005</v>
      </c>
      <c r="G50" s="6">
        <v>58.5</v>
      </c>
      <c r="H50" s="4" t="str">
        <f t="shared" si="1"/>
        <v>四季度</v>
      </c>
    </row>
    <row r="51" spans="1:8" ht="28.8" x14ac:dyDescent="0.25">
      <c r="A51" s="4">
        <v>2018</v>
      </c>
      <c r="B51" s="4">
        <v>12</v>
      </c>
      <c r="C51" s="4" t="s">
        <v>18</v>
      </c>
      <c r="D51" s="4" t="s">
        <v>79</v>
      </c>
      <c r="E51" s="5" t="s">
        <v>80</v>
      </c>
      <c r="F51" s="6">
        <v>-298</v>
      </c>
      <c r="G51" s="6">
        <v>28.58</v>
      </c>
      <c r="H51" s="4" t="str">
        <f t="shared" si="1"/>
        <v>四季度</v>
      </c>
    </row>
    <row r="52" spans="1:8" ht="28.8" x14ac:dyDescent="0.25">
      <c r="A52" s="4">
        <v>2019</v>
      </c>
      <c r="B52" s="4">
        <v>1</v>
      </c>
      <c r="C52" s="4" t="s">
        <v>18</v>
      </c>
      <c r="D52" s="4" t="s">
        <v>76</v>
      </c>
      <c r="E52" s="5" t="s">
        <v>77</v>
      </c>
      <c r="F52" s="6">
        <v>15642.45</v>
      </c>
      <c r="G52" s="6">
        <v>15642.45</v>
      </c>
      <c r="H52" s="4" t="str">
        <f t="shared" si="1"/>
        <v>一季度</v>
      </c>
    </row>
    <row r="53" spans="1:8" ht="28.8" x14ac:dyDescent="0.25">
      <c r="A53" s="4">
        <v>2019</v>
      </c>
      <c r="B53" s="4">
        <v>2</v>
      </c>
      <c r="C53" s="4" t="s">
        <v>18</v>
      </c>
      <c r="D53" s="4" t="s">
        <v>76</v>
      </c>
      <c r="E53" s="5" t="s">
        <v>77</v>
      </c>
      <c r="F53" s="6">
        <v>15642.45</v>
      </c>
      <c r="G53" s="6">
        <v>31284.91</v>
      </c>
      <c r="H53" s="4" t="str">
        <f t="shared" si="1"/>
        <v>一季度</v>
      </c>
    </row>
    <row r="54" spans="1:8" ht="28.8" x14ac:dyDescent="0.25">
      <c r="A54" s="4">
        <v>2019</v>
      </c>
      <c r="B54" s="4">
        <v>3</v>
      </c>
      <c r="C54" s="4" t="s">
        <v>18</v>
      </c>
      <c r="D54" s="4" t="s">
        <v>76</v>
      </c>
      <c r="E54" s="5" t="s">
        <v>77</v>
      </c>
      <c r="F54" s="6">
        <v>15642.45</v>
      </c>
      <c r="G54" s="6">
        <v>46927.360000000001</v>
      </c>
      <c r="H54" s="4" t="str">
        <f t="shared" si="1"/>
        <v>一季度</v>
      </c>
    </row>
    <row r="55" spans="1:8" ht="28.8" x14ac:dyDescent="0.25">
      <c r="A55" s="4">
        <v>2019</v>
      </c>
      <c r="B55" s="4">
        <v>4</v>
      </c>
      <c r="C55" s="4" t="s">
        <v>18</v>
      </c>
      <c r="D55" s="4" t="s">
        <v>76</v>
      </c>
      <c r="E55" s="5" t="s">
        <v>77</v>
      </c>
      <c r="F55" s="6">
        <v>15642.45</v>
      </c>
      <c r="G55" s="6">
        <v>62569.81</v>
      </c>
      <c r="H55" s="4" t="str">
        <f t="shared" si="1"/>
        <v>二季度</v>
      </c>
    </row>
    <row r="56" spans="1:8" ht="28.8" x14ac:dyDescent="0.25">
      <c r="A56" s="4">
        <v>2019</v>
      </c>
      <c r="B56" s="4">
        <v>5</v>
      </c>
      <c r="C56" s="4" t="s">
        <v>18</v>
      </c>
      <c r="D56" s="4" t="s">
        <v>76</v>
      </c>
      <c r="E56" s="5" t="s">
        <v>77</v>
      </c>
      <c r="F56" s="6">
        <v>15642.45</v>
      </c>
      <c r="G56" s="6">
        <v>78212.259999999995</v>
      </c>
      <c r="H56" s="4" t="str">
        <f t="shared" si="1"/>
        <v>二季度</v>
      </c>
    </row>
    <row r="57" spans="1:8" ht="28.8" x14ac:dyDescent="0.25">
      <c r="A57" s="4">
        <v>2019</v>
      </c>
      <c r="B57" s="4">
        <v>6</v>
      </c>
      <c r="C57" s="4" t="s">
        <v>18</v>
      </c>
      <c r="D57" s="4" t="s">
        <v>76</v>
      </c>
      <c r="E57" s="5" t="s">
        <v>77</v>
      </c>
      <c r="F57" s="6">
        <v>15642.45</v>
      </c>
      <c r="G57" s="6">
        <v>93854.720000000001</v>
      </c>
      <c r="H57" s="4" t="str">
        <f t="shared" si="1"/>
        <v>二季度</v>
      </c>
    </row>
    <row r="58" spans="1:8" ht="28.8" x14ac:dyDescent="0.25">
      <c r="A58" s="4">
        <v>2019</v>
      </c>
      <c r="B58" s="4">
        <v>7</v>
      </c>
      <c r="C58" s="4" t="s">
        <v>18</v>
      </c>
      <c r="D58" s="4" t="s">
        <v>76</v>
      </c>
      <c r="E58" s="5" t="s">
        <v>77</v>
      </c>
      <c r="F58" s="6">
        <v>15712.26</v>
      </c>
      <c r="G58" s="6">
        <v>109566.98</v>
      </c>
      <c r="H58" s="4" t="str">
        <f t="shared" si="1"/>
        <v>三季度</v>
      </c>
    </row>
    <row r="59" spans="1:8" ht="28.8" x14ac:dyDescent="0.25">
      <c r="A59" s="4">
        <v>2019</v>
      </c>
      <c r="B59" s="4">
        <v>8</v>
      </c>
      <c r="C59" s="4" t="s">
        <v>18</v>
      </c>
      <c r="D59" s="4" t="s">
        <v>76</v>
      </c>
      <c r="E59" s="5" t="s">
        <v>77</v>
      </c>
      <c r="F59" s="6">
        <v>14911.32</v>
      </c>
      <c r="G59" s="6">
        <v>124478.3</v>
      </c>
      <c r="H59" s="4" t="str">
        <f t="shared" si="1"/>
        <v>三季度</v>
      </c>
    </row>
    <row r="60" spans="1:8" ht="28.8" x14ac:dyDescent="0.25">
      <c r="A60" s="4">
        <v>2019</v>
      </c>
      <c r="B60" s="4">
        <v>9</v>
      </c>
      <c r="C60" s="4" t="s">
        <v>18</v>
      </c>
      <c r="D60" s="4" t="s">
        <v>76</v>
      </c>
      <c r="E60" s="5" t="s">
        <v>77</v>
      </c>
      <c r="F60" s="6">
        <v>14912.26</v>
      </c>
      <c r="G60" s="6">
        <v>139390.57</v>
      </c>
      <c r="H60" s="4" t="str">
        <f t="shared" si="1"/>
        <v>三季度</v>
      </c>
    </row>
    <row r="61" spans="1:8" ht="28.8" x14ac:dyDescent="0.25">
      <c r="A61" s="4">
        <v>2019</v>
      </c>
      <c r="B61" s="4">
        <v>10</v>
      </c>
      <c r="C61" s="4" t="s">
        <v>18</v>
      </c>
      <c r="D61" s="4" t="s">
        <v>76</v>
      </c>
      <c r="E61" s="5" t="s">
        <v>77</v>
      </c>
      <c r="F61" s="6">
        <v>14912.26</v>
      </c>
      <c r="G61" s="6">
        <v>154302.82999999999</v>
      </c>
      <c r="H61" s="4" t="str">
        <f t="shared" si="1"/>
        <v>四季度</v>
      </c>
    </row>
    <row r="62" spans="1:8" ht="28.8" x14ac:dyDescent="0.25">
      <c r="A62" s="4">
        <v>2019</v>
      </c>
      <c r="B62" s="4">
        <v>10</v>
      </c>
      <c r="C62" s="4" t="s">
        <v>18</v>
      </c>
      <c r="D62" s="4" t="s">
        <v>274</v>
      </c>
      <c r="E62" s="5" t="s">
        <v>275</v>
      </c>
      <c r="F62" s="6">
        <v>74.569999999999993</v>
      </c>
      <c r="G62" s="6">
        <v>74.569999999999993</v>
      </c>
      <c r="H62" s="4" t="str">
        <f t="shared" si="1"/>
        <v>四季度</v>
      </c>
    </row>
    <row r="63" spans="1:8" ht="28.8" x14ac:dyDescent="0.25">
      <c r="A63" s="4">
        <v>2019</v>
      </c>
      <c r="B63" s="4">
        <v>11</v>
      </c>
      <c r="C63" s="4" t="s">
        <v>18</v>
      </c>
      <c r="D63" s="4" t="s">
        <v>76</v>
      </c>
      <c r="E63" s="5" t="s">
        <v>77</v>
      </c>
      <c r="F63" s="6">
        <v>14912.26</v>
      </c>
      <c r="G63" s="6">
        <v>169215.09</v>
      </c>
      <c r="H63" s="4" t="str">
        <f t="shared" si="1"/>
        <v>四季度</v>
      </c>
    </row>
    <row r="64" spans="1:8" ht="28.8" x14ac:dyDescent="0.25">
      <c r="A64" s="4">
        <v>2019</v>
      </c>
      <c r="B64" s="4">
        <v>11</v>
      </c>
      <c r="C64" s="4" t="s">
        <v>18</v>
      </c>
      <c r="D64" s="4" t="s">
        <v>274</v>
      </c>
      <c r="E64" s="5" t="s">
        <v>275</v>
      </c>
      <c r="F64" s="6">
        <v>75.31</v>
      </c>
      <c r="G64" s="6">
        <v>149.88</v>
      </c>
      <c r="H64" s="4" t="str">
        <f t="shared" si="1"/>
        <v>四季度</v>
      </c>
    </row>
    <row r="65" spans="1:8" ht="28.8" x14ac:dyDescent="0.25">
      <c r="A65" s="4">
        <v>2019</v>
      </c>
      <c r="B65" s="4">
        <v>12</v>
      </c>
      <c r="C65" s="4" t="s">
        <v>18</v>
      </c>
      <c r="D65" s="4" t="s">
        <v>76</v>
      </c>
      <c r="E65" s="5" t="s">
        <v>77</v>
      </c>
      <c r="F65" s="6">
        <v>14912.26</v>
      </c>
      <c r="G65" s="6">
        <v>184127.35999999999</v>
      </c>
      <c r="H65" s="4" t="str">
        <f t="shared" si="1"/>
        <v>四季度</v>
      </c>
    </row>
    <row r="66" spans="1:8" ht="28.8" x14ac:dyDescent="0.25">
      <c r="A66" s="4">
        <v>2019</v>
      </c>
      <c r="B66" s="4">
        <v>12</v>
      </c>
      <c r="C66" s="4" t="s">
        <v>18</v>
      </c>
      <c r="D66" s="4" t="s">
        <v>165</v>
      </c>
      <c r="E66" s="5" t="s">
        <v>166</v>
      </c>
      <c r="F66" s="6">
        <v>60.2</v>
      </c>
      <c r="G66" s="6">
        <v>60.2</v>
      </c>
      <c r="H66" s="4" t="str">
        <f t="shared" si="1"/>
        <v>四季度</v>
      </c>
    </row>
    <row r="67" spans="1:8" ht="28.8" x14ac:dyDescent="0.25">
      <c r="A67" s="4">
        <v>2019</v>
      </c>
      <c r="B67" s="4">
        <v>12</v>
      </c>
      <c r="C67" s="4" t="s">
        <v>18</v>
      </c>
      <c r="D67" s="4" t="s">
        <v>79</v>
      </c>
      <c r="E67" s="5" t="s">
        <v>80</v>
      </c>
      <c r="F67" s="6">
        <v>28.08</v>
      </c>
      <c r="G67" s="6">
        <v>28.08</v>
      </c>
      <c r="H67" s="4" t="str">
        <f t="shared" si="1"/>
        <v>四季度</v>
      </c>
    </row>
    <row r="68" spans="1:8" ht="28.8" x14ac:dyDescent="0.25">
      <c r="A68" s="4">
        <v>2019</v>
      </c>
      <c r="B68" s="4">
        <v>12</v>
      </c>
      <c r="C68" s="4" t="s">
        <v>18</v>
      </c>
      <c r="D68" s="4" t="s">
        <v>274</v>
      </c>
      <c r="E68" s="5" t="s">
        <v>275</v>
      </c>
      <c r="F68" s="6">
        <v>76.7</v>
      </c>
      <c r="G68" s="6">
        <v>226.58</v>
      </c>
      <c r="H68" s="4" t="str">
        <f t="shared" si="1"/>
        <v>四季度</v>
      </c>
    </row>
    <row r="69" spans="1:8" ht="28.8" x14ac:dyDescent="0.25">
      <c r="A69" s="4">
        <v>2020</v>
      </c>
      <c r="B69" s="4">
        <v>1</v>
      </c>
      <c r="C69" s="4" t="s">
        <v>18</v>
      </c>
      <c r="D69" s="4" t="s">
        <v>76</v>
      </c>
      <c r="E69" s="5" t="s">
        <v>77</v>
      </c>
      <c r="F69" s="6">
        <v>14911.32</v>
      </c>
      <c r="G69" s="6">
        <v>14911.32</v>
      </c>
      <c r="H69" s="4" t="str">
        <f t="shared" si="1"/>
        <v>一季度</v>
      </c>
    </row>
    <row r="70" spans="1:8" ht="28.8" x14ac:dyDescent="0.25">
      <c r="A70" s="4">
        <v>2020</v>
      </c>
      <c r="B70" s="4">
        <v>1</v>
      </c>
      <c r="C70" s="4" t="s">
        <v>18</v>
      </c>
      <c r="D70" s="4" t="s">
        <v>274</v>
      </c>
      <c r="E70" s="5" t="s">
        <v>275</v>
      </c>
      <c r="F70" s="6">
        <v>77.44</v>
      </c>
      <c r="G70" s="6">
        <v>77.44</v>
      </c>
      <c r="H70" s="4" t="str">
        <f t="shared" si="1"/>
        <v>一季度</v>
      </c>
    </row>
    <row r="71" spans="1:8" ht="28.8" x14ac:dyDescent="0.25">
      <c r="A71" s="4">
        <v>2020</v>
      </c>
      <c r="B71" s="4">
        <v>2</v>
      </c>
      <c r="C71" s="4" t="s">
        <v>18</v>
      </c>
      <c r="D71" s="4" t="s">
        <v>76</v>
      </c>
      <c r="E71" s="5" t="s">
        <v>77</v>
      </c>
      <c r="F71" s="6">
        <v>14911.32</v>
      </c>
      <c r="G71" s="6">
        <v>29822.639999999999</v>
      </c>
      <c r="H71" s="4" t="str">
        <f t="shared" si="1"/>
        <v>一季度</v>
      </c>
    </row>
    <row r="72" spans="1:8" ht="28.8" x14ac:dyDescent="0.25">
      <c r="A72" s="4">
        <v>2020</v>
      </c>
      <c r="B72" s="4">
        <v>2</v>
      </c>
      <c r="C72" s="4" t="s">
        <v>18</v>
      </c>
      <c r="D72" s="4" t="s">
        <v>274</v>
      </c>
      <c r="E72" s="5" t="s">
        <v>275</v>
      </c>
      <c r="F72" s="6">
        <v>77.849999999999994</v>
      </c>
      <c r="G72" s="6">
        <v>155.29</v>
      </c>
      <c r="H72" s="4" t="str">
        <f t="shared" si="1"/>
        <v>一季度</v>
      </c>
    </row>
    <row r="73" spans="1:8" ht="28.8" x14ac:dyDescent="0.25">
      <c r="A73" s="4">
        <v>2020</v>
      </c>
      <c r="B73" s="4">
        <v>3</v>
      </c>
      <c r="C73" s="4" t="s">
        <v>18</v>
      </c>
      <c r="D73" s="4" t="s">
        <v>76</v>
      </c>
      <c r="E73" s="5" t="s">
        <v>77</v>
      </c>
      <c r="F73" s="6">
        <v>14911.32</v>
      </c>
      <c r="G73" s="6">
        <v>44733.96</v>
      </c>
      <c r="H73" s="4" t="str">
        <f t="shared" si="1"/>
        <v>一季度</v>
      </c>
    </row>
    <row r="74" spans="1:8" ht="28.8" x14ac:dyDescent="0.25">
      <c r="A74" s="4">
        <v>2020</v>
      </c>
      <c r="B74" s="4">
        <v>3</v>
      </c>
      <c r="C74" s="4" t="s">
        <v>18</v>
      </c>
      <c r="D74" s="4" t="s">
        <v>274</v>
      </c>
      <c r="E74" s="5" t="s">
        <v>275</v>
      </c>
      <c r="F74" s="6">
        <v>79.03</v>
      </c>
      <c r="G74" s="6">
        <v>234.32</v>
      </c>
      <c r="H74" s="4" t="str">
        <f t="shared" si="1"/>
        <v>一季度</v>
      </c>
    </row>
    <row r="75" spans="1:8" ht="28.8" x14ac:dyDescent="0.25">
      <c r="A75" s="4">
        <v>2020</v>
      </c>
      <c r="B75" s="4">
        <v>4</v>
      </c>
      <c r="C75" s="4" t="s">
        <v>18</v>
      </c>
      <c r="D75" s="4" t="s">
        <v>76</v>
      </c>
      <c r="E75" s="5" t="s">
        <v>77</v>
      </c>
      <c r="F75" s="6">
        <v>14911.32</v>
      </c>
      <c r="G75" s="6">
        <v>59645.279999999999</v>
      </c>
      <c r="H75" s="4" t="str">
        <f t="shared" si="1"/>
        <v>二季度</v>
      </c>
    </row>
    <row r="76" spans="1:8" ht="28.8" x14ac:dyDescent="0.25">
      <c r="A76" s="4">
        <v>2020</v>
      </c>
      <c r="B76" s="4">
        <v>4</v>
      </c>
      <c r="C76" s="4" t="s">
        <v>18</v>
      </c>
      <c r="D76" s="4" t="s">
        <v>274</v>
      </c>
      <c r="E76" s="5" t="s">
        <v>275</v>
      </c>
      <c r="F76" s="6">
        <v>83.71</v>
      </c>
      <c r="G76" s="6">
        <v>318.02999999999997</v>
      </c>
      <c r="H76" s="4" t="str">
        <f t="shared" si="1"/>
        <v>二季度</v>
      </c>
    </row>
    <row r="77" spans="1:8" ht="28.8" x14ac:dyDescent="0.25">
      <c r="A77" s="4">
        <v>2020</v>
      </c>
      <c r="B77" s="4">
        <v>5</v>
      </c>
      <c r="C77" s="4" t="s">
        <v>18</v>
      </c>
      <c r="D77" s="4" t="s">
        <v>76</v>
      </c>
      <c r="E77" s="5" t="s">
        <v>77</v>
      </c>
      <c r="F77" s="6">
        <v>14911.32</v>
      </c>
      <c r="G77" s="6">
        <v>74556.600000000006</v>
      </c>
      <c r="H77" s="4" t="str">
        <f t="shared" si="1"/>
        <v>二季度</v>
      </c>
    </row>
    <row r="78" spans="1:8" ht="28.8" x14ac:dyDescent="0.25">
      <c r="A78" s="4">
        <v>2020</v>
      </c>
      <c r="B78" s="4">
        <v>5</v>
      </c>
      <c r="C78" s="4" t="s">
        <v>18</v>
      </c>
      <c r="D78" s="4" t="s">
        <v>274</v>
      </c>
      <c r="E78" s="5" t="s">
        <v>275</v>
      </c>
      <c r="F78" s="6">
        <v>84.08</v>
      </c>
      <c r="G78" s="6">
        <v>402.1</v>
      </c>
      <c r="H78" s="4" t="str">
        <f t="shared" si="1"/>
        <v>二季度</v>
      </c>
    </row>
    <row r="79" spans="1:8" ht="28.8" x14ac:dyDescent="0.25">
      <c r="A79" s="4">
        <v>2020</v>
      </c>
      <c r="B79" s="4">
        <v>6</v>
      </c>
      <c r="C79" s="4" t="s">
        <v>18</v>
      </c>
      <c r="D79" s="4" t="s">
        <v>76</v>
      </c>
      <c r="E79" s="5" t="s">
        <v>77</v>
      </c>
      <c r="F79" s="6">
        <v>14911.32</v>
      </c>
      <c r="G79" s="6">
        <v>89467.92</v>
      </c>
      <c r="H79" s="4" t="str">
        <f t="shared" si="1"/>
        <v>二季度</v>
      </c>
    </row>
    <row r="80" spans="1:8" ht="28.8" x14ac:dyDescent="0.25">
      <c r="A80" s="4">
        <v>2020</v>
      </c>
      <c r="B80" s="4">
        <v>6</v>
      </c>
      <c r="C80" s="4" t="s">
        <v>18</v>
      </c>
      <c r="D80" s="4" t="s">
        <v>274</v>
      </c>
      <c r="E80" s="5" t="s">
        <v>275</v>
      </c>
      <c r="F80" s="6">
        <v>84.51</v>
      </c>
      <c r="G80" s="6">
        <v>486.61</v>
      </c>
      <c r="H80" s="4" t="str">
        <f t="shared" si="1"/>
        <v>二季度</v>
      </c>
    </row>
    <row r="81" spans="1:8" ht="14.4" x14ac:dyDescent="0.25">
      <c r="A81">
        <v>2020</v>
      </c>
      <c r="B81">
        <v>7</v>
      </c>
      <c r="C81" t="s">
        <v>18</v>
      </c>
      <c r="D81">
        <v>7605</v>
      </c>
      <c r="E81" t="s">
        <v>77</v>
      </c>
      <c r="F81">
        <v>14911.32</v>
      </c>
      <c r="G81">
        <v>104379.25</v>
      </c>
      <c r="H81" s="4" t="str">
        <f t="shared" si="1"/>
        <v>三季度</v>
      </c>
    </row>
    <row r="82" spans="1:8" ht="14.4" x14ac:dyDescent="0.25">
      <c r="A82">
        <v>2020</v>
      </c>
      <c r="B82">
        <v>7</v>
      </c>
      <c r="C82" t="s">
        <v>18</v>
      </c>
      <c r="D82">
        <v>62486</v>
      </c>
      <c r="E82" t="s">
        <v>275</v>
      </c>
      <c r="F82">
        <v>84.38</v>
      </c>
      <c r="G82">
        <v>570.99</v>
      </c>
      <c r="H82" s="4" t="str">
        <f t="shared" si="1"/>
        <v>三季度</v>
      </c>
    </row>
    <row r="83" spans="1:8" ht="14.4" x14ac:dyDescent="0.25">
      <c r="A83">
        <v>2020</v>
      </c>
      <c r="B83">
        <v>8</v>
      </c>
      <c r="C83" t="s">
        <v>18</v>
      </c>
      <c r="D83">
        <v>7605</v>
      </c>
      <c r="E83" t="s">
        <v>77</v>
      </c>
      <c r="F83">
        <v>15016.98</v>
      </c>
      <c r="G83">
        <v>119396.23</v>
      </c>
      <c r="H83" s="4" t="str">
        <f t="shared" si="1"/>
        <v>三季度</v>
      </c>
    </row>
    <row r="84" spans="1:8" ht="14.4" x14ac:dyDescent="0.25">
      <c r="A84">
        <v>2020</v>
      </c>
      <c r="B84">
        <v>8</v>
      </c>
      <c r="C84" t="s">
        <v>18</v>
      </c>
      <c r="D84">
        <v>62486</v>
      </c>
      <c r="E84" t="s">
        <v>275</v>
      </c>
      <c r="F84">
        <v>84.9</v>
      </c>
      <c r="G84">
        <v>655.89</v>
      </c>
      <c r="H84" s="4" t="str">
        <f t="shared" si="1"/>
        <v>三季度</v>
      </c>
    </row>
    <row r="85" spans="1:8" ht="14.4" x14ac:dyDescent="0.25">
      <c r="A85">
        <v>2020</v>
      </c>
      <c r="B85">
        <v>9</v>
      </c>
      <c r="C85" t="s">
        <v>18</v>
      </c>
      <c r="D85">
        <v>7605</v>
      </c>
      <c r="E85" t="s">
        <v>77</v>
      </c>
      <c r="F85">
        <v>14118.87</v>
      </c>
      <c r="G85">
        <v>133515.09</v>
      </c>
      <c r="H85" s="4" t="str">
        <f t="shared" si="1"/>
        <v>三季度</v>
      </c>
    </row>
    <row r="86" spans="1:8" ht="14.4" x14ac:dyDescent="0.25">
      <c r="A86">
        <v>2020</v>
      </c>
      <c r="B86">
        <v>9</v>
      </c>
      <c r="C86" t="s">
        <v>18</v>
      </c>
      <c r="D86">
        <v>62486</v>
      </c>
      <c r="E86" t="s">
        <v>275</v>
      </c>
      <c r="F86">
        <v>85.29</v>
      </c>
      <c r="G86">
        <v>741.18</v>
      </c>
      <c r="H86" s="4" t="str">
        <f t="shared" si="1"/>
        <v>三季度</v>
      </c>
    </row>
    <row r="87" spans="1:8" ht="14.4" x14ac:dyDescent="0.25">
      <c r="A87">
        <v>2020</v>
      </c>
      <c r="B87">
        <v>10</v>
      </c>
      <c r="C87" t="s">
        <v>18</v>
      </c>
      <c r="D87">
        <v>7605</v>
      </c>
      <c r="E87" t="s">
        <v>77</v>
      </c>
      <c r="F87">
        <v>14118.87</v>
      </c>
      <c r="G87">
        <v>147633.96</v>
      </c>
      <c r="H87" s="4" t="str">
        <f t="shared" si="1"/>
        <v>四季度</v>
      </c>
    </row>
    <row r="88" spans="1:8" ht="14.4" x14ac:dyDescent="0.25">
      <c r="A88">
        <v>2020</v>
      </c>
      <c r="B88">
        <v>10</v>
      </c>
      <c r="C88" t="s">
        <v>18</v>
      </c>
      <c r="D88">
        <v>62486</v>
      </c>
      <c r="E88" t="s">
        <v>275</v>
      </c>
      <c r="F88">
        <v>85.47</v>
      </c>
      <c r="G88">
        <v>826.65</v>
      </c>
      <c r="H88" s="4" t="str">
        <f t="shared" si="1"/>
        <v>四季度</v>
      </c>
    </row>
    <row r="89" spans="1:8" ht="14.4" x14ac:dyDescent="0.25">
      <c r="A89">
        <v>2020</v>
      </c>
      <c r="B89">
        <v>11</v>
      </c>
      <c r="C89" t="s">
        <v>18</v>
      </c>
      <c r="D89">
        <v>7605</v>
      </c>
      <c r="E89" t="s">
        <v>77</v>
      </c>
      <c r="F89">
        <v>14118.87</v>
      </c>
      <c r="G89">
        <v>161752.82999999999</v>
      </c>
      <c r="H89" s="4" t="str">
        <f t="shared" si="1"/>
        <v>四季度</v>
      </c>
    </row>
    <row r="90" spans="1:8" ht="14.4" x14ac:dyDescent="0.25">
      <c r="A90">
        <v>2020</v>
      </c>
      <c r="B90">
        <v>11</v>
      </c>
      <c r="C90" t="s">
        <v>18</v>
      </c>
      <c r="D90">
        <v>62486</v>
      </c>
      <c r="E90" t="s">
        <v>275</v>
      </c>
      <c r="F90">
        <v>85.37</v>
      </c>
      <c r="G90">
        <v>912.02</v>
      </c>
      <c r="H90" s="4" t="str">
        <f t="shared" si="1"/>
        <v>四季度</v>
      </c>
    </row>
    <row r="91" spans="1:8" ht="14.4" x14ac:dyDescent="0.25">
      <c r="A91">
        <v>2020</v>
      </c>
      <c r="B91">
        <v>12</v>
      </c>
      <c r="C91" t="s">
        <v>18</v>
      </c>
      <c r="D91">
        <v>7605</v>
      </c>
      <c r="E91" t="s">
        <v>77</v>
      </c>
      <c r="F91">
        <v>14118.87</v>
      </c>
      <c r="G91">
        <v>175871.7</v>
      </c>
      <c r="H91" s="4" t="str">
        <f t="shared" si="1"/>
        <v>四季度</v>
      </c>
    </row>
    <row r="92" spans="1:8" ht="14.4" x14ac:dyDescent="0.25">
      <c r="A92">
        <v>2020</v>
      </c>
      <c r="B92">
        <v>12</v>
      </c>
      <c r="C92" t="s">
        <v>18</v>
      </c>
      <c r="D92">
        <v>53157</v>
      </c>
      <c r="E92" t="s">
        <v>166</v>
      </c>
      <c r="F92">
        <v>60.65</v>
      </c>
      <c r="G92">
        <v>60.65</v>
      </c>
      <c r="H92" s="4" t="str">
        <f t="shared" si="1"/>
        <v>四季度</v>
      </c>
    </row>
    <row r="93" spans="1:8" ht="14.4" x14ac:dyDescent="0.25">
      <c r="A93">
        <v>2020</v>
      </c>
      <c r="B93">
        <v>12</v>
      </c>
      <c r="C93" t="s">
        <v>18</v>
      </c>
      <c r="D93">
        <v>53317</v>
      </c>
      <c r="E93" t="s">
        <v>80</v>
      </c>
      <c r="F93">
        <v>24.19</v>
      </c>
      <c r="G93">
        <v>24.19</v>
      </c>
      <c r="H93" s="4" t="str">
        <f t="shared" si="1"/>
        <v>四季度</v>
      </c>
    </row>
    <row r="94" spans="1:8" ht="14.4" x14ac:dyDescent="0.25">
      <c r="A94">
        <v>2020</v>
      </c>
      <c r="B94">
        <v>12</v>
      </c>
      <c r="C94" t="s">
        <v>18</v>
      </c>
      <c r="D94">
        <v>62486</v>
      </c>
      <c r="E94" t="s">
        <v>275</v>
      </c>
      <c r="F94">
        <v>85.61</v>
      </c>
      <c r="G94">
        <v>997.63</v>
      </c>
      <c r="H94" s="4" t="str">
        <f t="shared" si="1"/>
        <v>四季度</v>
      </c>
    </row>
  </sheetData>
  <autoFilter ref="A1:H58"/>
  <sortState ref="A2:H59">
    <sortCondition ref="A2:A59"/>
    <sortCondition ref="B2:B59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16"/>
  <sheetViews>
    <sheetView tabSelected="1" topLeftCell="A358" workbookViewId="0">
      <selection activeCell="H390" sqref="H390"/>
    </sheetView>
  </sheetViews>
  <sheetFormatPr defaultRowHeight="13.8" x14ac:dyDescent="0.25"/>
  <cols>
    <col min="2" max="2" width="9.88671875" customWidth="1"/>
    <col min="3" max="3" width="13.33203125" customWidth="1"/>
    <col min="4" max="4" width="25.33203125" customWidth="1"/>
    <col min="5" max="5" width="14.6640625" customWidth="1"/>
    <col min="6" max="6" width="10.5546875" bestFit="1" customWidth="1"/>
    <col min="7" max="7" width="16.5546875" customWidth="1"/>
  </cols>
  <sheetData>
    <row r="1" spans="1:8" ht="28.8" x14ac:dyDescent="0.25">
      <c r="A1" s="1" t="s">
        <v>145</v>
      </c>
      <c r="B1" s="1" t="s">
        <v>146</v>
      </c>
      <c r="C1" s="1" t="s">
        <v>147</v>
      </c>
      <c r="D1" s="1" t="s">
        <v>148</v>
      </c>
      <c r="E1" s="1" t="s">
        <v>149</v>
      </c>
      <c r="F1" s="1" t="s">
        <v>150</v>
      </c>
      <c r="G1" s="1" t="s">
        <v>151</v>
      </c>
      <c r="H1" s="1" t="s">
        <v>162</v>
      </c>
    </row>
    <row r="2" spans="1:8" ht="14.4" x14ac:dyDescent="0.25">
      <c r="A2" s="4">
        <v>2017</v>
      </c>
      <c r="B2" s="4">
        <v>1</v>
      </c>
      <c r="C2" s="4" t="s">
        <v>18</v>
      </c>
      <c r="D2" s="5" t="s">
        <v>163</v>
      </c>
      <c r="E2" s="4" t="s">
        <v>153</v>
      </c>
      <c r="F2" s="6">
        <v>2247.75</v>
      </c>
      <c r="G2" s="6">
        <v>2247.75</v>
      </c>
      <c r="H2" s="4" t="str">
        <f t="shared" ref="H2:H65" si="0">season(B2)</f>
        <v>一季度</v>
      </c>
    </row>
    <row r="3" spans="1:8" ht="14.4" x14ac:dyDescent="0.25">
      <c r="A3" s="4">
        <v>2017</v>
      </c>
      <c r="B3" s="4">
        <v>1</v>
      </c>
      <c r="C3" s="4" t="s">
        <v>18</v>
      </c>
      <c r="D3" s="5" t="s">
        <v>154</v>
      </c>
      <c r="E3" s="4" t="s">
        <v>153</v>
      </c>
      <c r="F3" s="6">
        <v>527.20000000000005</v>
      </c>
      <c r="G3" s="6">
        <v>527.20000000000005</v>
      </c>
      <c r="H3" s="4" t="str">
        <f t="shared" si="0"/>
        <v>一季度</v>
      </c>
    </row>
    <row r="4" spans="1:8" ht="14.4" x14ac:dyDescent="0.25">
      <c r="A4" s="4">
        <v>2017</v>
      </c>
      <c r="B4" s="4">
        <v>1</v>
      </c>
      <c r="C4" s="4" t="s">
        <v>18</v>
      </c>
      <c r="D4" s="5" t="s">
        <v>156</v>
      </c>
      <c r="E4" s="4" t="s">
        <v>153</v>
      </c>
      <c r="F4" s="6">
        <v>8456.2800000000007</v>
      </c>
      <c r="G4" s="6">
        <v>8456.2800000000007</v>
      </c>
      <c r="H4" s="4" t="str">
        <f t="shared" si="0"/>
        <v>一季度</v>
      </c>
    </row>
    <row r="5" spans="1:8" ht="14.4" x14ac:dyDescent="0.25">
      <c r="A5" s="4">
        <v>2017</v>
      </c>
      <c r="B5" s="4">
        <v>1</v>
      </c>
      <c r="C5" s="4" t="s">
        <v>18</v>
      </c>
      <c r="D5" s="5" t="s">
        <v>155</v>
      </c>
      <c r="E5" s="4" t="s">
        <v>153</v>
      </c>
      <c r="F5" s="6">
        <v>20867.22</v>
      </c>
      <c r="G5" s="6">
        <v>20867.22</v>
      </c>
      <c r="H5" s="4" t="str">
        <f t="shared" si="0"/>
        <v>一季度</v>
      </c>
    </row>
    <row r="6" spans="1:8" ht="14.4" x14ac:dyDescent="0.25">
      <c r="A6" s="4">
        <v>2017</v>
      </c>
      <c r="B6" s="4">
        <v>1</v>
      </c>
      <c r="C6" s="4" t="s">
        <v>18</v>
      </c>
      <c r="D6" s="5" t="s">
        <v>157</v>
      </c>
      <c r="E6" s="4" t="s">
        <v>153</v>
      </c>
      <c r="F6" s="6">
        <v>2248.79</v>
      </c>
      <c r="G6" s="6">
        <v>2248.79</v>
      </c>
      <c r="H6" s="4" t="str">
        <f t="shared" si="0"/>
        <v>一季度</v>
      </c>
    </row>
    <row r="7" spans="1:8" ht="14.4" x14ac:dyDescent="0.25">
      <c r="A7" s="4">
        <v>2017</v>
      </c>
      <c r="B7" s="4">
        <v>1</v>
      </c>
      <c r="C7" s="4" t="s">
        <v>18</v>
      </c>
      <c r="D7" s="5" t="s">
        <v>158</v>
      </c>
      <c r="E7" s="4" t="s">
        <v>153</v>
      </c>
      <c r="F7" s="6">
        <v>321.97000000000003</v>
      </c>
      <c r="G7" s="6">
        <v>321.97000000000003</v>
      </c>
      <c r="H7" s="4" t="str">
        <f t="shared" si="0"/>
        <v>一季度</v>
      </c>
    </row>
    <row r="8" spans="1:8" ht="14.4" x14ac:dyDescent="0.25">
      <c r="A8" s="4">
        <v>2017</v>
      </c>
      <c r="B8" s="4">
        <v>1</v>
      </c>
      <c r="C8" s="4" t="s">
        <v>18</v>
      </c>
      <c r="D8" s="5" t="s">
        <v>159</v>
      </c>
      <c r="E8" s="4" t="s">
        <v>153</v>
      </c>
      <c r="F8" s="6">
        <v>12479.15</v>
      </c>
      <c r="G8" s="6">
        <v>12479.15</v>
      </c>
      <c r="H8" s="4" t="str">
        <f t="shared" si="0"/>
        <v>一季度</v>
      </c>
    </row>
    <row r="9" spans="1:8" ht="14.4" x14ac:dyDescent="0.25">
      <c r="A9" s="4">
        <v>2017</v>
      </c>
      <c r="B9" s="4">
        <v>1</v>
      </c>
      <c r="C9" s="4" t="s">
        <v>18</v>
      </c>
      <c r="D9" s="5"/>
      <c r="E9" s="4" t="s">
        <v>160</v>
      </c>
      <c r="F9" s="6">
        <v>302403.77</v>
      </c>
      <c r="G9" s="6">
        <v>302403.77</v>
      </c>
      <c r="H9" s="4" t="str">
        <f t="shared" si="0"/>
        <v>一季度</v>
      </c>
    </row>
    <row r="10" spans="1:8" ht="14.4" x14ac:dyDescent="0.25">
      <c r="A10" s="4">
        <v>2017</v>
      </c>
      <c r="B10" s="4">
        <v>1</v>
      </c>
      <c r="C10" s="4" t="s">
        <v>18</v>
      </c>
      <c r="D10" s="5" t="s">
        <v>155</v>
      </c>
      <c r="E10" s="4" t="s">
        <v>161</v>
      </c>
      <c r="F10" s="6">
        <v>6101.89</v>
      </c>
      <c r="G10" s="6">
        <v>6101.89</v>
      </c>
      <c r="H10" s="4" t="str">
        <f t="shared" si="0"/>
        <v>一季度</v>
      </c>
    </row>
    <row r="11" spans="1:8" ht="14.4" x14ac:dyDescent="0.25">
      <c r="A11" s="4">
        <v>2017</v>
      </c>
      <c r="B11" s="4">
        <v>2</v>
      </c>
      <c r="C11" s="4" t="s">
        <v>18</v>
      </c>
      <c r="D11" s="5" t="s">
        <v>155</v>
      </c>
      <c r="E11" s="4" t="s">
        <v>153</v>
      </c>
      <c r="F11" s="6">
        <v>21565.43</v>
      </c>
      <c r="G11" s="6">
        <v>42432.65</v>
      </c>
      <c r="H11" s="4" t="str">
        <f t="shared" si="0"/>
        <v>一季度</v>
      </c>
    </row>
    <row r="12" spans="1:8" ht="14.4" x14ac:dyDescent="0.25">
      <c r="A12" s="4">
        <v>2017</v>
      </c>
      <c r="B12" s="4">
        <v>2</v>
      </c>
      <c r="C12" s="4" t="s">
        <v>18</v>
      </c>
      <c r="D12" s="5" t="s">
        <v>158</v>
      </c>
      <c r="E12" s="4" t="s">
        <v>153</v>
      </c>
      <c r="F12" s="6">
        <v>315.04000000000002</v>
      </c>
      <c r="G12" s="6">
        <v>637.01</v>
      </c>
      <c r="H12" s="4" t="str">
        <f t="shared" si="0"/>
        <v>一季度</v>
      </c>
    </row>
    <row r="13" spans="1:8" ht="14.4" x14ac:dyDescent="0.25">
      <c r="A13" s="4">
        <v>2017</v>
      </c>
      <c r="B13" s="4">
        <v>2</v>
      </c>
      <c r="C13" s="4" t="s">
        <v>18</v>
      </c>
      <c r="D13" s="5" t="s">
        <v>159</v>
      </c>
      <c r="E13" s="4" t="s">
        <v>153</v>
      </c>
      <c r="F13" s="6">
        <v>12409.08</v>
      </c>
      <c r="G13" s="6">
        <v>24888.23</v>
      </c>
      <c r="H13" s="4" t="str">
        <f t="shared" si="0"/>
        <v>一季度</v>
      </c>
    </row>
    <row r="14" spans="1:8" ht="14.4" x14ac:dyDescent="0.25">
      <c r="A14" s="4">
        <v>2017</v>
      </c>
      <c r="B14" s="4">
        <v>2</v>
      </c>
      <c r="C14" s="4" t="s">
        <v>18</v>
      </c>
      <c r="D14" s="5" t="s">
        <v>154</v>
      </c>
      <c r="E14" s="4" t="s">
        <v>153</v>
      </c>
      <c r="F14" s="6">
        <v>522.36</v>
      </c>
      <c r="G14" s="6">
        <v>1049.56</v>
      </c>
      <c r="H14" s="4" t="str">
        <f t="shared" si="0"/>
        <v>一季度</v>
      </c>
    </row>
    <row r="15" spans="1:8" ht="14.4" x14ac:dyDescent="0.25">
      <c r="A15" s="4">
        <v>2017</v>
      </c>
      <c r="B15" s="4">
        <v>2</v>
      </c>
      <c r="C15" s="4" t="s">
        <v>18</v>
      </c>
      <c r="D15" s="5" t="s">
        <v>156</v>
      </c>
      <c r="E15" s="4" t="s">
        <v>153</v>
      </c>
      <c r="F15" s="6">
        <v>8611.2099999999991</v>
      </c>
      <c r="G15" s="6">
        <v>17067.490000000002</v>
      </c>
      <c r="H15" s="4" t="str">
        <f t="shared" si="0"/>
        <v>一季度</v>
      </c>
    </row>
    <row r="16" spans="1:8" ht="14.4" x14ac:dyDescent="0.25">
      <c r="A16" s="4">
        <v>2017</v>
      </c>
      <c r="B16" s="4">
        <v>2</v>
      </c>
      <c r="C16" s="4" t="s">
        <v>18</v>
      </c>
      <c r="D16" s="5" t="s">
        <v>157</v>
      </c>
      <c r="E16" s="4" t="s">
        <v>153</v>
      </c>
      <c r="F16" s="6">
        <v>2238.46</v>
      </c>
      <c r="G16" s="6">
        <v>4487.25</v>
      </c>
      <c r="H16" s="4" t="str">
        <f t="shared" si="0"/>
        <v>一季度</v>
      </c>
    </row>
    <row r="17" spans="1:8" ht="14.4" x14ac:dyDescent="0.25">
      <c r="A17" s="4">
        <v>2017</v>
      </c>
      <c r="B17" s="4">
        <v>2</v>
      </c>
      <c r="C17" s="4" t="s">
        <v>18</v>
      </c>
      <c r="D17" s="5" t="s">
        <v>163</v>
      </c>
      <c r="E17" s="4" t="s">
        <v>153</v>
      </c>
      <c r="F17" s="6">
        <v>2252.06</v>
      </c>
      <c r="G17" s="6">
        <v>4499.8100000000004</v>
      </c>
      <c r="H17" s="4" t="str">
        <f t="shared" si="0"/>
        <v>一季度</v>
      </c>
    </row>
    <row r="18" spans="1:8" ht="14.4" x14ac:dyDescent="0.25">
      <c r="A18" s="4">
        <v>2017</v>
      </c>
      <c r="B18" s="4">
        <v>2</v>
      </c>
      <c r="C18" s="4" t="s">
        <v>18</v>
      </c>
      <c r="D18" s="5"/>
      <c r="E18" s="4" t="s">
        <v>160</v>
      </c>
      <c r="F18" s="6">
        <v>213686.79</v>
      </c>
      <c r="G18" s="6">
        <v>516090.57</v>
      </c>
      <c r="H18" s="4" t="str">
        <f t="shared" si="0"/>
        <v>一季度</v>
      </c>
    </row>
    <row r="19" spans="1:8" ht="14.4" x14ac:dyDescent="0.25">
      <c r="A19" s="4">
        <v>2017</v>
      </c>
      <c r="B19" s="4">
        <v>2</v>
      </c>
      <c r="C19" s="4" t="s">
        <v>18</v>
      </c>
      <c r="D19" s="5" t="s">
        <v>155</v>
      </c>
      <c r="E19" s="4" t="s">
        <v>161</v>
      </c>
      <c r="F19" s="6">
        <v>6168.87</v>
      </c>
      <c r="G19" s="6">
        <v>12270.75</v>
      </c>
      <c r="H19" s="4" t="str">
        <f t="shared" si="0"/>
        <v>一季度</v>
      </c>
    </row>
    <row r="20" spans="1:8" ht="14.4" x14ac:dyDescent="0.25">
      <c r="A20" s="4">
        <v>2017</v>
      </c>
      <c r="B20" s="4">
        <v>3</v>
      </c>
      <c r="C20" s="4" t="s">
        <v>18</v>
      </c>
      <c r="D20" s="5" t="s">
        <v>159</v>
      </c>
      <c r="E20" s="4" t="s">
        <v>153</v>
      </c>
      <c r="F20" s="6">
        <v>9879.9599999999991</v>
      </c>
      <c r="G20" s="6">
        <v>34768.19</v>
      </c>
      <c r="H20" s="4" t="str">
        <f t="shared" si="0"/>
        <v>一季度</v>
      </c>
    </row>
    <row r="21" spans="1:8" ht="14.4" x14ac:dyDescent="0.25">
      <c r="A21" s="4">
        <v>2017</v>
      </c>
      <c r="B21" s="4">
        <v>3</v>
      </c>
      <c r="C21" s="4" t="s">
        <v>18</v>
      </c>
      <c r="D21" s="5" t="s">
        <v>155</v>
      </c>
      <c r="E21" s="4" t="s">
        <v>153</v>
      </c>
      <c r="F21" s="6">
        <v>15783.35</v>
      </c>
      <c r="G21" s="6">
        <v>58216</v>
      </c>
      <c r="H21" s="4" t="str">
        <f t="shared" si="0"/>
        <v>一季度</v>
      </c>
    </row>
    <row r="22" spans="1:8" ht="14.4" x14ac:dyDescent="0.25">
      <c r="A22" s="4">
        <v>2017</v>
      </c>
      <c r="B22" s="4">
        <v>3</v>
      </c>
      <c r="C22" s="4" t="s">
        <v>18</v>
      </c>
      <c r="D22" s="5" t="s">
        <v>156</v>
      </c>
      <c r="E22" s="4" t="s">
        <v>153</v>
      </c>
      <c r="F22" s="6">
        <v>7045.66</v>
      </c>
      <c r="G22" s="6">
        <v>24113.15</v>
      </c>
      <c r="H22" s="4" t="str">
        <f t="shared" si="0"/>
        <v>一季度</v>
      </c>
    </row>
    <row r="23" spans="1:8" ht="14.4" x14ac:dyDescent="0.25">
      <c r="A23" s="4">
        <v>2017</v>
      </c>
      <c r="B23" s="4">
        <v>3</v>
      </c>
      <c r="C23" s="4" t="s">
        <v>18</v>
      </c>
      <c r="D23" s="5" t="s">
        <v>157</v>
      </c>
      <c r="E23" s="4" t="s">
        <v>153</v>
      </c>
      <c r="F23" s="6">
        <v>1776.48</v>
      </c>
      <c r="G23" s="6">
        <v>6263.74</v>
      </c>
      <c r="H23" s="4" t="str">
        <f t="shared" si="0"/>
        <v>一季度</v>
      </c>
    </row>
    <row r="24" spans="1:8" ht="14.4" x14ac:dyDescent="0.25">
      <c r="A24" s="4">
        <v>2017</v>
      </c>
      <c r="B24" s="4">
        <v>3</v>
      </c>
      <c r="C24" s="4" t="s">
        <v>18</v>
      </c>
      <c r="D24" s="5" t="s">
        <v>154</v>
      </c>
      <c r="E24" s="4" t="s">
        <v>153</v>
      </c>
      <c r="F24" s="6">
        <v>410.58</v>
      </c>
      <c r="G24" s="6">
        <v>1460.13</v>
      </c>
      <c r="H24" s="4" t="str">
        <f t="shared" si="0"/>
        <v>一季度</v>
      </c>
    </row>
    <row r="25" spans="1:8" ht="14.4" x14ac:dyDescent="0.25">
      <c r="A25" s="4">
        <v>2017</v>
      </c>
      <c r="B25" s="4">
        <v>3</v>
      </c>
      <c r="C25" s="4" t="s">
        <v>18</v>
      </c>
      <c r="D25" s="5" t="s">
        <v>163</v>
      </c>
      <c r="E25" s="4" t="s">
        <v>153</v>
      </c>
      <c r="F25" s="6">
        <v>943.76</v>
      </c>
      <c r="G25" s="6">
        <v>5443.58</v>
      </c>
      <c r="H25" s="4" t="str">
        <f t="shared" si="0"/>
        <v>一季度</v>
      </c>
    </row>
    <row r="26" spans="1:8" ht="14.4" x14ac:dyDescent="0.25">
      <c r="A26" s="4">
        <v>2017</v>
      </c>
      <c r="B26" s="4">
        <v>3</v>
      </c>
      <c r="C26" s="4" t="s">
        <v>18</v>
      </c>
      <c r="D26" s="5" t="s">
        <v>158</v>
      </c>
      <c r="E26" s="4" t="s">
        <v>153</v>
      </c>
      <c r="F26" s="6">
        <v>249.3</v>
      </c>
      <c r="G26" s="6">
        <v>886.31</v>
      </c>
      <c r="H26" s="4" t="str">
        <f t="shared" si="0"/>
        <v>一季度</v>
      </c>
    </row>
    <row r="27" spans="1:8" ht="14.4" x14ac:dyDescent="0.25">
      <c r="A27" s="4">
        <v>2017</v>
      </c>
      <c r="B27" s="4">
        <v>3</v>
      </c>
      <c r="C27" s="4" t="s">
        <v>18</v>
      </c>
      <c r="D27" s="5"/>
      <c r="E27" s="4" t="s">
        <v>160</v>
      </c>
      <c r="F27" s="6">
        <v>236912.26</v>
      </c>
      <c r="G27" s="6">
        <v>753002.83</v>
      </c>
      <c r="H27" s="4" t="str">
        <f t="shared" si="0"/>
        <v>一季度</v>
      </c>
    </row>
    <row r="28" spans="1:8" ht="14.4" x14ac:dyDescent="0.25">
      <c r="A28" s="4">
        <v>2017</v>
      </c>
      <c r="B28" s="4">
        <v>3</v>
      </c>
      <c r="C28" s="4" t="s">
        <v>18</v>
      </c>
      <c r="D28" s="5" t="s">
        <v>155</v>
      </c>
      <c r="E28" s="4" t="s">
        <v>161</v>
      </c>
      <c r="F28" s="6">
        <v>6162.26</v>
      </c>
      <c r="G28" s="6">
        <v>18433.02</v>
      </c>
      <c r="H28" s="4" t="str">
        <f t="shared" si="0"/>
        <v>一季度</v>
      </c>
    </row>
    <row r="29" spans="1:8" ht="14.4" x14ac:dyDescent="0.25">
      <c r="A29" s="4">
        <v>2017</v>
      </c>
      <c r="B29" s="4">
        <v>4</v>
      </c>
      <c r="C29" s="4" t="s">
        <v>18</v>
      </c>
      <c r="D29" s="5" t="s">
        <v>158</v>
      </c>
      <c r="E29" s="4" t="s">
        <v>153</v>
      </c>
      <c r="F29" s="6">
        <v>468.3</v>
      </c>
      <c r="G29" s="6">
        <v>1354.61</v>
      </c>
      <c r="H29" s="4" t="str">
        <f t="shared" si="0"/>
        <v>二季度</v>
      </c>
    </row>
    <row r="30" spans="1:8" ht="14.4" x14ac:dyDescent="0.25">
      <c r="A30" s="4">
        <v>2017</v>
      </c>
      <c r="B30" s="4">
        <v>4</v>
      </c>
      <c r="C30" s="4" t="s">
        <v>18</v>
      </c>
      <c r="D30" s="5" t="s">
        <v>159</v>
      </c>
      <c r="E30" s="4" t="s">
        <v>153</v>
      </c>
      <c r="F30" s="6">
        <v>17077.990000000002</v>
      </c>
      <c r="G30" s="6">
        <v>51846.18</v>
      </c>
      <c r="H30" s="4" t="str">
        <f t="shared" si="0"/>
        <v>二季度</v>
      </c>
    </row>
    <row r="31" spans="1:8" ht="14.4" x14ac:dyDescent="0.25">
      <c r="A31" s="4">
        <v>2017</v>
      </c>
      <c r="B31" s="4">
        <v>4</v>
      </c>
      <c r="C31" s="4" t="s">
        <v>18</v>
      </c>
      <c r="D31" s="5" t="s">
        <v>154</v>
      </c>
      <c r="E31" s="4" t="s">
        <v>153</v>
      </c>
      <c r="F31" s="6">
        <v>745.93</v>
      </c>
      <c r="G31" s="6">
        <v>2206.0700000000002</v>
      </c>
      <c r="H31" s="4" t="str">
        <f t="shared" si="0"/>
        <v>二季度</v>
      </c>
    </row>
    <row r="32" spans="1:8" ht="14.4" x14ac:dyDescent="0.25">
      <c r="A32" s="4">
        <v>2017</v>
      </c>
      <c r="B32" s="4">
        <v>4</v>
      </c>
      <c r="C32" s="4" t="s">
        <v>18</v>
      </c>
      <c r="D32" s="5" t="s">
        <v>157</v>
      </c>
      <c r="E32" s="4" t="s">
        <v>153</v>
      </c>
      <c r="F32" s="6">
        <v>2761.05</v>
      </c>
      <c r="G32" s="6">
        <v>9024.7800000000007</v>
      </c>
      <c r="H32" s="4" t="str">
        <f t="shared" si="0"/>
        <v>二季度</v>
      </c>
    </row>
    <row r="33" spans="1:8" ht="14.4" x14ac:dyDescent="0.25">
      <c r="A33" s="4">
        <v>2017</v>
      </c>
      <c r="B33" s="4">
        <v>4</v>
      </c>
      <c r="C33" s="4" t="s">
        <v>18</v>
      </c>
      <c r="D33" s="5" t="s">
        <v>155</v>
      </c>
      <c r="E33" s="4" t="s">
        <v>153</v>
      </c>
      <c r="F33" s="6">
        <v>27716.28</v>
      </c>
      <c r="G33" s="6">
        <v>85932.28</v>
      </c>
      <c r="H33" s="4" t="str">
        <f t="shared" si="0"/>
        <v>二季度</v>
      </c>
    </row>
    <row r="34" spans="1:8" ht="14.4" x14ac:dyDescent="0.25">
      <c r="A34" s="4">
        <v>2017</v>
      </c>
      <c r="B34" s="4">
        <v>4</v>
      </c>
      <c r="C34" s="4" t="s">
        <v>18</v>
      </c>
      <c r="D34" s="5" t="s">
        <v>156</v>
      </c>
      <c r="E34" s="4" t="s">
        <v>153</v>
      </c>
      <c r="F34" s="6">
        <v>13929.9</v>
      </c>
      <c r="G34" s="6">
        <v>38043.050000000003</v>
      </c>
      <c r="H34" s="4" t="str">
        <f t="shared" si="0"/>
        <v>二季度</v>
      </c>
    </row>
    <row r="35" spans="1:8" ht="14.4" x14ac:dyDescent="0.25">
      <c r="A35" s="4">
        <v>2017</v>
      </c>
      <c r="B35" s="4">
        <v>4</v>
      </c>
      <c r="C35" s="4" t="s">
        <v>18</v>
      </c>
      <c r="D35" s="5" t="s">
        <v>163</v>
      </c>
      <c r="E35" s="4" t="s">
        <v>153</v>
      </c>
      <c r="F35" s="6">
        <v>1340.38</v>
      </c>
      <c r="G35" s="6">
        <v>6783.95</v>
      </c>
      <c r="H35" s="4" t="str">
        <f t="shared" si="0"/>
        <v>二季度</v>
      </c>
    </row>
    <row r="36" spans="1:8" ht="14.4" x14ac:dyDescent="0.25">
      <c r="A36" s="4">
        <v>2017</v>
      </c>
      <c r="B36" s="4">
        <v>4</v>
      </c>
      <c r="C36" s="4" t="s">
        <v>18</v>
      </c>
      <c r="D36" s="5"/>
      <c r="E36" s="4" t="s">
        <v>160</v>
      </c>
      <c r="F36" s="6">
        <v>224195.07</v>
      </c>
      <c r="G36" s="6">
        <v>977198.11</v>
      </c>
      <c r="H36" s="4" t="str">
        <f t="shared" si="0"/>
        <v>二季度</v>
      </c>
    </row>
    <row r="37" spans="1:8" ht="14.4" x14ac:dyDescent="0.25">
      <c r="A37" s="4">
        <v>2017</v>
      </c>
      <c r="B37" s="4">
        <v>4</v>
      </c>
      <c r="C37" s="4" t="s">
        <v>18</v>
      </c>
      <c r="D37" s="5" t="s">
        <v>155</v>
      </c>
      <c r="E37" s="4" t="s">
        <v>161</v>
      </c>
      <c r="F37" s="6">
        <v>6160.38</v>
      </c>
      <c r="G37" s="6">
        <v>24593.4</v>
      </c>
      <c r="H37" s="4" t="str">
        <f t="shared" si="0"/>
        <v>二季度</v>
      </c>
    </row>
    <row r="38" spans="1:8" ht="14.4" x14ac:dyDescent="0.25">
      <c r="A38" s="4">
        <v>2017</v>
      </c>
      <c r="B38" s="4">
        <v>5</v>
      </c>
      <c r="C38" s="4" t="s">
        <v>18</v>
      </c>
      <c r="D38" s="5" t="s">
        <v>156</v>
      </c>
      <c r="E38" s="4" t="s">
        <v>153</v>
      </c>
      <c r="F38" s="6">
        <v>7418.23</v>
      </c>
      <c r="G38" s="6">
        <v>45461.27</v>
      </c>
      <c r="H38" s="4" t="str">
        <f t="shared" si="0"/>
        <v>二季度</v>
      </c>
    </row>
    <row r="39" spans="1:8" ht="14.4" x14ac:dyDescent="0.25">
      <c r="A39" s="4">
        <v>2017</v>
      </c>
      <c r="B39" s="4">
        <v>5</v>
      </c>
      <c r="C39" s="4" t="s">
        <v>18</v>
      </c>
      <c r="D39" s="5" t="s">
        <v>154</v>
      </c>
      <c r="E39" s="4" t="s">
        <v>153</v>
      </c>
      <c r="F39" s="6">
        <v>440.29</v>
      </c>
      <c r="G39" s="6">
        <v>2646.36</v>
      </c>
      <c r="H39" s="4" t="str">
        <f t="shared" si="0"/>
        <v>二季度</v>
      </c>
    </row>
    <row r="40" spans="1:8" ht="14.4" x14ac:dyDescent="0.25">
      <c r="A40" s="4">
        <v>2017</v>
      </c>
      <c r="B40" s="4">
        <v>5</v>
      </c>
      <c r="C40" s="4" t="s">
        <v>18</v>
      </c>
      <c r="D40" s="5" t="s">
        <v>155</v>
      </c>
      <c r="E40" s="4" t="s">
        <v>153</v>
      </c>
      <c r="F40" s="6">
        <v>16574.2</v>
      </c>
      <c r="G40" s="6">
        <v>102506.48</v>
      </c>
      <c r="H40" s="4" t="str">
        <f t="shared" si="0"/>
        <v>二季度</v>
      </c>
    </row>
    <row r="41" spans="1:8" ht="14.4" x14ac:dyDescent="0.25">
      <c r="A41" s="4">
        <v>2017</v>
      </c>
      <c r="B41" s="4">
        <v>5</v>
      </c>
      <c r="C41" s="4" t="s">
        <v>18</v>
      </c>
      <c r="D41" s="5" t="s">
        <v>163</v>
      </c>
      <c r="E41" s="4" t="s">
        <v>153</v>
      </c>
      <c r="F41" s="6">
        <v>1051.1600000000001</v>
      </c>
      <c r="G41" s="6">
        <v>7835.11</v>
      </c>
      <c r="H41" s="4" t="str">
        <f t="shared" si="0"/>
        <v>二季度</v>
      </c>
    </row>
    <row r="42" spans="1:8" ht="14.4" x14ac:dyDescent="0.25">
      <c r="A42" s="4">
        <v>2017</v>
      </c>
      <c r="B42" s="4">
        <v>5</v>
      </c>
      <c r="C42" s="4" t="s">
        <v>18</v>
      </c>
      <c r="D42" s="5" t="s">
        <v>158</v>
      </c>
      <c r="E42" s="4" t="s">
        <v>153</v>
      </c>
      <c r="F42" s="6">
        <v>280.73</v>
      </c>
      <c r="G42" s="6">
        <v>1635.34</v>
      </c>
      <c r="H42" s="4" t="str">
        <f t="shared" si="0"/>
        <v>二季度</v>
      </c>
    </row>
    <row r="43" spans="1:8" ht="14.4" x14ac:dyDescent="0.25">
      <c r="A43" s="4">
        <v>2017</v>
      </c>
      <c r="B43" s="4">
        <v>5</v>
      </c>
      <c r="C43" s="4" t="s">
        <v>18</v>
      </c>
      <c r="D43" s="5" t="s">
        <v>159</v>
      </c>
      <c r="E43" s="4" t="s">
        <v>153</v>
      </c>
      <c r="F43" s="6">
        <v>10602.74</v>
      </c>
      <c r="G43" s="6">
        <v>62448.92</v>
      </c>
      <c r="H43" s="4" t="str">
        <f t="shared" si="0"/>
        <v>二季度</v>
      </c>
    </row>
    <row r="44" spans="1:8" ht="14.4" x14ac:dyDescent="0.25">
      <c r="A44" s="4">
        <v>2017</v>
      </c>
      <c r="B44" s="4">
        <v>5</v>
      </c>
      <c r="C44" s="4" t="s">
        <v>18</v>
      </c>
      <c r="D44" s="5" t="s">
        <v>157</v>
      </c>
      <c r="E44" s="4" t="s">
        <v>153</v>
      </c>
      <c r="F44" s="6">
        <v>1982.28</v>
      </c>
      <c r="G44" s="6">
        <v>11007.07</v>
      </c>
      <c r="H44" s="4" t="str">
        <f t="shared" si="0"/>
        <v>二季度</v>
      </c>
    </row>
    <row r="45" spans="1:8" ht="14.4" x14ac:dyDescent="0.25">
      <c r="A45" s="4">
        <v>2017</v>
      </c>
      <c r="B45" s="4">
        <v>5</v>
      </c>
      <c r="C45" s="4" t="s">
        <v>18</v>
      </c>
      <c r="D45" s="5"/>
      <c r="E45" s="4" t="s">
        <v>160</v>
      </c>
      <c r="F45" s="6">
        <v>233030.58</v>
      </c>
      <c r="G45" s="6">
        <v>1210228.58</v>
      </c>
      <c r="H45" s="4" t="str">
        <f t="shared" si="0"/>
        <v>二季度</v>
      </c>
    </row>
    <row r="46" spans="1:8" ht="14.4" x14ac:dyDescent="0.25">
      <c r="A46" s="4">
        <v>2017</v>
      </c>
      <c r="B46" s="4">
        <v>5</v>
      </c>
      <c r="C46" s="4" t="s">
        <v>18</v>
      </c>
      <c r="D46" s="5" t="s">
        <v>155</v>
      </c>
      <c r="E46" s="4" t="s">
        <v>161</v>
      </c>
      <c r="F46" s="6">
        <v>6155.66</v>
      </c>
      <c r="G46" s="6">
        <v>30749.06</v>
      </c>
      <c r="H46" s="4" t="str">
        <f t="shared" si="0"/>
        <v>二季度</v>
      </c>
    </row>
    <row r="47" spans="1:8" ht="14.4" x14ac:dyDescent="0.25">
      <c r="A47" s="4">
        <v>2017</v>
      </c>
      <c r="B47" s="4">
        <v>6</v>
      </c>
      <c r="C47" s="4" t="s">
        <v>18</v>
      </c>
      <c r="D47" s="5" t="s">
        <v>157</v>
      </c>
      <c r="E47" s="4" t="s">
        <v>153</v>
      </c>
      <c r="F47" s="6">
        <v>2403.6799999999998</v>
      </c>
      <c r="G47" s="6">
        <v>13410.75</v>
      </c>
      <c r="H47" s="4" t="str">
        <f t="shared" si="0"/>
        <v>二季度</v>
      </c>
    </row>
    <row r="48" spans="1:8" ht="14.4" x14ac:dyDescent="0.25">
      <c r="A48" s="4">
        <v>2017</v>
      </c>
      <c r="B48" s="4">
        <v>6</v>
      </c>
      <c r="C48" s="4" t="s">
        <v>18</v>
      </c>
      <c r="D48" s="5" t="s">
        <v>155</v>
      </c>
      <c r="E48" s="4" t="s">
        <v>153</v>
      </c>
      <c r="F48" s="6">
        <v>20886.099999999999</v>
      </c>
      <c r="G48" s="6">
        <v>123392.58</v>
      </c>
      <c r="H48" s="4" t="str">
        <f t="shared" si="0"/>
        <v>二季度</v>
      </c>
    </row>
    <row r="49" spans="1:8" ht="14.4" x14ac:dyDescent="0.25">
      <c r="A49" s="4">
        <v>2017</v>
      </c>
      <c r="B49" s="4">
        <v>6</v>
      </c>
      <c r="C49" s="4" t="s">
        <v>18</v>
      </c>
      <c r="D49" s="5" t="s">
        <v>156</v>
      </c>
      <c r="E49" s="4" t="s">
        <v>153</v>
      </c>
      <c r="F49" s="6">
        <v>9576.3700000000008</v>
      </c>
      <c r="G49" s="6">
        <v>55037.64</v>
      </c>
      <c r="H49" s="4" t="str">
        <f t="shared" si="0"/>
        <v>二季度</v>
      </c>
    </row>
    <row r="50" spans="1:8" ht="14.4" x14ac:dyDescent="0.25">
      <c r="A50" s="4">
        <v>2017</v>
      </c>
      <c r="B50" s="4">
        <v>6</v>
      </c>
      <c r="C50" s="4" t="s">
        <v>18</v>
      </c>
      <c r="D50" s="5" t="s">
        <v>158</v>
      </c>
      <c r="E50" s="4" t="s">
        <v>153</v>
      </c>
      <c r="F50" s="6">
        <v>345.14</v>
      </c>
      <c r="G50" s="6">
        <v>1980.48</v>
      </c>
      <c r="H50" s="4" t="str">
        <f t="shared" si="0"/>
        <v>二季度</v>
      </c>
    </row>
    <row r="51" spans="1:8" ht="14.4" x14ac:dyDescent="0.25">
      <c r="A51" s="4">
        <v>2017</v>
      </c>
      <c r="B51" s="4">
        <v>6</v>
      </c>
      <c r="C51" s="4" t="s">
        <v>18</v>
      </c>
      <c r="D51" s="5" t="s">
        <v>163</v>
      </c>
      <c r="E51" s="4" t="s">
        <v>153</v>
      </c>
      <c r="F51" s="6">
        <v>1186.03</v>
      </c>
      <c r="G51" s="6">
        <v>9021.14</v>
      </c>
      <c r="H51" s="4" t="str">
        <f t="shared" si="0"/>
        <v>二季度</v>
      </c>
    </row>
    <row r="52" spans="1:8" ht="14.4" x14ac:dyDescent="0.25">
      <c r="A52" s="4">
        <v>2017</v>
      </c>
      <c r="B52" s="4">
        <v>6</v>
      </c>
      <c r="C52" s="4" t="s">
        <v>18</v>
      </c>
      <c r="D52" s="5" t="s">
        <v>159</v>
      </c>
      <c r="E52" s="4" t="s">
        <v>153</v>
      </c>
      <c r="F52" s="6">
        <v>13049.51</v>
      </c>
      <c r="G52" s="6">
        <v>75498.42</v>
      </c>
      <c r="H52" s="4" t="str">
        <f t="shared" si="0"/>
        <v>二季度</v>
      </c>
    </row>
    <row r="53" spans="1:8" ht="14.4" x14ac:dyDescent="0.25">
      <c r="A53" s="4">
        <v>2017</v>
      </c>
      <c r="B53" s="4">
        <v>6</v>
      </c>
      <c r="C53" s="4" t="s">
        <v>18</v>
      </c>
      <c r="D53" s="5" t="s">
        <v>154</v>
      </c>
      <c r="E53" s="4" t="s">
        <v>153</v>
      </c>
      <c r="F53" s="6">
        <v>549.42999999999995</v>
      </c>
      <c r="G53" s="6">
        <v>3195.79</v>
      </c>
      <c r="H53" s="4" t="str">
        <f t="shared" si="0"/>
        <v>二季度</v>
      </c>
    </row>
    <row r="54" spans="1:8" ht="14.4" x14ac:dyDescent="0.25">
      <c r="A54" s="4">
        <v>2017</v>
      </c>
      <c r="B54" s="4">
        <v>6</v>
      </c>
      <c r="C54" s="4" t="s">
        <v>18</v>
      </c>
      <c r="D54" s="5"/>
      <c r="E54" s="4" t="s">
        <v>160</v>
      </c>
      <c r="F54" s="6">
        <v>226335.25</v>
      </c>
      <c r="G54" s="6">
        <v>1436563.83</v>
      </c>
      <c r="H54" s="4" t="str">
        <f t="shared" si="0"/>
        <v>二季度</v>
      </c>
    </row>
    <row r="55" spans="1:8" ht="14.4" x14ac:dyDescent="0.25">
      <c r="A55" s="4">
        <v>2017</v>
      </c>
      <c r="B55" s="4">
        <v>6</v>
      </c>
      <c r="C55" s="4" t="s">
        <v>18</v>
      </c>
      <c r="D55" s="5" t="s">
        <v>155</v>
      </c>
      <c r="E55" s="4" t="s">
        <v>161</v>
      </c>
      <c r="F55" s="6">
        <v>6264.15</v>
      </c>
      <c r="G55" s="6">
        <v>37013.21</v>
      </c>
      <c r="H55" s="4" t="str">
        <f t="shared" si="0"/>
        <v>二季度</v>
      </c>
    </row>
    <row r="56" spans="1:8" ht="14.4" x14ac:dyDescent="0.25">
      <c r="A56" s="40">
        <v>2017</v>
      </c>
      <c r="B56" s="40">
        <v>7</v>
      </c>
      <c r="C56" s="40" t="s">
        <v>18</v>
      </c>
      <c r="D56" s="41" t="s">
        <v>163</v>
      </c>
      <c r="E56" s="40" t="s">
        <v>153</v>
      </c>
      <c r="F56" s="42">
        <v>1178.99</v>
      </c>
      <c r="G56" s="42">
        <v>10200.129999999999</v>
      </c>
      <c r="H56" s="4" t="str">
        <f t="shared" si="0"/>
        <v>三季度</v>
      </c>
    </row>
    <row r="57" spans="1:8" ht="14.4" x14ac:dyDescent="0.25">
      <c r="A57" s="40">
        <v>2017</v>
      </c>
      <c r="B57" s="40">
        <v>7</v>
      </c>
      <c r="C57" s="40" t="s">
        <v>18</v>
      </c>
      <c r="D57" s="41" t="s">
        <v>154</v>
      </c>
      <c r="E57" s="40" t="s">
        <v>153</v>
      </c>
      <c r="F57" s="42">
        <v>608.54</v>
      </c>
      <c r="G57" s="42">
        <v>3804.33</v>
      </c>
      <c r="H57" s="4" t="str">
        <f t="shared" si="0"/>
        <v>三季度</v>
      </c>
    </row>
    <row r="58" spans="1:8" ht="14.4" x14ac:dyDescent="0.25">
      <c r="A58" s="40">
        <v>2017</v>
      </c>
      <c r="B58" s="40">
        <v>7</v>
      </c>
      <c r="C58" s="40" t="s">
        <v>18</v>
      </c>
      <c r="D58" s="41" t="s">
        <v>155</v>
      </c>
      <c r="E58" s="40" t="s">
        <v>153</v>
      </c>
      <c r="F58" s="42">
        <v>27028.71</v>
      </c>
      <c r="G58" s="42">
        <v>150421.29</v>
      </c>
      <c r="H58" s="4" t="str">
        <f t="shared" si="0"/>
        <v>三季度</v>
      </c>
    </row>
    <row r="59" spans="1:8" ht="14.4" x14ac:dyDescent="0.25">
      <c r="A59" s="40">
        <v>2017</v>
      </c>
      <c r="B59" s="40">
        <v>7</v>
      </c>
      <c r="C59" s="40" t="s">
        <v>18</v>
      </c>
      <c r="D59" s="41" t="s">
        <v>156</v>
      </c>
      <c r="E59" s="40" t="s">
        <v>153</v>
      </c>
      <c r="F59" s="42">
        <v>11369.75</v>
      </c>
      <c r="G59" s="42">
        <v>66407.399999999994</v>
      </c>
      <c r="H59" s="4" t="str">
        <f t="shared" si="0"/>
        <v>三季度</v>
      </c>
    </row>
    <row r="60" spans="1:8" ht="14.4" x14ac:dyDescent="0.25">
      <c r="A60" s="40">
        <v>2017</v>
      </c>
      <c r="B60" s="40">
        <v>7</v>
      </c>
      <c r="C60" s="40" t="s">
        <v>18</v>
      </c>
      <c r="D60" s="41" t="s">
        <v>157</v>
      </c>
      <c r="E60" s="40" t="s">
        <v>153</v>
      </c>
      <c r="F60" s="42">
        <v>2682.03</v>
      </c>
      <c r="G60" s="42">
        <v>16092.77</v>
      </c>
      <c r="H60" s="4" t="str">
        <f t="shared" si="0"/>
        <v>三季度</v>
      </c>
    </row>
    <row r="61" spans="1:8" ht="14.4" x14ac:dyDescent="0.25">
      <c r="A61" s="40">
        <v>2017</v>
      </c>
      <c r="B61" s="40">
        <v>7</v>
      </c>
      <c r="C61" s="40" t="s">
        <v>18</v>
      </c>
      <c r="D61" s="41" t="s">
        <v>158</v>
      </c>
      <c r="E61" s="40" t="s">
        <v>153</v>
      </c>
      <c r="F61" s="42">
        <v>393.88</v>
      </c>
      <c r="G61" s="42">
        <v>2374.36</v>
      </c>
      <c r="H61" s="4" t="str">
        <f t="shared" si="0"/>
        <v>三季度</v>
      </c>
    </row>
    <row r="62" spans="1:8" ht="14.4" x14ac:dyDescent="0.25">
      <c r="A62" s="40">
        <v>2017</v>
      </c>
      <c r="B62" s="40">
        <v>7</v>
      </c>
      <c r="C62" s="40" t="s">
        <v>18</v>
      </c>
      <c r="D62" s="41" t="s">
        <v>159</v>
      </c>
      <c r="E62" s="40" t="s">
        <v>153</v>
      </c>
      <c r="F62" s="42">
        <v>13698.57</v>
      </c>
      <c r="G62" s="42">
        <v>89196.99</v>
      </c>
      <c r="H62" s="4" t="str">
        <f t="shared" si="0"/>
        <v>三季度</v>
      </c>
    </row>
    <row r="63" spans="1:8" ht="14.4" x14ac:dyDescent="0.25">
      <c r="A63" s="40">
        <v>2017</v>
      </c>
      <c r="B63" s="40">
        <v>7</v>
      </c>
      <c r="C63" s="40" t="s">
        <v>18</v>
      </c>
      <c r="D63" s="41"/>
      <c r="E63" s="40" t="s">
        <v>160</v>
      </c>
      <c r="F63" s="42">
        <v>240603.59</v>
      </c>
      <c r="G63" s="42">
        <v>1677167.42</v>
      </c>
      <c r="H63" s="4" t="str">
        <f t="shared" si="0"/>
        <v>三季度</v>
      </c>
    </row>
    <row r="64" spans="1:8" ht="14.4" x14ac:dyDescent="0.25">
      <c r="A64" s="40">
        <v>2017</v>
      </c>
      <c r="B64" s="40">
        <v>7</v>
      </c>
      <c r="C64" s="40" t="s">
        <v>18</v>
      </c>
      <c r="D64" s="41" t="s">
        <v>155</v>
      </c>
      <c r="E64" s="40" t="s">
        <v>161</v>
      </c>
      <c r="F64" s="42">
        <v>6785.85</v>
      </c>
      <c r="G64" s="42">
        <v>43799.06</v>
      </c>
      <c r="H64" s="4" t="str">
        <f t="shared" si="0"/>
        <v>三季度</v>
      </c>
    </row>
    <row r="65" spans="1:8" ht="14.4" x14ac:dyDescent="0.25">
      <c r="A65" s="4">
        <v>2017</v>
      </c>
      <c r="B65" s="4">
        <v>8</v>
      </c>
      <c r="C65" s="4" t="s">
        <v>18</v>
      </c>
      <c r="D65" s="5" t="s">
        <v>157</v>
      </c>
      <c r="E65" s="4" t="s">
        <v>153</v>
      </c>
      <c r="F65" s="6">
        <v>2427.17</v>
      </c>
      <c r="G65" s="6">
        <v>18519.939999999999</v>
      </c>
      <c r="H65" s="4" t="str">
        <f t="shared" si="0"/>
        <v>三季度</v>
      </c>
    </row>
    <row r="66" spans="1:8" ht="14.4" x14ac:dyDescent="0.25">
      <c r="A66" s="4">
        <v>2017</v>
      </c>
      <c r="B66" s="4">
        <v>8</v>
      </c>
      <c r="C66" s="4" t="s">
        <v>18</v>
      </c>
      <c r="D66" s="5" t="s">
        <v>159</v>
      </c>
      <c r="E66" s="4" t="s">
        <v>153</v>
      </c>
      <c r="F66" s="6">
        <v>10536.78</v>
      </c>
      <c r="G66" s="6">
        <v>99733.77</v>
      </c>
      <c r="H66" s="4" t="str">
        <f t="shared" ref="H66:H129" si="1">season(B66)</f>
        <v>三季度</v>
      </c>
    </row>
    <row r="67" spans="1:8" ht="14.4" x14ac:dyDescent="0.25">
      <c r="A67" s="4">
        <v>2017</v>
      </c>
      <c r="B67" s="4">
        <v>8</v>
      </c>
      <c r="C67" s="4" t="s">
        <v>18</v>
      </c>
      <c r="D67" s="5" t="s">
        <v>155</v>
      </c>
      <c r="E67" s="4" t="s">
        <v>153</v>
      </c>
      <c r="F67" s="6">
        <v>22193.040000000001</v>
      </c>
      <c r="G67" s="6">
        <v>172614.33</v>
      </c>
      <c r="H67" s="4" t="str">
        <f t="shared" si="1"/>
        <v>三季度</v>
      </c>
    </row>
    <row r="68" spans="1:8" ht="14.4" x14ac:dyDescent="0.25">
      <c r="A68" s="4">
        <v>2017</v>
      </c>
      <c r="B68" s="4">
        <v>8</v>
      </c>
      <c r="C68" s="4" t="s">
        <v>18</v>
      </c>
      <c r="D68" s="5" t="s">
        <v>156</v>
      </c>
      <c r="E68" s="4" t="s">
        <v>153</v>
      </c>
      <c r="F68" s="6">
        <v>8924.44</v>
      </c>
      <c r="G68" s="6">
        <v>75331.839999999997</v>
      </c>
      <c r="H68" s="4" t="str">
        <f t="shared" si="1"/>
        <v>三季度</v>
      </c>
    </row>
    <row r="69" spans="1:8" ht="14.4" x14ac:dyDescent="0.25">
      <c r="A69" s="4">
        <v>2017</v>
      </c>
      <c r="B69" s="4">
        <v>8</v>
      </c>
      <c r="C69" s="4" t="s">
        <v>18</v>
      </c>
      <c r="D69" s="5" t="s">
        <v>154</v>
      </c>
      <c r="E69" s="4" t="s">
        <v>153</v>
      </c>
      <c r="F69" s="6">
        <v>503.67</v>
      </c>
      <c r="G69" s="6">
        <v>4308</v>
      </c>
      <c r="H69" s="4" t="str">
        <f t="shared" si="1"/>
        <v>三季度</v>
      </c>
    </row>
    <row r="70" spans="1:8" ht="14.4" x14ac:dyDescent="0.25">
      <c r="A70" s="4">
        <v>2017</v>
      </c>
      <c r="B70" s="4">
        <v>8</v>
      </c>
      <c r="C70" s="4" t="s">
        <v>18</v>
      </c>
      <c r="D70" s="5" t="s">
        <v>163</v>
      </c>
      <c r="E70" s="4" t="s">
        <v>153</v>
      </c>
      <c r="F70" s="6">
        <v>1151.2</v>
      </c>
      <c r="G70" s="6">
        <v>11351.33</v>
      </c>
      <c r="H70" s="4" t="str">
        <f t="shared" si="1"/>
        <v>三季度</v>
      </c>
    </row>
    <row r="71" spans="1:8" ht="14.4" x14ac:dyDescent="0.25">
      <c r="A71" s="4">
        <v>2017</v>
      </c>
      <c r="B71" s="4">
        <v>8</v>
      </c>
      <c r="C71" s="4" t="s">
        <v>18</v>
      </c>
      <c r="D71" s="5" t="s">
        <v>158</v>
      </c>
      <c r="E71" s="4" t="s">
        <v>153</v>
      </c>
      <c r="F71" s="6">
        <v>343.34</v>
      </c>
      <c r="G71" s="6">
        <v>2717.7</v>
      </c>
      <c r="H71" s="4" t="str">
        <f t="shared" si="1"/>
        <v>三季度</v>
      </c>
    </row>
    <row r="72" spans="1:8" ht="14.4" x14ac:dyDescent="0.25">
      <c r="A72" s="4">
        <v>2017</v>
      </c>
      <c r="B72" s="4">
        <v>8</v>
      </c>
      <c r="C72" s="4" t="s">
        <v>18</v>
      </c>
      <c r="D72" s="5"/>
      <c r="E72" s="4" t="s">
        <v>160</v>
      </c>
      <c r="F72" s="6">
        <v>244734.42</v>
      </c>
      <c r="G72" s="6">
        <v>1921901.85</v>
      </c>
      <c r="H72" s="4" t="str">
        <f t="shared" si="1"/>
        <v>三季度</v>
      </c>
    </row>
    <row r="73" spans="1:8" ht="14.4" x14ac:dyDescent="0.25">
      <c r="A73" s="4">
        <v>2017</v>
      </c>
      <c r="B73" s="4">
        <v>8</v>
      </c>
      <c r="C73" s="4" t="s">
        <v>18</v>
      </c>
      <c r="D73" s="5" t="s">
        <v>155</v>
      </c>
      <c r="E73" s="4" t="s">
        <v>161</v>
      </c>
      <c r="F73" s="6">
        <v>7528.3</v>
      </c>
      <c r="G73" s="6">
        <v>51327.360000000001</v>
      </c>
      <c r="H73" s="4" t="str">
        <f t="shared" si="1"/>
        <v>三季度</v>
      </c>
    </row>
    <row r="74" spans="1:8" ht="14.4" x14ac:dyDescent="0.25">
      <c r="A74" s="4">
        <v>2017</v>
      </c>
      <c r="B74" s="4">
        <v>9</v>
      </c>
      <c r="C74" s="4" t="s">
        <v>18</v>
      </c>
      <c r="D74" s="5" t="s">
        <v>157</v>
      </c>
      <c r="E74" s="4" t="s">
        <v>153</v>
      </c>
      <c r="F74" s="6">
        <v>2560.41</v>
      </c>
      <c r="G74" s="6">
        <v>21080.35</v>
      </c>
      <c r="H74" s="4" t="str">
        <f t="shared" si="1"/>
        <v>三季度</v>
      </c>
    </row>
    <row r="75" spans="1:8" ht="14.4" x14ac:dyDescent="0.25">
      <c r="A75" s="4">
        <v>2017</v>
      </c>
      <c r="B75" s="4">
        <v>9</v>
      </c>
      <c r="C75" s="4" t="s">
        <v>18</v>
      </c>
      <c r="D75" s="5" t="s">
        <v>158</v>
      </c>
      <c r="E75" s="4" t="s">
        <v>153</v>
      </c>
      <c r="F75" s="6">
        <v>351.14</v>
      </c>
      <c r="G75" s="6">
        <v>3068.84</v>
      </c>
      <c r="H75" s="4" t="str">
        <f t="shared" si="1"/>
        <v>三季度</v>
      </c>
    </row>
    <row r="76" spans="1:8" ht="14.4" x14ac:dyDescent="0.25">
      <c r="A76" s="4">
        <v>2017</v>
      </c>
      <c r="B76" s="4">
        <v>9</v>
      </c>
      <c r="C76" s="4" t="s">
        <v>18</v>
      </c>
      <c r="D76" s="5" t="s">
        <v>159</v>
      </c>
      <c r="E76" s="4" t="s">
        <v>153</v>
      </c>
      <c r="F76" s="6">
        <v>10994.88</v>
      </c>
      <c r="G76" s="6">
        <v>110728.65</v>
      </c>
      <c r="H76" s="4" t="str">
        <f t="shared" si="1"/>
        <v>三季度</v>
      </c>
    </row>
    <row r="77" spans="1:8" ht="14.4" x14ac:dyDescent="0.25">
      <c r="A77" s="4">
        <v>2017</v>
      </c>
      <c r="B77" s="4">
        <v>9</v>
      </c>
      <c r="C77" s="4" t="s">
        <v>18</v>
      </c>
      <c r="D77" s="5" t="s">
        <v>154</v>
      </c>
      <c r="E77" s="4" t="s">
        <v>153</v>
      </c>
      <c r="F77" s="6">
        <v>975.25</v>
      </c>
      <c r="G77" s="6">
        <v>5283.25</v>
      </c>
      <c r="H77" s="4" t="str">
        <f t="shared" si="1"/>
        <v>三季度</v>
      </c>
    </row>
    <row r="78" spans="1:8" ht="14.4" x14ac:dyDescent="0.25">
      <c r="A78" s="4">
        <v>2017</v>
      </c>
      <c r="B78" s="4">
        <v>9</v>
      </c>
      <c r="C78" s="4" t="s">
        <v>18</v>
      </c>
      <c r="D78" s="5" t="s">
        <v>163</v>
      </c>
      <c r="E78" s="4" t="s">
        <v>153</v>
      </c>
      <c r="F78" s="6">
        <v>1143.81</v>
      </c>
      <c r="G78" s="6">
        <v>12495.14</v>
      </c>
      <c r="H78" s="4" t="str">
        <f t="shared" si="1"/>
        <v>三季度</v>
      </c>
    </row>
    <row r="79" spans="1:8" ht="14.4" x14ac:dyDescent="0.25">
      <c r="A79" s="4">
        <v>2017</v>
      </c>
      <c r="B79" s="4">
        <v>9</v>
      </c>
      <c r="C79" s="4" t="s">
        <v>18</v>
      </c>
      <c r="D79" s="5" t="s">
        <v>156</v>
      </c>
      <c r="E79" s="4" t="s">
        <v>153</v>
      </c>
      <c r="F79" s="6">
        <v>11111.22</v>
      </c>
      <c r="G79" s="6">
        <v>86443.06</v>
      </c>
      <c r="H79" s="4" t="str">
        <f t="shared" si="1"/>
        <v>三季度</v>
      </c>
    </row>
    <row r="80" spans="1:8" ht="14.4" x14ac:dyDescent="0.25">
      <c r="A80" s="4">
        <v>2017</v>
      </c>
      <c r="B80" s="4">
        <v>9</v>
      </c>
      <c r="C80" s="4" t="s">
        <v>18</v>
      </c>
      <c r="D80" s="5" t="s">
        <v>155</v>
      </c>
      <c r="E80" s="4" t="s">
        <v>153</v>
      </c>
      <c r="F80" s="6">
        <v>26945.71</v>
      </c>
      <c r="G80" s="6">
        <v>199560.04</v>
      </c>
      <c r="H80" s="4" t="str">
        <f t="shared" si="1"/>
        <v>三季度</v>
      </c>
    </row>
    <row r="81" spans="1:8" ht="14.4" x14ac:dyDescent="0.25">
      <c r="A81" s="4">
        <v>2017</v>
      </c>
      <c r="B81" s="4">
        <v>9</v>
      </c>
      <c r="C81" s="4" t="s">
        <v>18</v>
      </c>
      <c r="D81" s="5"/>
      <c r="E81" s="4" t="s">
        <v>160</v>
      </c>
      <c r="F81" s="6">
        <v>239844.42</v>
      </c>
      <c r="G81" s="6">
        <v>2161746.27</v>
      </c>
      <c r="H81" s="4" t="str">
        <f t="shared" si="1"/>
        <v>三季度</v>
      </c>
    </row>
    <row r="82" spans="1:8" ht="14.4" x14ac:dyDescent="0.25">
      <c r="A82" s="4">
        <v>2017</v>
      </c>
      <c r="B82" s="4">
        <v>9</v>
      </c>
      <c r="C82" s="4" t="s">
        <v>18</v>
      </c>
      <c r="D82" s="5" t="s">
        <v>155</v>
      </c>
      <c r="E82" s="4" t="s">
        <v>161</v>
      </c>
      <c r="F82" s="6">
        <v>7529.25</v>
      </c>
      <c r="G82" s="6">
        <v>58856.6</v>
      </c>
      <c r="H82" s="4" t="str">
        <f t="shared" si="1"/>
        <v>三季度</v>
      </c>
    </row>
    <row r="83" spans="1:8" ht="14.4" x14ac:dyDescent="0.25">
      <c r="A83" s="43">
        <v>2017</v>
      </c>
      <c r="B83" s="43">
        <v>10</v>
      </c>
      <c r="C83" s="4" t="s">
        <v>18</v>
      </c>
      <c r="D83" s="5" t="s">
        <v>157</v>
      </c>
      <c r="E83" s="4" t="s">
        <v>153</v>
      </c>
      <c r="F83" s="6">
        <v>2621.52</v>
      </c>
      <c r="G83" s="6">
        <v>23701.87</v>
      </c>
      <c r="H83" s="4" t="str">
        <f t="shared" si="1"/>
        <v>四季度</v>
      </c>
    </row>
    <row r="84" spans="1:8" ht="14.4" x14ac:dyDescent="0.25">
      <c r="A84" s="43">
        <v>2017</v>
      </c>
      <c r="B84" s="43">
        <v>10</v>
      </c>
      <c r="C84" s="4" t="s">
        <v>18</v>
      </c>
      <c r="D84" s="5" t="s">
        <v>154</v>
      </c>
      <c r="E84" s="4" t="s">
        <v>153</v>
      </c>
      <c r="F84" s="6">
        <v>2278.5700000000002</v>
      </c>
      <c r="G84" s="6">
        <v>7561.81</v>
      </c>
      <c r="H84" s="4" t="str">
        <f t="shared" si="1"/>
        <v>四季度</v>
      </c>
    </row>
    <row r="85" spans="1:8" ht="14.4" x14ac:dyDescent="0.25">
      <c r="A85" s="43">
        <v>2017</v>
      </c>
      <c r="B85" s="43">
        <v>10</v>
      </c>
      <c r="C85" s="4" t="s">
        <v>18</v>
      </c>
      <c r="D85" s="5" t="s">
        <v>155</v>
      </c>
      <c r="E85" s="4" t="s">
        <v>153</v>
      </c>
      <c r="F85" s="6">
        <v>32570.52</v>
      </c>
      <c r="G85" s="6">
        <v>232130.56</v>
      </c>
      <c r="H85" s="4" t="str">
        <f t="shared" si="1"/>
        <v>四季度</v>
      </c>
    </row>
    <row r="86" spans="1:8" ht="14.4" x14ac:dyDescent="0.25">
      <c r="A86" s="43">
        <v>2017</v>
      </c>
      <c r="B86" s="43">
        <v>10</v>
      </c>
      <c r="C86" s="4" t="s">
        <v>18</v>
      </c>
      <c r="D86" s="5" t="s">
        <v>156</v>
      </c>
      <c r="E86" s="4" t="s">
        <v>153</v>
      </c>
      <c r="F86" s="6">
        <v>14438.89</v>
      </c>
      <c r="G86" s="6">
        <v>100881.94</v>
      </c>
      <c r="H86" s="4" t="str">
        <f t="shared" si="1"/>
        <v>四季度</v>
      </c>
    </row>
    <row r="87" spans="1:8" ht="14.4" x14ac:dyDescent="0.25">
      <c r="A87" s="43">
        <v>2017</v>
      </c>
      <c r="B87" s="43">
        <v>10</v>
      </c>
      <c r="C87" s="4" t="s">
        <v>18</v>
      </c>
      <c r="D87" s="5" t="s">
        <v>158</v>
      </c>
      <c r="E87" s="4" t="s">
        <v>153</v>
      </c>
      <c r="F87" s="6">
        <v>354.71</v>
      </c>
      <c r="G87" s="6">
        <v>3423.55</v>
      </c>
      <c r="H87" s="4" t="str">
        <f t="shared" si="1"/>
        <v>四季度</v>
      </c>
    </row>
    <row r="88" spans="1:8" ht="14.4" x14ac:dyDescent="0.25">
      <c r="A88" s="43">
        <v>2017</v>
      </c>
      <c r="B88" s="43">
        <v>10</v>
      </c>
      <c r="C88" s="4" t="s">
        <v>18</v>
      </c>
      <c r="D88" s="5" t="s">
        <v>159</v>
      </c>
      <c r="E88" s="4" t="s">
        <v>153</v>
      </c>
      <c r="F88" s="6">
        <v>11658.14</v>
      </c>
      <c r="G88" s="6">
        <v>122386.79</v>
      </c>
      <c r="H88" s="4" t="str">
        <f t="shared" si="1"/>
        <v>四季度</v>
      </c>
    </row>
    <row r="89" spans="1:8" ht="14.4" x14ac:dyDescent="0.25">
      <c r="A89" s="43">
        <v>2017</v>
      </c>
      <c r="B89" s="43">
        <v>10</v>
      </c>
      <c r="C89" s="4" t="s">
        <v>18</v>
      </c>
      <c r="D89" s="5"/>
      <c r="E89" s="4" t="s">
        <v>160</v>
      </c>
      <c r="F89" s="6">
        <v>270951.48</v>
      </c>
      <c r="G89" s="6">
        <v>2432697.75</v>
      </c>
      <c r="H89" s="4" t="str">
        <f t="shared" si="1"/>
        <v>四季度</v>
      </c>
    </row>
    <row r="90" spans="1:8" ht="14.4" x14ac:dyDescent="0.25">
      <c r="A90" s="43">
        <v>2017</v>
      </c>
      <c r="B90" s="43">
        <v>10</v>
      </c>
      <c r="C90" s="4" t="s">
        <v>18</v>
      </c>
      <c r="D90" s="5" t="s">
        <v>155</v>
      </c>
      <c r="E90" s="4" t="s">
        <v>161</v>
      </c>
      <c r="F90" s="6">
        <v>7237.74</v>
      </c>
      <c r="G90" s="6">
        <v>66094.34</v>
      </c>
      <c r="H90" s="4" t="str">
        <f t="shared" si="1"/>
        <v>四季度</v>
      </c>
    </row>
    <row r="91" spans="1:8" ht="14.4" x14ac:dyDescent="0.25">
      <c r="A91" s="4">
        <v>2017</v>
      </c>
      <c r="B91" s="4">
        <v>11</v>
      </c>
      <c r="C91" s="4" t="s">
        <v>18</v>
      </c>
      <c r="D91" s="5" t="s">
        <v>158</v>
      </c>
      <c r="E91" s="4" t="s">
        <v>153</v>
      </c>
      <c r="F91" s="6">
        <v>374.57</v>
      </c>
      <c r="G91" s="6">
        <v>3798.11</v>
      </c>
      <c r="H91" s="4" t="str">
        <f t="shared" si="1"/>
        <v>四季度</v>
      </c>
    </row>
    <row r="92" spans="1:8" ht="14.4" x14ac:dyDescent="0.25">
      <c r="A92" s="4">
        <v>2017</v>
      </c>
      <c r="B92" s="4">
        <v>11</v>
      </c>
      <c r="C92" s="4" t="s">
        <v>18</v>
      </c>
      <c r="D92" s="5" t="s">
        <v>159</v>
      </c>
      <c r="E92" s="4" t="s">
        <v>153</v>
      </c>
      <c r="F92" s="6">
        <v>10669.86</v>
      </c>
      <c r="G92" s="6">
        <v>133056.65</v>
      </c>
      <c r="H92" s="4" t="str">
        <f t="shared" si="1"/>
        <v>四季度</v>
      </c>
    </row>
    <row r="93" spans="1:8" ht="14.4" x14ac:dyDescent="0.25">
      <c r="A93" s="4">
        <v>2017</v>
      </c>
      <c r="B93" s="4">
        <v>11</v>
      </c>
      <c r="C93" s="4" t="s">
        <v>18</v>
      </c>
      <c r="D93" s="5" t="s">
        <v>154</v>
      </c>
      <c r="E93" s="4" t="s">
        <v>153</v>
      </c>
      <c r="F93" s="6">
        <v>1846.74</v>
      </c>
      <c r="G93" s="6">
        <v>9408.5499999999993</v>
      </c>
      <c r="H93" s="4" t="str">
        <f t="shared" si="1"/>
        <v>四季度</v>
      </c>
    </row>
    <row r="94" spans="1:8" ht="14.4" x14ac:dyDescent="0.25">
      <c r="A94" s="4">
        <v>2017</v>
      </c>
      <c r="B94" s="4">
        <v>11</v>
      </c>
      <c r="C94" s="4" t="s">
        <v>18</v>
      </c>
      <c r="D94" s="5" t="s">
        <v>155</v>
      </c>
      <c r="E94" s="4" t="s">
        <v>153</v>
      </c>
      <c r="F94" s="6">
        <v>25151.14</v>
      </c>
      <c r="G94" s="6">
        <v>257281.7</v>
      </c>
      <c r="H94" s="4" t="str">
        <f t="shared" si="1"/>
        <v>四季度</v>
      </c>
    </row>
    <row r="95" spans="1:8" ht="14.4" x14ac:dyDescent="0.25">
      <c r="A95" s="4">
        <v>2017</v>
      </c>
      <c r="B95" s="4">
        <v>11</v>
      </c>
      <c r="C95" s="4" t="s">
        <v>18</v>
      </c>
      <c r="D95" s="5" t="s">
        <v>156</v>
      </c>
      <c r="E95" s="4" t="s">
        <v>153</v>
      </c>
      <c r="F95" s="6">
        <v>11146.81</v>
      </c>
      <c r="G95" s="6">
        <v>112028.75</v>
      </c>
      <c r="H95" s="4" t="str">
        <f t="shared" si="1"/>
        <v>四季度</v>
      </c>
    </row>
    <row r="96" spans="1:8" ht="14.4" x14ac:dyDescent="0.25">
      <c r="A96" s="4">
        <v>2017</v>
      </c>
      <c r="B96" s="4">
        <v>11</v>
      </c>
      <c r="C96" s="4" t="s">
        <v>18</v>
      </c>
      <c r="D96" s="5" t="s">
        <v>157</v>
      </c>
      <c r="E96" s="4" t="s">
        <v>153</v>
      </c>
      <c r="F96" s="6">
        <v>2476.81</v>
      </c>
      <c r="G96" s="6">
        <v>26178.68</v>
      </c>
      <c r="H96" s="4" t="str">
        <f t="shared" si="1"/>
        <v>四季度</v>
      </c>
    </row>
    <row r="97" spans="1:8" ht="14.4" x14ac:dyDescent="0.25">
      <c r="A97" s="4">
        <v>2017</v>
      </c>
      <c r="B97" s="4">
        <v>11</v>
      </c>
      <c r="C97" s="4" t="s">
        <v>18</v>
      </c>
      <c r="D97" s="5"/>
      <c r="E97" s="4" t="s">
        <v>160</v>
      </c>
      <c r="F97" s="6">
        <v>272759.84999999998</v>
      </c>
      <c r="G97" s="6">
        <v>2705457.6</v>
      </c>
      <c r="H97" s="4" t="str">
        <f t="shared" si="1"/>
        <v>四季度</v>
      </c>
    </row>
    <row r="98" spans="1:8" ht="14.4" x14ac:dyDescent="0.25">
      <c r="A98" s="4">
        <v>2017</v>
      </c>
      <c r="B98" s="4">
        <v>11</v>
      </c>
      <c r="C98" s="4" t="s">
        <v>18</v>
      </c>
      <c r="D98" s="5" t="s">
        <v>155</v>
      </c>
      <c r="E98" s="4" t="s">
        <v>161</v>
      </c>
      <c r="F98" s="6">
        <v>7222.64</v>
      </c>
      <c r="G98" s="6">
        <v>73316.98</v>
      </c>
      <c r="H98" s="4" t="str">
        <f t="shared" si="1"/>
        <v>四季度</v>
      </c>
    </row>
    <row r="99" spans="1:8" ht="14.4" x14ac:dyDescent="0.25">
      <c r="A99" s="4">
        <v>2017</v>
      </c>
      <c r="B99" s="4">
        <v>12</v>
      </c>
      <c r="C99" s="4" t="s">
        <v>18</v>
      </c>
      <c r="D99" s="5" t="s">
        <v>157</v>
      </c>
      <c r="E99" s="4" t="s">
        <v>153</v>
      </c>
      <c r="F99" s="6">
        <v>2849.25</v>
      </c>
      <c r="G99" s="6">
        <v>29027.93</v>
      </c>
      <c r="H99" s="4" t="str">
        <f t="shared" si="1"/>
        <v>四季度</v>
      </c>
    </row>
    <row r="100" spans="1:8" ht="14.4" x14ac:dyDescent="0.25">
      <c r="A100" s="4">
        <v>2017</v>
      </c>
      <c r="B100" s="4">
        <v>12</v>
      </c>
      <c r="C100" s="4" t="s">
        <v>18</v>
      </c>
      <c r="D100" s="5" t="s">
        <v>158</v>
      </c>
      <c r="E100" s="4" t="s">
        <v>153</v>
      </c>
      <c r="F100" s="6">
        <v>342.18</v>
      </c>
      <c r="G100" s="6">
        <v>4140.29</v>
      </c>
      <c r="H100" s="4" t="str">
        <f t="shared" si="1"/>
        <v>四季度</v>
      </c>
    </row>
    <row r="101" spans="1:8" ht="14.4" x14ac:dyDescent="0.25">
      <c r="A101" s="4">
        <v>2017</v>
      </c>
      <c r="B101" s="4">
        <v>12</v>
      </c>
      <c r="C101" s="4" t="s">
        <v>18</v>
      </c>
      <c r="D101" s="5" t="s">
        <v>155</v>
      </c>
      <c r="E101" s="4" t="s">
        <v>153</v>
      </c>
      <c r="F101" s="6">
        <v>28848.57</v>
      </c>
      <c r="G101" s="6">
        <v>286130.26</v>
      </c>
      <c r="H101" s="4" t="str">
        <f t="shared" si="1"/>
        <v>四季度</v>
      </c>
    </row>
    <row r="102" spans="1:8" ht="14.4" x14ac:dyDescent="0.25">
      <c r="A102" s="4">
        <v>2017</v>
      </c>
      <c r="B102" s="4">
        <v>12</v>
      </c>
      <c r="C102" s="4" t="s">
        <v>18</v>
      </c>
      <c r="D102" s="5" t="s">
        <v>156</v>
      </c>
      <c r="E102" s="4" t="s">
        <v>153</v>
      </c>
      <c r="F102" s="6">
        <v>13042.83</v>
      </c>
      <c r="G102" s="6">
        <v>125071.58</v>
      </c>
      <c r="H102" s="4" t="str">
        <f t="shared" si="1"/>
        <v>四季度</v>
      </c>
    </row>
    <row r="103" spans="1:8" ht="14.4" x14ac:dyDescent="0.25">
      <c r="A103" s="4">
        <v>2017</v>
      </c>
      <c r="B103" s="4">
        <v>12</v>
      </c>
      <c r="C103" s="4" t="s">
        <v>18</v>
      </c>
      <c r="D103" s="5" t="s">
        <v>154</v>
      </c>
      <c r="E103" s="4" t="s">
        <v>153</v>
      </c>
      <c r="F103" s="6">
        <v>2075.31</v>
      </c>
      <c r="G103" s="6">
        <v>11483.86</v>
      </c>
      <c r="H103" s="4" t="str">
        <f t="shared" si="1"/>
        <v>四季度</v>
      </c>
    </row>
    <row r="104" spans="1:8" ht="14.4" x14ac:dyDescent="0.25">
      <c r="A104" s="4">
        <v>2017</v>
      </c>
      <c r="B104" s="4">
        <v>12</v>
      </c>
      <c r="C104" s="4" t="s">
        <v>18</v>
      </c>
      <c r="D104" s="5" t="s">
        <v>159</v>
      </c>
      <c r="E104" s="4" t="s">
        <v>153</v>
      </c>
      <c r="F104" s="6">
        <v>12559.22</v>
      </c>
      <c r="G104" s="6">
        <v>145615.87</v>
      </c>
      <c r="H104" s="4" t="str">
        <f t="shared" si="1"/>
        <v>四季度</v>
      </c>
    </row>
    <row r="105" spans="1:8" ht="14.4" x14ac:dyDescent="0.25">
      <c r="A105" s="4">
        <v>2017</v>
      </c>
      <c r="B105" s="4">
        <v>12</v>
      </c>
      <c r="C105" s="4" t="s">
        <v>18</v>
      </c>
      <c r="D105" s="5" t="s">
        <v>152</v>
      </c>
      <c r="E105" s="4" t="s">
        <v>153</v>
      </c>
      <c r="F105" s="6">
        <v>101.68</v>
      </c>
      <c r="G105" s="6">
        <v>101.68</v>
      </c>
      <c r="H105" s="4" t="str">
        <f t="shared" si="1"/>
        <v>四季度</v>
      </c>
    </row>
    <row r="106" spans="1:8" ht="14.4" x14ac:dyDescent="0.25">
      <c r="A106" s="4">
        <v>2017</v>
      </c>
      <c r="B106" s="4">
        <v>12</v>
      </c>
      <c r="C106" s="4" t="s">
        <v>18</v>
      </c>
      <c r="D106" s="5" t="s">
        <v>163</v>
      </c>
      <c r="E106" s="4" t="s">
        <v>153</v>
      </c>
      <c r="F106" s="6">
        <v>94.42</v>
      </c>
      <c r="G106" s="6">
        <v>12589.57</v>
      </c>
      <c r="H106" s="4" t="str">
        <f t="shared" si="1"/>
        <v>四季度</v>
      </c>
    </row>
    <row r="107" spans="1:8" ht="14.4" x14ac:dyDescent="0.25">
      <c r="A107" s="4">
        <v>2017</v>
      </c>
      <c r="B107" s="4">
        <v>12</v>
      </c>
      <c r="C107" s="4" t="s">
        <v>18</v>
      </c>
      <c r="D107" s="5"/>
      <c r="E107" s="4" t="s">
        <v>160</v>
      </c>
      <c r="F107" s="6">
        <v>298629.38</v>
      </c>
      <c r="G107" s="6">
        <v>3004086.98</v>
      </c>
      <c r="H107" s="4" t="str">
        <f t="shared" si="1"/>
        <v>四季度</v>
      </c>
    </row>
    <row r="108" spans="1:8" ht="14.4" x14ac:dyDescent="0.25">
      <c r="A108" s="4">
        <v>2017</v>
      </c>
      <c r="B108" s="4">
        <v>12</v>
      </c>
      <c r="C108" s="4" t="s">
        <v>18</v>
      </c>
      <c r="D108" s="5" t="s">
        <v>155</v>
      </c>
      <c r="E108" s="4" t="s">
        <v>161</v>
      </c>
      <c r="F108" s="6">
        <v>7342.45</v>
      </c>
      <c r="G108" s="6">
        <v>80659.429999999993</v>
      </c>
      <c r="H108" s="4" t="str">
        <f t="shared" si="1"/>
        <v>四季度</v>
      </c>
    </row>
    <row r="109" spans="1:8" ht="14.4" x14ac:dyDescent="0.25">
      <c r="A109" s="4">
        <v>2018</v>
      </c>
      <c r="B109" s="4">
        <v>1</v>
      </c>
      <c r="C109" s="4" t="s">
        <v>18</v>
      </c>
      <c r="D109" s="5" t="s">
        <v>156</v>
      </c>
      <c r="E109" s="4" t="s">
        <v>153</v>
      </c>
      <c r="F109" s="6">
        <v>12685.96</v>
      </c>
      <c r="G109" s="6">
        <v>12685.96</v>
      </c>
      <c r="H109" s="4" t="str">
        <f t="shared" si="1"/>
        <v>一季度</v>
      </c>
    </row>
    <row r="110" spans="1:8" ht="14.4" x14ac:dyDescent="0.25">
      <c r="A110" s="4">
        <v>2018</v>
      </c>
      <c r="B110" s="4">
        <v>1</v>
      </c>
      <c r="C110" s="4" t="s">
        <v>18</v>
      </c>
      <c r="D110" s="5" t="s">
        <v>157</v>
      </c>
      <c r="E110" s="4" t="s">
        <v>153</v>
      </c>
      <c r="F110" s="6">
        <v>2633.99</v>
      </c>
      <c r="G110" s="6">
        <v>2633.99</v>
      </c>
      <c r="H110" s="4" t="str">
        <f t="shared" si="1"/>
        <v>一季度</v>
      </c>
    </row>
    <row r="111" spans="1:8" ht="14.4" x14ac:dyDescent="0.25">
      <c r="A111" s="4">
        <v>2018</v>
      </c>
      <c r="B111" s="4">
        <v>1</v>
      </c>
      <c r="C111" s="4" t="s">
        <v>18</v>
      </c>
      <c r="D111" s="5" t="s">
        <v>152</v>
      </c>
      <c r="E111" s="4" t="s">
        <v>153</v>
      </c>
      <c r="F111" s="6">
        <v>209.76</v>
      </c>
      <c r="G111" s="6">
        <v>209.76</v>
      </c>
      <c r="H111" s="4" t="str">
        <f t="shared" si="1"/>
        <v>一季度</v>
      </c>
    </row>
    <row r="112" spans="1:8" ht="14.4" x14ac:dyDescent="0.25">
      <c r="A112" s="4">
        <v>2018</v>
      </c>
      <c r="B112" s="4">
        <v>1</v>
      </c>
      <c r="C112" s="4" t="s">
        <v>18</v>
      </c>
      <c r="D112" s="5" t="s">
        <v>158</v>
      </c>
      <c r="E112" s="4" t="s">
        <v>153</v>
      </c>
      <c r="F112" s="6">
        <v>352.13</v>
      </c>
      <c r="G112" s="6">
        <v>352.13</v>
      </c>
      <c r="H112" s="4" t="str">
        <f t="shared" si="1"/>
        <v>一季度</v>
      </c>
    </row>
    <row r="113" spans="1:8" ht="14.4" x14ac:dyDescent="0.25">
      <c r="A113" s="4">
        <v>2018</v>
      </c>
      <c r="B113" s="4">
        <v>1</v>
      </c>
      <c r="C113" s="4" t="s">
        <v>18</v>
      </c>
      <c r="D113" s="5" t="s">
        <v>155</v>
      </c>
      <c r="E113" s="4" t="s">
        <v>153</v>
      </c>
      <c r="F113" s="6">
        <v>27477.99</v>
      </c>
      <c r="G113" s="6">
        <v>27477.99</v>
      </c>
      <c r="H113" s="4" t="str">
        <f t="shared" si="1"/>
        <v>一季度</v>
      </c>
    </row>
    <row r="114" spans="1:8" ht="14.4" x14ac:dyDescent="0.25">
      <c r="A114" s="4">
        <v>2018</v>
      </c>
      <c r="B114" s="4">
        <v>1</v>
      </c>
      <c r="C114" s="4" t="s">
        <v>18</v>
      </c>
      <c r="D114" s="5" t="s">
        <v>154</v>
      </c>
      <c r="E114" s="4" t="s">
        <v>153</v>
      </c>
      <c r="F114" s="6">
        <v>2401.77</v>
      </c>
      <c r="G114" s="6">
        <v>2401.77</v>
      </c>
      <c r="H114" s="4" t="str">
        <f t="shared" si="1"/>
        <v>一季度</v>
      </c>
    </row>
    <row r="115" spans="1:8" ht="14.4" x14ac:dyDescent="0.25">
      <c r="A115" s="4">
        <v>2018</v>
      </c>
      <c r="B115" s="4">
        <v>1</v>
      </c>
      <c r="C115" s="4" t="s">
        <v>18</v>
      </c>
      <c r="D115" s="5" t="s">
        <v>159</v>
      </c>
      <c r="E115" s="4" t="s">
        <v>153</v>
      </c>
      <c r="F115" s="6">
        <v>11675.78</v>
      </c>
      <c r="G115" s="6">
        <v>11675.78</v>
      </c>
      <c r="H115" s="4" t="str">
        <f t="shared" si="1"/>
        <v>一季度</v>
      </c>
    </row>
    <row r="116" spans="1:8" ht="14.4" x14ac:dyDescent="0.25">
      <c r="A116" s="4">
        <v>2018</v>
      </c>
      <c r="B116" s="4">
        <v>1</v>
      </c>
      <c r="C116" s="4" t="s">
        <v>18</v>
      </c>
      <c r="D116" s="5"/>
      <c r="E116" s="4" t="s">
        <v>160</v>
      </c>
      <c r="F116" s="6">
        <v>296008.59999999998</v>
      </c>
      <c r="G116" s="6">
        <v>296008.59999999998</v>
      </c>
      <c r="H116" s="4" t="str">
        <f t="shared" si="1"/>
        <v>一季度</v>
      </c>
    </row>
    <row r="117" spans="1:8" ht="14.4" x14ac:dyDescent="0.25">
      <c r="A117" s="4">
        <v>2018</v>
      </c>
      <c r="B117" s="4">
        <v>1</v>
      </c>
      <c r="C117" s="4" t="s">
        <v>18</v>
      </c>
      <c r="D117" s="5" t="s">
        <v>155</v>
      </c>
      <c r="E117" s="4" t="s">
        <v>161</v>
      </c>
      <c r="F117" s="6">
        <v>7529.25</v>
      </c>
      <c r="G117" s="6">
        <v>7529.25</v>
      </c>
      <c r="H117" s="4" t="str">
        <f t="shared" si="1"/>
        <v>一季度</v>
      </c>
    </row>
    <row r="118" spans="1:8" ht="14.4" x14ac:dyDescent="0.25">
      <c r="A118" s="4">
        <v>2018</v>
      </c>
      <c r="B118" s="4">
        <v>2</v>
      </c>
      <c r="C118" s="4" t="s">
        <v>18</v>
      </c>
      <c r="D118" s="5" t="s">
        <v>152</v>
      </c>
      <c r="E118" s="4" t="s">
        <v>153</v>
      </c>
      <c r="F118" s="6">
        <v>206.42</v>
      </c>
      <c r="G118" s="6">
        <v>416.19</v>
      </c>
      <c r="H118" s="4" t="str">
        <f t="shared" si="1"/>
        <v>一季度</v>
      </c>
    </row>
    <row r="119" spans="1:8" ht="14.4" x14ac:dyDescent="0.25">
      <c r="A119" s="4">
        <v>2018</v>
      </c>
      <c r="B119" s="4">
        <v>2</v>
      </c>
      <c r="C119" s="4" t="s">
        <v>18</v>
      </c>
      <c r="D119" s="5" t="s">
        <v>154</v>
      </c>
      <c r="E119" s="4" t="s">
        <v>153</v>
      </c>
      <c r="F119" s="6">
        <v>2407.83</v>
      </c>
      <c r="G119" s="6">
        <v>4809.6000000000004</v>
      </c>
      <c r="H119" s="4" t="str">
        <f t="shared" si="1"/>
        <v>一季度</v>
      </c>
    </row>
    <row r="120" spans="1:8" ht="14.4" x14ac:dyDescent="0.25">
      <c r="A120" s="4">
        <v>2018</v>
      </c>
      <c r="B120" s="4">
        <v>2</v>
      </c>
      <c r="C120" s="4" t="s">
        <v>18</v>
      </c>
      <c r="D120" s="5" t="s">
        <v>155</v>
      </c>
      <c r="E120" s="4" t="s">
        <v>153</v>
      </c>
      <c r="F120" s="6">
        <v>27814.05</v>
      </c>
      <c r="G120" s="6">
        <v>55292.04</v>
      </c>
      <c r="H120" s="4" t="str">
        <f t="shared" si="1"/>
        <v>一季度</v>
      </c>
    </row>
    <row r="121" spans="1:8" ht="14.4" x14ac:dyDescent="0.25">
      <c r="A121" s="4">
        <v>2018</v>
      </c>
      <c r="B121" s="4">
        <v>2</v>
      </c>
      <c r="C121" s="4" t="s">
        <v>18</v>
      </c>
      <c r="D121" s="5" t="s">
        <v>156</v>
      </c>
      <c r="E121" s="4" t="s">
        <v>153</v>
      </c>
      <c r="F121" s="6">
        <v>10330.799999999999</v>
      </c>
      <c r="G121" s="6">
        <v>23016.76</v>
      </c>
      <c r="H121" s="4" t="str">
        <f t="shared" si="1"/>
        <v>一季度</v>
      </c>
    </row>
    <row r="122" spans="1:8" ht="14.4" x14ac:dyDescent="0.25">
      <c r="A122" s="4">
        <v>2018</v>
      </c>
      <c r="B122" s="4">
        <v>2</v>
      </c>
      <c r="C122" s="4" t="s">
        <v>18</v>
      </c>
      <c r="D122" s="5" t="s">
        <v>157</v>
      </c>
      <c r="E122" s="4" t="s">
        <v>153</v>
      </c>
      <c r="F122" s="6">
        <v>2811.82</v>
      </c>
      <c r="G122" s="6">
        <v>5445.81</v>
      </c>
      <c r="H122" s="4" t="str">
        <f t="shared" si="1"/>
        <v>一季度</v>
      </c>
    </row>
    <row r="123" spans="1:8" ht="14.4" x14ac:dyDescent="0.25">
      <c r="A123" s="4">
        <v>2018</v>
      </c>
      <c r="B123" s="4">
        <v>2</v>
      </c>
      <c r="C123" s="4" t="s">
        <v>18</v>
      </c>
      <c r="D123" s="5" t="s">
        <v>158</v>
      </c>
      <c r="E123" s="4" t="s">
        <v>153</v>
      </c>
      <c r="F123" s="6">
        <v>358.99</v>
      </c>
      <c r="G123" s="6">
        <v>711.12</v>
      </c>
      <c r="H123" s="4" t="str">
        <f t="shared" si="1"/>
        <v>一季度</v>
      </c>
    </row>
    <row r="124" spans="1:8" ht="14.4" x14ac:dyDescent="0.25">
      <c r="A124" s="4">
        <v>2018</v>
      </c>
      <c r="B124" s="4">
        <v>2</v>
      </c>
      <c r="C124" s="4" t="s">
        <v>18</v>
      </c>
      <c r="D124" s="5" t="s">
        <v>159</v>
      </c>
      <c r="E124" s="4" t="s">
        <v>153</v>
      </c>
      <c r="F124" s="6">
        <v>11229</v>
      </c>
      <c r="G124" s="6">
        <v>22904.78</v>
      </c>
      <c r="H124" s="4" t="str">
        <f t="shared" si="1"/>
        <v>一季度</v>
      </c>
    </row>
    <row r="125" spans="1:8" ht="14.4" x14ac:dyDescent="0.25">
      <c r="A125" s="4">
        <v>2018</v>
      </c>
      <c r="B125" s="4">
        <v>2</v>
      </c>
      <c r="C125" s="4" t="s">
        <v>18</v>
      </c>
      <c r="D125" s="5"/>
      <c r="E125" s="4" t="s">
        <v>160</v>
      </c>
      <c r="F125" s="6">
        <v>272179.90000000002</v>
      </c>
      <c r="G125" s="6">
        <v>568188.5</v>
      </c>
      <c r="H125" s="4" t="str">
        <f t="shared" si="1"/>
        <v>一季度</v>
      </c>
    </row>
    <row r="126" spans="1:8" ht="14.4" x14ac:dyDescent="0.25">
      <c r="A126" s="4">
        <v>2018</v>
      </c>
      <c r="B126" s="4">
        <v>2</v>
      </c>
      <c r="C126" s="4" t="s">
        <v>18</v>
      </c>
      <c r="D126" s="5" t="s">
        <v>155</v>
      </c>
      <c r="E126" s="4" t="s">
        <v>161</v>
      </c>
      <c r="F126" s="6">
        <v>7333.02</v>
      </c>
      <c r="G126" s="6">
        <v>14862.26</v>
      </c>
      <c r="H126" s="4" t="str">
        <f t="shared" si="1"/>
        <v>一季度</v>
      </c>
    </row>
    <row r="127" spans="1:8" ht="14.4" x14ac:dyDescent="0.25">
      <c r="A127" s="4">
        <v>2018</v>
      </c>
      <c r="B127" s="4">
        <v>3</v>
      </c>
      <c r="C127" s="4" t="s">
        <v>18</v>
      </c>
      <c r="D127" s="5" t="s">
        <v>157</v>
      </c>
      <c r="E127" s="4" t="s">
        <v>153</v>
      </c>
      <c r="F127" s="6">
        <v>2250.5100000000002</v>
      </c>
      <c r="G127" s="6">
        <v>7696.32</v>
      </c>
      <c r="H127" s="4" t="str">
        <f t="shared" si="1"/>
        <v>一季度</v>
      </c>
    </row>
    <row r="128" spans="1:8" ht="14.4" x14ac:dyDescent="0.25">
      <c r="A128" s="4">
        <v>2018</v>
      </c>
      <c r="B128" s="4">
        <v>3</v>
      </c>
      <c r="C128" s="4" t="s">
        <v>18</v>
      </c>
      <c r="D128" s="5" t="s">
        <v>152</v>
      </c>
      <c r="E128" s="4" t="s">
        <v>153</v>
      </c>
      <c r="F128" s="6">
        <v>163.44999999999999</v>
      </c>
      <c r="G128" s="6">
        <v>579.64</v>
      </c>
      <c r="H128" s="4" t="str">
        <f t="shared" si="1"/>
        <v>一季度</v>
      </c>
    </row>
    <row r="129" spans="1:8" ht="14.4" x14ac:dyDescent="0.25">
      <c r="A129" s="4">
        <v>2018</v>
      </c>
      <c r="B129" s="4">
        <v>3</v>
      </c>
      <c r="C129" s="4" t="s">
        <v>18</v>
      </c>
      <c r="D129" s="5" t="s">
        <v>158</v>
      </c>
      <c r="E129" s="4" t="s">
        <v>153</v>
      </c>
      <c r="F129" s="6">
        <v>98.34</v>
      </c>
      <c r="G129" s="6">
        <v>809.46</v>
      </c>
      <c r="H129" s="4" t="str">
        <f t="shared" si="1"/>
        <v>一季度</v>
      </c>
    </row>
    <row r="130" spans="1:8" ht="14.4" x14ac:dyDescent="0.25">
      <c r="A130" s="4">
        <v>2018</v>
      </c>
      <c r="B130" s="4">
        <v>3</v>
      </c>
      <c r="C130" s="4" t="s">
        <v>18</v>
      </c>
      <c r="D130" s="5" t="s">
        <v>155</v>
      </c>
      <c r="E130" s="4" t="s">
        <v>153</v>
      </c>
      <c r="F130" s="6">
        <v>22822.97</v>
      </c>
      <c r="G130" s="6">
        <v>78115.009999999995</v>
      </c>
      <c r="H130" s="4" t="str">
        <f t="shared" ref="H130:H193" si="2">season(B130)</f>
        <v>一季度</v>
      </c>
    </row>
    <row r="131" spans="1:8" ht="14.4" x14ac:dyDescent="0.25">
      <c r="A131" s="4">
        <v>2018</v>
      </c>
      <c r="B131" s="4">
        <v>3</v>
      </c>
      <c r="C131" s="4" t="s">
        <v>18</v>
      </c>
      <c r="D131" s="5" t="s">
        <v>154</v>
      </c>
      <c r="E131" s="4" t="s">
        <v>153</v>
      </c>
      <c r="F131" s="6">
        <v>2058.9</v>
      </c>
      <c r="G131" s="6">
        <v>6868.5</v>
      </c>
      <c r="H131" s="4" t="str">
        <f t="shared" si="2"/>
        <v>一季度</v>
      </c>
    </row>
    <row r="132" spans="1:8" ht="14.4" x14ac:dyDescent="0.25">
      <c r="A132" s="4">
        <v>2018</v>
      </c>
      <c r="B132" s="4">
        <v>3</v>
      </c>
      <c r="C132" s="4" t="s">
        <v>18</v>
      </c>
      <c r="D132" s="5" t="s">
        <v>156</v>
      </c>
      <c r="E132" s="4" t="s">
        <v>153</v>
      </c>
      <c r="F132" s="6">
        <v>8617.5300000000007</v>
      </c>
      <c r="G132" s="6">
        <v>31634.29</v>
      </c>
      <c r="H132" s="4" t="str">
        <f t="shared" si="2"/>
        <v>一季度</v>
      </c>
    </row>
    <row r="133" spans="1:8" ht="14.4" x14ac:dyDescent="0.25">
      <c r="A133" s="4">
        <v>2018</v>
      </c>
      <c r="B133" s="4">
        <v>3</v>
      </c>
      <c r="C133" s="4" t="s">
        <v>18</v>
      </c>
      <c r="D133" s="5" t="s">
        <v>159</v>
      </c>
      <c r="E133" s="4" t="s">
        <v>153</v>
      </c>
      <c r="F133" s="6">
        <v>9305.85</v>
      </c>
      <c r="G133" s="6">
        <v>32210.63</v>
      </c>
      <c r="H133" s="4" t="str">
        <f t="shared" si="2"/>
        <v>一季度</v>
      </c>
    </row>
    <row r="134" spans="1:8" ht="14.4" x14ac:dyDescent="0.25">
      <c r="A134" s="4">
        <v>2018</v>
      </c>
      <c r="B134" s="4">
        <v>3</v>
      </c>
      <c r="C134" s="4" t="s">
        <v>18</v>
      </c>
      <c r="D134" s="5"/>
      <c r="E134" s="4" t="s">
        <v>160</v>
      </c>
      <c r="F134" s="6">
        <v>287838.25</v>
      </c>
      <c r="G134" s="6">
        <v>856026.75</v>
      </c>
      <c r="H134" s="4" t="str">
        <f t="shared" si="2"/>
        <v>一季度</v>
      </c>
    </row>
    <row r="135" spans="1:8" ht="14.4" x14ac:dyDescent="0.25">
      <c r="A135" s="4">
        <v>2018</v>
      </c>
      <c r="B135" s="4">
        <v>3</v>
      </c>
      <c r="C135" s="4" t="s">
        <v>18</v>
      </c>
      <c r="D135" s="5" t="s">
        <v>155</v>
      </c>
      <c r="E135" s="4" t="s">
        <v>161</v>
      </c>
      <c r="F135" s="6">
        <v>7783.96</v>
      </c>
      <c r="G135" s="6">
        <v>22646.23</v>
      </c>
      <c r="H135" s="4" t="str">
        <f t="shared" si="2"/>
        <v>一季度</v>
      </c>
    </row>
    <row r="136" spans="1:8" ht="14.4" x14ac:dyDescent="0.25">
      <c r="A136" s="4">
        <v>2018</v>
      </c>
      <c r="B136" s="4">
        <v>4</v>
      </c>
      <c r="C136" s="4" t="s">
        <v>18</v>
      </c>
      <c r="D136" s="5" t="s">
        <v>159</v>
      </c>
      <c r="E136" s="4" t="s">
        <v>153</v>
      </c>
      <c r="F136" s="6">
        <v>18699.38</v>
      </c>
      <c r="G136" s="6">
        <v>50910.01</v>
      </c>
      <c r="H136" s="4" t="str">
        <f t="shared" si="2"/>
        <v>二季度</v>
      </c>
    </row>
    <row r="137" spans="1:8" ht="14.4" x14ac:dyDescent="0.25">
      <c r="A137" s="4">
        <v>2018</v>
      </c>
      <c r="B137" s="4">
        <v>4</v>
      </c>
      <c r="C137" s="4" t="s">
        <v>18</v>
      </c>
      <c r="D137" s="5" t="s">
        <v>154</v>
      </c>
      <c r="E137" s="4" t="s">
        <v>153</v>
      </c>
      <c r="F137" s="6">
        <v>3071.58</v>
      </c>
      <c r="G137" s="6">
        <v>9940.08</v>
      </c>
      <c r="H137" s="4" t="str">
        <f t="shared" si="2"/>
        <v>二季度</v>
      </c>
    </row>
    <row r="138" spans="1:8" ht="14.4" x14ac:dyDescent="0.25">
      <c r="A138" s="4">
        <v>2018</v>
      </c>
      <c r="B138" s="4">
        <v>4</v>
      </c>
      <c r="C138" s="4" t="s">
        <v>18</v>
      </c>
      <c r="D138" s="5" t="s">
        <v>155</v>
      </c>
      <c r="E138" s="4" t="s">
        <v>153</v>
      </c>
      <c r="F138" s="6">
        <v>46694.29</v>
      </c>
      <c r="G138" s="6">
        <v>124809.3</v>
      </c>
      <c r="H138" s="4" t="str">
        <f t="shared" si="2"/>
        <v>二季度</v>
      </c>
    </row>
    <row r="139" spans="1:8" ht="14.4" x14ac:dyDescent="0.25">
      <c r="A139" s="4">
        <v>2018</v>
      </c>
      <c r="B139" s="4">
        <v>4</v>
      </c>
      <c r="C139" s="4" t="s">
        <v>18</v>
      </c>
      <c r="D139" s="5" t="s">
        <v>152</v>
      </c>
      <c r="E139" s="4" t="s">
        <v>153</v>
      </c>
      <c r="F139" s="6">
        <v>346.62</v>
      </c>
      <c r="G139" s="6">
        <v>926.26</v>
      </c>
      <c r="H139" s="4" t="str">
        <f t="shared" si="2"/>
        <v>二季度</v>
      </c>
    </row>
    <row r="140" spans="1:8" ht="14.4" x14ac:dyDescent="0.25">
      <c r="A140" s="4">
        <v>2018</v>
      </c>
      <c r="B140" s="4">
        <v>4</v>
      </c>
      <c r="C140" s="4" t="s">
        <v>18</v>
      </c>
      <c r="D140" s="5" t="s">
        <v>158</v>
      </c>
      <c r="E140" s="4" t="s">
        <v>153</v>
      </c>
      <c r="F140" s="6">
        <v>608.91999999999996</v>
      </c>
      <c r="G140" s="6">
        <v>1418.38</v>
      </c>
      <c r="H140" s="4" t="str">
        <f t="shared" si="2"/>
        <v>二季度</v>
      </c>
    </row>
    <row r="141" spans="1:8" ht="14.4" x14ac:dyDescent="0.25">
      <c r="A141" s="4">
        <v>2018</v>
      </c>
      <c r="B141" s="4">
        <v>4</v>
      </c>
      <c r="C141" s="4" t="s">
        <v>18</v>
      </c>
      <c r="D141" s="5" t="s">
        <v>156</v>
      </c>
      <c r="E141" s="4" t="s">
        <v>153</v>
      </c>
      <c r="F141" s="6">
        <v>13924.22</v>
      </c>
      <c r="G141" s="6">
        <v>45558.51</v>
      </c>
      <c r="H141" s="4" t="str">
        <f t="shared" si="2"/>
        <v>二季度</v>
      </c>
    </row>
    <row r="142" spans="1:8" ht="14.4" x14ac:dyDescent="0.25">
      <c r="A142" s="4">
        <v>2018</v>
      </c>
      <c r="B142" s="4">
        <v>4</v>
      </c>
      <c r="C142" s="4" t="s">
        <v>18</v>
      </c>
      <c r="D142" s="5" t="s">
        <v>157</v>
      </c>
      <c r="E142" s="4" t="s">
        <v>153</v>
      </c>
      <c r="F142" s="6">
        <v>3873.56</v>
      </c>
      <c r="G142" s="6">
        <v>11569.88</v>
      </c>
      <c r="H142" s="4" t="str">
        <f t="shared" si="2"/>
        <v>二季度</v>
      </c>
    </row>
    <row r="143" spans="1:8" ht="14.4" x14ac:dyDescent="0.25">
      <c r="A143" s="4">
        <v>2018</v>
      </c>
      <c r="B143" s="4">
        <v>4</v>
      </c>
      <c r="C143" s="4" t="s">
        <v>18</v>
      </c>
      <c r="D143" s="5"/>
      <c r="E143" s="4" t="s">
        <v>160</v>
      </c>
      <c r="F143" s="6">
        <v>292156.13</v>
      </c>
      <c r="G143" s="6">
        <v>1148182.8799999999</v>
      </c>
      <c r="H143" s="4" t="str">
        <f t="shared" si="2"/>
        <v>二季度</v>
      </c>
    </row>
    <row r="144" spans="1:8" ht="14.4" x14ac:dyDescent="0.25">
      <c r="A144" s="4">
        <v>2018</v>
      </c>
      <c r="B144" s="4">
        <v>4</v>
      </c>
      <c r="C144" s="4" t="s">
        <v>18</v>
      </c>
      <c r="D144" s="5" t="s">
        <v>155</v>
      </c>
      <c r="E144" s="4" t="s">
        <v>161</v>
      </c>
      <c r="F144" s="6">
        <v>7779.25</v>
      </c>
      <c r="G144" s="6">
        <v>30425.47</v>
      </c>
      <c r="H144" s="4" t="str">
        <f t="shared" si="2"/>
        <v>二季度</v>
      </c>
    </row>
    <row r="145" spans="1:8" ht="14.4" x14ac:dyDescent="0.25">
      <c r="A145" s="4">
        <v>2018</v>
      </c>
      <c r="B145" s="4">
        <v>5</v>
      </c>
      <c r="C145" s="4" t="s">
        <v>18</v>
      </c>
      <c r="D145" s="5" t="s">
        <v>158</v>
      </c>
      <c r="E145" s="4" t="s">
        <v>153</v>
      </c>
      <c r="F145" s="6">
        <v>30.04</v>
      </c>
      <c r="G145" s="6">
        <v>1448.42</v>
      </c>
      <c r="H145" s="4" t="str">
        <f t="shared" si="2"/>
        <v>二季度</v>
      </c>
    </row>
    <row r="146" spans="1:8" ht="14.4" x14ac:dyDescent="0.25">
      <c r="A146" s="4">
        <v>2018</v>
      </c>
      <c r="B146" s="4">
        <v>5</v>
      </c>
      <c r="C146" s="4" t="s">
        <v>18</v>
      </c>
      <c r="D146" s="5" t="s">
        <v>152</v>
      </c>
      <c r="E146" s="4" t="s">
        <v>153</v>
      </c>
      <c r="F146" s="6">
        <v>205.23</v>
      </c>
      <c r="G146" s="6">
        <v>1131.49</v>
      </c>
      <c r="H146" s="4" t="str">
        <f t="shared" si="2"/>
        <v>二季度</v>
      </c>
    </row>
    <row r="147" spans="1:8" ht="14.4" x14ac:dyDescent="0.25">
      <c r="A147" s="4">
        <v>2018</v>
      </c>
      <c r="B147" s="4">
        <v>5</v>
      </c>
      <c r="C147" s="4" t="s">
        <v>18</v>
      </c>
      <c r="D147" s="5" t="s">
        <v>159</v>
      </c>
      <c r="E147" s="4" t="s">
        <v>153</v>
      </c>
      <c r="F147" s="6">
        <v>10625.3</v>
      </c>
      <c r="G147" s="6">
        <v>61535.31</v>
      </c>
      <c r="H147" s="4" t="str">
        <f t="shared" si="2"/>
        <v>二季度</v>
      </c>
    </row>
    <row r="148" spans="1:8" ht="14.4" x14ac:dyDescent="0.25">
      <c r="A148" s="4">
        <v>2018</v>
      </c>
      <c r="B148" s="4">
        <v>5</v>
      </c>
      <c r="C148" s="4" t="s">
        <v>18</v>
      </c>
      <c r="D148" s="5" t="s">
        <v>154</v>
      </c>
      <c r="E148" s="4" t="s">
        <v>153</v>
      </c>
      <c r="F148" s="6">
        <v>2905.18</v>
      </c>
      <c r="G148" s="6">
        <v>12845.26</v>
      </c>
      <c r="H148" s="4" t="str">
        <f t="shared" si="2"/>
        <v>二季度</v>
      </c>
    </row>
    <row r="149" spans="1:8" ht="14.4" x14ac:dyDescent="0.25">
      <c r="A149" s="4">
        <v>2018</v>
      </c>
      <c r="B149" s="4">
        <v>5</v>
      </c>
      <c r="C149" s="4" t="s">
        <v>18</v>
      </c>
      <c r="D149" s="5" t="s">
        <v>157</v>
      </c>
      <c r="E149" s="4" t="s">
        <v>153</v>
      </c>
      <c r="F149" s="6">
        <v>2494.75</v>
      </c>
      <c r="G149" s="6">
        <v>14064.62</v>
      </c>
      <c r="H149" s="4" t="str">
        <f t="shared" si="2"/>
        <v>二季度</v>
      </c>
    </row>
    <row r="150" spans="1:8" ht="14.4" x14ac:dyDescent="0.25">
      <c r="A150" s="4">
        <v>2018</v>
      </c>
      <c r="B150" s="4">
        <v>5</v>
      </c>
      <c r="C150" s="4" t="s">
        <v>18</v>
      </c>
      <c r="D150" s="5" t="s">
        <v>156</v>
      </c>
      <c r="E150" s="4" t="s">
        <v>153</v>
      </c>
      <c r="F150" s="6">
        <v>11145.26</v>
      </c>
      <c r="G150" s="6">
        <v>56703.77</v>
      </c>
      <c r="H150" s="4" t="str">
        <f t="shared" si="2"/>
        <v>二季度</v>
      </c>
    </row>
    <row r="151" spans="1:8" ht="14.4" x14ac:dyDescent="0.25">
      <c r="A151" s="4">
        <v>2018</v>
      </c>
      <c r="B151" s="4">
        <v>5</v>
      </c>
      <c r="C151" s="4" t="s">
        <v>18</v>
      </c>
      <c r="D151" s="5" t="s">
        <v>155</v>
      </c>
      <c r="E151" s="4" t="s">
        <v>153</v>
      </c>
      <c r="F151" s="6">
        <v>23982.37</v>
      </c>
      <c r="G151" s="6">
        <v>148791.67000000001</v>
      </c>
      <c r="H151" s="4" t="str">
        <f t="shared" si="2"/>
        <v>二季度</v>
      </c>
    </row>
    <row r="152" spans="1:8" ht="14.4" x14ac:dyDescent="0.25">
      <c r="A152" s="4">
        <v>2018</v>
      </c>
      <c r="B152" s="4">
        <v>5</v>
      </c>
      <c r="C152" s="4" t="s">
        <v>18</v>
      </c>
      <c r="D152" s="5"/>
      <c r="E152" s="4" t="s">
        <v>160</v>
      </c>
      <c r="F152" s="6">
        <v>312034.75</v>
      </c>
      <c r="G152" s="6">
        <v>1460217.63</v>
      </c>
      <c r="H152" s="4" t="str">
        <f t="shared" si="2"/>
        <v>二季度</v>
      </c>
    </row>
    <row r="153" spans="1:8" ht="14.4" x14ac:dyDescent="0.25">
      <c r="A153" s="4">
        <v>2018</v>
      </c>
      <c r="B153" s="4">
        <v>5</v>
      </c>
      <c r="C153" s="4" t="s">
        <v>18</v>
      </c>
      <c r="D153" s="5" t="s">
        <v>155</v>
      </c>
      <c r="E153" s="4" t="s">
        <v>161</v>
      </c>
      <c r="F153" s="6">
        <v>8477.36</v>
      </c>
      <c r="G153" s="6">
        <v>38902.83</v>
      </c>
      <c r="H153" s="4" t="str">
        <f t="shared" si="2"/>
        <v>二季度</v>
      </c>
    </row>
    <row r="154" spans="1:8" ht="14.4" x14ac:dyDescent="0.25">
      <c r="A154" s="4">
        <v>2018</v>
      </c>
      <c r="B154" s="4">
        <v>6</v>
      </c>
      <c r="C154" s="4" t="s">
        <v>18</v>
      </c>
      <c r="D154" s="5" t="s">
        <v>159</v>
      </c>
      <c r="E154" s="4" t="s">
        <v>153</v>
      </c>
      <c r="F154" s="6">
        <v>12378.19</v>
      </c>
      <c r="G154" s="6">
        <v>73913.5</v>
      </c>
      <c r="H154" s="4" t="str">
        <f t="shared" si="2"/>
        <v>二季度</v>
      </c>
    </row>
    <row r="155" spans="1:8" ht="14.4" x14ac:dyDescent="0.25">
      <c r="A155" s="4">
        <v>2018</v>
      </c>
      <c r="B155" s="4">
        <v>6</v>
      </c>
      <c r="C155" s="4" t="s">
        <v>18</v>
      </c>
      <c r="D155" s="5" t="s">
        <v>154</v>
      </c>
      <c r="E155" s="4" t="s">
        <v>153</v>
      </c>
      <c r="F155" s="6">
        <v>3051.69</v>
      </c>
      <c r="G155" s="6">
        <v>15896.95</v>
      </c>
      <c r="H155" s="4" t="str">
        <f t="shared" si="2"/>
        <v>二季度</v>
      </c>
    </row>
    <row r="156" spans="1:8" ht="14.4" x14ac:dyDescent="0.25">
      <c r="A156" s="4">
        <v>2018</v>
      </c>
      <c r="B156" s="4">
        <v>6</v>
      </c>
      <c r="C156" s="4" t="s">
        <v>18</v>
      </c>
      <c r="D156" s="5" t="s">
        <v>155</v>
      </c>
      <c r="E156" s="4" t="s">
        <v>153</v>
      </c>
      <c r="F156" s="6">
        <v>29790.71</v>
      </c>
      <c r="G156" s="6">
        <v>178582.38</v>
      </c>
      <c r="H156" s="4" t="str">
        <f t="shared" si="2"/>
        <v>二季度</v>
      </c>
    </row>
    <row r="157" spans="1:8" ht="14.4" x14ac:dyDescent="0.25">
      <c r="A157" s="4">
        <v>2018</v>
      </c>
      <c r="B157" s="4">
        <v>6</v>
      </c>
      <c r="C157" s="4" t="s">
        <v>18</v>
      </c>
      <c r="D157" s="5" t="s">
        <v>152</v>
      </c>
      <c r="E157" s="4" t="s">
        <v>153</v>
      </c>
      <c r="F157" s="6">
        <v>466.75</v>
      </c>
      <c r="G157" s="6">
        <v>1598.25</v>
      </c>
      <c r="H157" s="4" t="str">
        <f t="shared" si="2"/>
        <v>二季度</v>
      </c>
    </row>
    <row r="158" spans="1:8" ht="14.4" x14ac:dyDescent="0.25">
      <c r="A158" s="4">
        <v>2018</v>
      </c>
      <c r="B158" s="4">
        <v>6</v>
      </c>
      <c r="C158" s="4" t="s">
        <v>18</v>
      </c>
      <c r="D158" s="5" t="s">
        <v>158</v>
      </c>
      <c r="E158" s="4" t="s">
        <v>153</v>
      </c>
      <c r="F158" s="6">
        <v>193.58</v>
      </c>
      <c r="G158" s="6">
        <v>1642</v>
      </c>
      <c r="H158" s="4" t="str">
        <f t="shared" si="2"/>
        <v>二季度</v>
      </c>
    </row>
    <row r="159" spans="1:8" ht="14.4" x14ac:dyDescent="0.25">
      <c r="A159" s="4">
        <v>2018</v>
      </c>
      <c r="B159" s="4">
        <v>6</v>
      </c>
      <c r="C159" s="4" t="s">
        <v>18</v>
      </c>
      <c r="D159" s="5" t="s">
        <v>156</v>
      </c>
      <c r="E159" s="4" t="s">
        <v>153</v>
      </c>
      <c r="F159" s="6">
        <v>11771.93</v>
      </c>
      <c r="G159" s="6">
        <v>68475.710000000006</v>
      </c>
      <c r="H159" s="4" t="str">
        <f t="shared" si="2"/>
        <v>二季度</v>
      </c>
    </row>
    <row r="160" spans="1:8" ht="14.4" x14ac:dyDescent="0.25">
      <c r="A160" s="4">
        <v>2018</v>
      </c>
      <c r="B160" s="4">
        <v>6</v>
      </c>
      <c r="C160" s="4" t="s">
        <v>18</v>
      </c>
      <c r="D160" s="5" t="s">
        <v>157</v>
      </c>
      <c r="E160" s="4" t="s">
        <v>153</v>
      </c>
      <c r="F160" s="6">
        <v>2863.07</v>
      </c>
      <c r="G160" s="6">
        <v>16927.689999999999</v>
      </c>
      <c r="H160" s="4" t="str">
        <f t="shared" si="2"/>
        <v>二季度</v>
      </c>
    </row>
    <row r="161" spans="1:8" ht="14.4" x14ac:dyDescent="0.25">
      <c r="A161" s="4">
        <v>2018</v>
      </c>
      <c r="B161" s="4">
        <v>6</v>
      </c>
      <c r="C161" s="4" t="s">
        <v>18</v>
      </c>
      <c r="D161" s="5"/>
      <c r="E161" s="4" t="s">
        <v>160</v>
      </c>
      <c r="F161" s="6">
        <v>298918.09000000003</v>
      </c>
      <c r="G161" s="6">
        <v>1759135.73</v>
      </c>
      <c r="H161" s="4" t="str">
        <f t="shared" si="2"/>
        <v>二季度</v>
      </c>
    </row>
    <row r="162" spans="1:8" ht="14.4" x14ac:dyDescent="0.25">
      <c r="A162" s="4">
        <v>2018</v>
      </c>
      <c r="B162" s="4">
        <v>6</v>
      </c>
      <c r="C162" s="4" t="s">
        <v>18</v>
      </c>
      <c r="D162" s="5" t="s">
        <v>155</v>
      </c>
      <c r="E162" s="4" t="s">
        <v>161</v>
      </c>
      <c r="F162" s="6">
        <v>8539.6200000000008</v>
      </c>
      <c r="G162" s="6">
        <v>47442.45</v>
      </c>
      <c r="H162" s="4" t="str">
        <f t="shared" si="2"/>
        <v>二季度</v>
      </c>
    </row>
    <row r="163" spans="1:8" ht="14.4" x14ac:dyDescent="0.25">
      <c r="A163" s="4">
        <v>2018</v>
      </c>
      <c r="B163" s="4">
        <v>7</v>
      </c>
      <c r="C163" s="4" t="s">
        <v>18</v>
      </c>
      <c r="D163" s="5" t="s">
        <v>159</v>
      </c>
      <c r="E163" s="4" t="s">
        <v>153</v>
      </c>
      <c r="F163" s="6">
        <v>12025.41</v>
      </c>
      <c r="G163" s="6">
        <v>85938.91</v>
      </c>
      <c r="H163" s="4" t="str">
        <f t="shared" si="2"/>
        <v>三季度</v>
      </c>
    </row>
    <row r="164" spans="1:8" ht="14.4" x14ac:dyDescent="0.25">
      <c r="A164" s="4">
        <v>2018</v>
      </c>
      <c r="B164" s="4">
        <v>7</v>
      </c>
      <c r="C164" s="4" t="s">
        <v>18</v>
      </c>
      <c r="D164" s="5" t="s">
        <v>154</v>
      </c>
      <c r="E164" s="4" t="s">
        <v>153</v>
      </c>
      <c r="F164" s="6">
        <v>542.79</v>
      </c>
      <c r="G164" s="6">
        <v>16439.75</v>
      </c>
      <c r="H164" s="4" t="str">
        <f t="shared" si="2"/>
        <v>三季度</v>
      </c>
    </row>
    <row r="165" spans="1:8" ht="14.4" x14ac:dyDescent="0.25">
      <c r="A165" s="4">
        <v>2018</v>
      </c>
      <c r="B165" s="4">
        <v>7</v>
      </c>
      <c r="C165" s="4" t="s">
        <v>18</v>
      </c>
      <c r="D165" s="5" t="s">
        <v>155</v>
      </c>
      <c r="E165" s="4" t="s">
        <v>153</v>
      </c>
      <c r="F165" s="6">
        <v>40307.61</v>
      </c>
      <c r="G165" s="6">
        <v>218889.99</v>
      </c>
      <c r="H165" s="4" t="str">
        <f t="shared" si="2"/>
        <v>三季度</v>
      </c>
    </row>
    <row r="166" spans="1:8" ht="14.4" x14ac:dyDescent="0.25">
      <c r="A166" s="4">
        <v>2018</v>
      </c>
      <c r="B166" s="4">
        <v>7</v>
      </c>
      <c r="C166" s="4" t="s">
        <v>18</v>
      </c>
      <c r="D166" s="5" t="s">
        <v>152</v>
      </c>
      <c r="E166" s="4" t="s">
        <v>153</v>
      </c>
      <c r="F166" s="6">
        <v>138.04</v>
      </c>
      <c r="G166" s="6">
        <v>1736.28</v>
      </c>
      <c r="H166" s="4" t="str">
        <f t="shared" si="2"/>
        <v>三季度</v>
      </c>
    </row>
    <row r="167" spans="1:8" ht="14.4" x14ac:dyDescent="0.25">
      <c r="A167" s="4">
        <v>2018</v>
      </c>
      <c r="B167" s="4">
        <v>7</v>
      </c>
      <c r="C167" s="4" t="s">
        <v>18</v>
      </c>
      <c r="D167" s="5" t="s">
        <v>158</v>
      </c>
      <c r="E167" s="4" t="s">
        <v>153</v>
      </c>
      <c r="F167" s="6">
        <v>1113.26</v>
      </c>
      <c r="G167" s="6">
        <v>2755.26</v>
      </c>
      <c r="H167" s="4" t="str">
        <f t="shared" si="2"/>
        <v>三季度</v>
      </c>
    </row>
    <row r="168" spans="1:8" ht="14.4" x14ac:dyDescent="0.25">
      <c r="A168" s="4">
        <v>2018</v>
      </c>
      <c r="B168" s="4">
        <v>7</v>
      </c>
      <c r="C168" s="4" t="s">
        <v>18</v>
      </c>
      <c r="D168" s="5" t="s">
        <v>156</v>
      </c>
      <c r="E168" s="4" t="s">
        <v>153</v>
      </c>
      <c r="F168" s="6">
        <v>7125.13</v>
      </c>
      <c r="G168" s="6">
        <v>75600.84</v>
      </c>
      <c r="H168" s="4" t="str">
        <f t="shared" si="2"/>
        <v>三季度</v>
      </c>
    </row>
    <row r="169" spans="1:8" ht="14.4" x14ac:dyDescent="0.25">
      <c r="A169" s="4">
        <v>2018</v>
      </c>
      <c r="B169" s="4">
        <v>7</v>
      </c>
      <c r="C169" s="4" t="s">
        <v>18</v>
      </c>
      <c r="D169" s="5" t="s">
        <v>157</v>
      </c>
      <c r="E169" s="4" t="s">
        <v>153</v>
      </c>
      <c r="F169" s="6">
        <v>3656.38</v>
      </c>
      <c r="G169" s="6">
        <v>20584.07</v>
      </c>
      <c r="H169" s="4" t="str">
        <f t="shared" si="2"/>
        <v>三季度</v>
      </c>
    </row>
    <row r="170" spans="1:8" ht="14.4" x14ac:dyDescent="0.25">
      <c r="A170" s="4">
        <v>2018</v>
      </c>
      <c r="B170" s="4">
        <v>7</v>
      </c>
      <c r="C170" s="4" t="s">
        <v>18</v>
      </c>
      <c r="D170" s="5"/>
      <c r="E170" s="4" t="s">
        <v>160</v>
      </c>
      <c r="F170" s="6">
        <v>313415.09999999998</v>
      </c>
      <c r="G170" s="6">
        <v>2072550.83</v>
      </c>
      <c r="H170" s="4" t="str">
        <f t="shared" si="2"/>
        <v>三季度</v>
      </c>
    </row>
    <row r="171" spans="1:8" ht="14.4" x14ac:dyDescent="0.25">
      <c r="A171" s="4">
        <v>2018</v>
      </c>
      <c r="B171" s="4">
        <v>7</v>
      </c>
      <c r="C171" s="4" t="s">
        <v>18</v>
      </c>
      <c r="D171" s="5" t="s">
        <v>155</v>
      </c>
      <c r="E171" s="4" t="s">
        <v>161</v>
      </c>
      <c r="F171" s="6">
        <v>8550.94</v>
      </c>
      <c r="G171" s="6">
        <v>55993.4</v>
      </c>
      <c r="H171" s="4" t="str">
        <f t="shared" si="2"/>
        <v>三季度</v>
      </c>
    </row>
    <row r="172" spans="1:8" ht="14.4" x14ac:dyDescent="0.25">
      <c r="A172" s="4">
        <v>2018</v>
      </c>
      <c r="B172" s="4">
        <v>8</v>
      </c>
      <c r="C172" s="4" t="s">
        <v>18</v>
      </c>
      <c r="D172" s="5" t="s">
        <v>152</v>
      </c>
      <c r="E172" s="4" t="s">
        <v>153</v>
      </c>
      <c r="F172" s="6">
        <v>505.17</v>
      </c>
      <c r="G172" s="6">
        <v>2241.4499999999998</v>
      </c>
      <c r="H172" s="4" t="str">
        <f t="shared" si="2"/>
        <v>三季度</v>
      </c>
    </row>
    <row r="173" spans="1:8" ht="14.4" x14ac:dyDescent="0.25">
      <c r="A173" s="4">
        <v>2018</v>
      </c>
      <c r="B173" s="4">
        <v>8</v>
      </c>
      <c r="C173" s="4" t="s">
        <v>18</v>
      </c>
      <c r="D173" s="5" t="s">
        <v>159</v>
      </c>
      <c r="E173" s="4" t="s">
        <v>153</v>
      </c>
      <c r="F173" s="6">
        <v>12453.13</v>
      </c>
      <c r="G173" s="6">
        <v>98392.04</v>
      </c>
      <c r="H173" s="4" t="str">
        <f t="shared" si="2"/>
        <v>三季度</v>
      </c>
    </row>
    <row r="174" spans="1:8" ht="14.4" x14ac:dyDescent="0.25">
      <c r="A174" s="4">
        <v>2018</v>
      </c>
      <c r="B174" s="4">
        <v>8</v>
      </c>
      <c r="C174" s="4" t="s">
        <v>18</v>
      </c>
      <c r="D174" s="5" t="s">
        <v>155</v>
      </c>
      <c r="E174" s="4" t="s">
        <v>153</v>
      </c>
      <c r="F174" s="6">
        <v>30035.08</v>
      </c>
      <c r="G174" s="6">
        <v>248925.08</v>
      </c>
      <c r="H174" s="4" t="str">
        <f t="shared" si="2"/>
        <v>三季度</v>
      </c>
    </row>
    <row r="175" spans="1:8" ht="14.4" x14ac:dyDescent="0.25">
      <c r="A175" s="4">
        <v>2018</v>
      </c>
      <c r="B175" s="4">
        <v>8</v>
      </c>
      <c r="C175" s="4" t="s">
        <v>18</v>
      </c>
      <c r="D175" s="5" t="s">
        <v>156</v>
      </c>
      <c r="E175" s="4" t="s">
        <v>153</v>
      </c>
      <c r="F175" s="6">
        <v>13591.78</v>
      </c>
      <c r="G175" s="6">
        <v>89192.62</v>
      </c>
      <c r="H175" s="4" t="str">
        <f t="shared" si="2"/>
        <v>三季度</v>
      </c>
    </row>
    <row r="176" spans="1:8" ht="14.4" x14ac:dyDescent="0.25">
      <c r="A176" s="4">
        <v>2018</v>
      </c>
      <c r="B176" s="4">
        <v>8</v>
      </c>
      <c r="C176" s="4" t="s">
        <v>18</v>
      </c>
      <c r="D176" s="5" t="s">
        <v>157</v>
      </c>
      <c r="E176" s="4" t="s">
        <v>153</v>
      </c>
      <c r="F176" s="6">
        <v>2961.47</v>
      </c>
      <c r="G176" s="6">
        <v>23545.54</v>
      </c>
      <c r="H176" s="4" t="str">
        <f t="shared" si="2"/>
        <v>三季度</v>
      </c>
    </row>
    <row r="177" spans="1:8" ht="14.4" x14ac:dyDescent="0.25">
      <c r="A177" s="4">
        <v>2018</v>
      </c>
      <c r="B177" s="4">
        <v>8</v>
      </c>
      <c r="C177" s="4" t="s">
        <v>18</v>
      </c>
      <c r="D177" s="5" t="s">
        <v>158</v>
      </c>
      <c r="E177" s="4" t="s">
        <v>153</v>
      </c>
      <c r="F177" s="6">
        <v>56.23</v>
      </c>
      <c r="G177" s="6">
        <v>2811.49</v>
      </c>
      <c r="H177" s="4" t="str">
        <f t="shared" si="2"/>
        <v>三季度</v>
      </c>
    </row>
    <row r="178" spans="1:8" ht="14.4" x14ac:dyDescent="0.25">
      <c r="A178" s="4">
        <v>2018</v>
      </c>
      <c r="B178" s="4">
        <v>8</v>
      </c>
      <c r="C178" s="4" t="s">
        <v>18</v>
      </c>
      <c r="D178" s="5" t="s">
        <v>154</v>
      </c>
      <c r="E178" s="4" t="s">
        <v>153</v>
      </c>
      <c r="F178" s="6">
        <v>3686.58</v>
      </c>
      <c r="G178" s="6">
        <v>20126.330000000002</v>
      </c>
      <c r="H178" s="4" t="str">
        <f t="shared" si="2"/>
        <v>三季度</v>
      </c>
    </row>
    <row r="179" spans="1:8" ht="14.4" x14ac:dyDescent="0.25">
      <c r="A179" s="4">
        <v>2018</v>
      </c>
      <c r="B179" s="4">
        <v>8</v>
      </c>
      <c r="C179" s="4" t="s">
        <v>18</v>
      </c>
      <c r="D179" s="5"/>
      <c r="E179" s="4" t="s">
        <v>160</v>
      </c>
      <c r="F179" s="6">
        <v>317676.62</v>
      </c>
      <c r="G179" s="6">
        <v>2390227.4500000002</v>
      </c>
      <c r="H179" s="4" t="str">
        <f t="shared" si="2"/>
        <v>三季度</v>
      </c>
    </row>
    <row r="180" spans="1:8" ht="14.4" x14ac:dyDescent="0.25">
      <c r="A180" s="4">
        <v>2018</v>
      </c>
      <c r="B180" s="4">
        <v>8</v>
      </c>
      <c r="C180" s="4" t="s">
        <v>18</v>
      </c>
      <c r="D180" s="5" t="s">
        <v>155</v>
      </c>
      <c r="E180" s="4" t="s">
        <v>161</v>
      </c>
      <c r="F180" s="6">
        <v>8771.7000000000007</v>
      </c>
      <c r="G180" s="6">
        <v>64765.09</v>
      </c>
      <c r="H180" s="4" t="str">
        <f t="shared" si="2"/>
        <v>三季度</v>
      </c>
    </row>
    <row r="181" spans="1:8" ht="14.4" x14ac:dyDescent="0.25">
      <c r="A181" s="4">
        <v>2018</v>
      </c>
      <c r="B181" s="4">
        <v>9</v>
      </c>
      <c r="C181" s="4" t="s">
        <v>18</v>
      </c>
      <c r="D181" s="5" t="s">
        <v>155</v>
      </c>
      <c r="E181" s="4" t="s">
        <v>153</v>
      </c>
      <c r="F181" s="6">
        <v>30472.06</v>
      </c>
      <c r="G181" s="6">
        <v>279397.13</v>
      </c>
      <c r="H181" s="4" t="str">
        <f t="shared" si="2"/>
        <v>三季度</v>
      </c>
    </row>
    <row r="182" spans="1:8" ht="14.4" x14ac:dyDescent="0.25">
      <c r="A182" s="4">
        <v>2018</v>
      </c>
      <c r="B182" s="4">
        <v>9</v>
      </c>
      <c r="C182" s="4" t="s">
        <v>18</v>
      </c>
      <c r="D182" s="5" t="s">
        <v>156</v>
      </c>
      <c r="E182" s="4" t="s">
        <v>153</v>
      </c>
      <c r="F182" s="6">
        <v>11051.02</v>
      </c>
      <c r="G182" s="6">
        <v>100243.64</v>
      </c>
      <c r="H182" s="4" t="str">
        <f t="shared" si="2"/>
        <v>三季度</v>
      </c>
    </row>
    <row r="183" spans="1:8" ht="14.4" x14ac:dyDescent="0.25">
      <c r="A183" s="4">
        <v>2018</v>
      </c>
      <c r="B183" s="4">
        <v>9</v>
      </c>
      <c r="C183" s="4" t="s">
        <v>18</v>
      </c>
      <c r="D183" s="5" t="s">
        <v>152</v>
      </c>
      <c r="E183" s="4" t="s">
        <v>153</v>
      </c>
      <c r="F183" s="6">
        <v>353.42</v>
      </c>
      <c r="G183" s="6">
        <v>2594.87</v>
      </c>
      <c r="H183" s="4" t="str">
        <f t="shared" si="2"/>
        <v>三季度</v>
      </c>
    </row>
    <row r="184" spans="1:8" ht="14.4" x14ac:dyDescent="0.25">
      <c r="A184" s="4">
        <v>2018</v>
      </c>
      <c r="B184" s="4">
        <v>9</v>
      </c>
      <c r="C184" s="4" t="s">
        <v>18</v>
      </c>
      <c r="D184" s="5" t="s">
        <v>154</v>
      </c>
      <c r="E184" s="4" t="s">
        <v>153</v>
      </c>
      <c r="F184" s="6">
        <v>2670.05</v>
      </c>
      <c r="G184" s="6">
        <v>22796.38</v>
      </c>
      <c r="H184" s="4" t="str">
        <f t="shared" si="2"/>
        <v>三季度</v>
      </c>
    </row>
    <row r="185" spans="1:8" ht="14.4" x14ac:dyDescent="0.25">
      <c r="A185" s="4">
        <v>2018</v>
      </c>
      <c r="B185" s="4">
        <v>9</v>
      </c>
      <c r="C185" s="4" t="s">
        <v>18</v>
      </c>
      <c r="D185" s="5" t="s">
        <v>157</v>
      </c>
      <c r="E185" s="4" t="s">
        <v>153</v>
      </c>
      <c r="F185" s="6">
        <v>2913.43</v>
      </c>
      <c r="G185" s="6">
        <v>26458.97</v>
      </c>
      <c r="H185" s="4" t="str">
        <f t="shared" si="2"/>
        <v>三季度</v>
      </c>
    </row>
    <row r="186" spans="1:8" ht="14.4" x14ac:dyDescent="0.25">
      <c r="A186" s="4">
        <v>2018</v>
      </c>
      <c r="B186" s="4">
        <v>9</v>
      </c>
      <c r="C186" s="4" t="s">
        <v>18</v>
      </c>
      <c r="D186" s="5" t="s">
        <v>158</v>
      </c>
      <c r="E186" s="4" t="s">
        <v>153</v>
      </c>
      <c r="F186" s="6">
        <v>338.87</v>
      </c>
      <c r="G186" s="6">
        <v>3150.36</v>
      </c>
      <c r="H186" s="4" t="str">
        <f t="shared" si="2"/>
        <v>三季度</v>
      </c>
    </row>
    <row r="187" spans="1:8" ht="14.4" x14ac:dyDescent="0.25">
      <c r="A187" s="4">
        <v>2018</v>
      </c>
      <c r="B187" s="4">
        <v>9</v>
      </c>
      <c r="C187" s="4" t="s">
        <v>18</v>
      </c>
      <c r="D187" s="5" t="s">
        <v>159</v>
      </c>
      <c r="E187" s="4" t="s">
        <v>153</v>
      </c>
      <c r="F187" s="6">
        <v>11090.35</v>
      </c>
      <c r="G187" s="6">
        <v>109482.39</v>
      </c>
      <c r="H187" s="4" t="str">
        <f t="shared" si="2"/>
        <v>三季度</v>
      </c>
    </row>
    <row r="188" spans="1:8" ht="14.4" x14ac:dyDescent="0.25">
      <c r="A188" s="4">
        <v>2018</v>
      </c>
      <c r="B188" s="4">
        <v>9</v>
      </c>
      <c r="C188" s="4" t="s">
        <v>18</v>
      </c>
      <c r="D188" s="5"/>
      <c r="E188" s="4" t="s">
        <v>160</v>
      </c>
      <c r="F188" s="6">
        <v>304855.92</v>
      </c>
      <c r="G188" s="6">
        <v>2695083.38</v>
      </c>
      <c r="H188" s="4" t="str">
        <f t="shared" si="2"/>
        <v>三季度</v>
      </c>
    </row>
    <row r="189" spans="1:8" ht="14.4" x14ac:dyDescent="0.25">
      <c r="A189" s="4">
        <v>2018</v>
      </c>
      <c r="B189" s="4">
        <v>9</v>
      </c>
      <c r="C189" s="4" t="s">
        <v>18</v>
      </c>
      <c r="D189" s="5" t="s">
        <v>155</v>
      </c>
      <c r="E189" s="4" t="s">
        <v>161</v>
      </c>
      <c r="F189" s="6">
        <v>8794.34</v>
      </c>
      <c r="G189" s="6">
        <v>73559.429999999993</v>
      </c>
      <c r="H189" s="4" t="str">
        <f t="shared" si="2"/>
        <v>三季度</v>
      </c>
    </row>
    <row r="190" spans="1:8" ht="14.4" x14ac:dyDescent="0.25">
      <c r="A190" s="4">
        <v>2018</v>
      </c>
      <c r="B190" s="4">
        <v>10</v>
      </c>
      <c r="C190" s="4" t="s">
        <v>18</v>
      </c>
      <c r="D190" s="5" t="s">
        <v>152</v>
      </c>
      <c r="E190" s="4" t="s">
        <v>153</v>
      </c>
      <c r="F190" s="6">
        <v>-100.87</v>
      </c>
      <c r="G190" s="6">
        <v>2494</v>
      </c>
      <c r="H190" s="4" t="str">
        <f t="shared" si="2"/>
        <v>四季度</v>
      </c>
    </row>
    <row r="191" spans="1:8" ht="14.4" x14ac:dyDescent="0.25">
      <c r="A191" s="4">
        <v>2018</v>
      </c>
      <c r="B191" s="4">
        <v>10</v>
      </c>
      <c r="C191" s="4" t="s">
        <v>18</v>
      </c>
      <c r="D191" s="5" t="s">
        <v>154</v>
      </c>
      <c r="E191" s="4" t="s">
        <v>153</v>
      </c>
      <c r="F191" s="6">
        <v>1986</v>
      </c>
      <c r="G191" s="6">
        <v>24782.38</v>
      </c>
      <c r="H191" s="4" t="str">
        <f t="shared" si="2"/>
        <v>四季度</v>
      </c>
    </row>
    <row r="192" spans="1:8" ht="14.4" x14ac:dyDescent="0.25">
      <c r="A192" s="4">
        <v>2018</v>
      </c>
      <c r="B192" s="4">
        <v>10</v>
      </c>
      <c r="C192" s="4" t="s">
        <v>18</v>
      </c>
      <c r="D192" s="5" t="s">
        <v>155</v>
      </c>
      <c r="E192" s="4" t="s">
        <v>153</v>
      </c>
      <c r="F192" s="6">
        <v>42078.16</v>
      </c>
      <c r="G192" s="6">
        <v>321475.28999999998</v>
      </c>
      <c r="H192" s="4" t="str">
        <f t="shared" si="2"/>
        <v>四季度</v>
      </c>
    </row>
    <row r="193" spans="1:8" ht="14.4" x14ac:dyDescent="0.25">
      <c r="A193" s="4">
        <v>2018</v>
      </c>
      <c r="B193" s="4">
        <v>10</v>
      </c>
      <c r="C193" s="4" t="s">
        <v>18</v>
      </c>
      <c r="D193" s="5" t="s">
        <v>156</v>
      </c>
      <c r="E193" s="4" t="s">
        <v>153</v>
      </c>
      <c r="F193" s="6">
        <v>13295.11</v>
      </c>
      <c r="G193" s="6">
        <v>113538.75</v>
      </c>
      <c r="H193" s="4" t="str">
        <f t="shared" si="2"/>
        <v>四季度</v>
      </c>
    </row>
    <row r="194" spans="1:8" ht="14.4" x14ac:dyDescent="0.25">
      <c r="A194" s="4">
        <v>2018</v>
      </c>
      <c r="B194" s="4">
        <v>10</v>
      </c>
      <c r="C194" s="4" t="s">
        <v>18</v>
      </c>
      <c r="D194" s="5" t="s">
        <v>157</v>
      </c>
      <c r="E194" s="4" t="s">
        <v>153</v>
      </c>
      <c r="F194" s="6">
        <v>3793.84</v>
      </c>
      <c r="G194" s="6">
        <v>30252.81</v>
      </c>
      <c r="H194" s="4" t="str">
        <f t="shared" ref="H194:H257" si="3">season(B194)</f>
        <v>四季度</v>
      </c>
    </row>
    <row r="195" spans="1:8" ht="14.4" x14ac:dyDescent="0.25">
      <c r="A195" s="4">
        <v>2018</v>
      </c>
      <c r="B195" s="4">
        <v>10</v>
      </c>
      <c r="C195" s="4" t="s">
        <v>18</v>
      </c>
      <c r="D195" s="5" t="s">
        <v>158</v>
      </c>
      <c r="E195" s="4" t="s">
        <v>153</v>
      </c>
      <c r="F195" s="6">
        <v>395.88</v>
      </c>
      <c r="G195" s="6">
        <v>3546.24</v>
      </c>
      <c r="H195" s="4" t="str">
        <f t="shared" si="3"/>
        <v>四季度</v>
      </c>
    </row>
    <row r="196" spans="1:8" ht="14.4" x14ac:dyDescent="0.25">
      <c r="A196" s="4">
        <v>2018</v>
      </c>
      <c r="B196" s="4">
        <v>10</v>
      </c>
      <c r="C196" s="4" t="s">
        <v>18</v>
      </c>
      <c r="D196" s="5" t="s">
        <v>159</v>
      </c>
      <c r="E196" s="4" t="s">
        <v>153</v>
      </c>
      <c r="F196" s="6">
        <v>16786.060000000001</v>
      </c>
      <c r="G196" s="6">
        <v>126268.44</v>
      </c>
      <c r="H196" s="4" t="str">
        <f t="shared" si="3"/>
        <v>四季度</v>
      </c>
    </row>
    <row r="197" spans="1:8" ht="14.4" x14ac:dyDescent="0.25">
      <c r="A197" s="4">
        <v>2018</v>
      </c>
      <c r="B197" s="4">
        <v>10</v>
      </c>
      <c r="C197" s="4" t="s">
        <v>18</v>
      </c>
      <c r="D197" s="5"/>
      <c r="E197" s="4" t="s">
        <v>160</v>
      </c>
      <c r="F197" s="6">
        <v>322018.46999999997</v>
      </c>
      <c r="G197" s="6">
        <v>3017101.85</v>
      </c>
      <c r="H197" s="4" t="str">
        <f t="shared" si="3"/>
        <v>四季度</v>
      </c>
    </row>
    <row r="198" spans="1:8" ht="14.4" x14ac:dyDescent="0.25">
      <c r="A198" s="4">
        <v>2018</v>
      </c>
      <c r="B198" s="4">
        <v>10</v>
      </c>
      <c r="C198" s="4" t="s">
        <v>18</v>
      </c>
      <c r="D198" s="5" t="s">
        <v>155</v>
      </c>
      <c r="E198" s="4" t="s">
        <v>161</v>
      </c>
      <c r="F198" s="6">
        <v>8784.91</v>
      </c>
      <c r="G198" s="6">
        <v>82344.34</v>
      </c>
      <c r="H198" s="4" t="str">
        <f t="shared" si="3"/>
        <v>四季度</v>
      </c>
    </row>
    <row r="199" spans="1:8" ht="14.4" x14ac:dyDescent="0.25">
      <c r="A199" s="4">
        <v>2018</v>
      </c>
      <c r="B199" s="4">
        <v>11</v>
      </c>
      <c r="C199" s="4" t="s">
        <v>18</v>
      </c>
      <c r="D199" s="5" t="s">
        <v>158</v>
      </c>
      <c r="E199" s="4" t="s">
        <v>153</v>
      </c>
      <c r="F199" s="6">
        <v>355.49</v>
      </c>
      <c r="G199" s="6">
        <v>3901.73</v>
      </c>
      <c r="H199" s="4" t="str">
        <f t="shared" si="3"/>
        <v>四季度</v>
      </c>
    </row>
    <row r="200" spans="1:8" ht="14.4" x14ac:dyDescent="0.25">
      <c r="A200" s="4">
        <v>2018</v>
      </c>
      <c r="B200" s="4">
        <v>11</v>
      </c>
      <c r="C200" s="4" t="s">
        <v>18</v>
      </c>
      <c r="D200" s="5" t="s">
        <v>157</v>
      </c>
      <c r="E200" s="4" t="s">
        <v>153</v>
      </c>
      <c r="F200" s="6">
        <v>2853.15</v>
      </c>
      <c r="G200" s="6">
        <v>33105.96</v>
      </c>
      <c r="H200" s="4" t="str">
        <f t="shared" si="3"/>
        <v>四季度</v>
      </c>
    </row>
    <row r="201" spans="1:8" ht="14.4" x14ac:dyDescent="0.25">
      <c r="A201" s="4">
        <v>2018</v>
      </c>
      <c r="B201" s="4">
        <v>11</v>
      </c>
      <c r="C201" s="4" t="s">
        <v>18</v>
      </c>
      <c r="D201" s="5" t="s">
        <v>154</v>
      </c>
      <c r="E201" s="4" t="s">
        <v>153</v>
      </c>
      <c r="F201" s="6">
        <v>3212.54</v>
      </c>
      <c r="G201" s="6">
        <v>27994.92</v>
      </c>
      <c r="H201" s="4" t="str">
        <f t="shared" si="3"/>
        <v>四季度</v>
      </c>
    </row>
    <row r="202" spans="1:8" ht="14.4" x14ac:dyDescent="0.25">
      <c r="A202" s="4">
        <v>2018</v>
      </c>
      <c r="B202" s="4">
        <v>11</v>
      </c>
      <c r="C202" s="4" t="s">
        <v>18</v>
      </c>
      <c r="D202" s="5" t="s">
        <v>155</v>
      </c>
      <c r="E202" s="4" t="s">
        <v>153</v>
      </c>
      <c r="F202" s="6">
        <v>29034.29</v>
      </c>
      <c r="G202" s="6">
        <v>350509.58</v>
      </c>
      <c r="H202" s="4" t="str">
        <f t="shared" si="3"/>
        <v>四季度</v>
      </c>
    </row>
    <row r="203" spans="1:8" ht="14.4" x14ac:dyDescent="0.25">
      <c r="A203" s="4">
        <v>2018</v>
      </c>
      <c r="B203" s="4">
        <v>11</v>
      </c>
      <c r="C203" s="4" t="s">
        <v>18</v>
      </c>
      <c r="D203" s="5" t="s">
        <v>156</v>
      </c>
      <c r="E203" s="4" t="s">
        <v>153</v>
      </c>
      <c r="F203" s="6">
        <v>10824.57</v>
      </c>
      <c r="G203" s="6">
        <v>124363.32</v>
      </c>
      <c r="H203" s="4" t="str">
        <f t="shared" si="3"/>
        <v>四季度</v>
      </c>
    </row>
    <row r="204" spans="1:8" ht="14.4" x14ac:dyDescent="0.25">
      <c r="A204" s="4">
        <v>2018</v>
      </c>
      <c r="B204" s="4">
        <v>11</v>
      </c>
      <c r="C204" s="4" t="s">
        <v>18</v>
      </c>
      <c r="D204" s="5" t="s">
        <v>152</v>
      </c>
      <c r="E204" s="4" t="s">
        <v>153</v>
      </c>
      <c r="F204" s="6">
        <v>408.09</v>
      </c>
      <c r="G204" s="6">
        <v>2902.09</v>
      </c>
      <c r="H204" s="4" t="str">
        <f t="shared" si="3"/>
        <v>四季度</v>
      </c>
    </row>
    <row r="205" spans="1:8" ht="14.4" x14ac:dyDescent="0.25">
      <c r="A205" s="4">
        <v>2018</v>
      </c>
      <c r="B205" s="4">
        <v>11</v>
      </c>
      <c r="C205" s="4" t="s">
        <v>18</v>
      </c>
      <c r="D205" s="5" t="s">
        <v>159</v>
      </c>
      <c r="E205" s="4" t="s">
        <v>153</v>
      </c>
      <c r="F205" s="6">
        <v>10102.75</v>
      </c>
      <c r="G205" s="6">
        <v>136371.19</v>
      </c>
      <c r="H205" s="4" t="str">
        <f t="shared" si="3"/>
        <v>四季度</v>
      </c>
    </row>
    <row r="206" spans="1:8" ht="14.4" x14ac:dyDescent="0.25">
      <c r="A206" s="4">
        <v>2018</v>
      </c>
      <c r="B206" s="4">
        <v>11</v>
      </c>
      <c r="C206" s="4" t="s">
        <v>18</v>
      </c>
      <c r="D206" s="5"/>
      <c r="E206" s="4" t="s">
        <v>160</v>
      </c>
      <c r="F206" s="6">
        <v>318871.76</v>
      </c>
      <c r="G206" s="6">
        <v>3335973.61</v>
      </c>
      <c r="H206" s="4" t="str">
        <f t="shared" si="3"/>
        <v>四季度</v>
      </c>
    </row>
    <row r="207" spans="1:8" ht="14.4" x14ac:dyDescent="0.25">
      <c r="A207" s="4">
        <v>2018</v>
      </c>
      <c r="B207" s="4">
        <v>11</v>
      </c>
      <c r="C207" s="4" t="s">
        <v>18</v>
      </c>
      <c r="D207" s="5" t="s">
        <v>155</v>
      </c>
      <c r="E207" s="4" t="s">
        <v>161</v>
      </c>
      <c r="F207" s="6">
        <v>8793.4</v>
      </c>
      <c r="G207" s="6">
        <v>91137.74</v>
      </c>
      <c r="H207" s="4" t="str">
        <f t="shared" si="3"/>
        <v>四季度</v>
      </c>
    </row>
    <row r="208" spans="1:8" ht="14.4" x14ac:dyDescent="0.25">
      <c r="A208" s="4">
        <v>2018</v>
      </c>
      <c r="B208" s="4">
        <v>12</v>
      </c>
      <c r="C208" s="4" t="s">
        <v>18</v>
      </c>
      <c r="D208" s="5" t="s">
        <v>152</v>
      </c>
      <c r="E208" s="4" t="s">
        <v>153</v>
      </c>
      <c r="F208" s="6">
        <v>235.99</v>
      </c>
      <c r="G208" s="6">
        <v>3138.08</v>
      </c>
      <c r="H208" s="4" t="str">
        <f t="shared" si="3"/>
        <v>四季度</v>
      </c>
    </row>
    <row r="209" spans="1:8" ht="14.4" x14ac:dyDescent="0.25">
      <c r="A209" s="4">
        <v>2018</v>
      </c>
      <c r="B209" s="4">
        <v>12</v>
      </c>
      <c r="C209" s="4" t="s">
        <v>18</v>
      </c>
      <c r="D209" s="5" t="s">
        <v>154</v>
      </c>
      <c r="E209" s="4" t="s">
        <v>153</v>
      </c>
      <c r="F209" s="6">
        <v>2693.42</v>
      </c>
      <c r="G209" s="6">
        <v>30688.34</v>
      </c>
      <c r="H209" s="4" t="str">
        <f t="shared" si="3"/>
        <v>四季度</v>
      </c>
    </row>
    <row r="210" spans="1:8" ht="14.4" x14ac:dyDescent="0.25">
      <c r="A210" s="4">
        <v>2018</v>
      </c>
      <c r="B210" s="4">
        <v>12</v>
      </c>
      <c r="C210" s="4" t="s">
        <v>18</v>
      </c>
      <c r="D210" s="5" t="s">
        <v>155</v>
      </c>
      <c r="E210" s="4" t="s">
        <v>153</v>
      </c>
      <c r="F210" s="6">
        <v>30537.48</v>
      </c>
      <c r="G210" s="6">
        <v>381047.07</v>
      </c>
      <c r="H210" s="4" t="str">
        <f t="shared" si="3"/>
        <v>四季度</v>
      </c>
    </row>
    <row r="211" spans="1:8" ht="14.4" x14ac:dyDescent="0.25">
      <c r="A211" s="4">
        <v>2018</v>
      </c>
      <c r="B211" s="4">
        <v>12</v>
      </c>
      <c r="C211" s="4" t="s">
        <v>18</v>
      </c>
      <c r="D211" s="5" t="s">
        <v>156</v>
      </c>
      <c r="E211" s="4" t="s">
        <v>153</v>
      </c>
      <c r="F211" s="6">
        <v>11512.61</v>
      </c>
      <c r="G211" s="6">
        <v>135875.93</v>
      </c>
      <c r="H211" s="4" t="str">
        <f t="shared" si="3"/>
        <v>四季度</v>
      </c>
    </row>
    <row r="212" spans="1:8" ht="14.4" x14ac:dyDescent="0.25">
      <c r="A212" s="4">
        <v>2018</v>
      </c>
      <c r="B212" s="4">
        <v>12</v>
      </c>
      <c r="C212" s="4" t="s">
        <v>18</v>
      </c>
      <c r="D212" s="5" t="s">
        <v>157</v>
      </c>
      <c r="E212" s="4" t="s">
        <v>153</v>
      </c>
      <c r="F212" s="6">
        <v>2918.57</v>
      </c>
      <c r="G212" s="6">
        <v>36024.53</v>
      </c>
      <c r="H212" s="4" t="str">
        <f t="shared" si="3"/>
        <v>四季度</v>
      </c>
    </row>
    <row r="213" spans="1:8" ht="14.4" x14ac:dyDescent="0.25">
      <c r="A213" s="4">
        <v>2018</v>
      </c>
      <c r="B213" s="4">
        <v>12</v>
      </c>
      <c r="C213" s="4" t="s">
        <v>18</v>
      </c>
      <c r="D213" s="5" t="s">
        <v>158</v>
      </c>
      <c r="E213" s="4" t="s">
        <v>153</v>
      </c>
      <c r="F213" s="6">
        <v>419.73</v>
      </c>
      <c r="G213" s="6">
        <v>4321.45</v>
      </c>
      <c r="H213" s="4" t="str">
        <f t="shared" si="3"/>
        <v>四季度</v>
      </c>
    </row>
    <row r="214" spans="1:8" ht="14.4" x14ac:dyDescent="0.25">
      <c r="A214" s="4">
        <v>2018</v>
      </c>
      <c r="B214" s="4">
        <v>12</v>
      </c>
      <c r="C214" s="4" t="s">
        <v>18</v>
      </c>
      <c r="D214" s="5" t="s">
        <v>159</v>
      </c>
      <c r="E214" s="4" t="s">
        <v>153</v>
      </c>
      <c r="F214" s="6">
        <v>7848.04</v>
      </c>
      <c r="G214" s="6">
        <v>144219.23000000001</v>
      </c>
      <c r="H214" s="4" t="str">
        <f t="shared" si="3"/>
        <v>四季度</v>
      </c>
    </row>
    <row r="215" spans="1:8" ht="14.4" x14ac:dyDescent="0.25">
      <c r="A215" s="4">
        <v>2018</v>
      </c>
      <c r="B215" s="4">
        <v>12</v>
      </c>
      <c r="C215" s="4" t="s">
        <v>18</v>
      </c>
      <c r="D215" s="5"/>
      <c r="E215" s="4" t="s">
        <v>160</v>
      </c>
      <c r="F215" s="6">
        <v>312735.84999999998</v>
      </c>
      <c r="G215" s="6">
        <v>3648709.46</v>
      </c>
      <c r="H215" s="4" t="str">
        <f t="shared" si="3"/>
        <v>四季度</v>
      </c>
    </row>
    <row r="216" spans="1:8" ht="14.4" x14ac:dyDescent="0.25">
      <c r="A216" s="4">
        <v>2018</v>
      </c>
      <c r="B216" s="4">
        <v>12</v>
      </c>
      <c r="C216" s="4" t="s">
        <v>18</v>
      </c>
      <c r="D216" s="5" t="s">
        <v>155</v>
      </c>
      <c r="E216" s="4" t="s">
        <v>161</v>
      </c>
      <c r="F216" s="6">
        <v>8934.91</v>
      </c>
      <c r="G216" s="6">
        <v>100072.64</v>
      </c>
      <c r="H216" s="4" t="str">
        <f t="shared" si="3"/>
        <v>四季度</v>
      </c>
    </row>
    <row r="217" spans="1:8" ht="14.4" x14ac:dyDescent="0.25">
      <c r="A217" s="4">
        <v>2019</v>
      </c>
      <c r="B217" s="4">
        <v>1</v>
      </c>
      <c r="C217" s="4" t="s">
        <v>18</v>
      </c>
      <c r="D217" s="5" t="s">
        <v>159</v>
      </c>
      <c r="E217" s="4" t="s">
        <v>153</v>
      </c>
      <c r="F217" s="6">
        <v>9433.44</v>
      </c>
      <c r="G217" s="6">
        <v>9433.44</v>
      </c>
      <c r="H217" s="4" t="str">
        <f t="shared" si="3"/>
        <v>一季度</v>
      </c>
    </row>
    <row r="218" spans="1:8" ht="14.4" x14ac:dyDescent="0.25">
      <c r="A218" s="4">
        <v>2019</v>
      </c>
      <c r="B218" s="4">
        <v>1</v>
      </c>
      <c r="C218" s="4" t="s">
        <v>18</v>
      </c>
      <c r="D218" s="5" t="s">
        <v>154</v>
      </c>
      <c r="E218" s="4" t="s">
        <v>153</v>
      </c>
      <c r="F218" s="6">
        <v>2403.4499999999998</v>
      </c>
      <c r="G218" s="6">
        <v>2403.4499999999998</v>
      </c>
      <c r="H218" s="4" t="str">
        <f t="shared" si="3"/>
        <v>一季度</v>
      </c>
    </row>
    <row r="219" spans="1:8" ht="14.4" x14ac:dyDescent="0.25">
      <c r="A219" s="4">
        <v>2019</v>
      </c>
      <c r="B219" s="4">
        <v>1</v>
      </c>
      <c r="C219" s="4" t="s">
        <v>18</v>
      </c>
      <c r="D219" s="5" t="s">
        <v>155</v>
      </c>
      <c r="E219" s="4" t="s">
        <v>153</v>
      </c>
      <c r="F219" s="6">
        <v>37242.230000000003</v>
      </c>
      <c r="G219" s="6">
        <v>37242.230000000003</v>
      </c>
      <c r="H219" s="4" t="str">
        <f t="shared" si="3"/>
        <v>一季度</v>
      </c>
    </row>
    <row r="220" spans="1:8" ht="14.4" x14ac:dyDescent="0.25">
      <c r="A220" s="4">
        <v>2019</v>
      </c>
      <c r="B220" s="4">
        <v>1</v>
      </c>
      <c r="C220" s="4" t="s">
        <v>18</v>
      </c>
      <c r="D220" s="5" t="s">
        <v>152</v>
      </c>
      <c r="E220" s="4" t="s">
        <v>153</v>
      </c>
      <c r="F220" s="6">
        <v>228.05</v>
      </c>
      <c r="G220" s="6">
        <v>228.05</v>
      </c>
      <c r="H220" s="4" t="str">
        <f t="shared" si="3"/>
        <v>一季度</v>
      </c>
    </row>
    <row r="221" spans="1:8" ht="14.4" x14ac:dyDescent="0.25">
      <c r="A221" s="4">
        <v>2019</v>
      </c>
      <c r="B221" s="4">
        <v>1</v>
      </c>
      <c r="C221" s="4" t="s">
        <v>18</v>
      </c>
      <c r="D221" s="5" t="s">
        <v>158</v>
      </c>
      <c r="E221" s="4" t="s">
        <v>153</v>
      </c>
      <c r="F221" s="6">
        <v>448.35</v>
      </c>
      <c r="G221" s="6">
        <v>448.35</v>
      </c>
      <c r="H221" s="4" t="str">
        <f t="shared" si="3"/>
        <v>一季度</v>
      </c>
    </row>
    <row r="222" spans="1:8" ht="14.4" x14ac:dyDescent="0.25">
      <c r="A222" s="4">
        <v>2019</v>
      </c>
      <c r="B222" s="4">
        <v>1</v>
      </c>
      <c r="C222" s="4" t="s">
        <v>18</v>
      </c>
      <c r="D222" s="5" t="s">
        <v>156</v>
      </c>
      <c r="E222" s="4" t="s">
        <v>153</v>
      </c>
      <c r="F222" s="6">
        <v>12623.99</v>
      </c>
      <c r="G222" s="6">
        <v>12623.99</v>
      </c>
      <c r="H222" s="4" t="str">
        <f t="shared" si="3"/>
        <v>一季度</v>
      </c>
    </row>
    <row r="223" spans="1:8" ht="14.4" x14ac:dyDescent="0.25">
      <c r="A223" s="4">
        <v>2019</v>
      </c>
      <c r="B223" s="4">
        <v>1</v>
      </c>
      <c r="C223" s="4" t="s">
        <v>18</v>
      </c>
      <c r="D223" s="5" t="s">
        <v>157</v>
      </c>
      <c r="E223" s="4" t="s">
        <v>153</v>
      </c>
      <c r="F223" s="6">
        <v>3370.08</v>
      </c>
      <c r="G223" s="6">
        <v>3370.08</v>
      </c>
      <c r="H223" s="4" t="str">
        <f t="shared" si="3"/>
        <v>一季度</v>
      </c>
    </row>
    <row r="224" spans="1:8" ht="14.4" x14ac:dyDescent="0.25">
      <c r="A224" s="4">
        <v>2019</v>
      </c>
      <c r="B224" s="4">
        <v>1</v>
      </c>
      <c r="C224" s="4" t="s">
        <v>18</v>
      </c>
      <c r="D224" s="5"/>
      <c r="E224" s="4" t="s">
        <v>160</v>
      </c>
      <c r="F224" s="6">
        <v>343156.54</v>
      </c>
      <c r="G224" s="6">
        <v>343156.54</v>
      </c>
      <c r="H224" s="4" t="str">
        <f t="shared" si="3"/>
        <v>一季度</v>
      </c>
    </row>
    <row r="225" spans="1:8" ht="14.4" x14ac:dyDescent="0.25">
      <c r="A225" s="4">
        <v>2019</v>
      </c>
      <c r="B225" s="4">
        <v>1</v>
      </c>
      <c r="C225" s="4" t="s">
        <v>18</v>
      </c>
      <c r="D225" s="5" t="s">
        <v>155</v>
      </c>
      <c r="E225" s="4" t="s">
        <v>161</v>
      </c>
      <c r="F225" s="6">
        <v>8970.75</v>
      </c>
      <c r="G225" s="6">
        <v>8970.75</v>
      </c>
      <c r="H225" s="4" t="str">
        <f t="shared" si="3"/>
        <v>一季度</v>
      </c>
    </row>
    <row r="226" spans="1:8" ht="14.4" x14ac:dyDescent="0.25">
      <c r="A226" s="4">
        <v>2019</v>
      </c>
      <c r="B226" s="4">
        <v>2</v>
      </c>
      <c r="C226" s="4" t="s">
        <v>18</v>
      </c>
      <c r="D226" s="5" t="s">
        <v>158</v>
      </c>
      <c r="E226" s="4" t="s">
        <v>153</v>
      </c>
      <c r="F226" s="6">
        <v>450.39</v>
      </c>
      <c r="G226" s="6">
        <v>898.74</v>
      </c>
      <c r="H226" s="4" t="str">
        <f t="shared" si="3"/>
        <v>一季度</v>
      </c>
    </row>
    <row r="227" spans="1:8" ht="14.4" x14ac:dyDescent="0.25">
      <c r="A227" s="4">
        <v>2019</v>
      </c>
      <c r="B227" s="4">
        <v>2</v>
      </c>
      <c r="C227" s="4" t="s">
        <v>18</v>
      </c>
      <c r="D227" s="5" t="s">
        <v>159</v>
      </c>
      <c r="E227" s="4" t="s">
        <v>153</v>
      </c>
      <c r="F227" s="6">
        <v>9708.68</v>
      </c>
      <c r="G227" s="6">
        <v>19142.12</v>
      </c>
      <c r="H227" s="4" t="str">
        <f t="shared" si="3"/>
        <v>一季度</v>
      </c>
    </row>
    <row r="228" spans="1:8" ht="14.4" x14ac:dyDescent="0.25">
      <c r="A228" s="4">
        <v>2019</v>
      </c>
      <c r="B228" s="4">
        <v>2</v>
      </c>
      <c r="C228" s="4" t="s">
        <v>18</v>
      </c>
      <c r="D228" s="5" t="s">
        <v>154</v>
      </c>
      <c r="E228" s="4" t="s">
        <v>153</v>
      </c>
      <c r="F228" s="6">
        <v>2568.94</v>
      </c>
      <c r="G228" s="6">
        <v>4972.3999999999996</v>
      </c>
      <c r="H228" s="4" t="str">
        <f t="shared" si="3"/>
        <v>一季度</v>
      </c>
    </row>
    <row r="229" spans="1:8" ht="14.4" x14ac:dyDescent="0.25">
      <c r="A229" s="4">
        <v>2019</v>
      </c>
      <c r="B229" s="4">
        <v>2</v>
      </c>
      <c r="C229" s="4" t="s">
        <v>18</v>
      </c>
      <c r="D229" s="5" t="s">
        <v>152</v>
      </c>
      <c r="E229" s="4" t="s">
        <v>153</v>
      </c>
      <c r="F229" s="6">
        <v>218.43</v>
      </c>
      <c r="G229" s="6">
        <v>446.48</v>
      </c>
      <c r="H229" s="4" t="str">
        <f t="shared" si="3"/>
        <v>一季度</v>
      </c>
    </row>
    <row r="230" spans="1:8" ht="14.4" x14ac:dyDescent="0.25">
      <c r="A230" s="4">
        <v>2019</v>
      </c>
      <c r="B230" s="4">
        <v>2</v>
      </c>
      <c r="C230" s="4" t="s">
        <v>18</v>
      </c>
      <c r="D230" s="5" t="s">
        <v>155</v>
      </c>
      <c r="E230" s="4" t="s">
        <v>153</v>
      </c>
      <c r="F230" s="6">
        <v>36912.75</v>
      </c>
      <c r="G230" s="6">
        <v>74154.97</v>
      </c>
      <c r="H230" s="4" t="str">
        <f t="shared" si="3"/>
        <v>一季度</v>
      </c>
    </row>
    <row r="231" spans="1:8" ht="14.4" x14ac:dyDescent="0.25">
      <c r="A231" s="4">
        <v>2019</v>
      </c>
      <c r="B231" s="4">
        <v>2</v>
      </c>
      <c r="C231" s="4" t="s">
        <v>18</v>
      </c>
      <c r="D231" s="5" t="s">
        <v>156</v>
      </c>
      <c r="E231" s="4" t="s">
        <v>153</v>
      </c>
      <c r="F231" s="6">
        <v>12735.48</v>
      </c>
      <c r="G231" s="6">
        <v>25359.47</v>
      </c>
      <c r="H231" s="4" t="str">
        <f t="shared" si="3"/>
        <v>一季度</v>
      </c>
    </row>
    <row r="232" spans="1:8" ht="14.4" x14ac:dyDescent="0.25">
      <c r="A232" s="4">
        <v>2019</v>
      </c>
      <c r="B232" s="4">
        <v>2</v>
      </c>
      <c r="C232" s="4" t="s">
        <v>18</v>
      </c>
      <c r="D232" s="5" t="s">
        <v>157</v>
      </c>
      <c r="E232" s="4" t="s">
        <v>153</v>
      </c>
      <c r="F232" s="6">
        <v>3503.91</v>
      </c>
      <c r="G232" s="6">
        <v>6873.98</v>
      </c>
      <c r="H232" s="4" t="str">
        <f t="shared" si="3"/>
        <v>一季度</v>
      </c>
    </row>
    <row r="233" spans="1:8" ht="14.4" x14ac:dyDescent="0.25">
      <c r="A233" s="4">
        <v>2019</v>
      </c>
      <c r="B233" s="4">
        <v>2</v>
      </c>
      <c r="C233" s="4" t="s">
        <v>18</v>
      </c>
      <c r="D233" s="5"/>
      <c r="E233" s="4" t="s">
        <v>160</v>
      </c>
      <c r="F233" s="6">
        <v>286791.58</v>
      </c>
      <c r="G233" s="6">
        <v>629948.11</v>
      </c>
      <c r="H233" s="4" t="str">
        <f t="shared" si="3"/>
        <v>一季度</v>
      </c>
    </row>
    <row r="234" spans="1:8" ht="14.4" x14ac:dyDescent="0.25">
      <c r="A234" s="4">
        <v>2019</v>
      </c>
      <c r="B234" s="4">
        <v>2</v>
      </c>
      <c r="C234" s="4" t="s">
        <v>18</v>
      </c>
      <c r="D234" s="5" t="s">
        <v>155</v>
      </c>
      <c r="E234" s="4" t="s">
        <v>161</v>
      </c>
      <c r="F234" s="6">
        <v>9013.2099999999991</v>
      </c>
      <c r="G234" s="6">
        <v>17983.96</v>
      </c>
      <c r="H234" s="4" t="str">
        <f t="shared" si="3"/>
        <v>一季度</v>
      </c>
    </row>
    <row r="235" spans="1:8" ht="14.4" x14ac:dyDescent="0.25">
      <c r="A235" s="4">
        <v>2019</v>
      </c>
      <c r="B235" s="4">
        <v>3</v>
      </c>
      <c r="C235" s="4" t="s">
        <v>18</v>
      </c>
      <c r="D235" s="5" t="s">
        <v>152</v>
      </c>
      <c r="E235" s="4" t="s">
        <v>153</v>
      </c>
      <c r="F235" s="6">
        <v>173.74</v>
      </c>
      <c r="G235" s="6">
        <v>620.22</v>
      </c>
      <c r="H235" s="4" t="str">
        <f t="shared" si="3"/>
        <v>一季度</v>
      </c>
    </row>
    <row r="236" spans="1:8" ht="14.4" x14ac:dyDescent="0.25">
      <c r="A236" s="4">
        <v>2019</v>
      </c>
      <c r="B236" s="4">
        <v>3</v>
      </c>
      <c r="C236" s="4" t="s">
        <v>18</v>
      </c>
      <c r="D236" s="5" t="s">
        <v>154</v>
      </c>
      <c r="E236" s="4" t="s">
        <v>153</v>
      </c>
      <c r="F236" s="6">
        <v>2123.8200000000002</v>
      </c>
      <c r="G236" s="6">
        <v>7096.22</v>
      </c>
      <c r="H236" s="4" t="str">
        <f t="shared" si="3"/>
        <v>一季度</v>
      </c>
    </row>
    <row r="237" spans="1:8" ht="14.4" x14ac:dyDescent="0.25">
      <c r="A237" s="4">
        <v>2019</v>
      </c>
      <c r="B237" s="4">
        <v>3</v>
      </c>
      <c r="C237" s="4" t="s">
        <v>18</v>
      </c>
      <c r="D237" s="5" t="s">
        <v>155</v>
      </c>
      <c r="E237" s="4" t="s">
        <v>153</v>
      </c>
      <c r="F237" s="6">
        <v>29472.41</v>
      </c>
      <c r="G237" s="6">
        <v>103627.38</v>
      </c>
      <c r="H237" s="4" t="str">
        <f t="shared" si="3"/>
        <v>一季度</v>
      </c>
    </row>
    <row r="238" spans="1:8" ht="14.4" x14ac:dyDescent="0.25">
      <c r="A238" s="4">
        <v>2019</v>
      </c>
      <c r="B238" s="4">
        <v>3</v>
      </c>
      <c r="C238" s="4" t="s">
        <v>18</v>
      </c>
      <c r="D238" s="5" t="s">
        <v>156</v>
      </c>
      <c r="E238" s="4" t="s">
        <v>153</v>
      </c>
      <c r="F238" s="6">
        <v>10352.69</v>
      </c>
      <c r="G238" s="6">
        <v>35712.160000000003</v>
      </c>
      <c r="H238" s="4" t="str">
        <f t="shared" si="3"/>
        <v>一季度</v>
      </c>
    </row>
    <row r="239" spans="1:8" ht="14.4" x14ac:dyDescent="0.25">
      <c r="A239" s="4">
        <v>2019</v>
      </c>
      <c r="B239" s="4">
        <v>3</v>
      </c>
      <c r="C239" s="4" t="s">
        <v>18</v>
      </c>
      <c r="D239" s="5" t="s">
        <v>157</v>
      </c>
      <c r="E239" s="4" t="s">
        <v>153</v>
      </c>
      <c r="F239" s="6">
        <v>2788.61</v>
      </c>
      <c r="G239" s="6">
        <v>9662.59</v>
      </c>
      <c r="H239" s="4" t="str">
        <f t="shared" si="3"/>
        <v>一季度</v>
      </c>
    </row>
    <row r="240" spans="1:8" ht="14.4" x14ac:dyDescent="0.25">
      <c r="A240" s="4">
        <v>2019</v>
      </c>
      <c r="B240" s="4">
        <v>3</v>
      </c>
      <c r="C240" s="4" t="s">
        <v>18</v>
      </c>
      <c r="D240" s="5" t="s">
        <v>158</v>
      </c>
      <c r="E240" s="4" t="s">
        <v>153</v>
      </c>
      <c r="F240" s="6">
        <v>364.33</v>
      </c>
      <c r="G240" s="6">
        <v>1263.07</v>
      </c>
      <c r="H240" s="4" t="str">
        <f t="shared" si="3"/>
        <v>一季度</v>
      </c>
    </row>
    <row r="241" spans="1:8" ht="14.4" x14ac:dyDescent="0.25">
      <c r="A241" s="4">
        <v>2019</v>
      </c>
      <c r="B241" s="4">
        <v>3</v>
      </c>
      <c r="C241" s="4" t="s">
        <v>18</v>
      </c>
      <c r="D241" s="5" t="s">
        <v>159</v>
      </c>
      <c r="E241" s="4" t="s">
        <v>153</v>
      </c>
      <c r="F241" s="6">
        <v>8033.88</v>
      </c>
      <c r="G241" s="6">
        <v>27176</v>
      </c>
      <c r="H241" s="4" t="str">
        <f t="shared" si="3"/>
        <v>一季度</v>
      </c>
    </row>
    <row r="242" spans="1:8" ht="14.4" x14ac:dyDescent="0.25">
      <c r="A242" s="4">
        <v>2019</v>
      </c>
      <c r="B242" s="4">
        <v>3</v>
      </c>
      <c r="C242" s="4" t="s">
        <v>18</v>
      </c>
      <c r="D242" s="5"/>
      <c r="E242" s="4" t="s">
        <v>160</v>
      </c>
      <c r="F242" s="6">
        <v>336181.89</v>
      </c>
      <c r="G242" s="6">
        <v>966130</v>
      </c>
      <c r="H242" s="4" t="str">
        <f t="shared" si="3"/>
        <v>一季度</v>
      </c>
    </row>
    <row r="243" spans="1:8" ht="14.4" x14ac:dyDescent="0.25">
      <c r="A243" s="4">
        <v>2019</v>
      </c>
      <c r="B243" s="4">
        <v>3</v>
      </c>
      <c r="C243" s="4" t="s">
        <v>18</v>
      </c>
      <c r="D243" s="5" t="s">
        <v>155</v>
      </c>
      <c r="E243" s="4" t="s">
        <v>161</v>
      </c>
      <c r="F243" s="6">
        <v>9025.4699999999993</v>
      </c>
      <c r="G243" s="6">
        <v>27009.43</v>
      </c>
      <c r="H243" s="4" t="str">
        <f t="shared" si="3"/>
        <v>一季度</v>
      </c>
    </row>
    <row r="244" spans="1:8" ht="14.4" x14ac:dyDescent="0.25">
      <c r="A244" s="4">
        <v>2019</v>
      </c>
      <c r="B244" s="4">
        <v>4</v>
      </c>
      <c r="C244" s="4" t="s">
        <v>18</v>
      </c>
      <c r="D244" s="5" t="s">
        <v>152</v>
      </c>
      <c r="E244" s="4" t="s">
        <v>153</v>
      </c>
      <c r="F244" s="6">
        <v>1601.49</v>
      </c>
      <c r="G244" s="6">
        <v>2221.71</v>
      </c>
      <c r="H244" s="4" t="str">
        <f t="shared" si="3"/>
        <v>二季度</v>
      </c>
    </row>
    <row r="245" spans="1:8" ht="14.4" x14ac:dyDescent="0.25">
      <c r="A245" s="4">
        <v>2019</v>
      </c>
      <c r="B245" s="4">
        <v>4</v>
      </c>
      <c r="C245" s="4" t="s">
        <v>18</v>
      </c>
      <c r="D245" s="5" t="s">
        <v>154</v>
      </c>
      <c r="E245" s="4" t="s">
        <v>153</v>
      </c>
      <c r="F245" s="6">
        <v>3447.91</v>
      </c>
      <c r="G245" s="6">
        <v>10544.12</v>
      </c>
      <c r="H245" s="4" t="str">
        <f t="shared" si="3"/>
        <v>二季度</v>
      </c>
    </row>
    <row r="246" spans="1:8" ht="14.4" x14ac:dyDescent="0.25">
      <c r="A246" s="4">
        <v>2019</v>
      </c>
      <c r="B246" s="4">
        <v>4</v>
      </c>
      <c r="C246" s="4" t="s">
        <v>18</v>
      </c>
      <c r="D246" s="5" t="s">
        <v>155</v>
      </c>
      <c r="E246" s="4" t="s">
        <v>153</v>
      </c>
      <c r="F246" s="6">
        <v>59190.67</v>
      </c>
      <c r="G246" s="6">
        <v>162818.04999999999</v>
      </c>
      <c r="H246" s="4" t="str">
        <f t="shared" si="3"/>
        <v>二季度</v>
      </c>
    </row>
    <row r="247" spans="1:8" ht="14.4" x14ac:dyDescent="0.25">
      <c r="A247" s="4">
        <v>2019</v>
      </c>
      <c r="B247" s="4">
        <v>4</v>
      </c>
      <c r="C247" s="4" t="s">
        <v>18</v>
      </c>
      <c r="D247" s="5" t="s">
        <v>156</v>
      </c>
      <c r="E247" s="4" t="s">
        <v>153</v>
      </c>
      <c r="F247" s="6">
        <v>17502.66</v>
      </c>
      <c r="G247" s="6">
        <v>53214.82</v>
      </c>
      <c r="H247" s="4" t="str">
        <f t="shared" si="3"/>
        <v>二季度</v>
      </c>
    </row>
    <row r="248" spans="1:8" ht="14.4" x14ac:dyDescent="0.25">
      <c r="A248" s="4">
        <v>2019</v>
      </c>
      <c r="B248" s="4">
        <v>4</v>
      </c>
      <c r="C248" s="4" t="s">
        <v>18</v>
      </c>
      <c r="D248" s="5" t="s">
        <v>157</v>
      </c>
      <c r="E248" s="4" t="s">
        <v>153</v>
      </c>
      <c r="F248" s="6">
        <v>4807.6899999999996</v>
      </c>
      <c r="G248" s="6">
        <v>14470.28</v>
      </c>
      <c r="H248" s="4" t="str">
        <f t="shared" si="3"/>
        <v>二季度</v>
      </c>
    </row>
    <row r="249" spans="1:8" ht="14.4" x14ac:dyDescent="0.25">
      <c r="A249" s="4">
        <v>2019</v>
      </c>
      <c r="B249" s="4">
        <v>4</v>
      </c>
      <c r="C249" s="4" t="s">
        <v>18</v>
      </c>
      <c r="D249" s="5" t="s">
        <v>158</v>
      </c>
      <c r="E249" s="4" t="s">
        <v>153</v>
      </c>
      <c r="F249" s="6">
        <v>919.59</v>
      </c>
      <c r="G249" s="6">
        <v>2182.66</v>
      </c>
      <c r="H249" s="4" t="str">
        <f t="shared" si="3"/>
        <v>二季度</v>
      </c>
    </row>
    <row r="250" spans="1:8" ht="14.4" x14ac:dyDescent="0.25">
      <c r="A250" s="4">
        <v>2019</v>
      </c>
      <c r="B250" s="4">
        <v>4</v>
      </c>
      <c r="C250" s="4" t="s">
        <v>18</v>
      </c>
      <c r="D250" s="5" t="s">
        <v>159</v>
      </c>
      <c r="E250" s="4" t="s">
        <v>153</v>
      </c>
      <c r="F250" s="6">
        <v>14054.22</v>
      </c>
      <c r="G250" s="6">
        <v>41230.22</v>
      </c>
      <c r="H250" s="4" t="str">
        <f t="shared" si="3"/>
        <v>二季度</v>
      </c>
    </row>
    <row r="251" spans="1:8" ht="14.4" x14ac:dyDescent="0.25">
      <c r="A251" s="4">
        <v>2019</v>
      </c>
      <c r="B251" s="4">
        <v>4</v>
      </c>
      <c r="C251" s="4" t="s">
        <v>18</v>
      </c>
      <c r="D251" s="5"/>
      <c r="E251" s="4" t="s">
        <v>160</v>
      </c>
      <c r="F251" s="6">
        <v>324860.61</v>
      </c>
      <c r="G251" s="6">
        <v>1290990.6100000001</v>
      </c>
      <c r="H251" s="4" t="str">
        <f t="shared" si="3"/>
        <v>二季度</v>
      </c>
    </row>
    <row r="252" spans="1:8" ht="14.4" x14ac:dyDescent="0.25">
      <c r="A252" s="4">
        <v>2019</v>
      </c>
      <c r="B252" s="4">
        <v>4</v>
      </c>
      <c r="C252" s="4" t="s">
        <v>18</v>
      </c>
      <c r="D252" s="5" t="s">
        <v>155</v>
      </c>
      <c r="E252" s="4" t="s">
        <v>161</v>
      </c>
      <c r="F252" s="6">
        <v>9002.83</v>
      </c>
      <c r="G252" s="6">
        <v>36012.26</v>
      </c>
      <c r="H252" s="4" t="str">
        <f t="shared" si="3"/>
        <v>二季度</v>
      </c>
    </row>
    <row r="253" spans="1:8" ht="14.4" x14ac:dyDescent="0.25">
      <c r="A253" s="4">
        <v>2019</v>
      </c>
      <c r="B253" s="4">
        <v>5</v>
      </c>
      <c r="C253" s="4" t="s">
        <v>18</v>
      </c>
      <c r="D253" s="5" t="s">
        <v>152</v>
      </c>
      <c r="E253" s="4" t="s">
        <v>153</v>
      </c>
      <c r="F253" s="6">
        <v>-31.08</v>
      </c>
      <c r="G253" s="6">
        <v>2190.62</v>
      </c>
      <c r="H253" s="4" t="str">
        <f t="shared" si="3"/>
        <v>二季度</v>
      </c>
    </row>
    <row r="254" spans="1:8" ht="14.4" x14ac:dyDescent="0.25">
      <c r="A254" s="4">
        <v>2019</v>
      </c>
      <c r="B254" s="4">
        <v>5</v>
      </c>
      <c r="C254" s="4" t="s">
        <v>18</v>
      </c>
      <c r="D254" s="5" t="s">
        <v>154</v>
      </c>
      <c r="E254" s="4" t="s">
        <v>153</v>
      </c>
      <c r="F254" s="6">
        <v>2420.13</v>
      </c>
      <c r="G254" s="6">
        <v>12964.25</v>
      </c>
      <c r="H254" s="4" t="str">
        <f t="shared" si="3"/>
        <v>二季度</v>
      </c>
    </row>
    <row r="255" spans="1:8" ht="14.4" x14ac:dyDescent="0.25">
      <c r="A255" s="4">
        <v>2019</v>
      </c>
      <c r="B255" s="4">
        <v>5</v>
      </c>
      <c r="C255" s="4" t="s">
        <v>18</v>
      </c>
      <c r="D255" s="5" t="s">
        <v>155</v>
      </c>
      <c r="E255" s="4" t="s">
        <v>153</v>
      </c>
      <c r="F255" s="6">
        <v>30165.4</v>
      </c>
      <c r="G255" s="6">
        <v>192983.44</v>
      </c>
      <c r="H255" s="4" t="str">
        <f t="shared" si="3"/>
        <v>二季度</v>
      </c>
    </row>
    <row r="256" spans="1:8" ht="14.4" x14ac:dyDescent="0.25">
      <c r="A256" s="4">
        <v>2019</v>
      </c>
      <c r="B256" s="4">
        <v>5</v>
      </c>
      <c r="C256" s="4" t="s">
        <v>18</v>
      </c>
      <c r="D256" s="5" t="s">
        <v>156</v>
      </c>
      <c r="E256" s="4" t="s">
        <v>153</v>
      </c>
      <c r="F256" s="6">
        <v>11521.29</v>
      </c>
      <c r="G256" s="6">
        <v>64736.11</v>
      </c>
      <c r="H256" s="4" t="str">
        <f t="shared" si="3"/>
        <v>二季度</v>
      </c>
    </row>
    <row r="257" spans="1:8" ht="14.4" x14ac:dyDescent="0.25">
      <c r="A257" s="4">
        <v>2019</v>
      </c>
      <c r="B257" s="4">
        <v>5</v>
      </c>
      <c r="C257" s="4" t="s">
        <v>18</v>
      </c>
      <c r="D257" s="5" t="s">
        <v>157</v>
      </c>
      <c r="E257" s="4" t="s">
        <v>153</v>
      </c>
      <c r="F257" s="6">
        <v>3099.97</v>
      </c>
      <c r="G257" s="6">
        <v>17570.25</v>
      </c>
      <c r="H257" s="4" t="str">
        <f t="shared" si="3"/>
        <v>二季度</v>
      </c>
    </row>
    <row r="258" spans="1:8" ht="14.4" x14ac:dyDescent="0.25">
      <c r="A258" s="4">
        <v>2019</v>
      </c>
      <c r="B258" s="4">
        <v>5</v>
      </c>
      <c r="C258" s="4" t="s">
        <v>18</v>
      </c>
      <c r="D258" s="5" t="s">
        <v>158</v>
      </c>
      <c r="E258" s="4" t="s">
        <v>153</v>
      </c>
      <c r="F258" s="6">
        <v>344.14</v>
      </c>
      <c r="G258" s="6">
        <v>2526.8000000000002</v>
      </c>
      <c r="H258" s="4" t="str">
        <f t="shared" ref="H258:H321" si="4">season(B258)</f>
        <v>二季度</v>
      </c>
    </row>
    <row r="259" spans="1:8" ht="14.4" x14ac:dyDescent="0.25">
      <c r="A259" s="4">
        <v>2019</v>
      </c>
      <c r="B259" s="4">
        <v>5</v>
      </c>
      <c r="C259" s="4" t="s">
        <v>18</v>
      </c>
      <c r="D259" s="5" t="s">
        <v>159</v>
      </c>
      <c r="E259" s="4" t="s">
        <v>153</v>
      </c>
      <c r="F259" s="6">
        <v>8692.74</v>
      </c>
      <c r="G259" s="6">
        <v>49922.95</v>
      </c>
      <c r="H259" s="4" t="str">
        <f t="shared" si="4"/>
        <v>二季度</v>
      </c>
    </row>
    <row r="260" spans="1:8" ht="14.4" x14ac:dyDescent="0.25">
      <c r="A260" s="4">
        <v>2019</v>
      </c>
      <c r="B260" s="4">
        <v>5</v>
      </c>
      <c r="C260" s="4" t="s">
        <v>18</v>
      </c>
      <c r="D260" s="5"/>
      <c r="E260" s="4" t="s">
        <v>160</v>
      </c>
      <c r="F260" s="6">
        <v>331590.15999999997</v>
      </c>
      <c r="G260" s="6">
        <v>1622580.77</v>
      </c>
      <c r="H260" s="4" t="str">
        <f t="shared" si="4"/>
        <v>二季度</v>
      </c>
    </row>
    <row r="261" spans="1:8" ht="14.4" x14ac:dyDescent="0.25">
      <c r="A261" s="4">
        <v>2019</v>
      </c>
      <c r="B261" s="4">
        <v>5</v>
      </c>
      <c r="C261" s="4" t="s">
        <v>18</v>
      </c>
      <c r="D261" s="5" t="s">
        <v>155</v>
      </c>
      <c r="E261" s="4" t="s">
        <v>161</v>
      </c>
      <c r="F261" s="6">
        <v>9507.5499999999993</v>
      </c>
      <c r="G261" s="6">
        <v>45519.81</v>
      </c>
      <c r="H261" s="4" t="str">
        <f t="shared" si="4"/>
        <v>二季度</v>
      </c>
    </row>
    <row r="262" spans="1:8" ht="14.4" x14ac:dyDescent="0.25">
      <c r="A262" s="4">
        <v>2019</v>
      </c>
      <c r="B262" s="4">
        <v>6</v>
      </c>
      <c r="C262" s="4" t="s">
        <v>18</v>
      </c>
      <c r="D262" s="5" t="s">
        <v>156</v>
      </c>
      <c r="E262" s="4" t="s">
        <v>153</v>
      </c>
      <c r="F262" s="6">
        <v>13934.84</v>
      </c>
      <c r="G262" s="6">
        <v>78670.95</v>
      </c>
      <c r="H262" s="4" t="str">
        <f t="shared" si="4"/>
        <v>二季度</v>
      </c>
    </row>
    <row r="263" spans="1:8" ht="14.4" x14ac:dyDescent="0.25">
      <c r="A263" s="4">
        <v>2019</v>
      </c>
      <c r="B263" s="4">
        <v>6</v>
      </c>
      <c r="C263" s="4" t="s">
        <v>18</v>
      </c>
      <c r="D263" s="5" t="s">
        <v>158</v>
      </c>
      <c r="E263" s="4" t="s">
        <v>153</v>
      </c>
      <c r="F263" s="6">
        <v>548.53</v>
      </c>
      <c r="G263" s="6">
        <v>3075.33</v>
      </c>
      <c r="H263" s="4" t="str">
        <f t="shared" si="4"/>
        <v>二季度</v>
      </c>
    </row>
    <row r="264" spans="1:8" ht="14.4" x14ac:dyDescent="0.25">
      <c r="A264" s="4">
        <v>2019</v>
      </c>
      <c r="B264" s="4">
        <v>6</v>
      </c>
      <c r="C264" s="4" t="s">
        <v>18</v>
      </c>
      <c r="D264" s="5" t="s">
        <v>154</v>
      </c>
      <c r="E264" s="4" t="s">
        <v>153</v>
      </c>
      <c r="F264" s="6">
        <v>2829.25</v>
      </c>
      <c r="G264" s="6">
        <v>15793.5</v>
      </c>
      <c r="H264" s="4" t="str">
        <f t="shared" si="4"/>
        <v>二季度</v>
      </c>
    </row>
    <row r="265" spans="1:8" ht="14.4" x14ac:dyDescent="0.25">
      <c r="A265" s="4">
        <v>2019</v>
      </c>
      <c r="B265" s="4">
        <v>6</v>
      </c>
      <c r="C265" s="4" t="s">
        <v>18</v>
      </c>
      <c r="D265" s="5" t="s">
        <v>155</v>
      </c>
      <c r="E265" s="4" t="s">
        <v>153</v>
      </c>
      <c r="F265" s="6">
        <v>40920.379999999997</v>
      </c>
      <c r="G265" s="6">
        <v>233903.82</v>
      </c>
      <c r="H265" s="4" t="str">
        <f t="shared" si="4"/>
        <v>二季度</v>
      </c>
    </row>
    <row r="266" spans="1:8" ht="14.4" x14ac:dyDescent="0.25">
      <c r="A266" s="4">
        <v>2019</v>
      </c>
      <c r="B266" s="4">
        <v>6</v>
      </c>
      <c r="C266" s="4" t="s">
        <v>18</v>
      </c>
      <c r="D266" s="5" t="s">
        <v>159</v>
      </c>
      <c r="E266" s="4" t="s">
        <v>153</v>
      </c>
      <c r="F266" s="6">
        <v>10533.92</v>
      </c>
      <c r="G266" s="6">
        <v>60456.87</v>
      </c>
      <c r="H266" s="4" t="str">
        <f t="shared" si="4"/>
        <v>二季度</v>
      </c>
    </row>
    <row r="267" spans="1:8" ht="14.4" x14ac:dyDescent="0.25">
      <c r="A267" s="4">
        <v>2019</v>
      </c>
      <c r="B267" s="4">
        <v>6</v>
      </c>
      <c r="C267" s="4" t="s">
        <v>18</v>
      </c>
      <c r="D267" s="5" t="s">
        <v>157</v>
      </c>
      <c r="E267" s="4" t="s">
        <v>153</v>
      </c>
      <c r="F267" s="6">
        <v>3809.78</v>
      </c>
      <c r="G267" s="6">
        <v>21380.04</v>
      </c>
      <c r="H267" s="4" t="str">
        <f t="shared" si="4"/>
        <v>二季度</v>
      </c>
    </row>
    <row r="268" spans="1:8" ht="14.4" x14ac:dyDescent="0.25">
      <c r="A268" s="4">
        <v>2019</v>
      </c>
      <c r="B268" s="4">
        <v>6</v>
      </c>
      <c r="C268" s="4" t="s">
        <v>18</v>
      </c>
      <c r="D268" s="5" t="s">
        <v>152</v>
      </c>
      <c r="E268" s="4" t="s">
        <v>153</v>
      </c>
      <c r="F268" s="6">
        <v>441.31</v>
      </c>
      <c r="G268" s="6">
        <v>2631.93</v>
      </c>
      <c r="H268" s="4" t="str">
        <f t="shared" si="4"/>
        <v>二季度</v>
      </c>
    </row>
    <row r="269" spans="1:8" ht="14.4" x14ac:dyDescent="0.25">
      <c r="A269" s="4">
        <v>2019</v>
      </c>
      <c r="B269" s="4">
        <v>6</v>
      </c>
      <c r="C269" s="4" t="s">
        <v>18</v>
      </c>
      <c r="D269" s="5"/>
      <c r="E269" s="4" t="s">
        <v>160</v>
      </c>
      <c r="F269" s="6">
        <v>324554.71000000002</v>
      </c>
      <c r="G269" s="6">
        <v>1947135.48</v>
      </c>
      <c r="H269" s="4" t="str">
        <f t="shared" si="4"/>
        <v>二季度</v>
      </c>
    </row>
    <row r="270" spans="1:8" ht="14.4" x14ac:dyDescent="0.25">
      <c r="A270" s="4">
        <v>2019</v>
      </c>
      <c r="B270" s="4">
        <v>6</v>
      </c>
      <c r="C270" s="4" t="s">
        <v>18</v>
      </c>
      <c r="D270" s="5" t="s">
        <v>155</v>
      </c>
      <c r="E270" s="4" t="s">
        <v>161</v>
      </c>
      <c r="F270" s="6">
        <v>9543.4</v>
      </c>
      <c r="G270" s="6">
        <v>55063.21</v>
      </c>
      <c r="H270" s="4" t="str">
        <f t="shared" si="4"/>
        <v>二季度</v>
      </c>
    </row>
    <row r="271" spans="1:8" ht="14.4" x14ac:dyDescent="0.25">
      <c r="A271" s="4">
        <v>2019</v>
      </c>
      <c r="B271" s="4">
        <v>7</v>
      </c>
      <c r="C271" s="4" t="s">
        <v>18</v>
      </c>
      <c r="D271" s="5" t="s">
        <v>152</v>
      </c>
      <c r="E271" s="4" t="s">
        <v>153</v>
      </c>
      <c r="F271" s="6">
        <v>594.28</v>
      </c>
      <c r="G271" s="6">
        <v>3226.22</v>
      </c>
      <c r="H271" s="4" t="str">
        <f t="shared" si="4"/>
        <v>三季度</v>
      </c>
    </row>
    <row r="272" spans="1:8" ht="14.4" x14ac:dyDescent="0.25">
      <c r="A272" s="4">
        <v>2019</v>
      </c>
      <c r="B272" s="4">
        <v>7</v>
      </c>
      <c r="C272" s="4" t="s">
        <v>18</v>
      </c>
      <c r="D272" s="5" t="s">
        <v>154</v>
      </c>
      <c r="E272" s="4" t="s">
        <v>153</v>
      </c>
      <c r="F272" s="6">
        <v>2715.31</v>
      </c>
      <c r="G272" s="6">
        <v>18508.810000000001</v>
      </c>
      <c r="H272" s="4" t="str">
        <f t="shared" si="4"/>
        <v>三季度</v>
      </c>
    </row>
    <row r="273" spans="1:8" ht="14.4" x14ac:dyDescent="0.25">
      <c r="A273" s="4">
        <v>2019</v>
      </c>
      <c r="B273" s="4">
        <v>7</v>
      </c>
      <c r="C273" s="4" t="s">
        <v>18</v>
      </c>
      <c r="D273" s="5" t="s">
        <v>155</v>
      </c>
      <c r="E273" s="4" t="s">
        <v>153</v>
      </c>
      <c r="F273" s="6">
        <v>53999.14</v>
      </c>
      <c r="G273" s="6">
        <v>287902.96000000002</v>
      </c>
      <c r="H273" s="4" t="str">
        <f t="shared" si="4"/>
        <v>三季度</v>
      </c>
    </row>
    <row r="274" spans="1:8" ht="14.4" x14ac:dyDescent="0.25">
      <c r="A274" s="4">
        <v>2019</v>
      </c>
      <c r="B274" s="4">
        <v>7</v>
      </c>
      <c r="C274" s="4" t="s">
        <v>18</v>
      </c>
      <c r="D274" s="5" t="s">
        <v>156</v>
      </c>
      <c r="E274" s="4" t="s">
        <v>153</v>
      </c>
      <c r="F274" s="6">
        <v>15230.74</v>
      </c>
      <c r="G274" s="6">
        <v>93901.69</v>
      </c>
      <c r="H274" s="4" t="str">
        <f t="shared" si="4"/>
        <v>三季度</v>
      </c>
    </row>
    <row r="275" spans="1:8" ht="14.4" x14ac:dyDescent="0.25">
      <c r="A275" s="4">
        <v>2019</v>
      </c>
      <c r="B275" s="4">
        <v>7</v>
      </c>
      <c r="C275" s="4" t="s">
        <v>18</v>
      </c>
      <c r="D275" s="5" t="s">
        <v>157</v>
      </c>
      <c r="E275" s="4" t="s">
        <v>153</v>
      </c>
      <c r="F275" s="6">
        <v>4213.9799999999996</v>
      </c>
      <c r="G275" s="6">
        <v>25594.02</v>
      </c>
      <c r="H275" s="4" t="str">
        <f t="shared" si="4"/>
        <v>三季度</v>
      </c>
    </row>
    <row r="276" spans="1:8" ht="14.4" x14ac:dyDescent="0.25">
      <c r="A276" s="4">
        <v>2019</v>
      </c>
      <c r="B276" s="4">
        <v>7</v>
      </c>
      <c r="C276" s="4" t="s">
        <v>18</v>
      </c>
      <c r="D276" s="5" t="s">
        <v>158</v>
      </c>
      <c r="E276" s="4" t="s">
        <v>153</v>
      </c>
      <c r="F276" s="6">
        <v>653.36</v>
      </c>
      <c r="G276" s="6">
        <v>3728.69</v>
      </c>
      <c r="H276" s="4" t="str">
        <f t="shared" si="4"/>
        <v>三季度</v>
      </c>
    </row>
    <row r="277" spans="1:8" ht="14.4" x14ac:dyDescent="0.25">
      <c r="A277" s="4">
        <v>2019</v>
      </c>
      <c r="B277" s="4">
        <v>7</v>
      </c>
      <c r="C277" s="4" t="s">
        <v>18</v>
      </c>
      <c r="D277" s="5" t="s">
        <v>159</v>
      </c>
      <c r="E277" s="4" t="s">
        <v>153</v>
      </c>
      <c r="F277" s="6">
        <v>12290.29</v>
      </c>
      <c r="G277" s="6">
        <v>72747.16</v>
      </c>
      <c r="H277" s="4" t="str">
        <f t="shared" si="4"/>
        <v>三季度</v>
      </c>
    </row>
    <row r="278" spans="1:8" ht="14.4" x14ac:dyDescent="0.25">
      <c r="A278" s="4">
        <v>2019</v>
      </c>
      <c r="B278" s="4">
        <v>7</v>
      </c>
      <c r="C278" s="4" t="s">
        <v>18</v>
      </c>
      <c r="D278" s="5"/>
      <c r="E278" s="4" t="s">
        <v>160</v>
      </c>
      <c r="F278" s="6">
        <v>340770.55</v>
      </c>
      <c r="G278" s="6">
        <v>2287906.0299999998</v>
      </c>
      <c r="H278" s="4" t="str">
        <f t="shared" si="4"/>
        <v>三季度</v>
      </c>
    </row>
    <row r="279" spans="1:8" ht="14.4" x14ac:dyDescent="0.25">
      <c r="A279" s="4">
        <v>2019</v>
      </c>
      <c r="B279" s="4">
        <v>7</v>
      </c>
      <c r="C279" s="4" t="s">
        <v>18</v>
      </c>
      <c r="D279" s="5" t="s">
        <v>155</v>
      </c>
      <c r="E279" s="4" t="s">
        <v>161</v>
      </c>
      <c r="F279" s="6">
        <v>14449.06</v>
      </c>
      <c r="G279" s="6">
        <v>69512.259999999995</v>
      </c>
      <c r="H279" s="4" t="str">
        <f t="shared" si="4"/>
        <v>三季度</v>
      </c>
    </row>
    <row r="280" spans="1:8" ht="14.4" x14ac:dyDescent="0.25">
      <c r="A280" s="4">
        <v>2019</v>
      </c>
      <c r="B280" s="4">
        <v>8</v>
      </c>
      <c r="C280" s="4" t="s">
        <v>18</v>
      </c>
      <c r="D280" s="5" t="s">
        <v>152</v>
      </c>
      <c r="E280" s="4" t="s">
        <v>153</v>
      </c>
      <c r="F280" s="6">
        <v>346.79</v>
      </c>
      <c r="G280" s="6">
        <v>3573.01</v>
      </c>
      <c r="H280" s="4" t="str">
        <f t="shared" si="4"/>
        <v>三季度</v>
      </c>
    </row>
    <row r="281" spans="1:8" ht="14.4" x14ac:dyDescent="0.25">
      <c r="A281" s="4">
        <v>2019</v>
      </c>
      <c r="B281" s="4">
        <v>8</v>
      </c>
      <c r="C281" s="4" t="s">
        <v>18</v>
      </c>
      <c r="D281" s="5" t="s">
        <v>154</v>
      </c>
      <c r="E281" s="4" t="s">
        <v>153</v>
      </c>
      <c r="F281" s="6">
        <v>3193.59</v>
      </c>
      <c r="G281" s="6">
        <v>21702.41</v>
      </c>
      <c r="H281" s="4" t="str">
        <f t="shared" si="4"/>
        <v>三季度</v>
      </c>
    </row>
    <row r="282" spans="1:8" ht="14.4" x14ac:dyDescent="0.25">
      <c r="A282" s="4">
        <v>2019</v>
      </c>
      <c r="B282" s="4">
        <v>8</v>
      </c>
      <c r="C282" s="4" t="s">
        <v>18</v>
      </c>
      <c r="D282" s="5" t="s">
        <v>155</v>
      </c>
      <c r="E282" s="4" t="s">
        <v>153</v>
      </c>
      <c r="F282" s="6">
        <v>37917.949999999997</v>
      </c>
      <c r="G282" s="6">
        <v>325820.92</v>
      </c>
      <c r="H282" s="4" t="str">
        <f t="shared" si="4"/>
        <v>三季度</v>
      </c>
    </row>
    <row r="283" spans="1:8" ht="14.4" x14ac:dyDescent="0.25">
      <c r="A283" s="4">
        <v>2019</v>
      </c>
      <c r="B283" s="4">
        <v>8</v>
      </c>
      <c r="C283" s="4" t="s">
        <v>18</v>
      </c>
      <c r="D283" s="5" t="s">
        <v>156</v>
      </c>
      <c r="E283" s="4" t="s">
        <v>153</v>
      </c>
      <c r="F283" s="6">
        <v>13228.67</v>
      </c>
      <c r="G283" s="6">
        <v>107130.36</v>
      </c>
      <c r="H283" s="4" t="str">
        <f t="shared" si="4"/>
        <v>三季度</v>
      </c>
    </row>
    <row r="284" spans="1:8" ht="14.4" x14ac:dyDescent="0.25">
      <c r="A284" s="4">
        <v>2019</v>
      </c>
      <c r="B284" s="4">
        <v>8</v>
      </c>
      <c r="C284" s="4" t="s">
        <v>18</v>
      </c>
      <c r="D284" s="5" t="s">
        <v>157</v>
      </c>
      <c r="E284" s="4" t="s">
        <v>153</v>
      </c>
      <c r="F284" s="6">
        <v>3707.08</v>
      </c>
      <c r="G284" s="6">
        <v>29301.1</v>
      </c>
      <c r="H284" s="4" t="str">
        <f t="shared" si="4"/>
        <v>三季度</v>
      </c>
    </row>
    <row r="285" spans="1:8" ht="14.4" x14ac:dyDescent="0.25">
      <c r="A285" s="4">
        <v>2019</v>
      </c>
      <c r="B285" s="4">
        <v>8</v>
      </c>
      <c r="C285" s="4" t="s">
        <v>18</v>
      </c>
      <c r="D285" s="5" t="s">
        <v>158</v>
      </c>
      <c r="E285" s="4" t="s">
        <v>153</v>
      </c>
      <c r="F285" s="6">
        <v>486.48</v>
      </c>
      <c r="G285" s="6">
        <v>4215.17</v>
      </c>
      <c r="H285" s="4" t="str">
        <f t="shared" si="4"/>
        <v>三季度</v>
      </c>
    </row>
    <row r="286" spans="1:8" ht="14.4" x14ac:dyDescent="0.25">
      <c r="A286" s="4">
        <v>2019</v>
      </c>
      <c r="B286" s="4">
        <v>8</v>
      </c>
      <c r="C286" s="4" t="s">
        <v>18</v>
      </c>
      <c r="D286" s="5" t="s">
        <v>159</v>
      </c>
      <c r="E286" s="4" t="s">
        <v>153</v>
      </c>
      <c r="F286" s="6">
        <v>10179.870000000001</v>
      </c>
      <c r="G286" s="6">
        <v>82927.03</v>
      </c>
      <c r="H286" s="4" t="str">
        <f t="shared" si="4"/>
        <v>三季度</v>
      </c>
    </row>
    <row r="287" spans="1:8" ht="14.4" x14ac:dyDescent="0.25">
      <c r="A287" s="4">
        <v>2019</v>
      </c>
      <c r="B287" s="4">
        <v>8</v>
      </c>
      <c r="C287" s="4" t="s">
        <v>18</v>
      </c>
      <c r="D287" s="5"/>
      <c r="E287" s="4" t="s">
        <v>160</v>
      </c>
      <c r="F287" s="6">
        <v>341334.5</v>
      </c>
      <c r="G287" s="6">
        <v>2629240.5299999998</v>
      </c>
      <c r="H287" s="4" t="str">
        <f t="shared" si="4"/>
        <v>三季度</v>
      </c>
    </row>
    <row r="288" spans="1:8" ht="14.4" x14ac:dyDescent="0.25">
      <c r="A288" s="4">
        <v>2019</v>
      </c>
      <c r="B288" s="4">
        <v>8</v>
      </c>
      <c r="C288" s="4" t="s">
        <v>18</v>
      </c>
      <c r="D288" s="5" t="s">
        <v>155</v>
      </c>
      <c r="E288" s="4" t="s">
        <v>161</v>
      </c>
      <c r="F288" s="6">
        <v>13286.79</v>
      </c>
      <c r="G288" s="6">
        <v>82799.06</v>
      </c>
      <c r="H288" s="4" t="str">
        <f t="shared" si="4"/>
        <v>三季度</v>
      </c>
    </row>
    <row r="289" spans="1:8" ht="14.4" x14ac:dyDescent="0.25">
      <c r="A289" s="4">
        <v>2019</v>
      </c>
      <c r="B289" s="4">
        <v>9</v>
      </c>
      <c r="C289" s="4" t="s">
        <v>18</v>
      </c>
      <c r="D289" s="5" t="s">
        <v>152</v>
      </c>
      <c r="E289" s="4" t="s">
        <v>153</v>
      </c>
      <c r="F289" s="6">
        <v>352.45</v>
      </c>
      <c r="G289" s="6">
        <v>3925.46</v>
      </c>
      <c r="H289" s="4" t="str">
        <f t="shared" si="4"/>
        <v>三季度</v>
      </c>
    </row>
    <row r="290" spans="1:8" ht="14.4" x14ac:dyDescent="0.25">
      <c r="A290" s="4">
        <v>2019</v>
      </c>
      <c r="B290" s="4">
        <v>9</v>
      </c>
      <c r="C290" s="4" t="s">
        <v>18</v>
      </c>
      <c r="D290" s="5" t="s">
        <v>154</v>
      </c>
      <c r="E290" s="4" t="s">
        <v>153</v>
      </c>
      <c r="F290" s="6">
        <v>3065.13</v>
      </c>
      <c r="G290" s="6">
        <v>24767.54</v>
      </c>
      <c r="H290" s="4" t="str">
        <f t="shared" si="4"/>
        <v>三季度</v>
      </c>
    </row>
    <row r="291" spans="1:8" ht="14.4" x14ac:dyDescent="0.25">
      <c r="A291" s="4">
        <v>2019</v>
      </c>
      <c r="B291" s="4">
        <v>9</v>
      </c>
      <c r="C291" s="4" t="s">
        <v>18</v>
      </c>
      <c r="D291" s="5" t="s">
        <v>155</v>
      </c>
      <c r="E291" s="4" t="s">
        <v>153</v>
      </c>
      <c r="F291" s="6">
        <v>41133.699999999997</v>
      </c>
      <c r="G291" s="6">
        <v>366954.61</v>
      </c>
      <c r="H291" s="4" t="str">
        <f t="shared" si="4"/>
        <v>三季度</v>
      </c>
    </row>
    <row r="292" spans="1:8" ht="14.4" x14ac:dyDescent="0.25">
      <c r="A292" s="4">
        <v>2019</v>
      </c>
      <c r="B292" s="4">
        <v>9</v>
      </c>
      <c r="C292" s="4" t="s">
        <v>18</v>
      </c>
      <c r="D292" s="5" t="s">
        <v>156</v>
      </c>
      <c r="E292" s="4" t="s">
        <v>153</v>
      </c>
      <c r="F292" s="6">
        <v>14210.38</v>
      </c>
      <c r="G292" s="6">
        <v>121340.74</v>
      </c>
      <c r="H292" s="4" t="str">
        <f t="shared" si="4"/>
        <v>三季度</v>
      </c>
    </row>
    <row r="293" spans="1:8" ht="14.4" x14ac:dyDescent="0.25">
      <c r="A293" s="4">
        <v>2019</v>
      </c>
      <c r="B293" s="4">
        <v>9</v>
      </c>
      <c r="C293" s="4" t="s">
        <v>18</v>
      </c>
      <c r="D293" s="5" t="s">
        <v>157</v>
      </c>
      <c r="E293" s="4" t="s">
        <v>153</v>
      </c>
      <c r="F293" s="6">
        <v>3851.33</v>
      </c>
      <c r="G293" s="6">
        <v>33152.43</v>
      </c>
      <c r="H293" s="4" t="str">
        <f t="shared" si="4"/>
        <v>三季度</v>
      </c>
    </row>
    <row r="294" spans="1:8" ht="14.4" x14ac:dyDescent="0.25">
      <c r="A294" s="4">
        <v>2019</v>
      </c>
      <c r="B294" s="4">
        <v>9</v>
      </c>
      <c r="C294" s="4" t="s">
        <v>18</v>
      </c>
      <c r="D294" s="5" t="s">
        <v>158</v>
      </c>
      <c r="E294" s="4" t="s">
        <v>153</v>
      </c>
      <c r="F294" s="6">
        <v>527.57000000000005</v>
      </c>
      <c r="G294" s="6">
        <v>4742.74</v>
      </c>
      <c r="H294" s="4" t="str">
        <f t="shared" si="4"/>
        <v>三季度</v>
      </c>
    </row>
    <row r="295" spans="1:8" ht="14.4" x14ac:dyDescent="0.25">
      <c r="A295" s="4">
        <v>2019</v>
      </c>
      <c r="B295" s="4">
        <v>9</v>
      </c>
      <c r="C295" s="4" t="s">
        <v>18</v>
      </c>
      <c r="D295" s="5" t="s">
        <v>159</v>
      </c>
      <c r="E295" s="4" t="s">
        <v>153</v>
      </c>
      <c r="F295" s="6">
        <v>10645.33</v>
      </c>
      <c r="G295" s="6">
        <v>93572.36</v>
      </c>
      <c r="H295" s="4" t="str">
        <f t="shared" si="4"/>
        <v>三季度</v>
      </c>
    </row>
    <row r="296" spans="1:8" ht="14.4" x14ac:dyDescent="0.25">
      <c r="A296" s="4">
        <v>2019</v>
      </c>
      <c r="B296" s="4">
        <v>9</v>
      </c>
      <c r="C296" s="4" t="s">
        <v>18</v>
      </c>
      <c r="D296" s="5"/>
      <c r="E296" s="4" t="s">
        <v>160</v>
      </c>
      <c r="F296" s="6">
        <v>340544.82</v>
      </c>
      <c r="G296" s="6">
        <v>2969785.35</v>
      </c>
      <c r="H296" s="4" t="str">
        <f t="shared" si="4"/>
        <v>三季度</v>
      </c>
    </row>
    <row r="297" spans="1:8" ht="14.4" x14ac:dyDescent="0.25">
      <c r="A297" s="4">
        <v>2019</v>
      </c>
      <c r="B297" s="4">
        <v>9</v>
      </c>
      <c r="C297" s="4" t="s">
        <v>18</v>
      </c>
      <c r="D297" s="5" t="s">
        <v>155</v>
      </c>
      <c r="E297" s="4" t="s">
        <v>161</v>
      </c>
      <c r="F297" s="6">
        <v>13333.02</v>
      </c>
      <c r="G297" s="6">
        <v>96132.08</v>
      </c>
      <c r="H297" s="4" t="str">
        <f t="shared" si="4"/>
        <v>三季度</v>
      </c>
    </row>
    <row r="298" spans="1:8" ht="14.4" x14ac:dyDescent="0.25">
      <c r="A298" s="4">
        <v>2019</v>
      </c>
      <c r="B298" s="4">
        <v>10</v>
      </c>
      <c r="C298" s="4" t="s">
        <v>18</v>
      </c>
      <c r="D298" s="5" t="s">
        <v>158</v>
      </c>
      <c r="E298" s="4" t="s">
        <v>153</v>
      </c>
      <c r="F298" s="6">
        <v>314.44</v>
      </c>
      <c r="G298" s="6">
        <v>5057.18</v>
      </c>
      <c r="H298" s="4" t="str">
        <f t="shared" si="4"/>
        <v>四季度</v>
      </c>
    </row>
    <row r="299" spans="1:8" ht="14.4" x14ac:dyDescent="0.25">
      <c r="A299" s="4">
        <v>2019</v>
      </c>
      <c r="B299" s="4">
        <v>10</v>
      </c>
      <c r="C299" s="4" t="s">
        <v>18</v>
      </c>
      <c r="D299" s="5" t="s">
        <v>156</v>
      </c>
      <c r="E299" s="4" t="s">
        <v>153</v>
      </c>
      <c r="F299" s="6">
        <v>7577.49</v>
      </c>
      <c r="G299" s="6">
        <v>128918.23</v>
      </c>
      <c r="H299" s="4" t="str">
        <f t="shared" si="4"/>
        <v>四季度</v>
      </c>
    </row>
    <row r="300" spans="1:8" ht="14.4" x14ac:dyDescent="0.25">
      <c r="A300" s="4">
        <v>2019</v>
      </c>
      <c r="B300" s="4">
        <v>10</v>
      </c>
      <c r="C300" s="4" t="s">
        <v>18</v>
      </c>
      <c r="D300" s="5" t="s">
        <v>152</v>
      </c>
      <c r="E300" s="4" t="s">
        <v>153</v>
      </c>
      <c r="F300" s="6">
        <v>369.53</v>
      </c>
      <c r="G300" s="6">
        <v>4294.99</v>
      </c>
      <c r="H300" s="4" t="str">
        <f t="shared" si="4"/>
        <v>四季度</v>
      </c>
    </row>
    <row r="301" spans="1:8" ht="14.4" x14ac:dyDescent="0.25">
      <c r="A301" s="4">
        <v>2019</v>
      </c>
      <c r="B301" s="4">
        <v>10</v>
      </c>
      <c r="C301" s="4" t="s">
        <v>18</v>
      </c>
      <c r="D301" s="5" t="s">
        <v>159</v>
      </c>
      <c r="E301" s="4" t="s">
        <v>153</v>
      </c>
      <c r="F301" s="6">
        <v>5941.87</v>
      </c>
      <c r="G301" s="6">
        <v>99514.23</v>
      </c>
      <c r="H301" s="4" t="str">
        <f t="shared" si="4"/>
        <v>四季度</v>
      </c>
    </row>
    <row r="302" spans="1:8" ht="14.4" x14ac:dyDescent="0.25">
      <c r="A302" s="4">
        <v>2019</v>
      </c>
      <c r="B302" s="4">
        <v>10</v>
      </c>
      <c r="C302" s="4" t="s">
        <v>18</v>
      </c>
      <c r="D302" s="5" t="s">
        <v>155</v>
      </c>
      <c r="E302" s="4" t="s">
        <v>153</v>
      </c>
      <c r="F302" s="6">
        <v>28649.919999999998</v>
      </c>
      <c r="G302" s="6">
        <v>395604.54</v>
      </c>
      <c r="H302" s="4" t="str">
        <f t="shared" si="4"/>
        <v>四季度</v>
      </c>
    </row>
    <row r="303" spans="1:8" ht="14.4" x14ac:dyDescent="0.25">
      <c r="A303" s="4">
        <v>2019</v>
      </c>
      <c r="B303" s="4">
        <v>10</v>
      </c>
      <c r="C303" s="4" t="s">
        <v>18</v>
      </c>
      <c r="D303" s="5" t="s">
        <v>154</v>
      </c>
      <c r="E303" s="4" t="s">
        <v>153</v>
      </c>
      <c r="F303" s="6">
        <v>1824.75</v>
      </c>
      <c r="G303" s="6">
        <v>26592.28</v>
      </c>
      <c r="H303" s="4" t="str">
        <f t="shared" si="4"/>
        <v>四季度</v>
      </c>
    </row>
    <row r="304" spans="1:8" ht="14.4" x14ac:dyDescent="0.25">
      <c r="A304" s="4">
        <v>2019</v>
      </c>
      <c r="B304" s="4">
        <v>10</v>
      </c>
      <c r="C304" s="4" t="s">
        <v>18</v>
      </c>
      <c r="D304" s="5" t="s">
        <v>157</v>
      </c>
      <c r="E304" s="4" t="s">
        <v>153</v>
      </c>
      <c r="F304" s="6">
        <v>1774.28</v>
      </c>
      <c r="G304" s="6">
        <v>34926.720000000001</v>
      </c>
      <c r="H304" s="4" t="str">
        <f t="shared" si="4"/>
        <v>四季度</v>
      </c>
    </row>
    <row r="305" spans="1:8" ht="14.4" x14ac:dyDescent="0.25">
      <c r="A305" s="4">
        <v>2019</v>
      </c>
      <c r="B305" s="4">
        <v>10</v>
      </c>
      <c r="C305" s="4" t="s">
        <v>18</v>
      </c>
      <c r="D305" s="5"/>
      <c r="E305" s="4" t="s">
        <v>160</v>
      </c>
      <c r="F305" s="6">
        <v>357892.13</v>
      </c>
      <c r="G305" s="6">
        <v>3327677.48</v>
      </c>
      <c r="H305" s="4" t="str">
        <f t="shared" si="4"/>
        <v>四季度</v>
      </c>
    </row>
    <row r="306" spans="1:8" ht="14.4" x14ac:dyDescent="0.25">
      <c r="A306" s="4">
        <v>2019</v>
      </c>
      <c r="B306" s="4">
        <v>10</v>
      </c>
      <c r="C306" s="4" t="s">
        <v>18</v>
      </c>
      <c r="D306" s="5" t="s">
        <v>155</v>
      </c>
      <c r="E306" s="4" t="s">
        <v>161</v>
      </c>
      <c r="F306" s="6">
        <v>13349.06</v>
      </c>
      <c r="G306" s="6">
        <v>109481.13</v>
      </c>
      <c r="H306" s="4" t="str">
        <f t="shared" si="4"/>
        <v>四季度</v>
      </c>
    </row>
    <row r="307" spans="1:8" ht="14.4" x14ac:dyDescent="0.25">
      <c r="A307" s="4">
        <v>2019</v>
      </c>
      <c r="B307" s="4">
        <v>11</v>
      </c>
      <c r="C307" s="4" t="s">
        <v>18</v>
      </c>
      <c r="D307" s="5" t="s">
        <v>152</v>
      </c>
      <c r="E307" s="4" t="s">
        <v>153</v>
      </c>
      <c r="F307" s="6">
        <v>345.25</v>
      </c>
      <c r="G307" s="6">
        <v>4640.24</v>
      </c>
      <c r="H307" s="4" t="str">
        <f t="shared" si="4"/>
        <v>四季度</v>
      </c>
    </row>
    <row r="308" spans="1:8" ht="14.4" x14ac:dyDescent="0.25">
      <c r="A308" s="4">
        <v>2019</v>
      </c>
      <c r="B308" s="4">
        <v>11</v>
      </c>
      <c r="C308" s="4" t="s">
        <v>18</v>
      </c>
      <c r="D308" s="5" t="s">
        <v>159</v>
      </c>
      <c r="E308" s="4" t="s">
        <v>153</v>
      </c>
      <c r="F308" s="6">
        <v>11373.54</v>
      </c>
      <c r="G308" s="6">
        <v>110887.76</v>
      </c>
      <c r="H308" s="4" t="str">
        <f t="shared" si="4"/>
        <v>四季度</v>
      </c>
    </row>
    <row r="309" spans="1:8" ht="14.4" x14ac:dyDescent="0.25">
      <c r="A309" s="4">
        <v>2019</v>
      </c>
      <c r="B309" s="4">
        <v>11</v>
      </c>
      <c r="C309" s="4" t="s">
        <v>18</v>
      </c>
      <c r="D309" s="5" t="s">
        <v>155</v>
      </c>
      <c r="E309" s="4" t="s">
        <v>153</v>
      </c>
      <c r="F309" s="6">
        <v>42616.98</v>
      </c>
      <c r="G309" s="6">
        <v>438221.52</v>
      </c>
      <c r="H309" s="4" t="str">
        <f t="shared" si="4"/>
        <v>四季度</v>
      </c>
    </row>
    <row r="310" spans="1:8" ht="14.4" x14ac:dyDescent="0.25">
      <c r="A310" s="4">
        <v>2019</v>
      </c>
      <c r="B310" s="4">
        <v>11</v>
      </c>
      <c r="C310" s="4" t="s">
        <v>18</v>
      </c>
      <c r="D310" s="5" t="s">
        <v>156</v>
      </c>
      <c r="E310" s="4" t="s">
        <v>153</v>
      </c>
      <c r="F310" s="6">
        <v>15633.01</v>
      </c>
      <c r="G310" s="6">
        <v>144551.24</v>
      </c>
      <c r="H310" s="4" t="str">
        <f t="shared" si="4"/>
        <v>四季度</v>
      </c>
    </row>
    <row r="311" spans="1:8" ht="14.4" x14ac:dyDescent="0.25">
      <c r="A311" s="4">
        <v>2019</v>
      </c>
      <c r="B311" s="4">
        <v>11</v>
      </c>
      <c r="C311" s="4" t="s">
        <v>18</v>
      </c>
      <c r="D311" s="5" t="s">
        <v>157</v>
      </c>
      <c r="E311" s="4" t="s">
        <v>153</v>
      </c>
      <c r="F311" s="6">
        <v>4369.79</v>
      </c>
      <c r="G311" s="6">
        <v>39296.51</v>
      </c>
      <c r="H311" s="4" t="str">
        <f t="shared" si="4"/>
        <v>四季度</v>
      </c>
    </row>
    <row r="312" spans="1:8" ht="14.4" x14ac:dyDescent="0.25">
      <c r="A312" s="4">
        <v>2019</v>
      </c>
      <c r="B312" s="4">
        <v>11</v>
      </c>
      <c r="C312" s="4" t="s">
        <v>18</v>
      </c>
      <c r="D312" s="5" t="s">
        <v>154</v>
      </c>
      <c r="E312" s="4" t="s">
        <v>153</v>
      </c>
      <c r="F312" s="6">
        <v>3235.66</v>
      </c>
      <c r="G312" s="6">
        <v>29827.94</v>
      </c>
      <c r="H312" s="4" t="str">
        <f t="shared" si="4"/>
        <v>四季度</v>
      </c>
    </row>
    <row r="313" spans="1:8" ht="14.4" x14ac:dyDescent="0.25">
      <c r="A313" s="4">
        <v>2019</v>
      </c>
      <c r="B313" s="4">
        <v>11</v>
      </c>
      <c r="C313" s="4" t="s">
        <v>18</v>
      </c>
      <c r="D313" s="5" t="s">
        <v>158</v>
      </c>
      <c r="E313" s="4" t="s">
        <v>153</v>
      </c>
      <c r="F313" s="6">
        <v>575.05999999999995</v>
      </c>
      <c r="G313" s="6">
        <v>5632.24</v>
      </c>
      <c r="H313" s="4" t="str">
        <f t="shared" si="4"/>
        <v>四季度</v>
      </c>
    </row>
    <row r="314" spans="1:8" ht="14.4" x14ac:dyDescent="0.25">
      <c r="A314" s="4">
        <v>2019</v>
      </c>
      <c r="B314" s="4">
        <v>11</v>
      </c>
      <c r="C314" s="4" t="s">
        <v>18</v>
      </c>
      <c r="D314" s="5"/>
      <c r="E314" s="4" t="s">
        <v>160</v>
      </c>
      <c r="F314" s="6">
        <v>333575.23</v>
      </c>
      <c r="G314" s="6">
        <v>3661252.71</v>
      </c>
      <c r="H314" s="4" t="str">
        <f t="shared" si="4"/>
        <v>四季度</v>
      </c>
    </row>
    <row r="315" spans="1:8" ht="14.4" x14ac:dyDescent="0.25">
      <c r="A315" s="4">
        <v>2019</v>
      </c>
      <c r="B315" s="4">
        <v>11</v>
      </c>
      <c r="C315" s="4" t="s">
        <v>18</v>
      </c>
      <c r="D315" s="5" t="s">
        <v>155</v>
      </c>
      <c r="E315" s="4" t="s">
        <v>161</v>
      </c>
      <c r="F315" s="6">
        <v>13403.77</v>
      </c>
      <c r="G315" s="6">
        <v>122884.91</v>
      </c>
      <c r="H315" s="4" t="str">
        <f t="shared" si="4"/>
        <v>四季度</v>
      </c>
    </row>
    <row r="316" spans="1:8" ht="14.4" x14ac:dyDescent="0.25">
      <c r="A316" s="4">
        <v>2019</v>
      </c>
      <c r="B316" s="4">
        <v>12</v>
      </c>
      <c r="C316" s="4" t="s">
        <v>18</v>
      </c>
      <c r="D316" s="5" t="s">
        <v>156</v>
      </c>
      <c r="E316" s="4" t="s">
        <v>153</v>
      </c>
      <c r="F316" s="6">
        <v>9039.76</v>
      </c>
      <c r="G316" s="6">
        <v>153591</v>
      </c>
      <c r="H316" s="4" t="str">
        <f t="shared" si="4"/>
        <v>四季度</v>
      </c>
    </row>
    <row r="317" spans="1:8" ht="14.4" x14ac:dyDescent="0.25">
      <c r="A317" s="4">
        <v>2019</v>
      </c>
      <c r="B317" s="4">
        <v>12</v>
      </c>
      <c r="C317" s="4" t="s">
        <v>18</v>
      </c>
      <c r="D317" s="5" t="s">
        <v>155</v>
      </c>
      <c r="E317" s="4" t="s">
        <v>153</v>
      </c>
      <c r="F317" s="6">
        <v>37260.07</v>
      </c>
      <c r="G317" s="6">
        <v>475481.58</v>
      </c>
      <c r="H317" s="4" t="str">
        <f t="shared" si="4"/>
        <v>四季度</v>
      </c>
    </row>
    <row r="318" spans="1:8" ht="14.4" x14ac:dyDescent="0.25">
      <c r="A318" s="4">
        <v>2019</v>
      </c>
      <c r="B318" s="4">
        <v>12</v>
      </c>
      <c r="C318" s="4" t="s">
        <v>18</v>
      </c>
      <c r="D318" s="5" t="s">
        <v>157</v>
      </c>
      <c r="E318" s="4" t="s">
        <v>153</v>
      </c>
      <c r="F318" s="6">
        <v>3637.12</v>
      </c>
      <c r="G318" s="6">
        <v>42933.63</v>
      </c>
      <c r="H318" s="4" t="str">
        <f t="shared" si="4"/>
        <v>四季度</v>
      </c>
    </row>
    <row r="319" spans="1:8" ht="14.4" x14ac:dyDescent="0.25">
      <c r="A319" s="4">
        <v>2019</v>
      </c>
      <c r="B319" s="4">
        <v>12</v>
      </c>
      <c r="C319" s="4" t="s">
        <v>18</v>
      </c>
      <c r="D319" s="5" t="s">
        <v>152</v>
      </c>
      <c r="E319" s="4" t="s">
        <v>153</v>
      </c>
      <c r="F319" s="6">
        <v>347.13</v>
      </c>
      <c r="G319" s="6">
        <v>4987.37</v>
      </c>
      <c r="H319" s="4" t="str">
        <f t="shared" si="4"/>
        <v>四季度</v>
      </c>
    </row>
    <row r="320" spans="1:8" ht="14.4" x14ac:dyDescent="0.25">
      <c r="A320" s="4">
        <v>2019</v>
      </c>
      <c r="B320" s="4">
        <v>12</v>
      </c>
      <c r="C320" s="4" t="s">
        <v>18</v>
      </c>
      <c r="D320" s="5" t="s">
        <v>158</v>
      </c>
      <c r="E320" s="4" t="s">
        <v>153</v>
      </c>
      <c r="F320" s="6">
        <v>510.75</v>
      </c>
      <c r="G320" s="6">
        <v>6142.99</v>
      </c>
      <c r="H320" s="4" t="str">
        <f t="shared" si="4"/>
        <v>四季度</v>
      </c>
    </row>
    <row r="321" spans="1:8" ht="14.4" x14ac:dyDescent="0.25">
      <c r="A321" s="4">
        <v>2019</v>
      </c>
      <c r="B321" s="4">
        <v>12</v>
      </c>
      <c r="C321" s="4" t="s">
        <v>18</v>
      </c>
      <c r="D321" s="5" t="s">
        <v>154</v>
      </c>
      <c r="E321" s="4" t="s">
        <v>153</v>
      </c>
      <c r="F321" s="6">
        <v>2747.06</v>
      </c>
      <c r="G321" s="6">
        <v>32575</v>
      </c>
      <c r="H321" s="4" t="str">
        <f t="shared" si="4"/>
        <v>四季度</v>
      </c>
    </row>
    <row r="322" spans="1:8" ht="14.4" x14ac:dyDescent="0.25">
      <c r="A322" s="4">
        <v>2019</v>
      </c>
      <c r="B322" s="4">
        <v>12</v>
      </c>
      <c r="C322" s="4" t="s">
        <v>18</v>
      </c>
      <c r="D322" s="5" t="s">
        <v>159</v>
      </c>
      <c r="E322" s="4" t="s">
        <v>153</v>
      </c>
      <c r="F322" s="6">
        <v>9686.94</v>
      </c>
      <c r="G322" s="6">
        <v>120574.71</v>
      </c>
      <c r="H322" s="4" t="str">
        <f t="shared" ref="H322:H385" si="5">season(B322)</f>
        <v>四季度</v>
      </c>
    </row>
    <row r="323" spans="1:8" ht="14.4" x14ac:dyDescent="0.25">
      <c r="A323" s="4">
        <v>2019</v>
      </c>
      <c r="B323" s="4">
        <v>12</v>
      </c>
      <c r="C323" s="4" t="s">
        <v>18</v>
      </c>
      <c r="D323" s="5"/>
      <c r="E323" s="4" t="s">
        <v>160</v>
      </c>
      <c r="F323" s="6">
        <v>349141.32</v>
      </c>
      <c r="G323" s="6">
        <v>4010394.03</v>
      </c>
      <c r="H323" s="4" t="str">
        <f t="shared" si="5"/>
        <v>四季度</v>
      </c>
    </row>
    <row r="324" spans="1:8" ht="14.4" x14ac:dyDescent="0.25">
      <c r="A324" s="4">
        <v>2019</v>
      </c>
      <c r="B324" s="4">
        <v>12</v>
      </c>
      <c r="C324" s="4" t="s">
        <v>18</v>
      </c>
      <c r="D324" s="5" t="s">
        <v>155</v>
      </c>
      <c r="E324" s="4" t="s">
        <v>161</v>
      </c>
      <c r="F324" s="6">
        <v>13513.21</v>
      </c>
      <c r="G324" s="6">
        <v>136398.10999999999</v>
      </c>
      <c r="H324" s="4" t="str">
        <f t="shared" si="5"/>
        <v>四季度</v>
      </c>
    </row>
    <row r="325" spans="1:8" ht="14.4" x14ac:dyDescent="0.25">
      <c r="A325" s="4">
        <v>2020</v>
      </c>
      <c r="B325" s="4">
        <v>1</v>
      </c>
      <c r="C325" s="4" t="s">
        <v>18</v>
      </c>
      <c r="D325" s="5" t="s">
        <v>152</v>
      </c>
      <c r="E325" s="4" t="s">
        <v>153</v>
      </c>
      <c r="F325" s="6">
        <v>452.25</v>
      </c>
      <c r="G325" s="6">
        <v>452.25</v>
      </c>
      <c r="H325" s="4" t="str">
        <f t="shared" si="5"/>
        <v>一季度</v>
      </c>
    </row>
    <row r="326" spans="1:8" ht="14.4" x14ac:dyDescent="0.25">
      <c r="A326" s="4">
        <v>2020</v>
      </c>
      <c r="B326" s="4">
        <v>1</v>
      </c>
      <c r="C326" s="4" t="s">
        <v>18</v>
      </c>
      <c r="D326" s="5"/>
      <c r="E326" s="4" t="s">
        <v>160</v>
      </c>
      <c r="F326" s="6">
        <v>360628.64</v>
      </c>
      <c r="G326" s="6">
        <v>360628.64</v>
      </c>
      <c r="H326" s="4" t="str">
        <f t="shared" si="5"/>
        <v>一季度</v>
      </c>
    </row>
    <row r="327" spans="1:8" ht="14.4" x14ac:dyDescent="0.25">
      <c r="A327" s="4">
        <v>2020</v>
      </c>
      <c r="B327" s="4">
        <v>1</v>
      </c>
      <c r="C327" s="4" t="s">
        <v>18</v>
      </c>
      <c r="D327" s="5" t="s">
        <v>155</v>
      </c>
      <c r="E327" s="4" t="s">
        <v>161</v>
      </c>
      <c r="F327" s="6">
        <v>13966.04</v>
      </c>
      <c r="G327" s="6">
        <v>13966.04</v>
      </c>
      <c r="H327" s="4" t="str">
        <f t="shared" si="5"/>
        <v>一季度</v>
      </c>
    </row>
    <row r="328" spans="1:8" ht="14.4" x14ac:dyDescent="0.25">
      <c r="A328" s="4">
        <v>2020</v>
      </c>
      <c r="B328" s="4">
        <v>2</v>
      </c>
      <c r="C328" s="4" t="s">
        <v>18</v>
      </c>
      <c r="D328" s="5" t="s">
        <v>152</v>
      </c>
      <c r="E328" s="4" t="s">
        <v>153</v>
      </c>
      <c r="F328" s="6">
        <v>443.08</v>
      </c>
      <c r="G328" s="6">
        <v>895.32</v>
      </c>
      <c r="H328" s="4" t="str">
        <f t="shared" si="5"/>
        <v>一季度</v>
      </c>
    </row>
    <row r="329" spans="1:8" ht="14.4" x14ac:dyDescent="0.25">
      <c r="A329" s="4">
        <v>2020</v>
      </c>
      <c r="B329" s="4">
        <v>2</v>
      </c>
      <c r="C329" s="4" t="s">
        <v>18</v>
      </c>
      <c r="D329" s="5"/>
      <c r="E329" s="4" t="s">
        <v>160</v>
      </c>
      <c r="F329" s="6">
        <v>363744.98</v>
      </c>
      <c r="G329" s="6">
        <v>724373.62</v>
      </c>
      <c r="H329" s="4" t="str">
        <f t="shared" si="5"/>
        <v>一季度</v>
      </c>
    </row>
    <row r="330" spans="1:8" ht="14.4" x14ac:dyDescent="0.25">
      <c r="A330" s="4">
        <v>2020</v>
      </c>
      <c r="B330" s="4">
        <v>2</v>
      </c>
      <c r="C330" s="4" t="s">
        <v>18</v>
      </c>
      <c r="D330" s="5" t="s">
        <v>155</v>
      </c>
      <c r="E330" s="4" t="s">
        <v>161</v>
      </c>
      <c r="F330" s="6">
        <v>13983.96</v>
      </c>
      <c r="G330" s="6">
        <v>27950</v>
      </c>
      <c r="H330" s="4" t="str">
        <f t="shared" si="5"/>
        <v>一季度</v>
      </c>
    </row>
    <row r="331" spans="1:8" ht="14.4" x14ac:dyDescent="0.25">
      <c r="A331" s="4">
        <v>2020</v>
      </c>
      <c r="B331" s="4">
        <v>3</v>
      </c>
      <c r="C331" s="4" t="s">
        <v>18</v>
      </c>
      <c r="D331" s="5" t="s">
        <v>152</v>
      </c>
      <c r="E331" s="4" t="s">
        <v>153</v>
      </c>
      <c r="F331" s="6">
        <v>348.39</v>
      </c>
      <c r="G331" s="6">
        <v>1243.71</v>
      </c>
      <c r="H331" s="4" t="str">
        <f t="shared" si="5"/>
        <v>一季度</v>
      </c>
    </row>
    <row r="332" spans="1:8" ht="14.4" x14ac:dyDescent="0.25">
      <c r="A332" s="4">
        <v>2020</v>
      </c>
      <c r="B332" s="4">
        <v>3</v>
      </c>
      <c r="C332" s="4" t="s">
        <v>18</v>
      </c>
      <c r="D332" s="5"/>
      <c r="E332" s="4" t="s">
        <v>160</v>
      </c>
      <c r="F332" s="6">
        <v>393150</v>
      </c>
      <c r="G332" s="6">
        <v>1117523.6200000001</v>
      </c>
      <c r="H332" s="4" t="str">
        <f t="shared" si="5"/>
        <v>一季度</v>
      </c>
    </row>
    <row r="333" spans="1:8" ht="14.4" x14ac:dyDescent="0.25">
      <c r="A333" s="4">
        <v>2020</v>
      </c>
      <c r="B333" s="4">
        <v>3</v>
      </c>
      <c r="C333" s="4" t="s">
        <v>18</v>
      </c>
      <c r="D333" s="5" t="s">
        <v>155</v>
      </c>
      <c r="E333" s="4" t="s">
        <v>161</v>
      </c>
      <c r="F333" s="6">
        <v>14110.38</v>
      </c>
      <c r="G333" s="6">
        <v>42060.38</v>
      </c>
      <c r="H333" s="4" t="str">
        <f t="shared" si="5"/>
        <v>一季度</v>
      </c>
    </row>
    <row r="334" spans="1:8" ht="14.4" x14ac:dyDescent="0.25">
      <c r="A334" s="4">
        <v>2020</v>
      </c>
      <c r="B334" s="4">
        <v>4</v>
      </c>
      <c r="C334" s="4" t="s">
        <v>18</v>
      </c>
      <c r="D334" s="5" t="s">
        <v>152</v>
      </c>
      <c r="E334" s="4" t="s">
        <v>153</v>
      </c>
      <c r="F334" s="6">
        <v>591.07000000000005</v>
      </c>
      <c r="G334" s="6">
        <v>1834.77</v>
      </c>
      <c r="H334" s="4" t="str">
        <f t="shared" si="5"/>
        <v>二季度</v>
      </c>
    </row>
    <row r="335" spans="1:8" ht="14.4" x14ac:dyDescent="0.25">
      <c r="A335" s="4">
        <v>2020</v>
      </c>
      <c r="B335" s="4">
        <v>4</v>
      </c>
      <c r="C335" s="4" t="s">
        <v>18</v>
      </c>
      <c r="D335" s="5"/>
      <c r="E335" s="4" t="s">
        <v>160</v>
      </c>
      <c r="F335" s="6">
        <v>32.08</v>
      </c>
      <c r="G335" s="6">
        <v>1117555.71</v>
      </c>
      <c r="H335" s="4" t="str">
        <f t="shared" si="5"/>
        <v>二季度</v>
      </c>
    </row>
    <row r="336" spans="1:8" ht="14.4" x14ac:dyDescent="0.25">
      <c r="A336" s="4">
        <v>2020</v>
      </c>
      <c r="B336" s="4">
        <v>4</v>
      </c>
      <c r="C336" s="4" t="s">
        <v>18</v>
      </c>
      <c r="D336" s="5" t="s">
        <v>155</v>
      </c>
      <c r="E336" s="4" t="s">
        <v>161</v>
      </c>
      <c r="F336" s="6">
        <v>14799.06</v>
      </c>
      <c r="G336" s="6">
        <v>56859.43</v>
      </c>
      <c r="H336" s="4" t="str">
        <f t="shared" si="5"/>
        <v>二季度</v>
      </c>
    </row>
    <row r="337" spans="1:8" ht="14.4" x14ac:dyDescent="0.25">
      <c r="A337" s="4">
        <v>2020</v>
      </c>
      <c r="B337" s="4">
        <v>5</v>
      </c>
      <c r="C337" s="4" t="s">
        <v>18</v>
      </c>
      <c r="D337" s="5" t="s">
        <v>155</v>
      </c>
      <c r="E337" s="4" t="s">
        <v>153</v>
      </c>
      <c r="F337" s="6"/>
      <c r="G337" s="6"/>
      <c r="H337" s="4" t="str">
        <f t="shared" si="5"/>
        <v>二季度</v>
      </c>
    </row>
    <row r="338" spans="1:8" ht="14.4" x14ac:dyDescent="0.25">
      <c r="A338" s="4">
        <v>2020</v>
      </c>
      <c r="B338" s="4">
        <v>5</v>
      </c>
      <c r="C338" s="4" t="s">
        <v>18</v>
      </c>
      <c r="D338" s="5" t="s">
        <v>163</v>
      </c>
      <c r="E338" s="4" t="s">
        <v>153</v>
      </c>
      <c r="F338" s="6"/>
      <c r="G338" s="6"/>
      <c r="H338" s="4" t="str">
        <f t="shared" si="5"/>
        <v>二季度</v>
      </c>
    </row>
    <row r="339" spans="1:8" ht="14.4" x14ac:dyDescent="0.25">
      <c r="A339" s="4">
        <v>2020</v>
      </c>
      <c r="B339" s="4">
        <v>5</v>
      </c>
      <c r="C339" s="4" t="s">
        <v>18</v>
      </c>
      <c r="D339" s="5" t="s">
        <v>159</v>
      </c>
      <c r="E339" s="4" t="s">
        <v>153</v>
      </c>
      <c r="F339" s="6"/>
      <c r="G339" s="6"/>
      <c r="H339" s="4" t="str">
        <f t="shared" si="5"/>
        <v>二季度</v>
      </c>
    </row>
    <row r="340" spans="1:8" ht="14.4" x14ac:dyDescent="0.25">
      <c r="A340" s="4">
        <v>2020</v>
      </c>
      <c r="B340" s="4">
        <v>5</v>
      </c>
      <c r="C340" s="4" t="s">
        <v>18</v>
      </c>
      <c r="D340" s="5" t="s">
        <v>152</v>
      </c>
      <c r="E340" s="4" t="s">
        <v>153</v>
      </c>
      <c r="F340" s="6">
        <v>359.44</v>
      </c>
      <c r="G340" s="6">
        <v>2194.2199999999998</v>
      </c>
      <c r="H340" s="4" t="str">
        <f t="shared" si="5"/>
        <v>二季度</v>
      </c>
    </row>
    <row r="341" spans="1:8" ht="14.4" x14ac:dyDescent="0.25">
      <c r="A341" s="4">
        <v>2020</v>
      </c>
      <c r="B341" s="4">
        <v>5</v>
      </c>
      <c r="C341" s="4" t="s">
        <v>18</v>
      </c>
      <c r="D341" s="5" t="s">
        <v>158</v>
      </c>
      <c r="E341" s="4" t="s">
        <v>153</v>
      </c>
      <c r="F341" s="6"/>
      <c r="G341" s="6"/>
      <c r="H341" s="4" t="str">
        <f t="shared" si="5"/>
        <v>二季度</v>
      </c>
    </row>
    <row r="342" spans="1:8" ht="14.4" x14ac:dyDescent="0.25">
      <c r="A342" s="4">
        <v>2020</v>
      </c>
      <c r="B342" s="4">
        <v>5</v>
      </c>
      <c r="C342" s="4" t="s">
        <v>18</v>
      </c>
      <c r="D342" s="5" t="s">
        <v>156</v>
      </c>
      <c r="E342" s="4" t="s">
        <v>153</v>
      </c>
      <c r="F342" s="6"/>
      <c r="G342" s="6"/>
      <c r="H342" s="4" t="str">
        <f t="shared" si="5"/>
        <v>二季度</v>
      </c>
    </row>
    <row r="343" spans="1:8" ht="14.4" x14ac:dyDescent="0.25">
      <c r="A343" s="4">
        <v>2020</v>
      </c>
      <c r="B343" s="4">
        <v>5</v>
      </c>
      <c r="C343" s="4" t="s">
        <v>18</v>
      </c>
      <c r="D343" s="5" t="s">
        <v>154</v>
      </c>
      <c r="E343" s="4" t="s">
        <v>153</v>
      </c>
      <c r="F343" s="6"/>
      <c r="G343" s="6"/>
      <c r="H343" s="4" t="str">
        <f t="shared" si="5"/>
        <v>二季度</v>
      </c>
    </row>
    <row r="344" spans="1:8" ht="14.4" x14ac:dyDescent="0.25">
      <c r="A344" s="4">
        <v>2020</v>
      </c>
      <c r="B344" s="4">
        <v>5</v>
      </c>
      <c r="C344" s="4" t="s">
        <v>18</v>
      </c>
      <c r="D344" s="5" t="s">
        <v>157</v>
      </c>
      <c r="E344" s="4" t="s">
        <v>153</v>
      </c>
      <c r="F344" s="6"/>
      <c r="G344" s="6"/>
      <c r="H344" s="4" t="str">
        <f t="shared" si="5"/>
        <v>二季度</v>
      </c>
    </row>
    <row r="345" spans="1:8" ht="14.4" x14ac:dyDescent="0.25">
      <c r="A345" s="4">
        <v>2020</v>
      </c>
      <c r="B345" s="4">
        <v>5</v>
      </c>
      <c r="C345" s="4" t="s">
        <v>18</v>
      </c>
      <c r="D345" s="5"/>
      <c r="E345" s="4" t="s">
        <v>160</v>
      </c>
      <c r="F345" s="6">
        <v>399244.63</v>
      </c>
      <c r="G345" s="6">
        <v>1516800.34</v>
      </c>
      <c r="H345" s="4" t="str">
        <f t="shared" si="5"/>
        <v>二季度</v>
      </c>
    </row>
    <row r="346" spans="1:8" ht="14.4" x14ac:dyDescent="0.25">
      <c r="A346" s="4">
        <v>2020</v>
      </c>
      <c r="B346" s="4">
        <v>5</v>
      </c>
      <c r="C346" s="4" t="s">
        <v>18</v>
      </c>
      <c r="D346" s="5" t="s">
        <v>155</v>
      </c>
      <c r="E346" s="4" t="s">
        <v>161</v>
      </c>
      <c r="F346" s="6">
        <v>15137.74</v>
      </c>
      <c r="G346" s="6">
        <v>71997.17</v>
      </c>
      <c r="H346" s="4" t="str">
        <f t="shared" si="5"/>
        <v>二季度</v>
      </c>
    </row>
    <row r="347" spans="1:8" ht="14.4" x14ac:dyDescent="0.25">
      <c r="A347" s="4">
        <v>2020</v>
      </c>
      <c r="B347" s="4">
        <v>6</v>
      </c>
      <c r="C347" s="4" t="s">
        <v>18</v>
      </c>
      <c r="D347" s="5" t="s">
        <v>155</v>
      </c>
      <c r="E347" s="4" t="s">
        <v>153</v>
      </c>
      <c r="F347" s="6">
        <v>268290.15000000002</v>
      </c>
      <c r="G347" s="6">
        <v>268290.15000000002</v>
      </c>
      <c r="H347" s="4" t="str">
        <f t="shared" si="5"/>
        <v>二季度</v>
      </c>
    </row>
    <row r="348" spans="1:8" ht="14.4" x14ac:dyDescent="0.25">
      <c r="A348" s="4">
        <v>2020</v>
      </c>
      <c r="B348" s="4">
        <v>6</v>
      </c>
      <c r="C348" s="4" t="s">
        <v>18</v>
      </c>
      <c r="D348" s="5" t="s">
        <v>156</v>
      </c>
      <c r="E348" s="4" t="s">
        <v>153</v>
      </c>
      <c r="F348" s="6">
        <v>59919.99</v>
      </c>
      <c r="G348" s="6">
        <v>59919.99</v>
      </c>
      <c r="H348" s="4" t="str">
        <f t="shared" si="5"/>
        <v>二季度</v>
      </c>
    </row>
    <row r="349" spans="1:8" ht="14.4" x14ac:dyDescent="0.25">
      <c r="A349" s="4">
        <v>2020</v>
      </c>
      <c r="B349" s="4">
        <v>6</v>
      </c>
      <c r="C349" s="4" t="s">
        <v>18</v>
      </c>
      <c r="D349" s="5" t="s">
        <v>154</v>
      </c>
      <c r="E349" s="4" t="s">
        <v>153</v>
      </c>
      <c r="F349" s="6">
        <v>18032.12</v>
      </c>
      <c r="G349" s="6">
        <v>18032.12</v>
      </c>
      <c r="H349" s="4" t="str">
        <f t="shared" si="5"/>
        <v>二季度</v>
      </c>
    </row>
    <row r="350" spans="1:8" ht="14.4" x14ac:dyDescent="0.25">
      <c r="A350" s="4">
        <v>2020</v>
      </c>
      <c r="B350" s="4">
        <v>6</v>
      </c>
      <c r="C350" s="4" t="s">
        <v>18</v>
      </c>
      <c r="D350" s="5" t="s">
        <v>163</v>
      </c>
      <c r="E350" s="4" t="s">
        <v>153</v>
      </c>
      <c r="F350" s="6">
        <v>211.25</v>
      </c>
      <c r="G350" s="6">
        <v>211.25</v>
      </c>
      <c r="H350" s="4" t="str">
        <f t="shared" si="5"/>
        <v>二季度</v>
      </c>
    </row>
    <row r="351" spans="1:8" ht="14.4" x14ac:dyDescent="0.25">
      <c r="A351" s="4">
        <v>2020</v>
      </c>
      <c r="B351" s="4">
        <v>6</v>
      </c>
      <c r="C351" s="4" t="s">
        <v>18</v>
      </c>
      <c r="D351" s="5" t="s">
        <v>158</v>
      </c>
      <c r="E351" s="4" t="s">
        <v>153</v>
      </c>
      <c r="F351" s="6">
        <v>2994.15</v>
      </c>
      <c r="G351" s="6">
        <v>2994.15</v>
      </c>
      <c r="H351" s="4" t="str">
        <f t="shared" si="5"/>
        <v>二季度</v>
      </c>
    </row>
    <row r="352" spans="1:8" ht="14.4" x14ac:dyDescent="0.25">
      <c r="A352" s="4">
        <v>2020</v>
      </c>
      <c r="B352" s="4">
        <v>6</v>
      </c>
      <c r="C352" s="4" t="s">
        <v>18</v>
      </c>
      <c r="D352" s="5" t="s">
        <v>157</v>
      </c>
      <c r="E352" s="4" t="s">
        <v>153</v>
      </c>
      <c r="F352" s="6">
        <v>21743.57</v>
      </c>
      <c r="G352" s="6">
        <v>21743.57</v>
      </c>
      <c r="H352" s="4" t="str">
        <f t="shared" si="5"/>
        <v>二季度</v>
      </c>
    </row>
    <row r="353" spans="1:8" ht="14.4" x14ac:dyDescent="0.25">
      <c r="A353" s="4">
        <v>2020</v>
      </c>
      <c r="B353" s="4">
        <v>6</v>
      </c>
      <c r="C353" s="4" t="s">
        <v>18</v>
      </c>
      <c r="D353" s="5" t="s">
        <v>152</v>
      </c>
      <c r="E353" s="4" t="s">
        <v>153</v>
      </c>
      <c r="F353" s="6">
        <v>424.92</v>
      </c>
      <c r="G353" s="6">
        <v>2619.13</v>
      </c>
      <c r="H353" s="4" t="str">
        <f t="shared" si="5"/>
        <v>二季度</v>
      </c>
    </row>
    <row r="354" spans="1:8" ht="14.4" x14ac:dyDescent="0.25">
      <c r="A354" s="4">
        <v>2020</v>
      </c>
      <c r="B354" s="4">
        <v>6</v>
      </c>
      <c r="C354" s="4" t="s">
        <v>18</v>
      </c>
      <c r="D354" s="5" t="s">
        <v>159</v>
      </c>
      <c r="E354" s="4" t="s">
        <v>153</v>
      </c>
      <c r="F354" s="6">
        <v>61389.599999999999</v>
      </c>
      <c r="G354" s="6">
        <v>61389.599999999999</v>
      </c>
      <c r="H354" s="4" t="str">
        <f t="shared" si="5"/>
        <v>二季度</v>
      </c>
    </row>
    <row r="355" spans="1:8" ht="14.4" x14ac:dyDescent="0.25">
      <c r="A355" s="4">
        <v>2020</v>
      </c>
      <c r="B355" s="4">
        <v>6</v>
      </c>
      <c r="C355" s="4" t="s">
        <v>18</v>
      </c>
      <c r="D355" s="5"/>
      <c r="E355" s="4" t="s">
        <v>160</v>
      </c>
      <c r="F355" s="6">
        <v>397201.57</v>
      </c>
      <c r="G355" s="6">
        <v>1914001.91</v>
      </c>
      <c r="H355" s="4" t="str">
        <f t="shared" si="5"/>
        <v>二季度</v>
      </c>
    </row>
    <row r="356" spans="1:8" ht="14.4" x14ac:dyDescent="0.25">
      <c r="A356" s="4">
        <v>2020</v>
      </c>
      <c r="B356" s="4">
        <v>6</v>
      </c>
      <c r="C356" s="4" t="s">
        <v>18</v>
      </c>
      <c r="D356" s="5" t="s">
        <v>155</v>
      </c>
      <c r="E356" s="4" t="s">
        <v>161</v>
      </c>
      <c r="F356" s="6">
        <v>15604.72</v>
      </c>
      <c r="G356" s="6">
        <v>87601.89</v>
      </c>
      <c r="H356" s="4" t="str">
        <f t="shared" si="5"/>
        <v>二季度</v>
      </c>
    </row>
    <row r="357" spans="1:8" ht="14.4" x14ac:dyDescent="0.25">
      <c r="A357">
        <v>2020</v>
      </c>
      <c r="B357">
        <v>7</v>
      </c>
      <c r="C357" t="s">
        <v>18</v>
      </c>
      <c r="D357" t="s">
        <v>159</v>
      </c>
      <c r="E357" t="s">
        <v>153</v>
      </c>
      <c r="F357">
        <v>11696.75</v>
      </c>
      <c r="G357">
        <v>73086.36</v>
      </c>
      <c r="H357" s="4" t="str">
        <f t="shared" si="5"/>
        <v>三季度</v>
      </c>
    </row>
    <row r="358" spans="1:8" ht="14.4" x14ac:dyDescent="0.25">
      <c r="A358">
        <v>2020</v>
      </c>
      <c r="B358">
        <v>7</v>
      </c>
      <c r="C358" t="s">
        <v>18</v>
      </c>
      <c r="D358" t="s">
        <v>154</v>
      </c>
      <c r="E358" t="s">
        <v>153</v>
      </c>
      <c r="F358">
        <v>3798.91</v>
      </c>
      <c r="G358">
        <v>21831.03</v>
      </c>
      <c r="H358" s="4" t="str">
        <f t="shared" si="5"/>
        <v>三季度</v>
      </c>
    </row>
    <row r="359" spans="1:8" ht="14.4" x14ac:dyDescent="0.25">
      <c r="A359">
        <v>2020</v>
      </c>
      <c r="B359">
        <v>7</v>
      </c>
      <c r="C359" t="s">
        <v>18</v>
      </c>
      <c r="D359" t="s">
        <v>156</v>
      </c>
      <c r="E359" t="s">
        <v>153</v>
      </c>
      <c r="F359">
        <v>12963.6</v>
      </c>
      <c r="G359">
        <v>72883.59</v>
      </c>
      <c r="H359" s="4" t="str">
        <f t="shared" si="5"/>
        <v>三季度</v>
      </c>
    </row>
    <row r="360" spans="1:8" ht="14.4" x14ac:dyDescent="0.25">
      <c r="A360">
        <v>2020</v>
      </c>
      <c r="B360">
        <v>7</v>
      </c>
      <c r="C360" t="s">
        <v>18</v>
      </c>
      <c r="D360" t="s">
        <v>163</v>
      </c>
      <c r="E360" t="s">
        <v>153</v>
      </c>
      <c r="F360">
        <v>107.58</v>
      </c>
      <c r="G360">
        <v>318.83999999999997</v>
      </c>
      <c r="H360" s="4" t="str">
        <f t="shared" si="5"/>
        <v>三季度</v>
      </c>
    </row>
    <row r="361" spans="1:8" ht="14.4" x14ac:dyDescent="0.25">
      <c r="A361">
        <v>2020</v>
      </c>
      <c r="B361">
        <v>7</v>
      </c>
      <c r="C361" t="s">
        <v>18</v>
      </c>
      <c r="D361" t="s">
        <v>155</v>
      </c>
      <c r="E361" t="s">
        <v>153</v>
      </c>
      <c r="F361">
        <v>64196.83</v>
      </c>
      <c r="G361">
        <v>332486.98</v>
      </c>
      <c r="H361" s="4" t="str">
        <f t="shared" si="5"/>
        <v>三季度</v>
      </c>
    </row>
    <row r="362" spans="1:8" ht="14.4" x14ac:dyDescent="0.25">
      <c r="A362">
        <v>2020</v>
      </c>
      <c r="B362">
        <v>7</v>
      </c>
      <c r="C362" t="s">
        <v>18</v>
      </c>
      <c r="D362" t="s">
        <v>158</v>
      </c>
      <c r="E362" t="s">
        <v>153</v>
      </c>
      <c r="F362">
        <v>683.09</v>
      </c>
      <c r="G362">
        <v>3677.25</v>
      </c>
      <c r="H362" s="4" t="str">
        <f t="shared" si="5"/>
        <v>三季度</v>
      </c>
    </row>
    <row r="363" spans="1:8" ht="14.4" x14ac:dyDescent="0.25">
      <c r="A363">
        <v>2020</v>
      </c>
      <c r="B363">
        <v>7</v>
      </c>
      <c r="C363" t="s">
        <v>18</v>
      </c>
      <c r="D363" t="s">
        <v>157</v>
      </c>
      <c r="E363" t="s">
        <v>153</v>
      </c>
      <c r="F363">
        <v>4315.8</v>
      </c>
      <c r="G363">
        <v>26059.37</v>
      </c>
      <c r="H363" s="4" t="str">
        <f t="shared" si="5"/>
        <v>三季度</v>
      </c>
    </row>
    <row r="364" spans="1:8" ht="14.4" x14ac:dyDescent="0.25">
      <c r="A364">
        <v>2020</v>
      </c>
      <c r="B364">
        <v>7</v>
      </c>
      <c r="C364" t="s">
        <v>18</v>
      </c>
      <c r="D364" t="s">
        <v>152</v>
      </c>
      <c r="E364" t="s">
        <v>153</v>
      </c>
      <c r="F364">
        <v>508.13</v>
      </c>
      <c r="G364">
        <v>3127.26</v>
      </c>
      <c r="H364" s="4" t="str">
        <f t="shared" si="5"/>
        <v>三季度</v>
      </c>
    </row>
    <row r="365" spans="1:8" ht="14.4" x14ac:dyDescent="0.25">
      <c r="A365">
        <v>2020</v>
      </c>
      <c r="B365">
        <v>7</v>
      </c>
      <c r="C365" t="s">
        <v>18</v>
      </c>
      <c r="E365" t="s">
        <v>160</v>
      </c>
      <c r="F365">
        <v>415339.13</v>
      </c>
      <c r="G365">
        <v>2329341.04</v>
      </c>
      <c r="H365" s="4" t="str">
        <f t="shared" si="5"/>
        <v>三季度</v>
      </c>
    </row>
    <row r="366" spans="1:8" ht="14.4" x14ac:dyDescent="0.25">
      <c r="A366">
        <v>2020</v>
      </c>
      <c r="B366">
        <v>7</v>
      </c>
      <c r="C366" t="s">
        <v>18</v>
      </c>
      <c r="D366" t="s">
        <v>155</v>
      </c>
      <c r="E366" t="s">
        <v>161</v>
      </c>
      <c r="F366">
        <v>15631.13</v>
      </c>
      <c r="G366">
        <v>103233.02</v>
      </c>
      <c r="H366" s="4" t="str">
        <f t="shared" si="5"/>
        <v>三季度</v>
      </c>
    </row>
    <row r="367" spans="1:8" ht="14.4" x14ac:dyDescent="0.25">
      <c r="A367">
        <v>2020</v>
      </c>
      <c r="B367">
        <v>8</v>
      </c>
      <c r="C367" t="s">
        <v>18</v>
      </c>
      <c r="D367" t="s">
        <v>159</v>
      </c>
      <c r="E367" t="s">
        <v>153</v>
      </c>
      <c r="F367">
        <v>9976.93</v>
      </c>
      <c r="G367">
        <v>83063.289999999994</v>
      </c>
      <c r="H367" s="4" t="str">
        <f t="shared" si="5"/>
        <v>三季度</v>
      </c>
    </row>
    <row r="368" spans="1:8" ht="14.4" x14ac:dyDescent="0.25">
      <c r="A368">
        <v>2020</v>
      </c>
      <c r="B368">
        <v>8</v>
      </c>
      <c r="C368" t="s">
        <v>18</v>
      </c>
      <c r="D368" t="s">
        <v>155</v>
      </c>
      <c r="E368" t="s">
        <v>153</v>
      </c>
      <c r="F368">
        <v>46902.77</v>
      </c>
      <c r="G368">
        <v>379389.75</v>
      </c>
      <c r="H368" s="4" t="str">
        <f t="shared" si="5"/>
        <v>三季度</v>
      </c>
    </row>
    <row r="369" spans="1:8" ht="14.4" x14ac:dyDescent="0.25">
      <c r="A369">
        <v>2020</v>
      </c>
      <c r="B369">
        <v>8</v>
      </c>
      <c r="C369" t="s">
        <v>18</v>
      </c>
      <c r="D369" t="s">
        <v>152</v>
      </c>
      <c r="E369" t="s">
        <v>153</v>
      </c>
      <c r="F369">
        <v>378.77</v>
      </c>
      <c r="G369">
        <v>3506.04</v>
      </c>
      <c r="H369" s="4" t="str">
        <f t="shared" si="5"/>
        <v>三季度</v>
      </c>
    </row>
    <row r="370" spans="1:8" ht="14.4" x14ac:dyDescent="0.25">
      <c r="A370">
        <v>2020</v>
      </c>
      <c r="B370">
        <v>8</v>
      </c>
      <c r="C370" t="s">
        <v>18</v>
      </c>
      <c r="D370" t="s">
        <v>154</v>
      </c>
      <c r="E370" t="s">
        <v>153</v>
      </c>
      <c r="F370">
        <v>2678.06</v>
      </c>
      <c r="G370">
        <v>24509.08</v>
      </c>
      <c r="H370" s="4" t="str">
        <f t="shared" si="5"/>
        <v>三季度</v>
      </c>
    </row>
    <row r="371" spans="1:8" ht="14.4" x14ac:dyDescent="0.25">
      <c r="A371">
        <v>2020</v>
      </c>
      <c r="B371">
        <v>8</v>
      </c>
      <c r="C371" t="s">
        <v>18</v>
      </c>
      <c r="D371" t="s">
        <v>163</v>
      </c>
      <c r="E371" t="s">
        <v>153</v>
      </c>
      <c r="F371">
        <v>95.92</v>
      </c>
      <c r="G371">
        <v>414.75</v>
      </c>
      <c r="H371" s="4" t="str">
        <f t="shared" si="5"/>
        <v>三季度</v>
      </c>
    </row>
    <row r="372" spans="1:8" ht="14.4" x14ac:dyDescent="0.25">
      <c r="A372">
        <v>2020</v>
      </c>
      <c r="B372">
        <v>8</v>
      </c>
      <c r="C372" t="s">
        <v>18</v>
      </c>
      <c r="D372" t="s">
        <v>156</v>
      </c>
      <c r="E372" t="s">
        <v>153</v>
      </c>
      <c r="F372">
        <v>11062.08</v>
      </c>
      <c r="G372">
        <v>83945.67</v>
      </c>
      <c r="H372" s="4" t="str">
        <f t="shared" si="5"/>
        <v>三季度</v>
      </c>
    </row>
    <row r="373" spans="1:8" ht="14.4" x14ac:dyDescent="0.25">
      <c r="A373">
        <v>2020</v>
      </c>
      <c r="B373">
        <v>8</v>
      </c>
      <c r="C373" t="s">
        <v>18</v>
      </c>
      <c r="D373" t="s">
        <v>157</v>
      </c>
      <c r="E373" t="s">
        <v>153</v>
      </c>
      <c r="F373">
        <v>3700.34</v>
      </c>
      <c r="G373">
        <v>29759.71</v>
      </c>
      <c r="H373" s="4" t="str">
        <f t="shared" si="5"/>
        <v>三季度</v>
      </c>
    </row>
    <row r="374" spans="1:8" ht="14.4" x14ac:dyDescent="0.25">
      <c r="A374">
        <v>2020</v>
      </c>
      <c r="B374">
        <v>8</v>
      </c>
      <c r="C374" t="s">
        <v>18</v>
      </c>
      <c r="D374" t="s">
        <v>158</v>
      </c>
      <c r="E374" t="s">
        <v>153</v>
      </c>
      <c r="F374">
        <v>490.12</v>
      </c>
      <c r="G374">
        <v>4167.37</v>
      </c>
      <c r="H374" s="4" t="str">
        <f t="shared" si="5"/>
        <v>三季度</v>
      </c>
    </row>
    <row r="375" spans="1:8" ht="14.4" x14ac:dyDescent="0.25">
      <c r="A375">
        <v>2020</v>
      </c>
      <c r="B375">
        <v>8</v>
      </c>
      <c r="C375" t="s">
        <v>18</v>
      </c>
      <c r="E375" t="s">
        <v>160</v>
      </c>
      <c r="F375">
        <v>381952.19</v>
      </c>
      <c r="G375">
        <v>2711293.23</v>
      </c>
      <c r="H375" s="4" t="str">
        <f t="shared" si="5"/>
        <v>三季度</v>
      </c>
    </row>
    <row r="376" spans="1:8" ht="14.4" x14ac:dyDescent="0.25">
      <c r="A376">
        <v>2020</v>
      </c>
      <c r="B376">
        <v>8</v>
      </c>
      <c r="C376" t="s">
        <v>18</v>
      </c>
      <c r="D376" t="s">
        <v>155</v>
      </c>
      <c r="E376" t="s">
        <v>161</v>
      </c>
      <c r="F376">
        <v>15985.85</v>
      </c>
      <c r="G376">
        <v>119218.87</v>
      </c>
      <c r="H376" s="4" t="str">
        <f t="shared" si="5"/>
        <v>三季度</v>
      </c>
    </row>
    <row r="377" spans="1:8" ht="14.4" x14ac:dyDescent="0.25">
      <c r="A377">
        <v>2020</v>
      </c>
      <c r="B377">
        <v>9</v>
      </c>
      <c r="C377" t="s">
        <v>18</v>
      </c>
      <c r="D377" t="s">
        <v>157</v>
      </c>
      <c r="E377" t="s">
        <v>153</v>
      </c>
      <c r="F377">
        <v>3980.84</v>
      </c>
      <c r="G377">
        <v>33740.550000000003</v>
      </c>
      <c r="H377" s="4" t="str">
        <f t="shared" si="5"/>
        <v>三季度</v>
      </c>
    </row>
    <row r="378" spans="1:8" ht="14.4" x14ac:dyDescent="0.25">
      <c r="A378">
        <v>2020</v>
      </c>
      <c r="B378">
        <v>9</v>
      </c>
      <c r="C378" t="s">
        <v>18</v>
      </c>
      <c r="D378" t="s">
        <v>152</v>
      </c>
      <c r="E378" t="s">
        <v>153</v>
      </c>
      <c r="F378">
        <v>402.83</v>
      </c>
      <c r="G378">
        <v>3908.87</v>
      </c>
      <c r="H378" s="4" t="str">
        <f t="shared" si="5"/>
        <v>三季度</v>
      </c>
    </row>
    <row r="379" spans="1:8" ht="14.4" x14ac:dyDescent="0.25">
      <c r="A379">
        <v>2020</v>
      </c>
      <c r="B379">
        <v>9</v>
      </c>
      <c r="C379" t="s">
        <v>18</v>
      </c>
      <c r="D379" t="s">
        <v>163</v>
      </c>
      <c r="E379" t="s">
        <v>153</v>
      </c>
      <c r="F379">
        <v>117.49</v>
      </c>
      <c r="G379">
        <v>532.25</v>
      </c>
      <c r="H379" s="4" t="str">
        <f t="shared" si="5"/>
        <v>三季度</v>
      </c>
    </row>
    <row r="380" spans="1:8" ht="14.4" x14ac:dyDescent="0.25">
      <c r="A380">
        <v>2020</v>
      </c>
      <c r="B380">
        <v>9</v>
      </c>
      <c r="C380" t="s">
        <v>18</v>
      </c>
      <c r="D380" t="s">
        <v>154</v>
      </c>
      <c r="E380" t="s">
        <v>153</v>
      </c>
      <c r="F380">
        <v>2877.8</v>
      </c>
      <c r="G380">
        <v>27386.89</v>
      </c>
      <c r="H380" s="4" t="str">
        <f t="shared" si="5"/>
        <v>三季度</v>
      </c>
    </row>
    <row r="381" spans="1:8" ht="14.4" x14ac:dyDescent="0.25">
      <c r="A381">
        <v>2020</v>
      </c>
      <c r="B381">
        <v>9</v>
      </c>
      <c r="C381" t="s">
        <v>18</v>
      </c>
      <c r="D381" t="s">
        <v>156</v>
      </c>
      <c r="E381" t="s">
        <v>153</v>
      </c>
      <c r="F381">
        <v>11465.68</v>
      </c>
      <c r="G381">
        <v>95411.35</v>
      </c>
      <c r="H381" s="4" t="str">
        <f t="shared" si="5"/>
        <v>三季度</v>
      </c>
    </row>
    <row r="382" spans="1:8" ht="14.4" x14ac:dyDescent="0.25">
      <c r="A382">
        <v>2020</v>
      </c>
      <c r="B382">
        <v>9</v>
      </c>
      <c r="C382" t="s">
        <v>18</v>
      </c>
      <c r="D382" t="s">
        <v>155</v>
      </c>
      <c r="E382" t="s">
        <v>153</v>
      </c>
      <c r="F382">
        <v>51328.08</v>
      </c>
      <c r="G382">
        <v>430717.84</v>
      </c>
      <c r="H382" s="4" t="str">
        <f t="shared" si="5"/>
        <v>三季度</v>
      </c>
    </row>
    <row r="383" spans="1:8" ht="14.4" x14ac:dyDescent="0.25">
      <c r="A383">
        <v>2020</v>
      </c>
      <c r="B383">
        <v>9</v>
      </c>
      <c r="C383" t="s">
        <v>18</v>
      </c>
      <c r="D383" t="s">
        <v>158</v>
      </c>
      <c r="E383" t="s">
        <v>153</v>
      </c>
      <c r="F383">
        <v>537</v>
      </c>
      <c r="G383">
        <v>4704.37</v>
      </c>
      <c r="H383" s="4" t="str">
        <f t="shared" si="5"/>
        <v>三季度</v>
      </c>
    </row>
    <row r="384" spans="1:8" ht="14.4" x14ac:dyDescent="0.25">
      <c r="A384">
        <v>2020</v>
      </c>
      <c r="B384">
        <v>9</v>
      </c>
      <c r="C384" t="s">
        <v>18</v>
      </c>
      <c r="D384" t="s">
        <v>159</v>
      </c>
      <c r="E384" t="s">
        <v>153</v>
      </c>
      <c r="F384">
        <v>10453.31</v>
      </c>
      <c r="G384">
        <v>93516.6</v>
      </c>
      <c r="H384" s="4" t="str">
        <f t="shared" si="5"/>
        <v>三季度</v>
      </c>
    </row>
    <row r="385" spans="1:8" ht="14.4" x14ac:dyDescent="0.25">
      <c r="A385">
        <v>2020</v>
      </c>
      <c r="B385">
        <v>9</v>
      </c>
      <c r="C385" t="s">
        <v>18</v>
      </c>
      <c r="E385" t="s">
        <v>160</v>
      </c>
      <c r="F385">
        <v>404139.06</v>
      </c>
      <c r="G385">
        <v>3115432.28</v>
      </c>
      <c r="H385" s="4" t="str">
        <f t="shared" si="5"/>
        <v>三季度</v>
      </c>
    </row>
    <row r="386" spans="1:8" ht="14.4" x14ac:dyDescent="0.25">
      <c r="A386">
        <v>2020</v>
      </c>
      <c r="B386">
        <v>9</v>
      </c>
      <c r="C386" t="s">
        <v>18</v>
      </c>
      <c r="D386" t="s">
        <v>155</v>
      </c>
      <c r="E386" t="s">
        <v>161</v>
      </c>
      <c r="F386">
        <v>15554.72</v>
      </c>
      <c r="G386">
        <v>134773.57999999999</v>
      </c>
      <c r="H386" s="4" t="str">
        <f t="shared" ref="H386:H416" si="6">season(B386)</f>
        <v>三季度</v>
      </c>
    </row>
    <row r="387" spans="1:8" ht="14.4" x14ac:dyDescent="0.25">
      <c r="A387">
        <v>2020</v>
      </c>
      <c r="B387">
        <v>10</v>
      </c>
      <c r="C387" t="s">
        <v>18</v>
      </c>
      <c r="D387" t="s">
        <v>157</v>
      </c>
      <c r="E387" t="s">
        <v>153</v>
      </c>
      <c r="F387">
        <v>4948.2700000000004</v>
      </c>
      <c r="G387">
        <v>38688.82</v>
      </c>
      <c r="H387" s="4" t="str">
        <f t="shared" si="6"/>
        <v>四季度</v>
      </c>
    </row>
    <row r="388" spans="1:8" ht="14.4" x14ac:dyDescent="0.25">
      <c r="A388">
        <v>2020</v>
      </c>
      <c r="B388">
        <v>10</v>
      </c>
      <c r="C388" t="s">
        <v>18</v>
      </c>
      <c r="D388" t="s">
        <v>159</v>
      </c>
      <c r="E388" t="s">
        <v>153</v>
      </c>
      <c r="F388">
        <v>16306.13</v>
      </c>
      <c r="G388">
        <v>109822.74</v>
      </c>
      <c r="H388" s="4" t="str">
        <f t="shared" si="6"/>
        <v>四季度</v>
      </c>
    </row>
    <row r="389" spans="1:8" ht="14.4" x14ac:dyDescent="0.25">
      <c r="A389">
        <v>2020</v>
      </c>
      <c r="B389">
        <v>10</v>
      </c>
      <c r="C389" t="s">
        <v>18</v>
      </c>
      <c r="D389" t="s">
        <v>155</v>
      </c>
      <c r="E389" t="s">
        <v>153</v>
      </c>
      <c r="F389">
        <v>75855.38</v>
      </c>
      <c r="G389">
        <v>506573.22</v>
      </c>
      <c r="H389" s="4" t="str">
        <f t="shared" si="6"/>
        <v>四季度</v>
      </c>
    </row>
    <row r="390" spans="1:8" ht="14.4" x14ac:dyDescent="0.25">
      <c r="A390">
        <v>2020</v>
      </c>
      <c r="B390">
        <v>10</v>
      </c>
      <c r="C390" t="s">
        <v>18</v>
      </c>
      <c r="D390" t="s">
        <v>156</v>
      </c>
      <c r="E390" t="s">
        <v>153</v>
      </c>
      <c r="F390">
        <v>12826.8</v>
      </c>
      <c r="G390">
        <v>108238.15</v>
      </c>
      <c r="H390" s="4" t="str">
        <f t="shared" si="6"/>
        <v>四季度</v>
      </c>
    </row>
    <row r="391" spans="1:8" ht="14.4" x14ac:dyDescent="0.25">
      <c r="A391">
        <v>2020</v>
      </c>
      <c r="B391">
        <v>10</v>
      </c>
      <c r="C391" t="s">
        <v>18</v>
      </c>
      <c r="D391" t="s">
        <v>154</v>
      </c>
      <c r="E391" t="s">
        <v>153</v>
      </c>
      <c r="F391">
        <v>4976.7</v>
      </c>
      <c r="G391">
        <v>32363.58</v>
      </c>
      <c r="H391" s="4" t="str">
        <f t="shared" si="6"/>
        <v>四季度</v>
      </c>
    </row>
    <row r="392" spans="1:8" ht="14.4" x14ac:dyDescent="0.25">
      <c r="A392">
        <v>2020</v>
      </c>
      <c r="B392">
        <v>10</v>
      </c>
      <c r="C392" t="s">
        <v>18</v>
      </c>
      <c r="D392" t="s">
        <v>152</v>
      </c>
      <c r="E392" t="s">
        <v>153</v>
      </c>
      <c r="F392">
        <v>588.41999999999996</v>
      </c>
      <c r="G392">
        <v>4497.28</v>
      </c>
      <c r="H392" s="4" t="str">
        <f t="shared" si="6"/>
        <v>四季度</v>
      </c>
    </row>
    <row r="393" spans="1:8" ht="14.4" x14ac:dyDescent="0.25">
      <c r="A393">
        <v>2020</v>
      </c>
      <c r="B393">
        <v>10</v>
      </c>
      <c r="C393" t="s">
        <v>18</v>
      </c>
      <c r="D393" t="s">
        <v>163</v>
      </c>
      <c r="E393" t="s">
        <v>153</v>
      </c>
      <c r="F393">
        <v>190.63</v>
      </c>
      <c r="G393">
        <v>722.88</v>
      </c>
      <c r="H393" s="4" t="str">
        <f t="shared" si="6"/>
        <v>四季度</v>
      </c>
    </row>
    <row r="394" spans="1:8" ht="14.4" x14ac:dyDescent="0.25">
      <c r="A394">
        <v>2020</v>
      </c>
      <c r="B394">
        <v>10</v>
      </c>
      <c r="C394" t="s">
        <v>18</v>
      </c>
      <c r="D394" t="s">
        <v>158</v>
      </c>
      <c r="E394" t="s">
        <v>153</v>
      </c>
      <c r="F394">
        <v>773.16</v>
      </c>
      <c r="G394">
        <v>5477.53</v>
      </c>
      <c r="H394" s="4" t="str">
        <f t="shared" si="6"/>
        <v>四季度</v>
      </c>
    </row>
    <row r="395" spans="1:8" ht="14.4" x14ac:dyDescent="0.25">
      <c r="A395">
        <v>2020</v>
      </c>
      <c r="B395">
        <v>10</v>
      </c>
      <c r="C395" t="s">
        <v>18</v>
      </c>
      <c r="E395" t="s">
        <v>160</v>
      </c>
      <c r="F395">
        <v>412201.58</v>
      </c>
      <c r="G395">
        <v>3527633.87</v>
      </c>
      <c r="H395" s="4" t="str">
        <f t="shared" si="6"/>
        <v>四季度</v>
      </c>
    </row>
    <row r="396" spans="1:8" ht="14.4" x14ac:dyDescent="0.25">
      <c r="A396">
        <v>2020</v>
      </c>
      <c r="B396">
        <v>10</v>
      </c>
      <c r="C396" t="s">
        <v>18</v>
      </c>
      <c r="D396" t="s">
        <v>155</v>
      </c>
      <c r="E396" t="s">
        <v>161</v>
      </c>
      <c r="F396">
        <v>15580.19</v>
      </c>
      <c r="G396">
        <v>150353.76999999999</v>
      </c>
      <c r="H396" s="4" t="str">
        <f t="shared" si="6"/>
        <v>四季度</v>
      </c>
    </row>
    <row r="397" spans="1:8" ht="14.4" x14ac:dyDescent="0.25">
      <c r="A397">
        <v>2020</v>
      </c>
      <c r="B397">
        <v>11</v>
      </c>
      <c r="C397" t="s">
        <v>18</v>
      </c>
      <c r="D397" t="s">
        <v>152</v>
      </c>
      <c r="E397" t="s">
        <v>153</v>
      </c>
      <c r="F397">
        <v>364.44</v>
      </c>
      <c r="G397">
        <v>4861.7299999999996</v>
      </c>
      <c r="H397" s="4" t="str">
        <f t="shared" si="6"/>
        <v>四季度</v>
      </c>
    </row>
    <row r="398" spans="1:8" ht="14.4" x14ac:dyDescent="0.25">
      <c r="A398">
        <v>2020</v>
      </c>
      <c r="B398">
        <v>11</v>
      </c>
      <c r="C398" t="s">
        <v>18</v>
      </c>
      <c r="D398" t="s">
        <v>154</v>
      </c>
      <c r="E398" t="s">
        <v>153</v>
      </c>
      <c r="F398">
        <v>2867.94</v>
      </c>
      <c r="G398">
        <v>35231.53</v>
      </c>
      <c r="H398" s="4" t="str">
        <f t="shared" si="6"/>
        <v>四季度</v>
      </c>
    </row>
    <row r="399" spans="1:8" ht="14.4" x14ac:dyDescent="0.25">
      <c r="A399">
        <v>2020</v>
      </c>
      <c r="B399">
        <v>11</v>
      </c>
      <c r="C399" t="s">
        <v>18</v>
      </c>
      <c r="D399" t="s">
        <v>155</v>
      </c>
      <c r="E399" t="s">
        <v>153</v>
      </c>
      <c r="F399">
        <v>47815.46</v>
      </c>
      <c r="G399">
        <v>554388.68000000005</v>
      </c>
      <c r="H399" s="4" t="str">
        <f t="shared" si="6"/>
        <v>四季度</v>
      </c>
    </row>
    <row r="400" spans="1:8" ht="14.4" x14ac:dyDescent="0.25">
      <c r="A400">
        <v>2020</v>
      </c>
      <c r="B400">
        <v>11</v>
      </c>
      <c r="C400" t="s">
        <v>18</v>
      </c>
      <c r="D400" t="s">
        <v>156</v>
      </c>
      <c r="E400" t="s">
        <v>153</v>
      </c>
      <c r="F400">
        <v>9485.3799999999992</v>
      </c>
      <c r="G400">
        <v>117723.53</v>
      </c>
      <c r="H400" s="4" t="str">
        <f t="shared" si="6"/>
        <v>四季度</v>
      </c>
    </row>
    <row r="401" spans="1:8" ht="14.4" x14ac:dyDescent="0.25">
      <c r="A401">
        <v>2020</v>
      </c>
      <c r="B401">
        <v>11</v>
      </c>
      <c r="C401" t="s">
        <v>18</v>
      </c>
      <c r="D401" t="s">
        <v>157</v>
      </c>
      <c r="E401" t="s">
        <v>153</v>
      </c>
      <c r="F401">
        <v>3900.23</v>
      </c>
      <c r="G401">
        <v>42589.05</v>
      </c>
      <c r="H401" s="4" t="str">
        <f t="shared" si="6"/>
        <v>四季度</v>
      </c>
    </row>
    <row r="402" spans="1:8" ht="14.4" x14ac:dyDescent="0.25">
      <c r="A402">
        <v>2020</v>
      </c>
      <c r="B402">
        <v>11</v>
      </c>
      <c r="C402" t="s">
        <v>18</v>
      </c>
      <c r="D402" t="s">
        <v>163</v>
      </c>
      <c r="E402" t="s">
        <v>153</v>
      </c>
      <c r="F402">
        <v>140.84</v>
      </c>
      <c r="G402">
        <v>863.72</v>
      </c>
      <c r="H402" s="4" t="str">
        <f t="shared" si="6"/>
        <v>四季度</v>
      </c>
    </row>
    <row r="403" spans="1:8" ht="14.4" x14ac:dyDescent="0.25">
      <c r="A403">
        <v>2020</v>
      </c>
      <c r="B403">
        <v>11</v>
      </c>
      <c r="C403" t="s">
        <v>18</v>
      </c>
      <c r="D403" t="s">
        <v>158</v>
      </c>
      <c r="E403" t="s">
        <v>153</v>
      </c>
      <c r="F403">
        <v>505.51</v>
      </c>
      <c r="G403">
        <v>5983.04</v>
      </c>
      <c r="H403" s="4" t="str">
        <f t="shared" si="6"/>
        <v>四季度</v>
      </c>
    </row>
    <row r="404" spans="1:8" ht="14.4" x14ac:dyDescent="0.25">
      <c r="A404">
        <v>2020</v>
      </c>
      <c r="B404">
        <v>11</v>
      </c>
      <c r="C404" t="s">
        <v>18</v>
      </c>
      <c r="D404" t="s">
        <v>159</v>
      </c>
      <c r="E404" t="s">
        <v>153</v>
      </c>
      <c r="F404">
        <v>9786.52</v>
      </c>
      <c r="G404">
        <v>119609.25</v>
      </c>
      <c r="H404" s="4" t="str">
        <f t="shared" si="6"/>
        <v>四季度</v>
      </c>
    </row>
    <row r="405" spans="1:8" ht="14.4" x14ac:dyDescent="0.25">
      <c r="A405">
        <v>2020</v>
      </c>
      <c r="B405">
        <v>11</v>
      </c>
      <c r="C405" t="s">
        <v>18</v>
      </c>
      <c r="E405" t="s">
        <v>160</v>
      </c>
      <c r="F405">
        <v>409119.9</v>
      </c>
      <c r="G405">
        <v>3936753.76</v>
      </c>
      <c r="H405" s="4" t="str">
        <f t="shared" si="6"/>
        <v>四季度</v>
      </c>
    </row>
    <row r="406" spans="1:8" ht="14.4" x14ac:dyDescent="0.25">
      <c r="A406">
        <v>2020</v>
      </c>
      <c r="B406">
        <v>11</v>
      </c>
      <c r="C406" t="s">
        <v>18</v>
      </c>
      <c r="D406" t="s">
        <v>155</v>
      </c>
      <c r="E406" t="s">
        <v>161</v>
      </c>
      <c r="F406">
        <v>15448.11</v>
      </c>
      <c r="G406">
        <v>165801.89000000001</v>
      </c>
      <c r="H406" s="4" t="str">
        <f t="shared" si="6"/>
        <v>四季度</v>
      </c>
    </row>
    <row r="407" spans="1:8" ht="14.4" x14ac:dyDescent="0.25">
      <c r="A407">
        <v>2020</v>
      </c>
      <c r="B407">
        <v>12</v>
      </c>
      <c r="C407" t="s">
        <v>18</v>
      </c>
      <c r="D407" t="s">
        <v>159</v>
      </c>
      <c r="E407" t="s">
        <v>153</v>
      </c>
      <c r="F407">
        <v>10595.12</v>
      </c>
      <c r="G407">
        <v>130204.38</v>
      </c>
      <c r="H407" s="4" t="str">
        <f t="shared" si="6"/>
        <v>四季度</v>
      </c>
    </row>
    <row r="408" spans="1:8" ht="14.4" x14ac:dyDescent="0.25">
      <c r="A408">
        <v>2020</v>
      </c>
      <c r="B408">
        <v>12</v>
      </c>
      <c r="C408" t="s">
        <v>18</v>
      </c>
      <c r="D408" t="s">
        <v>154</v>
      </c>
      <c r="E408" t="s">
        <v>153</v>
      </c>
      <c r="F408">
        <v>3133.79</v>
      </c>
      <c r="G408">
        <v>38365.32</v>
      </c>
      <c r="H408" s="4" t="str">
        <f t="shared" si="6"/>
        <v>四季度</v>
      </c>
    </row>
    <row r="409" spans="1:8" ht="14.4" x14ac:dyDescent="0.25">
      <c r="A409">
        <v>2020</v>
      </c>
      <c r="B409">
        <v>12</v>
      </c>
      <c r="C409" t="s">
        <v>18</v>
      </c>
      <c r="D409" t="s">
        <v>155</v>
      </c>
      <c r="E409" t="s">
        <v>153</v>
      </c>
      <c r="F409">
        <v>51621.919999999998</v>
      </c>
      <c r="G409">
        <v>606010.6</v>
      </c>
      <c r="H409" s="4" t="str">
        <f t="shared" si="6"/>
        <v>四季度</v>
      </c>
    </row>
    <row r="410" spans="1:8" ht="14.4" x14ac:dyDescent="0.25">
      <c r="A410">
        <v>2020</v>
      </c>
      <c r="B410">
        <v>12</v>
      </c>
      <c r="C410" t="s">
        <v>18</v>
      </c>
      <c r="D410" t="s">
        <v>163</v>
      </c>
      <c r="E410" t="s">
        <v>153</v>
      </c>
      <c r="F410">
        <v>155.16999999999999</v>
      </c>
      <c r="G410">
        <v>1018.89</v>
      </c>
      <c r="H410" s="4" t="str">
        <f t="shared" si="6"/>
        <v>四季度</v>
      </c>
    </row>
    <row r="411" spans="1:8" ht="14.4" x14ac:dyDescent="0.25">
      <c r="A411">
        <v>2020</v>
      </c>
      <c r="B411">
        <v>12</v>
      </c>
      <c r="C411" t="s">
        <v>18</v>
      </c>
      <c r="D411" t="s">
        <v>158</v>
      </c>
      <c r="E411" t="s">
        <v>153</v>
      </c>
      <c r="F411">
        <v>542.58000000000004</v>
      </c>
      <c r="G411">
        <v>6525.62</v>
      </c>
      <c r="H411" s="4" t="str">
        <f t="shared" si="6"/>
        <v>四季度</v>
      </c>
    </row>
    <row r="412" spans="1:8" ht="14.4" x14ac:dyDescent="0.25">
      <c r="A412">
        <v>2020</v>
      </c>
      <c r="B412">
        <v>12</v>
      </c>
      <c r="C412" t="s">
        <v>18</v>
      </c>
      <c r="D412" t="s">
        <v>156</v>
      </c>
      <c r="E412" t="s">
        <v>153</v>
      </c>
      <c r="F412">
        <v>10725.71</v>
      </c>
      <c r="G412">
        <v>128449.24</v>
      </c>
      <c r="H412" s="4" t="str">
        <f t="shared" si="6"/>
        <v>四季度</v>
      </c>
    </row>
    <row r="413" spans="1:8" ht="14.4" x14ac:dyDescent="0.25">
      <c r="A413">
        <v>2020</v>
      </c>
      <c r="B413">
        <v>12</v>
      </c>
      <c r="C413" t="s">
        <v>18</v>
      </c>
      <c r="D413" t="s">
        <v>157</v>
      </c>
      <c r="E413" t="s">
        <v>153</v>
      </c>
      <c r="F413">
        <v>3881.95</v>
      </c>
      <c r="G413">
        <v>46471</v>
      </c>
      <c r="H413" s="4" t="str">
        <f t="shared" si="6"/>
        <v>四季度</v>
      </c>
    </row>
    <row r="414" spans="1:8" ht="14.4" x14ac:dyDescent="0.25">
      <c r="A414">
        <v>2020</v>
      </c>
      <c r="B414">
        <v>12</v>
      </c>
      <c r="C414" t="s">
        <v>18</v>
      </c>
      <c r="D414" t="s">
        <v>152</v>
      </c>
      <c r="E414" t="s">
        <v>153</v>
      </c>
      <c r="F414">
        <v>386.09</v>
      </c>
      <c r="G414">
        <v>5247.82</v>
      </c>
      <c r="H414" s="4" t="str">
        <f t="shared" si="6"/>
        <v>四季度</v>
      </c>
    </row>
    <row r="415" spans="1:8" ht="14.4" x14ac:dyDescent="0.25">
      <c r="A415">
        <v>2020</v>
      </c>
      <c r="B415">
        <v>12</v>
      </c>
      <c r="C415" t="s">
        <v>18</v>
      </c>
      <c r="E415" t="s">
        <v>160</v>
      </c>
      <c r="F415">
        <v>427949.87</v>
      </c>
      <c r="G415">
        <v>4364703.63</v>
      </c>
      <c r="H415" s="4" t="str">
        <f t="shared" si="6"/>
        <v>四季度</v>
      </c>
    </row>
    <row r="416" spans="1:8" ht="14.4" x14ac:dyDescent="0.25">
      <c r="A416">
        <v>2020</v>
      </c>
      <c r="B416">
        <v>12</v>
      </c>
      <c r="C416" t="s">
        <v>18</v>
      </c>
      <c r="D416" t="s">
        <v>155</v>
      </c>
      <c r="E416" t="s">
        <v>161</v>
      </c>
      <c r="F416">
        <v>15634.91</v>
      </c>
      <c r="G416">
        <v>181436.79</v>
      </c>
      <c r="H416" s="4" t="str">
        <f t="shared" si="6"/>
        <v>四季度</v>
      </c>
    </row>
  </sheetData>
  <autoFilter ref="A1:H270"/>
  <sortState ref="A2:H216">
    <sortCondition ref="A2:A216"/>
    <sortCondition ref="B2:B216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49"/>
  <sheetViews>
    <sheetView topLeftCell="A31" workbookViewId="0">
      <selection activeCell="A49" sqref="A49:F49"/>
    </sheetView>
  </sheetViews>
  <sheetFormatPr defaultRowHeight="13.8" x14ac:dyDescent="0.25"/>
  <cols>
    <col min="5" max="5" width="13.88671875" bestFit="1" customWidth="1"/>
    <col min="6" max="6" width="10.5546875" bestFit="1" customWidth="1"/>
  </cols>
  <sheetData>
    <row r="1" spans="1:6" ht="43.8" thickBot="1" x14ac:dyDescent="0.3">
      <c r="A1" s="45" t="s">
        <v>145</v>
      </c>
      <c r="B1" s="46" t="s">
        <v>146</v>
      </c>
      <c r="C1" s="46" t="s">
        <v>147</v>
      </c>
      <c r="D1" s="46" t="s">
        <v>169</v>
      </c>
      <c r="E1" s="46" t="s">
        <v>150</v>
      </c>
      <c r="F1" s="47" t="s">
        <v>151</v>
      </c>
    </row>
    <row r="2" spans="1:6" ht="29.4" thickBot="1" x14ac:dyDescent="0.3">
      <c r="A2" s="44">
        <v>2018</v>
      </c>
      <c r="B2" s="48">
        <v>1</v>
      </c>
      <c r="C2" s="48" t="s">
        <v>18</v>
      </c>
      <c r="D2" s="48" t="s">
        <v>170</v>
      </c>
      <c r="E2" s="89">
        <v>276884.02</v>
      </c>
      <c r="F2" s="50">
        <f>SUM($E$2:E2)</f>
        <v>276884.02</v>
      </c>
    </row>
    <row r="3" spans="1:6" ht="29.4" thickBot="1" x14ac:dyDescent="0.3">
      <c r="A3" s="44">
        <v>2018</v>
      </c>
      <c r="B3" s="48">
        <v>2</v>
      </c>
      <c r="C3" s="48" t="s">
        <v>18</v>
      </c>
      <c r="D3" s="48" t="s">
        <v>170</v>
      </c>
      <c r="E3" s="90">
        <v>246511.35</v>
      </c>
      <c r="F3" s="50">
        <f>SUM($E$2:E3)</f>
        <v>523395.37</v>
      </c>
    </row>
    <row r="4" spans="1:6" ht="29.4" thickBot="1" x14ac:dyDescent="0.3">
      <c r="A4" s="44">
        <v>2018</v>
      </c>
      <c r="B4" s="48">
        <v>3</v>
      </c>
      <c r="C4" s="48" t="s">
        <v>18</v>
      </c>
      <c r="D4" s="48" t="s">
        <v>170</v>
      </c>
      <c r="E4" s="90">
        <v>274266.14</v>
      </c>
      <c r="F4" s="50">
        <f>SUM($E$2:E4)</f>
        <v>797661.51</v>
      </c>
    </row>
    <row r="5" spans="1:6" ht="29.4" thickBot="1" x14ac:dyDescent="0.3">
      <c r="A5" s="44">
        <v>2018</v>
      </c>
      <c r="B5" s="48">
        <v>4</v>
      </c>
      <c r="C5" s="48" t="s">
        <v>18</v>
      </c>
      <c r="D5" s="48" t="s">
        <v>170</v>
      </c>
      <c r="E5" s="90">
        <v>259631.14</v>
      </c>
      <c r="F5" s="50">
        <f>SUM($E$2:E5)</f>
        <v>1057292.6499999999</v>
      </c>
    </row>
    <row r="6" spans="1:6" ht="29.4" thickBot="1" x14ac:dyDescent="0.3">
      <c r="A6" s="44">
        <v>2018</v>
      </c>
      <c r="B6" s="48">
        <v>5</v>
      </c>
      <c r="C6" s="48" t="s">
        <v>18</v>
      </c>
      <c r="D6" s="48" t="s">
        <v>170</v>
      </c>
      <c r="E6" s="90">
        <v>283403.49</v>
      </c>
      <c r="F6" s="50">
        <f>SUM($E$2:E6)</f>
        <v>1340696.1399999999</v>
      </c>
    </row>
    <row r="7" spans="1:6" ht="29.4" thickBot="1" x14ac:dyDescent="0.3">
      <c r="A7" s="44">
        <v>2018</v>
      </c>
      <c r="B7" s="48">
        <v>6</v>
      </c>
      <c r="C7" s="48" t="s">
        <v>18</v>
      </c>
      <c r="D7" s="48" t="s">
        <v>170</v>
      </c>
      <c r="E7" s="90">
        <v>279152.25</v>
      </c>
      <c r="F7" s="50">
        <f>SUM($E$2:E7)</f>
        <v>1619848.39</v>
      </c>
    </row>
    <row r="8" spans="1:6" ht="29.4" thickBot="1" x14ac:dyDescent="0.3">
      <c r="A8" s="44">
        <v>2018</v>
      </c>
      <c r="B8" s="48">
        <v>7</v>
      </c>
      <c r="C8" s="48" t="s">
        <v>18</v>
      </c>
      <c r="D8" s="48" t="s">
        <v>170</v>
      </c>
      <c r="E8" s="90">
        <v>324223.03000000003</v>
      </c>
      <c r="F8" s="50">
        <f>SUM($E$2:E8)</f>
        <v>1944071.42</v>
      </c>
    </row>
    <row r="9" spans="1:6" ht="29.4" thickBot="1" x14ac:dyDescent="0.3">
      <c r="A9" s="44">
        <v>2018</v>
      </c>
      <c r="B9" s="48">
        <v>8</v>
      </c>
      <c r="C9" s="48" t="s">
        <v>18</v>
      </c>
      <c r="D9" s="48" t="s">
        <v>170</v>
      </c>
      <c r="E9" s="90">
        <v>334886.90999999997</v>
      </c>
      <c r="F9" s="50">
        <f>SUM($E$2:E9)</f>
        <v>2278958.33</v>
      </c>
    </row>
    <row r="10" spans="1:6" ht="29.4" thickBot="1" x14ac:dyDescent="0.3">
      <c r="A10" s="44">
        <v>2018</v>
      </c>
      <c r="B10" s="48">
        <v>9</v>
      </c>
      <c r="C10" s="48" t="s">
        <v>18</v>
      </c>
      <c r="D10" s="48" t="s">
        <v>170</v>
      </c>
      <c r="E10" s="90">
        <v>323769.32</v>
      </c>
      <c r="F10" s="50">
        <f>SUM($E$2:E10)</f>
        <v>2602727.65</v>
      </c>
    </row>
    <row r="11" spans="1:6" ht="28.8" x14ac:dyDescent="0.25">
      <c r="A11" s="11">
        <v>2018</v>
      </c>
      <c r="B11" s="11">
        <v>10</v>
      </c>
      <c r="C11" s="4" t="s">
        <v>18</v>
      </c>
      <c r="D11" s="4" t="s">
        <v>170</v>
      </c>
      <c r="E11" s="12">
        <v>336015.23</v>
      </c>
      <c r="F11" s="6">
        <v>2938742.88</v>
      </c>
    </row>
    <row r="12" spans="1:6" ht="28.8" x14ac:dyDescent="0.25">
      <c r="A12" s="11">
        <v>2018</v>
      </c>
      <c r="B12" s="11">
        <v>11</v>
      </c>
      <c r="C12" s="4" t="s">
        <v>18</v>
      </c>
      <c r="D12" s="4" t="s">
        <v>170</v>
      </c>
      <c r="E12" s="12">
        <v>336933.82</v>
      </c>
      <c r="F12" s="6">
        <v>3275676.7</v>
      </c>
    </row>
    <row r="13" spans="1:6" ht="28.8" x14ac:dyDescent="0.25">
      <c r="A13" s="11">
        <v>2018</v>
      </c>
      <c r="B13" s="11">
        <v>12</v>
      </c>
      <c r="C13" s="4" t="s">
        <v>18</v>
      </c>
      <c r="D13" s="4" t="s">
        <v>170</v>
      </c>
      <c r="E13" s="12">
        <v>350830.42</v>
      </c>
      <c r="F13" s="6">
        <v>3626507.12</v>
      </c>
    </row>
    <row r="14" spans="1:6" ht="28.8" x14ac:dyDescent="0.25">
      <c r="A14" s="11">
        <v>2019</v>
      </c>
      <c r="B14" s="11">
        <v>1</v>
      </c>
      <c r="C14" s="4" t="s">
        <v>18</v>
      </c>
      <c r="D14" s="4" t="s">
        <v>170</v>
      </c>
      <c r="E14" s="6">
        <v>364385.47</v>
      </c>
      <c r="F14" s="6">
        <v>364385.47</v>
      </c>
    </row>
    <row r="15" spans="1:6" ht="28.8" x14ac:dyDescent="0.25">
      <c r="A15" s="11">
        <v>2019</v>
      </c>
      <c r="B15" s="11">
        <v>2</v>
      </c>
      <c r="C15" s="4" t="s">
        <v>18</v>
      </c>
      <c r="D15" s="4" t="s">
        <v>170</v>
      </c>
      <c r="E15" s="6">
        <v>320170.77</v>
      </c>
      <c r="F15" s="6">
        <v>684556.24</v>
      </c>
    </row>
    <row r="16" spans="1:6" ht="28.8" x14ac:dyDescent="0.25">
      <c r="A16" s="11">
        <v>2019</v>
      </c>
      <c r="B16" s="11">
        <v>3</v>
      </c>
      <c r="C16" s="4" t="s">
        <v>18</v>
      </c>
      <c r="D16" s="4" t="s">
        <v>170</v>
      </c>
      <c r="E16" s="6">
        <v>390536.22</v>
      </c>
      <c r="F16" s="6">
        <v>1075092.46</v>
      </c>
    </row>
    <row r="17" spans="1:6" x14ac:dyDescent="0.25">
      <c r="A17" s="110">
        <v>2017</v>
      </c>
      <c r="B17" s="110">
        <v>1</v>
      </c>
      <c r="C17" t="s">
        <v>18</v>
      </c>
      <c r="D17" t="s">
        <v>170</v>
      </c>
      <c r="E17">
        <v>109963.48</v>
      </c>
      <c r="F17">
        <v>109963.48</v>
      </c>
    </row>
    <row r="18" spans="1:6" x14ac:dyDescent="0.25">
      <c r="A18" s="110">
        <v>2017</v>
      </c>
      <c r="B18" s="110">
        <v>2</v>
      </c>
      <c r="C18" t="s">
        <v>18</v>
      </c>
      <c r="D18" t="s">
        <v>170</v>
      </c>
      <c r="E18">
        <v>154267.87</v>
      </c>
      <c r="F18">
        <v>264231.34999999998</v>
      </c>
    </row>
    <row r="19" spans="1:6" ht="14.4" x14ac:dyDescent="0.25">
      <c r="A19" s="111">
        <v>2017</v>
      </c>
      <c r="B19" s="110">
        <v>3</v>
      </c>
      <c r="C19" t="s">
        <v>18</v>
      </c>
      <c r="D19" t="s">
        <v>170</v>
      </c>
      <c r="E19">
        <v>176261.59</v>
      </c>
      <c r="F19">
        <v>440492.94</v>
      </c>
    </row>
    <row r="20" spans="1:6" x14ac:dyDescent="0.25">
      <c r="A20" s="110">
        <v>2017</v>
      </c>
      <c r="B20" s="110">
        <v>4</v>
      </c>
      <c r="C20" t="s">
        <v>18</v>
      </c>
      <c r="D20" t="s">
        <v>170</v>
      </c>
      <c r="E20">
        <v>170569.27</v>
      </c>
      <c r="F20">
        <v>611062.21</v>
      </c>
    </row>
    <row r="21" spans="1:6" x14ac:dyDescent="0.25">
      <c r="A21" s="110">
        <v>2017</v>
      </c>
      <c r="B21" s="110">
        <v>5</v>
      </c>
      <c r="C21" t="s">
        <v>18</v>
      </c>
      <c r="D21" t="s">
        <v>170</v>
      </c>
      <c r="E21">
        <v>189541.75</v>
      </c>
      <c r="F21">
        <v>800603.96</v>
      </c>
    </row>
    <row r="22" spans="1:6" x14ac:dyDescent="0.25">
      <c r="A22" s="110">
        <v>2017</v>
      </c>
      <c r="B22" s="110">
        <v>6</v>
      </c>
      <c r="C22" t="s">
        <v>18</v>
      </c>
      <c r="D22" t="s">
        <v>170</v>
      </c>
      <c r="E22">
        <v>196101.57</v>
      </c>
      <c r="F22">
        <v>996705.53</v>
      </c>
    </row>
    <row r="23" spans="1:6" x14ac:dyDescent="0.25">
      <c r="A23" s="110">
        <v>2017</v>
      </c>
      <c r="B23" s="110">
        <v>7</v>
      </c>
      <c r="C23" t="s">
        <v>18</v>
      </c>
      <c r="D23" t="s">
        <v>170</v>
      </c>
      <c r="E23">
        <v>202224.02</v>
      </c>
      <c r="F23">
        <v>1198929.55</v>
      </c>
    </row>
    <row r="24" spans="1:6" x14ac:dyDescent="0.25">
      <c r="A24" s="110">
        <v>2017</v>
      </c>
      <c r="B24" s="110">
        <v>8</v>
      </c>
      <c r="C24" t="s">
        <v>18</v>
      </c>
      <c r="D24" t="s">
        <v>170</v>
      </c>
      <c r="E24">
        <v>209394.13</v>
      </c>
      <c r="F24">
        <v>1408323.68</v>
      </c>
    </row>
    <row r="25" spans="1:6" x14ac:dyDescent="0.25">
      <c r="A25" s="110">
        <v>2017</v>
      </c>
      <c r="B25" s="110">
        <v>9</v>
      </c>
      <c r="C25" t="s">
        <v>18</v>
      </c>
      <c r="D25" t="s">
        <v>170</v>
      </c>
      <c r="E25">
        <v>196691.69</v>
      </c>
      <c r="F25">
        <v>1605015.37</v>
      </c>
    </row>
    <row r="26" spans="1:6" x14ac:dyDescent="0.25">
      <c r="A26" s="110">
        <v>2017</v>
      </c>
      <c r="B26" s="110">
        <v>10</v>
      </c>
      <c r="C26" t="s">
        <v>18</v>
      </c>
      <c r="D26" t="s">
        <v>170</v>
      </c>
      <c r="E26">
        <v>190966.04</v>
      </c>
      <c r="F26">
        <v>1795981.41</v>
      </c>
    </row>
    <row r="27" spans="1:6" ht="28.8" x14ac:dyDescent="0.25">
      <c r="A27" s="11">
        <v>2017</v>
      </c>
      <c r="B27" s="11">
        <v>11</v>
      </c>
      <c r="C27" s="4" t="s">
        <v>18</v>
      </c>
      <c r="D27" s="4" t="s">
        <v>170</v>
      </c>
      <c r="E27" s="6">
        <v>191734.92</v>
      </c>
      <c r="F27" s="6">
        <v>1987716.33</v>
      </c>
    </row>
    <row r="28" spans="1:6" ht="28.8" x14ac:dyDescent="0.25">
      <c r="A28" s="11">
        <v>2017</v>
      </c>
      <c r="B28" s="11">
        <v>12</v>
      </c>
      <c r="C28" s="4" t="s">
        <v>18</v>
      </c>
      <c r="D28" s="4" t="s">
        <v>170</v>
      </c>
      <c r="E28" s="6">
        <v>213440.26</v>
      </c>
      <c r="F28" s="6">
        <v>2201156.59</v>
      </c>
    </row>
    <row r="29" spans="1:6" ht="28.8" x14ac:dyDescent="0.25">
      <c r="A29" s="11">
        <v>2019</v>
      </c>
      <c r="B29" s="11">
        <v>4</v>
      </c>
      <c r="C29" s="4" t="s">
        <v>18</v>
      </c>
      <c r="D29" s="4" t="s">
        <v>170</v>
      </c>
      <c r="E29" s="6">
        <v>439036.63</v>
      </c>
      <c r="F29" s="6">
        <v>1514129.09</v>
      </c>
    </row>
    <row r="30" spans="1:6" ht="28.8" x14ac:dyDescent="0.25">
      <c r="A30" s="11">
        <v>2019</v>
      </c>
      <c r="B30" s="11">
        <v>5</v>
      </c>
      <c r="C30" s="4" t="s">
        <v>18</v>
      </c>
      <c r="D30" s="4" t="s">
        <v>170</v>
      </c>
      <c r="E30" s="6">
        <v>449513.96</v>
      </c>
      <c r="F30" s="6">
        <v>1963643.05</v>
      </c>
    </row>
    <row r="31" spans="1:6" ht="28.8" x14ac:dyDescent="0.25">
      <c r="A31" s="11">
        <v>2019</v>
      </c>
      <c r="B31" s="11">
        <v>6</v>
      </c>
      <c r="C31" s="4" t="s">
        <v>18</v>
      </c>
      <c r="D31" s="4" t="s">
        <v>170</v>
      </c>
      <c r="E31" s="6">
        <v>471789.42</v>
      </c>
      <c r="F31" s="6">
        <v>2435432.4700000002</v>
      </c>
    </row>
    <row r="32" spans="1:6" x14ac:dyDescent="0.25">
      <c r="A32">
        <v>2019</v>
      </c>
      <c r="B32">
        <v>7</v>
      </c>
      <c r="C32" t="s">
        <v>18</v>
      </c>
      <c r="D32" t="s">
        <v>170</v>
      </c>
      <c r="E32">
        <v>466365.66</v>
      </c>
      <c r="F32">
        <v>2901798.13</v>
      </c>
    </row>
    <row r="33" spans="1:6" ht="28.8" x14ac:dyDescent="0.25">
      <c r="A33" s="11">
        <v>2019</v>
      </c>
      <c r="B33" s="11">
        <v>8</v>
      </c>
      <c r="C33" s="4" t="s">
        <v>18</v>
      </c>
      <c r="D33" s="4" t="s">
        <v>170</v>
      </c>
      <c r="E33" s="6">
        <v>996270.18</v>
      </c>
      <c r="F33" s="6">
        <v>3898068.31</v>
      </c>
    </row>
    <row r="34" spans="1:6" ht="28.8" x14ac:dyDescent="0.25">
      <c r="A34" s="11">
        <v>2019</v>
      </c>
      <c r="B34" s="11">
        <v>9</v>
      </c>
      <c r="C34" s="4" t="s">
        <v>18</v>
      </c>
      <c r="D34" s="4" t="s">
        <v>170</v>
      </c>
      <c r="E34" s="6">
        <v>1050880.99</v>
      </c>
      <c r="F34" s="6">
        <v>4948949.3</v>
      </c>
    </row>
    <row r="35" spans="1:6" ht="28.8" x14ac:dyDescent="0.25">
      <c r="A35" s="11">
        <v>2019</v>
      </c>
      <c r="B35" s="11">
        <v>10</v>
      </c>
      <c r="C35" s="4" t="s">
        <v>18</v>
      </c>
      <c r="D35" s="4" t="s">
        <v>170</v>
      </c>
      <c r="E35" s="6">
        <v>1135444.5900000001</v>
      </c>
      <c r="F35" s="6">
        <v>6084393.8899999997</v>
      </c>
    </row>
    <row r="36" spans="1:6" ht="28.8" x14ac:dyDescent="0.25">
      <c r="A36" s="11">
        <v>2019</v>
      </c>
      <c r="B36" s="11">
        <v>11</v>
      </c>
      <c r="C36" s="4" t="s">
        <v>18</v>
      </c>
      <c r="D36" s="4" t="s">
        <v>170</v>
      </c>
      <c r="E36" s="6">
        <v>1094356.92</v>
      </c>
      <c r="F36" s="6">
        <v>7178750.8099999996</v>
      </c>
    </row>
    <row r="37" spans="1:6" ht="28.8" x14ac:dyDescent="0.25">
      <c r="A37" s="11">
        <v>2019</v>
      </c>
      <c r="B37" s="11">
        <v>12</v>
      </c>
      <c r="C37" s="4" t="s">
        <v>18</v>
      </c>
      <c r="D37" s="4" t="s">
        <v>170</v>
      </c>
      <c r="E37" s="6">
        <v>1221281.8600000001</v>
      </c>
      <c r="F37" s="6">
        <v>8400032.6699999999</v>
      </c>
    </row>
    <row r="38" spans="1:6" x14ac:dyDescent="0.25">
      <c r="A38">
        <v>2020</v>
      </c>
      <c r="B38">
        <v>1</v>
      </c>
      <c r="C38" t="s">
        <v>18</v>
      </c>
      <c r="D38" t="s">
        <v>170</v>
      </c>
      <c r="E38">
        <v>1266030.3400000001</v>
      </c>
      <c r="F38">
        <v>1266030.3400000001</v>
      </c>
    </row>
    <row r="39" spans="1:6" x14ac:dyDescent="0.25">
      <c r="A39">
        <v>2020</v>
      </c>
      <c r="B39">
        <v>2</v>
      </c>
      <c r="C39" t="s">
        <v>18</v>
      </c>
      <c r="D39" t="s">
        <v>170</v>
      </c>
      <c r="E39">
        <v>1213388.3600000001</v>
      </c>
      <c r="F39">
        <v>2479418.7000000002</v>
      </c>
    </row>
    <row r="40" spans="1:6" x14ac:dyDescent="0.25">
      <c r="A40">
        <v>2020</v>
      </c>
      <c r="B40">
        <v>3</v>
      </c>
      <c r="C40" t="s">
        <v>18</v>
      </c>
      <c r="D40" t="s">
        <v>170</v>
      </c>
      <c r="E40">
        <v>1329884.8899999999</v>
      </c>
      <c r="F40">
        <v>3809303.59</v>
      </c>
    </row>
    <row r="41" spans="1:6" x14ac:dyDescent="0.25">
      <c r="A41">
        <v>2020</v>
      </c>
      <c r="B41">
        <v>4</v>
      </c>
      <c r="C41" t="s">
        <v>18</v>
      </c>
      <c r="D41" t="s">
        <v>170</v>
      </c>
      <c r="E41">
        <v>1313673.92</v>
      </c>
      <c r="F41">
        <v>5122977.51</v>
      </c>
    </row>
    <row r="42" spans="1:6" x14ac:dyDescent="0.25">
      <c r="A42">
        <v>2020</v>
      </c>
      <c r="B42">
        <v>5</v>
      </c>
      <c r="C42" t="s">
        <v>18</v>
      </c>
      <c r="D42" t="s">
        <v>170</v>
      </c>
      <c r="E42">
        <v>1380421.46</v>
      </c>
      <c r="F42">
        <v>6503398.9699999997</v>
      </c>
    </row>
    <row r="43" spans="1:6" x14ac:dyDescent="0.25">
      <c r="A43">
        <v>2020</v>
      </c>
      <c r="B43">
        <v>6</v>
      </c>
      <c r="C43" t="s">
        <v>18</v>
      </c>
      <c r="D43" t="s">
        <v>170</v>
      </c>
      <c r="E43">
        <v>1443813.45</v>
      </c>
      <c r="F43">
        <v>7947212.4199999999</v>
      </c>
    </row>
    <row r="44" spans="1:6" x14ac:dyDescent="0.25">
      <c r="A44">
        <v>2020</v>
      </c>
      <c r="B44">
        <v>7</v>
      </c>
      <c r="C44" t="s">
        <v>18</v>
      </c>
      <c r="D44" t="s">
        <v>170</v>
      </c>
      <c r="E44">
        <v>1469273.18</v>
      </c>
      <c r="F44">
        <v>9416485.5999999996</v>
      </c>
    </row>
    <row r="45" spans="1:6" x14ac:dyDescent="0.25">
      <c r="A45">
        <v>2020</v>
      </c>
      <c r="B45">
        <v>8</v>
      </c>
      <c r="C45" t="s">
        <v>18</v>
      </c>
      <c r="D45" t="s">
        <v>170</v>
      </c>
      <c r="E45">
        <v>1512999.45</v>
      </c>
      <c r="F45">
        <v>10929485.050000001</v>
      </c>
    </row>
    <row r="46" spans="1:6" x14ac:dyDescent="0.25">
      <c r="A46">
        <v>2020</v>
      </c>
      <c r="B46">
        <v>9</v>
      </c>
      <c r="C46" t="s">
        <v>18</v>
      </c>
      <c r="D46" t="s">
        <v>170</v>
      </c>
      <c r="E46">
        <v>1570425.75</v>
      </c>
      <c r="F46">
        <v>12499910.800000001</v>
      </c>
    </row>
    <row r="47" spans="1:6" x14ac:dyDescent="0.25">
      <c r="A47">
        <v>2020</v>
      </c>
      <c r="B47">
        <v>10</v>
      </c>
      <c r="C47" t="s">
        <v>18</v>
      </c>
      <c r="D47" t="s">
        <v>170</v>
      </c>
      <c r="E47">
        <v>1635580.66</v>
      </c>
      <c r="F47">
        <v>14135491.460000001</v>
      </c>
    </row>
    <row r="48" spans="1:6" x14ac:dyDescent="0.25">
      <c r="A48">
        <v>2020</v>
      </c>
      <c r="B48">
        <v>11</v>
      </c>
      <c r="C48" t="s">
        <v>18</v>
      </c>
      <c r="D48" t="s">
        <v>170</v>
      </c>
      <c r="E48">
        <v>1563272.02</v>
      </c>
      <c r="F48">
        <v>15698763.48</v>
      </c>
    </row>
    <row r="49" spans="1:6" x14ac:dyDescent="0.25">
      <c r="A49">
        <v>2020</v>
      </c>
      <c r="B49">
        <v>12</v>
      </c>
      <c r="C49" t="s">
        <v>18</v>
      </c>
      <c r="D49" t="s">
        <v>170</v>
      </c>
      <c r="E49">
        <v>1606583.66</v>
      </c>
      <c r="F49">
        <v>17305347.140000001</v>
      </c>
    </row>
  </sheetData>
  <autoFilter ref="A1:F31"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342"/>
  <sheetViews>
    <sheetView topLeftCell="A271" workbookViewId="0">
      <selection activeCell="A311" sqref="A311:T342"/>
    </sheetView>
  </sheetViews>
  <sheetFormatPr defaultRowHeight="13.8" x14ac:dyDescent="0.25"/>
  <cols>
    <col min="1" max="1" width="5.5546875" bestFit="1" customWidth="1"/>
    <col min="2" max="2" width="3.5546875" bestFit="1" customWidth="1"/>
    <col min="3" max="3" width="7.5546875" bestFit="1" customWidth="1"/>
    <col min="4" max="4" width="14.109375" bestFit="1" customWidth="1"/>
    <col min="5" max="5" width="51.21875" bestFit="1" customWidth="1"/>
    <col min="6" max="6" width="7.5546875" bestFit="1" customWidth="1"/>
    <col min="7" max="7" width="27.109375" bestFit="1" customWidth="1"/>
    <col min="8" max="8" width="33.6640625" bestFit="1" customWidth="1"/>
    <col min="9" max="9" width="31.44140625" bestFit="1" customWidth="1"/>
    <col min="10" max="10" width="26" bestFit="1" customWidth="1"/>
    <col min="11" max="11" width="32.5546875" bestFit="1" customWidth="1"/>
    <col min="12" max="12" width="30.6640625" bestFit="1" customWidth="1"/>
    <col min="13" max="14" width="12.77734375" bestFit="1" customWidth="1"/>
    <col min="15" max="15" width="7.5546875" bestFit="1" customWidth="1"/>
    <col min="16" max="16" width="37.21875" bestFit="1" customWidth="1"/>
    <col min="17" max="19" width="7.5546875" bestFit="1" customWidth="1"/>
    <col min="20" max="20" width="10.5546875" bestFit="1" customWidth="1"/>
  </cols>
  <sheetData>
    <row r="1" spans="1:20" ht="41.4" x14ac:dyDescent="0.25">
      <c r="A1" s="109" t="s">
        <v>372</v>
      </c>
      <c r="B1" s="109" t="s">
        <v>114</v>
      </c>
      <c r="C1" s="109" t="s">
        <v>371</v>
      </c>
      <c r="D1" s="109" t="s">
        <v>370</v>
      </c>
      <c r="E1" s="109" t="s">
        <v>373</v>
      </c>
      <c r="F1" s="109" t="s">
        <v>375</v>
      </c>
      <c r="G1" t="s">
        <v>376</v>
      </c>
      <c r="H1" t="s">
        <v>282</v>
      </c>
      <c r="I1" t="s">
        <v>283</v>
      </c>
      <c r="J1" t="s">
        <v>284</v>
      </c>
      <c r="K1" t="s">
        <v>285</v>
      </c>
      <c r="L1" t="s">
        <v>662</v>
      </c>
      <c r="M1" s="109" t="s">
        <v>378</v>
      </c>
      <c r="N1" s="109" t="s">
        <v>380</v>
      </c>
      <c r="O1" s="109" t="s">
        <v>382</v>
      </c>
      <c r="P1" s="109" t="s">
        <v>384</v>
      </c>
      <c r="Q1" s="109" t="s">
        <v>386</v>
      </c>
      <c r="R1" s="109" t="s">
        <v>388</v>
      </c>
      <c r="S1" s="109" t="s">
        <v>389</v>
      </c>
      <c r="T1" s="109" t="s">
        <v>391</v>
      </c>
    </row>
    <row r="2" spans="1:20" x14ac:dyDescent="0.25">
      <c r="A2">
        <v>2020</v>
      </c>
      <c r="B2">
        <v>1</v>
      </c>
      <c r="C2" t="s">
        <v>286</v>
      </c>
      <c r="D2" t="s">
        <v>287</v>
      </c>
      <c r="E2" t="s">
        <v>288</v>
      </c>
      <c r="G2">
        <v>0</v>
      </c>
      <c r="J2">
        <v>0</v>
      </c>
    </row>
    <row r="3" spans="1:20" x14ac:dyDescent="0.25">
      <c r="A3">
        <v>2020</v>
      </c>
      <c r="B3">
        <v>1</v>
      </c>
      <c r="C3" t="s">
        <v>289</v>
      </c>
      <c r="D3" t="s">
        <v>290</v>
      </c>
      <c r="E3" t="s">
        <v>291</v>
      </c>
      <c r="G3">
        <v>0</v>
      </c>
      <c r="J3">
        <v>0</v>
      </c>
    </row>
    <row r="4" spans="1:20" x14ac:dyDescent="0.25">
      <c r="A4">
        <v>2020</v>
      </c>
      <c r="B4">
        <v>1</v>
      </c>
      <c r="C4" t="s">
        <v>168</v>
      </c>
      <c r="D4" t="s">
        <v>292</v>
      </c>
      <c r="E4" t="s">
        <v>293</v>
      </c>
      <c r="F4" t="s">
        <v>23</v>
      </c>
      <c r="G4">
        <v>295496.63</v>
      </c>
      <c r="H4">
        <v>184600.97</v>
      </c>
      <c r="I4">
        <v>110895.65</v>
      </c>
      <c r="J4">
        <v>295496.63</v>
      </c>
      <c r="K4">
        <v>184600.97</v>
      </c>
      <c r="L4">
        <v>110895.65</v>
      </c>
      <c r="M4">
        <v>3864220282</v>
      </c>
      <c r="N4">
        <v>3972405959</v>
      </c>
      <c r="O4">
        <v>5.2999999999999999E-2</v>
      </c>
      <c r="P4" t="s">
        <v>294</v>
      </c>
      <c r="Q4">
        <v>3.5000000000000003E-2</v>
      </c>
      <c r="R4">
        <v>0.02</v>
      </c>
      <c r="T4">
        <v>117549.39</v>
      </c>
    </row>
    <row r="5" spans="1:20" x14ac:dyDescent="0.25">
      <c r="A5">
        <v>2020</v>
      </c>
      <c r="B5">
        <v>1</v>
      </c>
      <c r="C5" t="s">
        <v>295</v>
      </c>
      <c r="D5" t="s">
        <v>296</v>
      </c>
      <c r="E5" t="s">
        <v>297</v>
      </c>
      <c r="F5" t="s">
        <v>23</v>
      </c>
      <c r="G5">
        <v>352272.44</v>
      </c>
      <c r="H5">
        <v>218322.95</v>
      </c>
      <c r="I5">
        <v>133949.48000000001</v>
      </c>
      <c r="J5">
        <v>352272.44</v>
      </c>
      <c r="K5">
        <v>218322.95</v>
      </c>
      <c r="L5">
        <v>133949.48000000001</v>
      </c>
      <c r="M5">
        <v>4570342750</v>
      </c>
      <c r="N5">
        <v>4895420807</v>
      </c>
      <c r="O5">
        <v>5.2999999999999999E-2</v>
      </c>
      <c r="P5" t="s">
        <v>294</v>
      </c>
      <c r="Q5">
        <v>3.5000000000000003E-2</v>
      </c>
      <c r="R5">
        <v>0.02</v>
      </c>
      <c r="T5">
        <v>141986.45000000001</v>
      </c>
    </row>
    <row r="6" spans="1:20" x14ac:dyDescent="0.25">
      <c r="A6">
        <v>2020</v>
      </c>
      <c r="B6">
        <v>1</v>
      </c>
      <c r="C6" t="s">
        <v>298</v>
      </c>
      <c r="D6" t="s">
        <v>299</v>
      </c>
      <c r="E6" t="s">
        <v>300</v>
      </c>
      <c r="F6" t="s">
        <v>23</v>
      </c>
      <c r="G6">
        <v>0</v>
      </c>
      <c r="J6">
        <v>0</v>
      </c>
      <c r="O6">
        <v>5.2999999999999999E-2</v>
      </c>
      <c r="P6" t="s">
        <v>301</v>
      </c>
    </row>
    <row r="7" spans="1:20" x14ac:dyDescent="0.25">
      <c r="A7">
        <v>2020</v>
      </c>
      <c r="B7">
        <v>1</v>
      </c>
      <c r="C7" t="s">
        <v>302</v>
      </c>
      <c r="D7" t="s">
        <v>303</v>
      </c>
      <c r="E7" t="s">
        <v>304</v>
      </c>
      <c r="F7" t="s">
        <v>23</v>
      </c>
      <c r="G7">
        <v>93973.52</v>
      </c>
      <c r="H7">
        <v>44502.52</v>
      </c>
      <c r="I7">
        <v>49471.01</v>
      </c>
      <c r="J7">
        <v>93973.52</v>
      </c>
      <c r="K7">
        <v>44502.52</v>
      </c>
      <c r="L7">
        <v>49471.01</v>
      </c>
      <c r="M7">
        <v>1438429943</v>
      </c>
      <c r="N7">
        <v>2057521120</v>
      </c>
      <c r="O7">
        <v>5.2999999999999999E-2</v>
      </c>
      <c r="P7" t="s">
        <v>294</v>
      </c>
      <c r="Q7">
        <v>3.5000000000000003E-2</v>
      </c>
      <c r="R7">
        <v>0.02</v>
      </c>
      <c r="T7">
        <v>52439.27</v>
      </c>
    </row>
    <row r="8" spans="1:20" x14ac:dyDescent="0.25">
      <c r="A8">
        <v>2020</v>
      </c>
      <c r="B8">
        <v>1</v>
      </c>
      <c r="C8" t="s">
        <v>305</v>
      </c>
      <c r="D8" t="s">
        <v>306</v>
      </c>
      <c r="E8" t="s">
        <v>307</v>
      </c>
      <c r="F8" t="s">
        <v>23</v>
      </c>
      <c r="G8">
        <v>41703.96</v>
      </c>
      <c r="I8">
        <v>41703.96</v>
      </c>
      <c r="J8">
        <v>41703.96</v>
      </c>
      <c r="L8">
        <v>41703.96</v>
      </c>
      <c r="N8">
        <v>2947079551</v>
      </c>
      <c r="O8">
        <v>5.2999999999999999E-2</v>
      </c>
      <c r="P8" t="s">
        <v>294</v>
      </c>
      <c r="Q8">
        <v>3.5000000000000003E-2</v>
      </c>
      <c r="R8">
        <v>0.02</v>
      </c>
      <c r="T8">
        <v>44206.19</v>
      </c>
    </row>
    <row r="9" spans="1:20" x14ac:dyDescent="0.25">
      <c r="A9">
        <v>2020</v>
      </c>
      <c r="B9">
        <v>1</v>
      </c>
      <c r="C9" t="s">
        <v>308</v>
      </c>
      <c r="D9" t="s">
        <v>309</v>
      </c>
      <c r="E9" t="s">
        <v>310</v>
      </c>
      <c r="F9" t="s">
        <v>23</v>
      </c>
      <c r="G9">
        <v>339004.98</v>
      </c>
      <c r="H9">
        <v>209294.59</v>
      </c>
      <c r="I9">
        <v>129710.38</v>
      </c>
      <c r="J9">
        <v>339004.98</v>
      </c>
      <c r="K9">
        <v>209294.59</v>
      </c>
      <c r="L9">
        <v>129710.38</v>
      </c>
      <c r="M9">
        <v>4525988520</v>
      </c>
      <c r="N9">
        <v>4640211867</v>
      </c>
      <c r="O9">
        <v>5.2999999999999999E-2</v>
      </c>
      <c r="P9" t="s">
        <v>294</v>
      </c>
      <c r="Q9">
        <v>3.5000000000000003E-2</v>
      </c>
      <c r="R9">
        <v>0.02</v>
      </c>
      <c r="T9">
        <v>137493.01</v>
      </c>
    </row>
    <row r="10" spans="1:20" x14ac:dyDescent="0.25">
      <c r="A10">
        <v>2020</v>
      </c>
      <c r="B10">
        <v>1</v>
      </c>
      <c r="C10" t="s">
        <v>311</v>
      </c>
      <c r="D10" t="s">
        <v>312</v>
      </c>
      <c r="E10" t="s">
        <v>313</v>
      </c>
      <c r="F10" t="s">
        <v>23</v>
      </c>
      <c r="G10">
        <v>59790.54</v>
      </c>
      <c r="I10">
        <v>59790.54</v>
      </c>
      <c r="J10">
        <v>59790.54</v>
      </c>
      <c r="L10">
        <v>59790.54</v>
      </c>
      <c r="M10">
        <v>2423605662</v>
      </c>
      <c r="N10">
        <v>2483076032</v>
      </c>
      <c r="O10">
        <v>5.2999999999999999E-2</v>
      </c>
      <c r="P10" t="s">
        <v>314</v>
      </c>
      <c r="Q10">
        <v>3.7499999999999999E-2</v>
      </c>
      <c r="R10">
        <v>0.02</v>
      </c>
      <c r="T10">
        <v>63377.97</v>
      </c>
    </row>
    <row r="11" spans="1:20" x14ac:dyDescent="0.25">
      <c r="A11">
        <v>2020</v>
      </c>
      <c r="B11">
        <v>1</v>
      </c>
      <c r="C11" t="s">
        <v>315</v>
      </c>
      <c r="D11" t="s">
        <v>316</v>
      </c>
      <c r="E11" t="s">
        <v>317</v>
      </c>
      <c r="F11" t="s">
        <v>23</v>
      </c>
      <c r="G11">
        <v>-1003993.33</v>
      </c>
      <c r="H11">
        <v>-1003993.33</v>
      </c>
      <c r="J11">
        <v>-1003993.33</v>
      </c>
      <c r="K11">
        <v>-1003993.33</v>
      </c>
      <c r="O11">
        <v>5.2999999999999999E-2</v>
      </c>
      <c r="P11" t="s">
        <v>301</v>
      </c>
    </row>
    <row r="12" spans="1:20" x14ac:dyDescent="0.25">
      <c r="A12">
        <v>2020</v>
      </c>
      <c r="B12">
        <v>1</v>
      </c>
      <c r="C12" t="s">
        <v>318</v>
      </c>
      <c r="D12" t="s">
        <v>319</v>
      </c>
      <c r="E12" t="s">
        <v>320</v>
      </c>
      <c r="F12" t="s">
        <v>23</v>
      </c>
      <c r="G12">
        <v>29812.93</v>
      </c>
      <c r="H12">
        <v>9063.23</v>
      </c>
      <c r="I12">
        <v>20749.7</v>
      </c>
      <c r="J12">
        <v>29812.93</v>
      </c>
      <c r="K12">
        <v>9063.23</v>
      </c>
      <c r="L12">
        <v>20749.7</v>
      </c>
      <c r="M12">
        <v>731474420.79999995</v>
      </c>
      <c r="N12">
        <v>734837857.60000002</v>
      </c>
      <c r="O12">
        <v>5.2999999999999999E-2</v>
      </c>
      <c r="P12" t="s">
        <v>294</v>
      </c>
      <c r="Q12">
        <v>3.5000000000000003E-2</v>
      </c>
      <c r="R12">
        <v>0.02</v>
      </c>
      <c r="T12">
        <v>21994.68</v>
      </c>
    </row>
    <row r="13" spans="1:20" x14ac:dyDescent="0.25">
      <c r="A13">
        <v>2020</v>
      </c>
      <c r="B13">
        <v>1</v>
      </c>
      <c r="C13" t="s">
        <v>321</v>
      </c>
      <c r="D13" t="s">
        <v>322</v>
      </c>
      <c r="E13" t="s">
        <v>323</v>
      </c>
      <c r="F13" t="s">
        <v>23</v>
      </c>
      <c r="G13">
        <v>217958.57</v>
      </c>
      <c r="I13">
        <v>217958.57</v>
      </c>
      <c r="J13">
        <v>217958.57</v>
      </c>
      <c r="L13">
        <v>217958.57</v>
      </c>
      <c r="M13">
        <v>7539266608</v>
      </c>
      <c r="N13">
        <v>7863139163</v>
      </c>
      <c r="O13">
        <v>5.2999999999999999E-2</v>
      </c>
      <c r="P13" t="s">
        <v>294</v>
      </c>
      <c r="Q13">
        <v>3.5000000000000003E-2</v>
      </c>
      <c r="R13">
        <v>0.02</v>
      </c>
      <c r="T13">
        <v>231036.09</v>
      </c>
    </row>
    <row r="14" spans="1:20" x14ac:dyDescent="0.25">
      <c r="A14">
        <v>2020</v>
      </c>
      <c r="B14">
        <v>1</v>
      </c>
      <c r="C14" t="s">
        <v>324</v>
      </c>
      <c r="D14" t="s">
        <v>325</v>
      </c>
      <c r="E14" t="s">
        <v>326</v>
      </c>
      <c r="F14" t="s">
        <v>23</v>
      </c>
      <c r="G14">
        <v>105881.42</v>
      </c>
      <c r="H14">
        <v>53954.18</v>
      </c>
      <c r="I14">
        <v>51927.24</v>
      </c>
      <c r="J14">
        <v>105881.42</v>
      </c>
      <c r="K14">
        <v>53954.18</v>
      </c>
      <c r="L14">
        <v>51927.24</v>
      </c>
      <c r="M14">
        <v>1702359429</v>
      </c>
      <c r="N14">
        <v>1967165399</v>
      </c>
      <c r="O14">
        <v>5.2999999999999999E-2</v>
      </c>
      <c r="P14" t="s">
        <v>294</v>
      </c>
      <c r="Q14">
        <v>3.5000000000000003E-2</v>
      </c>
      <c r="R14">
        <v>0.02</v>
      </c>
      <c r="T14">
        <v>55042.87</v>
      </c>
    </row>
    <row r="15" spans="1:20" x14ac:dyDescent="0.25">
      <c r="A15">
        <v>2020</v>
      </c>
      <c r="B15">
        <v>1</v>
      </c>
      <c r="C15" t="s">
        <v>327</v>
      </c>
      <c r="D15" t="s">
        <v>328</v>
      </c>
      <c r="E15" t="s">
        <v>329</v>
      </c>
      <c r="F15" t="s">
        <v>23</v>
      </c>
      <c r="G15">
        <v>240274.22</v>
      </c>
      <c r="H15">
        <v>148530.29</v>
      </c>
      <c r="I15">
        <v>91743.93</v>
      </c>
      <c r="J15">
        <v>240274.22</v>
      </c>
      <c r="K15">
        <v>148530.29</v>
      </c>
      <c r="L15">
        <v>91743.93</v>
      </c>
      <c r="M15">
        <v>3127555766</v>
      </c>
      <c r="N15">
        <v>3355681723</v>
      </c>
      <c r="O15">
        <v>5.2999999999999999E-2</v>
      </c>
      <c r="P15" t="s">
        <v>294</v>
      </c>
      <c r="Q15">
        <v>3.5000000000000003E-2</v>
      </c>
      <c r="R15">
        <v>0.02</v>
      </c>
      <c r="T15">
        <v>97248.56</v>
      </c>
    </row>
    <row r="16" spans="1:20" x14ac:dyDescent="0.25">
      <c r="A16">
        <v>2020</v>
      </c>
      <c r="B16">
        <v>1</v>
      </c>
      <c r="C16" t="s">
        <v>330</v>
      </c>
      <c r="D16" t="s">
        <v>331</v>
      </c>
      <c r="E16" t="s">
        <v>332</v>
      </c>
      <c r="F16" t="s">
        <v>23</v>
      </c>
      <c r="G16">
        <v>0</v>
      </c>
      <c r="J16">
        <v>0</v>
      </c>
      <c r="O16">
        <v>5.2999999999999999E-2</v>
      </c>
      <c r="P16" t="s">
        <v>294</v>
      </c>
      <c r="Q16">
        <v>3.5000000000000003E-2</v>
      </c>
      <c r="R16">
        <v>0.02</v>
      </c>
    </row>
    <row r="17" spans="1:20" x14ac:dyDescent="0.25">
      <c r="A17">
        <v>2020</v>
      </c>
      <c r="B17">
        <v>1</v>
      </c>
      <c r="C17" t="s">
        <v>333</v>
      </c>
      <c r="D17" t="s">
        <v>334</v>
      </c>
      <c r="E17" t="s">
        <v>335</v>
      </c>
      <c r="F17" t="s">
        <v>23</v>
      </c>
      <c r="G17">
        <v>12106.8</v>
      </c>
      <c r="I17">
        <v>12106.8</v>
      </c>
      <c r="J17">
        <v>12106.8</v>
      </c>
      <c r="L17">
        <v>12106.8</v>
      </c>
      <c r="M17">
        <v>516617560.69999999</v>
      </c>
      <c r="N17">
        <v>552816754.89999998</v>
      </c>
      <c r="O17">
        <v>5.2999999999999999E-2</v>
      </c>
      <c r="P17" t="s">
        <v>294</v>
      </c>
      <c r="Q17">
        <v>3.5000000000000003E-2</v>
      </c>
      <c r="R17">
        <v>1.6E-2</v>
      </c>
      <c r="T17">
        <v>12833.21</v>
      </c>
    </row>
    <row r="18" spans="1:20" x14ac:dyDescent="0.25">
      <c r="A18">
        <v>2020</v>
      </c>
      <c r="B18">
        <v>1</v>
      </c>
      <c r="C18" t="s">
        <v>336</v>
      </c>
      <c r="D18" t="s">
        <v>337</v>
      </c>
      <c r="E18" t="s">
        <v>338</v>
      </c>
      <c r="F18" t="s">
        <v>23</v>
      </c>
      <c r="G18">
        <v>12144.99</v>
      </c>
      <c r="I18">
        <v>12144.99</v>
      </c>
      <c r="J18">
        <v>12144.99</v>
      </c>
      <c r="L18">
        <v>12144.99</v>
      </c>
      <c r="N18">
        <v>858246067.29999995</v>
      </c>
      <c r="O18">
        <v>5.2999999999999999E-2</v>
      </c>
      <c r="P18" t="s">
        <v>339</v>
      </c>
      <c r="Q18">
        <v>3.5000000000000003E-2</v>
      </c>
      <c r="R18">
        <v>0.02</v>
      </c>
      <c r="T18">
        <v>12873.69</v>
      </c>
    </row>
    <row r="19" spans="1:20" x14ac:dyDescent="0.25">
      <c r="A19">
        <v>2020</v>
      </c>
      <c r="B19">
        <v>1</v>
      </c>
      <c r="C19" t="s">
        <v>340</v>
      </c>
      <c r="D19" t="s">
        <v>341</v>
      </c>
      <c r="E19" t="s">
        <v>342</v>
      </c>
      <c r="F19" t="s">
        <v>23</v>
      </c>
      <c r="G19">
        <v>551899.5</v>
      </c>
      <c r="H19">
        <v>340780.28</v>
      </c>
      <c r="I19">
        <v>211119.22</v>
      </c>
      <c r="J19">
        <v>551899.5</v>
      </c>
      <c r="K19">
        <v>340780.28</v>
      </c>
      <c r="L19">
        <v>211119.22</v>
      </c>
      <c r="M19">
        <v>7183819484</v>
      </c>
      <c r="N19">
        <v>7735272177</v>
      </c>
      <c r="O19">
        <v>5.2999999999999999E-2</v>
      </c>
      <c r="P19" t="s">
        <v>294</v>
      </c>
      <c r="Q19">
        <v>3.5000000000000003E-2</v>
      </c>
      <c r="R19">
        <v>0.02</v>
      </c>
      <c r="T19">
        <v>223786.37</v>
      </c>
    </row>
    <row r="20" spans="1:20" x14ac:dyDescent="0.25">
      <c r="A20">
        <v>2020</v>
      </c>
      <c r="B20">
        <v>1</v>
      </c>
      <c r="C20" t="s">
        <v>343</v>
      </c>
      <c r="D20" t="s">
        <v>344</v>
      </c>
      <c r="E20" t="s">
        <v>345</v>
      </c>
      <c r="F20" t="s">
        <v>23</v>
      </c>
      <c r="G20">
        <v>28062.12</v>
      </c>
      <c r="I20">
        <v>28062.12</v>
      </c>
      <c r="J20">
        <v>28062.12</v>
      </c>
      <c r="L20">
        <v>28062.12</v>
      </c>
      <c r="N20">
        <v>1983056811</v>
      </c>
      <c r="O20">
        <v>5.2999999999999999E-2</v>
      </c>
      <c r="P20" t="s">
        <v>294</v>
      </c>
      <c r="Q20">
        <v>3.5000000000000003E-2</v>
      </c>
      <c r="R20">
        <v>0.02</v>
      </c>
      <c r="T20">
        <v>29745.85</v>
      </c>
    </row>
    <row r="21" spans="1:20" x14ac:dyDescent="0.25">
      <c r="A21">
        <v>2020</v>
      </c>
      <c r="B21">
        <v>1</v>
      </c>
      <c r="C21" t="s">
        <v>346</v>
      </c>
      <c r="D21" t="s">
        <v>347</v>
      </c>
      <c r="E21" t="s">
        <v>348</v>
      </c>
      <c r="F21" t="s">
        <v>23</v>
      </c>
      <c r="G21">
        <v>235875.79</v>
      </c>
      <c r="H21">
        <v>143359.43</v>
      </c>
      <c r="I21">
        <v>92516.35</v>
      </c>
      <c r="J21">
        <v>235875.79</v>
      </c>
      <c r="K21">
        <v>143359.43</v>
      </c>
      <c r="L21">
        <v>92516.35</v>
      </c>
      <c r="M21">
        <v>3167388023</v>
      </c>
      <c r="N21">
        <v>3370434144</v>
      </c>
      <c r="O21">
        <v>5.2999999999999999E-2</v>
      </c>
      <c r="P21" t="s">
        <v>294</v>
      </c>
      <c r="Q21">
        <v>3.5000000000000003E-2</v>
      </c>
      <c r="R21">
        <v>0.02</v>
      </c>
      <c r="T21">
        <v>98067.33</v>
      </c>
    </row>
    <row r="22" spans="1:20" x14ac:dyDescent="0.25">
      <c r="A22">
        <v>2020</v>
      </c>
      <c r="B22">
        <v>1</v>
      </c>
      <c r="C22" t="s">
        <v>349</v>
      </c>
      <c r="D22" t="s">
        <v>350</v>
      </c>
      <c r="E22" t="s">
        <v>351</v>
      </c>
      <c r="F22" t="s">
        <v>23</v>
      </c>
      <c r="G22">
        <v>970428.12</v>
      </c>
      <c r="H22">
        <v>787911.73</v>
      </c>
      <c r="I22">
        <v>182516.39</v>
      </c>
      <c r="J22">
        <v>970428.12</v>
      </c>
      <c r="K22">
        <v>787911.73</v>
      </c>
      <c r="L22">
        <v>182516.39</v>
      </c>
      <c r="M22">
        <v>12406123313</v>
      </c>
      <c r="N22">
        <v>13389527177</v>
      </c>
      <c r="O22">
        <v>5.2999999999999999E-2</v>
      </c>
      <c r="P22" t="s">
        <v>294</v>
      </c>
      <c r="Q22">
        <v>3.5000000000000003E-2</v>
      </c>
      <c r="R22">
        <v>0.01</v>
      </c>
      <c r="T22">
        <v>193467.38</v>
      </c>
    </row>
    <row r="23" spans="1:20" x14ac:dyDescent="0.25">
      <c r="A23">
        <v>2020</v>
      </c>
      <c r="B23">
        <v>1</v>
      </c>
      <c r="C23" t="s">
        <v>352</v>
      </c>
      <c r="D23" t="s">
        <v>353</v>
      </c>
      <c r="E23" t="s">
        <v>354</v>
      </c>
      <c r="F23" t="s">
        <v>23</v>
      </c>
      <c r="G23">
        <v>94384.78</v>
      </c>
      <c r="I23">
        <v>94384.78</v>
      </c>
      <c r="J23">
        <v>94384.78</v>
      </c>
      <c r="L23">
        <v>94384.78</v>
      </c>
      <c r="N23">
        <v>6669858106</v>
      </c>
      <c r="O23">
        <v>5.2999999999999999E-2</v>
      </c>
      <c r="P23" t="s">
        <v>339</v>
      </c>
      <c r="Q23">
        <v>3.5000000000000003E-2</v>
      </c>
      <c r="R23">
        <v>0.02</v>
      </c>
      <c r="T23">
        <v>100047.87</v>
      </c>
    </row>
    <row r="24" spans="1:20" x14ac:dyDescent="0.25">
      <c r="A24">
        <v>2020</v>
      </c>
      <c r="B24">
        <v>1</v>
      </c>
      <c r="C24" t="s">
        <v>355</v>
      </c>
      <c r="D24" t="s">
        <v>356</v>
      </c>
      <c r="E24" t="s">
        <v>357</v>
      </c>
      <c r="F24" t="s">
        <v>23</v>
      </c>
      <c r="G24">
        <v>147103.43</v>
      </c>
      <c r="H24">
        <v>84427.65</v>
      </c>
      <c r="I24">
        <v>62675.78</v>
      </c>
      <c r="J24">
        <v>147103.43</v>
      </c>
      <c r="K24">
        <v>84427.65</v>
      </c>
      <c r="L24">
        <v>62675.78</v>
      </c>
      <c r="M24">
        <v>2207982164</v>
      </c>
      <c r="N24">
        <v>2221105996</v>
      </c>
      <c r="O24">
        <v>5.2999999999999999E-2</v>
      </c>
      <c r="P24" t="s">
        <v>294</v>
      </c>
      <c r="Q24">
        <v>3.5000000000000003E-2</v>
      </c>
      <c r="R24">
        <v>0.02</v>
      </c>
      <c r="T24">
        <v>66436.320000000007</v>
      </c>
    </row>
    <row r="25" spans="1:20" x14ac:dyDescent="0.25">
      <c r="A25">
        <v>2020</v>
      </c>
      <c r="B25">
        <v>1</v>
      </c>
      <c r="C25" t="s">
        <v>358</v>
      </c>
      <c r="D25" t="s">
        <v>359</v>
      </c>
      <c r="E25" t="s">
        <v>360</v>
      </c>
      <c r="F25" t="s">
        <v>23</v>
      </c>
      <c r="G25">
        <v>368967.27</v>
      </c>
      <c r="H25">
        <v>226067.75</v>
      </c>
      <c r="I25">
        <v>142899.51</v>
      </c>
      <c r="J25">
        <v>368967.27</v>
      </c>
      <c r="K25">
        <v>226067.75</v>
      </c>
      <c r="L25">
        <v>142899.51</v>
      </c>
      <c r="M25">
        <v>4889812396</v>
      </c>
      <c r="N25">
        <v>5208419810</v>
      </c>
      <c r="O25">
        <v>5.2999999999999999E-2</v>
      </c>
      <c r="P25" t="s">
        <v>294</v>
      </c>
      <c r="Q25">
        <v>3.5000000000000003E-2</v>
      </c>
      <c r="R25">
        <v>0.02</v>
      </c>
      <c r="T25">
        <v>151473.48000000001</v>
      </c>
    </row>
    <row r="26" spans="1:20" x14ac:dyDescent="0.25">
      <c r="A26">
        <v>2020</v>
      </c>
      <c r="B26">
        <v>1</v>
      </c>
      <c r="C26" t="s">
        <v>361</v>
      </c>
      <c r="D26" t="s">
        <v>362</v>
      </c>
      <c r="E26" t="s">
        <v>363</v>
      </c>
      <c r="F26" t="s">
        <v>23</v>
      </c>
      <c r="G26">
        <v>149661.15</v>
      </c>
      <c r="H26">
        <v>89086.39</v>
      </c>
      <c r="I26">
        <v>60574.77</v>
      </c>
      <c r="J26">
        <v>149661.15</v>
      </c>
      <c r="K26">
        <v>89086.39</v>
      </c>
      <c r="L26">
        <v>60574.77</v>
      </c>
      <c r="M26">
        <v>2135192649</v>
      </c>
      <c r="N26">
        <v>2145424095</v>
      </c>
      <c r="O26">
        <v>5.2999999999999999E-2</v>
      </c>
      <c r="P26" t="s">
        <v>294</v>
      </c>
      <c r="Q26">
        <v>3.5000000000000003E-2</v>
      </c>
      <c r="R26">
        <v>0.02</v>
      </c>
      <c r="T26">
        <v>64209.25</v>
      </c>
    </row>
    <row r="27" spans="1:20" x14ac:dyDescent="0.25">
      <c r="A27">
        <v>2020</v>
      </c>
      <c r="B27">
        <v>1</v>
      </c>
      <c r="C27" t="s">
        <v>364</v>
      </c>
      <c r="D27" t="s">
        <v>365</v>
      </c>
      <c r="E27" t="s">
        <v>366</v>
      </c>
      <c r="F27" t="s">
        <v>34</v>
      </c>
      <c r="G27">
        <v>2638.4</v>
      </c>
      <c r="H27">
        <v>2638.4</v>
      </c>
      <c r="J27">
        <v>2638.4</v>
      </c>
      <c r="K27">
        <v>2638.4</v>
      </c>
      <c r="O27">
        <v>5.2999999999999999E-2</v>
      </c>
    </row>
    <row r="28" spans="1:20" x14ac:dyDescent="0.25">
      <c r="A28">
        <v>2020</v>
      </c>
      <c r="B28">
        <v>1</v>
      </c>
      <c r="C28" t="s">
        <v>364</v>
      </c>
      <c r="D28" t="s">
        <v>367</v>
      </c>
      <c r="E28" t="s">
        <v>368</v>
      </c>
      <c r="F28" t="s">
        <v>34</v>
      </c>
      <c r="G28">
        <v>91693.53</v>
      </c>
      <c r="H28">
        <v>91693.53</v>
      </c>
      <c r="J28">
        <v>91693.53</v>
      </c>
      <c r="K28">
        <v>91693.53</v>
      </c>
      <c r="O28">
        <v>5.2999999999999999E-2</v>
      </c>
    </row>
    <row r="29" spans="1:20" x14ac:dyDescent="0.25">
      <c r="A29">
        <v>2020</v>
      </c>
      <c r="B29">
        <v>2</v>
      </c>
      <c r="C29" t="s">
        <v>286</v>
      </c>
      <c r="D29" t="s">
        <v>287</v>
      </c>
      <c r="E29" t="s">
        <v>288</v>
      </c>
      <c r="G29">
        <v>0</v>
      </c>
      <c r="J29">
        <v>0</v>
      </c>
    </row>
    <row r="30" spans="1:20" x14ac:dyDescent="0.25">
      <c r="A30">
        <v>2020</v>
      </c>
      <c r="B30">
        <v>2</v>
      </c>
      <c r="C30" t="s">
        <v>289</v>
      </c>
      <c r="D30" t="s">
        <v>290</v>
      </c>
      <c r="E30" t="s">
        <v>291</v>
      </c>
      <c r="G30">
        <v>0</v>
      </c>
      <c r="J30">
        <v>0</v>
      </c>
    </row>
    <row r="31" spans="1:20" x14ac:dyDescent="0.25">
      <c r="A31">
        <v>2020</v>
      </c>
      <c r="B31">
        <v>2</v>
      </c>
      <c r="C31" t="s">
        <v>168</v>
      </c>
      <c r="D31" t="s">
        <v>292</v>
      </c>
      <c r="E31" t="s">
        <v>293</v>
      </c>
      <c r="F31" t="s">
        <v>23</v>
      </c>
      <c r="G31">
        <v>594598.03</v>
      </c>
      <c r="H31">
        <v>369201.94</v>
      </c>
      <c r="I31">
        <v>225396.09</v>
      </c>
      <c r="J31">
        <v>299101.40000000002</v>
      </c>
      <c r="K31">
        <v>184600.97</v>
      </c>
      <c r="L31">
        <v>114500.43</v>
      </c>
      <c r="M31">
        <v>3972405959</v>
      </c>
      <c r="N31">
        <v>4118957977</v>
      </c>
      <c r="O31">
        <v>5.2999999999999999E-2</v>
      </c>
      <c r="P31" t="s">
        <v>294</v>
      </c>
      <c r="Q31">
        <v>3.5000000000000003E-2</v>
      </c>
      <c r="R31">
        <v>0.02</v>
      </c>
      <c r="T31">
        <v>121370.46</v>
      </c>
    </row>
    <row r="32" spans="1:20" x14ac:dyDescent="0.25">
      <c r="A32">
        <v>2020</v>
      </c>
      <c r="B32">
        <v>2</v>
      </c>
      <c r="C32" t="s">
        <v>295</v>
      </c>
      <c r="D32" t="s">
        <v>296</v>
      </c>
      <c r="E32" t="s">
        <v>297</v>
      </c>
      <c r="F32" t="s">
        <v>23</v>
      </c>
      <c r="G32">
        <v>711242.39</v>
      </c>
      <c r="H32">
        <v>436645.91</v>
      </c>
      <c r="I32">
        <v>274596.47999999998</v>
      </c>
      <c r="J32">
        <v>358969.95</v>
      </c>
      <c r="K32">
        <v>218322.95</v>
      </c>
      <c r="L32">
        <v>140647</v>
      </c>
      <c r="M32">
        <v>4895420807</v>
      </c>
      <c r="N32">
        <v>5043633786</v>
      </c>
      <c r="O32">
        <v>5.2999999999999999E-2</v>
      </c>
      <c r="P32" t="s">
        <v>294</v>
      </c>
      <c r="Q32">
        <v>3.5000000000000003E-2</v>
      </c>
      <c r="R32">
        <v>0.02</v>
      </c>
      <c r="T32">
        <v>149085.82</v>
      </c>
    </row>
    <row r="33" spans="1:20" x14ac:dyDescent="0.25">
      <c r="A33">
        <v>2020</v>
      </c>
      <c r="B33">
        <v>2</v>
      </c>
      <c r="C33" t="s">
        <v>298</v>
      </c>
      <c r="D33" t="s">
        <v>299</v>
      </c>
      <c r="E33" t="s">
        <v>300</v>
      </c>
      <c r="F33" t="s">
        <v>23</v>
      </c>
      <c r="G33">
        <v>0</v>
      </c>
      <c r="J33">
        <v>0</v>
      </c>
      <c r="O33">
        <v>5.2999999999999999E-2</v>
      </c>
      <c r="P33" t="s">
        <v>301</v>
      </c>
    </row>
    <row r="34" spans="1:20" x14ac:dyDescent="0.25">
      <c r="A34">
        <v>2020</v>
      </c>
      <c r="B34">
        <v>2</v>
      </c>
      <c r="C34" t="s">
        <v>302</v>
      </c>
      <c r="D34" t="s">
        <v>303</v>
      </c>
      <c r="E34" t="s">
        <v>304</v>
      </c>
      <c r="F34" t="s">
        <v>23</v>
      </c>
      <c r="G34">
        <v>197504.01</v>
      </c>
      <c r="H34">
        <v>89005.04</v>
      </c>
      <c r="I34">
        <v>108498.97</v>
      </c>
      <c r="J34">
        <v>103530.48</v>
      </c>
      <c r="K34">
        <v>44502.52</v>
      </c>
      <c r="L34">
        <v>59027.96</v>
      </c>
      <c r="M34">
        <v>2057521120</v>
      </c>
      <c r="N34">
        <v>2113788372</v>
      </c>
      <c r="O34">
        <v>5.2999999999999999E-2</v>
      </c>
      <c r="P34" t="s">
        <v>294</v>
      </c>
      <c r="Q34">
        <v>3.5000000000000003E-2</v>
      </c>
      <c r="R34">
        <v>0.02</v>
      </c>
      <c r="T34">
        <v>62569.64</v>
      </c>
    </row>
    <row r="35" spans="1:20" x14ac:dyDescent="0.25">
      <c r="A35">
        <v>2020</v>
      </c>
      <c r="B35">
        <v>2</v>
      </c>
      <c r="C35" t="s">
        <v>305</v>
      </c>
      <c r="D35" t="s">
        <v>306</v>
      </c>
      <c r="E35" t="s">
        <v>307</v>
      </c>
      <c r="F35" t="s">
        <v>23</v>
      </c>
      <c r="G35">
        <v>125481.3</v>
      </c>
      <c r="I35">
        <v>125481.3</v>
      </c>
      <c r="J35">
        <v>83777.350000000006</v>
      </c>
      <c r="L35">
        <v>83777.350000000006</v>
      </c>
      <c r="M35">
        <v>2947079551</v>
      </c>
      <c r="N35">
        <v>2973186308</v>
      </c>
      <c r="O35">
        <v>5.2999999999999999E-2</v>
      </c>
      <c r="P35" t="s">
        <v>294</v>
      </c>
      <c r="Q35">
        <v>3.5000000000000003E-2</v>
      </c>
      <c r="R35">
        <v>0.02</v>
      </c>
      <c r="T35">
        <v>88803.99</v>
      </c>
    </row>
    <row r="36" spans="1:20" x14ac:dyDescent="0.25">
      <c r="A36">
        <v>2020</v>
      </c>
      <c r="B36">
        <v>2</v>
      </c>
      <c r="C36" t="s">
        <v>308</v>
      </c>
      <c r="D36" t="s">
        <v>309</v>
      </c>
      <c r="E36" t="s">
        <v>310</v>
      </c>
      <c r="F36" t="s">
        <v>23</v>
      </c>
      <c r="G36">
        <v>681518.99</v>
      </c>
      <c r="H36">
        <v>418589.19</v>
      </c>
      <c r="I36">
        <v>262929.8</v>
      </c>
      <c r="J36">
        <v>342514.01</v>
      </c>
      <c r="K36">
        <v>209294.59</v>
      </c>
      <c r="L36">
        <v>133219.42000000001</v>
      </c>
      <c r="M36">
        <v>4640211867</v>
      </c>
      <c r="N36">
        <v>4773960153</v>
      </c>
      <c r="O36">
        <v>5.2999999999999999E-2</v>
      </c>
      <c r="P36" t="s">
        <v>294</v>
      </c>
      <c r="Q36">
        <v>3.5000000000000003E-2</v>
      </c>
      <c r="R36">
        <v>0.02</v>
      </c>
      <c r="T36">
        <v>141212.57999999999</v>
      </c>
    </row>
    <row r="37" spans="1:20" x14ac:dyDescent="0.25">
      <c r="A37">
        <v>2020</v>
      </c>
      <c r="B37">
        <v>2</v>
      </c>
      <c r="C37" t="s">
        <v>311</v>
      </c>
      <c r="D37" t="s">
        <v>312</v>
      </c>
      <c r="E37" t="s">
        <v>313</v>
      </c>
      <c r="F37" t="s">
        <v>23</v>
      </c>
      <c r="G37">
        <v>121396.59</v>
      </c>
      <c r="I37">
        <v>121396.59</v>
      </c>
      <c r="J37">
        <v>61606.05</v>
      </c>
      <c r="L37">
        <v>61606.05</v>
      </c>
      <c r="M37">
        <v>2483076032</v>
      </c>
      <c r="N37">
        <v>2572594891</v>
      </c>
      <c r="O37">
        <v>5.2999999999999999E-2</v>
      </c>
      <c r="P37" t="s">
        <v>314</v>
      </c>
      <c r="Q37">
        <v>3.7499999999999999E-2</v>
      </c>
      <c r="R37">
        <v>0.02</v>
      </c>
      <c r="T37">
        <v>65302.42</v>
      </c>
    </row>
    <row r="38" spans="1:20" x14ac:dyDescent="0.25">
      <c r="A38">
        <v>2020</v>
      </c>
      <c r="B38">
        <v>2</v>
      </c>
      <c r="C38" t="s">
        <v>315</v>
      </c>
      <c r="D38" t="s">
        <v>316</v>
      </c>
      <c r="E38" t="s">
        <v>317</v>
      </c>
      <c r="F38" t="s">
        <v>23</v>
      </c>
      <c r="G38">
        <v>-934260.78</v>
      </c>
      <c r="H38">
        <v>-934260.78</v>
      </c>
      <c r="J38">
        <v>69732.55</v>
      </c>
      <c r="K38">
        <v>69732.55</v>
      </c>
      <c r="O38">
        <v>5.2999999999999999E-2</v>
      </c>
      <c r="P38" t="s">
        <v>301</v>
      </c>
    </row>
    <row r="39" spans="1:20" x14ac:dyDescent="0.25">
      <c r="A39">
        <v>2020</v>
      </c>
      <c r="B39">
        <v>2</v>
      </c>
      <c r="C39" t="s">
        <v>318</v>
      </c>
      <c r="D39" t="s">
        <v>319</v>
      </c>
      <c r="E39" t="s">
        <v>320</v>
      </c>
      <c r="F39" t="s">
        <v>23</v>
      </c>
      <c r="G39">
        <v>59762.47</v>
      </c>
      <c r="H39">
        <v>18126.45</v>
      </c>
      <c r="I39">
        <v>41636.01</v>
      </c>
      <c r="J39">
        <v>29949.54</v>
      </c>
      <c r="K39">
        <v>9063.23</v>
      </c>
      <c r="L39">
        <v>20886.310000000001</v>
      </c>
      <c r="M39">
        <v>734837857.60000002</v>
      </c>
      <c r="N39">
        <v>741128197.39999998</v>
      </c>
      <c r="O39">
        <v>5.2999999999999999E-2</v>
      </c>
      <c r="P39" t="s">
        <v>294</v>
      </c>
      <c r="Q39">
        <v>3.5000000000000003E-2</v>
      </c>
      <c r="R39">
        <v>0.02</v>
      </c>
      <c r="T39">
        <v>22139.49</v>
      </c>
    </row>
    <row r="40" spans="1:20" x14ac:dyDescent="0.25">
      <c r="A40">
        <v>2020</v>
      </c>
      <c r="B40">
        <v>2</v>
      </c>
      <c r="C40" t="s">
        <v>321</v>
      </c>
      <c r="D40" t="s">
        <v>322</v>
      </c>
      <c r="E40" t="s">
        <v>323</v>
      </c>
      <c r="F40" t="s">
        <v>23</v>
      </c>
      <c r="G40">
        <v>445795.66</v>
      </c>
      <c r="I40">
        <v>445795.66</v>
      </c>
      <c r="J40">
        <v>227837.09</v>
      </c>
      <c r="L40">
        <v>227837.09</v>
      </c>
      <c r="M40">
        <v>7863139163</v>
      </c>
      <c r="N40">
        <v>8237348297</v>
      </c>
      <c r="O40">
        <v>5.2999999999999999E-2</v>
      </c>
      <c r="P40" t="s">
        <v>294</v>
      </c>
      <c r="Q40">
        <v>3.5000000000000003E-2</v>
      </c>
      <c r="R40">
        <v>0.02</v>
      </c>
      <c r="T40">
        <v>241507.31</v>
      </c>
    </row>
    <row r="41" spans="1:20" x14ac:dyDescent="0.25">
      <c r="A41">
        <v>2020</v>
      </c>
      <c r="B41">
        <v>2</v>
      </c>
      <c r="C41" t="s">
        <v>324</v>
      </c>
      <c r="D41" t="s">
        <v>325</v>
      </c>
      <c r="E41" t="s">
        <v>326</v>
      </c>
      <c r="F41" t="s">
        <v>23</v>
      </c>
      <c r="G41">
        <v>215815.8</v>
      </c>
      <c r="H41">
        <v>107908.36</v>
      </c>
      <c r="I41">
        <v>107907.44</v>
      </c>
      <c r="J41">
        <v>109934.38</v>
      </c>
      <c r="K41">
        <v>53954.18</v>
      </c>
      <c r="L41">
        <v>55980.2</v>
      </c>
      <c r="M41">
        <v>1967165399</v>
      </c>
      <c r="N41">
        <v>1988768716</v>
      </c>
      <c r="O41">
        <v>5.2999999999999999E-2</v>
      </c>
      <c r="P41" t="s">
        <v>294</v>
      </c>
      <c r="Q41">
        <v>3.5000000000000003E-2</v>
      </c>
      <c r="R41">
        <v>0.02</v>
      </c>
      <c r="T41">
        <v>59339.01</v>
      </c>
    </row>
    <row r="42" spans="1:20" x14ac:dyDescent="0.25">
      <c r="A42">
        <v>2020</v>
      </c>
      <c r="B42">
        <v>2</v>
      </c>
      <c r="C42" t="s">
        <v>327</v>
      </c>
      <c r="D42" t="s">
        <v>328</v>
      </c>
      <c r="E42" t="s">
        <v>329</v>
      </c>
      <c r="F42" t="s">
        <v>23</v>
      </c>
      <c r="G42">
        <v>484880.33</v>
      </c>
      <c r="H42">
        <v>297060.58</v>
      </c>
      <c r="I42">
        <v>187819.75</v>
      </c>
      <c r="J42">
        <v>244606.11</v>
      </c>
      <c r="K42">
        <v>148530.29</v>
      </c>
      <c r="L42">
        <v>96075.82</v>
      </c>
      <c r="M42">
        <v>3355681723</v>
      </c>
      <c r="N42">
        <v>3433676146</v>
      </c>
      <c r="O42">
        <v>5.2999999999999999E-2</v>
      </c>
      <c r="P42" t="s">
        <v>294</v>
      </c>
      <c r="Q42">
        <v>3.5000000000000003E-2</v>
      </c>
      <c r="R42">
        <v>0.02</v>
      </c>
      <c r="T42">
        <v>101840.37</v>
      </c>
    </row>
    <row r="43" spans="1:20" x14ac:dyDescent="0.25">
      <c r="A43">
        <v>2020</v>
      </c>
      <c r="B43">
        <v>2</v>
      </c>
      <c r="C43" t="s">
        <v>330</v>
      </c>
      <c r="D43" t="s">
        <v>331</v>
      </c>
      <c r="E43" t="s">
        <v>332</v>
      </c>
      <c r="F43" t="s">
        <v>23</v>
      </c>
      <c r="G43">
        <v>0</v>
      </c>
      <c r="J43">
        <v>0</v>
      </c>
      <c r="O43">
        <v>5.2999999999999999E-2</v>
      </c>
      <c r="P43" t="s">
        <v>294</v>
      </c>
      <c r="Q43">
        <v>3.5000000000000003E-2</v>
      </c>
      <c r="R43">
        <v>0.02</v>
      </c>
    </row>
    <row r="44" spans="1:20" x14ac:dyDescent="0.25">
      <c r="A44">
        <v>2020</v>
      </c>
      <c r="B44">
        <v>2</v>
      </c>
      <c r="C44" t="s">
        <v>333</v>
      </c>
      <c r="D44" t="s">
        <v>334</v>
      </c>
      <c r="E44" t="s">
        <v>335</v>
      </c>
      <c r="F44" t="s">
        <v>23</v>
      </c>
      <c r="G44">
        <v>24679.05</v>
      </c>
      <c r="I44">
        <v>24679.05</v>
      </c>
      <c r="J44">
        <v>12572.24</v>
      </c>
      <c r="L44">
        <v>12572.24</v>
      </c>
      <c r="M44">
        <v>552816754.89999998</v>
      </c>
      <c r="N44">
        <v>557731548.39999998</v>
      </c>
      <c r="O44">
        <v>5.2999999999999999E-2</v>
      </c>
      <c r="P44" t="s">
        <v>294</v>
      </c>
      <c r="Q44">
        <v>3.5000000000000003E-2</v>
      </c>
      <c r="R44">
        <v>1.6E-2</v>
      </c>
      <c r="T44">
        <v>13326.58</v>
      </c>
    </row>
    <row r="45" spans="1:20" x14ac:dyDescent="0.25">
      <c r="A45">
        <v>2020</v>
      </c>
      <c r="B45">
        <v>2</v>
      </c>
      <c r="C45" t="s">
        <v>336</v>
      </c>
      <c r="D45" t="s">
        <v>337</v>
      </c>
      <c r="E45" t="s">
        <v>338</v>
      </c>
      <c r="F45" t="s">
        <v>23</v>
      </c>
      <c r="G45">
        <v>36672.800000000003</v>
      </c>
      <c r="I45">
        <v>36672.800000000003</v>
      </c>
      <c r="J45">
        <v>24527.81</v>
      </c>
      <c r="L45">
        <v>24527.81</v>
      </c>
      <c r="M45">
        <v>858246067.29999995</v>
      </c>
      <c r="N45">
        <v>875052562.10000002</v>
      </c>
      <c r="O45">
        <v>5.2999999999999999E-2</v>
      </c>
      <c r="P45" t="s">
        <v>339</v>
      </c>
      <c r="Q45">
        <v>3.5000000000000003E-2</v>
      </c>
      <c r="R45">
        <v>0.02</v>
      </c>
      <c r="T45">
        <v>25999.48</v>
      </c>
    </row>
    <row r="46" spans="1:20" x14ac:dyDescent="0.25">
      <c r="A46">
        <v>2020</v>
      </c>
      <c r="B46">
        <v>2</v>
      </c>
      <c r="C46" t="s">
        <v>340</v>
      </c>
      <c r="D46" t="s">
        <v>341</v>
      </c>
      <c r="E46" t="s">
        <v>342</v>
      </c>
      <c r="F46" t="s">
        <v>23</v>
      </c>
      <c r="G46">
        <v>1117268.93</v>
      </c>
      <c r="H46">
        <v>681560.57</v>
      </c>
      <c r="I46">
        <v>435708.36</v>
      </c>
      <c r="J46">
        <v>565369.42000000004</v>
      </c>
      <c r="K46">
        <v>340780.28</v>
      </c>
      <c r="L46">
        <v>224589.14</v>
      </c>
      <c r="M46">
        <v>7735272177</v>
      </c>
      <c r="N46">
        <v>8135693782</v>
      </c>
      <c r="O46">
        <v>5.2999999999999999E-2</v>
      </c>
      <c r="P46" t="s">
        <v>294</v>
      </c>
      <c r="Q46">
        <v>3.5000000000000003E-2</v>
      </c>
      <c r="R46">
        <v>0.02</v>
      </c>
      <c r="T46">
        <v>238064.49</v>
      </c>
    </row>
    <row r="47" spans="1:20" x14ac:dyDescent="0.25">
      <c r="A47">
        <v>2020</v>
      </c>
      <c r="B47">
        <v>2</v>
      </c>
      <c r="C47" t="s">
        <v>343</v>
      </c>
      <c r="D47" t="s">
        <v>344</v>
      </c>
      <c r="E47" t="s">
        <v>345</v>
      </c>
      <c r="F47" t="s">
        <v>23</v>
      </c>
      <c r="G47">
        <v>85788.56</v>
      </c>
      <c r="I47">
        <v>85788.56</v>
      </c>
      <c r="J47">
        <v>57726.43</v>
      </c>
      <c r="L47">
        <v>57726.43</v>
      </c>
      <c r="M47">
        <v>1983056811</v>
      </c>
      <c r="N47">
        <v>2096277894</v>
      </c>
      <c r="O47">
        <v>5.2999999999999999E-2</v>
      </c>
      <c r="P47" t="s">
        <v>294</v>
      </c>
      <c r="Q47">
        <v>3.5000000000000003E-2</v>
      </c>
      <c r="R47">
        <v>0.02</v>
      </c>
      <c r="T47">
        <v>61190.02</v>
      </c>
    </row>
    <row r="48" spans="1:20" x14ac:dyDescent="0.25">
      <c r="A48">
        <v>2020</v>
      </c>
      <c r="B48">
        <v>2</v>
      </c>
      <c r="C48" t="s">
        <v>346</v>
      </c>
      <c r="D48" t="s">
        <v>347</v>
      </c>
      <c r="E48" t="s">
        <v>348</v>
      </c>
      <c r="F48" t="s">
        <v>23</v>
      </c>
      <c r="G48">
        <v>475061.21</v>
      </c>
      <c r="H48">
        <v>286718.87</v>
      </c>
      <c r="I48">
        <v>188342.34</v>
      </c>
      <c r="J48">
        <v>239185.42</v>
      </c>
      <c r="K48">
        <v>143359.43</v>
      </c>
      <c r="L48">
        <v>95825.99</v>
      </c>
      <c r="M48">
        <v>3370434144</v>
      </c>
      <c r="N48">
        <v>3401269102</v>
      </c>
      <c r="O48">
        <v>5.2999999999999999E-2</v>
      </c>
      <c r="P48" t="s">
        <v>294</v>
      </c>
      <c r="Q48">
        <v>3.5000000000000003E-2</v>
      </c>
      <c r="R48">
        <v>0.02</v>
      </c>
      <c r="T48">
        <v>101575.55</v>
      </c>
    </row>
    <row r="49" spans="1:20" x14ac:dyDescent="0.25">
      <c r="A49">
        <v>2020</v>
      </c>
      <c r="B49">
        <v>2</v>
      </c>
      <c r="C49" t="s">
        <v>349</v>
      </c>
      <c r="D49" t="s">
        <v>350</v>
      </c>
      <c r="E49" t="s">
        <v>351</v>
      </c>
      <c r="F49" t="s">
        <v>23</v>
      </c>
      <c r="G49">
        <v>1950347.36</v>
      </c>
      <c r="H49">
        <v>1575823.45</v>
      </c>
      <c r="I49">
        <v>374523.91</v>
      </c>
      <c r="J49">
        <v>979919.24</v>
      </c>
      <c r="K49">
        <v>787911.73</v>
      </c>
      <c r="L49">
        <v>192007.52</v>
      </c>
      <c r="M49">
        <v>13389527177</v>
      </c>
      <c r="N49">
        <v>13747535061</v>
      </c>
      <c r="O49">
        <v>5.2999999999999999E-2</v>
      </c>
      <c r="P49" t="s">
        <v>294</v>
      </c>
      <c r="Q49">
        <v>3.5000000000000003E-2</v>
      </c>
      <c r="R49">
        <v>0.01</v>
      </c>
      <c r="T49">
        <v>203527.97</v>
      </c>
    </row>
    <row r="50" spans="1:20" x14ac:dyDescent="0.25">
      <c r="A50">
        <v>2020</v>
      </c>
      <c r="B50">
        <v>2</v>
      </c>
      <c r="C50" t="s">
        <v>352</v>
      </c>
      <c r="D50" t="s">
        <v>353</v>
      </c>
      <c r="E50" t="s">
        <v>354</v>
      </c>
      <c r="F50" t="s">
        <v>23</v>
      </c>
      <c r="G50">
        <v>283905.37</v>
      </c>
      <c r="I50">
        <v>283905.37</v>
      </c>
      <c r="J50">
        <v>189520.59</v>
      </c>
      <c r="L50">
        <v>189520.59</v>
      </c>
      <c r="M50">
        <v>6669858106</v>
      </c>
      <c r="N50">
        <v>6722930268</v>
      </c>
      <c r="O50">
        <v>5.2999999999999999E-2</v>
      </c>
      <c r="P50" t="s">
        <v>339</v>
      </c>
      <c r="Q50">
        <v>3.5000000000000003E-2</v>
      </c>
      <c r="R50">
        <v>0.02</v>
      </c>
      <c r="T50">
        <v>200891.83</v>
      </c>
    </row>
    <row r="51" spans="1:20" x14ac:dyDescent="0.25">
      <c r="A51">
        <v>2020</v>
      </c>
      <c r="B51">
        <v>2</v>
      </c>
      <c r="C51" t="s">
        <v>355</v>
      </c>
      <c r="D51" t="s">
        <v>356</v>
      </c>
      <c r="E51" t="s">
        <v>357</v>
      </c>
      <c r="F51" t="s">
        <v>23</v>
      </c>
      <c r="G51">
        <v>295577.17</v>
      </c>
      <c r="H51">
        <v>168855.3</v>
      </c>
      <c r="I51">
        <v>126721.87</v>
      </c>
      <c r="J51">
        <v>148473.74</v>
      </c>
      <c r="K51">
        <v>84427.65</v>
      </c>
      <c r="L51">
        <v>64046.09</v>
      </c>
      <c r="M51">
        <v>2221105996</v>
      </c>
      <c r="N51">
        <v>2304817662</v>
      </c>
      <c r="O51">
        <v>5.2999999999999999E-2</v>
      </c>
      <c r="P51" t="s">
        <v>294</v>
      </c>
      <c r="Q51">
        <v>3.5000000000000003E-2</v>
      </c>
      <c r="R51">
        <v>0.02</v>
      </c>
      <c r="T51">
        <v>67888.850000000006</v>
      </c>
    </row>
    <row r="52" spans="1:20" x14ac:dyDescent="0.25">
      <c r="A52">
        <v>2020</v>
      </c>
      <c r="B52">
        <v>2</v>
      </c>
      <c r="C52" t="s">
        <v>358</v>
      </c>
      <c r="D52" t="s">
        <v>359</v>
      </c>
      <c r="E52" t="s">
        <v>360</v>
      </c>
      <c r="F52" t="s">
        <v>23</v>
      </c>
      <c r="G52">
        <v>745328.73</v>
      </c>
      <c r="H52">
        <v>452135.51</v>
      </c>
      <c r="I52">
        <v>293193.21999999997</v>
      </c>
      <c r="J52">
        <v>376361.46</v>
      </c>
      <c r="K52">
        <v>226067.75</v>
      </c>
      <c r="L52">
        <v>150293.71</v>
      </c>
      <c r="M52">
        <v>5208419810</v>
      </c>
      <c r="N52">
        <v>5412335449</v>
      </c>
      <c r="O52">
        <v>5.2999999999999999E-2</v>
      </c>
      <c r="P52" t="s">
        <v>294</v>
      </c>
      <c r="Q52">
        <v>3.5000000000000003E-2</v>
      </c>
      <c r="R52">
        <v>0.02</v>
      </c>
      <c r="T52">
        <v>159311.32999999999</v>
      </c>
    </row>
    <row r="53" spans="1:20" x14ac:dyDescent="0.25">
      <c r="A53">
        <v>2020</v>
      </c>
      <c r="B53">
        <v>2</v>
      </c>
      <c r="C53" t="s">
        <v>361</v>
      </c>
      <c r="D53" t="s">
        <v>362</v>
      </c>
      <c r="E53" t="s">
        <v>363</v>
      </c>
      <c r="F53" t="s">
        <v>23</v>
      </c>
      <c r="G53">
        <v>299773.46000000002</v>
      </c>
      <c r="H53">
        <v>178172.77</v>
      </c>
      <c r="I53">
        <v>121600.68</v>
      </c>
      <c r="J53">
        <v>150112.29999999999</v>
      </c>
      <c r="K53">
        <v>89086.39</v>
      </c>
      <c r="L53">
        <v>61025.919999999998</v>
      </c>
      <c r="M53">
        <v>2145424095</v>
      </c>
      <c r="N53">
        <v>2167073992</v>
      </c>
      <c r="O53">
        <v>5.2999999999999999E-2</v>
      </c>
      <c r="P53" t="s">
        <v>294</v>
      </c>
      <c r="Q53">
        <v>3.5000000000000003E-2</v>
      </c>
      <c r="R53">
        <v>0.02</v>
      </c>
      <c r="T53">
        <v>64687.47</v>
      </c>
    </row>
    <row r="54" spans="1:20" x14ac:dyDescent="0.25">
      <c r="A54">
        <v>2020</v>
      </c>
      <c r="B54">
        <v>2</v>
      </c>
      <c r="C54" t="s">
        <v>364</v>
      </c>
      <c r="D54" t="s">
        <v>367</v>
      </c>
      <c r="E54" t="s">
        <v>368</v>
      </c>
      <c r="F54" t="s">
        <v>34</v>
      </c>
      <c r="G54">
        <v>183387.06</v>
      </c>
      <c r="H54">
        <v>183387.06</v>
      </c>
      <c r="J54">
        <v>91693.53</v>
      </c>
      <c r="K54">
        <v>91693.53</v>
      </c>
      <c r="O54">
        <v>5.2999999999999999E-2</v>
      </c>
    </row>
    <row r="55" spans="1:20" x14ac:dyDescent="0.25">
      <c r="A55">
        <v>2020</v>
      </c>
      <c r="B55">
        <v>2</v>
      </c>
      <c r="C55" t="s">
        <v>364</v>
      </c>
      <c r="D55" t="s">
        <v>365</v>
      </c>
      <c r="E55" t="s">
        <v>366</v>
      </c>
      <c r="F55" t="s">
        <v>34</v>
      </c>
      <c r="G55">
        <v>5276.79</v>
      </c>
      <c r="H55">
        <v>5276.79</v>
      </c>
      <c r="J55">
        <v>2638.4</v>
      </c>
      <c r="K55">
        <v>2638.4</v>
      </c>
      <c r="O55">
        <v>5.2999999999999999E-2</v>
      </c>
    </row>
    <row r="56" spans="1:20" x14ac:dyDescent="0.25">
      <c r="A56">
        <v>2020</v>
      </c>
      <c r="B56">
        <v>3</v>
      </c>
      <c r="C56" t="s">
        <v>286</v>
      </c>
      <c r="D56" t="s">
        <v>287</v>
      </c>
      <c r="E56" t="s">
        <v>288</v>
      </c>
      <c r="G56">
        <v>0</v>
      </c>
      <c r="J56">
        <v>0</v>
      </c>
    </row>
    <row r="57" spans="1:20" x14ac:dyDescent="0.25">
      <c r="A57">
        <v>2020</v>
      </c>
      <c r="B57">
        <v>3</v>
      </c>
      <c r="C57" t="s">
        <v>289</v>
      </c>
      <c r="D57" t="s">
        <v>290</v>
      </c>
      <c r="E57" t="s">
        <v>291</v>
      </c>
      <c r="G57">
        <v>0</v>
      </c>
      <c r="J57">
        <v>0</v>
      </c>
    </row>
    <row r="58" spans="1:20" x14ac:dyDescent="0.25">
      <c r="A58">
        <v>2020</v>
      </c>
      <c r="B58">
        <v>3</v>
      </c>
      <c r="C58" t="s">
        <v>168</v>
      </c>
      <c r="D58" t="s">
        <v>292</v>
      </c>
      <c r="E58" t="s">
        <v>293</v>
      </c>
      <c r="F58" t="s">
        <v>23</v>
      </c>
      <c r="G58">
        <v>895451.88</v>
      </c>
      <c r="H58">
        <v>552350.47</v>
      </c>
      <c r="I58">
        <v>343101.41</v>
      </c>
      <c r="J58">
        <v>300853.84999999998</v>
      </c>
      <c r="K58">
        <v>183148.53</v>
      </c>
      <c r="L58">
        <v>117705.32</v>
      </c>
      <c r="M58">
        <v>4118957977</v>
      </c>
      <c r="N58">
        <v>4198884890</v>
      </c>
      <c r="O58">
        <v>5.2999999999999999E-2</v>
      </c>
      <c r="P58" t="s">
        <v>294</v>
      </c>
      <c r="Q58">
        <v>3.5000000000000003E-2</v>
      </c>
      <c r="R58">
        <v>0.02</v>
      </c>
      <c r="T58">
        <v>124767.64</v>
      </c>
    </row>
    <row r="59" spans="1:20" x14ac:dyDescent="0.25">
      <c r="A59">
        <v>2020</v>
      </c>
      <c r="B59">
        <v>3</v>
      </c>
      <c r="C59" t="s">
        <v>295</v>
      </c>
      <c r="D59" t="s">
        <v>296</v>
      </c>
      <c r="E59" t="s">
        <v>297</v>
      </c>
      <c r="F59" t="s">
        <v>23</v>
      </c>
      <c r="G59">
        <v>1078667.03</v>
      </c>
      <c r="H59">
        <v>661019.31000000006</v>
      </c>
      <c r="I59">
        <v>417647.72</v>
      </c>
      <c r="J59">
        <v>367424.65</v>
      </c>
      <c r="K59">
        <v>224373.41</v>
      </c>
      <c r="L59">
        <v>143051.24</v>
      </c>
      <c r="M59">
        <v>5043633786</v>
      </c>
      <c r="N59">
        <v>5065320524</v>
      </c>
      <c r="O59">
        <v>5.2999999999999999E-2</v>
      </c>
      <c r="P59" t="s">
        <v>294</v>
      </c>
      <c r="Q59">
        <v>3.5000000000000003E-2</v>
      </c>
      <c r="R59">
        <v>0.02</v>
      </c>
      <c r="T59">
        <v>151634.31</v>
      </c>
    </row>
    <row r="60" spans="1:20" x14ac:dyDescent="0.25">
      <c r="A60">
        <v>2020</v>
      </c>
      <c r="B60">
        <v>3</v>
      </c>
      <c r="C60" t="s">
        <v>298</v>
      </c>
      <c r="D60" t="s">
        <v>299</v>
      </c>
      <c r="E60" t="s">
        <v>300</v>
      </c>
      <c r="F60" t="s">
        <v>23</v>
      </c>
      <c r="G60">
        <v>0</v>
      </c>
      <c r="J60">
        <v>0</v>
      </c>
      <c r="O60">
        <v>5.2999999999999999E-2</v>
      </c>
      <c r="P60" t="s">
        <v>301</v>
      </c>
    </row>
    <row r="61" spans="1:20" x14ac:dyDescent="0.25">
      <c r="A61">
        <v>2020</v>
      </c>
      <c r="B61">
        <v>3</v>
      </c>
      <c r="C61" t="s">
        <v>302</v>
      </c>
      <c r="D61" t="s">
        <v>303</v>
      </c>
      <c r="E61" t="s">
        <v>304</v>
      </c>
      <c r="F61" t="s">
        <v>23</v>
      </c>
      <c r="G61">
        <v>351763.06</v>
      </c>
      <c r="H61">
        <v>182747.96</v>
      </c>
      <c r="I61">
        <v>169015.09</v>
      </c>
      <c r="J61">
        <v>154259.04999999999</v>
      </c>
      <c r="K61">
        <v>93742.92</v>
      </c>
      <c r="L61">
        <v>60516.12</v>
      </c>
      <c r="M61">
        <v>2113788372</v>
      </c>
      <c r="N61">
        <v>2162684382</v>
      </c>
      <c r="O61">
        <v>5.2999999999999999E-2</v>
      </c>
      <c r="P61" t="s">
        <v>294</v>
      </c>
      <c r="Q61">
        <v>3.5000000000000003E-2</v>
      </c>
      <c r="R61">
        <v>0.02</v>
      </c>
      <c r="T61">
        <v>64147.09</v>
      </c>
    </row>
    <row r="62" spans="1:20" x14ac:dyDescent="0.25">
      <c r="A62">
        <v>2020</v>
      </c>
      <c r="B62">
        <v>3</v>
      </c>
      <c r="C62" t="s">
        <v>305</v>
      </c>
      <c r="D62" t="s">
        <v>306</v>
      </c>
      <c r="E62" t="s">
        <v>307</v>
      </c>
      <c r="F62" t="s">
        <v>23</v>
      </c>
      <c r="G62">
        <v>345395.81</v>
      </c>
      <c r="H62">
        <v>132844.34</v>
      </c>
      <c r="I62">
        <v>212551.47</v>
      </c>
      <c r="J62">
        <v>219914.51</v>
      </c>
      <c r="K62">
        <v>132844.34</v>
      </c>
      <c r="L62">
        <v>87070.17</v>
      </c>
      <c r="M62">
        <v>2973186308</v>
      </c>
      <c r="N62">
        <v>3179772400</v>
      </c>
      <c r="O62">
        <v>5.2999999999999999E-2</v>
      </c>
      <c r="P62" t="s">
        <v>294</v>
      </c>
      <c r="Q62">
        <v>3.5000000000000003E-2</v>
      </c>
      <c r="R62">
        <v>0.02</v>
      </c>
      <c r="T62">
        <v>92294.38</v>
      </c>
    </row>
    <row r="63" spans="1:20" x14ac:dyDescent="0.25">
      <c r="A63">
        <v>2020</v>
      </c>
      <c r="B63">
        <v>3</v>
      </c>
      <c r="C63" t="s">
        <v>308</v>
      </c>
      <c r="D63" t="s">
        <v>309</v>
      </c>
      <c r="E63" t="s">
        <v>310</v>
      </c>
      <c r="F63" t="s">
        <v>23</v>
      </c>
      <c r="G63">
        <v>1027701.14</v>
      </c>
      <c r="H63">
        <v>629829.48</v>
      </c>
      <c r="I63">
        <v>397871.66</v>
      </c>
      <c r="J63">
        <v>346182.16</v>
      </c>
      <c r="K63">
        <v>211240.29</v>
      </c>
      <c r="L63">
        <v>134941.87</v>
      </c>
      <c r="M63">
        <v>4773960153</v>
      </c>
      <c r="N63">
        <v>4761931645</v>
      </c>
      <c r="O63">
        <v>5.2999999999999999E-2</v>
      </c>
      <c r="P63" t="s">
        <v>294</v>
      </c>
      <c r="Q63">
        <v>3.5000000000000003E-2</v>
      </c>
      <c r="R63">
        <v>0.02</v>
      </c>
      <c r="T63">
        <v>143038.38</v>
      </c>
    </row>
    <row r="64" spans="1:20" x14ac:dyDescent="0.25">
      <c r="A64">
        <v>2020</v>
      </c>
      <c r="B64">
        <v>3</v>
      </c>
      <c r="C64" t="s">
        <v>311</v>
      </c>
      <c r="D64" t="s">
        <v>312</v>
      </c>
      <c r="E64" t="s">
        <v>313</v>
      </c>
      <c r="F64" t="s">
        <v>23</v>
      </c>
      <c r="G64">
        <v>183770.51</v>
      </c>
      <c r="I64">
        <v>183770.51</v>
      </c>
      <c r="J64">
        <v>62373.919999999998</v>
      </c>
      <c r="L64">
        <v>62373.919999999998</v>
      </c>
      <c r="M64">
        <v>2572594891</v>
      </c>
      <c r="N64">
        <v>2546090557</v>
      </c>
      <c r="O64">
        <v>5.2999999999999999E-2</v>
      </c>
      <c r="P64" t="s">
        <v>314</v>
      </c>
      <c r="Q64">
        <v>3.7499999999999999E-2</v>
      </c>
      <c r="R64">
        <v>0.02</v>
      </c>
      <c r="T64">
        <v>66116.350000000006</v>
      </c>
    </row>
    <row r="65" spans="1:20" x14ac:dyDescent="0.25">
      <c r="A65">
        <v>2020</v>
      </c>
      <c r="B65">
        <v>3</v>
      </c>
      <c r="C65" t="s">
        <v>315</v>
      </c>
      <c r="D65" t="s">
        <v>316</v>
      </c>
      <c r="E65" t="s">
        <v>317</v>
      </c>
      <c r="F65" t="s">
        <v>23</v>
      </c>
      <c r="G65">
        <v>-859285.78</v>
      </c>
      <c r="H65">
        <v>-859285.78</v>
      </c>
      <c r="J65">
        <v>74975</v>
      </c>
      <c r="K65">
        <v>74975</v>
      </c>
      <c r="O65">
        <v>5.2999999999999999E-2</v>
      </c>
      <c r="P65" t="s">
        <v>301</v>
      </c>
    </row>
    <row r="66" spans="1:20" x14ac:dyDescent="0.25">
      <c r="A66">
        <v>2020</v>
      </c>
      <c r="B66">
        <v>3</v>
      </c>
      <c r="C66" t="s">
        <v>318</v>
      </c>
      <c r="D66" t="s">
        <v>319</v>
      </c>
      <c r="E66" t="s">
        <v>320</v>
      </c>
      <c r="F66" t="s">
        <v>23</v>
      </c>
      <c r="G66">
        <v>80638.649999999994</v>
      </c>
      <c r="H66">
        <v>18126.45</v>
      </c>
      <c r="I66">
        <v>62512.19</v>
      </c>
      <c r="J66">
        <v>20876.18</v>
      </c>
      <c r="L66">
        <v>20876.18</v>
      </c>
      <c r="M66">
        <v>741128197.39999998</v>
      </c>
      <c r="N66">
        <v>734121716.5</v>
      </c>
      <c r="O66">
        <v>5.2999999999999999E-2</v>
      </c>
      <c r="P66" t="s">
        <v>294</v>
      </c>
      <c r="Q66">
        <v>3.5000000000000003E-2</v>
      </c>
      <c r="R66">
        <v>0.02</v>
      </c>
      <c r="T66">
        <v>22128.75</v>
      </c>
    </row>
    <row r="67" spans="1:20" x14ac:dyDescent="0.25">
      <c r="A67">
        <v>2020</v>
      </c>
      <c r="B67">
        <v>3</v>
      </c>
      <c r="C67" t="s">
        <v>321</v>
      </c>
      <c r="D67" t="s">
        <v>322</v>
      </c>
      <c r="E67" t="s">
        <v>323</v>
      </c>
      <c r="F67" t="s">
        <v>23</v>
      </c>
      <c r="G67">
        <v>678992.4</v>
      </c>
      <c r="I67">
        <v>678992.4</v>
      </c>
      <c r="J67">
        <v>233196.74</v>
      </c>
      <c r="L67">
        <v>233196.74</v>
      </c>
      <c r="M67">
        <v>8237348297</v>
      </c>
      <c r="N67">
        <v>8241887901</v>
      </c>
      <c r="O67">
        <v>5.2999999999999999E-2</v>
      </c>
      <c r="P67" t="s">
        <v>294</v>
      </c>
      <c r="Q67">
        <v>3.5000000000000003E-2</v>
      </c>
      <c r="R67">
        <v>0.02</v>
      </c>
      <c r="T67">
        <v>247188.54</v>
      </c>
    </row>
    <row r="68" spans="1:20" x14ac:dyDescent="0.25">
      <c r="A68">
        <v>2020</v>
      </c>
      <c r="B68">
        <v>3</v>
      </c>
      <c r="C68" t="s">
        <v>324</v>
      </c>
      <c r="D68" t="s">
        <v>325</v>
      </c>
      <c r="E68" t="s">
        <v>326</v>
      </c>
      <c r="F68" t="s">
        <v>23</v>
      </c>
      <c r="G68">
        <v>336429.29</v>
      </c>
      <c r="H68">
        <v>170030.49</v>
      </c>
      <c r="I68">
        <v>166398.79999999999</v>
      </c>
      <c r="J68">
        <v>120613.49</v>
      </c>
      <c r="K68">
        <v>62122.13</v>
      </c>
      <c r="L68">
        <v>58491.360000000001</v>
      </c>
      <c r="M68">
        <v>1988768716</v>
      </c>
      <c r="N68">
        <v>2144620805</v>
      </c>
      <c r="O68">
        <v>5.2999999999999999E-2</v>
      </c>
      <c r="P68" t="s">
        <v>294</v>
      </c>
      <c r="Q68">
        <v>3.5000000000000003E-2</v>
      </c>
      <c r="R68">
        <v>0.02</v>
      </c>
      <c r="T68">
        <v>62000.84</v>
      </c>
    </row>
    <row r="69" spans="1:20" x14ac:dyDescent="0.25">
      <c r="A69">
        <v>2020</v>
      </c>
      <c r="B69">
        <v>3</v>
      </c>
      <c r="C69" t="s">
        <v>327</v>
      </c>
      <c r="D69" t="s">
        <v>328</v>
      </c>
      <c r="E69" t="s">
        <v>329</v>
      </c>
      <c r="F69" t="s">
        <v>23</v>
      </c>
      <c r="G69">
        <v>732479.94</v>
      </c>
      <c r="H69">
        <v>447863.52</v>
      </c>
      <c r="I69">
        <v>284616.43</v>
      </c>
      <c r="J69">
        <v>247599.61</v>
      </c>
      <c r="K69">
        <v>150802.93</v>
      </c>
      <c r="L69">
        <v>96796.68</v>
      </c>
      <c r="M69">
        <v>3433676146</v>
      </c>
      <c r="N69">
        <v>3406622552</v>
      </c>
      <c r="O69">
        <v>5.2999999999999999E-2</v>
      </c>
      <c r="P69" t="s">
        <v>294</v>
      </c>
      <c r="Q69">
        <v>3.5000000000000003E-2</v>
      </c>
      <c r="R69">
        <v>0.02</v>
      </c>
      <c r="T69">
        <v>102604.48</v>
      </c>
    </row>
    <row r="70" spans="1:20" x14ac:dyDescent="0.25">
      <c r="A70">
        <v>2020</v>
      </c>
      <c r="B70">
        <v>3</v>
      </c>
      <c r="C70" t="s">
        <v>330</v>
      </c>
      <c r="D70" t="s">
        <v>331</v>
      </c>
      <c r="E70" t="s">
        <v>332</v>
      </c>
      <c r="F70" t="s">
        <v>23</v>
      </c>
      <c r="G70">
        <v>0</v>
      </c>
      <c r="J70">
        <v>0</v>
      </c>
      <c r="O70">
        <v>5.2999999999999999E-2</v>
      </c>
      <c r="P70" t="s">
        <v>294</v>
      </c>
      <c r="Q70">
        <v>3.5000000000000003E-2</v>
      </c>
      <c r="R70">
        <v>0.02</v>
      </c>
    </row>
    <row r="71" spans="1:20" x14ac:dyDescent="0.25">
      <c r="A71">
        <v>2020</v>
      </c>
      <c r="B71">
        <v>3</v>
      </c>
      <c r="C71" t="s">
        <v>333</v>
      </c>
      <c r="D71" t="s">
        <v>334</v>
      </c>
      <c r="E71" t="s">
        <v>335</v>
      </c>
      <c r="F71" t="s">
        <v>23</v>
      </c>
      <c r="G71">
        <v>37317.49</v>
      </c>
      <c r="I71">
        <v>37317.49</v>
      </c>
      <c r="J71">
        <v>12638.44</v>
      </c>
      <c r="L71">
        <v>12638.44</v>
      </c>
      <c r="M71">
        <v>557731548.39999998</v>
      </c>
      <c r="N71">
        <v>558664299.60000002</v>
      </c>
      <c r="O71">
        <v>5.2999999999999999E-2</v>
      </c>
      <c r="P71" t="s">
        <v>294</v>
      </c>
      <c r="Q71">
        <v>3.5000000000000003E-2</v>
      </c>
      <c r="R71">
        <v>1.6E-2</v>
      </c>
      <c r="T71">
        <v>13396.75</v>
      </c>
    </row>
    <row r="72" spans="1:20" x14ac:dyDescent="0.25">
      <c r="A72">
        <v>2020</v>
      </c>
      <c r="B72">
        <v>3</v>
      </c>
      <c r="C72" t="s">
        <v>336</v>
      </c>
      <c r="D72" t="s">
        <v>337</v>
      </c>
      <c r="E72" t="s">
        <v>338</v>
      </c>
      <c r="F72" t="s">
        <v>23</v>
      </c>
      <c r="G72">
        <v>61661.5</v>
      </c>
      <c r="I72">
        <v>61661.5</v>
      </c>
      <c r="J72">
        <v>24988.7</v>
      </c>
      <c r="L72">
        <v>24988.7</v>
      </c>
      <c r="M72">
        <v>875052562.10000002</v>
      </c>
      <c r="N72">
        <v>890815656</v>
      </c>
      <c r="O72">
        <v>5.2999999999999999E-2</v>
      </c>
      <c r="P72" t="s">
        <v>339</v>
      </c>
      <c r="Q72">
        <v>3.5000000000000003E-2</v>
      </c>
      <c r="R72">
        <v>0.02</v>
      </c>
      <c r="T72">
        <v>26488.02</v>
      </c>
    </row>
    <row r="73" spans="1:20" x14ac:dyDescent="0.25">
      <c r="A73">
        <v>2020</v>
      </c>
      <c r="B73">
        <v>3</v>
      </c>
      <c r="C73" t="s">
        <v>340</v>
      </c>
      <c r="D73" t="s">
        <v>341</v>
      </c>
      <c r="E73" t="s">
        <v>342</v>
      </c>
      <c r="F73" t="s">
        <v>23</v>
      </c>
      <c r="G73">
        <v>-1242226.19</v>
      </c>
      <c r="H73">
        <v>-1909128.93</v>
      </c>
      <c r="I73">
        <v>666902.74</v>
      </c>
      <c r="J73">
        <v>-2359495.12</v>
      </c>
      <c r="K73">
        <v>-2590689.5</v>
      </c>
      <c r="L73">
        <v>231194.38</v>
      </c>
      <c r="M73">
        <v>8135693782</v>
      </c>
      <c r="N73">
        <v>8202042246</v>
      </c>
      <c r="O73">
        <v>5.2999999999999999E-2</v>
      </c>
      <c r="P73" t="s">
        <v>294</v>
      </c>
      <c r="Q73">
        <v>3.5000000000000003E-2</v>
      </c>
      <c r="R73">
        <v>0.02</v>
      </c>
      <c r="T73">
        <v>245066.04</v>
      </c>
    </row>
    <row r="74" spans="1:20" x14ac:dyDescent="0.25">
      <c r="A74">
        <v>2020</v>
      </c>
      <c r="B74">
        <v>3</v>
      </c>
      <c r="C74" t="s">
        <v>343</v>
      </c>
      <c r="D74" t="s">
        <v>344</v>
      </c>
      <c r="E74" t="s">
        <v>345</v>
      </c>
      <c r="F74" t="s">
        <v>23</v>
      </c>
      <c r="G74">
        <v>236757.71</v>
      </c>
      <c r="H74">
        <v>89814.63</v>
      </c>
      <c r="I74">
        <v>146943.07999999999</v>
      </c>
      <c r="J74">
        <v>150969.15</v>
      </c>
      <c r="K74">
        <v>89814.63</v>
      </c>
      <c r="L74">
        <v>61154.52</v>
      </c>
      <c r="M74">
        <v>2096277894</v>
      </c>
      <c r="N74">
        <v>2225308192</v>
      </c>
      <c r="O74">
        <v>5.2999999999999999E-2</v>
      </c>
      <c r="P74" t="s">
        <v>294</v>
      </c>
      <c r="Q74">
        <v>3.5000000000000003E-2</v>
      </c>
      <c r="R74">
        <v>0.02</v>
      </c>
      <c r="T74">
        <v>64823.79</v>
      </c>
    </row>
    <row r="75" spans="1:20" x14ac:dyDescent="0.25">
      <c r="A75">
        <v>2020</v>
      </c>
      <c r="B75">
        <v>3</v>
      </c>
      <c r="C75" t="s">
        <v>346</v>
      </c>
      <c r="D75" t="s">
        <v>347</v>
      </c>
      <c r="E75" t="s">
        <v>348</v>
      </c>
      <c r="F75" t="s">
        <v>23</v>
      </c>
      <c r="G75">
        <v>723816.95</v>
      </c>
      <c r="H75">
        <v>438448.36</v>
      </c>
      <c r="I75">
        <v>285368.59000000003</v>
      </c>
      <c r="J75">
        <v>248755.74</v>
      </c>
      <c r="K75">
        <v>151729.49</v>
      </c>
      <c r="L75">
        <v>97026.25</v>
      </c>
      <c r="M75">
        <v>3401269102</v>
      </c>
      <c r="N75">
        <v>3455252763</v>
      </c>
      <c r="O75">
        <v>5.2999999999999999E-2</v>
      </c>
      <c r="P75" t="s">
        <v>294</v>
      </c>
      <c r="Q75">
        <v>3.5000000000000003E-2</v>
      </c>
      <c r="R75">
        <v>0.02</v>
      </c>
      <c r="T75">
        <v>102847.83</v>
      </c>
    </row>
    <row r="76" spans="1:20" x14ac:dyDescent="0.25">
      <c r="A76">
        <v>2020</v>
      </c>
      <c r="B76">
        <v>3</v>
      </c>
      <c r="C76" t="s">
        <v>349</v>
      </c>
      <c r="D76" t="s">
        <v>350</v>
      </c>
      <c r="E76" t="s">
        <v>351</v>
      </c>
      <c r="F76" t="s">
        <v>23</v>
      </c>
      <c r="G76">
        <v>2959379.99</v>
      </c>
      <c r="H76">
        <v>2390152.25</v>
      </c>
      <c r="I76">
        <v>569227.74</v>
      </c>
      <c r="J76">
        <v>1009032.62</v>
      </c>
      <c r="K76">
        <v>814328.79</v>
      </c>
      <c r="L76">
        <v>194703.83</v>
      </c>
      <c r="M76">
        <v>13747535061</v>
      </c>
      <c r="N76">
        <v>13770606387</v>
      </c>
      <c r="O76">
        <v>5.2999999999999999E-2</v>
      </c>
      <c r="P76" t="s">
        <v>294</v>
      </c>
      <c r="Q76">
        <v>3.5000000000000003E-2</v>
      </c>
      <c r="R76">
        <v>0.01</v>
      </c>
      <c r="T76">
        <v>206386.06</v>
      </c>
    </row>
    <row r="77" spans="1:20" x14ac:dyDescent="0.25">
      <c r="A77">
        <v>2020</v>
      </c>
      <c r="B77">
        <v>3</v>
      </c>
      <c r="C77" t="s">
        <v>352</v>
      </c>
      <c r="D77" t="s">
        <v>353</v>
      </c>
      <c r="E77" t="s">
        <v>354</v>
      </c>
      <c r="F77" t="s">
        <v>23</v>
      </c>
      <c r="G77">
        <v>776847.2</v>
      </c>
      <c r="H77">
        <v>300696.88</v>
      </c>
      <c r="I77">
        <v>476150.32</v>
      </c>
      <c r="J77">
        <v>492941.82</v>
      </c>
      <c r="K77">
        <v>300696.88</v>
      </c>
      <c r="L77">
        <v>192244.95</v>
      </c>
      <c r="M77">
        <v>6722930268</v>
      </c>
      <c r="N77">
        <v>6862379202</v>
      </c>
      <c r="O77">
        <v>5.2999999999999999E-2</v>
      </c>
      <c r="P77" t="s">
        <v>339</v>
      </c>
      <c r="Q77">
        <v>3.5000000000000003E-2</v>
      </c>
      <c r="R77">
        <v>0.02</v>
      </c>
      <c r="T77">
        <v>203779.64</v>
      </c>
    </row>
    <row r="78" spans="1:20" x14ac:dyDescent="0.25">
      <c r="A78">
        <v>2020</v>
      </c>
      <c r="B78">
        <v>3</v>
      </c>
      <c r="C78" t="s">
        <v>355</v>
      </c>
      <c r="D78" t="s">
        <v>356</v>
      </c>
      <c r="E78" t="s">
        <v>357</v>
      </c>
      <c r="F78" t="s">
        <v>23</v>
      </c>
      <c r="G78">
        <v>446869.13</v>
      </c>
      <c r="H78">
        <v>254477.92</v>
      </c>
      <c r="I78">
        <v>192391.22</v>
      </c>
      <c r="J78">
        <v>151291.96</v>
      </c>
      <c r="K78">
        <v>85622.61</v>
      </c>
      <c r="L78">
        <v>65669.350000000006</v>
      </c>
      <c r="M78">
        <v>2304817662</v>
      </c>
      <c r="N78">
        <v>2335816409</v>
      </c>
      <c r="O78">
        <v>5.2999999999999999E-2</v>
      </c>
      <c r="P78" t="s">
        <v>294</v>
      </c>
      <c r="Q78">
        <v>3.5000000000000003E-2</v>
      </c>
      <c r="R78">
        <v>0.02</v>
      </c>
      <c r="T78">
        <v>69609.509999999995</v>
      </c>
    </row>
    <row r="79" spans="1:20" x14ac:dyDescent="0.25">
      <c r="A79">
        <v>2020</v>
      </c>
      <c r="B79">
        <v>3</v>
      </c>
      <c r="C79" t="s">
        <v>358</v>
      </c>
      <c r="D79" t="s">
        <v>359</v>
      </c>
      <c r="E79" t="s">
        <v>360</v>
      </c>
      <c r="F79" t="s">
        <v>23</v>
      </c>
      <c r="G79">
        <v>1138757.07</v>
      </c>
      <c r="H79">
        <v>692185.35</v>
      </c>
      <c r="I79">
        <v>446571.72</v>
      </c>
      <c r="J79">
        <v>393428.34</v>
      </c>
      <c r="K79">
        <v>240049.84</v>
      </c>
      <c r="L79">
        <v>153378.5</v>
      </c>
      <c r="M79">
        <v>5412335449</v>
      </c>
      <c r="N79">
        <v>5426412175</v>
      </c>
      <c r="O79">
        <v>5.2999999999999999E-2</v>
      </c>
      <c r="P79" t="s">
        <v>294</v>
      </c>
      <c r="Q79">
        <v>3.5000000000000003E-2</v>
      </c>
      <c r="R79">
        <v>0.02</v>
      </c>
      <c r="T79">
        <v>162581.21</v>
      </c>
    </row>
    <row r="80" spans="1:20" x14ac:dyDescent="0.25">
      <c r="A80">
        <v>2020</v>
      </c>
      <c r="B80">
        <v>3</v>
      </c>
      <c r="C80" t="s">
        <v>361</v>
      </c>
      <c r="D80" t="s">
        <v>362</v>
      </c>
      <c r="E80" t="s">
        <v>363</v>
      </c>
      <c r="F80" t="s">
        <v>23</v>
      </c>
      <c r="G80">
        <v>364134.6</v>
      </c>
      <c r="H80">
        <v>178172.77</v>
      </c>
      <c r="I80">
        <v>185961.83</v>
      </c>
      <c r="J80">
        <v>64361.15</v>
      </c>
      <c r="L80">
        <v>64361.15</v>
      </c>
      <c r="M80">
        <v>2167073992</v>
      </c>
      <c r="N80">
        <v>2381113924</v>
      </c>
      <c r="O80">
        <v>5.2999999999999999E-2</v>
      </c>
      <c r="P80" t="s">
        <v>294</v>
      </c>
      <c r="Q80">
        <v>3.5000000000000003E-2</v>
      </c>
      <c r="R80">
        <v>0.02</v>
      </c>
      <c r="T80">
        <v>68222.820000000007</v>
      </c>
    </row>
    <row r="81" spans="1:20" x14ac:dyDescent="0.25">
      <c r="A81">
        <v>2020</v>
      </c>
      <c r="B81">
        <v>3</v>
      </c>
      <c r="C81" t="s">
        <v>364</v>
      </c>
      <c r="D81" t="s">
        <v>365</v>
      </c>
      <c r="E81" t="s">
        <v>366</v>
      </c>
      <c r="F81" t="s">
        <v>34</v>
      </c>
      <c r="G81">
        <v>24759.23</v>
      </c>
      <c r="H81">
        <v>24759.23</v>
      </c>
      <c r="J81">
        <v>19482.43</v>
      </c>
      <c r="K81">
        <v>19482.43</v>
      </c>
      <c r="O81">
        <v>5.2999999999999999E-2</v>
      </c>
    </row>
    <row r="82" spans="1:20" x14ac:dyDescent="0.25">
      <c r="A82">
        <v>2020</v>
      </c>
      <c r="B82">
        <v>3</v>
      </c>
      <c r="C82" t="s">
        <v>364</v>
      </c>
      <c r="D82" t="s">
        <v>367</v>
      </c>
      <c r="E82" t="s">
        <v>368</v>
      </c>
      <c r="F82" t="s">
        <v>34</v>
      </c>
      <c r="G82">
        <v>274166.26</v>
      </c>
      <c r="H82">
        <v>274166.26</v>
      </c>
      <c r="J82">
        <v>90779.21</v>
      </c>
      <c r="K82">
        <v>90779.21</v>
      </c>
      <c r="O82">
        <v>5.2999999999999999E-2</v>
      </c>
    </row>
    <row r="83" spans="1:20" x14ac:dyDescent="0.25">
      <c r="A83">
        <v>2020</v>
      </c>
      <c r="B83">
        <v>4</v>
      </c>
      <c r="C83" t="s">
        <v>286</v>
      </c>
      <c r="D83" t="s">
        <v>287</v>
      </c>
      <c r="E83" t="s">
        <v>288</v>
      </c>
      <c r="G83">
        <v>0</v>
      </c>
      <c r="J83">
        <v>0</v>
      </c>
    </row>
    <row r="84" spans="1:20" x14ac:dyDescent="0.25">
      <c r="A84">
        <v>2020</v>
      </c>
      <c r="B84">
        <v>4</v>
      </c>
      <c r="C84" t="s">
        <v>289</v>
      </c>
      <c r="D84" t="s">
        <v>290</v>
      </c>
      <c r="E84" t="s">
        <v>291</v>
      </c>
      <c r="G84">
        <v>0</v>
      </c>
      <c r="J84">
        <v>0</v>
      </c>
    </row>
    <row r="85" spans="1:20" x14ac:dyDescent="0.25">
      <c r="A85">
        <v>2020</v>
      </c>
      <c r="B85">
        <v>4</v>
      </c>
      <c r="C85" t="s">
        <v>168</v>
      </c>
      <c r="D85" t="s">
        <v>292</v>
      </c>
      <c r="E85" t="s">
        <v>293</v>
      </c>
      <c r="F85" t="s">
        <v>23</v>
      </c>
      <c r="G85">
        <v>310018.31</v>
      </c>
      <c r="H85">
        <v>-153977.87</v>
      </c>
      <c r="I85">
        <v>463996.18</v>
      </c>
      <c r="J85">
        <v>-585433.56999999995</v>
      </c>
      <c r="K85">
        <v>-706328.34</v>
      </c>
      <c r="L85">
        <v>120894.77</v>
      </c>
      <c r="M85">
        <v>4198884890</v>
      </c>
      <c r="N85">
        <v>4344345463</v>
      </c>
      <c r="O85">
        <v>5.2999999999999999E-2</v>
      </c>
      <c r="P85" t="s">
        <v>294</v>
      </c>
      <c r="Q85">
        <v>3.5000000000000003E-2</v>
      </c>
      <c r="R85">
        <v>0.02</v>
      </c>
      <c r="T85">
        <v>128148.46</v>
      </c>
    </row>
    <row r="86" spans="1:20" x14ac:dyDescent="0.25">
      <c r="A86">
        <v>2020</v>
      </c>
      <c r="B86">
        <v>4</v>
      </c>
      <c r="C86" t="s">
        <v>295</v>
      </c>
      <c r="D86" t="s">
        <v>296</v>
      </c>
      <c r="E86" t="s">
        <v>297</v>
      </c>
      <c r="F86" t="s">
        <v>23</v>
      </c>
      <c r="G86">
        <v>21177.1</v>
      </c>
      <c r="H86">
        <v>-543482.89</v>
      </c>
      <c r="I86">
        <v>564659.99</v>
      </c>
      <c r="J86">
        <v>-1057489.93</v>
      </c>
      <c r="K86">
        <v>-1204502.2</v>
      </c>
      <c r="L86">
        <v>147012.26</v>
      </c>
      <c r="M86">
        <v>5065320524</v>
      </c>
      <c r="N86">
        <v>5323546135</v>
      </c>
      <c r="O86">
        <v>5.2999999999999999E-2</v>
      </c>
      <c r="P86" t="s">
        <v>294</v>
      </c>
      <c r="Q86">
        <v>3.5000000000000003E-2</v>
      </c>
      <c r="R86">
        <v>0.02</v>
      </c>
      <c r="T86">
        <v>155833</v>
      </c>
    </row>
    <row r="87" spans="1:20" x14ac:dyDescent="0.25">
      <c r="A87">
        <v>2020</v>
      </c>
      <c r="B87">
        <v>4</v>
      </c>
      <c r="C87" t="s">
        <v>298</v>
      </c>
      <c r="D87" t="s">
        <v>299</v>
      </c>
      <c r="E87" t="s">
        <v>300</v>
      </c>
      <c r="F87" t="s">
        <v>23</v>
      </c>
      <c r="G87">
        <v>0</v>
      </c>
      <c r="J87">
        <v>0</v>
      </c>
      <c r="O87">
        <v>5.2999999999999999E-2</v>
      </c>
      <c r="P87" t="s">
        <v>301</v>
      </c>
    </row>
    <row r="88" spans="1:20" x14ac:dyDescent="0.25">
      <c r="A88">
        <v>2020</v>
      </c>
      <c r="B88">
        <v>4</v>
      </c>
      <c r="C88" t="s">
        <v>302</v>
      </c>
      <c r="D88" t="s">
        <v>303</v>
      </c>
      <c r="E88" t="s">
        <v>304</v>
      </c>
      <c r="F88" t="s">
        <v>23</v>
      </c>
      <c r="G88">
        <v>518641.11</v>
      </c>
      <c r="H88">
        <v>286935.18</v>
      </c>
      <c r="I88">
        <v>231705.94</v>
      </c>
      <c r="J88">
        <v>166878.06</v>
      </c>
      <c r="K88">
        <v>104187.22</v>
      </c>
      <c r="L88">
        <v>62690.84</v>
      </c>
      <c r="M88">
        <v>2162684382</v>
      </c>
      <c r="N88">
        <v>2267468432</v>
      </c>
      <c r="O88">
        <v>5.2999999999999999E-2</v>
      </c>
      <c r="P88" t="s">
        <v>294</v>
      </c>
      <c r="Q88">
        <v>3.5000000000000003E-2</v>
      </c>
      <c r="R88">
        <v>0.02</v>
      </c>
      <c r="T88">
        <v>66452.289999999994</v>
      </c>
    </row>
    <row r="89" spans="1:20" x14ac:dyDescent="0.25">
      <c r="A89">
        <v>2020</v>
      </c>
      <c r="B89">
        <v>4</v>
      </c>
      <c r="C89" t="s">
        <v>305</v>
      </c>
      <c r="D89" t="s">
        <v>306</v>
      </c>
      <c r="E89" t="s">
        <v>307</v>
      </c>
      <c r="F89" t="s">
        <v>23</v>
      </c>
      <c r="G89">
        <v>595322.99</v>
      </c>
      <c r="H89">
        <v>284647.59999999998</v>
      </c>
      <c r="I89">
        <v>310675.38</v>
      </c>
      <c r="J89">
        <v>249927.18</v>
      </c>
      <c r="K89">
        <v>151803.26</v>
      </c>
      <c r="L89">
        <v>98123.91</v>
      </c>
      <c r="M89">
        <v>3179772400</v>
      </c>
      <c r="N89">
        <v>3754317330</v>
      </c>
      <c r="O89">
        <v>5.2999999999999999E-2</v>
      </c>
      <c r="P89" t="s">
        <v>294</v>
      </c>
      <c r="Q89">
        <v>3.5000000000000003E-2</v>
      </c>
      <c r="R89">
        <v>0.02</v>
      </c>
      <c r="T89">
        <v>104011.35</v>
      </c>
    </row>
    <row r="90" spans="1:20" x14ac:dyDescent="0.25">
      <c r="A90">
        <v>2020</v>
      </c>
      <c r="B90">
        <v>4</v>
      </c>
      <c r="C90" t="s">
        <v>308</v>
      </c>
      <c r="D90" t="s">
        <v>309</v>
      </c>
      <c r="E90" t="s">
        <v>310</v>
      </c>
      <c r="F90" t="s">
        <v>23</v>
      </c>
      <c r="G90">
        <v>1394620.1</v>
      </c>
      <c r="H90">
        <v>858939.83</v>
      </c>
      <c r="I90">
        <v>535680.27</v>
      </c>
      <c r="J90">
        <v>366918.95</v>
      </c>
      <c r="K90">
        <v>229110.35</v>
      </c>
      <c r="L90">
        <v>137808.60999999999</v>
      </c>
      <c r="M90">
        <v>4761931645</v>
      </c>
      <c r="N90">
        <v>4976543168</v>
      </c>
      <c r="O90">
        <v>5.2999999999999999E-2</v>
      </c>
      <c r="P90" t="s">
        <v>294</v>
      </c>
      <c r="Q90">
        <v>3.5000000000000003E-2</v>
      </c>
      <c r="R90">
        <v>0.02</v>
      </c>
      <c r="T90">
        <v>146077.12</v>
      </c>
    </row>
    <row r="91" spans="1:20" x14ac:dyDescent="0.25">
      <c r="A91">
        <v>2020</v>
      </c>
      <c r="B91">
        <v>4</v>
      </c>
      <c r="C91" t="s">
        <v>311</v>
      </c>
      <c r="D91" t="s">
        <v>312</v>
      </c>
      <c r="E91" t="s">
        <v>313</v>
      </c>
      <c r="F91" t="s">
        <v>23</v>
      </c>
      <c r="G91">
        <v>247004.33</v>
      </c>
      <c r="I91">
        <v>247004.33</v>
      </c>
      <c r="J91">
        <v>63233.82</v>
      </c>
      <c r="L91">
        <v>63233.82</v>
      </c>
      <c r="M91">
        <v>2546090557</v>
      </c>
      <c r="N91">
        <v>2643162438</v>
      </c>
      <c r="O91">
        <v>5.2999999999999999E-2</v>
      </c>
      <c r="P91" t="s">
        <v>314</v>
      </c>
      <c r="Q91">
        <v>3.7499999999999999E-2</v>
      </c>
      <c r="R91">
        <v>0.02</v>
      </c>
      <c r="T91">
        <v>67027.850000000006</v>
      </c>
    </row>
    <row r="92" spans="1:20" x14ac:dyDescent="0.25">
      <c r="A92">
        <v>2020</v>
      </c>
      <c r="B92">
        <v>4</v>
      </c>
      <c r="C92" t="s">
        <v>315</v>
      </c>
      <c r="D92" t="s">
        <v>316</v>
      </c>
      <c r="E92" t="s">
        <v>317</v>
      </c>
      <c r="F92" t="s">
        <v>23</v>
      </c>
      <c r="G92">
        <v>-777052.12</v>
      </c>
      <c r="H92">
        <v>-777052.12</v>
      </c>
      <c r="J92">
        <v>82233.66</v>
      </c>
      <c r="K92">
        <v>82233.66</v>
      </c>
      <c r="O92">
        <v>5.2999999999999999E-2</v>
      </c>
      <c r="P92" t="s">
        <v>301</v>
      </c>
    </row>
    <row r="93" spans="1:20" x14ac:dyDescent="0.25">
      <c r="A93">
        <v>2020</v>
      </c>
      <c r="B93">
        <v>4</v>
      </c>
      <c r="C93" t="s">
        <v>318</v>
      </c>
      <c r="D93" t="s">
        <v>319</v>
      </c>
      <c r="E93" t="s">
        <v>320</v>
      </c>
      <c r="F93" t="s">
        <v>23</v>
      </c>
      <c r="G93">
        <v>102157.36</v>
      </c>
      <c r="H93">
        <v>18126.45</v>
      </c>
      <c r="I93">
        <v>84030.9</v>
      </c>
      <c r="J93">
        <v>21518.71</v>
      </c>
      <c r="L93">
        <v>21518.71</v>
      </c>
      <c r="M93">
        <v>734121716.5</v>
      </c>
      <c r="N93">
        <v>786533922.60000002</v>
      </c>
      <c r="O93">
        <v>5.2999999999999999E-2</v>
      </c>
      <c r="P93" t="s">
        <v>294</v>
      </c>
      <c r="Q93">
        <v>3.5000000000000003E-2</v>
      </c>
      <c r="R93">
        <v>0.02</v>
      </c>
      <c r="T93">
        <v>22809.83</v>
      </c>
    </row>
    <row r="94" spans="1:20" x14ac:dyDescent="0.25">
      <c r="A94">
        <v>2020</v>
      </c>
      <c r="B94">
        <v>4</v>
      </c>
      <c r="C94" t="s">
        <v>321</v>
      </c>
      <c r="D94" t="s">
        <v>322</v>
      </c>
      <c r="E94" t="s">
        <v>323</v>
      </c>
      <c r="F94" t="s">
        <v>23</v>
      </c>
      <c r="G94">
        <v>921831.87</v>
      </c>
      <c r="I94">
        <v>921831.87</v>
      </c>
      <c r="J94">
        <v>242839.47</v>
      </c>
      <c r="L94">
        <v>242839.47</v>
      </c>
      <c r="M94">
        <v>8241887901</v>
      </c>
      <c r="N94">
        <v>8918767981</v>
      </c>
      <c r="O94">
        <v>5.2999999999999999E-2</v>
      </c>
      <c r="P94" t="s">
        <v>294</v>
      </c>
      <c r="Q94">
        <v>3.5000000000000003E-2</v>
      </c>
      <c r="R94">
        <v>0.02</v>
      </c>
      <c r="T94">
        <v>257409.84</v>
      </c>
    </row>
    <row r="95" spans="1:20" x14ac:dyDescent="0.25">
      <c r="A95">
        <v>2020</v>
      </c>
      <c r="B95">
        <v>4</v>
      </c>
      <c r="C95" t="s">
        <v>324</v>
      </c>
      <c r="D95" t="s">
        <v>325</v>
      </c>
      <c r="E95" t="s">
        <v>326</v>
      </c>
      <c r="F95" t="s">
        <v>23</v>
      </c>
      <c r="G95">
        <v>470605.41</v>
      </c>
      <c r="H95">
        <v>241392.42</v>
      </c>
      <c r="I95">
        <v>229213</v>
      </c>
      <c r="J95">
        <v>134176.12</v>
      </c>
      <c r="K95">
        <v>71361.919999999998</v>
      </c>
      <c r="L95">
        <v>62814.2</v>
      </c>
      <c r="M95">
        <v>2144620805</v>
      </c>
      <c r="N95">
        <v>2294249274</v>
      </c>
      <c r="O95">
        <v>5.2999999999999999E-2</v>
      </c>
      <c r="P95" t="s">
        <v>294</v>
      </c>
      <c r="Q95">
        <v>3.5000000000000003E-2</v>
      </c>
      <c r="R95">
        <v>0.02</v>
      </c>
      <c r="T95">
        <v>66583.05</v>
      </c>
    </row>
    <row r="96" spans="1:20" x14ac:dyDescent="0.25">
      <c r="A96">
        <v>2020</v>
      </c>
      <c r="B96">
        <v>4</v>
      </c>
      <c r="C96" t="s">
        <v>327</v>
      </c>
      <c r="D96" t="s">
        <v>328</v>
      </c>
      <c r="E96" t="s">
        <v>329</v>
      </c>
      <c r="F96" t="s">
        <v>23</v>
      </c>
      <c r="G96">
        <v>997340.48</v>
      </c>
      <c r="H96">
        <v>611849.99</v>
      </c>
      <c r="I96">
        <v>385490.49</v>
      </c>
      <c r="J96">
        <v>264860.53999999998</v>
      </c>
      <c r="K96">
        <v>163986.47</v>
      </c>
      <c r="L96">
        <v>100874.06</v>
      </c>
      <c r="M96">
        <v>3406622552</v>
      </c>
      <c r="N96">
        <v>3721811370</v>
      </c>
      <c r="O96">
        <v>5.2999999999999999E-2</v>
      </c>
      <c r="P96" t="s">
        <v>294</v>
      </c>
      <c r="Q96">
        <v>3.5000000000000003E-2</v>
      </c>
      <c r="R96">
        <v>0.02</v>
      </c>
      <c r="T96">
        <v>106926.51</v>
      </c>
    </row>
    <row r="97" spans="1:20" x14ac:dyDescent="0.25">
      <c r="A97">
        <v>2020</v>
      </c>
      <c r="B97">
        <v>4</v>
      </c>
      <c r="C97" t="s">
        <v>330</v>
      </c>
      <c r="D97" t="s">
        <v>331</v>
      </c>
      <c r="E97" t="s">
        <v>332</v>
      </c>
      <c r="F97" t="s">
        <v>23</v>
      </c>
      <c r="G97">
        <v>1362.62</v>
      </c>
      <c r="I97">
        <v>1362.62</v>
      </c>
      <c r="J97">
        <v>1362.62</v>
      </c>
      <c r="L97">
        <v>1362.62</v>
      </c>
      <c r="N97">
        <v>96291662.5</v>
      </c>
      <c r="O97">
        <v>5.2999999999999999E-2</v>
      </c>
      <c r="P97" t="s">
        <v>294</v>
      </c>
      <c r="Q97">
        <v>3.5000000000000003E-2</v>
      </c>
      <c r="R97">
        <v>0.02</v>
      </c>
      <c r="T97">
        <v>1444.37</v>
      </c>
    </row>
    <row r="98" spans="1:20" x14ac:dyDescent="0.25">
      <c r="A98">
        <v>2020</v>
      </c>
      <c r="B98">
        <v>4</v>
      </c>
      <c r="C98" t="s">
        <v>333</v>
      </c>
      <c r="D98" t="s">
        <v>334</v>
      </c>
      <c r="E98" t="s">
        <v>335</v>
      </c>
      <c r="F98" t="s">
        <v>23</v>
      </c>
      <c r="G98">
        <v>50267.839999999997</v>
      </c>
      <c r="I98">
        <v>50267.839999999997</v>
      </c>
      <c r="J98">
        <v>12950.34</v>
      </c>
      <c r="L98">
        <v>12950.34</v>
      </c>
      <c r="M98">
        <v>558664299.60000002</v>
      </c>
      <c r="N98">
        <v>585282720.89999998</v>
      </c>
      <c r="O98">
        <v>5.2999999999999999E-2</v>
      </c>
      <c r="P98" t="s">
        <v>294</v>
      </c>
      <c r="Q98">
        <v>3.5000000000000003E-2</v>
      </c>
      <c r="R98">
        <v>1.6E-2</v>
      </c>
      <c r="T98">
        <v>13727.36</v>
      </c>
    </row>
    <row r="99" spans="1:20" x14ac:dyDescent="0.25">
      <c r="A99">
        <v>2020</v>
      </c>
      <c r="B99">
        <v>4</v>
      </c>
      <c r="C99" t="s">
        <v>336</v>
      </c>
      <c r="D99" t="s">
        <v>337</v>
      </c>
      <c r="E99" t="s">
        <v>338</v>
      </c>
      <c r="F99" t="s">
        <v>23</v>
      </c>
      <c r="G99">
        <v>87677.29</v>
      </c>
      <c r="I99">
        <v>87677.29</v>
      </c>
      <c r="J99">
        <v>26015.79</v>
      </c>
      <c r="L99">
        <v>26015.79</v>
      </c>
      <c r="M99">
        <v>890815656</v>
      </c>
      <c r="N99">
        <v>947633163.79999995</v>
      </c>
      <c r="O99">
        <v>5.2999999999999999E-2</v>
      </c>
      <c r="P99" t="s">
        <v>339</v>
      </c>
      <c r="Q99">
        <v>3.5000000000000003E-2</v>
      </c>
      <c r="R99">
        <v>0.02</v>
      </c>
      <c r="T99">
        <v>27576.73</v>
      </c>
    </row>
    <row r="100" spans="1:20" x14ac:dyDescent="0.25">
      <c r="A100">
        <v>2020</v>
      </c>
      <c r="B100">
        <v>4</v>
      </c>
      <c r="C100" t="s">
        <v>340</v>
      </c>
      <c r="D100" t="s">
        <v>341</v>
      </c>
      <c r="E100" t="s">
        <v>342</v>
      </c>
      <c r="F100" t="s">
        <v>23</v>
      </c>
      <c r="G100">
        <v>2340385.41</v>
      </c>
      <c r="H100">
        <v>1436979.96</v>
      </c>
      <c r="I100">
        <v>903405.45</v>
      </c>
      <c r="J100">
        <v>3582611.61</v>
      </c>
      <c r="K100">
        <v>3346108.9</v>
      </c>
      <c r="L100">
        <v>236502.71</v>
      </c>
      <c r="M100">
        <v>8202042246</v>
      </c>
      <c r="N100">
        <v>8510815976</v>
      </c>
      <c r="O100">
        <v>5.2999999999999999E-2</v>
      </c>
      <c r="P100" t="s">
        <v>294</v>
      </c>
      <c r="Q100">
        <v>3.5000000000000003E-2</v>
      </c>
      <c r="R100">
        <v>0.02</v>
      </c>
      <c r="T100">
        <v>250692.87</v>
      </c>
    </row>
    <row r="101" spans="1:20" x14ac:dyDescent="0.25">
      <c r="A101">
        <v>2020</v>
      </c>
      <c r="B101">
        <v>4</v>
      </c>
      <c r="C101" t="s">
        <v>343</v>
      </c>
      <c r="D101" t="s">
        <v>344</v>
      </c>
      <c r="E101" t="s">
        <v>345</v>
      </c>
      <c r="F101" t="s">
        <v>23</v>
      </c>
      <c r="G101">
        <v>405227.63</v>
      </c>
      <c r="H101">
        <v>193177.97</v>
      </c>
      <c r="I101">
        <v>212049.66</v>
      </c>
      <c r="J101">
        <v>168469.92</v>
      </c>
      <c r="K101">
        <v>103363.34</v>
      </c>
      <c r="L101">
        <v>65106.58</v>
      </c>
      <c r="M101">
        <v>2225308192</v>
      </c>
      <c r="N101">
        <v>2375556859</v>
      </c>
      <c r="O101">
        <v>5.2999999999999999E-2</v>
      </c>
      <c r="P101" t="s">
        <v>294</v>
      </c>
      <c r="Q101">
        <v>3.5000000000000003E-2</v>
      </c>
      <c r="R101">
        <v>0.02</v>
      </c>
      <c r="T101">
        <v>69012.98</v>
      </c>
    </row>
    <row r="102" spans="1:20" x14ac:dyDescent="0.25">
      <c r="A102">
        <v>2020</v>
      </c>
      <c r="B102">
        <v>4</v>
      </c>
      <c r="C102" t="s">
        <v>346</v>
      </c>
      <c r="D102" t="s">
        <v>347</v>
      </c>
      <c r="E102" t="s">
        <v>348</v>
      </c>
      <c r="F102" t="s">
        <v>23</v>
      </c>
      <c r="G102">
        <v>989596.21</v>
      </c>
      <c r="H102">
        <v>604390.82999999996</v>
      </c>
      <c r="I102">
        <v>385205.38</v>
      </c>
      <c r="J102">
        <v>265779.26</v>
      </c>
      <c r="K102">
        <v>165942.47</v>
      </c>
      <c r="L102">
        <v>99836.79</v>
      </c>
      <c r="M102">
        <v>3455252763</v>
      </c>
      <c r="N102">
        <v>3599880085</v>
      </c>
      <c r="O102">
        <v>5.2999999999999999E-2</v>
      </c>
      <c r="P102" t="s">
        <v>294</v>
      </c>
      <c r="Q102">
        <v>3.5000000000000003E-2</v>
      </c>
      <c r="R102">
        <v>0.02</v>
      </c>
      <c r="T102">
        <v>105826.99</v>
      </c>
    </row>
    <row r="103" spans="1:20" x14ac:dyDescent="0.25">
      <c r="A103">
        <v>2020</v>
      </c>
      <c r="B103">
        <v>4</v>
      </c>
      <c r="C103" t="s">
        <v>349</v>
      </c>
      <c r="D103" t="s">
        <v>350</v>
      </c>
      <c r="E103" t="s">
        <v>351</v>
      </c>
      <c r="F103" t="s">
        <v>23</v>
      </c>
      <c r="G103">
        <v>4040281.33</v>
      </c>
      <c r="H103">
        <v>3273299.69</v>
      </c>
      <c r="I103">
        <v>766981.64</v>
      </c>
      <c r="J103">
        <v>1080901.3400000001</v>
      </c>
      <c r="K103">
        <v>883147.44</v>
      </c>
      <c r="L103">
        <v>197753.9</v>
      </c>
      <c r="M103">
        <v>13770606387</v>
      </c>
      <c r="N103">
        <v>14178611155</v>
      </c>
      <c r="O103">
        <v>5.2999999999999999E-2</v>
      </c>
      <c r="P103" t="s">
        <v>294</v>
      </c>
      <c r="Q103">
        <v>3.5000000000000003E-2</v>
      </c>
      <c r="R103">
        <v>0.01</v>
      </c>
      <c r="T103">
        <v>209619.13</v>
      </c>
    </row>
    <row r="104" spans="1:20" x14ac:dyDescent="0.25">
      <c r="A104">
        <v>2020</v>
      </c>
      <c r="B104">
        <v>4</v>
      </c>
      <c r="C104" t="s">
        <v>352</v>
      </c>
      <c r="D104" t="s">
        <v>353</v>
      </c>
      <c r="E104" t="s">
        <v>354</v>
      </c>
      <c r="F104" t="s">
        <v>23</v>
      </c>
      <c r="G104">
        <v>1303484.6100000001</v>
      </c>
      <c r="H104">
        <v>629826.98</v>
      </c>
      <c r="I104">
        <v>673657.63</v>
      </c>
      <c r="J104">
        <v>526637.41</v>
      </c>
      <c r="K104">
        <v>329130.09999999998</v>
      </c>
      <c r="L104">
        <v>197507.31</v>
      </c>
      <c r="M104">
        <v>6862379202</v>
      </c>
      <c r="N104">
        <v>7094803706</v>
      </c>
      <c r="O104">
        <v>5.2999999999999999E-2</v>
      </c>
      <c r="P104" t="s">
        <v>339</v>
      </c>
      <c r="Q104">
        <v>3.5000000000000003E-2</v>
      </c>
      <c r="R104">
        <v>0.02</v>
      </c>
      <c r="T104">
        <v>209357.74</v>
      </c>
    </row>
    <row r="105" spans="1:20" x14ac:dyDescent="0.25">
      <c r="A105">
        <v>2020</v>
      </c>
      <c r="B105">
        <v>4</v>
      </c>
      <c r="C105" t="s">
        <v>355</v>
      </c>
      <c r="D105" t="s">
        <v>356</v>
      </c>
      <c r="E105" t="s">
        <v>357</v>
      </c>
      <c r="F105" t="s">
        <v>23</v>
      </c>
      <c r="G105">
        <v>608328.64</v>
      </c>
      <c r="H105">
        <v>348557.62</v>
      </c>
      <c r="I105">
        <v>259771.02</v>
      </c>
      <c r="J105">
        <v>161459.51</v>
      </c>
      <c r="K105">
        <v>94079.71</v>
      </c>
      <c r="L105">
        <v>67379.8</v>
      </c>
      <c r="M105">
        <v>2335816409</v>
      </c>
      <c r="N105">
        <v>2425689655</v>
      </c>
      <c r="O105">
        <v>5.2999999999999999E-2</v>
      </c>
      <c r="P105" t="s">
        <v>294</v>
      </c>
      <c r="Q105">
        <v>3.5000000000000003E-2</v>
      </c>
      <c r="R105">
        <v>0.02</v>
      </c>
      <c r="T105">
        <v>71422.59</v>
      </c>
    </row>
    <row r="106" spans="1:20" x14ac:dyDescent="0.25">
      <c r="A106">
        <v>2020</v>
      </c>
      <c r="B106">
        <v>4</v>
      </c>
      <c r="C106" t="s">
        <v>358</v>
      </c>
      <c r="D106" t="s">
        <v>359</v>
      </c>
      <c r="E106" t="s">
        <v>360</v>
      </c>
      <c r="F106" t="s">
        <v>23</v>
      </c>
      <c r="G106">
        <v>203182.94</v>
      </c>
      <c r="H106">
        <v>-401020.31</v>
      </c>
      <c r="I106">
        <v>604203.25</v>
      </c>
      <c r="J106">
        <v>-935574.14</v>
      </c>
      <c r="K106">
        <v>-1093205.6599999999</v>
      </c>
      <c r="L106">
        <v>157631.51999999999</v>
      </c>
      <c r="M106">
        <v>5426412175</v>
      </c>
      <c r="N106">
        <v>5712882209</v>
      </c>
      <c r="O106">
        <v>5.2999999999999999E-2</v>
      </c>
      <c r="P106" t="s">
        <v>294</v>
      </c>
      <c r="Q106">
        <v>3.5000000000000003E-2</v>
      </c>
      <c r="R106">
        <v>0.02</v>
      </c>
      <c r="T106">
        <v>167089.42000000001</v>
      </c>
    </row>
    <row r="107" spans="1:20" x14ac:dyDescent="0.25">
      <c r="A107">
        <v>2020</v>
      </c>
      <c r="B107">
        <v>4</v>
      </c>
      <c r="C107" t="s">
        <v>361</v>
      </c>
      <c r="D107" t="s">
        <v>362</v>
      </c>
      <c r="E107" t="s">
        <v>363</v>
      </c>
      <c r="F107" t="s">
        <v>23</v>
      </c>
      <c r="G107">
        <v>432851.65</v>
      </c>
      <c r="H107">
        <v>178172.77</v>
      </c>
      <c r="I107">
        <v>254678.88</v>
      </c>
      <c r="J107">
        <v>68717.05</v>
      </c>
      <c r="L107">
        <v>68717.05</v>
      </c>
      <c r="M107">
        <v>2381113924</v>
      </c>
      <c r="N107">
        <v>2474890880</v>
      </c>
      <c r="O107">
        <v>5.2999999999999999E-2</v>
      </c>
      <c r="P107" t="s">
        <v>294</v>
      </c>
      <c r="Q107">
        <v>3.5000000000000003E-2</v>
      </c>
      <c r="R107">
        <v>0.02</v>
      </c>
      <c r="T107">
        <v>72840.070000000007</v>
      </c>
    </row>
    <row r="108" spans="1:20" x14ac:dyDescent="0.25">
      <c r="A108">
        <v>2020</v>
      </c>
      <c r="B108">
        <v>4</v>
      </c>
      <c r="C108" t="s">
        <v>364</v>
      </c>
      <c r="D108" t="s">
        <v>367</v>
      </c>
      <c r="E108" t="s">
        <v>368</v>
      </c>
      <c r="F108" t="s">
        <v>34</v>
      </c>
      <c r="G108">
        <v>371970.97</v>
      </c>
      <c r="H108">
        <v>371970.97</v>
      </c>
      <c r="J108">
        <v>97804.71</v>
      </c>
      <c r="K108">
        <v>97804.71</v>
      </c>
      <c r="O108">
        <v>5.2999999999999999E-2</v>
      </c>
    </row>
    <row r="109" spans="1:20" x14ac:dyDescent="0.25">
      <c r="A109">
        <v>2020</v>
      </c>
      <c r="B109">
        <v>4</v>
      </c>
      <c r="C109" t="s">
        <v>364</v>
      </c>
      <c r="D109" t="s">
        <v>365</v>
      </c>
      <c r="E109" t="s">
        <v>366</v>
      </c>
      <c r="F109" t="s">
        <v>34</v>
      </c>
      <c r="G109">
        <v>45713.42</v>
      </c>
      <c r="H109">
        <v>45713.42</v>
      </c>
      <c r="J109">
        <v>20954.189999999999</v>
      </c>
      <c r="K109">
        <v>20954.189999999999</v>
      </c>
      <c r="O109">
        <v>5.2999999999999999E-2</v>
      </c>
    </row>
    <row r="110" spans="1:20" x14ac:dyDescent="0.25">
      <c r="A110">
        <v>2020</v>
      </c>
      <c r="B110">
        <v>5</v>
      </c>
      <c r="C110" t="s">
        <v>286</v>
      </c>
      <c r="D110" t="s">
        <v>287</v>
      </c>
      <c r="E110" t="s">
        <v>288</v>
      </c>
      <c r="G110">
        <v>0</v>
      </c>
      <c r="J110">
        <v>0</v>
      </c>
    </row>
    <row r="111" spans="1:20" x14ac:dyDescent="0.25">
      <c r="A111">
        <v>2020</v>
      </c>
      <c r="B111">
        <v>5</v>
      </c>
      <c r="C111" t="s">
        <v>289</v>
      </c>
      <c r="D111" t="s">
        <v>290</v>
      </c>
      <c r="E111" t="s">
        <v>291</v>
      </c>
      <c r="G111">
        <v>0</v>
      </c>
      <c r="J111">
        <v>0</v>
      </c>
    </row>
    <row r="112" spans="1:20" x14ac:dyDescent="0.25">
      <c r="A112">
        <v>2020</v>
      </c>
      <c r="B112">
        <v>5</v>
      </c>
      <c r="C112" t="s">
        <v>168</v>
      </c>
      <c r="D112" t="s">
        <v>292</v>
      </c>
      <c r="E112" t="s">
        <v>293</v>
      </c>
      <c r="F112" t="s">
        <v>23</v>
      </c>
      <c r="G112">
        <v>1542254.33</v>
      </c>
      <c r="H112">
        <v>953071.95</v>
      </c>
      <c r="I112">
        <v>589182.38</v>
      </c>
      <c r="J112">
        <v>1232236.02</v>
      </c>
      <c r="K112">
        <v>1107049.82</v>
      </c>
      <c r="L112">
        <v>125186.2</v>
      </c>
      <c r="M112">
        <v>4344345463</v>
      </c>
      <c r="N112">
        <v>4502145681</v>
      </c>
      <c r="O112">
        <v>5.2999999999999999E-2</v>
      </c>
      <c r="P112" t="s">
        <v>294</v>
      </c>
      <c r="Q112">
        <v>3.5000000000000003E-2</v>
      </c>
      <c r="R112">
        <v>0.02</v>
      </c>
      <c r="T112">
        <v>132697.37</v>
      </c>
    </row>
    <row r="113" spans="1:20" x14ac:dyDescent="0.25">
      <c r="A113">
        <v>2020</v>
      </c>
      <c r="B113">
        <v>5</v>
      </c>
      <c r="C113" t="s">
        <v>295</v>
      </c>
      <c r="D113" t="s">
        <v>296</v>
      </c>
      <c r="E113" t="s">
        <v>297</v>
      </c>
      <c r="F113" t="s">
        <v>23</v>
      </c>
      <c r="G113">
        <v>1866219.06</v>
      </c>
      <c r="H113">
        <v>1149018.43</v>
      </c>
      <c r="I113">
        <v>717200.63</v>
      </c>
      <c r="J113">
        <v>1845041.96</v>
      </c>
      <c r="K113">
        <v>1692501.32</v>
      </c>
      <c r="L113">
        <v>152540.64000000001</v>
      </c>
      <c r="M113">
        <v>5323546135</v>
      </c>
      <c r="N113">
        <v>5455992420</v>
      </c>
      <c r="O113">
        <v>5.2999999999999999E-2</v>
      </c>
      <c r="P113" t="s">
        <v>294</v>
      </c>
      <c r="Q113">
        <v>3.5000000000000003E-2</v>
      </c>
      <c r="R113">
        <v>0.02</v>
      </c>
      <c r="T113">
        <v>161693.07999999999</v>
      </c>
    </row>
    <row r="114" spans="1:20" x14ac:dyDescent="0.25">
      <c r="A114">
        <v>2020</v>
      </c>
      <c r="B114">
        <v>5</v>
      </c>
      <c r="C114" t="s">
        <v>298</v>
      </c>
      <c r="D114" t="s">
        <v>299</v>
      </c>
      <c r="E114" t="s">
        <v>300</v>
      </c>
      <c r="F114" t="s">
        <v>23</v>
      </c>
      <c r="G114">
        <v>0</v>
      </c>
      <c r="J114">
        <v>0</v>
      </c>
      <c r="O114">
        <v>5.2999999999999999E-2</v>
      </c>
      <c r="P114" t="s">
        <v>301</v>
      </c>
    </row>
    <row r="115" spans="1:20" x14ac:dyDescent="0.25">
      <c r="A115">
        <v>2020</v>
      </c>
      <c r="B115">
        <v>5</v>
      </c>
      <c r="C115" t="s">
        <v>302</v>
      </c>
      <c r="D115" t="s">
        <v>303</v>
      </c>
      <c r="E115" t="s">
        <v>304</v>
      </c>
      <c r="F115" t="s">
        <v>23</v>
      </c>
      <c r="G115">
        <v>620741.6</v>
      </c>
      <c r="H115">
        <v>323224.99</v>
      </c>
      <c r="I115">
        <v>297516.61</v>
      </c>
      <c r="J115">
        <v>102100.49</v>
      </c>
      <c r="K115">
        <v>36289.81</v>
      </c>
      <c r="L115">
        <v>65810.67</v>
      </c>
      <c r="M115">
        <v>2267468432</v>
      </c>
      <c r="N115">
        <v>2383152509</v>
      </c>
      <c r="O115">
        <v>5.2999999999999999E-2</v>
      </c>
      <c r="P115" t="s">
        <v>294</v>
      </c>
      <c r="Q115">
        <v>3.5000000000000003E-2</v>
      </c>
      <c r="R115">
        <v>0.02</v>
      </c>
      <c r="T115">
        <v>69759.31</v>
      </c>
    </row>
    <row r="116" spans="1:20" x14ac:dyDescent="0.25">
      <c r="A116">
        <v>2020</v>
      </c>
      <c r="B116">
        <v>5</v>
      </c>
      <c r="C116" t="s">
        <v>305</v>
      </c>
      <c r="D116" t="s">
        <v>306</v>
      </c>
      <c r="E116" t="s">
        <v>307</v>
      </c>
      <c r="F116" t="s">
        <v>23</v>
      </c>
      <c r="G116">
        <v>864951.36</v>
      </c>
      <c r="H116">
        <v>447966.01</v>
      </c>
      <c r="I116">
        <v>416985.35</v>
      </c>
      <c r="J116">
        <v>269628.37</v>
      </c>
      <c r="K116">
        <v>163318.41</v>
      </c>
      <c r="L116">
        <v>106309.96</v>
      </c>
      <c r="M116">
        <v>3754317330</v>
      </c>
      <c r="N116">
        <v>3758253279</v>
      </c>
      <c r="O116">
        <v>5.2999999999999999E-2</v>
      </c>
      <c r="P116" t="s">
        <v>294</v>
      </c>
      <c r="Q116">
        <v>3.5000000000000003E-2</v>
      </c>
      <c r="R116">
        <v>0.02</v>
      </c>
      <c r="T116">
        <v>112688.56</v>
      </c>
    </row>
    <row r="117" spans="1:20" x14ac:dyDescent="0.25">
      <c r="A117">
        <v>2020</v>
      </c>
      <c r="B117">
        <v>5</v>
      </c>
      <c r="C117" t="s">
        <v>308</v>
      </c>
      <c r="D117" t="s">
        <v>309</v>
      </c>
      <c r="E117" t="s">
        <v>310</v>
      </c>
      <c r="F117" t="s">
        <v>23</v>
      </c>
      <c r="G117">
        <v>1763688.1</v>
      </c>
      <c r="H117">
        <v>1086236.8999999999</v>
      </c>
      <c r="I117">
        <v>677451.21</v>
      </c>
      <c r="J117">
        <v>369068</v>
      </c>
      <c r="K117">
        <v>227297.07</v>
      </c>
      <c r="L117">
        <v>141770.94</v>
      </c>
      <c r="M117">
        <v>4976543168</v>
      </c>
      <c r="N117">
        <v>5041936313</v>
      </c>
      <c r="O117">
        <v>5.2999999999999999E-2</v>
      </c>
      <c r="P117" t="s">
        <v>294</v>
      </c>
      <c r="Q117">
        <v>3.5000000000000003E-2</v>
      </c>
      <c r="R117">
        <v>0.02</v>
      </c>
      <c r="T117">
        <v>150277.19</v>
      </c>
    </row>
    <row r="118" spans="1:20" x14ac:dyDescent="0.25">
      <c r="A118">
        <v>2020</v>
      </c>
      <c r="B118">
        <v>5</v>
      </c>
      <c r="C118" t="s">
        <v>311</v>
      </c>
      <c r="D118" t="s">
        <v>312</v>
      </c>
      <c r="E118" t="s">
        <v>313</v>
      </c>
      <c r="F118" t="s">
        <v>23</v>
      </c>
      <c r="G118">
        <v>312923.28000000003</v>
      </c>
      <c r="I118">
        <v>312923.28000000003</v>
      </c>
      <c r="J118">
        <v>65918.95</v>
      </c>
      <c r="L118">
        <v>65918.95</v>
      </c>
      <c r="M118">
        <v>2643162438</v>
      </c>
      <c r="N118">
        <v>2766444291</v>
      </c>
      <c r="O118">
        <v>5.2999999999999999E-2</v>
      </c>
      <c r="P118" t="s">
        <v>314</v>
      </c>
      <c r="Q118">
        <v>3.7499999999999999E-2</v>
      </c>
      <c r="R118">
        <v>0.02</v>
      </c>
      <c r="T118">
        <v>69874.09</v>
      </c>
    </row>
    <row r="119" spans="1:20" x14ac:dyDescent="0.25">
      <c r="A119">
        <v>2020</v>
      </c>
      <c r="B119">
        <v>5</v>
      </c>
      <c r="C119" t="s">
        <v>315</v>
      </c>
      <c r="D119" t="s">
        <v>316</v>
      </c>
      <c r="E119" t="s">
        <v>317</v>
      </c>
      <c r="F119" t="s">
        <v>23</v>
      </c>
      <c r="G119">
        <v>-694764.3</v>
      </c>
      <c r="H119">
        <v>-694764.3</v>
      </c>
      <c r="J119">
        <v>82287.820000000007</v>
      </c>
      <c r="K119">
        <v>82287.820000000007</v>
      </c>
      <c r="O119">
        <v>5.2999999999999999E-2</v>
      </c>
      <c r="P119" t="s">
        <v>301</v>
      </c>
    </row>
    <row r="120" spans="1:20" x14ac:dyDescent="0.25">
      <c r="A120">
        <v>2020</v>
      </c>
      <c r="B120">
        <v>5</v>
      </c>
      <c r="C120" t="s">
        <v>318</v>
      </c>
      <c r="D120" t="s">
        <v>319</v>
      </c>
      <c r="E120" t="s">
        <v>320</v>
      </c>
      <c r="F120" t="s">
        <v>23</v>
      </c>
      <c r="G120">
        <v>124368.52</v>
      </c>
      <c r="H120">
        <v>18126.45</v>
      </c>
      <c r="I120">
        <v>106242.07</v>
      </c>
      <c r="J120">
        <v>22211.16</v>
      </c>
      <c r="L120">
        <v>22211.16</v>
      </c>
      <c r="M120">
        <v>786533922.60000002</v>
      </c>
      <c r="N120">
        <v>783054976.89999998</v>
      </c>
      <c r="O120">
        <v>5.2999999999999999E-2</v>
      </c>
      <c r="P120" t="s">
        <v>294</v>
      </c>
      <c r="Q120">
        <v>3.5000000000000003E-2</v>
      </c>
      <c r="R120">
        <v>0.02</v>
      </c>
      <c r="T120">
        <v>23543.83</v>
      </c>
    </row>
    <row r="121" spans="1:20" x14ac:dyDescent="0.25">
      <c r="A121">
        <v>2020</v>
      </c>
      <c r="B121">
        <v>5</v>
      </c>
      <c r="C121" t="s">
        <v>321</v>
      </c>
      <c r="D121" t="s">
        <v>322</v>
      </c>
      <c r="E121" t="s">
        <v>323</v>
      </c>
      <c r="F121" t="s">
        <v>23</v>
      </c>
      <c r="G121">
        <v>1185803.8</v>
      </c>
      <c r="I121">
        <v>1185803.8</v>
      </c>
      <c r="J121">
        <v>263971.93</v>
      </c>
      <c r="L121">
        <v>263971.93</v>
      </c>
      <c r="M121">
        <v>8918767981</v>
      </c>
      <c r="N121">
        <v>9735248647</v>
      </c>
      <c r="O121">
        <v>5.2999999999999999E-2</v>
      </c>
      <c r="P121" t="s">
        <v>294</v>
      </c>
      <c r="Q121">
        <v>3.5000000000000003E-2</v>
      </c>
      <c r="R121">
        <v>0.02</v>
      </c>
      <c r="T121">
        <v>279810.25</v>
      </c>
    </row>
    <row r="122" spans="1:20" x14ac:dyDescent="0.25">
      <c r="A122">
        <v>2020</v>
      </c>
      <c r="B122">
        <v>5</v>
      </c>
      <c r="C122" t="s">
        <v>324</v>
      </c>
      <c r="D122" t="s">
        <v>325</v>
      </c>
      <c r="E122" t="s">
        <v>326</v>
      </c>
      <c r="F122" t="s">
        <v>23</v>
      </c>
      <c r="G122">
        <v>610613.87</v>
      </c>
      <c r="H122">
        <v>314892.14</v>
      </c>
      <c r="I122">
        <v>295721.73</v>
      </c>
      <c r="J122">
        <v>140008.46</v>
      </c>
      <c r="K122">
        <v>73499.73</v>
      </c>
      <c r="L122">
        <v>66508.73</v>
      </c>
      <c r="M122">
        <v>2294249274</v>
      </c>
      <c r="N122">
        <v>2405700966</v>
      </c>
      <c r="O122">
        <v>5.2999999999999999E-2</v>
      </c>
      <c r="P122" t="s">
        <v>294</v>
      </c>
      <c r="Q122">
        <v>3.5000000000000003E-2</v>
      </c>
      <c r="R122">
        <v>0.02</v>
      </c>
      <c r="T122">
        <v>70499.25</v>
      </c>
    </row>
    <row r="123" spans="1:20" x14ac:dyDescent="0.25">
      <c r="A123">
        <v>2020</v>
      </c>
      <c r="B123">
        <v>5</v>
      </c>
      <c r="C123" t="s">
        <v>327</v>
      </c>
      <c r="D123" t="s">
        <v>328</v>
      </c>
      <c r="E123" t="s">
        <v>329</v>
      </c>
      <c r="F123" t="s">
        <v>23</v>
      </c>
      <c r="G123">
        <v>1268301.53</v>
      </c>
      <c r="H123">
        <v>777676.1</v>
      </c>
      <c r="I123">
        <v>490625.42</v>
      </c>
      <c r="J123">
        <v>270961.05</v>
      </c>
      <c r="K123">
        <v>165826.10999999999</v>
      </c>
      <c r="L123">
        <v>105134.93</v>
      </c>
      <c r="M123">
        <v>3721811370</v>
      </c>
      <c r="N123">
        <v>3707723967</v>
      </c>
      <c r="O123">
        <v>5.2999999999999999E-2</v>
      </c>
      <c r="P123" t="s">
        <v>294</v>
      </c>
      <c r="Q123">
        <v>3.5000000000000003E-2</v>
      </c>
      <c r="R123">
        <v>0.02</v>
      </c>
      <c r="T123">
        <v>111443.03</v>
      </c>
    </row>
    <row r="124" spans="1:20" x14ac:dyDescent="0.25">
      <c r="A124">
        <v>2020</v>
      </c>
      <c r="B124">
        <v>5</v>
      </c>
      <c r="C124" t="s">
        <v>330</v>
      </c>
      <c r="D124" t="s">
        <v>331</v>
      </c>
      <c r="E124" t="s">
        <v>332</v>
      </c>
      <c r="F124" t="s">
        <v>23</v>
      </c>
      <c r="G124">
        <v>8429.6</v>
      </c>
      <c r="H124">
        <v>4085.69</v>
      </c>
      <c r="I124">
        <v>4343.91</v>
      </c>
      <c r="J124">
        <v>7066.98</v>
      </c>
      <c r="K124">
        <v>4085.69</v>
      </c>
      <c r="L124">
        <v>2981.29</v>
      </c>
      <c r="M124">
        <v>96291662.5</v>
      </c>
      <c r="N124">
        <v>114386508.5</v>
      </c>
      <c r="O124">
        <v>5.2999999999999999E-2</v>
      </c>
      <c r="P124" t="s">
        <v>294</v>
      </c>
      <c r="Q124">
        <v>3.5000000000000003E-2</v>
      </c>
      <c r="R124">
        <v>0.02</v>
      </c>
      <c r="T124">
        <v>3160.17</v>
      </c>
    </row>
    <row r="125" spans="1:20" x14ac:dyDescent="0.25">
      <c r="A125">
        <v>2020</v>
      </c>
      <c r="B125">
        <v>5</v>
      </c>
      <c r="C125" t="s">
        <v>333</v>
      </c>
      <c r="D125" t="s">
        <v>334</v>
      </c>
      <c r="E125" t="s">
        <v>335</v>
      </c>
      <c r="F125" t="s">
        <v>23</v>
      </c>
      <c r="G125">
        <v>63539.91</v>
      </c>
      <c r="I125">
        <v>63539.91</v>
      </c>
      <c r="J125">
        <v>13272.07</v>
      </c>
      <c r="L125">
        <v>13272.07</v>
      </c>
      <c r="M125">
        <v>585282720.89999998</v>
      </c>
      <c r="N125">
        <v>587083460.29999995</v>
      </c>
      <c r="O125">
        <v>5.2999999999999999E-2</v>
      </c>
      <c r="P125" t="s">
        <v>294</v>
      </c>
      <c r="Q125">
        <v>3.5000000000000003E-2</v>
      </c>
      <c r="R125">
        <v>1.6E-2</v>
      </c>
      <c r="T125">
        <v>14068.39</v>
      </c>
    </row>
    <row r="126" spans="1:20" x14ac:dyDescent="0.25">
      <c r="A126">
        <v>2020</v>
      </c>
      <c r="B126">
        <v>5</v>
      </c>
      <c r="C126" t="s">
        <v>336</v>
      </c>
      <c r="D126" t="s">
        <v>337</v>
      </c>
      <c r="E126" t="s">
        <v>338</v>
      </c>
      <c r="F126" t="s">
        <v>23</v>
      </c>
      <c r="G126">
        <v>115099.39</v>
      </c>
      <c r="I126">
        <v>115099.39</v>
      </c>
      <c r="J126">
        <v>27422.1</v>
      </c>
      <c r="L126">
        <v>27422.1</v>
      </c>
      <c r="M126">
        <v>947633163.79999995</v>
      </c>
      <c r="N126">
        <v>990195166</v>
      </c>
      <c r="O126">
        <v>5.2999999999999999E-2</v>
      </c>
      <c r="P126" t="s">
        <v>339</v>
      </c>
      <c r="Q126">
        <v>3.5000000000000003E-2</v>
      </c>
      <c r="R126">
        <v>0.02</v>
      </c>
      <c r="T126">
        <v>29067.42</v>
      </c>
    </row>
    <row r="127" spans="1:20" x14ac:dyDescent="0.25">
      <c r="A127">
        <v>2020</v>
      </c>
      <c r="B127">
        <v>5</v>
      </c>
      <c r="C127" t="s">
        <v>340</v>
      </c>
      <c r="D127" t="s">
        <v>341</v>
      </c>
      <c r="E127" t="s">
        <v>342</v>
      </c>
      <c r="F127" t="s">
        <v>23</v>
      </c>
      <c r="G127">
        <v>2976078.69</v>
      </c>
      <c r="H127">
        <v>1827354.14</v>
      </c>
      <c r="I127">
        <v>1148724.55</v>
      </c>
      <c r="J127">
        <v>635693.28</v>
      </c>
      <c r="K127">
        <v>390374.18</v>
      </c>
      <c r="L127">
        <v>245319.1</v>
      </c>
      <c r="M127">
        <v>8510815976</v>
      </c>
      <c r="N127">
        <v>8825066861</v>
      </c>
      <c r="O127">
        <v>5.2999999999999999E-2</v>
      </c>
      <c r="P127" t="s">
        <v>294</v>
      </c>
      <c r="Q127">
        <v>3.5000000000000003E-2</v>
      </c>
      <c r="R127">
        <v>0.02</v>
      </c>
      <c r="T127">
        <v>260038.24</v>
      </c>
    </row>
    <row r="128" spans="1:20" x14ac:dyDescent="0.25">
      <c r="A128">
        <v>2020</v>
      </c>
      <c r="B128">
        <v>5</v>
      </c>
      <c r="C128" t="s">
        <v>343</v>
      </c>
      <c r="D128" t="s">
        <v>344</v>
      </c>
      <c r="E128" t="s">
        <v>345</v>
      </c>
      <c r="F128" t="s">
        <v>23</v>
      </c>
      <c r="G128">
        <v>581364.37</v>
      </c>
      <c r="H128">
        <v>298952.3</v>
      </c>
      <c r="I128">
        <v>282412.07</v>
      </c>
      <c r="J128">
        <v>176136.74</v>
      </c>
      <c r="K128">
        <v>105774.33</v>
      </c>
      <c r="L128">
        <v>70362.41</v>
      </c>
      <c r="M128">
        <v>2375556859</v>
      </c>
      <c r="N128">
        <v>2596719826</v>
      </c>
      <c r="O128">
        <v>5.2999999999999999E-2</v>
      </c>
      <c r="P128" t="s">
        <v>294</v>
      </c>
      <c r="Q128">
        <v>3.5000000000000003E-2</v>
      </c>
      <c r="R128">
        <v>0.02</v>
      </c>
      <c r="T128">
        <v>74584.149999999994</v>
      </c>
    </row>
    <row r="129" spans="1:20" x14ac:dyDescent="0.25">
      <c r="A129">
        <v>2020</v>
      </c>
      <c r="B129">
        <v>5</v>
      </c>
      <c r="C129" t="s">
        <v>346</v>
      </c>
      <c r="D129" t="s">
        <v>347</v>
      </c>
      <c r="E129" t="s">
        <v>348</v>
      </c>
      <c r="F129" t="s">
        <v>23</v>
      </c>
      <c r="G129">
        <v>1258573.93</v>
      </c>
      <c r="H129">
        <v>770040.71</v>
      </c>
      <c r="I129">
        <v>488533.23</v>
      </c>
      <c r="J129">
        <v>268977.71999999997</v>
      </c>
      <c r="K129">
        <v>165649.88</v>
      </c>
      <c r="L129">
        <v>103327.85</v>
      </c>
      <c r="M129">
        <v>3599880085</v>
      </c>
      <c r="N129">
        <v>3701954414</v>
      </c>
      <c r="O129">
        <v>5.2999999999999999E-2</v>
      </c>
      <c r="P129" t="s">
        <v>294</v>
      </c>
      <c r="Q129">
        <v>3.5000000000000003E-2</v>
      </c>
      <c r="R129">
        <v>0.02</v>
      </c>
      <c r="T129">
        <v>109527.52</v>
      </c>
    </row>
    <row r="130" spans="1:20" x14ac:dyDescent="0.25">
      <c r="A130">
        <v>2020</v>
      </c>
      <c r="B130">
        <v>5</v>
      </c>
      <c r="C130" t="s">
        <v>349</v>
      </c>
      <c r="D130" t="s">
        <v>350</v>
      </c>
      <c r="E130" t="s">
        <v>351</v>
      </c>
      <c r="F130" t="s">
        <v>23</v>
      </c>
      <c r="G130">
        <v>5109293.76</v>
      </c>
      <c r="H130">
        <v>4140454.92</v>
      </c>
      <c r="I130">
        <v>968838.84</v>
      </c>
      <c r="J130">
        <v>1069012.43</v>
      </c>
      <c r="K130">
        <v>867155.24</v>
      </c>
      <c r="L130">
        <v>201857.2</v>
      </c>
      <c r="M130">
        <v>14178611155</v>
      </c>
      <c r="N130">
        <v>14350539327</v>
      </c>
      <c r="O130">
        <v>5.2999999999999999E-2</v>
      </c>
      <c r="P130" t="s">
        <v>294</v>
      </c>
      <c r="Q130">
        <v>3.5000000000000003E-2</v>
      </c>
      <c r="R130">
        <v>0.01</v>
      </c>
      <c r="T130">
        <v>213968.63</v>
      </c>
    </row>
    <row r="131" spans="1:20" x14ac:dyDescent="0.25">
      <c r="A131">
        <v>2020</v>
      </c>
      <c r="B131">
        <v>5</v>
      </c>
      <c r="C131" t="s">
        <v>352</v>
      </c>
      <c r="D131" t="s">
        <v>353</v>
      </c>
      <c r="E131" t="s">
        <v>354</v>
      </c>
      <c r="F131" t="s">
        <v>23</v>
      </c>
      <c r="G131">
        <v>1832843.28</v>
      </c>
      <c r="H131">
        <v>956440.11</v>
      </c>
      <c r="I131">
        <v>876403.17</v>
      </c>
      <c r="J131">
        <v>529358.67000000004</v>
      </c>
      <c r="K131">
        <v>326613.13</v>
      </c>
      <c r="L131">
        <v>202745.54</v>
      </c>
      <c r="M131">
        <v>7094803706</v>
      </c>
      <c r="N131">
        <v>7232547971</v>
      </c>
      <c r="O131">
        <v>5.2999999999999999E-2</v>
      </c>
      <c r="P131" t="s">
        <v>339</v>
      </c>
      <c r="Q131">
        <v>3.5000000000000003E-2</v>
      </c>
      <c r="R131">
        <v>0.02</v>
      </c>
      <c r="T131">
        <v>214910.28</v>
      </c>
    </row>
    <row r="132" spans="1:20" x14ac:dyDescent="0.25">
      <c r="A132">
        <v>2020</v>
      </c>
      <c r="B132">
        <v>5</v>
      </c>
      <c r="C132" t="s">
        <v>355</v>
      </c>
      <c r="D132" t="s">
        <v>356</v>
      </c>
      <c r="E132" t="s">
        <v>357</v>
      </c>
      <c r="F132" t="s">
        <v>23</v>
      </c>
      <c r="G132">
        <v>771245.55</v>
      </c>
      <c r="H132">
        <v>441969.64</v>
      </c>
      <c r="I132">
        <v>329275.90999999997</v>
      </c>
      <c r="J132">
        <v>162916.91</v>
      </c>
      <c r="K132">
        <v>93412.02</v>
      </c>
      <c r="L132">
        <v>69504.899999999994</v>
      </c>
      <c r="M132">
        <v>2425689655</v>
      </c>
      <c r="N132">
        <v>2485989602</v>
      </c>
      <c r="O132">
        <v>5.2999999999999999E-2</v>
      </c>
      <c r="P132" t="s">
        <v>294</v>
      </c>
      <c r="Q132">
        <v>3.5000000000000003E-2</v>
      </c>
      <c r="R132">
        <v>0.02</v>
      </c>
      <c r="T132">
        <v>73675.19</v>
      </c>
    </row>
    <row r="133" spans="1:20" x14ac:dyDescent="0.25">
      <c r="A133">
        <v>2020</v>
      </c>
      <c r="B133">
        <v>5</v>
      </c>
      <c r="C133" t="s">
        <v>358</v>
      </c>
      <c r="D133" t="s">
        <v>359</v>
      </c>
      <c r="E133" t="s">
        <v>360</v>
      </c>
      <c r="F133" t="s">
        <v>23</v>
      </c>
      <c r="G133">
        <v>1977136.55</v>
      </c>
      <c r="H133">
        <v>1210977.02</v>
      </c>
      <c r="I133">
        <v>766159.53</v>
      </c>
      <c r="J133">
        <v>1773953.61</v>
      </c>
      <c r="K133">
        <v>1611997.33</v>
      </c>
      <c r="L133">
        <v>161956.28</v>
      </c>
      <c r="M133">
        <v>5712882209</v>
      </c>
      <c r="N133">
        <v>5732028565</v>
      </c>
      <c r="O133">
        <v>5.2999999999999999E-2</v>
      </c>
      <c r="P133" t="s">
        <v>294</v>
      </c>
      <c r="Q133">
        <v>3.5000000000000003E-2</v>
      </c>
      <c r="R133">
        <v>0.02</v>
      </c>
      <c r="T133">
        <v>171673.66</v>
      </c>
    </row>
    <row r="134" spans="1:20" x14ac:dyDescent="0.25">
      <c r="A134">
        <v>2020</v>
      </c>
      <c r="B134">
        <v>5</v>
      </c>
      <c r="C134" t="s">
        <v>361</v>
      </c>
      <c r="D134" t="s">
        <v>362</v>
      </c>
      <c r="E134" t="s">
        <v>363</v>
      </c>
      <c r="F134" t="s">
        <v>23</v>
      </c>
      <c r="G134">
        <v>503762.99</v>
      </c>
      <c r="H134">
        <v>178172.77</v>
      </c>
      <c r="I134">
        <v>325590.21999999997</v>
      </c>
      <c r="J134">
        <v>70911.34</v>
      </c>
      <c r="L134">
        <v>70911.34</v>
      </c>
      <c r="M134">
        <v>2474890880</v>
      </c>
      <c r="N134">
        <v>2536177108</v>
      </c>
      <c r="O134">
        <v>5.2999999999999999E-2</v>
      </c>
      <c r="P134" t="s">
        <v>294</v>
      </c>
      <c r="Q134">
        <v>3.5000000000000003E-2</v>
      </c>
      <c r="R134">
        <v>0.02</v>
      </c>
      <c r="T134">
        <v>75166.02</v>
      </c>
    </row>
    <row r="135" spans="1:20" x14ac:dyDescent="0.25">
      <c r="A135">
        <v>2020</v>
      </c>
      <c r="B135">
        <v>5</v>
      </c>
      <c r="C135" t="s">
        <v>364</v>
      </c>
      <c r="D135" t="s">
        <v>367</v>
      </c>
      <c r="E135" t="s">
        <v>368</v>
      </c>
      <c r="F135" t="s">
        <v>34</v>
      </c>
      <c r="G135">
        <v>468185.29</v>
      </c>
      <c r="H135">
        <v>468185.29</v>
      </c>
      <c r="J135">
        <v>96214.32</v>
      </c>
      <c r="K135">
        <v>96214.32</v>
      </c>
      <c r="O135">
        <v>5.2999999999999999E-2</v>
      </c>
    </row>
    <row r="136" spans="1:20" x14ac:dyDescent="0.25">
      <c r="A136">
        <v>2020</v>
      </c>
      <c r="B136">
        <v>5</v>
      </c>
      <c r="C136" t="s">
        <v>364</v>
      </c>
      <c r="D136" t="s">
        <v>365</v>
      </c>
      <c r="E136" t="s">
        <v>366</v>
      </c>
      <c r="F136" t="s">
        <v>34</v>
      </c>
      <c r="G136">
        <v>66340.490000000005</v>
      </c>
      <c r="H136">
        <v>66340.490000000005</v>
      </c>
      <c r="J136">
        <v>20627.080000000002</v>
      </c>
      <c r="K136">
        <v>20627.080000000002</v>
      </c>
      <c r="O136">
        <v>5.2999999999999999E-2</v>
      </c>
    </row>
    <row r="137" spans="1:20" x14ac:dyDescent="0.25">
      <c r="A137">
        <v>2020</v>
      </c>
      <c r="B137">
        <v>6</v>
      </c>
      <c r="C137" t="s">
        <v>286</v>
      </c>
      <c r="D137" t="s">
        <v>287</v>
      </c>
      <c r="E137" t="s">
        <v>288</v>
      </c>
      <c r="G137">
        <v>0</v>
      </c>
      <c r="J137">
        <v>0</v>
      </c>
    </row>
    <row r="138" spans="1:20" x14ac:dyDescent="0.25">
      <c r="A138">
        <v>2020</v>
      </c>
      <c r="B138">
        <v>6</v>
      </c>
      <c r="C138" t="s">
        <v>289</v>
      </c>
      <c r="D138" t="s">
        <v>290</v>
      </c>
      <c r="E138" t="s">
        <v>291</v>
      </c>
      <c r="G138">
        <v>0</v>
      </c>
      <c r="J138">
        <v>0</v>
      </c>
    </row>
    <row r="139" spans="1:20" x14ac:dyDescent="0.25">
      <c r="A139">
        <v>2020</v>
      </c>
      <c r="B139">
        <v>6</v>
      </c>
      <c r="C139" t="s">
        <v>168</v>
      </c>
      <c r="D139" t="s">
        <v>292</v>
      </c>
      <c r="E139" t="s">
        <v>293</v>
      </c>
      <c r="F139" t="s">
        <v>23</v>
      </c>
      <c r="G139">
        <v>1886055.55</v>
      </c>
      <c r="H139">
        <v>1166862.1200000001</v>
      </c>
      <c r="I139">
        <v>719193.42</v>
      </c>
      <c r="J139">
        <v>343801.22</v>
      </c>
      <c r="K139">
        <v>213790.17</v>
      </c>
      <c r="L139">
        <v>130011.05</v>
      </c>
      <c r="M139">
        <v>4502145681</v>
      </c>
      <c r="N139">
        <v>4685301766</v>
      </c>
      <c r="O139">
        <v>5.2999999999999999E-2</v>
      </c>
      <c r="P139" t="s">
        <v>294</v>
      </c>
      <c r="Q139">
        <v>3.5000000000000003E-2</v>
      </c>
      <c r="R139">
        <v>0.02</v>
      </c>
      <c r="T139">
        <v>137811.71</v>
      </c>
    </row>
    <row r="140" spans="1:20" x14ac:dyDescent="0.25">
      <c r="A140">
        <v>2020</v>
      </c>
      <c r="B140">
        <v>6</v>
      </c>
      <c r="C140" t="s">
        <v>295</v>
      </c>
      <c r="D140" t="s">
        <v>296</v>
      </c>
      <c r="E140" t="s">
        <v>297</v>
      </c>
      <c r="F140" t="s">
        <v>23</v>
      </c>
      <c r="G140">
        <v>2284446.31</v>
      </c>
      <c r="H140">
        <v>1409116.25</v>
      </c>
      <c r="I140">
        <v>875330.07</v>
      </c>
      <c r="J140">
        <v>418227.25</v>
      </c>
      <c r="K140">
        <v>260097.81</v>
      </c>
      <c r="L140">
        <v>158129.44</v>
      </c>
      <c r="M140">
        <v>5455992420</v>
      </c>
      <c r="N140">
        <v>5718487944</v>
      </c>
      <c r="O140">
        <v>5.2999999999999999E-2</v>
      </c>
      <c r="P140" t="s">
        <v>294</v>
      </c>
      <c r="Q140">
        <v>3.5000000000000003E-2</v>
      </c>
      <c r="R140">
        <v>0.02</v>
      </c>
      <c r="T140">
        <v>167617.21</v>
      </c>
    </row>
    <row r="141" spans="1:20" x14ac:dyDescent="0.25">
      <c r="A141">
        <v>2020</v>
      </c>
      <c r="B141">
        <v>6</v>
      </c>
      <c r="C141" t="s">
        <v>298</v>
      </c>
      <c r="D141" t="s">
        <v>299</v>
      </c>
      <c r="E141" t="s">
        <v>300</v>
      </c>
      <c r="F141" t="s">
        <v>23</v>
      </c>
      <c r="G141">
        <v>159144.10999999999</v>
      </c>
      <c r="H141">
        <v>159144.10999999999</v>
      </c>
      <c r="J141">
        <v>159144.10999999999</v>
      </c>
      <c r="K141">
        <v>159144.10999999999</v>
      </c>
      <c r="O141">
        <v>5.2999999999999999E-2</v>
      </c>
      <c r="P141" t="s">
        <v>301</v>
      </c>
      <c r="Q141">
        <v>0</v>
      </c>
      <c r="R141">
        <v>0</v>
      </c>
    </row>
    <row r="142" spans="1:20" x14ac:dyDescent="0.25">
      <c r="A142">
        <v>2020</v>
      </c>
      <c r="B142">
        <v>6</v>
      </c>
      <c r="C142" t="s">
        <v>302</v>
      </c>
      <c r="D142" t="s">
        <v>303</v>
      </c>
      <c r="E142" t="s">
        <v>304</v>
      </c>
      <c r="F142" t="s">
        <v>23</v>
      </c>
      <c r="G142">
        <v>870218.77</v>
      </c>
      <c r="H142">
        <v>503758.89</v>
      </c>
      <c r="I142">
        <v>366459.89</v>
      </c>
      <c r="J142">
        <v>249477.17</v>
      </c>
      <c r="K142">
        <v>180533.9</v>
      </c>
      <c r="L142">
        <v>68943.28</v>
      </c>
      <c r="M142">
        <v>2383152509</v>
      </c>
      <c r="N142">
        <v>2488839054</v>
      </c>
      <c r="O142">
        <v>5.2999999999999999E-2</v>
      </c>
      <c r="P142" t="s">
        <v>294</v>
      </c>
      <c r="Q142">
        <v>3.5000000000000003E-2</v>
      </c>
      <c r="R142">
        <v>0.02</v>
      </c>
      <c r="T142">
        <v>73079.87</v>
      </c>
    </row>
    <row r="143" spans="1:20" x14ac:dyDescent="0.25">
      <c r="A143">
        <v>2020</v>
      </c>
      <c r="B143">
        <v>6</v>
      </c>
      <c r="C143" t="s">
        <v>305</v>
      </c>
      <c r="D143" t="s">
        <v>306</v>
      </c>
      <c r="E143" t="s">
        <v>307</v>
      </c>
      <c r="F143" t="s">
        <v>23</v>
      </c>
      <c r="G143">
        <v>1154500.8500000001</v>
      </c>
      <c r="H143">
        <v>628222.02</v>
      </c>
      <c r="I143">
        <v>526278.84</v>
      </c>
      <c r="J143">
        <v>289549.5</v>
      </c>
      <c r="K143">
        <v>180256.01</v>
      </c>
      <c r="L143">
        <v>109293.49</v>
      </c>
      <c r="M143">
        <v>3758253279</v>
      </c>
      <c r="N143">
        <v>3965153343</v>
      </c>
      <c r="O143">
        <v>5.2999999999999999E-2</v>
      </c>
      <c r="P143" t="s">
        <v>294</v>
      </c>
      <c r="Q143">
        <v>3.5000000000000003E-2</v>
      </c>
      <c r="R143">
        <v>0.02</v>
      </c>
      <c r="T143">
        <v>115851.1</v>
      </c>
    </row>
    <row r="144" spans="1:20" x14ac:dyDescent="0.25">
      <c r="A144">
        <v>2020</v>
      </c>
      <c r="B144">
        <v>6</v>
      </c>
      <c r="C144" t="s">
        <v>308</v>
      </c>
      <c r="D144" t="s">
        <v>309</v>
      </c>
      <c r="E144" t="s">
        <v>310</v>
      </c>
      <c r="F144" t="s">
        <v>23</v>
      </c>
      <c r="G144">
        <v>2149770.7400000002</v>
      </c>
      <c r="H144">
        <v>1327279.56</v>
      </c>
      <c r="I144">
        <v>822491.18</v>
      </c>
      <c r="J144">
        <v>386082.64</v>
      </c>
      <c r="K144">
        <v>241042.66</v>
      </c>
      <c r="L144">
        <v>145039.98000000001</v>
      </c>
      <c r="M144">
        <v>5041936313</v>
      </c>
      <c r="N144">
        <v>5207555445</v>
      </c>
      <c r="O144">
        <v>5.2999999999999999E-2</v>
      </c>
      <c r="P144" t="s">
        <v>294</v>
      </c>
      <c r="Q144">
        <v>3.5000000000000003E-2</v>
      </c>
      <c r="R144">
        <v>0.02</v>
      </c>
      <c r="T144">
        <v>153742.38</v>
      </c>
    </row>
    <row r="145" spans="1:20" x14ac:dyDescent="0.25">
      <c r="A145">
        <v>2020</v>
      </c>
      <c r="B145">
        <v>6</v>
      </c>
      <c r="C145" t="s">
        <v>311</v>
      </c>
      <c r="D145" t="s">
        <v>312</v>
      </c>
      <c r="E145" t="s">
        <v>313</v>
      </c>
      <c r="F145" t="s">
        <v>23</v>
      </c>
      <c r="G145">
        <v>382003.19</v>
      </c>
      <c r="I145">
        <v>382003.19</v>
      </c>
      <c r="J145">
        <v>69079.899999999994</v>
      </c>
      <c r="L145">
        <v>69079.899999999994</v>
      </c>
      <c r="M145">
        <v>2766444291</v>
      </c>
      <c r="N145">
        <v>2902564667</v>
      </c>
      <c r="O145">
        <v>5.2999999999999999E-2</v>
      </c>
      <c r="P145" t="s">
        <v>314</v>
      </c>
      <c r="Q145">
        <v>3.7499999999999999E-2</v>
      </c>
      <c r="R145">
        <v>0.02</v>
      </c>
      <c r="T145">
        <v>73224.7</v>
      </c>
    </row>
    <row r="146" spans="1:20" x14ac:dyDescent="0.25">
      <c r="A146">
        <v>2020</v>
      </c>
      <c r="B146">
        <v>6</v>
      </c>
      <c r="C146" t="s">
        <v>315</v>
      </c>
      <c r="D146" t="s">
        <v>316</v>
      </c>
      <c r="E146" t="s">
        <v>317</v>
      </c>
      <c r="F146" t="s">
        <v>23</v>
      </c>
      <c r="G146">
        <v>-605209.81999999995</v>
      </c>
      <c r="H146">
        <v>-605209.81999999995</v>
      </c>
      <c r="J146">
        <v>89554.48</v>
      </c>
      <c r="K146">
        <v>89554.48</v>
      </c>
      <c r="O146">
        <v>5.2999999999999999E-2</v>
      </c>
      <c r="P146" t="s">
        <v>301</v>
      </c>
      <c r="Q146">
        <v>0</v>
      </c>
      <c r="R146">
        <v>0</v>
      </c>
    </row>
    <row r="147" spans="1:20" x14ac:dyDescent="0.25">
      <c r="A147">
        <v>2020</v>
      </c>
      <c r="B147">
        <v>6</v>
      </c>
      <c r="C147" t="s">
        <v>318</v>
      </c>
      <c r="D147" t="s">
        <v>319</v>
      </c>
      <c r="E147" t="s">
        <v>320</v>
      </c>
      <c r="F147" t="s">
        <v>23</v>
      </c>
      <c r="G147">
        <v>184810.83</v>
      </c>
      <c r="H147">
        <v>55786.26</v>
      </c>
      <c r="I147">
        <v>129024.56</v>
      </c>
      <c r="J147">
        <v>60442.31</v>
      </c>
      <c r="K147">
        <v>37659.81</v>
      </c>
      <c r="L147">
        <v>22782.49</v>
      </c>
      <c r="M147">
        <v>783054976.89999998</v>
      </c>
      <c r="N147">
        <v>826907947.70000005</v>
      </c>
      <c r="O147">
        <v>5.2999999999999999E-2</v>
      </c>
      <c r="P147" t="s">
        <v>294</v>
      </c>
      <c r="Q147">
        <v>3.5000000000000003E-2</v>
      </c>
      <c r="R147">
        <v>0.02</v>
      </c>
      <c r="T147">
        <v>24149.439999999999</v>
      </c>
    </row>
    <row r="148" spans="1:20" x14ac:dyDescent="0.25">
      <c r="A148">
        <v>2020</v>
      </c>
      <c r="B148">
        <v>6</v>
      </c>
      <c r="C148" t="s">
        <v>321</v>
      </c>
      <c r="D148" t="s">
        <v>322</v>
      </c>
      <c r="E148" t="s">
        <v>323</v>
      </c>
      <c r="F148" t="s">
        <v>23</v>
      </c>
      <c r="G148">
        <v>1468167.96</v>
      </c>
      <c r="I148">
        <v>1468167.96</v>
      </c>
      <c r="J148">
        <v>282364.15000000002</v>
      </c>
      <c r="L148">
        <v>282364.15000000002</v>
      </c>
      <c r="M148">
        <v>9735248647</v>
      </c>
      <c r="N148">
        <v>10218484920</v>
      </c>
      <c r="O148">
        <v>5.2999999999999999E-2</v>
      </c>
      <c r="P148" t="s">
        <v>294</v>
      </c>
      <c r="Q148">
        <v>3.5000000000000003E-2</v>
      </c>
      <c r="R148">
        <v>0.02</v>
      </c>
      <c r="T148">
        <v>299306</v>
      </c>
    </row>
    <row r="149" spans="1:20" x14ac:dyDescent="0.25">
      <c r="A149">
        <v>2020</v>
      </c>
      <c r="B149">
        <v>6</v>
      </c>
      <c r="C149" t="s">
        <v>324</v>
      </c>
      <c r="D149" t="s">
        <v>325</v>
      </c>
      <c r="E149" t="s">
        <v>326</v>
      </c>
      <c r="F149" t="s">
        <v>23</v>
      </c>
      <c r="G149">
        <v>761434.62</v>
      </c>
      <c r="H149">
        <v>396279.56</v>
      </c>
      <c r="I149">
        <v>365155.07</v>
      </c>
      <c r="J149">
        <v>150820.75</v>
      </c>
      <c r="K149">
        <v>81387.42</v>
      </c>
      <c r="L149">
        <v>69433.34</v>
      </c>
      <c r="M149">
        <v>2405700966</v>
      </c>
      <c r="N149">
        <v>2500921625</v>
      </c>
      <c r="O149">
        <v>5.2999999999999999E-2</v>
      </c>
      <c r="P149" t="s">
        <v>294</v>
      </c>
      <c r="Q149">
        <v>3.5000000000000003E-2</v>
      </c>
      <c r="R149">
        <v>0.02</v>
      </c>
      <c r="T149">
        <v>73599.34</v>
      </c>
    </row>
    <row r="150" spans="1:20" x14ac:dyDescent="0.25">
      <c r="A150">
        <v>2020</v>
      </c>
      <c r="B150">
        <v>6</v>
      </c>
      <c r="C150" t="s">
        <v>327</v>
      </c>
      <c r="D150" t="s">
        <v>328</v>
      </c>
      <c r="E150" t="s">
        <v>329</v>
      </c>
      <c r="F150" t="s">
        <v>23</v>
      </c>
      <c r="G150">
        <v>1552617.41</v>
      </c>
      <c r="H150">
        <v>955570.88</v>
      </c>
      <c r="I150">
        <v>597046.54</v>
      </c>
      <c r="J150">
        <v>284315.88</v>
      </c>
      <c r="K150">
        <v>177894.77</v>
      </c>
      <c r="L150">
        <v>106421.11</v>
      </c>
      <c r="M150">
        <v>3707723967</v>
      </c>
      <c r="N150">
        <v>3812701220</v>
      </c>
      <c r="O150">
        <v>5.2999999999999999E-2</v>
      </c>
      <c r="P150" t="s">
        <v>294</v>
      </c>
      <c r="Q150">
        <v>3.5000000000000003E-2</v>
      </c>
      <c r="R150">
        <v>0.02</v>
      </c>
      <c r="T150">
        <v>112806.38</v>
      </c>
    </row>
    <row r="151" spans="1:20" x14ac:dyDescent="0.25">
      <c r="A151">
        <v>2020</v>
      </c>
      <c r="B151">
        <v>6</v>
      </c>
      <c r="C151" t="s">
        <v>330</v>
      </c>
      <c r="D151" t="s">
        <v>331</v>
      </c>
      <c r="E151" t="s">
        <v>332</v>
      </c>
      <c r="F151" t="s">
        <v>23</v>
      </c>
      <c r="G151">
        <v>18898.400000000001</v>
      </c>
      <c r="H151">
        <v>10074.780000000001</v>
      </c>
      <c r="I151">
        <v>8823.6200000000008</v>
      </c>
      <c r="J151">
        <v>10468.799999999999</v>
      </c>
      <c r="K151">
        <v>5989.09</v>
      </c>
      <c r="L151">
        <v>4479.71</v>
      </c>
      <c r="M151">
        <v>114386508.5</v>
      </c>
      <c r="N151">
        <v>202179482.59999999</v>
      </c>
      <c r="O151">
        <v>5.2999999999999999E-2</v>
      </c>
      <c r="P151" t="s">
        <v>294</v>
      </c>
      <c r="Q151">
        <v>3.5000000000000003E-2</v>
      </c>
      <c r="R151">
        <v>0.02</v>
      </c>
      <c r="T151">
        <v>4748.49</v>
      </c>
    </row>
    <row r="152" spans="1:20" x14ac:dyDescent="0.25">
      <c r="A152">
        <v>2020</v>
      </c>
      <c r="B152">
        <v>6</v>
      </c>
      <c r="C152" t="s">
        <v>333</v>
      </c>
      <c r="D152" t="s">
        <v>334</v>
      </c>
      <c r="E152" t="s">
        <v>335</v>
      </c>
      <c r="F152" t="s">
        <v>23</v>
      </c>
      <c r="G152">
        <v>77075.990000000005</v>
      </c>
      <c r="I152">
        <v>77075.990000000005</v>
      </c>
      <c r="J152">
        <v>13536.08</v>
      </c>
      <c r="L152">
        <v>13536.08</v>
      </c>
      <c r="M152">
        <v>587083460.29999995</v>
      </c>
      <c r="N152">
        <v>608603761.89999998</v>
      </c>
      <c r="O152">
        <v>5.2999999999999999E-2</v>
      </c>
      <c r="P152" t="s">
        <v>294</v>
      </c>
      <c r="Q152">
        <v>3.5000000000000003E-2</v>
      </c>
      <c r="R152">
        <v>1.6E-2</v>
      </c>
      <c r="T152">
        <v>14348.25</v>
      </c>
    </row>
    <row r="153" spans="1:20" x14ac:dyDescent="0.25">
      <c r="A153">
        <v>2020</v>
      </c>
      <c r="B153">
        <v>6</v>
      </c>
      <c r="C153" t="s">
        <v>336</v>
      </c>
      <c r="D153" t="s">
        <v>337</v>
      </c>
      <c r="E153" t="s">
        <v>338</v>
      </c>
      <c r="F153" t="s">
        <v>23</v>
      </c>
      <c r="G153">
        <v>143789.19</v>
      </c>
      <c r="I153">
        <v>143789.19</v>
      </c>
      <c r="J153">
        <v>28689.8</v>
      </c>
      <c r="L153">
        <v>28689.8</v>
      </c>
      <c r="M153">
        <v>990195166</v>
      </c>
      <c r="N153">
        <v>1037217304</v>
      </c>
      <c r="O153">
        <v>5.2999999999999999E-2</v>
      </c>
      <c r="P153" t="s">
        <v>339</v>
      </c>
      <c r="Q153">
        <v>3.5000000000000003E-2</v>
      </c>
      <c r="R153">
        <v>0.02</v>
      </c>
      <c r="T153">
        <v>30411.19</v>
      </c>
    </row>
    <row r="154" spans="1:20" x14ac:dyDescent="0.25">
      <c r="A154">
        <v>2020</v>
      </c>
      <c r="B154">
        <v>6</v>
      </c>
      <c r="C154" t="s">
        <v>340</v>
      </c>
      <c r="D154" t="s">
        <v>341</v>
      </c>
      <c r="E154" t="s">
        <v>342</v>
      </c>
      <c r="F154" t="s">
        <v>23</v>
      </c>
      <c r="G154">
        <v>3650597.4</v>
      </c>
      <c r="H154">
        <v>2246142.75</v>
      </c>
      <c r="I154">
        <v>1404454.65</v>
      </c>
      <c r="J154">
        <v>674518.71</v>
      </c>
      <c r="K154">
        <v>418788.61</v>
      </c>
      <c r="L154">
        <v>255730.1</v>
      </c>
      <c r="M154">
        <v>8825066861</v>
      </c>
      <c r="N154">
        <v>9246526935</v>
      </c>
      <c r="O154">
        <v>5.2999999999999999E-2</v>
      </c>
      <c r="P154" t="s">
        <v>294</v>
      </c>
      <c r="Q154">
        <v>3.5000000000000003E-2</v>
      </c>
      <c r="R154">
        <v>0.02</v>
      </c>
      <c r="T154">
        <v>271073.90999999997</v>
      </c>
    </row>
    <row r="155" spans="1:20" x14ac:dyDescent="0.25">
      <c r="A155">
        <v>2020</v>
      </c>
      <c r="B155">
        <v>6</v>
      </c>
      <c r="C155" t="s">
        <v>343</v>
      </c>
      <c r="D155" t="s">
        <v>344</v>
      </c>
      <c r="E155" t="s">
        <v>345</v>
      </c>
      <c r="F155" t="s">
        <v>23</v>
      </c>
      <c r="G155">
        <v>775593.12</v>
      </c>
      <c r="H155">
        <v>417341.65</v>
      </c>
      <c r="I155">
        <v>358251.47</v>
      </c>
      <c r="J155">
        <v>194228.75</v>
      </c>
      <c r="K155">
        <v>118389.35</v>
      </c>
      <c r="L155">
        <v>75839.399999999994</v>
      </c>
      <c r="M155">
        <v>2596719826</v>
      </c>
      <c r="N155">
        <v>2762597899</v>
      </c>
      <c r="O155">
        <v>5.2999999999999999E-2</v>
      </c>
      <c r="P155" t="s">
        <v>294</v>
      </c>
      <c r="Q155">
        <v>3.5000000000000003E-2</v>
      </c>
      <c r="R155">
        <v>0.02</v>
      </c>
      <c r="T155">
        <v>80389.77</v>
      </c>
    </row>
    <row r="156" spans="1:20" x14ac:dyDescent="0.25">
      <c r="A156">
        <v>2020</v>
      </c>
      <c r="B156">
        <v>6</v>
      </c>
      <c r="C156" t="s">
        <v>346</v>
      </c>
      <c r="D156" t="s">
        <v>347</v>
      </c>
      <c r="E156" t="s">
        <v>348</v>
      </c>
      <c r="F156" t="s">
        <v>23</v>
      </c>
      <c r="G156">
        <v>951224.81</v>
      </c>
      <c r="H156">
        <v>356142.85</v>
      </c>
      <c r="I156">
        <v>595081.96</v>
      </c>
      <c r="J156">
        <v>-307349.13</v>
      </c>
      <c r="K156">
        <v>-413897.86</v>
      </c>
      <c r="L156">
        <v>106548.73</v>
      </c>
      <c r="M156">
        <v>3701954414</v>
      </c>
      <c r="N156">
        <v>3827489219</v>
      </c>
      <c r="O156">
        <v>5.2999999999999999E-2</v>
      </c>
      <c r="P156" t="s">
        <v>294</v>
      </c>
      <c r="Q156">
        <v>3.5000000000000003E-2</v>
      </c>
      <c r="R156">
        <v>0.02</v>
      </c>
      <c r="T156">
        <v>112941.65</v>
      </c>
    </row>
    <row r="157" spans="1:20" x14ac:dyDescent="0.25">
      <c r="A157">
        <v>2020</v>
      </c>
      <c r="B157">
        <v>6</v>
      </c>
      <c r="C157" t="s">
        <v>349</v>
      </c>
      <c r="D157" t="s">
        <v>350</v>
      </c>
      <c r="E157" t="s">
        <v>351</v>
      </c>
      <c r="F157" t="s">
        <v>23</v>
      </c>
      <c r="G157">
        <v>6250018.6500000004</v>
      </c>
      <c r="H157">
        <v>5075313.47</v>
      </c>
      <c r="I157">
        <v>1174705.18</v>
      </c>
      <c r="J157">
        <v>1140724.8899999999</v>
      </c>
      <c r="K157">
        <v>934858.55</v>
      </c>
      <c r="L157">
        <v>205866.34</v>
      </c>
      <c r="M157">
        <v>14350539327</v>
      </c>
      <c r="N157">
        <v>14745237337</v>
      </c>
      <c r="O157">
        <v>5.2999999999999999E-2</v>
      </c>
      <c r="P157" t="s">
        <v>294</v>
      </c>
      <c r="Q157">
        <v>3.5000000000000003E-2</v>
      </c>
      <c r="R157">
        <v>0.01</v>
      </c>
      <c r="T157">
        <v>218218.32</v>
      </c>
    </row>
    <row r="158" spans="1:20" x14ac:dyDescent="0.25">
      <c r="A158">
        <v>2020</v>
      </c>
      <c r="B158">
        <v>6</v>
      </c>
      <c r="C158" t="s">
        <v>352</v>
      </c>
      <c r="D158" t="s">
        <v>353</v>
      </c>
      <c r="E158" t="s">
        <v>354</v>
      </c>
      <c r="F158" t="s">
        <v>23</v>
      </c>
      <c r="G158">
        <v>2396764.5299999998</v>
      </c>
      <c r="H158">
        <v>1312555.31</v>
      </c>
      <c r="I158">
        <v>1084209.21</v>
      </c>
      <c r="J158">
        <v>563921.25</v>
      </c>
      <c r="K158">
        <v>356115.20000000001</v>
      </c>
      <c r="L158">
        <v>207806.05</v>
      </c>
      <c r="M158">
        <v>7232547971</v>
      </c>
      <c r="N158">
        <v>7452412678</v>
      </c>
      <c r="O158">
        <v>5.2999999999999999E-2</v>
      </c>
      <c r="P158" t="s">
        <v>339</v>
      </c>
      <c r="Q158">
        <v>3.5000000000000003E-2</v>
      </c>
      <c r="R158">
        <v>0.02</v>
      </c>
      <c r="T158">
        <v>220274.41</v>
      </c>
    </row>
    <row r="159" spans="1:20" x14ac:dyDescent="0.25">
      <c r="A159">
        <v>2020</v>
      </c>
      <c r="B159">
        <v>6</v>
      </c>
      <c r="C159" t="s">
        <v>355</v>
      </c>
      <c r="D159" t="s">
        <v>356</v>
      </c>
      <c r="E159" t="s">
        <v>357</v>
      </c>
      <c r="F159" t="s">
        <v>23</v>
      </c>
      <c r="G159">
        <v>942067.25</v>
      </c>
      <c r="H159">
        <v>541154.67000000004</v>
      </c>
      <c r="I159">
        <v>400912.58</v>
      </c>
      <c r="J159">
        <v>170821.69</v>
      </c>
      <c r="K159">
        <v>99185.03</v>
      </c>
      <c r="L159">
        <v>71636.66</v>
      </c>
      <c r="M159">
        <v>2485989602</v>
      </c>
      <c r="N159">
        <v>2576334704</v>
      </c>
      <c r="O159">
        <v>5.2999999999999999E-2</v>
      </c>
      <c r="P159" t="s">
        <v>294</v>
      </c>
      <c r="Q159">
        <v>3.5000000000000003E-2</v>
      </c>
      <c r="R159">
        <v>0.02</v>
      </c>
      <c r="T159">
        <v>75934.86</v>
      </c>
    </row>
    <row r="160" spans="1:20" x14ac:dyDescent="0.25">
      <c r="A160">
        <v>2020</v>
      </c>
      <c r="B160">
        <v>6</v>
      </c>
      <c r="C160" t="s">
        <v>358</v>
      </c>
      <c r="D160" t="s">
        <v>359</v>
      </c>
      <c r="E160" t="s">
        <v>360</v>
      </c>
      <c r="F160" t="s">
        <v>23</v>
      </c>
      <c r="G160">
        <v>2416942.81</v>
      </c>
      <c r="H160">
        <v>1485531.68</v>
      </c>
      <c r="I160">
        <v>931411.13</v>
      </c>
      <c r="J160">
        <v>439806.25</v>
      </c>
      <c r="K160">
        <v>274554.65999999997</v>
      </c>
      <c r="L160">
        <v>165251.59</v>
      </c>
      <c r="M160">
        <v>5732028565</v>
      </c>
      <c r="N160">
        <v>5945750755</v>
      </c>
      <c r="O160">
        <v>5.2999999999999999E-2</v>
      </c>
      <c r="P160" t="s">
        <v>294</v>
      </c>
      <c r="Q160">
        <v>3.5000000000000003E-2</v>
      </c>
      <c r="R160">
        <v>0.02</v>
      </c>
      <c r="T160">
        <v>175166.69</v>
      </c>
    </row>
    <row r="161" spans="1:20" x14ac:dyDescent="0.25">
      <c r="A161">
        <v>2020</v>
      </c>
      <c r="B161">
        <v>6</v>
      </c>
      <c r="C161" t="s">
        <v>361</v>
      </c>
      <c r="D161" t="s">
        <v>362</v>
      </c>
      <c r="E161" t="s">
        <v>363</v>
      </c>
      <c r="F161" t="s">
        <v>23</v>
      </c>
      <c r="G161">
        <v>572414.17000000004</v>
      </c>
      <c r="H161">
        <v>173651.67</v>
      </c>
      <c r="I161">
        <v>398762.5</v>
      </c>
      <c r="J161">
        <v>68651.179999999993</v>
      </c>
      <c r="K161">
        <v>-4521.1000000000004</v>
      </c>
      <c r="L161">
        <v>73172.28</v>
      </c>
      <c r="M161">
        <v>2536177108</v>
      </c>
      <c r="N161">
        <v>2634664140</v>
      </c>
      <c r="O161">
        <v>5.2999999999999999E-2</v>
      </c>
      <c r="P161" t="s">
        <v>294</v>
      </c>
      <c r="Q161">
        <v>3.5000000000000003E-2</v>
      </c>
      <c r="R161">
        <v>0.02</v>
      </c>
      <c r="T161">
        <v>77562.62</v>
      </c>
    </row>
    <row r="162" spans="1:20" x14ac:dyDescent="0.25">
      <c r="A162">
        <v>2020</v>
      </c>
      <c r="B162">
        <v>6</v>
      </c>
      <c r="C162" t="s">
        <v>364</v>
      </c>
      <c r="D162" t="s">
        <v>365</v>
      </c>
      <c r="E162" t="s">
        <v>366</v>
      </c>
      <c r="F162" t="s">
        <v>34</v>
      </c>
      <c r="G162">
        <v>88015.62</v>
      </c>
      <c r="H162">
        <v>88015.62</v>
      </c>
      <c r="J162">
        <v>21675.13</v>
      </c>
      <c r="K162">
        <v>21675.13</v>
      </c>
      <c r="O162">
        <v>5.2999999999999999E-2</v>
      </c>
      <c r="Q162">
        <v>0</v>
      </c>
      <c r="R162">
        <v>0</v>
      </c>
    </row>
    <row r="163" spans="1:20" x14ac:dyDescent="0.25">
      <c r="A163">
        <v>2020</v>
      </c>
      <c r="B163">
        <v>6</v>
      </c>
      <c r="C163" t="s">
        <v>364</v>
      </c>
      <c r="D163" t="s">
        <v>367</v>
      </c>
      <c r="E163" t="s">
        <v>368</v>
      </c>
      <c r="F163" t="s">
        <v>34</v>
      </c>
      <c r="G163">
        <v>570298.28</v>
      </c>
      <c r="H163">
        <v>570298.28</v>
      </c>
      <c r="J163">
        <v>102112.99</v>
      </c>
      <c r="K163">
        <v>102112.99</v>
      </c>
      <c r="O163">
        <v>5.2999999999999999E-2</v>
      </c>
      <c r="Q163">
        <v>0</v>
      </c>
      <c r="R163">
        <v>0</v>
      </c>
    </row>
    <row r="164" spans="1:20" x14ac:dyDescent="0.25">
      <c r="A164">
        <v>2020</v>
      </c>
      <c r="B164">
        <v>7</v>
      </c>
      <c r="C164" t="s">
        <v>286</v>
      </c>
      <c r="D164" t="s">
        <v>287</v>
      </c>
      <c r="E164" t="s">
        <v>288</v>
      </c>
      <c r="G164">
        <v>0</v>
      </c>
      <c r="J164">
        <v>0</v>
      </c>
    </row>
    <row r="165" spans="1:20" x14ac:dyDescent="0.25">
      <c r="A165">
        <v>2020</v>
      </c>
      <c r="B165">
        <v>7</v>
      </c>
      <c r="C165" t="s">
        <v>289</v>
      </c>
      <c r="D165" t="s">
        <v>290</v>
      </c>
      <c r="E165" t="s">
        <v>291</v>
      </c>
      <c r="G165">
        <v>113569.97</v>
      </c>
      <c r="H165">
        <v>113569.97</v>
      </c>
      <c r="J165">
        <v>113569.97</v>
      </c>
      <c r="K165">
        <v>113569.97</v>
      </c>
    </row>
    <row r="166" spans="1:20" x14ac:dyDescent="0.25">
      <c r="A166">
        <v>2020</v>
      </c>
      <c r="B166">
        <v>7</v>
      </c>
      <c r="C166" t="s">
        <v>168</v>
      </c>
      <c r="D166" t="s">
        <v>292</v>
      </c>
      <c r="E166" t="s">
        <v>293</v>
      </c>
      <c r="F166" t="s">
        <v>23</v>
      </c>
      <c r="G166">
        <v>2238522.7799999998</v>
      </c>
      <c r="H166">
        <v>1382500.31</v>
      </c>
      <c r="I166">
        <v>856022.47</v>
      </c>
      <c r="J166">
        <v>352467.23</v>
      </c>
      <c r="K166">
        <v>215638.19</v>
      </c>
      <c r="L166">
        <v>136829.04</v>
      </c>
      <c r="M166">
        <v>4685301766</v>
      </c>
      <c r="N166">
        <v>4983950555</v>
      </c>
      <c r="O166">
        <v>5.2999999999999999E-2</v>
      </c>
      <c r="P166" t="s">
        <v>294</v>
      </c>
      <c r="Q166">
        <v>3.5000000000000003E-2</v>
      </c>
      <c r="R166">
        <v>0.02</v>
      </c>
      <c r="T166">
        <v>145038.78</v>
      </c>
    </row>
    <row r="167" spans="1:20" x14ac:dyDescent="0.25">
      <c r="A167">
        <v>2020</v>
      </c>
      <c r="B167">
        <v>7</v>
      </c>
      <c r="C167" t="s">
        <v>295</v>
      </c>
      <c r="D167" t="s">
        <v>296</v>
      </c>
      <c r="E167" t="s">
        <v>297</v>
      </c>
      <c r="F167" t="s">
        <v>23</v>
      </c>
      <c r="G167">
        <v>2714598.51</v>
      </c>
      <c r="H167">
        <v>1671521.42</v>
      </c>
      <c r="I167">
        <v>1043077.08</v>
      </c>
      <c r="J167">
        <v>430152.19</v>
      </c>
      <c r="K167">
        <v>262405.18</v>
      </c>
      <c r="L167">
        <v>167747.01999999999</v>
      </c>
      <c r="M167">
        <v>5718487944</v>
      </c>
      <c r="N167">
        <v>6135634462</v>
      </c>
      <c r="O167">
        <v>5.2999999999999999E-2</v>
      </c>
      <c r="P167" t="s">
        <v>294</v>
      </c>
      <c r="Q167">
        <v>3.5000000000000003E-2</v>
      </c>
      <c r="R167">
        <v>0.02</v>
      </c>
      <c r="T167">
        <v>177811.84</v>
      </c>
    </row>
    <row r="168" spans="1:20" x14ac:dyDescent="0.25">
      <c r="A168">
        <v>2020</v>
      </c>
      <c r="B168">
        <v>7</v>
      </c>
      <c r="C168" t="s">
        <v>298</v>
      </c>
      <c r="D168" t="s">
        <v>299</v>
      </c>
      <c r="E168" t="s">
        <v>300</v>
      </c>
      <c r="F168" t="s">
        <v>23</v>
      </c>
      <c r="G168">
        <v>324228.28000000003</v>
      </c>
      <c r="H168">
        <v>324228.28000000003</v>
      </c>
      <c r="J168">
        <v>165084.17000000001</v>
      </c>
      <c r="K168">
        <v>165084.17000000001</v>
      </c>
      <c r="O168">
        <v>5.2999999999999999E-2</v>
      </c>
      <c r="P168" t="s">
        <v>301</v>
      </c>
      <c r="Q168">
        <v>0</v>
      </c>
      <c r="R168">
        <v>0</v>
      </c>
    </row>
    <row r="169" spans="1:20" x14ac:dyDescent="0.25">
      <c r="A169">
        <v>2020</v>
      </c>
      <c r="B169">
        <v>7</v>
      </c>
      <c r="C169" t="s">
        <v>302</v>
      </c>
      <c r="D169" t="s">
        <v>303</v>
      </c>
      <c r="E169" t="s">
        <v>304</v>
      </c>
      <c r="F169" t="s">
        <v>23</v>
      </c>
      <c r="G169">
        <v>1059334.27</v>
      </c>
      <c r="H169">
        <v>617921.73</v>
      </c>
      <c r="I169">
        <v>441412.54</v>
      </c>
      <c r="J169">
        <v>189115.49</v>
      </c>
      <c r="K169">
        <v>114162.84</v>
      </c>
      <c r="L169">
        <v>74952.649999999994</v>
      </c>
      <c r="M169">
        <v>2488839054</v>
      </c>
      <c r="N169">
        <v>2807815134</v>
      </c>
      <c r="O169">
        <v>5.2999999999999999E-2</v>
      </c>
      <c r="P169" t="s">
        <v>294</v>
      </c>
      <c r="Q169">
        <v>3.5000000000000003E-2</v>
      </c>
      <c r="R169">
        <v>0.02</v>
      </c>
      <c r="T169">
        <v>79449.81</v>
      </c>
    </row>
    <row r="170" spans="1:20" x14ac:dyDescent="0.25">
      <c r="A170">
        <v>2020</v>
      </c>
      <c r="B170">
        <v>7</v>
      </c>
      <c r="C170" t="s">
        <v>305</v>
      </c>
      <c r="D170" t="s">
        <v>306</v>
      </c>
      <c r="E170" t="s">
        <v>307</v>
      </c>
      <c r="F170" t="s">
        <v>23</v>
      </c>
      <c r="G170">
        <v>1453140.65</v>
      </c>
      <c r="H170">
        <v>810036.84</v>
      </c>
      <c r="I170">
        <v>643103.81000000006</v>
      </c>
      <c r="J170">
        <v>298639.8</v>
      </c>
      <c r="K170">
        <v>181814.82</v>
      </c>
      <c r="L170">
        <v>116824.98</v>
      </c>
      <c r="M170">
        <v>3965153343</v>
      </c>
      <c r="N170">
        <v>4290478468</v>
      </c>
      <c r="O170">
        <v>5.2999999999999999E-2</v>
      </c>
      <c r="P170" t="s">
        <v>294</v>
      </c>
      <c r="Q170">
        <v>3.5000000000000003E-2</v>
      </c>
      <c r="R170">
        <v>0.02</v>
      </c>
      <c r="T170">
        <v>123834.48</v>
      </c>
    </row>
    <row r="171" spans="1:20" x14ac:dyDescent="0.25">
      <c r="A171">
        <v>2020</v>
      </c>
      <c r="B171">
        <v>7</v>
      </c>
      <c r="C171" t="s">
        <v>308</v>
      </c>
      <c r="D171" t="s">
        <v>309</v>
      </c>
      <c r="E171" t="s">
        <v>310</v>
      </c>
      <c r="F171" t="s">
        <v>23</v>
      </c>
      <c r="G171">
        <v>2539133.25</v>
      </c>
      <c r="H171">
        <v>1566162.72</v>
      </c>
      <c r="I171">
        <v>972970.54</v>
      </c>
      <c r="J171">
        <v>389362.52</v>
      </c>
      <c r="K171">
        <v>238883.16</v>
      </c>
      <c r="L171">
        <v>150479.35</v>
      </c>
      <c r="M171">
        <v>5207555445</v>
      </c>
      <c r="N171">
        <v>5426318970</v>
      </c>
      <c r="O171">
        <v>5.2999999999999999E-2</v>
      </c>
      <c r="P171" t="s">
        <v>294</v>
      </c>
      <c r="Q171">
        <v>3.5000000000000003E-2</v>
      </c>
      <c r="R171">
        <v>0.02</v>
      </c>
      <c r="T171">
        <v>159508.12</v>
      </c>
    </row>
    <row r="172" spans="1:20" x14ac:dyDescent="0.25">
      <c r="A172">
        <v>2020</v>
      </c>
      <c r="B172">
        <v>7</v>
      </c>
      <c r="C172" t="s">
        <v>311</v>
      </c>
      <c r="D172" t="s">
        <v>312</v>
      </c>
      <c r="E172" t="s">
        <v>313</v>
      </c>
      <c r="F172" t="s">
        <v>23</v>
      </c>
      <c r="G172">
        <v>454806.84</v>
      </c>
      <c r="I172">
        <v>454806.84</v>
      </c>
      <c r="J172">
        <v>72803.649999999994</v>
      </c>
      <c r="L172">
        <v>72803.649999999994</v>
      </c>
      <c r="M172">
        <v>2902564667</v>
      </c>
      <c r="N172">
        <v>3072031966</v>
      </c>
      <c r="O172">
        <v>5.2999999999999999E-2</v>
      </c>
      <c r="P172" t="s">
        <v>314</v>
      </c>
      <c r="Q172">
        <v>3.7499999999999999E-2</v>
      </c>
      <c r="R172">
        <v>0.02</v>
      </c>
      <c r="T172">
        <v>77171.87</v>
      </c>
    </row>
    <row r="173" spans="1:20" x14ac:dyDescent="0.25">
      <c r="A173">
        <v>2020</v>
      </c>
      <c r="B173">
        <v>7</v>
      </c>
      <c r="C173" t="s">
        <v>315</v>
      </c>
      <c r="D173" t="s">
        <v>316</v>
      </c>
      <c r="E173" t="s">
        <v>317</v>
      </c>
      <c r="F173" t="s">
        <v>23</v>
      </c>
      <c r="G173">
        <v>-514762.69</v>
      </c>
      <c r="H173">
        <v>-514762.69</v>
      </c>
      <c r="J173">
        <v>90447.13</v>
      </c>
      <c r="K173">
        <v>90447.13</v>
      </c>
      <c r="O173">
        <v>5.2999999999999999E-2</v>
      </c>
      <c r="P173" t="s">
        <v>301</v>
      </c>
      <c r="Q173">
        <v>0</v>
      </c>
      <c r="R173">
        <v>0</v>
      </c>
    </row>
    <row r="174" spans="1:20" x14ac:dyDescent="0.25">
      <c r="A174">
        <v>2020</v>
      </c>
      <c r="B174">
        <v>7</v>
      </c>
      <c r="C174" t="s">
        <v>318</v>
      </c>
      <c r="D174" t="s">
        <v>319</v>
      </c>
      <c r="E174" t="s">
        <v>320</v>
      </c>
      <c r="F174" t="s">
        <v>23</v>
      </c>
      <c r="G174">
        <v>248625.09</v>
      </c>
      <c r="H174">
        <v>93781.93</v>
      </c>
      <c r="I174">
        <v>154843.15</v>
      </c>
      <c r="J174">
        <v>63814.26</v>
      </c>
      <c r="K174">
        <v>37995.67</v>
      </c>
      <c r="L174">
        <v>25818.59</v>
      </c>
      <c r="M174">
        <v>826907947.70000005</v>
      </c>
      <c r="N174">
        <v>997605943.5</v>
      </c>
      <c r="O174">
        <v>5.2999999999999999E-2</v>
      </c>
      <c r="P174" t="s">
        <v>294</v>
      </c>
      <c r="Q174">
        <v>3.5000000000000003E-2</v>
      </c>
      <c r="R174">
        <v>0.02</v>
      </c>
      <c r="T174">
        <v>27367.71</v>
      </c>
    </row>
    <row r="175" spans="1:20" x14ac:dyDescent="0.25">
      <c r="A175">
        <v>2020</v>
      </c>
      <c r="B175">
        <v>7</v>
      </c>
      <c r="C175" t="s">
        <v>321</v>
      </c>
      <c r="D175" t="s">
        <v>322</v>
      </c>
      <c r="E175" t="s">
        <v>323</v>
      </c>
      <c r="F175" t="s">
        <v>23</v>
      </c>
      <c r="G175">
        <v>1762673.96</v>
      </c>
      <c r="I175">
        <v>1762673.96</v>
      </c>
      <c r="J175">
        <v>294506</v>
      </c>
      <c r="L175">
        <v>294506</v>
      </c>
      <c r="M175">
        <v>10218484920</v>
      </c>
      <c r="N175">
        <v>10593272556</v>
      </c>
      <c r="O175">
        <v>5.2999999999999999E-2</v>
      </c>
      <c r="P175" t="s">
        <v>294</v>
      </c>
      <c r="Q175">
        <v>3.5000000000000003E-2</v>
      </c>
      <c r="R175">
        <v>0.02</v>
      </c>
      <c r="T175">
        <v>312176.36</v>
      </c>
    </row>
    <row r="176" spans="1:20" x14ac:dyDescent="0.25">
      <c r="A176">
        <v>2020</v>
      </c>
      <c r="B176">
        <v>7</v>
      </c>
      <c r="C176" t="s">
        <v>324</v>
      </c>
      <c r="D176" t="s">
        <v>325</v>
      </c>
      <c r="E176" t="s">
        <v>326</v>
      </c>
      <c r="F176" t="s">
        <v>23</v>
      </c>
      <c r="G176">
        <v>914686.17</v>
      </c>
      <c r="H176">
        <v>476322.94</v>
      </c>
      <c r="I176">
        <v>438363.23</v>
      </c>
      <c r="J176">
        <v>153251.54999999999</v>
      </c>
      <c r="K176">
        <v>80043.39</v>
      </c>
      <c r="L176">
        <v>73208.160000000003</v>
      </c>
      <c r="M176">
        <v>2500921625</v>
      </c>
      <c r="N176">
        <v>2672455329</v>
      </c>
      <c r="O176">
        <v>5.2999999999999999E-2</v>
      </c>
      <c r="P176" t="s">
        <v>294</v>
      </c>
      <c r="Q176">
        <v>3.5000000000000003E-2</v>
      </c>
      <c r="R176">
        <v>0.02</v>
      </c>
      <c r="T176">
        <v>77600.649999999994</v>
      </c>
    </row>
    <row r="177" spans="1:20" x14ac:dyDescent="0.25">
      <c r="A177">
        <v>2020</v>
      </c>
      <c r="B177">
        <v>7</v>
      </c>
      <c r="C177" t="s">
        <v>327</v>
      </c>
      <c r="D177" t="s">
        <v>328</v>
      </c>
      <c r="E177" t="s">
        <v>329</v>
      </c>
      <c r="F177" t="s">
        <v>23</v>
      </c>
      <c r="G177">
        <v>1594344.45</v>
      </c>
      <c r="H177">
        <v>886220.43</v>
      </c>
      <c r="I177">
        <v>708124.02</v>
      </c>
      <c r="J177">
        <v>41727.040000000001</v>
      </c>
      <c r="K177">
        <v>-69350.44</v>
      </c>
      <c r="L177">
        <v>111077.48</v>
      </c>
      <c r="M177">
        <v>3812701220</v>
      </c>
      <c r="N177">
        <v>4036774021</v>
      </c>
      <c r="O177">
        <v>5.2999999999999999E-2</v>
      </c>
      <c r="P177" t="s">
        <v>294</v>
      </c>
      <c r="Q177">
        <v>3.5000000000000003E-2</v>
      </c>
      <c r="R177">
        <v>0.02</v>
      </c>
      <c r="T177">
        <v>117742.13</v>
      </c>
    </row>
    <row r="178" spans="1:20" x14ac:dyDescent="0.25">
      <c r="A178">
        <v>2020</v>
      </c>
      <c r="B178">
        <v>7</v>
      </c>
      <c r="C178" t="s">
        <v>330</v>
      </c>
      <c r="D178" t="s">
        <v>331</v>
      </c>
      <c r="E178" t="s">
        <v>332</v>
      </c>
      <c r="F178" t="s">
        <v>23</v>
      </c>
      <c r="G178">
        <v>35543.660000000003</v>
      </c>
      <c r="H178">
        <v>18317.849999999999</v>
      </c>
      <c r="I178">
        <v>17225.810000000001</v>
      </c>
      <c r="J178">
        <v>16645.259999999998</v>
      </c>
      <c r="K178">
        <v>8243.07</v>
      </c>
      <c r="L178">
        <v>8402.19</v>
      </c>
      <c r="M178">
        <v>202179482.59999999</v>
      </c>
      <c r="N178">
        <v>391575560.89999998</v>
      </c>
      <c r="O178">
        <v>5.2999999999999999E-2</v>
      </c>
      <c r="P178" t="s">
        <v>294</v>
      </c>
      <c r="Q178">
        <v>3.5000000000000003E-2</v>
      </c>
      <c r="R178">
        <v>0.02</v>
      </c>
      <c r="T178">
        <v>8906.33</v>
      </c>
    </row>
    <row r="179" spans="1:20" x14ac:dyDescent="0.25">
      <c r="A179">
        <v>2020</v>
      </c>
      <c r="B179">
        <v>7</v>
      </c>
      <c r="C179" t="s">
        <v>333</v>
      </c>
      <c r="D179" t="s">
        <v>334</v>
      </c>
      <c r="E179" t="s">
        <v>335</v>
      </c>
      <c r="F179" t="s">
        <v>23</v>
      </c>
      <c r="G179">
        <v>91312.07</v>
      </c>
      <c r="I179">
        <v>91312.07</v>
      </c>
      <c r="J179">
        <v>14236.08</v>
      </c>
      <c r="L179">
        <v>14236.08</v>
      </c>
      <c r="M179">
        <v>608603761.89999998</v>
      </c>
      <c r="N179">
        <v>648916757</v>
      </c>
      <c r="O179">
        <v>5.2999999999999999E-2</v>
      </c>
      <c r="P179" t="s">
        <v>294</v>
      </c>
      <c r="Q179">
        <v>3.5000000000000003E-2</v>
      </c>
      <c r="R179">
        <v>1.6E-2</v>
      </c>
      <c r="T179">
        <v>15090.25</v>
      </c>
    </row>
    <row r="180" spans="1:20" x14ac:dyDescent="0.25">
      <c r="A180">
        <v>2020</v>
      </c>
      <c r="B180">
        <v>7</v>
      </c>
      <c r="C180" t="s">
        <v>336</v>
      </c>
      <c r="D180" t="s">
        <v>337</v>
      </c>
      <c r="E180" t="s">
        <v>338</v>
      </c>
      <c r="F180" t="s">
        <v>23</v>
      </c>
      <c r="G180">
        <v>174138.25</v>
      </c>
      <c r="I180">
        <v>174138.25</v>
      </c>
      <c r="J180">
        <v>30349.06</v>
      </c>
      <c r="L180">
        <v>30349.06</v>
      </c>
      <c r="M180">
        <v>1037217304</v>
      </c>
      <c r="N180">
        <v>1107449649</v>
      </c>
      <c r="O180">
        <v>5.2999999999999999E-2</v>
      </c>
      <c r="P180" t="s">
        <v>339</v>
      </c>
      <c r="Q180">
        <v>3.5000000000000003E-2</v>
      </c>
      <c r="R180">
        <v>0.02</v>
      </c>
      <c r="T180">
        <v>32170</v>
      </c>
    </row>
    <row r="181" spans="1:20" x14ac:dyDescent="0.25">
      <c r="A181">
        <v>2020</v>
      </c>
      <c r="B181">
        <v>7</v>
      </c>
      <c r="C181" t="s">
        <v>340</v>
      </c>
      <c r="D181" t="s">
        <v>341</v>
      </c>
      <c r="E181" t="s">
        <v>342</v>
      </c>
      <c r="F181" t="s">
        <v>23</v>
      </c>
      <c r="G181">
        <v>4345106.62</v>
      </c>
      <c r="H181">
        <v>2670733.5099999998</v>
      </c>
      <c r="I181">
        <v>1674373.11</v>
      </c>
      <c r="J181">
        <v>694509.22</v>
      </c>
      <c r="K181">
        <v>424590.75</v>
      </c>
      <c r="L181">
        <v>269918.46000000002</v>
      </c>
      <c r="M181">
        <v>9246526935</v>
      </c>
      <c r="N181">
        <v>9827710960</v>
      </c>
      <c r="O181">
        <v>5.2999999999999999E-2</v>
      </c>
      <c r="P181" t="s">
        <v>294</v>
      </c>
      <c r="Q181">
        <v>3.5000000000000003E-2</v>
      </c>
      <c r="R181">
        <v>0.02</v>
      </c>
      <c r="T181">
        <v>286113.57</v>
      </c>
    </row>
    <row r="182" spans="1:20" x14ac:dyDescent="0.25">
      <c r="A182">
        <v>2020</v>
      </c>
      <c r="B182">
        <v>7</v>
      </c>
      <c r="C182" t="s">
        <v>343</v>
      </c>
      <c r="D182" t="s">
        <v>344</v>
      </c>
      <c r="E182" t="s">
        <v>345</v>
      </c>
      <c r="F182" t="s">
        <v>23</v>
      </c>
      <c r="G182">
        <v>979487.45</v>
      </c>
      <c r="H182">
        <v>541010.68000000005</v>
      </c>
      <c r="I182">
        <v>438476.77</v>
      </c>
      <c r="J182">
        <v>203894.33</v>
      </c>
      <c r="K182">
        <v>123669.03</v>
      </c>
      <c r="L182">
        <v>80225.3</v>
      </c>
      <c r="M182">
        <v>2762597899</v>
      </c>
      <c r="N182">
        <v>2906656902</v>
      </c>
      <c r="O182">
        <v>5.2999999999999999E-2</v>
      </c>
      <c r="P182" t="s">
        <v>294</v>
      </c>
      <c r="Q182">
        <v>3.5000000000000003E-2</v>
      </c>
      <c r="R182">
        <v>0.02</v>
      </c>
      <c r="T182">
        <v>85038.82</v>
      </c>
    </row>
    <row r="183" spans="1:20" x14ac:dyDescent="0.25">
      <c r="A183">
        <v>2020</v>
      </c>
      <c r="B183">
        <v>7</v>
      </c>
      <c r="C183" t="s">
        <v>346</v>
      </c>
      <c r="D183" t="s">
        <v>347</v>
      </c>
      <c r="E183" t="s">
        <v>348</v>
      </c>
      <c r="F183" t="s">
        <v>23</v>
      </c>
      <c r="G183">
        <v>1829117.55</v>
      </c>
      <c r="H183">
        <v>1122834.8</v>
      </c>
      <c r="I183">
        <v>706282.75</v>
      </c>
      <c r="J183">
        <v>877892.75</v>
      </c>
      <c r="K183">
        <v>766691.95</v>
      </c>
      <c r="L183">
        <v>111200.79</v>
      </c>
      <c r="M183">
        <v>3827489219</v>
      </c>
      <c r="N183">
        <v>4030700227</v>
      </c>
      <c r="O183">
        <v>5.2999999999999999E-2</v>
      </c>
      <c r="P183" t="s">
        <v>294</v>
      </c>
      <c r="Q183">
        <v>3.5000000000000003E-2</v>
      </c>
      <c r="R183">
        <v>0.02</v>
      </c>
      <c r="T183">
        <v>117872.84</v>
      </c>
    </row>
    <row r="184" spans="1:20" x14ac:dyDescent="0.25">
      <c r="A184">
        <v>2020</v>
      </c>
      <c r="B184">
        <v>7</v>
      </c>
      <c r="C184" t="s">
        <v>349</v>
      </c>
      <c r="D184" t="s">
        <v>350</v>
      </c>
      <c r="E184" t="s">
        <v>351</v>
      </c>
      <c r="F184" t="s">
        <v>23</v>
      </c>
      <c r="G184">
        <v>6196883.4900000002</v>
      </c>
      <c r="H184">
        <v>4808672.93</v>
      </c>
      <c r="I184">
        <v>1388210.55</v>
      </c>
      <c r="J184">
        <v>-53135.16</v>
      </c>
      <c r="K184">
        <v>-266640.53999999998</v>
      </c>
      <c r="L184">
        <v>213505.37</v>
      </c>
      <c r="M184">
        <v>14745237337</v>
      </c>
      <c r="N184">
        <v>15430188856</v>
      </c>
      <c r="O184">
        <v>5.2999999999999999E-2</v>
      </c>
      <c r="P184" t="s">
        <v>294</v>
      </c>
      <c r="Q184">
        <v>3.5000000000000003E-2</v>
      </c>
      <c r="R184">
        <v>0.01</v>
      </c>
      <c r="T184">
        <v>226315.7</v>
      </c>
    </row>
    <row r="185" spans="1:20" x14ac:dyDescent="0.25">
      <c r="A185">
        <v>2020</v>
      </c>
      <c r="B185">
        <v>7</v>
      </c>
      <c r="C185" t="s">
        <v>352</v>
      </c>
      <c r="D185" t="s">
        <v>353</v>
      </c>
      <c r="E185" t="s">
        <v>354</v>
      </c>
      <c r="F185" t="s">
        <v>23</v>
      </c>
      <c r="G185">
        <v>2956419.91</v>
      </c>
      <c r="H185">
        <v>1655182.05</v>
      </c>
      <c r="I185">
        <v>1301237.8600000001</v>
      </c>
      <c r="J185">
        <v>559655.38</v>
      </c>
      <c r="K185">
        <v>342626.74</v>
      </c>
      <c r="L185">
        <v>217028.65</v>
      </c>
      <c r="M185">
        <v>7452412678</v>
      </c>
      <c r="N185">
        <v>7884278455</v>
      </c>
      <c r="O185">
        <v>5.2999999999999999E-2</v>
      </c>
      <c r="P185" t="s">
        <v>339</v>
      </c>
      <c r="Q185">
        <v>3.5000000000000003E-2</v>
      </c>
      <c r="R185">
        <v>0.02</v>
      </c>
      <c r="T185">
        <v>230050.37</v>
      </c>
    </row>
    <row r="186" spans="1:20" x14ac:dyDescent="0.25">
      <c r="A186">
        <v>2020</v>
      </c>
      <c r="B186">
        <v>7</v>
      </c>
      <c r="C186" t="s">
        <v>355</v>
      </c>
      <c r="D186" t="s">
        <v>356</v>
      </c>
      <c r="E186" t="s">
        <v>357</v>
      </c>
      <c r="F186" t="s">
        <v>23</v>
      </c>
      <c r="G186">
        <v>1116216.28</v>
      </c>
      <c r="H186">
        <v>640335.75</v>
      </c>
      <c r="I186">
        <v>475880.53</v>
      </c>
      <c r="J186">
        <v>174149.03</v>
      </c>
      <c r="K186">
        <v>99181.08</v>
      </c>
      <c r="L186">
        <v>74967.95</v>
      </c>
      <c r="M186">
        <v>2576334704</v>
      </c>
      <c r="N186">
        <v>2721400626</v>
      </c>
      <c r="O186">
        <v>5.2999999999999999E-2</v>
      </c>
      <c r="P186" t="s">
        <v>294</v>
      </c>
      <c r="Q186">
        <v>3.5000000000000003E-2</v>
      </c>
      <c r="R186">
        <v>0.02</v>
      </c>
      <c r="T186">
        <v>79466.03</v>
      </c>
    </row>
    <row r="187" spans="1:20" x14ac:dyDescent="0.25">
      <c r="A187">
        <v>2020</v>
      </c>
      <c r="B187">
        <v>7</v>
      </c>
      <c r="C187" t="s">
        <v>358</v>
      </c>
      <c r="D187" t="s">
        <v>359</v>
      </c>
      <c r="E187" t="s">
        <v>360</v>
      </c>
      <c r="F187" t="s">
        <v>23</v>
      </c>
      <c r="G187">
        <v>2861896.37</v>
      </c>
      <c r="H187">
        <v>1758875.21</v>
      </c>
      <c r="I187">
        <v>1103021.1599999999</v>
      </c>
      <c r="J187">
        <v>444953.56</v>
      </c>
      <c r="K187">
        <v>273343.53000000003</v>
      </c>
      <c r="L187">
        <v>171610.03</v>
      </c>
      <c r="M187">
        <v>5945750755</v>
      </c>
      <c r="N187">
        <v>6181358190</v>
      </c>
      <c r="O187">
        <v>5.2999999999999999E-2</v>
      </c>
      <c r="P187" t="s">
        <v>294</v>
      </c>
      <c r="Q187">
        <v>3.5000000000000003E-2</v>
      </c>
      <c r="R187">
        <v>0.02</v>
      </c>
      <c r="T187">
        <v>181906.63</v>
      </c>
    </row>
    <row r="188" spans="1:20" x14ac:dyDescent="0.25">
      <c r="A188">
        <v>2020</v>
      </c>
      <c r="B188">
        <v>7</v>
      </c>
      <c r="C188" t="s">
        <v>361</v>
      </c>
      <c r="D188" t="s">
        <v>362</v>
      </c>
      <c r="E188" t="s">
        <v>363</v>
      </c>
      <c r="F188" t="s">
        <v>23</v>
      </c>
      <c r="G188">
        <v>897381.68</v>
      </c>
      <c r="H188">
        <v>421842.57</v>
      </c>
      <c r="I188">
        <v>475539.11</v>
      </c>
      <c r="J188">
        <v>324967.51</v>
      </c>
      <c r="K188">
        <v>248190.9</v>
      </c>
      <c r="L188">
        <v>76776.61</v>
      </c>
      <c r="M188">
        <v>2634664140</v>
      </c>
      <c r="N188">
        <v>2790883136</v>
      </c>
      <c r="O188">
        <v>5.2999999999999999E-2</v>
      </c>
      <c r="P188" t="s">
        <v>294</v>
      </c>
      <c r="Q188">
        <v>3.5000000000000003E-2</v>
      </c>
      <c r="R188">
        <v>0.02</v>
      </c>
      <c r="T188">
        <v>81383.210000000006</v>
      </c>
    </row>
    <row r="189" spans="1:20" x14ac:dyDescent="0.25">
      <c r="A189">
        <v>2020</v>
      </c>
      <c r="B189">
        <v>7</v>
      </c>
      <c r="C189" t="s">
        <v>364</v>
      </c>
      <c r="D189" t="s">
        <v>367</v>
      </c>
      <c r="E189" t="s">
        <v>368</v>
      </c>
      <c r="F189" t="s">
        <v>34</v>
      </c>
      <c r="G189">
        <v>671874.95</v>
      </c>
      <c r="H189">
        <v>671874.95</v>
      </c>
      <c r="J189">
        <v>101576.67</v>
      </c>
      <c r="K189">
        <v>101576.67</v>
      </c>
      <c r="O189">
        <v>5.2999999999999999E-2</v>
      </c>
      <c r="Q189">
        <v>0</v>
      </c>
      <c r="R189">
        <v>0</v>
      </c>
    </row>
    <row r="190" spans="1:20" x14ac:dyDescent="0.25">
      <c r="A190">
        <v>2020</v>
      </c>
      <c r="B190">
        <v>7</v>
      </c>
      <c r="C190" t="s">
        <v>364</v>
      </c>
      <c r="D190" t="s">
        <v>365</v>
      </c>
      <c r="E190" t="s">
        <v>366</v>
      </c>
      <c r="F190" t="s">
        <v>34</v>
      </c>
      <c r="G190">
        <v>109484.59</v>
      </c>
      <c r="H190">
        <v>109484.59</v>
      </c>
      <c r="J190">
        <v>21468.97</v>
      </c>
      <c r="K190">
        <v>21468.97</v>
      </c>
      <c r="O190">
        <v>5.2999999999999999E-2</v>
      </c>
      <c r="Q190">
        <v>0</v>
      </c>
      <c r="R190">
        <v>0</v>
      </c>
    </row>
    <row r="191" spans="1:20" x14ac:dyDescent="0.25">
      <c r="A191">
        <v>2020</v>
      </c>
      <c r="B191">
        <v>8</v>
      </c>
      <c r="C191" t="s">
        <v>392</v>
      </c>
      <c r="D191" t="s">
        <v>393</v>
      </c>
      <c r="E191" t="s">
        <v>394</v>
      </c>
      <c r="G191">
        <v>0</v>
      </c>
      <c r="J191">
        <v>0</v>
      </c>
    </row>
    <row r="192" spans="1:20" x14ac:dyDescent="0.25">
      <c r="A192">
        <v>2020</v>
      </c>
      <c r="B192">
        <v>8</v>
      </c>
      <c r="C192" t="s">
        <v>286</v>
      </c>
      <c r="D192" t="s">
        <v>287</v>
      </c>
      <c r="E192" t="s">
        <v>288</v>
      </c>
      <c r="G192">
        <v>0</v>
      </c>
      <c r="J192">
        <v>0</v>
      </c>
    </row>
    <row r="193" spans="1:20" x14ac:dyDescent="0.25">
      <c r="A193">
        <v>2020</v>
      </c>
      <c r="B193">
        <v>8</v>
      </c>
      <c r="C193" t="s">
        <v>289</v>
      </c>
      <c r="D193" t="s">
        <v>290</v>
      </c>
      <c r="E193" t="s">
        <v>291</v>
      </c>
      <c r="G193">
        <v>320215.23</v>
      </c>
      <c r="H193">
        <v>320215.23</v>
      </c>
      <c r="J193">
        <v>206645.25</v>
      </c>
      <c r="K193">
        <v>206645.25</v>
      </c>
    </row>
    <row r="194" spans="1:20" x14ac:dyDescent="0.25">
      <c r="A194">
        <v>2020</v>
      </c>
      <c r="B194">
        <v>8</v>
      </c>
      <c r="C194" t="s">
        <v>168</v>
      </c>
      <c r="D194" t="s">
        <v>292</v>
      </c>
      <c r="E194" t="s">
        <v>293</v>
      </c>
      <c r="F194" t="s">
        <v>23</v>
      </c>
      <c r="G194">
        <v>2617839.5099999998</v>
      </c>
      <c r="H194">
        <v>1618416.42</v>
      </c>
      <c r="I194">
        <v>999423.09</v>
      </c>
      <c r="J194">
        <v>379316.73</v>
      </c>
      <c r="K194">
        <v>235916.1</v>
      </c>
      <c r="L194">
        <v>143400.62</v>
      </c>
      <c r="M194">
        <v>4983950555</v>
      </c>
      <c r="N194">
        <v>5149693582</v>
      </c>
      <c r="O194">
        <v>5.2999999999999999E-2</v>
      </c>
      <c r="P194" t="s">
        <v>294</v>
      </c>
      <c r="Q194">
        <v>3.5000000000000003E-2</v>
      </c>
      <c r="R194">
        <v>0.02</v>
      </c>
      <c r="T194">
        <v>152004.66</v>
      </c>
    </row>
    <row r="195" spans="1:20" x14ac:dyDescent="0.25">
      <c r="A195">
        <v>2020</v>
      </c>
      <c r="B195">
        <v>8</v>
      </c>
      <c r="C195" t="s">
        <v>295</v>
      </c>
      <c r="D195" t="s">
        <v>296</v>
      </c>
      <c r="E195" t="s">
        <v>297</v>
      </c>
      <c r="F195" t="s">
        <v>23</v>
      </c>
      <c r="G195">
        <v>3179045.54</v>
      </c>
      <c r="H195">
        <v>1960271.05</v>
      </c>
      <c r="I195">
        <v>1218774.49</v>
      </c>
      <c r="J195">
        <v>464447.03</v>
      </c>
      <c r="K195">
        <v>288749.62</v>
      </c>
      <c r="L195">
        <v>175697.41</v>
      </c>
      <c r="M195">
        <v>6135634462</v>
      </c>
      <c r="N195">
        <v>6280315693</v>
      </c>
      <c r="O195">
        <v>5.2999999999999999E-2</v>
      </c>
      <c r="P195" t="s">
        <v>294</v>
      </c>
      <c r="Q195">
        <v>3.5000000000000003E-2</v>
      </c>
      <c r="R195">
        <v>0.02</v>
      </c>
      <c r="T195">
        <v>186239.25</v>
      </c>
    </row>
    <row r="196" spans="1:20" x14ac:dyDescent="0.25">
      <c r="A196">
        <v>2020</v>
      </c>
      <c r="B196">
        <v>8</v>
      </c>
      <c r="C196" t="s">
        <v>298</v>
      </c>
      <c r="D196" t="s">
        <v>299</v>
      </c>
      <c r="E196" t="s">
        <v>300</v>
      </c>
      <c r="F196" t="s">
        <v>23</v>
      </c>
      <c r="G196">
        <v>506810.89</v>
      </c>
      <c r="H196">
        <v>506810.89</v>
      </c>
      <c r="J196">
        <v>182582.6</v>
      </c>
      <c r="K196">
        <v>182582.6</v>
      </c>
      <c r="O196">
        <v>5.2999999999999999E-2</v>
      </c>
      <c r="P196" t="s">
        <v>301</v>
      </c>
      <c r="Q196">
        <v>0</v>
      </c>
      <c r="R196">
        <v>0</v>
      </c>
    </row>
    <row r="197" spans="1:20" x14ac:dyDescent="0.25">
      <c r="A197">
        <v>2020</v>
      </c>
      <c r="B197">
        <v>8</v>
      </c>
      <c r="C197" t="s">
        <v>302</v>
      </c>
      <c r="D197" t="s">
        <v>303</v>
      </c>
      <c r="E197" t="s">
        <v>304</v>
      </c>
      <c r="F197" t="s">
        <v>23</v>
      </c>
      <c r="G197">
        <v>1271662.43</v>
      </c>
      <c r="H197">
        <v>750287.58</v>
      </c>
      <c r="I197">
        <v>521374.86</v>
      </c>
      <c r="J197">
        <v>212328.17</v>
      </c>
      <c r="K197">
        <v>132365.85</v>
      </c>
      <c r="L197">
        <v>79962.320000000007</v>
      </c>
      <c r="M197">
        <v>2807815134</v>
      </c>
      <c r="N197">
        <v>2842855251</v>
      </c>
      <c r="O197">
        <v>5.2999999999999999E-2</v>
      </c>
      <c r="P197" t="s">
        <v>294</v>
      </c>
      <c r="Q197">
        <v>3.5000000000000003E-2</v>
      </c>
      <c r="R197">
        <v>0.02</v>
      </c>
      <c r="T197">
        <v>84760.06</v>
      </c>
    </row>
    <row r="198" spans="1:20" x14ac:dyDescent="0.25">
      <c r="A198">
        <v>2020</v>
      </c>
      <c r="B198">
        <v>8</v>
      </c>
      <c r="C198" t="s">
        <v>305</v>
      </c>
      <c r="D198" t="s">
        <v>306</v>
      </c>
      <c r="E198" t="s">
        <v>307</v>
      </c>
      <c r="F198" t="s">
        <v>23</v>
      </c>
      <c r="G198">
        <v>1779105.39</v>
      </c>
      <c r="H198">
        <v>1012255.62</v>
      </c>
      <c r="I198">
        <v>766849.77</v>
      </c>
      <c r="J198">
        <v>325964.74</v>
      </c>
      <c r="K198">
        <v>202218.78</v>
      </c>
      <c r="L198">
        <v>123745.95</v>
      </c>
      <c r="M198">
        <v>4290478468</v>
      </c>
      <c r="N198">
        <v>4454235572</v>
      </c>
      <c r="O198">
        <v>5.2999999999999999E-2</v>
      </c>
      <c r="P198" t="s">
        <v>294</v>
      </c>
      <c r="Q198">
        <v>3.5000000000000003E-2</v>
      </c>
      <c r="R198">
        <v>0.02</v>
      </c>
      <c r="T198">
        <v>131170.71</v>
      </c>
    </row>
    <row r="199" spans="1:20" x14ac:dyDescent="0.25">
      <c r="A199">
        <v>2020</v>
      </c>
      <c r="B199">
        <v>8</v>
      </c>
      <c r="C199" t="s">
        <v>308</v>
      </c>
      <c r="D199" t="s">
        <v>309</v>
      </c>
      <c r="E199" t="s">
        <v>310</v>
      </c>
      <c r="F199" t="s">
        <v>23</v>
      </c>
      <c r="G199">
        <v>2953305.68</v>
      </c>
      <c r="H199">
        <v>1822946.29</v>
      </c>
      <c r="I199">
        <v>1130359.3799999999</v>
      </c>
      <c r="J199">
        <v>414172.42</v>
      </c>
      <c r="K199">
        <v>256783.58</v>
      </c>
      <c r="L199">
        <v>157388.84</v>
      </c>
      <c r="M199">
        <v>5426318970</v>
      </c>
      <c r="N199">
        <v>5695826075</v>
      </c>
      <c r="O199">
        <v>5.2999999999999999E-2</v>
      </c>
      <c r="P199" t="s">
        <v>294</v>
      </c>
      <c r="Q199">
        <v>3.5000000000000003E-2</v>
      </c>
      <c r="R199">
        <v>0.02</v>
      </c>
      <c r="T199">
        <v>166832.18</v>
      </c>
    </row>
    <row r="200" spans="1:20" x14ac:dyDescent="0.25">
      <c r="A200">
        <v>2020</v>
      </c>
      <c r="B200">
        <v>8</v>
      </c>
      <c r="C200" t="s">
        <v>311</v>
      </c>
      <c r="D200" t="s">
        <v>312</v>
      </c>
      <c r="E200" t="s">
        <v>313</v>
      </c>
      <c r="F200" t="s">
        <v>23</v>
      </c>
      <c r="G200">
        <v>531182.82999999996</v>
      </c>
      <c r="I200">
        <v>531182.82999999996</v>
      </c>
      <c r="J200">
        <v>76375.990000000005</v>
      </c>
      <c r="L200">
        <v>76375.990000000005</v>
      </c>
      <c r="M200">
        <v>3072031966</v>
      </c>
      <c r="N200">
        <v>3195726975</v>
      </c>
      <c r="O200">
        <v>5.2999999999999999E-2</v>
      </c>
      <c r="P200" t="s">
        <v>314</v>
      </c>
      <c r="Q200">
        <v>3.7499999999999999E-2</v>
      </c>
      <c r="R200">
        <v>0.02</v>
      </c>
      <c r="T200">
        <v>80958.55</v>
      </c>
    </row>
    <row r="201" spans="1:20" x14ac:dyDescent="0.25">
      <c r="A201">
        <v>2020</v>
      </c>
      <c r="B201">
        <v>8</v>
      </c>
      <c r="C201" t="s">
        <v>315</v>
      </c>
      <c r="D201" t="s">
        <v>316</v>
      </c>
      <c r="E201" t="s">
        <v>317</v>
      </c>
      <c r="F201" t="s">
        <v>23</v>
      </c>
      <c r="G201">
        <v>-414061.28</v>
      </c>
      <c r="H201">
        <v>-414061.28</v>
      </c>
      <c r="J201">
        <v>100701.41</v>
      </c>
      <c r="K201">
        <v>100701.41</v>
      </c>
      <c r="O201">
        <v>5.2999999999999999E-2</v>
      </c>
      <c r="P201" t="s">
        <v>301</v>
      </c>
      <c r="Q201">
        <v>0</v>
      </c>
      <c r="R201">
        <v>0</v>
      </c>
    </row>
    <row r="202" spans="1:20" x14ac:dyDescent="0.25">
      <c r="A202">
        <v>2020</v>
      </c>
      <c r="B202">
        <v>8</v>
      </c>
      <c r="C202" t="s">
        <v>318</v>
      </c>
      <c r="D202" t="s">
        <v>319</v>
      </c>
      <c r="E202" t="s">
        <v>320</v>
      </c>
      <c r="F202" t="s">
        <v>23</v>
      </c>
      <c r="G202">
        <v>324322.65999999997</v>
      </c>
      <c r="H202">
        <v>140531.22</v>
      </c>
      <c r="I202">
        <v>183791.45</v>
      </c>
      <c r="J202">
        <v>75697.570000000007</v>
      </c>
      <c r="K202">
        <v>46749.279999999999</v>
      </c>
      <c r="L202">
        <v>28948.29</v>
      </c>
      <c r="M202">
        <v>997605943.5</v>
      </c>
      <c r="N202">
        <v>1048073351</v>
      </c>
      <c r="O202">
        <v>5.2999999999999999E-2</v>
      </c>
      <c r="P202" t="s">
        <v>294</v>
      </c>
      <c r="Q202">
        <v>3.5000000000000003E-2</v>
      </c>
      <c r="R202">
        <v>0.02</v>
      </c>
      <c r="T202">
        <v>30685.19</v>
      </c>
    </row>
    <row r="203" spans="1:20" x14ac:dyDescent="0.25">
      <c r="A203">
        <v>2020</v>
      </c>
      <c r="B203">
        <v>8</v>
      </c>
      <c r="C203" t="s">
        <v>321</v>
      </c>
      <c r="D203" t="s">
        <v>322</v>
      </c>
      <c r="E203" t="s">
        <v>323</v>
      </c>
      <c r="F203" t="s">
        <v>23</v>
      </c>
      <c r="G203">
        <v>2066426.16</v>
      </c>
      <c r="I203">
        <v>2066426.16</v>
      </c>
      <c r="J203">
        <v>303752.21000000002</v>
      </c>
      <c r="L203">
        <v>303752.21000000002</v>
      </c>
      <c r="M203">
        <v>10593272556</v>
      </c>
      <c r="N203">
        <v>10871883292</v>
      </c>
      <c r="O203">
        <v>5.2999999999999999E-2</v>
      </c>
      <c r="P203" t="s">
        <v>294</v>
      </c>
      <c r="Q203">
        <v>3.5000000000000003E-2</v>
      </c>
      <c r="R203">
        <v>0.02</v>
      </c>
      <c r="T203">
        <v>321977.34000000003</v>
      </c>
    </row>
    <row r="204" spans="1:20" x14ac:dyDescent="0.25">
      <c r="A204">
        <v>2020</v>
      </c>
      <c r="B204">
        <v>8</v>
      </c>
      <c r="C204" t="s">
        <v>324</v>
      </c>
      <c r="D204" t="s">
        <v>325</v>
      </c>
      <c r="E204" t="s">
        <v>326</v>
      </c>
      <c r="F204" t="s">
        <v>23</v>
      </c>
      <c r="G204">
        <v>1080236.1000000001</v>
      </c>
      <c r="H204">
        <v>564186.03</v>
      </c>
      <c r="I204">
        <v>516050.07</v>
      </c>
      <c r="J204">
        <v>165549.92000000001</v>
      </c>
      <c r="K204">
        <v>87863.08</v>
      </c>
      <c r="L204">
        <v>77686.84</v>
      </c>
      <c r="M204">
        <v>2672455329</v>
      </c>
      <c r="N204">
        <v>2817414515</v>
      </c>
      <c r="O204">
        <v>5.2999999999999999E-2</v>
      </c>
      <c r="P204" t="s">
        <v>294</v>
      </c>
      <c r="Q204">
        <v>3.5000000000000003E-2</v>
      </c>
      <c r="R204">
        <v>0.02</v>
      </c>
      <c r="T204">
        <v>82348.05</v>
      </c>
    </row>
    <row r="205" spans="1:20" x14ac:dyDescent="0.25">
      <c r="A205">
        <v>2020</v>
      </c>
      <c r="B205">
        <v>8</v>
      </c>
      <c r="C205" t="s">
        <v>327</v>
      </c>
      <c r="D205" t="s">
        <v>328</v>
      </c>
      <c r="E205" t="s">
        <v>329</v>
      </c>
      <c r="F205" t="s">
        <v>23</v>
      </c>
      <c r="G205">
        <v>2147251.38</v>
      </c>
      <c r="H205">
        <v>1322769.68</v>
      </c>
      <c r="I205">
        <v>824481.7</v>
      </c>
      <c r="J205">
        <v>552906.93000000005</v>
      </c>
      <c r="K205">
        <v>436549.25</v>
      </c>
      <c r="L205">
        <v>116357.69</v>
      </c>
      <c r="M205">
        <v>4036774021</v>
      </c>
      <c r="N205">
        <v>4185835745</v>
      </c>
      <c r="O205">
        <v>5.2999999999999999E-2</v>
      </c>
      <c r="P205" t="s">
        <v>294</v>
      </c>
      <c r="Q205">
        <v>3.5000000000000003E-2</v>
      </c>
      <c r="R205">
        <v>0.02</v>
      </c>
      <c r="T205">
        <v>123339.15</v>
      </c>
    </row>
    <row r="206" spans="1:20" x14ac:dyDescent="0.25">
      <c r="A206">
        <v>2020</v>
      </c>
      <c r="B206">
        <v>8</v>
      </c>
      <c r="C206" t="s">
        <v>330</v>
      </c>
      <c r="D206" t="s">
        <v>331</v>
      </c>
      <c r="E206" t="s">
        <v>332</v>
      </c>
      <c r="F206" t="s">
        <v>23</v>
      </c>
      <c r="G206">
        <v>67906.69</v>
      </c>
      <c r="H206">
        <v>35044.1</v>
      </c>
      <c r="I206">
        <v>32862.589999999997</v>
      </c>
      <c r="J206">
        <v>32363.03</v>
      </c>
      <c r="K206">
        <v>16726.25</v>
      </c>
      <c r="L206">
        <v>15636.78</v>
      </c>
      <c r="M206">
        <v>489081496.10000002</v>
      </c>
      <c r="N206">
        <v>615917352.60000002</v>
      </c>
      <c r="O206">
        <v>5.2999999999999999E-2</v>
      </c>
      <c r="P206" t="s">
        <v>294</v>
      </c>
      <c r="Q206">
        <v>3.5000000000000003E-2</v>
      </c>
      <c r="R206">
        <v>0.02</v>
      </c>
      <c r="T206">
        <v>16574.98</v>
      </c>
    </row>
    <row r="207" spans="1:20" x14ac:dyDescent="0.25">
      <c r="A207">
        <v>2020</v>
      </c>
      <c r="B207">
        <v>8</v>
      </c>
      <c r="C207" t="s">
        <v>333</v>
      </c>
      <c r="D207" t="s">
        <v>334</v>
      </c>
      <c r="E207" t="s">
        <v>335</v>
      </c>
      <c r="F207" t="s">
        <v>23</v>
      </c>
      <c r="G207">
        <v>106088.02</v>
      </c>
      <c r="I207">
        <v>106088.02</v>
      </c>
      <c r="J207">
        <v>14775.95</v>
      </c>
      <c r="L207">
        <v>14775.95</v>
      </c>
      <c r="M207">
        <v>648916757</v>
      </c>
      <c r="N207">
        <v>656292102.29999995</v>
      </c>
      <c r="O207">
        <v>5.2999999999999999E-2</v>
      </c>
      <c r="P207" t="s">
        <v>294</v>
      </c>
      <c r="Q207">
        <v>3.5000000000000003E-2</v>
      </c>
      <c r="R207">
        <v>1.6E-2</v>
      </c>
      <c r="T207">
        <v>15662.51</v>
      </c>
    </row>
    <row r="208" spans="1:20" x14ac:dyDescent="0.25">
      <c r="A208">
        <v>2020</v>
      </c>
      <c r="B208">
        <v>8</v>
      </c>
      <c r="C208" t="s">
        <v>336</v>
      </c>
      <c r="D208" t="s">
        <v>337</v>
      </c>
      <c r="E208" t="s">
        <v>338</v>
      </c>
      <c r="F208" t="s">
        <v>23</v>
      </c>
      <c r="G208">
        <v>206114.33</v>
      </c>
      <c r="I208">
        <v>206114.33</v>
      </c>
      <c r="J208">
        <v>31976.080000000002</v>
      </c>
      <c r="L208">
        <v>31976.080000000002</v>
      </c>
      <c r="M208">
        <v>1107449649</v>
      </c>
      <c r="N208">
        <v>1152193484</v>
      </c>
      <c r="O208">
        <v>5.2999999999999999E-2</v>
      </c>
      <c r="P208" t="s">
        <v>339</v>
      </c>
      <c r="Q208">
        <v>3.5000000000000003E-2</v>
      </c>
      <c r="R208">
        <v>0.02</v>
      </c>
      <c r="T208">
        <v>33894.65</v>
      </c>
    </row>
    <row r="209" spans="1:20" x14ac:dyDescent="0.25">
      <c r="A209">
        <v>2020</v>
      </c>
      <c r="B209">
        <v>8</v>
      </c>
      <c r="C209" t="s">
        <v>340</v>
      </c>
      <c r="D209" t="s">
        <v>341</v>
      </c>
      <c r="E209" t="s">
        <v>342</v>
      </c>
      <c r="F209" t="s">
        <v>23</v>
      </c>
      <c r="G209">
        <v>5090750.72</v>
      </c>
      <c r="H209">
        <v>3133227.97</v>
      </c>
      <c r="I209">
        <v>1957522.75</v>
      </c>
      <c r="J209">
        <v>745644.1</v>
      </c>
      <c r="K209">
        <v>462494.46</v>
      </c>
      <c r="L209">
        <v>283149.64</v>
      </c>
      <c r="M209">
        <v>9827710960</v>
      </c>
      <c r="N209">
        <v>10181530181</v>
      </c>
      <c r="O209">
        <v>5.2999999999999999E-2</v>
      </c>
      <c r="P209" t="s">
        <v>294</v>
      </c>
      <c r="Q209">
        <v>3.5000000000000003E-2</v>
      </c>
      <c r="R209">
        <v>0.02</v>
      </c>
      <c r="T209">
        <v>300138.62</v>
      </c>
    </row>
    <row r="210" spans="1:20" x14ac:dyDescent="0.25">
      <c r="A210">
        <v>2020</v>
      </c>
      <c r="B210">
        <v>8</v>
      </c>
      <c r="C210" t="s">
        <v>343</v>
      </c>
      <c r="D210" t="s">
        <v>344</v>
      </c>
      <c r="E210" t="s">
        <v>345</v>
      </c>
      <c r="F210" t="s">
        <v>23</v>
      </c>
      <c r="G210">
        <v>1198837.29</v>
      </c>
      <c r="H210">
        <v>676869.28</v>
      </c>
      <c r="I210">
        <v>521968.01</v>
      </c>
      <c r="J210">
        <v>219349.84</v>
      </c>
      <c r="K210">
        <v>135858.6</v>
      </c>
      <c r="L210">
        <v>83491.23</v>
      </c>
      <c r="M210">
        <v>2906656902</v>
      </c>
      <c r="N210">
        <v>2993390355</v>
      </c>
      <c r="O210">
        <v>5.2999999999999999E-2</v>
      </c>
      <c r="P210" t="s">
        <v>294</v>
      </c>
      <c r="Q210">
        <v>3.5000000000000003E-2</v>
      </c>
      <c r="R210">
        <v>0.02</v>
      </c>
      <c r="T210">
        <v>88500.71</v>
      </c>
    </row>
    <row r="211" spans="1:20" x14ac:dyDescent="0.25">
      <c r="A211">
        <v>2020</v>
      </c>
      <c r="B211">
        <v>8</v>
      </c>
      <c r="C211" t="s">
        <v>346</v>
      </c>
      <c r="D211" t="s">
        <v>347</v>
      </c>
      <c r="E211" t="s">
        <v>348</v>
      </c>
      <c r="F211" t="s">
        <v>23</v>
      </c>
      <c r="G211">
        <v>2137336.5</v>
      </c>
      <c r="H211">
        <v>1313935.0900000001</v>
      </c>
      <c r="I211">
        <v>823401.41</v>
      </c>
      <c r="J211">
        <v>308218.95</v>
      </c>
      <c r="K211">
        <v>191100.29</v>
      </c>
      <c r="L211">
        <v>117118.66</v>
      </c>
      <c r="M211">
        <v>4030700227</v>
      </c>
      <c r="N211">
        <v>4245684797</v>
      </c>
      <c r="O211">
        <v>5.2999999999999999E-2</v>
      </c>
      <c r="P211" t="s">
        <v>294</v>
      </c>
      <c r="Q211">
        <v>3.5000000000000003E-2</v>
      </c>
      <c r="R211">
        <v>0.02</v>
      </c>
      <c r="T211">
        <v>124145.78</v>
      </c>
    </row>
    <row r="212" spans="1:20" x14ac:dyDescent="0.25">
      <c r="A212">
        <v>2020</v>
      </c>
      <c r="B212">
        <v>8</v>
      </c>
      <c r="C212" t="s">
        <v>349</v>
      </c>
      <c r="D212" t="s">
        <v>350</v>
      </c>
      <c r="E212" t="s">
        <v>351</v>
      </c>
      <c r="F212" t="s">
        <v>23</v>
      </c>
      <c r="G212">
        <v>8556945.9499999993</v>
      </c>
      <c r="H212">
        <v>6947897.3300000001</v>
      </c>
      <c r="I212">
        <v>1609048.62</v>
      </c>
      <c r="J212">
        <v>2360062.4700000002</v>
      </c>
      <c r="K212">
        <v>2139224.4</v>
      </c>
      <c r="L212">
        <v>220838.07</v>
      </c>
      <c r="M212">
        <v>15430188856</v>
      </c>
      <c r="N212">
        <v>15781591555</v>
      </c>
      <c r="O212">
        <v>5.2999999999999999E-2</v>
      </c>
      <c r="P212" t="s">
        <v>294</v>
      </c>
      <c r="Q212">
        <v>3.5000000000000003E-2</v>
      </c>
      <c r="R212">
        <v>0.01</v>
      </c>
      <c r="T212">
        <v>234088.35</v>
      </c>
    </row>
    <row r="213" spans="1:20" x14ac:dyDescent="0.25">
      <c r="A213">
        <v>2020</v>
      </c>
      <c r="B213">
        <v>8</v>
      </c>
      <c r="C213" t="s">
        <v>352</v>
      </c>
      <c r="D213" t="s">
        <v>353</v>
      </c>
      <c r="E213" t="s">
        <v>354</v>
      </c>
      <c r="F213" t="s">
        <v>23</v>
      </c>
      <c r="G213">
        <v>3555345.64</v>
      </c>
      <c r="H213">
        <v>2027465.45</v>
      </c>
      <c r="I213">
        <v>1527880.19</v>
      </c>
      <c r="J213">
        <v>598925.73</v>
      </c>
      <c r="K213">
        <v>372283.41</v>
      </c>
      <c r="L213">
        <v>226642.33</v>
      </c>
      <c r="M213">
        <v>7884278455</v>
      </c>
      <c r="N213">
        <v>8131779352</v>
      </c>
      <c r="O213">
        <v>5.2999999999999999E-2</v>
      </c>
      <c r="P213" t="s">
        <v>339</v>
      </c>
      <c r="Q213">
        <v>3.5000000000000003E-2</v>
      </c>
      <c r="R213">
        <v>0.02</v>
      </c>
      <c r="T213">
        <v>240240.87</v>
      </c>
    </row>
    <row r="214" spans="1:20" x14ac:dyDescent="0.25">
      <c r="A214">
        <v>2020</v>
      </c>
      <c r="B214">
        <v>8</v>
      </c>
      <c r="C214" t="s">
        <v>355</v>
      </c>
      <c r="D214" t="s">
        <v>356</v>
      </c>
      <c r="E214" t="s">
        <v>357</v>
      </c>
      <c r="F214" t="s">
        <v>23</v>
      </c>
      <c r="G214">
        <v>1302039.96</v>
      </c>
      <c r="H214">
        <v>747738.12</v>
      </c>
      <c r="I214">
        <v>554301.84</v>
      </c>
      <c r="J214">
        <v>185823.69</v>
      </c>
      <c r="K214">
        <v>107402.38</v>
      </c>
      <c r="L214">
        <v>78421.31</v>
      </c>
      <c r="M214">
        <v>2721400626</v>
      </c>
      <c r="N214">
        <v>2820372006</v>
      </c>
      <c r="O214">
        <v>5.2999999999999999E-2</v>
      </c>
      <c r="P214" t="s">
        <v>294</v>
      </c>
      <c r="Q214">
        <v>3.5000000000000003E-2</v>
      </c>
      <c r="R214">
        <v>0.02</v>
      </c>
      <c r="T214">
        <v>83126.59</v>
      </c>
    </row>
    <row r="215" spans="1:20" x14ac:dyDescent="0.25">
      <c r="A215">
        <v>2020</v>
      </c>
      <c r="B215">
        <v>8</v>
      </c>
      <c r="C215" t="s">
        <v>358</v>
      </c>
      <c r="D215" t="s">
        <v>359</v>
      </c>
      <c r="E215" t="s">
        <v>360</v>
      </c>
      <c r="F215" t="s">
        <v>23</v>
      </c>
      <c r="G215">
        <v>3334402.14</v>
      </c>
      <c r="H215">
        <v>2051737.46</v>
      </c>
      <c r="I215">
        <v>1282664.67</v>
      </c>
      <c r="J215">
        <v>472505.77</v>
      </c>
      <c r="K215">
        <v>292862.25</v>
      </c>
      <c r="L215">
        <v>179643.51999999999</v>
      </c>
      <c r="M215">
        <v>6181358190</v>
      </c>
      <c r="N215">
        <v>6513450268</v>
      </c>
      <c r="O215">
        <v>5.2999999999999999E-2</v>
      </c>
      <c r="P215" t="s">
        <v>294</v>
      </c>
      <c r="Q215">
        <v>3.5000000000000003E-2</v>
      </c>
      <c r="R215">
        <v>0.02</v>
      </c>
      <c r="T215">
        <v>190422.13</v>
      </c>
    </row>
    <row r="216" spans="1:20" x14ac:dyDescent="0.25">
      <c r="A216">
        <v>2020</v>
      </c>
      <c r="B216">
        <v>8</v>
      </c>
      <c r="C216" t="s">
        <v>361</v>
      </c>
      <c r="D216" t="s">
        <v>362</v>
      </c>
      <c r="E216" t="s">
        <v>363</v>
      </c>
      <c r="F216" t="s">
        <v>23</v>
      </c>
      <c r="G216">
        <v>1110656.6100000001</v>
      </c>
      <c r="H216">
        <v>553533.57999999996</v>
      </c>
      <c r="I216">
        <v>557123.03</v>
      </c>
      <c r="J216">
        <v>213274.93</v>
      </c>
      <c r="K216">
        <v>131691.01999999999</v>
      </c>
      <c r="L216">
        <v>81583.91</v>
      </c>
      <c r="M216">
        <v>2790883136</v>
      </c>
      <c r="N216">
        <v>2974379922</v>
      </c>
      <c r="O216">
        <v>5.2999999999999999E-2</v>
      </c>
      <c r="P216" t="s">
        <v>294</v>
      </c>
      <c r="Q216">
        <v>3.5000000000000003E-2</v>
      </c>
      <c r="R216">
        <v>0.02</v>
      </c>
      <c r="T216">
        <v>86478.95</v>
      </c>
    </row>
    <row r="217" spans="1:20" x14ac:dyDescent="0.25">
      <c r="A217">
        <v>2020</v>
      </c>
      <c r="B217">
        <v>8</v>
      </c>
      <c r="C217" t="s">
        <v>364</v>
      </c>
      <c r="D217" t="s">
        <v>365</v>
      </c>
      <c r="E217" t="s">
        <v>366</v>
      </c>
      <c r="F217" t="s">
        <v>34</v>
      </c>
      <c r="G217">
        <v>132321.04999999999</v>
      </c>
      <c r="H217">
        <v>132321.04999999999</v>
      </c>
      <c r="J217">
        <v>22836.45</v>
      </c>
      <c r="K217">
        <v>22836.45</v>
      </c>
      <c r="O217">
        <v>5.2999999999999999E-2</v>
      </c>
      <c r="Q217">
        <v>0</v>
      </c>
      <c r="R217">
        <v>0</v>
      </c>
    </row>
    <row r="218" spans="1:20" x14ac:dyDescent="0.25">
      <c r="A218">
        <v>2020</v>
      </c>
      <c r="B218">
        <v>8</v>
      </c>
      <c r="C218" t="s">
        <v>364</v>
      </c>
      <c r="D218" t="s">
        <v>367</v>
      </c>
      <c r="E218" t="s">
        <v>368</v>
      </c>
      <c r="F218" t="s">
        <v>34</v>
      </c>
      <c r="G218">
        <v>781679.11</v>
      </c>
      <c r="H218">
        <v>781679.11</v>
      </c>
      <c r="J218">
        <v>109804.16</v>
      </c>
      <c r="K218">
        <v>109804.16</v>
      </c>
      <c r="O218">
        <v>5.2999999999999999E-2</v>
      </c>
      <c r="Q218">
        <v>0</v>
      </c>
      <c r="R218">
        <v>0</v>
      </c>
    </row>
    <row r="219" spans="1:20" x14ac:dyDescent="0.25">
      <c r="A219">
        <v>2020</v>
      </c>
      <c r="B219">
        <v>9</v>
      </c>
      <c r="C219" t="s">
        <v>392</v>
      </c>
      <c r="D219" t="s">
        <v>393</v>
      </c>
      <c r="E219" t="s">
        <v>394</v>
      </c>
      <c r="G219">
        <v>0</v>
      </c>
      <c r="J219">
        <v>0</v>
      </c>
    </row>
    <row r="220" spans="1:20" x14ac:dyDescent="0.25">
      <c r="A220">
        <v>2020</v>
      </c>
      <c r="B220">
        <v>9</v>
      </c>
      <c r="C220" t="s">
        <v>395</v>
      </c>
      <c r="D220" t="s">
        <v>396</v>
      </c>
      <c r="E220" t="s">
        <v>397</v>
      </c>
      <c r="G220">
        <v>0</v>
      </c>
      <c r="J220">
        <v>0</v>
      </c>
    </row>
    <row r="221" spans="1:20" x14ac:dyDescent="0.25">
      <c r="A221">
        <v>2020</v>
      </c>
      <c r="B221">
        <v>9</v>
      </c>
      <c r="C221" t="s">
        <v>286</v>
      </c>
      <c r="D221" t="s">
        <v>287</v>
      </c>
      <c r="E221" t="s">
        <v>288</v>
      </c>
      <c r="G221">
        <v>0</v>
      </c>
      <c r="J221">
        <v>0</v>
      </c>
    </row>
    <row r="222" spans="1:20" x14ac:dyDescent="0.25">
      <c r="A222">
        <v>2020</v>
      </c>
      <c r="B222">
        <v>9</v>
      </c>
      <c r="C222" t="s">
        <v>398</v>
      </c>
      <c r="D222" t="s">
        <v>399</v>
      </c>
      <c r="E222" t="s">
        <v>400</v>
      </c>
      <c r="G222">
        <v>0</v>
      </c>
      <c r="J222">
        <v>0</v>
      </c>
    </row>
    <row r="223" spans="1:20" x14ac:dyDescent="0.25">
      <c r="A223">
        <v>2020</v>
      </c>
      <c r="B223">
        <v>9</v>
      </c>
      <c r="C223" t="s">
        <v>401</v>
      </c>
      <c r="D223" t="s">
        <v>402</v>
      </c>
      <c r="E223" t="s">
        <v>403</v>
      </c>
      <c r="G223">
        <v>0</v>
      </c>
      <c r="J223">
        <v>0</v>
      </c>
    </row>
    <row r="224" spans="1:20" x14ac:dyDescent="0.25">
      <c r="A224">
        <v>2020</v>
      </c>
      <c r="B224">
        <v>9</v>
      </c>
      <c r="C224" t="s">
        <v>289</v>
      </c>
      <c r="D224" t="s">
        <v>290</v>
      </c>
      <c r="E224" t="s">
        <v>291</v>
      </c>
      <c r="G224">
        <v>536720.75</v>
      </c>
      <c r="H224">
        <v>536720.75</v>
      </c>
      <c r="J224">
        <v>216505.53</v>
      </c>
      <c r="K224">
        <v>216505.53</v>
      </c>
    </row>
    <row r="225" spans="1:20" x14ac:dyDescent="0.25">
      <c r="A225">
        <v>2020</v>
      </c>
      <c r="B225">
        <v>9</v>
      </c>
      <c r="C225" t="s">
        <v>168</v>
      </c>
      <c r="D225" t="s">
        <v>292</v>
      </c>
      <c r="E225" t="s">
        <v>293</v>
      </c>
      <c r="F225" t="s">
        <v>23</v>
      </c>
      <c r="G225">
        <v>3009091.36</v>
      </c>
      <c r="H225">
        <v>1861900.67</v>
      </c>
      <c r="I225">
        <v>1147190.69</v>
      </c>
      <c r="J225">
        <v>391251.86</v>
      </c>
      <c r="K225">
        <v>243484.25</v>
      </c>
      <c r="L225">
        <v>147767.6</v>
      </c>
      <c r="M225">
        <v>5149693582</v>
      </c>
      <c r="N225">
        <v>5292550327</v>
      </c>
      <c r="O225">
        <v>5.2999999999999999E-2</v>
      </c>
      <c r="P225" t="s">
        <v>294</v>
      </c>
      <c r="Q225">
        <v>3.5000000000000003E-2</v>
      </c>
      <c r="R225">
        <v>0.02</v>
      </c>
      <c r="T225">
        <v>156633.66</v>
      </c>
    </row>
    <row r="226" spans="1:20" x14ac:dyDescent="0.25">
      <c r="A226">
        <v>2020</v>
      </c>
      <c r="B226">
        <v>9</v>
      </c>
      <c r="C226" t="s">
        <v>295</v>
      </c>
      <c r="D226" t="s">
        <v>296</v>
      </c>
      <c r="E226" t="s">
        <v>297</v>
      </c>
      <c r="F226" t="s">
        <v>23</v>
      </c>
      <c r="G226">
        <v>3657287.91</v>
      </c>
      <c r="H226">
        <v>2258916.14</v>
      </c>
      <c r="I226">
        <v>1398371.77</v>
      </c>
      <c r="J226">
        <v>478242.38</v>
      </c>
      <c r="K226">
        <v>298645.09000000003</v>
      </c>
      <c r="L226">
        <v>179597.28</v>
      </c>
      <c r="M226">
        <v>6280315693</v>
      </c>
      <c r="N226">
        <v>6411225692</v>
      </c>
      <c r="O226">
        <v>5.2999999999999999E-2</v>
      </c>
      <c r="P226" t="s">
        <v>294</v>
      </c>
      <c r="Q226">
        <v>3.5000000000000003E-2</v>
      </c>
      <c r="R226">
        <v>0.02</v>
      </c>
      <c r="T226">
        <v>190373.12</v>
      </c>
    </row>
    <row r="227" spans="1:20" x14ac:dyDescent="0.25">
      <c r="A227">
        <v>2020</v>
      </c>
      <c r="B227">
        <v>9</v>
      </c>
      <c r="C227" t="s">
        <v>298</v>
      </c>
      <c r="D227" t="s">
        <v>299</v>
      </c>
      <c r="E227" t="s">
        <v>300</v>
      </c>
      <c r="F227" t="s">
        <v>23</v>
      </c>
      <c r="G227">
        <v>700634.88</v>
      </c>
      <c r="H227">
        <v>700634.88</v>
      </c>
      <c r="J227">
        <v>193823.99</v>
      </c>
      <c r="K227">
        <v>193823.99</v>
      </c>
      <c r="O227">
        <v>5.2999999999999999E-2</v>
      </c>
      <c r="P227" t="s">
        <v>301</v>
      </c>
      <c r="Q227">
        <v>0</v>
      </c>
      <c r="R227">
        <v>0</v>
      </c>
    </row>
    <row r="228" spans="1:20" x14ac:dyDescent="0.25">
      <c r="A228">
        <v>2020</v>
      </c>
      <c r="B228">
        <v>9</v>
      </c>
      <c r="C228" t="s">
        <v>302</v>
      </c>
      <c r="D228" t="s">
        <v>303</v>
      </c>
      <c r="E228" t="s">
        <v>304</v>
      </c>
      <c r="F228" t="s">
        <v>23</v>
      </c>
      <c r="G228">
        <v>1487261.59</v>
      </c>
      <c r="H228">
        <v>885728.51</v>
      </c>
      <c r="I228">
        <v>601533.07999999996</v>
      </c>
      <c r="J228">
        <v>215599.16</v>
      </c>
      <c r="K228">
        <v>135440.93</v>
      </c>
      <c r="L228">
        <v>80158.23</v>
      </c>
      <c r="M228">
        <v>2842855251</v>
      </c>
      <c r="N228">
        <v>2821659419</v>
      </c>
      <c r="O228">
        <v>5.2999999999999999E-2</v>
      </c>
      <c r="P228" t="s">
        <v>294</v>
      </c>
      <c r="Q228">
        <v>3.5000000000000003E-2</v>
      </c>
      <c r="R228">
        <v>0.02</v>
      </c>
      <c r="T228">
        <v>84967.72</v>
      </c>
    </row>
    <row r="229" spans="1:20" x14ac:dyDescent="0.25">
      <c r="A229">
        <v>2020</v>
      </c>
      <c r="B229">
        <v>9</v>
      </c>
      <c r="C229" t="s">
        <v>305</v>
      </c>
      <c r="D229" t="s">
        <v>306</v>
      </c>
      <c r="E229" t="s">
        <v>307</v>
      </c>
      <c r="F229" t="s">
        <v>23</v>
      </c>
      <c r="G229">
        <v>2120344.6800000002</v>
      </c>
      <c r="H229">
        <v>1223422.18</v>
      </c>
      <c r="I229">
        <v>896922.5</v>
      </c>
      <c r="J229">
        <v>341239.29</v>
      </c>
      <c r="K229">
        <v>211166.56</v>
      </c>
      <c r="L229">
        <v>130072.73</v>
      </c>
      <c r="M229">
        <v>4454235572</v>
      </c>
      <c r="N229">
        <v>4737570905</v>
      </c>
      <c r="O229">
        <v>5.2999999999999999E-2</v>
      </c>
      <c r="P229" t="s">
        <v>294</v>
      </c>
      <c r="Q229">
        <v>3.5000000000000003E-2</v>
      </c>
      <c r="R229">
        <v>0.02</v>
      </c>
      <c r="T229">
        <v>137877.1</v>
      </c>
    </row>
    <row r="230" spans="1:20" x14ac:dyDescent="0.25">
      <c r="A230">
        <v>2020</v>
      </c>
      <c r="B230">
        <v>9</v>
      </c>
      <c r="C230" t="s">
        <v>308</v>
      </c>
      <c r="D230" t="s">
        <v>309</v>
      </c>
      <c r="E230" t="s">
        <v>310</v>
      </c>
      <c r="F230" t="s">
        <v>23</v>
      </c>
      <c r="G230">
        <v>3385063.2</v>
      </c>
      <c r="H230">
        <v>2092046.42</v>
      </c>
      <c r="I230">
        <v>1293016.79</v>
      </c>
      <c r="J230">
        <v>431757.53</v>
      </c>
      <c r="K230">
        <v>269100.12</v>
      </c>
      <c r="L230">
        <v>162657.41</v>
      </c>
      <c r="M230">
        <v>5695826075</v>
      </c>
      <c r="N230">
        <v>5798630621</v>
      </c>
      <c r="O230">
        <v>5.2999999999999999E-2</v>
      </c>
      <c r="P230" t="s">
        <v>294</v>
      </c>
      <c r="Q230">
        <v>3.5000000000000003E-2</v>
      </c>
      <c r="R230">
        <v>0.02</v>
      </c>
      <c r="T230">
        <v>172416.85</v>
      </c>
    </row>
    <row r="231" spans="1:20" x14ac:dyDescent="0.25">
      <c r="A231">
        <v>2020</v>
      </c>
      <c r="B231">
        <v>9</v>
      </c>
      <c r="C231" t="s">
        <v>311</v>
      </c>
      <c r="D231" t="s">
        <v>312</v>
      </c>
      <c r="E231" t="s">
        <v>313</v>
      </c>
      <c r="F231" t="s">
        <v>23</v>
      </c>
      <c r="G231">
        <v>609857.22</v>
      </c>
      <c r="I231">
        <v>609857.22</v>
      </c>
      <c r="J231">
        <v>78674.39</v>
      </c>
      <c r="L231">
        <v>78674.39</v>
      </c>
      <c r="M231">
        <v>3195726975</v>
      </c>
      <c r="N231">
        <v>3260648364</v>
      </c>
      <c r="O231">
        <v>5.2999999999999999E-2</v>
      </c>
      <c r="P231" t="s">
        <v>314</v>
      </c>
      <c r="Q231">
        <v>3.7499999999999999E-2</v>
      </c>
      <c r="R231">
        <v>0.02</v>
      </c>
      <c r="T231">
        <v>83394.850000000006</v>
      </c>
    </row>
    <row r="232" spans="1:20" x14ac:dyDescent="0.25">
      <c r="A232">
        <v>2020</v>
      </c>
      <c r="B232">
        <v>9</v>
      </c>
      <c r="C232" t="s">
        <v>315</v>
      </c>
      <c r="D232" t="s">
        <v>316</v>
      </c>
      <c r="E232" t="s">
        <v>317</v>
      </c>
      <c r="F232" t="s">
        <v>23</v>
      </c>
      <c r="G232">
        <v>-306623.44</v>
      </c>
      <c r="H232">
        <v>-306623.44</v>
      </c>
      <c r="J232">
        <v>107437.84</v>
      </c>
      <c r="K232">
        <v>107437.84</v>
      </c>
      <c r="O232">
        <v>5.2999999999999999E-2</v>
      </c>
      <c r="P232" t="s">
        <v>301</v>
      </c>
      <c r="Q232">
        <v>0</v>
      </c>
      <c r="R232">
        <v>0</v>
      </c>
    </row>
    <row r="233" spans="1:20" x14ac:dyDescent="0.25">
      <c r="A233">
        <v>2020</v>
      </c>
      <c r="B233">
        <v>9</v>
      </c>
      <c r="C233" t="s">
        <v>318</v>
      </c>
      <c r="D233" t="s">
        <v>319</v>
      </c>
      <c r="E233" t="s">
        <v>320</v>
      </c>
      <c r="F233" t="s">
        <v>23</v>
      </c>
      <c r="G233">
        <v>404438.18</v>
      </c>
      <c r="H233">
        <v>190326.46</v>
      </c>
      <c r="I233">
        <v>214111.71</v>
      </c>
      <c r="J233">
        <v>80115.509999999995</v>
      </c>
      <c r="K233">
        <v>49795.25</v>
      </c>
      <c r="L233">
        <v>30320.27</v>
      </c>
      <c r="M233">
        <v>1048073351</v>
      </c>
      <c r="N233">
        <v>1094558893</v>
      </c>
      <c r="O233">
        <v>5.2999999999999999E-2</v>
      </c>
      <c r="P233" t="s">
        <v>294</v>
      </c>
      <c r="Q233">
        <v>3.5000000000000003E-2</v>
      </c>
      <c r="R233">
        <v>0.02</v>
      </c>
      <c r="T233">
        <v>32139.48</v>
      </c>
    </row>
    <row r="234" spans="1:20" x14ac:dyDescent="0.25">
      <c r="A234">
        <v>2020</v>
      </c>
      <c r="B234">
        <v>9</v>
      </c>
      <c r="C234" t="s">
        <v>321</v>
      </c>
      <c r="D234" t="s">
        <v>322</v>
      </c>
      <c r="E234" t="s">
        <v>323</v>
      </c>
      <c r="F234" t="s">
        <v>23</v>
      </c>
      <c r="G234">
        <v>2377695.46</v>
      </c>
      <c r="I234">
        <v>2377695.46</v>
      </c>
      <c r="J234">
        <v>311269.3</v>
      </c>
      <c r="L234">
        <v>311269.3</v>
      </c>
      <c r="M234">
        <v>10871883292</v>
      </c>
      <c r="N234">
        <v>11124480310</v>
      </c>
      <c r="O234">
        <v>5.2999999999999999E-2</v>
      </c>
      <c r="P234" t="s">
        <v>294</v>
      </c>
      <c r="Q234">
        <v>3.5000000000000003E-2</v>
      </c>
      <c r="R234">
        <v>0.02</v>
      </c>
      <c r="T234">
        <v>329945.45</v>
      </c>
    </row>
    <row r="235" spans="1:20" x14ac:dyDescent="0.25">
      <c r="A235">
        <v>2020</v>
      </c>
      <c r="B235">
        <v>9</v>
      </c>
      <c r="C235" t="s">
        <v>324</v>
      </c>
      <c r="D235" t="s">
        <v>325</v>
      </c>
      <c r="E235" t="s">
        <v>326</v>
      </c>
      <c r="F235" t="s">
        <v>23</v>
      </c>
      <c r="G235">
        <v>1254280.6200000001</v>
      </c>
      <c r="H235">
        <v>656703.39</v>
      </c>
      <c r="I235">
        <v>597577.23</v>
      </c>
      <c r="J235">
        <v>174044.52</v>
      </c>
      <c r="K235">
        <v>92517.36</v>
      </c>
      <c r="L235">
        <v>81527.16</v>
      </c>
      <c r="M235">
        <v>2817414515</v>
      </c>
      <c r="N235">
        <v>2943838215</v>
      </c>
      <c r="O235">
        <v>5.2999999999999999E-2</v>
      </c>
      <c r="P235" t="s">
        <v>294</v>
      </c>
      <c r="Q235">
        <v>3.5000000000000003E-2</v>
      </c>
      <c r="R235">
        <v>0.02</v>
      </c>
      <c r="T235">
        <v>86418.79</v>
      </c>
    </row>
    <row r="236" spans="1:20" x14ac:dyDescent="0.25">
      <c r="A236">
        <v>2020</v>
      </c>
      <c r="B236">
        <v>9</v>
      </c>
      <c r="C236" t="s">
        <v>327</v>
      </c>
      <c r="D236" t="s">
        <v>328</v>
      </c>
      <c r="E236" t="s">
        <v>329</v>
      </c>
      <c r="F236" t="s">
        <v>23</v>
      </c>
      <c r="G236">
        <v>2466918.75</v>
      </c>
      <c r="H236">
        <v>1521722.43</v>
      </c>
      <c r="I236">
        <v>945196.31</v>
      </c>
      <c r="J236">
        <v>319667.37</v>
      </c>
      <c r="K236">
        <v>198952.75</v>
      </c>
      <c r="L236">
        <v>120714.61</v>
      </c>
      <c r="M236">
        <v>4185835745</v>
      </c>
      <c r="N236">
        <v>4344663611</v>
      </c>
      <c r="O236">
        <v>5.2999999999999999E-2</v>
      </c>
      <c r="P236" t="s">
        <v>294</v>
      </c>
      <c r="Q236">
        <v>3.5000000000000003E-2</v>
      </c>
      <c r="R236">
        <v>0.02</v>
      </c>
      <c r="T236">
        <v>127957.49</v>
      </c>
    </row>
    <row r="237" spans="1:20" x14ac:dyDescent="0.25">
      <c r="A237">
        <v>2020</v>
      </c>
      <c r="B237">
        <v>9</v>
      </c>
      <c r="C237" t="s">
        <v>330</v>
      </c>
      <c r="D237" t="s">
        <v>331</v>
      </c>
      <c r="E237" t="s">
        <v>332</v>
      </c>
      <c r="F237" t="s">
        <v>23</v>
      </c>
      <c r="G237">
        <v>117389.18</v>
      </c>
      <c r="H237">
        <v>63782.11</v>
      </c>
      <c r="I237">
        <v>53607.07</v>
      </c>
      <c r="J237">
        <v>49482.49</v>
      </c>
      <c r="K237">
        <v>28738.01</v>
      </c>
      <c r="L237">
        <v>20744.48</v>
      </c>
      <c r="M237">
        <v>615917352.60000002</v>
      </c>
      <c r="N237">
        <v>850025631.10000002</v>
      </c>
      <c r="O237">
        <v>5.2999999999999999E-2</v>
      </c>
      <c r="P237" t="s">
        <v>294</v>
      </c>
      <c r="Q237">
        <v>3.5000000000000003E-2</v>
      </c>
      <c r="R237">
        <v>0.02</v>
      </c>
      <c r="T237">
        <v>21989.14</v>
      </c>
    </row>
    <row r="238" spans="1:20" x14ac:dyDescent="0.25">
      <c r="A238">
        <v>2020</v>
      </c>
      <c r="B238">
        <v>9</v>
      </c>
      <c r="C238" t="s">
        <v>333</v>
      </c>
      <c r="D238" t="s">
        <v>334</v>
      </c>
      <c r="E238" t="s">
        <v>335</v>
      </c>
      <c r="F238" t="s">
        <v>23</v>
      </c>
      <c r="G238">
        <v>121125.91</v>
      </c>
      <c r="I238">
        <v>121125.91</v>
      </c>
      <c r="J238">
        <v>15037.89</v>
      </c>
      <c r="L238">
        <v>15037.89</v>
      </c>
      <c r="M238">
        <v>656292102.29999995</v>
      </c>
      <c r="N238">
        <v>672054649.10000002</v>
      </c>
      <c r="O238">
        <v>5.2999999999999999E-2</v>
      </c>
      <c r="P238" t="s">
        <v>294</v>
      </c>
      <c r="Q238">
        <v>3.5000000000000003E-2</v>
      </c>
      <c r="R238">
        <v>1.6E-2</v>
      </c>
      <c r="T238">
        <v>15940.16</v>
      </c>
    </row>
    <row r="239" spans="1:20" x14ac:dyDescent="0.25">
      <c r="A239">
        <v>2020</v>
      </c>
      <c r="B239">
        <v>9</v>
      </c>
      <c r="C239" t="s">
        <v>336</v>
      </c>
      <c r="D239" t="s">
        <v>337</v>
      </c>
      <c r="E239" t="s">
        <v>338</v>
      </c>
      <c r="F239" t="s">
        <v>23</v>
      </c>
      <c r="G239">
        <v>239551.46</v>
      </c>
      <c r="I239">
        <v>239551.46</v>
      </c>
      <c r="J239">
        <v>33437.129999999997</v>
      </c>
      <c r="L239">
        <v>33437.129999999997</v>
      </c>
      <c r="M239">
        <v>1152193484</v>
      </c>
      <c r="N239">
        <v>1210697310</v>
      </c>
      <c r="O239">
        <v>5.2999999999999999E-2</v>
      </c>
      <c r="P239" t="s">
        <v>339</v>
      </c>
      <c r="Q239">
        <v>3.5000000000000003E-2</v>
      </c>
      <c r="R239">
        <v>0.02</v>
      </c>
      <c r="T239">
        <v>35443.360000000001</v>
      </c>
    </row>
    <row r="240" spans="1:20" x14ac:dyDescent="0.25">
      <c r="A240">
        <v>2020</v>
      </c>
      <c r="B240">
        <v>9</v>
      </c>
      <c r="C240" t="s">
        <v>340</v>
      </c>
      <c r="D240" t="s">
        <v>341</v>
      </c>
      <c r="E240" t="s">
        <v>342</v>
      </c>
      <c r="F240" t="s">
        <v>23</v>
      </c>
      <c r="G240">
        <v>5883969.6799999997</v>
      </c>
      <c r="H240">
        <v>3635997.99</v>
      </c>
      <c r="I240">
        <v>2247971.69</v>
      </c>
      <c r="J240">
        <v>793218.96</v>
      </c>
      <c r="K240">
        <v>502770.02</v>
      </c>
      <c r="L240">
        <v>290448.94</v>
      </c>
      <c r="M240">
        <v>10181530181</v>
      </c>
      <c r="N240">
        <v>10343528502</v>
      </c>
      <c r="O240">
        <v>5.2999999999999999E-2</v>
      </c>
      <c r="P240" t="s">
        <v>294</v>
      </c>
      <c r="Q240">
        <v>3.5000000000000003E-2</v>
      </c>
      <c r="R240">
        <v>0.02</v>
      </c>
      <c r="T240">
        <v>307875.88</v>
      </c>
    </row>
    <row r="241" spans="1:20" x14ac:dyDescent="0.25">
      <c r="A241">
        <v>2020</v>
      </c>
      <c r="B241">
        <v>9</v>
      </c>
      <c r="C241" t="s">
        <v>343</v>
      </c>
      <c r="D241" t="s">
        <v>344</v>
      </c>
      <c r="E241" t="s">
        <v>345</v>
      </c>
      <c r="F241" t="s">
        <v>23</v>
      </c>
      <c r="G241">
        <v>1424974.87</v>
      </c>
      <c r="H241">
        <v>818027.84</v>
      </c>
      <c r="I241">
        <v>606947.03</v>
      </c>
      <c r="J241">
        <v>226137.58</v>
      </c>
      <c r="K241">
        <v>141158.56</v>
      </c>
      <c r="L241">
        <v>84979.02</v>
      </c>
      <c r="M241">
        <v>2993390355</v>
      </c>
      <c r="N241">
        <v>3011793691</v>
      </c>
      <c r="O241">
        <v>5.2999999999999999E-2</v>
      </c>
      <c r="P241" t="s">
        <v>294</v>
      </c>
      <c r="Q241">
        <v>3.5000000000000003E-2</v>
      </c>
      <c r="R241">
        <v>0.02</v>
      </c>
      <c r="T241">
        <v>90077.759999999995</v>
      </c>
    </row>
    <row r="242" spans="1:20" x14ac:dyDescent="0.25">
      <c r="A242">
        <v>2020</v>
      </c>
      <c r="B242">
        <v>9</v>
      </c>
      <c r="C242" t="s">
        <v>346</v>
      </c>
      <c r="D242" t="s">
        <v>347</v>
      </c>
      <c r="E242" t="s">
        <v>348</v>
      </c>
      <c r="F242" t="s">
        <v>23</v>
      </c>
      <c r="G242">
        <v>2461088.0099999998</v>
      </c>
      <c r="H242">
        <v>1515154.16</v>
      </c>
      <c r="I242">
        <v>945933.85</v>
      </c>
      <c r="J242">
        <v>323751.51</v>
      </c>
      <c r="K242">
        <v>201219.07</v>
      </c>
      <c r="L242">
        <v>122532.45</v>
      </c>
      <c r="M242">
        <v>4245684797</v>
      </c>
      <c r="N242">
        <v>4413274834</v>
      </c>
      <c r="O242">
        <v>5.2999999999999999E-2</v>
      </c>
      <c r="P242" t="s">
        <v>294</v>
      </c>
      <c r="Q242">
        <v>3.5000000000000003E-2</v>
      </c>
      <c r="R242">
        <v>0.02</v>
      </c>
      <c r="T242">
        <v>129884.39</v>
      </c>
    </row>
    <row r="243" spans="1:20" x14ac:dyDescent="0.25">
      <c r="A243">
        <v>2020</v>
      </c>
      <c r="B243">
        <v>9</v>
      </c>
      <c r="C243" t="s">
        <v>349</v>
      </c>
      <c r="D243" t="s">
        <v>350</v>
      </c>
      <c r="E243" t="s">
        <v>351</v>
      </c>
      <c r="F243" t="s">
        <v>23</v>
      </c>
      <c r="G243">
        <v>9787689.0800000001</v>
      </c>
      <c r="H243">
        <v>7955247.0300000003</v>
      </c>
      <c r="I243">
        <v>1832442.05</v>
      </c>
      <c r="J243">
        <v>1230743.1299999999</v>
      </c>
      <c r="K243">
        <v>1007349.7</v>
      </c>
      <c r="L243">
        <v>223393.43</v>
      </c>
      <c r="M243">
        <v>15781591555</v>
      </c>
      <c r="N243">
        <v>15791346220</v>
      </c>
      <c r="O243">
        <v>5.2999999999999999E-2</v>
      </c>
      <c r="P243" t="s">
        <v>294</v>
      </c>
      <c r="Q243">
        <v>3.5000000000000003E-2</v>
      </c>
      <c r="R243">
        <v>0.01</v>
      </c>
      <c r="T243">
        <v>236797.03</v>
      </c>
    </row>
    <row r="244" spans="1:20" x14ac:dyDescent="0.25">
      <c r="A244">
        <v>2020</v>
      </c>
      <c r="B244">
        <v>9</v>
      </c>
      <c r="C244" t="s">
        <v>352</v>
      </c>
      <c r="D244" t="s">
        <v>353</v>
      </c>
      <c r="E244" t="s">
        <v>354</v>
      </c>
      <c r="F244" t="s">
        <v>23</v>
      </c>
      <c r="G244">
        <v>4176923.53</v>
      </c>
      <c r="H244">
        <v>2414501.2000000002</v>
      </c>
      <c r="I244">
        <v>1762422.33</v>
      </c>
      <c r="J244">
        <v>621577.88</v>
      </c>
      <c r="K244">
        <v>387035.75</v>
      </c>
      <c r="L244">
        <v>234542.14</v>
      </c>
      <c r="M244">
        <v>8131779352</v>
      </c>
      <c r="N244">
        <v>8442531771</v>
      </c>
      <c r="O244">
        <v>5.2999999999999999E-2</v>
      </c>
      <c r="P244" t="s">
        <v>339</v>
      </c>
      <c r="Q244">
        <v>3.5000000000000003E-2</v>
      </c>
      <c r="R244">
        <v>0.02</v>
      </c>
      <c r="T244">
        <v>248614.67</v>
      </c>
    </row>
    <row r="245" spans="1:20" x14ac:dyDescent="0.25">
      <c r="A245">
        <v>2020</v>
      </c>
      <c r="B245">
        <v>9</v>
      </c>
      <c r="C245" t="s">
        <v>355</v>
      </c>
      <c r="D245" t="s">
        <v>356</v>
      </c>
      <c r="E245" t="s">
        <v>357</v>
      </c>
      <c r="F245" t="s">
        <v>23</v>
      </c>
      <c r="G245">
        <v>1494203.32</v>
      </c>
      <c r="H245">
        <v>859519.66</v>
      </c>
      <c r="I245">
        <v>634683.66</v>
      </c>
      <c r="J245">
        <v>192163.36</v>
      </c>
      <c r="K245">
        <v>111781.54</v>
      </c>
      <c r="L245">
        <v>80381.820000000007</v>
      </c>
      <c r="M245">
        <v>2820372006</v>
      </c>
      <c r="N245">
        <v>2859943222</v>
      </c>
      <c r="O245">
        <v>5.2999999999999999E-2</v>
      </c>
      <c r="P245" t="s">
        <v>294</v>
      </c>
      <c r="Q245">
        <v>3.5000000000000003E-2</v>
      </c>
      <c r="R245">
        <v>0.02</v>
      </c>
      <c r="T245">
        <v>85204.73</v>
      </c>
    </row>
    <row r="246" spans="1:20" x14ac:dyDescent="0.25">
      <c r="A246">
        <v>2020</v>
      </c>
      <c r="B246">
        <v>9</v>
      </c>
      <c r="C246" t="s">
        <v>358</v>
      </c>
      <c r="D246" t="s">
        <v>359</v>
      </c>
      <c r="E246" t="s">
        <v>360</v>
      </c>
      <c r="F246" t="s">
        <v>23</v>
      </c>
      <c r="G246">
        <v>3828604.22</v>
      </c>
      <c r="H246">
        <v>2358752.91</v>
      </c>
      <c r="I246">
        <v>1469851.32</v>
      </c>
      <c r="J246">
        <v>494202.09</v>
      </c>
      <c r="K246">
        <v>307015.44</v>
      </c>
      <c r="L246">
        <v>187186.64</v>
      </c>
      <c r="M246">
        <v>6513450268</v>
      </c>
      <c r="N246">
        <v>6714405855</v>
      </c>
      <c r="O246">
        <v>5.2999999999999999E-2</v>
      </c>
      <c r="P246" t="s">
        <v>294</v>
      </c>
      <c r="Q246">
        <v>3.5000000000000003E-2</v>
      </c>
      <c r="R246">
        <v>0.02</v>
      </c>
      <c r="T246">
        <v>198417.84</v>
      </c>
    </row>
    <row r="247" spans="1:20" x14ac:dyDescent="0.25">
      <c r="A247">
        <v>2020</v>
      </c>
      <c r="B247">
        <v>9</v>
      </c>
      <c r="C247" t="s">
        <v>361</v>
      </c>
      <c r="D247" t="s">
        <v>362</v>
      </c>
      <c r="E247" t="s">
        <v>363</v>
      </c>
      <c r="F247" t="s">
        <v>23</v>
      </c>
      <c r="G247">
        <v>1337896.92</v>
      </c>
      <c r="H247">
        <v>695207.45</v>
      </c>
      <c r="I247">
        <v>642689.47</v>
      </c>
      <c r="J247">
        <v>227240.31</v>
      </c>
      <c r="K247">
        <v>141673.87</v>
      </c>
      <c r="L247">
        <v>85566.44</v>
      </c>
      <c r="M247">
        <v>2974379922</v>
      </c>
      <c r="N247">
        <v>3072315228</v>
      </c>
      <c r="O247">
        <v>5.2999999999999999E-2</v>
      </c>
      <c r="P247" t="s">
        <v>294</v>
      </c>
      <c r="Q247">
        <v>3.5000000000000003E-2</v>
      </c>
      <c r="R247">
        <v>0.02</v>
      </c>
      <c r="T247">
        <v>90700.43</v>
      </c>
    </row>
    <row r="248" spans="1:20" x14ac:dyDescent="0.25">
      <c r="A248">
        <v>2020</v>
      </c>
      <c r="B248">
        <v>9</v>
      </c>
      <c r="C248" t="s">
        <v>364</v>
      </c>
      <c r="D248" t="s">
        <v>367</v>
      </c>
      <c r="E248" t="s">
        <v>368</v>
      </c>
      <c r="F248" t="s">
        <v>34</v>
      </c>
      <c r="G248">
        <v>895059.06</v>
      </c>
      <c r="H248">
        <v>895059.06</v>
      </c>
      <c r="J248">
        <v>113379.94</v>
      </c>
      <c r="K248">
        <v>113379.94</v>
      </c>
      <c r="O248">
        <v>5.2999999999999999E-2</v>
      </c>
      <c r="Q248">
        <v>0</v>
      </c>
      <c r="R248">
        <v>0</v>
      </c>
    </row>
    <row r="249" spans="1:20" x14ac:dyDescent="0.25">
      <c r="A249">
        <v>2020</v>
      </c>
      <c r="B249">
        <v>10</v>
      </c>
      <c r="C249" t="s">
        <v>392</v>
      </c>
      <c r="D249" t="s">
        <v>393</v>
      </c>
      <c r="E249" t="s">
        <v>394</v>
      </c>
      <c r="G249">
        <v>0</v>
      </c>
      <c r="J249">
        <v>0</v>
      </c>
    </row>
    <row r="250" spans="1:20" x14ac:dyDescent="0.25">
      <c r="A250">
        <v>2020</v>
      </c>
      <c r="B250">
        <v>10</v>
      </c>
      <c r="C250" t="s">
        <v>395</v>
      </c>
      <c r="D250" t="s">
        <v>396</v>
      </c>
      <c r="E250" t="s">
        <v>397</v>
      </c>
      <c r="G250">
        <v>0</v>
      </c>
      <c r="J250">
        <v>0</v>
      </c>
    </row>
    <row r="251" spans="1:20" x14ac:dyDescent="0.25">
      <c r="A251">
        <v>2020</v>
      </c>
      <c r="B251">
        <v>10</v>
      </c>
      <c r="C251" t="s">
        <v>286</v>
      </c>
      <c r="D251" t="s">
        <v>287</v>
      </c>
      <c r="E251" t="s">
        <v>288</v>
      </c>
      <c r="G251">
        <v>0</v>
      </c>
      <c r="J251">
        <v>0</v>
      </c>
    </row>
    <row r="252" spans="1:20" x14ac:dyDescent="0.25">
      <c r="A252">
        <v>2020</v>
      </c>
      <c r="B252">
        <v>10</v>
      </c>
      <c r="C252" t="s">
        <v>398</v>
      </c>
      <c r="D252" t="s">
        <v>399</v>
      </c>
      <c r="E252" t="s">
        <v>400</v>
      </c>
      <c r="G252">
        <v>0</v>
      </c>
      <c r="J252">
        <v>0</v>
      </c>
    </row>
    <row r="253" spans="1:20" x14ac:dyDescent="0.25">
      <c r="A253">
        <v>2020</v>
      </c>
      <c r="B253">
        <v>10</v>
      </c>
      <c r="C253" t="s">
        <v>401</v>
      </c>
      <c r="D253" t="s">
        <v>402</v>
      </c>
      <c r="E253" t="s">
        <v>403</v>
      </c>
      <c r="G253">
        <v>7243.29</v>
      </c>
      <c r="H253">
        <v>7243.29</v>
      </c>
      <c r="J253">
        <v>7243.29</v>
      </c>
      <c r="K253">
        <v>7243.29</v>
      </c>
    </row>
    <row r="254" spans="1:20" x14ac:dyDescent="0.25">
      <c r="A254">
        <v>2020</v>
      </c>
      <c r="B254">
        <v>10</v>
      </c>
      <c r="C254" t="s">
        <v>289</v>
      </c>
      <c r="D254" t="s">
        <v>290</v>
      </c>
      <c r="E254" t="s">
        <v>291</v>
      </c>
      <c r="G254">
        <v>753701.98</v>
      </c>
      <c r="H254">
        <v>753701.98</v>
      </c>
      <c r="J254">
        <v>216981.23</v>
      </c>
      <c r="K254">
        <v>216981.23</v>
      </c>
    </row>
    <row r="255" spans="1:20" x14ac:dyDescent="0.25">
      <c r="A255">
        <v>2020</v>
      </c>
      <c r="B255">
        <v>10</v>
      </c>
      <c r="C255" t="s">
        <v>168</v>
      </c>
      <c r="D255" t="s">
        <v>292</v>
      </c>
      <c r="E255" t="s">
        <v>293</v>
      </c>
      <c r="F255" t="s">
        <v>23</v>
      </c>
      <c r="G255">
        <v>3396155.62</v>
      </c>
      <c r="H255">
        <v>2105658.34</v>
      </c>
      <c r="I255">
        <v>1290497.28</v>
      </c>
      <c r="J255">
        <v>387064.26</v>
      </c>
      <c r="K255">
        <v>243757.67</v>
      </c>
      <c r="L255">
        <v>143306.59</v>
      </c>
      <c r="M255">
        <v>5292550327</v>
      </c>
      <c r="N255">
        <v>4834448693</v>
      </c>
      <c r="O255">
        <v>5.2999999999999999E-2</v>
      </c>
      <c r="P255" t="s">
        <v>294</v>
      </c>
      <c r="Q255">
        <v>3.5000000000000003E-2</v>
      </c>
      <c r="R255">
        <v>0.02</v>
      </c>
      <c r="T255">
        <v>151904.99</v>
      </c>
    </row>
    <row r="256" spans="1:20" x14ac:dyDescent="0.25">
      <c r="A256">
        <v>2020</v>
      </c>
      <c r="B256">
        <v>10</v>
      </c>
      <c r="C256" t="s">
        <v>295</v>
      </c>
      <c r="D256" t="s">
        <v>296</v>
      </c>
      <c r="E256" t="s">
        <v>297</v>
      </c>
      <c r="F256" t="s">
        <v>23</v>
      </c>
      <c r="G256">
        <v>4139099.95</v>
      </c>
      <c r="H256">
        <v>2556187.94</v>
      </c>
      <c r="I256">
        <v>1582912.01</v>
      </c>
      <c r="J256">
        <v>481812.04</v>
      </c>
      <c r="K256">
        <v>297271.8</v>
      </c>
      <c r="L256">
        <v>184540.23</v>
      </c>
      <c r="M256">
        <v>6411225692</v>
      </c>
      <c r="N256">
        <v>6629617540</v>
      </c>
      <c r="O256">
        <v>5.2999999999999999E-2</v>
      </c>
      <c r="P256" t="s">
        <v>294</v>
      </c>
      <c r="Q256">
        <v>3.5000000000000003E-2</v>
      </c>
      <c r="R256">
        <v>0.02</v>
      </c>
      <c r="T256">
        <v>195612.65</v>
      </c>
    </row>
    <row r="257" spans="1:20" x14ac:dyDescent="0.25">
      <c r="A257">
        <v>2020</v>
      </c>
      <c r="B257">
        <v>10</v>
      </c>
      <c r="C257" t="s">
        <v>298</v>
      </c>
      <c r="D257" t="s">
        <v>299</v>
      </c>
      <c r="E257" t="s">
        <v>300</v>
      </c>
      <c r="F257" t="s">
        <v>23</v>
      </c>
      <c r="G257">
        <v>894683.49</v>
      </c>
      <c r="H257">
        <v>894683.49</v>
      </c>
      <c r="J257">
        <v>194048.61</v>
      </c>
      <c r="K257">
        <v>194048.61</v>
      </c>
      <c r="O257">
        <v>5.2999999999999999E-2</v>
      </c>
      <c r="P257" t="s">
        <v>301</v>
      </c>
      <c r="Q257">
        <v>0</v>
      </c>
      <c r="R257">
        <v>0</v>
      </c>
    </row>
    <row r="258" spans="1:20" x14ac:dyDescent="0.25">
      <c r="A258">
        <v>2020</v>
      </c>
      <c r="B258">
        <v>10</v>
      </c>
      <c r="C258" t="s">
        <v>302</v>
      </c>
      <c r="D258" t="s">
        <v>303</v>
      </c>
      <c r="E258" t="s">
        <v>304</v>
      </c>
      <c r="F258" t="s">
        <v>23</v>
      </c>
      <c r="G258">
        <v>1698966.75</v>
      </c>
      <c r="H258">
        <v>1016866.17</v>
      </c>
      <c r="I258">
        <v>682100.58</v>
      </c>
      <c r="J258">
        <v>211705.16</v>
      </c>
      <c r="K258">
        <v>131137.66</v>
      </c>
      <c r="L258">
        <v>80567.5</v>
      </c>
      <c r="M258">
        <v>2821659419</v>
      </c>
      <c r="N258">
        <v>2871777126</v>
      </c>
      <c r="O258">
        <v>5.2999999999999999E-2</v>
      </c>
      <c r="P258" t="s">
        <v>294</v>
      </c>
      <c r="Q258">
        <v>3.5000000000000003E-2</v>
      </c>
      <c r="R258">
        <v>0.02</v>
      </c>
      <c r="T258">
        <v>85401.55</v>
      </c>
    </row>
    <row r="259" spans="1:20" x14ac:dyDescent="0.25">
      <c r="A259">
        <v>2020</v>
      </c>
      <c r="B259">
        <v>10</v>
      </c>
      <c r="C259" t="s">
        <v>305</v>
      </c>
      <c r="D259" t="s">
        <v>306</v>
      </c>
      <c r="E259" t="s">
        <v>307</v>
      </c>
      <c r="F259" t="s">
        <v>23</v>
      </c>
      <c r="G259">
        <v>2467357.17</v>
      </c>
      <c r="H259">
        <v>1435602.05</v>
      </c>
      <c r="I259">
        <v>1031755.12</v>
      </c>
      <c r="J259">
        <v>347012.48</v>
      </c>
      <c r="K259">
        <v>212179.87</v>
      </c>
      <c r="L259">
        <v>134832.62</v>
      </c>
      <c r="M259">
        <v>4737570905</v>
      </c>
      <c r="N259">
        <v>4790600693</v>
      </c>
      <c r="O259">
        <v>5.2999999999999999E-2</v>
      </c>
      <c r="P259" t="s">
        <v>294</v>
      </c>
      <c r="Q259">
        <v>3.5000000000000003E-2</v>
      </c>
      <c r="R259">
        <v>0.02</v>
      </c>
      <c r="T259">
        <v>142922.57</v>
      </c>
    </row>
    <row r="260" spans="1:20" x14ac:dyDescent="0.25">
      <c r="A260">
        <v>2020</v>
      </c>
      <c r="B260">
        <v>10</v>
      </c>
      <c r="C260" t="s">
        <v>308</v>
      </c>
      <c r="D260" t="s">
        <v>309</v>
      </c>
      <c r="E260" t="s">
        <v>310</v>
      </c>
      <c r="F260" t="s">
        <v>23</v>
      </c>
      <c r="G260">
        <v>3820966</v>
      </c>
      <c r="H260">
        <v>2360087.5099999998</v>
      </c>
      <c r="I260">
        <v>1460878.49</v>
      </c>
      <c r="J260">
        <v>435902.79</v>
      </c>
      <c r="K260">
        <v>268041.09000000003</v>
      </c>
      <c r="L260">
        <v>167861.7</v>
      </c>
      <c r="M260">
        <v>5798630621</v>
      </c>
      <c r="N260">
        <v>6063596212</v>
      </c>
      <c r="O260">
        <v>5.2999999999999999E-2</v>
      </c>
      <c r="P260" t="s">
        <v>294</v>
      </c>
      <c r="Q260">
        <v>3.5000000000000003E-2</v>
      </c>
      <c r="R260">
        <v>0.02</v>
      </c>
      <c r="T260">
        <v>177933.4</v>
      </c>
    </row>
    <row r="261" spans="1:20" x14ac:dyDescent="0.25">
      <c r="A261">
        <v>2020</v>
      </c>
      <c r="B261">
        <v>10</v>
      </c>
      <c r="C261" t="s">
        <v>311</v>
      </c>
      <c r="D261" t="s">
        <v>312</v>
      </c>
      <c r="E261" t="s">
        <v>313</v>
      </c>
      <c r="F261" t="s">
        <v>23</v>
      </c>
      <c r="G261">
        <v>690730.55</v>
      </c>
      <c r="I261">
        <v>690730.55</v>
      </c>
      <c r="J261">
        <v>80873.33</v>
      </c>
      <c r="L261">
        <v>80873.33</v>
      </c>
      <c r="M261">
        <v>3260648364</v>
      </c>
      <c r="N261">
        <v>3376182613</v>
      </c>
      <c r="O261">
        <v>5.2999999999999999E-2</v>
      </c>
      <c r="P261" t="s">
        <v>314</v>
      </c>
      <c r="Q261">
        <v>3.7499999999999999E-2</v>
      </c>
      <c r="R261">
        <v>0.02</v>
      </c>
      <c r="T261">
        <v>85725.73</v>
      </c>
    </row>
    <row r="262" spans="1:20" x14ac:dyDescent="0.25">
      <c r="A262">
        <v>2020</v>
      </c>
      <c r="B262">
        <v>10</v>
      </c>
      <c r="C262" t="s">
        <v>315</v>
      </c>
      <c r="D262" t="s">
        <v>316</v>
      </c>
      <c r="E262" t="s">
        <v>317</v>
      </c>
      <c r="F262" t="s">
        <v>23</v>
      </c>
      <c r="G262">
        <v>-199340.71</v>
      </c>
      <c r="H262">
        <v>-199340.71</v>
      </c>
      <c r="J262">
        <v>107282.74</v>
      </c>
      <c r="K262">
        <v>107282.74</v>
      </c>
      <c r="O262">
        <v>5.2999999999999999E-2</v>
      </c>
      <c r="P262" t="s">
        <v>301</v>
      </c>
      <c r="Q262">
        <v>0</v>
      </c>
      <c r="R262">
        <v>0</v>
      </c>
    </row>
    <row r="263" spans="1:20" x14ac:dyDescent="0.25">
      <c r="A263">
        <v>2020</v>
      </c>
      <c r="B263">
        <v>10</v>
      </c>
      <c r="C263" t="s">
        <v>318</v>
      </c>
      <c r="D263" t="s">
        <v>319</v>
      </c>
      <c r="E263" t="s">
        <v>320</v>
      </c>
      <c r="F263" t="s">
        <v>23</v>
      </c>
      <c r="G263">
        <v>486854.35</v>
      </c>
      <c r="H263">
        <v>240992.03</v>
      </c>
      <c r="I263">
        <v>245862.32</v>
      </c>
      <c r="J263">
        <v>82416.17</v>
      </c>
      <c r="K263">
        <v>50665.57</v>
      </c>
      <c r="L263">
        <v>31750.61</v>
      </c>
      <c r="M263">
        <v>1094558893</v>
      </c>
      <c r="N263">
        <v>1149150543</v>
      </c>
      <c r="O263">
        <v>5.2999999999999999E-2</v>
      </c>
      <c r="P263" t="s">
        <v>294</v>
      </c>
      <c r="Q263">
        <v>3.5000000000000003E-2</v>
      </c>
      <c r="R263">
        <v>0.02</v>
      </c>
      <c r="T263">
        <v>33655.64</v>
      </c>
    </row>
    <row r="264" spans="1:20" x14ac:dyDescent="0.25">
      <c r="A264">
        <v>2020</v>
      </c>
      <c r="B264">
        <v>10</v>
      </c>
      <c r="C264" t="s">
        <v>321</v>
      </c>
      <c r="D264" t="s">
        <v>322</v>
      </c>
      <c r="E264" t="s">
        <v>323</v>
      </c>
      <c r="F264" t="s">
        <v>23</v>
      </c>
      <c r="G264">
        <v>2701862.57</v>
      </c>
      <c r="I264">
        <v>2701862.57</v>
      </c>
      <c r="J264">
        <v>324167.11</v>
      </c>
      <c r="L264">
        <v>324167.11</v>
      </c>
      <c r="M264">
        <v>11124480310</v>
      </c>
      <c r="N264">
        <v>11783328575</v>
      </c>
      <c r="O264">
        <v>5.2999999999999999E-2</v>
      </c>
      <c r="P264" t="s">
        <v>294</v>
      </c>
      <c r="Q264">
        <v>3.5000000000000003E-2</v>
      </c>
      <c r="R264">
        <v>0.02</v>
      </c>
      <c r="T264">
        <v>343617.13</v>
      </c>
    </row>
    <row r="265" spans="1:20" x14ac:dyDescent="0.25">
      <c r="A265">
        <v>2020</v>
      </c>
      <c r="B265">
        <v>10</v>
      </c>
      <c r="C265" t="s">
        <v>324</v>
      </c>
      <c r="D265" t="s">
        <v>325</v>
      </c>
      <c r="E265" t="s">
        <v>326</v>
      </c>
      <c r="F265" t="s">
        <v>23</v>
      </c>
      <c r="G265">
        <v>1434059.55</v>
      </c>
      <c r="H265">
        <v>751066.24</v>
      </c>
      <c r="I265">
        <v>682993.32</v>
      </c>
      <c r="J265">
        <v>179778.94</v>
      </c>
      <c r="K265">
        <v>94362.85</v>
      </c>
      <c r="L265">
        <v>85416.09</v>
      </c>
      <c r="M265">
        <v>2943838215</v>
      </c>
      <c r="N265">
        <v>3092231962</v>
      </c>
      <c r="O265">
        <v>5.2999999999999999E-2</v>
      </c>
      <c r="P265" t="s">
        <v>294</v>
      </c>
      <c r="Q265">
        <v>3.5000000000000003E-2</v>
      </c>
      <c r="R265">
        <v>0.02</v>
      </c>
      <c r="T265">
        <v>90541.05</v>
      </c>
    </row>
    <row r="266" spans="1:20" x14ac:dyDescent="0.25">
      <c r="A266">
        <v>2020</v>
      </c>
      <c r="B266">
        <v>10</v>
      </c>
      <c r="C266" t="s">
        <v>327</v>
      </c>
      <c r="D266" t="s">
        <v>328</v>
      </c>
      <c r="E266" t="s">
        <v>329</v>
      </c>
      <c r="F266" t="s">
        <v>23</v>
      </c>
      <c r="G266">
        <v>2787147.38</v>
      </c>
      <c r="H266">
        <v>1718635.9</v>
      </c>
      <c r="I266">
        <v>1068511.48</v>
      </c>
      <c r="J266">
        <v>320228.63</v>
      </c>
      <c r="K266">
        <v>196913.46</v>
      </c>
      <c r="L266">
        <v>123315.17</v>
      </c>
      <c r="M266">
        <v>4344663611</v>
      </c>
      <c r="N266">
        <v>4369608447</v>
      </c>
      <c r="O266">
        <v>5.2999999999999999E-2</v>
      </c>
      <c r="P266" t="s">
        <v>294</v>
      </c>
      <c r="Q266">
        <v>3.5000000000000003E-2</v>
      </c>
      <c r="R266">
        <v>0.02</v>
      </c>
      <c r="T266">
        <v>130714.08</v>
      </c>
    </row>
    <row r="267" spans="1:20" x14ac:dyDescent="0.25">
      <c r="A267">
        <v>2020</v>
      </c>
      <c r="B267">
        <v>10</v>
      </c>
      <c r="C267" t="s">
        <v>330</v>
      </c>
      <c r="D267" t="s">
        <v>331</v>
      </c>
      <c r="E267" t="s">
        <v>332</v>
      </c>
      <c r="F267" t="s">
        <v>23</v>
      </c>
      <c r="G267">
        <v>177623.54</v>
      </c>
      <c r="H267">
        <v>96330.42</v>
      </c>
      <c r="I267">
        <v>81293.119999999995</v>
      </c>
      <c r="J267">
        <v>60234.36</v>
      </c>
      <c r="K267">
        <v>32548.31</v>
      </c>
      <c r="L267">
        <v>27686.05</v>
      </c>
      <c r="M267">
        <v>850025631.10000002</v>
      </c>
      <c r="N267">
        <v>1106455403</v>
      </c>
      <c r="O267">
        <v>5.2999999999999999E-2</v>
      </c>
      <c r="P267" t="s">
        <v>294</v>
      </c>
      <c r="Q267">
        <v>3.5000000000000003E-2</v>
      </c>
      <c r="R267">
        <v>0.02</v>
      </c>
      <c r="T267">
        <v>29347.22</v>
      </c>
    </row>
    <row r="268" spans="1:20" x14ac:dyDescent="0.25">
      <c r="A268">
        <v>2020</v>
      </c>
      <c r="B268">
        <v>10</v>
      </c>
      <c r="C268" t="s">
        <v>333</v>
      </c>
      <c r="D268" t="s">
        <v>334</v>
      </c>
      <c r="E268" t="s">
        <v>335</v>
      </c>
      <c r="F268" t="s">
        <v>23</v>
      </c>
      <c r="G268">
        <v>136404.03</v>
      </c>
      <c r="I268">
        <v>136404.03</v>
      </c>
      <c r="J268">
        <v>15278.12</v>
      </c>
      <c r="L268">
        <v>15278.12</v>
      </c>
      <c r="M268">
        <v>672054649.10000002</v>
      </c>
      <c r="N268">
        <v>677512893.10000002</v>
      </c>
      <c r="O268">
        <v>5.2999999999999999E-2</v>
      </c>
      <c r="P268" t="s">
        <v>294</v>
      </c>
      <c r="Q268">
        <v>3.5000000000000003E-2</v>
      </c>
      <c r="R268">
        <v>1.6E-2</v>
      </c>
      <c r="T268">
        <v>16194.81</v>
      </c>
    </row>
    <row r="269" spans="1:20" x14ac:dyDescent="0.25">
      <c r="A269">
        <v>2020</v>
      </c>
      <c r="B269">
        <v>10</v>
      </c>
      <c r="C269" t="s">
        <v>336</v>
      </c>
      <c r="D269" t="s">
        <v>337</v>
      </c>
      <c r="E269" t="s">
        <v>338</v>
      </c>
      <c r="F269" t="s">
        <v>23</v>
      </c>
      <c r="G269">
        <v>274458.90000000002</v>
      </c>
      <c r="I269">
        <v>274458.90000000002</v>
      </c>
      <c r="J269">
        <v>34907.440000000002</v>
      </c>
      <c r="L269">
        <v>34907.440000000002</v>
      </c>
      <c r="M269">
        <v>1210697310</v>
      </c>
      <c r="N269">
        <v>1256095219</v>
      </c>
      <c r="O269">
        <v>5.2999999999999999E-2</v>
      </c>
      <c r="P269" t="s">
        <v>339</v>
      </c>
      <c r="Q269">
        <v>3.5000000000000003E-2</v>
      </c>
      <c r="R269">
        <v>0.02</v>
      </c>
      <c r="T269">
        <v>37001.89</v>
      </c>
    </row>
    <row r="270" spans="1:20" x14ac:dyDescent="0.25">
      <c r="A270">
        <v>2020</v>
      </c>
      <c r="B270">
        <v>10</v>
      </c>
      <c r="C270" t="s">
        <v>340</v>
      </c>
      <c r="D270" t="s">
        <v>341</v>
      </c>
      <c r="E270" t="s">
        <v>342</v>
      </c>
      <c r="F270" t="s">
        <v>23</v>
      </c>
      <c r="G270">
        <v>6659243.6299999999</v>
      </c>
      <c r="H270">
        <v>4115421.52</v>
      </c>
      <c r="I270">
        <v>2543822.11</v>
      </c>
      <c r="J270">
        <v>775273.95</v>
      </c>
      <c r="K270">
        <v>479423.53</v>
      </c>
      <c r="L270">
        <v>295850.42</v>
      </c>
      <c r="M270">
        <v>10343528502</v>
      </c>
      <c r="N270">
        <v>10563234642</v>
      </c>
      <c r="O270">
        <v>5.2999999999999999E-2</v>
      </c>
      <c r="P270" t="s">
        <v>294</v>
      </c>
      <c r="Q270">
        <v>3.5000000000000003E-2</v>
      </c>
      <c r="R270">
        <v>0.02</v>
      </c>
      <c r="T270">
        <v>313601.45</v>
      </c>
    </row>
    <row r="271" spans="1:20" x14ac:dyDescent="0.25">
      <c r="A271">
        <v>2020</v>
      </c>
      <c r="B271">
        <v>10</v>
      </c>
      <c r="C271" t="s">
        <v>343</v>
      </c>
      <c r="D271" t="s">
        <v>344</v>
      </c>
      <c r="E271" t="s">
        <v>345</v>
      </c>
      <c r="F271" t="s">
        <v>23</v>
      </c>
      <c r="G271">
        <v>1650045.39</v>
      </c>
      <c r="H271">
        <v>956982.49</v>
      </c>
      <c r="I271">
        <v>693062.9</v>
      </c>
      <c r="J271">
        <v>225070.52</v>
      </c>
      <c r="K271">
        <v>138954.65</v>
      </c>
      <c r="L271">
        <v>86115.87</v>
      </c>
      <c r="M271">
        <v>3011793691</v>
      </c>
      <c r="N271">
        <v>3073727764</v>
      </c>
      <c r="O271">
        <v>5.2999999999999999E-2</v>
      </c>
      <c r="P271" t="s">
        <v>294</v>
      </c>
      <c r="Q271">
        <v>3.5000000000000003E-2</v>
      </c>
      <c r="R271">
        <v>0.02</v>
      </c>
      <c r="T271">
        <v>91282.82</v>
      </c>
    </row>
    <row r="272" spans="1:20" x14ac:dyDescent="0.25">
      <c r="A272">
        <v>2020</v>
      </c>
      <c r="B272">
        <v>10</v>
      </c>
      <c r="C272" t="s">
        <v>346</v>
      </c>
      <c r="D272" t="s">
        <v>347</v>
      </c>
      <c r="E272" t="s">
        <v>348</v>
      </c>
      <c r="F272" t="s">
        <v>23</v>
      </c>
      <c r="G272">
        <v>2792574.72</v>
      </c>
      <c r="H272">
        <v>1719440.88</v>
      </c>
      <c r="I272">
        <v>1073133.8400000001</v>
      </c>
      <c r="J272">
        <v>331486.71000000002</v>
      </c>
      <c r="K272">
        <v>204286.72</v>
      </c>
      <c r="L272">
        <v>127199.99</v>
      </c>
      <c r="M272">
        <v>4413274834</v>
      </c>
      <c r="N272">
        <v>4575524422</v>
      </c>
      <c r="O272">
        <v>5.2999999999999999E-2</v>
      </c>
      <c r="P272" t="s">
        <v>294</v>
      </c>
      <c r="Q272">
        <v>3.5000000000000003E-2</v>
      </c>
      <c r="R272">
        <v>0.02</v>
      </c>
      <c r="T272">
        <v>134831.99</v>
      </c>
    </row>
    <row r="273" spans="1:20" x14ac:dyDescent="0.25">
      <c r="A273">
        <v>2020</v>
      </c>
      <c r="B273">
        <v>10</v>
      </c>
      <c r="C273" t="s">
        <v>349</v>
      </c>
      <c r="D273" t="s">
        <v>350</v>
      </c>
      <c r="E273" t="s">
        <v>351</v>
      </c>
      <c r="F273" t="s">
        <v>23</v>
      </c>
      <c r="G273">
        <v>10990565.949999999</v>
      </c>
      <c r="H273">
        <v>8932282.4199999999</v>
      </c>
      <c r="I273">
        <v>2058283.54</v>
      </c>
      <c r="J273">
        <v>1202876.8700000001</v>
      </c>
      <c r="K273">
        <v>977035.39</v>
      </c>
      <c r="L273">
        <v>225841.49</v>
      </c>
      <c r="M273">
        <v>15791346220</v>
      </c>
      <c r="N273">
        <v>16127583958</v>
      </c>
      <c r="O273">
        <v>5.2999999999999999E-2</v>
      </c>
      <c r="P273" t="s">
        <v>294</v>
      </c>
      <c r="Q273">
        <v>3.5000000000000003E-2</v>
      </c>
      <c r="R273">
        <v>0.01</v>
      </c>
      <c r="T273">
        <v>239391.98</v>
      </c>
    </row>
    <row r="274" spans="1:20" x14ac:dyDescent="0.25">
      <c r="A274">
        <v>2020</v>
      </c>
      <c r="B274">
        <v>10</v>
      </c>
      <c r="C274" t="s">
        <v>352</v>
      </c>
      <c r="D274" t="s">
        <v>353</v>
      </c>
      <c r="E274" t="s">
        <v>354</v>
      </c>
      <c r="F274" t="s">
        <v>23</v>
      </c>
      <c r="G274">
        <v>4797416.4800000004</v>
      </c>
      <c r="H274">
        <v>2794976.97</v>
      </c>
      <c r="I274">
        <v>2002439.51</v>
      </c>
      <c r="J274">
        <v>620492.96</v>
      </c>
      <c r="K274">
        <v>380475.77</v>
      </c>
      <c r="L274">
        <v>240017.18</v>
      </c>
      <c r="M274">
        <v>8442531771</v>
      </c>
      <c r="N274">
        <v>8518682471</v>
      </c>
      <c r="O274">
        <v>5.2999999999999999E-2</v>
      </c>
      <c r="P274" t="s">
        <v>339</v>
      </c>
      <c r="Q274">
        <v>3.5000000000000003E-2</v>
      </c>
      <c r="R274">
        <v>0.02</v>
      </c>
      <c r="T274">
        <v>254418.21</v>
      </c>
    </row>
    <row r="275" spans="1:20" x14ac:dyDescent="0.25">
      <c r="A275">
        <v>2020</v>
      </c>
      <c r="B275">
        <v>10</v>
      </c>
      <c r="C275" t="s">
        <v>355</v>
      </c>
      <c r="D275" t="s">
        <v>356</v>
      </c>
      <c r="E275" t="s">
        <v>357</v>
      </c>
      <c r="F275" t="s">
        <v>23</v>
      </c>
      <c r="G275">
        <v>1687294.17</v>
      </c>
      <c r="H275">
        <v>970498.1</v>
      </c>
      <c r="I275">
        <v>716796.07</v>
      </c>
      <c r="J275">
        <v>193090.85</v>
      </c>
      <c r="K275">
        <v>110978.44</v>
      </c>
      <c r="L275">
        <v>82112.41</v>
      </c>
      <c r="M275">
        <v>2859943222</v>
      </c>
      <c r="N275">
        <v>2942666986</v>
      </c>
      <c r="O275">
        <v>5.2999999999999999E-2</v>
      </c>
      <c r="P275" t="s">
        <v>294</v>
      </c>
      <c r="Q275">
        <v>3.5000000000000003E-2</v>
      </c>
      <c r="R275">
        <v>0.02</v>
      </c>
      <c r="T275">
        <v>87039.15</v>
      </c>
    </row>
    <row r="276" spans="1:20" x14ac:dyDescent="0.25">
      <c r="A276">
        <v>2020</v>
      </c>
      <c r="B276">
        <v>10</v>
      </c>
      <c r="C276" t="s">
        <v>358</v>
      </c>
      <c r="D276" t="s">
        <v>359</v>
      </c>
      <c r="E276" t="s">
        <v>360</v>
      </c>
      <c r="F276" t="s">
        <v>23</v>
      </c>
      <c r="G276">
        <v>4321571.8</v>
      </c>
      <c r="H276">
        <v>2660253.7599999998</v>
      </c>
      <c r="I276">
        <v>1661318.04</v>
      </c>
      <c r="J276">
        <v>492967.58</v>
      </c>
      <c r="K276">
        <v>301500.86</v>
      </c>
      <c r="L276">
        <v>191466.72</v>
      </c>
      <c r="M276">
        <v>6714405855</v>
      </c>
      <c r="N276">
        <v>6815908904</v>
      </c>
      <c r="O276">
        <v>5.2999999999999999E-2</v>
      </c>
      <c r="P276" t="s">
        <v>294</v>
      </c>
      <c r="Q276">
        <v>3.5000000000000003E-2</v>
      </c>
      <c r="R276">
        <v>0.02</v>
      </c>
      <c r="T276">
        <v>202954.72</v>
      </c>
    </row>
    <row r="277" spans="1:20" x14ac:dyDescent="0.25">
      <c r="A277">
        <v>2020</v>
      </c>
      <c r="B277">
        <v>10</v>
      </c>
      <c r="C277" t="s">
        <v>361</v>
      </c>
      <c r="D277" t="s">
        <v>362</v>
      </c>
      <c r="E277" t="s">
        <v>363</v>
      </c>
      <c r="F277" t="s">
        <v>23</v>
      </c>
      <c r="G277">
        <v>1564843.19</v>
      </c>
      <c r="H277">
        <v>834817.76</v>
      </c>
      <c r="I277">
        <v>730025.42</v>
      </c>
      <c r="J277">
        <v>226946.27</v>
      </c>
      <c r="K277">
        <v>139610.31</v>
      </c>
      <c r="L277">
        <v>87335.96</v>
      </c>
      <c r="M277">
        <v>3072315228</v>
      </c>
      <c r="N277">
        <v>3099425650</v>
      </c>
      <c r="O277">
        <v>5.2999999999999999E-2</v>
      </c>
      <c r="P277" t="s">
        <v>294</v>
      </c>
      <c r="Q277">
        <v>3.5000000000000003E-2</v>
      </c>
      <c r="R277">
        <v>0.02</v>
      </c>
      <c r="T277">
        <v>92576.11</v>
      </c>
    </row>
    <row r="278" spans="1:20" x14ac:dyDescent="0.25">
      <c r="A278">
        <v>2020</v>
      </c>
      <c r="B278">
        <v>10</v>
      </c>
      <c r="C278" t="s">
        <v>364</v>
      </c>
      <c r="D278" t="s">
        <v>367</v>
      </c>
      <c r="E278" t="s">
        <v>368</v>
      </c>
      <c r="F278" t="s">
        <v>34</v>
      </c>
      <c r="G278">
        <v>1006456.06</v>
      </c>
      <c r="H278">
        <v>1006456.06</v>
      </c>
      <c r="J278">
        <v>111397</v>
      </c>
      <c r="K278">
        <v>111397</v>
      </c>
      <c r="O278">
        <v>5.2999999999999999E-2</v>
      </c>
      <c r="Q278">
        <v>0</v>
      </c>
      <c r="R278">
        <v>0</v>
      </c>
    </row>
    <row r="279" spans="1:20" x14ac:dyDescent="0.25">
      <c r="A279">
        <v>2020</v>
      </c>
      <c r="B279">
        <v>10</v>
      </c>
      <c r="C279" t="s">
        <v>364</v>
      </c>
      <c r="D279" t="s">
        <v>365</v>
      </c>
      <c r="E279" t="s">
        <v>366</v>
      </c>
      <c r="F279" t="s">
        <v>34</v>
      </c>
      <c r="G279">
        <v>178385.37</v>
      </c>
      <c r="H279">
        <v>178385.37</v>
      </c>
      <c r="J279">
        <v>22759.78</v>
      </c>
      <c r="K279">
        <v>22759.78</v>
      </c>
      <c r="O279">
        <v>5.2999999999999999E-2</v>
      </c>
      <c r="Q279">
        <v>0</v>
      </c>
      <c r="R279">
        <v>0</v>
      </c>
    </row>
    <row r="280" spans="1:20" x14ac:dyDescent="0.25">
      <c r="A280">
        <v>2020</v>
      </c>
      <c r="B280">
        <v>11</v>
      </c>
      <c r="C280" t="s">
        <v>392</v>
      </c>
      <c r="D280" t="s">
        <v>393</v>
      </c>
      <c r="E280" t="s">
        <v>394</v>
      </c>
      <c r="G280">
        <v>0</v>
      </c>
      <c r="J280">
        <v>0</v>
      </c>
    </row>
    <row r="281" spans="1:20" x14ac:dyDescent="0.25">
      <c r="A281">
        <v>2020</v>
      </c>
      <c r="B281">
        <v>11</v>
      </c>
      <c r="C281" t="s">
        <v>395</v>
      </c>
      <c r="D281" t="s">
        <v>396</v>
      </c>
      <c r="E281" t="s">
        <v>397</v>
      </c>
      <c r="G281">
        <v>0</v>
      </c>
      <c r="J281">
        <v>0</v>
      </c>
    </row>
    <row r="282" spans="1:20" x14ac:dyDescent="0.25">
      <c r="A282">
        <v>2020</v>
      </c>
      <c r="B282">
        <v>11</v>
      </c>
      <c r="C282" t="s">
        <v>286</v>
      </c>
      <c r="D282" t="s">
        <v>287</v>
      </c>
      <c r="E282" t="s">
        <v>288</v>
      </c>
      <c r="G282">
        <v>0</v>
      </c>
      <c r="J282">
        <v>0</v>
      </c>
    </row>
    <row r="283" spans="1:20" x14ac:dyDescent="0.25">
      <c r="A283">
        <v>2020</v>
      </c>
      <c r="B283">
        <v>11</v>
      </c>
      <c r="C283" t="s">
        <v>398</v>
      </c>
      <c r="D283" t="s">
        <v>399</v>
      </c>
      <c r="E283" t="s">
        <v>400</v>
      </c>
      <c r="G283">
        <v>30217.83</v>
      </c>
      <c r="H283">
        <v>30217.83</v>
      </c>
      <c r="J283">
        <v>30217.83</v>
      </c>
      <c r="K283">
        <v>30217.83</v>
      </c>
    </row>
    <row r="284" spans="1:20" x14ac:dyDescent="0.25">
      <c r="A284">
        <v>2020</v>
      </c>
      <c r="B284">
        <v>11</v>
      </c>
      <c r="C284" t="s">
        <v>401</v>
      </c>
      <c r="D284" t="s">
        <v>402</v>
      </c>
      <c r="E284" t="s">
        <v>403</v>
      </c>
      <c r="G284">
        <v>119865.01</v>
      </c>
      <c r="H284">
        <v>119865.01</v>
      </c>
      <c r="J284">
        <v>112621.72</v>
      </c>
      <c r="K284">
        <v>112621.72</v>
      </c>
    </row>
    <row r="285" spans="1:20" x14ac:dyDescent="0.25">
      <c r="A285">
        <v>2020</v>
      </c>
      <c r="B285">
        <v>11</v>
      </c>
      <c r="C285" t="s">
        <v>289</v>
      </c>
      <c r="D285" t="s">
        <v>290</v>
      </c>
      <c r="E285" t="s">
        <v>291</v>
      </c>
      <c r="G285">
        <v>983783.38</v>
      </c>
      <c r="H285">
        <v>983783.38</v>
      </c>
      <c r="J285">
        <v>230081.4</v>
      </c>
      <c r="K285">
        <v>230081.4</v>
      </c>
    </row>
    <row r="286" spans="1:20" x14ac:dyDescent="0.25">
      <c r="A286">
        <v>2020</v>
      </c>
      <c r="B286">
        <v>11</v>
      </c>
      <c r="C286" t="s">
        <v>168</v>
      </c>
      <c r="D286" t="s">
        <v>292</v>
      </c>
      <c r="E286" t="s">
        <v>293</v>
      </c>
      <c r="F286" t="s">
        <v>23</v>
      </c>
      <c r="G286">
        <v>3791962.73</v>
      </c>
      <c r="H286">
        <v>2362609.41</v>
      </c>
      <c r="I286">
        <v>1429353.32</v>
      </c>
      <c r="J286">
        <v>395807.11</v>
      </c>
      <c r="K286">
        <v>256951.07</v>
      </c>
      <c r="L286">
        <v>138856.04</v>
      </c>
      <c r="M286">
        <v>4834448693</v>
      </c>
      <c r="N286">
        <v>4978044788</v>
      </c>
      <c r="O286">
        <v>5.2999999999999999E-2</v>
      </c>
      <c r="P286" t="s">
        <v>294</v>
      </c>
      <c r="Q286">
        <v>3.5000000000000003E-2</v>
      </c>
      <c r="R286">
        <v>0.02</v>
      </c>
      <c r="T286">
        <v>147187.4</v>
      </c>
    </row>
    <row r="287" spans="1:20" x14ac:dyDescent="0.25">
      <c r="A287">
        <v>2020</v>
      </c>
      <c r="B287">
        <v>11</v>
      </c>
      <c r="C287" t="s">
        <v>295</v>
      </c>
      <c r="D287" t="s">
        <v>296</v>
      </c>
      <c r="E287" t="s">
        <v>297</v>
      </c>
      <c r="F287" t="s">
        <v>23</v>
      </c>
      <c r="G287">
        <v>4642985.54</v>
      </c>
      <c r="H287">
        <v>2871078.15</v>
      </c>
      <c r="I287">
        <v>1771907.39</v>
      </c>
      <c r="J287">
        <v>503885.58</v>
      </c>
      <c r="K287">
        <v>314890.21000000002</v>
      </c>
      <c r="L287">
        <v>188995.38</v>
      </c>
      <c r="M287">
        <v>6629617540</v>
      </c>
      <c r="N287">
        <v>6726055795</v>
      </c>
      <c r="O287">
        <v>5.2999999999999999E-2</v>
      </c>
      <c r="P287" t="s">
        <v>294</v>
      </c>
      <c r="Q287">
        <v>3.5000000000000003E-2</v>
      </c>
      <c r="R287">
        <v>0.02</v>
      </c>
      <c r="T287">
        <v>200335.1</v>
      </c>
    </row>
    <row r="288" spans="1:20" x14ac:dyDescent="0.25">
      <c r="A288">
        <v>2020</v>
      </c>
      <c r="B288">
        <v>11</v>
      </c>
      <c r="C288" t="s">
        <v>298</v>
      </c>
      <c r="D288" t="s">
        <v>299</v>
      </c>
      <c r="E288" t="s">
        <v>300</v>
      </c>
      <c r="F288" t="s">
        <v>23</v>
      </c>
      <c r="G288">
        <v>1099015.28</v>
      </c>
      <c r="H288">
        <v>1099015.28</v>
      </c>
      <c r="J288">
        <v>204331.79</v>
      </c>
      <c r="K288">
        <v>204331.79</v>
      </c>
      <c r="O288">
        <v>5.2999999999999999E-2</v>
      </c>
      <c r="P288" t="s">
        <v>301</v>
      </c>
      <c r="Q288">
        <v>0</v>
      </c>
      <c r="R288">
        <v>0</v>
      </c>
    </row>
    <row r="289" spans="1:20" x14ac:dyDescent="0.25">
      <c r="A289">
        <v>2020</v>
      </c>
      <c r="B289">
        <v>11</v>
      </c>
      <c r="C289" t="s">
        <v>302</v>
      </c>
      <c r="D289" t="s">
        <v>303</v>
      </c>
      <c r="E289" t="s">
        <v>304</v>
      </c>
      <c r="F289" t="s">
        <v>23</v>
      </c>
      <c r="G289">
        <v>1918060.44</v>
      </c>
      <c r="H289">
        <v>1153735.46</v>
      </c>
      <c r="I289">
        <v>764324.97</v>
      </c>
      <c r="J289">
        <v>219093.69</v>
      </c>
      <c r="K289">
        <v>136869.29</v>
      </c>
      <c r="L289">
        <v>82224.39</v>
      </c>
      <c r="M289">
        <v>2871777126</v>
      </c>
      <c r="N289">
        <v>2938746640</v>
      </c>
      <c r="O289">
        <v>5.2999999999999999E-2</v>
      </c>
      <c r="P289" t="s">
        <v>294</v>
      </c>
      <c r="Q289">
        <v>3.5000000000000003E-2</v>
      </c>
      <c r="R289">
        <v>0.02</v>
      </c>
      <c r="T289">
        <v>87157.86</v>
      </c>
    </row>
    <row r="290" spans="1:20" x14ac:dyDescent="0.25">
      <c r="A290">
        <v>2020</v>
      </c>
      <c r="B290">
        <v>11</v>
      </c>
      <c r="C290" t="s">
        <v>305</v>
      </c>
      <c r="D290" t="s">
        <v>306</v>
      </c>
      <c r="E290" t="s">
        <v>307</v>
      </c>
      <c r="F290" t="s">
        <v>23</v>
      </c>
      <c r="G290">
        <v>2834425.26</v>
      </c>
      <c r="H290">
        <v>1664472.61</v>
      </c>
      <c r="I290">
        <v>1169952.6499999999</v>
      </c>
      <c r="J290">
        <v>367068.1</v>
      </c>
      <c r="K290">
        <v>228870.57</v>
      </c>
      <c r="L290">
        <v>138197.53</v>
      </c>
      <c r="M290">
        <v>4790600693</v>
      </c>
      <c r="N290">
        <v>4975358175</v>
      </c>
      <c r="O290">
        <v>5.2999999999999999E-2</v>
      </c>
      <c r="P290" t="s">
        <v>294</v>
      </c>
      <c r="Q290">
        <v>3.5000000000000003E-2</v>
      </c>
      <c r="R290">
        <v>0.02</v>
      </c>
      <c r="T290">
        <v>146489.38</v>
      </c>
    </row>
    <row r="291" spans="1:20" x14ac:dyDescent="0.25">
      <c r="A291">
        <v>2020</v>
      </c>
      <c r="B291">
        <v>11</v>
      </c>
      <c r="C291" t="s">
        <v>308</v>
      </c>
      <c r="D291" t="s">
        <v>309</v>
      </c>
      <c r="E291" t="s">
        <v>310</v>
      </c>
      <c r="F291" t="s">
        <v>23</v>
      </c>
      <c r="G291">
        <v>4280523.2699999996</v>
      </c>
      <c r="H291">
        <v>2645263.5499999998</v>
      </c>
      <c r="I291">
        <v>1635259.73</v>
      </c>
      <c r="J291">
        <v>459557.28</v>
      </c>
      <c r="K291">
        <v>285176.03999999998</v>
      </c>
      <c r="L291">
        <v>174381.24</v>
      </c>
      <c r="M291">
        <v>6063596212</v>
      </c>
      <c r="N291">
        <v>6259344571</v>
      </c>
      <c r="O291">
        <v>5.2999999999999999E-2</v>
      </c>
      <c r="P291" t="s">
        <v>294</v>
      </c>
      <c r="Q291">
        <v>3.5000000000000003E-2</v>
      </c>
      <c r="R291">
        <v>0.02</v>
      </c>
      <c r="T291">
        <v>184844.11</v>
      </c>
    </row>
    <row r="292" spans="1:20" x14ac:dyDescent="0.25">
      <c r="A292">
        <v>2020</v>
      </c>
      <c r="B292">
        <v>11</v>
      </c>
      <c r="C292" t="s">
        <v>311</v>
      </c>
      <c r="D292" t="s">
        <v>312</v>
      </c>
      <c r="E292" t="s">
        <v>313</v>
      </c>
      <c r="F292" t="s">
        <v>23</v>
      </c>
      <c r="G292">
        <v>774223.92</v>
      </c>
      <c r="I292">
        <v>774223.92</v>
      </c>
      <c r="J292">
        <v>83493.37</v>
      </c>
      <c r="L292">
        <v>83493.37</v>
      </c>
      <c r="M292">
        <v>3376182613</v>
      </c>
      <c r="N292">
        <v>3475660528</v>
      </c>
      <c r="O292">
        <v>5.2999999999999999E-2</v>
      </c>
      <c r="P292" t="s">
        <v>314</v>
      </c>
      <c r="Q292">
        <v>3.7499999999999999E-2</v>
      </c>
      <c r="R292">
        <v>0.02</v>
      </c>
      <c r="T292">
        <v>88502.97</v>
      </c>
    </row>
    <row r="293" spans="1:20" x14ac:dyDescent="0.25">
      <c r="A293">
        <v>2020</v>
      </c>
      <c r="B293">
        <v>11</v>
      </c>
      <c r="C293" t="s">
        <v>315</v>
      </c>
      <c r="D293" t="s">
        <v>316</v>
      </c>
      <c r="E293" t="s">
        <v>317</v>
      </c>
      <c r="F293" t="s">
        <v>23</v>
      </c>
      <c r="G293">
        <v>-84411.71</v>
      </c>
      <c r="H293">
        <v>-84411.71</v>
      </c>
      <c r="J293">
        <v>114929</v>
      </c>
      <c r="K293">
        <v>114929</v>
      </c>
      <c r="O293">
        <v>5.2999999999999999E-2</v>
      </c>
      <c r="P293" t="s">
        <v>301</v>
      </c>
      <c r="Q293">
        <v>0</v>
      </c>
      <c r="R293">
        <v>0</v>
      </c>
    </row>
    <row r="294" spans="1:20" x14ac:dyDescent="0.25">
      <c r="A294">
        <v>2020</v>
      </c>
      <c r="B294">
        <v>11</v>
      </c>
      <c r="C294" t="s">
        <v>318</v>
      </c>
      <c r="D294" t="s">
        <v>319</v>
      </c>
      <c r="E294" t="s">
        <v>320</v>
      </c>
      <c r="F294" t="s">
        <v>23</v>
      </c>
      <c r="G294">
        <v>574036.11</v>
      </c>
      <c r="H294">
        <v>295108.93</v>
      </c>
      <c r="I294">
        <v>278927.17</v>
      </c>
      <c r="J294">
        <v>87181.759999999995</v>
      </c>
      <c r="K294">
        <v>54116.91</v>
      </c>
      <c r="L294">
        <v>33064.85</v>
      </c>
      <c r="M294">
        <v>1149150543</v>
      </c>
      <c r="N294">
        <v>1187432468</v>
      </c>
      <c r="O294">
        <v>5.2999999999999999E-2</v>
      </c>
      <c r="P294" t="s">
        <v>294</v>
      </c>
      <c r="Q294">
        <v>3.5000000000000003E-2</v>
      </c>
      <c r="R294">
        <v>0.02</v>
      </c>
      <c r="T294">
        <v>35048.75</v>
      </c>
    </row>
    <row r="295" spans="1:20" x14ac:dyDescent="0.25">
      <c r="A295">
        <v>2020</v>
      </c>
      <c r="B295">
        <v>11</v>
      </c>
      <c r="C295" t="s">
        <v>321</v>
      </c>
      <c r="D295" t="s">
        <v>322</v>
      </c>
      <c r="E295" t="s">
        <v>323</v>
      </c>
      <c r="F295" t="s">
        <v>23</v>
      </c>
      <c r="G295">
        <v>3037421.57</v>
      </c>
      <c r="I295">
        <v>3037421.57</v>
      </c>
      <c r="J295">
        <v>335559.01</v>
      </c>
      <c r="L295">
        <v>335559.01</v>
      </c>
      <c r="M295">
        <v>11783328575</v>
      </c>
      <c r="N295">
        <v>11929508065</v>
      </c>
      <c r="O295">
        <v>5.2999999999999999E-2</v>
      </c>
      <c r="P295" t="s">
        <v>294</v>
      </c>
      <c r="Q295">
        <v>3.5000000000000003E-2</v>
      </c>
      <c r="R295">
        <v>0.02</v>
      </c>
      <c r="T295">
        <v>355692.55</v>
      </c>
    </row>
    <row r="296" spans="1:20" x14ac:dyDescent="0.25">
      <c r="A296">
        <v>2020</v>
      </c>
      <c r="B296">
        <v>11</v>
      </c>
      <c r="C296" t="s">
        <v>324</v>
      </c>
      <c r="D296" t="s">
        <v>325</v>
      </c>
      <c r="E296" t="s">
        <v>326</v>
      </c>
      <c r="F296" t="s">
        <v>23</v>
      </c>
      <c r="G296">
        <v>1625291.97</v>
      </c>
      <c r="H296">
        <v>852424.4</v>
      </c>
      <c r="I296">
        <v>772867.58</v>
      </c>
      <c r="J296">
        <v>191232.42</v>
      </c>
      <c r="K296">
        <v>101358.16</v>
      </c>
      <c r="L296">
        <v>89874.26</v>
      </c>
      <c r="M296">
        <v>3092231962</v>
      </c>
      <c r="N296">
        <v>3258882432</v>
      </c>
      <c r="O296">
        <v>5.2999999999999999E-2</v>
      </c>
      <c r="P296" t="s">
        <v>294</v>
      </c>
      <c r="Q296">
        <v>3.5000000000000003E-2</v>
      </c>
      <c r="R296">
        <v>0.02</v>
      </c>
      <c r="T296">
        <v>95266.72</v>
      </c>
    </row>
    <row r="297" spans="1:20" x14ac:dyDescent="0.25">
      <c r="A297">
        <v>2020</v>
      </c>
      <c r="B297">
        <v>11</v>
      </c>
      <c r="C297" t="s">
        <v>327</v>
      </c>
      <c r="D297" t="s">
        <v>328</v>
      </c>
      <c r="E297" t="s">
        <v>329</v>
      </c>
      <c r="F297" t="s">
        <v>23</v>
      </c>
      <c r="G297">
        <v>3121349.98</v>
      </c>
      <c r="H297">
        <v>1927870.2</v>
      </c>
      <c r="I297">
        <v>1193479.78</v>
      </c>
      <c r="J297">
        <v>334202.59999999998</v>
      </c>
      <c r="K297">
        <v>209234.3</v>
      </c>
      <c r="L297">
        <v>124968.29</v>
      </c>
      <c r="M297">
        <v>4369608447</v>
      </c>
      <c r="N297">
        <v>4461484280</v>
      </c>
      <c r="O297">
        <v>5.2999999999999999E-2</v>
      </c>
      <c r="P297" t="s">
        <v>294</v>
      </c>
      <c r="Q297">
        <v>3.5000000000000003E-2</v>
      </c>
      <c r="R297">
        <v>0.02</v>
      </c>
      <c r="T297">
        <v>132466.39000000001</v>
      </c>
    </row>
    <row r="298" spans="1:20" x14ac:dyDescent="0.25">
      <c r="A298">
        <v>2020</v>
      </c>
      <c r="B298">
        <v>11</v>
      </c>
      <c r="C298" t="s">
        <v>330</v>
      </c>
      <c r="D298" t="s">
        <v>331</v>
      </c>
      <c r="E298" t="s">
        <v>332</v>
      </c>
      <c r="F298" t="s">
        <v>23</v>
      </c>
      <c r="G298">
        <v>256654.25</v>
      </c>
      <c r="H298">
        <v>141959.78</v>
      </c>
      <c r="I298">
        <v>114694.47</v>
      </c>
      <c r="J298">
        <v>79030.710000000006</v>
      </c>
      <c r="K298">
        <v>45629.36</v>
      </c>
      <c r="L298">
        <v>33401.35</v>
      </c>
      <c r="M298">
        <v>1106455403</v>
      </c>
      <c r="N298">
        <v>1253906495</v>
      </c>
      <c r="O298">
        <v>5.2999999999999999E-2</v>
      </c>
      <c r="P298" t="s">
        <v>294</v>
      </c>
      <c r="Q298">
        <v>3.5000000000000003E-2</v>
      </c>
      <c r="R298">
        <v>0.02</v>
      </c>
      <c r="T298">
        <v>35405.43</v>
      </c>
    </row>
    <row r="299" spans="1:20" x14ac:dyDescent="0.25">
      <c r="A299">
        <v>2020</v>
      </c>
      <c r="B299">
        <v>11</v>
      </c>
      <c r="C299" t="s">
        <v>333</v>
      </c>
      <c r="D299" t="s">
        <v>334</v>
      </c>
      <c r="E299" t="s">
        <v>335</v>
      </c>
      <c r="F299" t="s">
        <v>23</v>
      </c>
      <c r="G299">
        <v>152042.31</v>
      </c>
      <c r="I299">
        <v>152042.31</v>
      </c>
      <c r="J299">
        <v>15638.28</v>
      </c>
      <c r="L299">
        <v>15638.28</v>
      </c>
      <c r="M299">
        <v>677512893.10000002</v>
      </c>
      <c r="N299">
        <v>703868154.79999995</v>
      </c>
      <c r="O299">
        <v>5.2999999999999999E-2</v>
      </c>
      <c r="P299" t="s">
        <v>294</v>
      </c>
      <c r="Q299">
        <v>3.5000000000000003E-2</v>
      </c>
      <c r="R299">
        <v>1.6E-2</v>
      </c>
      <c r="T299">
        <v>16576.57</v>
      </c>
    </row>
    <row r="300" spans="1:20" x14ac:dyDescent="0.25">
      <c r="A300">
        <v>2020</v>
      </c>
      <c r="B300">
        <v>11</v>
      </c>
      <c r="C300" t="s">
        <v>336</v>
      </c>
      <c r="D300" t="s">
        <v>337</v>
      </c>
      <c r="E300" t="s">
        <v>338</v>
      </c>
      <c r="F300" t="s">
        <v>23</v>
      </c>
      <c r="G300">
        <v>310691.15000000002</v>
      </c>
      <c r="I300">
        <v>310691.15000000002</v>
      </c>
      <c r="J300">
        <v>36232.239999999998</v>
      </c>
      <c r="L300">
        <v>36232.239999999998</v>
      </c>
      <c r="M300">
        <v>1256095219</v>
      </c>
      <c r="N300">
        <v>1304316693</v>
      </c>
      <c r="O300">
        <v>5.2999999999999999E-2</v>
      </c>
      <c r="P300" t="s">
        <v>339</v>
      </c>
      <c r="Q300">
        <v>3.5000000000000003E-2</v>
      </c>
      <c r="R300">
        <v>0.02</v>
      </c>
      <c r="T300">
        <v>38406.18</v>
      </c>
    </row>
    <row r="301" spans="1:20" x14ac:dyDescent="0.25">
      <c r="A301">
        <v>2020</v>
      </c>
      <c r="B301">
        <v>11</v>
      </c>
      <c r="C301" t="s">
        <v>340</v>
      </c>
      <c r="D301" t="s">
        <v>341</v>
      </c>
      <c r="E301" t="s">
        <v>342</v>
      </c>
      <c r="F301" t="s">
        <v>23</v>
      </c>
      <c r="G301">
        <v>7464618.3200000003</v>
      </c>
      <c r="H301">
        <v>4618552.8499999996</v>
      </c>
      <c r="I301">
        <v>2846065.47</v>
      </c>
      <c r="J301">
        <v>805374.69</v>
      </c>
      <c r="K301">
        <v>503131.33</v>
      </c>
      <c r="L301">
        <v>302243.36</v>
      </c>
      <c r="M301">
        <v>10563234642</v>
      </c>
      <c r="N301">
        <v>10795296159</v>
      </c>
      <c r="O301">
        <v>5.2999999999999999E-2</v>
      </c>
      <c r="P301" t="s">
        <v>294</v>
      </c>
      <c r="Q301">
        <v>3.5000000000000003E-2</v>
      </c>
      <c r="R301">
        <v>0.02</v>
      </c>
      <c r="T301">
        <v>320377.96000000002</v>
      </c>
    </row>
    <row r="302" spans="1:20" x14ac:dyDescent="0.25">
      <c r="A302">
        <v>2020</v>
      </c>
      <c r="B302">
        <v>11</v>
      </c>
      <c r="C302" t="s">
        <v>343</v>
      </c>
      <c r="D302" t="s">
        <v>344</v>
      </c>
      <c r="E302" t="s">
        <v>345</v>
      </c>
      <c r="F302" t="s">
        <v>23</v>
      </c>
      <c r="G302">
        <v>1884287.48</v>
      </c>
      <c r="H302">
        <v>1103115.43</v>
      </c>
      <c r="I302">
        <v>781172.04</v>
      </c>
      <c r="J302">
        <v>234242.09</v>
      </c>
      <c r="K302">
        <v>146132.94</v>
      </c>
      <c r="L302">
        <v>88109.15</v>
      </c>
      <c r="M302">
        <v>3073727764</v>
      </c>
      <c r="N302">
        <v>3152651948</v>
      </c>
      <c r="O302">
        <v>5.2999999999999999E-2</v>
      </c>
      <c r="P302" t="s">
        <v>294</v>
      </c>
      <c r="Q302">
        <v>3.5000000000000003E-2</v>
      </c>
      <c r="R302">
        <v>0.02</v>
      </c>
      <c r="T302">
        <v>93395.7</v>
      </c>
    </row>
    <row r="303" spans="1:20" x14ac:dyDescent="0.25">
      <c r="A303">
        <v>2020</v>
      </c>
      <c r="B303">
        <v>11</v>
      </c>
      <c r="C303" t="s">
        <v>346</v>
      </c>
      <c r="D303" t="s">
        <v>347</v>
      </c>
      <c r="E303" t="s">
        <v>348</v>
      </c>
      <c r="F303" t="s">
        <v>23</v>
      </c>
      <c r="G303">
        <v>3141500.2</v>
      </c>
      <c r="H303">
        <v>1935829.65</v>
      </c>
      <c r="I303">
        <v>1205670.55</v>
      </c>
      <c r="J303">
        <v>348925.48</v>
      </c>
      <c r="K303">
        <v>216388.77</v>
      </c>
      <c r="L303">
        <v>132536.71</v>
      </c>
      <c r="M303">
        <v>4575524422</v>
      </c>
      <c r="N303">
        <v>4790403074</v>
      </c>
      <c r="O303">
        <v>5.2999999999999999E-2</v>
      </c>
      <c r="P303" t="s">
        <v>294</v>
      </c>
      <c r="Q303">
        <v>3.5000000000000003E-2</v>
      </c>
      <c r="R303">
        <v>0.02</v>
      </c>
      <c r="T303">
        <v>140488.91</v>
      </c>
    </row>
    <row r="304" spans="1:20" x14ac:dyDescent="0.25">
      <c r="A304">
        <v>2020</v>
      </c>
      <c r="B304">
        <v>11</v>
      </c>
      <c r="C304" t="s">
        <v>349</v>
      </c>
      <c r="D304" t="s">
        <v>350</v>
      </c>
      <c r="E304" t="s">
        <v>351</v>
      </c>
      <c r="F304" t="s">
        <v>23</v>
      </c>
      <c r="G304">
        <v>12243303.01</v>
      </c>
      <c r="H304">
        <v>9954650.4800000004</v>
      </c>
      <c r="I304">
        <v>2288652.5299999998</v>
      </c>
      <c r="J304">
        <v>1252737.06</v>
      </c>
      <c r="K304">
        <v>1022368.07</v>
      </c>
      <c r="L304">
        <v>230368.99</v>
      </c>
      <c r="M304">
        <v>16127583958</v>
      </c>
      <c r="N304">
        <v>16431233655</v>
      </c>
      <c r="O304">
        <v>5.2999999999999999E-2</v>
      </c>
      <c r="P304" t="s">
        <v>294</v>
      </c>
      <c r="Q304">
        <v>3.5000000000000003E-2</v>
      </c>
      <c r="R304">
        <v>0.01</v>
      </c>
      <c r="T304">
        <v>244191.13</v>
      </c>
    </row>
    <row r="305" spans="1:20" x14ac:dyDescent="0.25">
      <c r="A305">
        <v>2020</v>
      </c>
      <c r="B305">
        <v>11</v>
      </c>
      <c r="C305" t="s">
        <v>352</v>
      </c>
      <c r="D305" t="s">
        <v>353</v>
      </c>
      <c r="E305" t="s">
        <v>354</v>
      </c>
      <c r="F305" t="s">
        <v>23</v>
      </c>
      <c r="G305">
        <v>5453034.3700000001</v>
      </c>
      <c r="H305">
        <v>3202382.29</v>
      </c>
      <c r="I305">
        <v>2250652.08</v>
      </c>
      <c r="J305">
        <v>655617.89</v>
      </c>
      <c r="K305">
        <v>407405.32</v>
      </c>
      <c r="L305">
        <v>248212.57</v>
      </c>
      <c r="M305">
        <v>8518682471</v>
      </c>
      <c r="N305">
        <v>9021672202</v>
      </c>
      <c r="O305">
        <v>5.2999999999999999E-2</v>
      </c>
      <c r="P305" t="s">
        <v>339</v>
      </c>
      <c r="Q305">
        <v>3.5000000000000003E-2</v>
      </c>
      <c r="R305">
        <v>0.02</v>
      </c>
      <c r="T305">
        <v>263105.32</v>
      </c>
    </row>
    <row r="306" spans="1:20" x14ac:dyDescent="0.25">
      <c r="A306">
        <v>2020</v>
      </c>
      <c r="B306">
        <v>11</v>
      </c>
      <c r="C306" t="s">
        <v>355</v>
      </c>
      <c r="D306" t="s">
        <v>356</v>
      </c>
      <c r="E306" t="s">
        <v>357</v>
      </c>
      <c r="F306" t="s">
        <v>23</v>
      </c>
      <c r="G306">
        <v>1888745.11</v>
      </c>
      <c r="H306">
        <v>1087290.48</v>
      </c>
      <c r="I306">
        <v>801454.63</v>
      </c>
      <c r="J306">
        <v>201450.94</v>
      </c>
      <c r="K306">
        <v>116792.38</v>
      </c>
      <c r="L306">
        <v>84658.559999999998</v>
      </c>
      <c r="M306">
        <v>2942666986</v>
      </c>
      <c r="N306">
        <v>3039871377</v>
      </c>
      <c r="O306">
        <v>5.2999999999999999E-2</v>
      </c>
      <c r="P306" t="s">
        <v>294</v>
      </c>
      <c r="Q306">
        <v>3.5000000000000003E-2</v>
      </c>
      <c r="R306">
        <v>0.02</v>
      </c>
      <c r="T306">
        <v>89738.08</v>
      </c>
    </row>
    <row r="307" spans="1:20" x14ac:dyDescent="0.25">
      <c r="A307">
        <v>2020</v>
      </c>
      <c r="B307">
        <v>11</v>
      </c>
      <c r="C307" t="s">
        <v>358</v>
      </c>
      <c r="D307" t="s">
        <v>359</v>
      </c>
      <c r="E307" t="s">
        <v>360</v>
      </c>
      <c r="F307" t="s">
        <v>23</v>
      </c>
      <c r="G307">
        <v>4843233.8899999997</v>
      </c>
      <c r="H307">
        <v>2985210.58</v>
      </c>
      <c r="I307">
        <v>1858023.31</v>
      </c>
      <c r="J307">
        <v>521662.09</v>
      </c>
      <c r="K307">
        <v>324956.82</v>
      </c>
      <c r="L307">
        <v>196705.27</v>
      </c>
      <c r="M307">
        <v>6815908904</v>
      </c>
      <c r="N307">
        <v>7084597139</v>
      </c>
      <c r="O307">
        <v>5.2999999999999999E-2</v>
      </c>
      <c r="P307" t="s">
        <v>294</v>
      </c>
      <c r="Q307">
        <v>3.5000000000000003E-2</v>
      </c>
      <c r="R307">
        <v>0.02</v>
      </c>
      <c r="T307">
        <v>208507.59</v>
      </c>
    </row>
    <row r="308" spans="1:20" x14ac:dyDescent="0.25">
      <c r="A308">
        <v>2020</v>
      </c>
      <c r="B308">
        <v>11</v>
      </c>
      <c r="C308" t="s">
        <v>361</v>
      </c>
      <c r="D308" t="s">
        <v>362</v>
      </c>
      <c r="E308" t="s">
        <v>363</v>
      </c>
      <c r="F308" t="s">
        <v>23</v>
      </c>
      <c r="G308">
        <v>1802487.12</v>
      </c>
      <c r="H308">
        <v>983115.47</v>
      </c>
      <c r="I308">
        <v>819371.64</v>
      </c>
      <c r="J308">
        <v>237643.93</v>
      </c>
      <c r="K308">
        <v>148297.71</v>
      </c>
      <c r="L308">
        <v>89346.22</v>
      </c>
      <c r="M308">
        <v>3099425650</v>
      </c>
      <c r="N308">
        <v>3214374082</v>
      </c>
      <c r="O308">
        <v>5.2999999999999999E-2</v>
      </c>
      <c r="P308" t="s">
        <v>294</v>
      </c>
      <c r="Q308">
        <v>3.5000000000000003E-2</v>
      </c>
      <c r="R308">
        <v>0.02</v>
      </c>
      <c r="T308">
        <v>94707</v>
      </c>
    </row>
    <row r="309" spans="1:20" x14ac:dyDescent="0.25">
      <c r="A309">
        <v>2020</v>
      </c>
      <c r="B309">
        <v>11</v>
      </c>
      <c r="C309" t="s">
        <v>364</v>
      </c>
      <c r="D309" t="s">
        <v>367</v>
      </c>
      <c r="E309" t="s">
        <v>368</v>
      </c>
      <c r="F309" t="s">
        <v>34</v>
      </c>
      <c r="G309">
        <v>1124256.08</v>
      </c>
      <c r="H309">
        <v>1124256.08</v>
      </c>
      <c r="J309">
        <v>117800.03</v>
      </c>
      <c r="K309">
        <v>117800.03</v>
      </c>
      <c r="O309">
        <v>5.2999999999999999E-2</v>
      </c>
      <c r="Q309">
        <v>0</v>
      </c>
      <c r="R309">
        <v>0</v>
      </c>
    </row>
    <row r="310" spans="1:20" x14ac:dyDescent="0.25">
      <c r="A310">
        <v>2020</v>
      </c>
      <c r="B310">
        <v>11</v>
      </c>
      <c r="C310" t="s">
        <v>364</v>
      </c>
      <c r="D310" t="s">
        <v>365</v>
      </c>
      <c r="E310" t="s">
        <v>366</v>
      </c>
      <c r="F310" t="s">
        <v>34</v>
      </c>
      <c r="G310">
        <v>202153.5</v>
      </c>
      <c r="H310">
        <v>202153.5</v>
      </c>
      <c r="J310">
        <v>23768.13</v>
      </c>
      <c r="K310">
        <v>23768.13</v>
      </c>
      <c r="O310">
        <v>5.2999999999999999E-2</v>
      </c>
      <c r="Q310">
        <v>0</v>
      </c>
      <c r="R310">
        <v>0</v>
      </c>
    </row>
    <row r="311" spans="1:20" x14ac:dyDescent="0.25">
      <c r="A311">
        <v>2020</v>
      </c>
      <c r="B311">
        <v>12</v>
      </c>
      <c r="C311" t="s">
        <v>392</v>
      </c>
      <c r="D311" t="s">
        <v>393</v>
      </c>
      <c r="E311" t="s">
        <v>394</v>
      </c>
      <c r="G311">
        <v>0</v>
      </c>
      <c r="J311">
        <v>0</v>
      </c>
    </row>
    <row r="312" spans="1:20" x14ac:dyDescent="0.25">
      <c r="A312">
        <v>2020</v>
      </c>
      <c r="B312">
        <v>12</v>
      </c>
      <c r="C312" t="s">
        <v>395</v>
      </c>
      <c r="D312" t="s">
        <v>396</v>
      </c>
      <c r="E312" t="s">
        <v>397</v>
      </c>
      <c r="G312">
        <v>0</v>
      </c>
      <c r="J312">
        <v>0</v>
      </c>
    </row>
    <row r="313" spans="1:20" x14ac:dyDescent="0.25">
      <c r="A313">
        <v>2020</v>
      </c>
      <c r="B313">
        <v>12</v>
      </c>
      <c r="C313" t="s">
        <v>286</v>
      </c>
      <c r="D313" t="s">
        <v>287</v>
      </c>
      <c r="E313" t="s">
        <v>288</v>
      </c>
      <c r="G313">
        <v>106172.95</v>
      </c>
      <c r="H313">
        <v>106172.95</v>
      </c>
      <c r="J313">
        <v>106172.95</v>
      </c>
      <c r="K313">
        <v>106172.95</v>
      </c>
    </row>
    <row r="314" spans="1:20" x14ac:dyDescent="0.25">
      <c r="A314">
        <v>2020</v>
      </c>
      <c r="B314">
        <v>12</v>
      </c>
      <c r="C314" t="s">
        <v>398</v>
      </c>
      <c r="D314" t="s">
        <v>399</v>
      </c>
      <c r="E314" t="s">
        <v>400</v>
      </c>
      <c r="G314">
        <v>122428.61</v>
      </c>
      <c r="H314">
        <v>122428.61</v>
      </c>
      <c r="J314">
        <v>92210.78</v>
      </c>
      <c r="K314">
        <v>92210.78</v>
      </c>
    </row>
    <row r="315" spans="1:20" x14ac:dyDescent="0.25">
      <c r="A315">
        <v>2020</v>
      </c>
      <c r="B315">
        <v>12</v>
      </c>
      <c r="C315" t="s">
        <v>401</v>
      </c>
      <c r="D315" t="s">
        <v>402</v>
      </c>
      <c r="E315" t="s">
        <v>403</v>
      </c>
      <c r="G315">
        <v>234484.35</v>
      </c>
      <c r="H315">
        <v>234484.35</v>
      </c>
      <c r="J315">
        <v>114619.34</v>
      </c>
      <c r="K315">
        <v>114619.34</v>
      </c>
    </row>
    <row r="316" spans="1:20" x14ac:dyDescent="0.25">
      <c r="A316">
        <v>2020</v>
      </c>
      <c r="B316">
        <v>12</v>
      </c>
      <c r="C316" t="s">
        <v>289</v>
      </c>
      <c r="D316" t="s">
        <v>290</v>
      </c>
      <c r="E316" t="s">
        <v>291</v>
      </c>
      <c r="G316">
        <v>1217640.3400000001</v>
      </c>
      <c r="H316">
        <v>1217640.3400000001</v>
      </c>
      <c r="J316">
        <v>233856.96</v>
      </c>
      <c r="K316">
        <v>233856.96</v>
      </c>
    </row>
    <row r="317" spans="1:20" x14ac:dyDescent="0.25">
      <c r="A317">
        <v>2020</v>
      </c>
      <c r="B317">
        <v>12</v>
      </c>
      <c r="C317" t="s">
        <v>675</v>
      </c>
      <c r="D317" t="s">
        <v>676</v>
      </c>
      <c r="E317" t="s">
        <v>677</v>
      </c>
      <c r="G317">
        <v>0</v>
      </c>
      <c r="J317">
        <v>0</v>
      </c>
    </row>
    <row r="318" spans="1:20" x14ac:dyDescent="0.25">
      <c r="A318">
        <v>2020</v>
      </c>
      <c r="B318">
        <v>12</v>
      </c>
      <c r="C318" t="s">
        <v>168</v>
      </c>
      <c r="D318" t="s">
        <v>292</v>
      </c>
      <c r="E318" t="s">
        <v>293</v>
      </c>
      <c r="F318" t="s">
        <v>23</v>
      </c>
      <c r="G318">
        <v>4164663.67</v>
      </c>
      <c r="H318">
        <v>2592166.98</v>
      </c>
      <c r="I318">
        <v>1572496.68</v>
      </c>
      <c r="J318">
        <v>372700.94</v>
      </c>
      <c r="K318">
        <v>229557.58</v>
      </c>
      <c r="L318">
        <v>143143.35999999999</v>
      </c>
      <c r="M318">
        <v>4978044788</v>
      </c>
      <c r="N318">
        <v>5137419405</v>
      </c>
      <c r="O318">
        <v>5.2999999999999999E-2</v>
      </c>
      <c r="P318" t="s">
        <v>294</v>
      </c>
      <c r="Q318">
        <v>3.5000000000000003E-2</v>
      </c>
      <c r="R318">
        <v>0.02</v>
      </c>
      <c r="T318">
        <v>151731.96</v>
      </c>
    </row>
    <row r="319" spans="1:20" x14ac:dyDescent="0.25">
      <c r="A319">
        <v>2020</v>
      </c>
      <c r="B319">
        <v>12</v>
      </c>
      <c r="C319" t="s">
        <v>295</v>
      </c>
      <c r="D319" t="s">
        <v>296</v>
      </c>
      <c r="E319" t="s">
        <v>297</v>
      </c>
      <c r="F319" t="s">
        <v>23</v>
      </c>
      <c r="G319">
        <v>5147854.09</v>
      </c>
      <c r="H319">
        <v>3181594.15</v>
      </c>
      <c r="I319">
        <v>1966259.93</v>
      </c>
      <c r="J319">
        <v>504868.55</v>
      </c>
      <c r="K319">
        <v>310516</v>
      </c>
      <c r="L319">
        <v>194352.55</v>
      </c>
      <c r="M319">
        <v>6726055795</v>
      </c>
      <c r="N319">
        <v>7008191042</v>
      </c>
      <c r="O319">
        <v>5.2999999999999999E-2</v>
      </c>
      <c r="P319" t="s">
        <v>294</v>
      </c>
      <c r="Q319">
        <v>3.5000000000000003E-2</v>
      </c>
      <c r="R319">
        <v>0.02</v>
      </c>
      <c r="T319">
        <v>206013.7</v>
      </c>
    </row>
    <row r="320" spans="1:20" x14ac:dyDescent="0.25">
      <c r="A320">
        <v>2020</v>
      </c>
      <c r="B320">
        <v>12</v>
      </c>
      <c r="C320" t="s">
        <v>298</v>
      </c>
      <c r="D320" t="s">
        <v>299</v>
      </c>
      <c r="E320" t="s">
        <v>300</v>
      </c>
      <c r="F320" t="s">
        <v>23</v>
      </c>
      <c r="G320">
        <v>1304049.1599999999</v>
      </c>
      <c r="H320">
        <v>1304049.1599999999</v>
      </c>
      <c r="J320">
        <v>205033.88</v>
      </c>
      <c r="K320">
        <v>205033.88</v>
      </c>
      <c r="O320">
        <v>5.2999999999999999E-2</v>
      </c>
      <c r="P320" t="s">
        <v>301</v>
      </c>
      <c r="Q320">
        <v>0</v>
      </c>
      <c r="R320">
        <v>0</v>
      </c>
    </row>
    <row r="321" spans="1:20" x14ac:dyDescent="0.25">
      <c r="A321">
        <v>2020</v>
      </c>
      <c r="B321">
        <v>12</v>
      </c>
      <c r="C321" t="s">
        <v>302</v>
      </c>
      <c r="D321" t="s">
        <v>303</v>
      </c>
      <c r="E321" t="s">
        <v>304</v>
      </c>
      <c r="F321" t="s">
        <v>23</v>
      </c>
      <c r="G321">
        <v>2137980</v>
      </c>
      <c r="H321">
        <v>1289405.3</v>
      </c>
      <c r="I321">
        <v>848574.7</v>
      </c>
      <c r="J321">
        <v>219919.57</v>
      </c>
      <c r="K321">
        <v>135669.84</v>
      </c>
      <c r="L321">
        <v>84249.73</v>
      </c>
      <c r="M321">
        <v>2938746640</v>
      </c>
      <c r="N321">
        <v>3014900716</v>
      </c>
      <c r="O321">
        <v>5.2999999999999999E-2</v>
      </c>
      <c r="P321" t="s">
        <v>294</v>
      </c>
      <c r="Q321">
        <v>3.5000000000000003E-2</v>
      </c>
      <c r="R321">
        <v>0.02</v>
      </c>
      <c r="T321">
        <v>89304.71</v>
      </c>
    </row>
    <row r="322" spans="1:20" x14ac:dyDescent="0.25">
      <c r="A322">
        <v>2020</v>
      </c>
      <c r="B322">
        <v>12</v>
      </c>
      <c r="C322" t="s">
        <v>305</v>
      </c>
      <c r="D322" t="s">
        <v>306</v>
      </c>
      <c r="E322" t="s">
        <v>307</v>
      </c>
      <c r="F322" t="s">
        <v>23</v>
      </c>
      <c r="G322">
        <v>3208016.55</v>
      </c>
      <c r="H322">
        <v>1893969.9199999999</v>
      </c>
      <c r="I322">
        <v>1314046.6299999999</v>
      </c>
      <c r="J322">
        <v>373591.29</v>
      </c>
      <c r="K322">
        <v>229497.31</v>
      </c>
      <c r="L322">
        <v>144093.98000000001</v>
      </c>
      <c r="M322">
        <v>4975358175</v>
      </c>
      <c r="N322">
        <v>5207282932</v>
      </c>
      <c r="O322">
        <v>5.2999999999999999E-2</v>
      </c>
      <c r="P322" t="s">
        <v>294</v>
      </c>
      <c r="Q322">
        <v>3.5000000000000003E-2</v>
      </c>
      <c r="R322">
        <v>0.02</v>
      </c>
      <c r="T322">
        <v>152739.62</v>
      </c>
    </row>
    <row r="323" spans="1:20" x14ac:dyDescent="0.25">
      <c r="A323">
        <v>2020</v>
      </c>
      <c r="B323">
        <v>12</v>
      </c>
      <c r="C323" t="s">
        <v>308</v>
      </c>
      <c r="D323" t="s">
        <v>309</v>
      </c>
      <c r="E323" t="s">
        <v>310</v>
      </c>
      <c r="F323" t="s">
        <v>23</v>
      </c>
      <c r="G323">
        <v>4749799.9400000004</v>
      </c>
      <c r="H323">
        <v>2933849.46</v>
      </c>
      <c r="I323">
        <v>1815950.48</v>
      </c>
      <c r="J323">
        <v>469276.67</v>
      </c>
      <c r="K323">
        <v>288585.92</v>
      </c>
      <c r="L323">
        <v>180690.76</v>
      </c>
      <c r="M323">
        <v>6259344571</v>
      </c>
      <c r="N323">
        <v>6509468783</v>
      </c>
      <c r="O323">
        <v>5.2999999999999999E-2</v>
      </c>
      <c r="P323" t="s">
        <v>294</v>
      </c>
      <c r="Q323">
        <v>3.5000000000000003E-2</v>
      </c>
      <c r="R323">
        <v>0.02</v>
      </c>
      <c r="T323">
        <v>191532.2</v>
      </c>
    </row>
    <row r="324" spans="1:20" x14ac:dyDescent="0.25">
      <c r="A324">
        <v>2020</v>
      </c>
      <c r="B324">
        <v>12</v>
      </c>
      <c r="C324" t="s">
        <v>311</v>
      </c>
      <c r="D324" t="s">
        <v>312</v>
      </c>
      <c r="E324" t="s">
        <v>313</v>
      </c>
      <c r="F324" t="s">
        <v>23</v>
      </c>
      <c r="G324">
        <v>860974.91</v>
      </c>
      <c r="I324">
        <v>860974.91</v>
      </c>
      <c r="J324">
        <v>86750.99</v>
      </c>
      <c r="L324">
        <v>86750.99</v>
      </c>
      <c r="M324">
        <v>3475660528</v>
      </c>
      <c r="N324">
        <v>3643517229</v>
      </c>
      <c r="O324">
        <v>5.2999999999999999E-2</v>
      </c>
      <c r="P324" t="s">
        <v>314</v>
      </c>
      <c r="Q324">
        <v>3.7499999999999999E-2</v>
      </c>
      <c r="R324">
        <v>0.02</v>
      </c>
      <c r="T324">
        <v>91956.05</v>
      </c>
    </row>
    <row r="325" spans="1:20" x14ac:dyDescent="0.25">
      <c r="A325">
        <v>2020</v>
      </c>
      <c r="B325">
        <v>12</v>
      </c>
      <c r="C325" t="s">
        <v>315</v>
      </c>
      <c r="D325" t="s">
        <v>316</v>
      </c>
      <c r="E325" t="s">
        <v>317</v>
      </c>
      <c r="F325" t="s">
        <v>23</v>
      </c>
      <c r="G325">
        <v>31310</v>
      </c>
      <c r="H325">
        <v>31310</v>
      </c>
      <c r="J325">
        <v>115721.71</v>
      </c>
      <c r="K325">
        <v>115721.71</v>
      </c>
      <c r="O325">
        <v>5.2999999999999999E-2</v>
      </c>
      <c r="P325" t="s">
        <v>301</v>
      </c>
      <c r="Q325">
        <v>0</v>
      </c>
      <c r="R325">
        <v>0</v>
      </c>
    </row>
    <row r="326" spans="1:20" x14ac:dyDescent="0.25">
      <c r="A326">
        <v>2020</v>
      </c>
      <c r="B326">
        <v>12</v>
      </c>
      <c r="C326" t="s">
        <v>318</v>
      </c>
      <c r="D326" t="s">
        <v>319</v>
      </c>
      <c r="E326" t="s">
        <v>320</v>
      </c>
      <c r="F326" t="s">
        <v>23</v>
      </c>
      <c r="G326">
        <v>664469.09</v>
      </c>
      <c r="H326">
        <v>349964.39</v>
      </c>
      <c r="I326">
        <v>314504.7</v>
      </c>
      <c r="J326">
        <v>90432.98</v>
      </c>
      <c r="K326">
        <v>54855.45</v>
      </c>
      <c r="L326">
        <v>35577.53</v>
      </c>
      <c r="M326">
        <v>1187432468</v>
      </c>
      <c r="N326">
        <v>1326712993</v>
      </c>
      <c r="O326">
        <v>5.2999999999999999E-2</v>
      </c>
      <c r="P326" t="s">
        <v>294</v>
      </c>
      <c r="Q326">
        <v>3.5000000000000003E-2</v>
      </c>
      <c r="R326">
        <v>0.02</v>
      </c>
      <c r="T326">
        <v>37712.18</v>
      </c>
    </row>
    <row r="327" spans="1:20" x14ac:dyDescent="0.25">
      <c r="A327">
        <v>2020</v>
      </c>
      <c r="B327">
        <v>12</v>
      </c>
      <c r="C327" t="s">
        <v>321</v>
      </c>
      <c r="D327" t="s">
        <v>322</v>
      </c>
      <c r="E327" t="s">
        <v>323</v>
      </c>
      <c r="F327" t="s">
        <v>23</v>
      </c>
      <c r="G327">
        <v>3380973.04</v>
      </c>
      <c r="I327">
        <v>3380973.04</v>
      </c>
      <c r="J327">
        <v>343551.47</v>
      </c>
      <c r="L327">
        <v>343551.47</v>
      </c>
      <c r="M327">
        <v>11929508065</v>
      </c>
      <c r="N327">
        <v>12348129082</v>
      </c>
      <c r="O327">
        <v>5.2999999999999999E-2</v>
      </c>
      <c r="P327" t="s">
        <v>294</v>
      </c>
      <c r="Q327">
        <v>3.5000000000000003E-2</v>
      </c>
      <c r="R327">
        <v>0.02</v>
      </c>
      <c r="T327">
        <v>364164.56</v>
      </c>
    </row>
    <row r="328" spans="1:20" x14ac:dyDescent="0.25">
      <c r="A328">
        <v>2020</v>
      </c>
      <c r="B328">
        <v>12</v>
      </c>
      <c r="C328" t="s">
        <v>324</v>
      </c>
      <c r="D328" t="s">
        <v>325</v>
      </c>
      <c r="E328" t="s">
        <v>326</v>
      </c>
      <c r="F328" t="s">
        <v>23</v>
      </c>
      <c r="G328">
        <v>1507329.65</v>
      </c>
      <c r="H328">
        <v>638801.19999999995</v>
      </c>
      <c r="I328">
        <v>868528.45</v>
      </c>
      <c r="J328">
        <v>-117962.32</v>
      </c>
      <c r="K328">
        <v>-213623.2</v>
      </c>
      <c r="L328">
        <v>95660.87</v>
      </c>
      <c r="M328">
        <v>3258882432</v>
      </c>
      <c r="N328">
        <v>3501152629</v>
      </c>
      <c r="O328">
        <v>5.2999999999999999E-2</v>
      </c>
      <c r="P328" t="s">
        <v>294</v>
      </c>
      <c r="Q328">
        <v>3.5000000000000003E-2</v>
      </c>
      <c r="R328">
        <v>0.02</v>
      </c>
      <c r="T328">
        <v>101400.53</v>
      </c>
    </row>
    <row r="329" spans="1:20" x14ac:dyDescent="0.25">
      <c r="A329">
        <v>2020</v>
      </c>
      <c r="B329">
        <v>12</v>
      </c>
      <c r="C329" t="s">
        <v>327</v>
      </c>
      <c r="D329" t="s">
        <v>328</v>
      </c>
      <c r="E329" t="s">
        <v>329</v>
      </c>
      <c r="F329" t="s">
        <v>23</v>
      </c>
      <c r="G329">
        <v>3454959.51</v>
      </c>
      <c r="H329">
        <v>2134502.16</v>
      </c>
      <c r="I329">
        <v>1320457.3500000001</v>
      </c>
      <c r="J329">
        <v>333609.53000000003</v>
      </c>
      <c r="K329">
        <v>206631.96</v>
      </c>
      <c r="L329">
        <v>126977.57</v>
      </c>
      <c r="M329">
        <v>4461484280</v>
      </c>
      <c r="N329">
        <v>4511597471</v>
      </c>
      <c r="O329">
        <v>5.2999999999999999E-2</v>
      </c>
      <c r="P329" t="s">
        <v>294</v>
      </c>
      <c r="Q329">
        <v>3.5000000000000003E-2</v>
      </c>
      <c r="R329">
        <v>0.02</v>
      </c>
      <c r="T329">
        <v>134596.23000000001</v>
      </c>
    </row>
    <row r="330" spans="1:20" x14ac:dyDescent="0.25">
      <c r="A330">
        <v>2020</v>
      </c>
      <c r="B330">
        <v>12</v>
      </c>
      <c r="C330" t="s">
        <v>330</v>
      </c>
      <c r="D330" t="s">
        <v>331</v>
      </c>
      <c r="E330" t="s">
        <v>332</v>
      </c>
      <c r="F330" t="s">
        <v>23</v>
      </c>
      <c r="G330">
        <v>353339.13</v>
      </c>
      <c r="H330">
        <v>198647.98</v>
      </c>
      <c r="I330">
        <v>154691.15</v>
      </c>
      <c r="J330">
        <v>96684.88</v>
      </c>
      <c r="K330">
        <v>56688.2</v>
      </c>
      <c r="L330">
        <v>39996.68</v>
      </c>
      <c r="M330">
        <v>1253906495</v>
      </c>
      <c r="N330">
        <v>1572525573</v>
      </c>
      <c r="O330">
        <v>5.2999999999999999E-2</v>
      </c>
      <c r="P330" t="s">
        <v>294</v>
      </c>
      <c r="Q330">
        <v>3.5000000000000003E-2</v>
      </c>
      <c r="R330">
        <v>0.02</v>
      </c>
      <c r="T330">
        <v>42396.480000000003</v>
      </c>
    </row>
    <row r="331" spans="1:20" x14ac:dyDescent="0.25">
      <c r="A331">
        <v>2020</v>
      </c>
      <c r="B331">
        <v>12</v>
      </c>
      <c r="C331" t="s">
        <v>333</v>
      </c>
      <c r="D331" t="s">
        <v>334</v>
      </c>
      <c r="E331" t="s">
        <v>335</v>
      </c>
      <c r="F331" t="s">
        <v>23</v>
      </c>
      <c r="G331">
        <v>168208.9</v>
      </c>
      <c r="I331">
        <v>168208.9</v>
      </c>
      <c r="J331">
        <v>16166.6</v>
      </c>
      <c r="L331">
        <v>16166.6</v>
      </c>
      <c r="M331">
        <v>703868154.79999995</v>
      </c>
      <c r="N331">
        <v>724181300.29999995</v>
      </c>
      <c r="O331">
        <v>5.2999999999999999E-2</v>
      </c>
      <c r="P331" t="s">
        <v>294</v>
      </c>
      <c r="Q331">
        <v>3.5000000000000003E-2</v>
      </c>
      <c r="R331">
        <v>1.6E-2</v>
      </c>
      <c r="T331">
        <v>17136.59</v>
      </c>
    </row>
    <row r="332" spans="1:20" x14ac:dyDescent="0.25">
      <c r="A332">
        <v>2020</v>
      </c>
      <c r="B332">
        <v>12</v>
      </c>
      <c r="C332" t="s">
        <v>336</v>
      </c>
      <c r="D332" t="s">
        <v>337</v>
      </c>
      <c r="E332" t="s">
        <v>338</v>
      </c>
      <c r="F332" t="s">
        <v>23</v>
      </c>
      <c r="G332">
        <v>348275.92</v>
      </c>
      <c r="I332">
        <v>348275.92</v>
      </c>
      <c r="J332">
        <v>37584.769999999997</v>
      </c>
      <c r="L332">
        <v>37584.769999999997</v>
      </c>
      <c r="M332">
        <v>1304316693</v>
      </c>
      <c r="N332">
        <v>1351673894</v>
      </c>
      <c r="O332">
        <v>5.2999999999999999E-2</v>
      </c>
      <c r="P332" t="s">
        <v>339</v>
      </c>
      <c r="Q332">
        <v>3.5000000000000003E-2</v>
      </c>
      <c r="R332">
        <v>0.02</v>
      </c>
      <c r="T332">
        <v>39839.86</v>
      </c>
    </row>
    <row r="333" spans="1:20" x14ac:dyDescent="0.25">
      <c r="A333">
        <v>2020</v>
      </c>
      <c r="B333">
        <v>12</v>
      </c>
      <c r="C333" t="s">
        <v>340</v>
      </c>
      <c r="D333" t="s">
        <v>341</v>
      </c>
      <c r="E333" t="s">
        <v>342</v>
      </c>
      <c r="F333" t="s">
        <v>23</v>
      </c>
      <c r="G333">
        <v>8277772.8600000003</v>
      </c>
      <c r="H333">
        <v>5121879.3499999996</v>
      </c>
      <c r="I333">
        <v>3155893.51</v>
      </c>
      <c r="J333">
        <v>813154.54</v>
      </c>
      <c r="K333">
        <v>503326.5</v>
      </c>
      <c r="L333">
        <v>309828.03999999998</v>
      </c>
      <c r="M333">
        <v>10795296159</v>
      </c>
      <c r="N333">
        <v>11099218722</v>
      </c>
      <c r="O333">
        <v>5.2999999999999999E-2</v>
      </c>
      <c r="P333" t="s">
        <v>294</v>
      </c>
      <c r="Q333">
        <v>3.5000000000000003E-2</v>
      </c>
      <c r="R333">
        <v>0.02</v>
      </c>
      <c r="T333">
        <v>328417.71999999997</v>
      </c>
    </row>
    <row r="334" spans="1:20" x14ac:dyDescent="0.25">
      <c r="A334">
        <v>2020</v>
      </c>
      <c r="B334">
        <v>12</v>
      </c>
      <c r="C334" t="s">
        <v>343</v>
      </c>
      <c r="D334" t="s">
        <v>344</v>
      </c>
      <c r="E334" t="s">
        <v>345</v>
      </c>
      <c r="F334" t="s">
        <v>23</v>
      </c>
      <c r="G334">
        <v>2119827.16</v>
      </c>
      <c r="H334">
        <v>1247921.6499999999</v>
      </c>
      <c r="I334">
        <v>871905.51</v>
      </c>
      <c r="J334">
        <v>235539.68</v>
      </c>
      <c r="K334">
        <v>144806.22</v>
      </c>
      <c r="L334">
        <v>90733.46</v>
      </c>
      <c r="M334">
        <v>3152651948</v>
      </c>
      <c r="N334">
        <v>3259179423</v>
      </c>
      <c r="O334">
        <v>5.2999999999999999E-2</v>
      </c>
      <c r="P334" t="s">
        <v>294</v>
      </c>
      <c r="Q334">
        <v>3.5000000000000003E-2</v>
      </c>
      <c r="R334">
        <v>0.02</v>
      </c>
      <c r="T334">
        <v>96177.47</v>
      </c>
    </row>
    <row r="335" spans="1:20" x14ac:dyDescent="0.25">
      <c r="A335">
        <v>2020</v>
      </c>
      <c r="B335">
        <v>12</v>
      </c>
      <c r="C335" t="s">
        <v>346</v>
      </c>
      <c r="D335" t="s">
        <v>347</v>
      </c>
      <c r="E335" t="s">
        <v>348</v>
      </c>
      <c r="F335" t="s">
        <v>23</v>
      </c>
      <c r="G335">
        <v>3502120.46</v>
      </c>
      <c r="H335">
        <v>2156509.2200000002</v>
      </c>
      <c r="I335">
        <v>1345611.24</v>
      </c>
      <c r="J335">
        <v>360620.26</v>
      </c>
      <c r="K335">
        <v>220679.57</v>
      </c>
      <c r="L335">
        <v>139940.69</v>
      </c>
      <c r="M335">
        <v>4790403074</v>
      </c>
      <c r="N335">
        <v>5098738995</v>
      </c>
      <c r="O335">
        <v>5.2999999999999999E-2</v>
      </c>
      <c r="P335" t="s">
        <v>294</v>
      </c>
      <c r="Q335">
        <v>3.5000000000000003E-2</v>
      </c>
      <c r="R335">
        <v>0.02</v>
      </c>
      <c r="T335">
        <v>148337.13</v>
      </c>
    </row>
    <row r="336" spans="1:20" x14ac:dyDescent="0.25">
      <c r="A336">
        <v>2020</v>
      </c>
      <c r="B336">
        <v>12</v>
      </c>
      <c r="C336" t="s">
        <v>349</v>
      </c>
      <c r="D336" t="s">
        <v>350</v>
      </c>
      <c r="E336" t="s">
        <v>351</v>
      </c>
      <c r="F336" t="s">
        <v>23</v>
      </c>
      <c r="G336">
        <v>13501802.550000001</v>
      </c>
      <c r="H336">
        <v>10977703.029999999</v>
      </c>
      <c r="I336">
        <v>2524099.52</v>
      </c>
      <c r="J336">
        <v>1258499.53</v>
      </c>
      <c r="K336">
        <v>1023052.55</v>
      </c>
      <c r="L336">
        <v>235446.99</v>
      </c>
      <c r="M336">
        <v>16431233655</v>
      </c>
      <c r="N336">
        <v>16845273886</v>
      </c>
      <c r="O336">
        <v>5.2999999999999999E-2</v>
      </c>
      <c r="P336" t="s">
        <v>294</v>
      </c>
      <c r="Q336">
        <v>3.5000000000000003E-2</v>
      </c>
      <c r="R336">
        <v>0.01</v>
      </c>
      <c r="T336">
        <v>249573.81</v>
      </c>
    </row>
    <row r="337" spans="1:20" x14ac:dyDescent="0.25">
      <c r="A337">
        <v>2020</v>
      </c>
      <c r="B337">
        <v>12</v>
      </c>
      <c r="C337" t="s">
        <v>352</v>
      </c>
      <c r="D337" t="s">
        <v>353</v>
      </c>
      <c r="E337" t="s">
        <v>354</v>
      </c>
      <c r="F337" t="s">
        <v>23</v>
      </c>
      <c r="G337">
        <v>6128390.3499999996</v>
      </c>
      <c r="H337">
        <v>3618679</v>
      </c>
      <c r="I337">
        <v>2509711.35</v>
      </c>
      <c r="J337">
        <v>675355.98</v>
      </c>
      <c r="K337">
        <v>416296.71</v>
      </c>
      <c r="L337">
        <v>259059.27</v>
      </c>
      <c r="M337">
        <v>9021672202</v>
      </c>
      <c r="N337">
        <v>9285182963</v>
      </c>
      <c r="O337">
        <v>5.2999999999999999E-2</v>
      </c>
      <c r="P337" t="s">
        <v>339</v>
      </c>
      <c r="Q337">
        <v>3.5000000000000003E-2</v>
      </c>
      <c r="R337">
        <v>0.02</v>
      </c>
      <c r="T337">
        <v>274602.83</v>
      </c>
    </row>
    <row r="338" spans="1:20" x14ac:dyDescent="0.25">
      <c r="A338">
        <v>2020</v>
      </c>
      <c r="B338">
        <v>12</v>
      </c>
      <c r="C338" t="s">
        <v>355</v>
      </c>
      <c r="D338" t="s">
        <v>356</v>
      </c>
      <c r="E338" t="s">
        <v>357</v>
      </c>
      <c r="F338" t="s">
        <v>23</v>
      </c>
      <c r="G338">
        <v>2093787.13</v>
      </c>
      <c r="H338">
        <v>1204586.1399999999</v>
      </c>
      <c r="I338">
        <v>889200.98</v>
      </c>
      <c r="J338">
        <v>205042.01</v>
      </c>
      <c r="K338">
        <v>117295.66</v>
      </c>
      <c r="L338">
        <v>87746.35</v>
      </c>
      <c r="M338">
        <v>3039871377</v>
      </c>
      <c r="N338">
        <v>3160870940</v>
      </c>
      <c r="O338">
        <v>5.2999999999999999E-2</v>
      </c>
      <c r="P338" t="s">
        <v>294</v>
      </c>
      <c r="Q338">
        <v>3.5000000000000003E-2</v>
      </c>
      <c r="R338">
        <v>0.02</v>
      </c>
      <c r="T338">
        <v>93011.13</v>
      </c>
    </row>
    <row r="339" spans="1:20" x14ac:dyDescent="0.25">
      <c r="A339">
        <v>2020</v>
      </c>
      <c r="B339">
        <v>12</v>
      </c>
      <c r="C339" t="s">
        <v>358</v>
      </c>
      <c r="D339" t="s">
        <v>359</v>
      </c>
      <c r="E339" t="s">
        <v>360</v>
      </c>
      <c r="F339" t="s">
        <v>23</v>
      </c>
      <c r="G339">
        <v>5376510.1299999999</v>
      </c>
      <c r="H339">
        <v>3312057.25</v>
      </c>
      <c r="I339">
        <v>2064452.88</v>
      </c>
      <c r="J339">
        <v>533276.23</v>
      </c>
      <c r="K339">
        <v>326846.65999999997</v>
      </c>
      <c r="L339">
        <v>206429.57</v>
      </c>
      <c r="M339">
        <v>7084597139</v>
      </c>
      <c r="N339">
        <v>7503092693</v>
      </c>
      <c r="O339">
        <v>5.2999999999999999E-2</v>
      </c>
      <c r="P339" t="s">
        <v>294</v>
      </c>
      <c r="Q339">
        <v>3.5000000000000003E-2</v>
      </c>
      <c r="R339">
        <v>0.02</v>
      </c>
      <c r="T339">
        <v>218815.35</v>
      </c>
    </row>
    <row r="340" spans="1:20" x14ac:dyDescent="0.25">
      <c r="A340">
        <v>2020</v>
      </c>
      <c r="B340">
        <v>12</v>
      </c>
      <c r="C340" t="s">
        <v>361</v>
      </c>
      <c r="D340" t="s">
        <v>362</v>
      </c>
      <c r="E340" t="s">
        <v>363</v>
      </c>
      <c r="F340" t="s">
        <v>23</v>
      </c>
      <c r="G340">
        <v>2045517.71</v>
      </c>
      <c r="H340">
        <v>1133251.6299999999</v>
      </c>
      <c r="I340">
        <v>912266.08</v>
      </c>
      <c r="J340">
        <v>243030.6</v>
      </c>
      <c r="K340">
        <v>150136.16</v>
      </c>
      <c r="L340">
        <v>92894.44</v>
      </c>
      <c r="M340">
        <v>3214374082</v>
      </c>
      <c r="N340">
        <v>3350166182</v>
      </c>
      <c r="O340">
        <v>5.2999999999999999E-2</v>
      </c>
      <c r="P340" t="s">
        <v>294</v>
      </c>
      <c r="Q340">
        <v>3.5000000000000003E-2</v>
      </c>
      <c r="R340">
        <v>0.02</v>
      </c>
      <c r="T340">
        <v>98468.1</v>
      </c>
    </row>
    <row r="341" spans="1:20" x14ac:dyDescent="0.25">
      <c r="A341">
        <v>2020</v>
      </c>
      <c r="B341">
        <v>12</v>
      </c>
      <c r="C341" t="s">
        <v>364</v>
      </c>
      <c r="D341" t="s">
        <v>367</v>
      </c>
      <c r="E341" t="s">
        <v>368</v>
      </c>
      <c r="F341" t="s">
        <v>34</v>
      </c>
      <c r="G341">
        <v>1242083.72</v>
      </c>
      <c r="H341">
        <v>1242083.72</v>
      </c>
      <c r="J341">
        <v>117827.63</v>
      </c>
      <c r="K341">
        <v>117827.63</v>
      </c>
      <c r="O341">
        <v>5.2999999999999999E-2</v>
      </c>
      <c r="Q341">
        <v>0</v>
      </c>
      <c r="R341">
        <v>0</v>
      </c>
    </row>
    <row r="342" spans="1:20" x14ac:dyDescent="0.25">
      <c r="A342">
        <v>2020</v>
      </c>
      <c r="B342">
        <v>12</v>
      </c>
      <c r="C342" t="s">
        <v>364</v>
      </c>
      <c r="D342" t="s">
        <v>365</v>
      </c>
      <c r="E342" t="s">
        <v>366</v>
      </c>
      <c r="F342" t="s">
        <v>34</v>
      </c>
      <c r="G342">
        <v>225568.1</v>
      </c>
      <c r="H342">
        <v>225568.1</v>
      </c>
      <c r="J342">
        <v>23414.6</v>
      </c>
      <c r="K342">
        <v>23414.6</v>
      </c>
      <c r="O342">
        <v>5.2999999999999999E-2</v>
      </c>
      <c r="Q342">
        <v>0</v>
      </c>
      <c r="R342">
        <v>0</v>
      </c>
    </row>
  </sheetData>
  <autoFilter ref="A1:T249"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829"/>
  <sheetViews>
    <sheetView topLeftCell="A731" workbookViewId="0">
      <selection activeCell="A743" sqref="A743:Y829"/>
    </sheetView>
  </sheetViews>
  <sheetFormatPr defaultRowHeight="13.8" x14ac:dyDescent="0.25"/>
  <cols>
    <col min="1" max="1" width="5.5546875" bestFit="1" customWidth="1"/>
    <col min="2" max="2" width="3.5546875" bestFit="1" customWidth="1"/>
    <col min="3" max="3" width="7.5546875" bestFit="1" customWidth="1"/>
    <col min="4" max="4" width="14.109375" bestFit="1" customWidth="1"/>
    <col min="5" max="5" width="51.21875" bestFit="1" customWidth="1"/>
    <col min="6" max="6" width="9.5546875" bestFit="1" customWidth="1"/>
    <col min="7" max="7" width="29.21875" bestFit="1" customWidth="1"/>
    <col min="8" max="8" width="27.109375" bestFit="1" customWidth="1"/>
    <col min="9" max="9" width="20.44140625" bestFit="1" customWidth="1"/>
    <col min="10" max="10" width="31.44140625" bestFit="1" customWidth="1"/>
    <col min="11" max="11" width="38" bestFit="1" customWidth="1"/>
    <col min="12" max="12" width="35.88671875" bestFit="1" customWidth="1"/>
    <col min="13" max="13" width="26" bestFit="1" customWidth="1"/>
    <col min="14" max="14" width="32.5546875" bestFit="1" customWidth="1"/>
    <col min="15" max="15" width="30.33203125" bestFit="1" customWidth="1"/>
    <col min="16" max="16" width="13.21875" customWidth="1"/>
    <col min="17" max="18" width="13.88671875" bestFit="1" customWidth="1"/>
    <col min="19" max="19" width="11.6640625" bestFit="1" customWidth="1"/>
    <col min="20" max="20" width="9.5546875" bestFit="1" customWidth="1"/>
    <col min="21" max="21" width="11.6640625" bestFit="1" customWidth="1"/>
    <col min="22" max="22" width="18.33203125" bestFit="1" customWidth="1"/>
    <col min="23" max="23" width="22.6640625" bestFit="1" customWidth="1"/>
    <col min="24" max="24" width="10.5546875" bestFit="1" customWidth="1"/>
    <col min="25" max="25" width="7.5546875" bestFit="1" customWidth="1"/>
  </cols>
  <sheetData>
    <row r="1" spans="1:25" ht="41.4" x14ac:dyDescent="0.25">
      <c r="A1" t="s">
        <v>145</v>
      </c>
      <c r="B1" t="s">
        <v>146</v>
      </c>
      <c r="C1" t="s">
        <v>147</v>
      </c>
      <c r="D1" t="s">
        <v>369</v>
      </c>
      <c r="E1" t="s">
        <v>148</v>
      </c>
      <c r="F1" t="s">
        <v>580</v>
      </c>
      <c r="G1" t="s">
        <v>581</v>
      </c>
      <c r="H1" t="s">
        <v>582</v>
      </c>
      <c r="I1" t="s">
        <v>374</v>
      </c>
      <c r="J1" t="s">
        <v>659</v>
      </c>
      <c r="K1" t="s">
        <v>660</v>
      </c>
      <c r="L1" t="s">
        <v>661</v>
      </c>
      <c r="M1" t="s">
        <v>284</v>
      </c>
      <c r="N1" t="s">
        <v>285</v>
      </c>
      <c r="O1" t="s">
        <v>583</v>
      </c>
      <c r="P1" s="109" t="s">
        <v>584</v>
      </c>
      <c r="Q1" t="s">
        <v>377</v>
      </c>
      <c r="R1" t="s">
        <v>379</v>
      </c>
      <c r="S1" t="s">
        <v>381</v>
      </c>
      <c r="T1" t="s">
        <v>383</v>
      </c>
      <c r="U1" t="s">
        <v>385</v>
      </c>
      <c r="V1" t="s">
        <v>387</v>
      </c>
      <c r="W1" t="s">
        <v>585</v>
      </c>
      <c r="X1" t="s">
        <v>390</v>
      </c>
      <c r="Y1" t="s">
        <v>586</v>
      </c>
    </row>
    <row r="2" spans="1:25" x14ac:dyDescent="0.25">
      <c r="A2">
        <v>2020</v>
      </c>
      <c r="B2">
        <v>1</v>
      </c>
      <c r="C2" t="s">
        <v>168</v>
      </c>
      <c r="D2" t="s">
        <v>404</v>
      </c>
      <c r="E2" t="s">
        <v>405</v>
      </c>
      <c r="F2" t="s">
        <v>406</v>
      </c>
      <c r="G2" t="s">
        <v>407</v>
      </c>
      <c r="H2" t="s">
        <v>34</v>
      </c>
      <c r="I2" t="s">
        <v>23</v>
      </c>
      <c r="J2">
        <v>54346.75</v>
      </c>
      <c r="K2">
        <v>10285.61</v>
      </c>
      <c r="L2">
        <v>44061.14</v>
      </c>
      <c r="M2">
        <v>54346.75</v>
      </c>
      <c r="N2">
        <v>10285.61</v>
      </c>
      <c r="O2">
        <v>44061.14</v>
      </c>
      <c r="P2">
        <v>13628.43</v>
      </c>
      <c r="Q2">
        <v>479140052</v>
      </c>
      <c r="R2">
        <v>493876892.80000001</v>
      </c>
      <c r="S2">
        <v>5.2999999999999999E-2</v>
      </c>
      <c r="T2">
        <v>3</v>
      </c>
      <c r="U2">
        <v>2.75E-2</v>
      </c>
      <c r="V2">
        <v>0.08</v>
      </c>
      <c r="X2">
        <v>58381.02</v>
      </c>
      <c r="Y2">
        <v>7.4999999999999997E-3</v>
      </c>
    </row>
    <row r="3" spans="1:25" x14ac:dyDescent="0.25">
      <c r="A3">
        <v>2020</v>
      </c>
      <c r="B3">
        <v>1</v>
      </c>
      <c r="C3" t="s">
        <v>168</v>
      </c>
      <c r="D3" t="s">
        <v>292</v>
      </c>
      <c r="E3" t="s">
        <v>293</v>
      </c>
      <c r="F3" t="s">
        <v>408</v>
      </c>
      <c r="G3" t="s">
        <v>409</v>
      </c>
      <c r="H3" t="s">
        <v>34</v>
      </c>
      <c r="I3" t="s">
        <v>23</v>
      </c>
      <c r="J3">
        <v>61140.02</v>
      </c>
      <c r="K3">
        <v>17236.91</v>
      </c>
      <c r="L3">
        <v>43903.11</v>
      </c>
      <c r="M3">
        <v>61140.02</v>
      </c>
      <c r="N3">
        <v>17236.91</v>
      </c>
      <c r="O3">
        <v>43903.11</v>
      </c>
      <c r="P3">
        <v>22838.91</v>
      </c>
      <c r="Q3">
        <v>477346630.5</v>
      </c>
      <c r="R3">
        <v>492180360</v>
      </c>
      <c r="S3">
        <v>5.2999999999999999E-2</v>
      </c>
      <c r="T3">
        <v>3</v>
      </c>
      <c r="U3">
        <v>2.75E-2</v>
      </c>
      <c r="V3">
        <v>0.08</v>
      </c>
      <c r="X3">
        <v>58171.62</v>
      </c>
      <c r="Y3">
        <v>7.4999999999999997E-3</v>
      </c>
    </row>
    <row r="4" spans="1:25" x14ac:dyDescent="0.25">
      <c r="A4">
        <v>2020</v>
      </c>
      <c r="B4">
        <v>1</v>
      </c>
      <c r="C4" t="s">
        <v>168</v>
      </c>
      <c r="D4" t="s">
        <v>292</v>
      </c>
      <c r="E4" t="s">
        <v>293</v>
      </c>
      <c r="F4" t="s">
        <v>410</v>
      </c>
      <c r="G4" t="s">
        <v>411</v>
      </c>
      <c r="H4" t="s">
        <v>34</v>
      </c>
      <c r="I4" t="s">
        <v>23</v>
      </c>
      <c r="J4">
        <v>68739.5</v>
      </c>
      <c r="K4">
        <v>1072.74</v>
      </c>
      <c r="L4">
        <v>67666.759999999995</v>
      </c>
      <c r="M4">
        <v>68739.5</v>
      </c>
      <c r="N4">
        <v>1072.74</v>
      </c>
      <c r="O4">
        <v>67666.759999999995</v>
      </c>
      <c r="P4">
        <v>1421.38</v>
      </c>
      <c r="Q4">
        <v>1476162816</v>
      </c>
      <c r="R4">
        <v>1512452494</v>
      </c>
      <c r="S4">
        <v>5.2999999999999999E-2</v>
      </c>
      <c r="T4">
        <v>3</v>
      </c>
      <c r="U4">
        <v>2.75E-2</v>
      </c>
      <c r="V4">
        <v>0.04</v>
      </c>
      <c r="X4">
        <v>89658.46</v>
      </c>
      <c r="Y4">
        <v>7.4999999999999997E-3</v>
      </c>
    </row>
    <row r="5" spans="1:25" x14ac:dyDescent="0.25">
      <c r="A5">
        <v>2020</v>
      </c>
      <c r="B5">
        <v>1</v>
      </c>
      <c r="C5" t="s">
        <v>168</v>
      </c>
      <c r="D5" t="s">
        <v>412</v>
      </c>
      <c r="E5" t="s">
        <v>413</v>
      </c>
      <c r="F5" t="s">
        <v>414</v>
      </c>
      <c r="G5" t="s">
        <v>415</v>
      </c>
      <c r="H5" t="s">
        <v>34</v>
      </c>
      <c r="I5" t="s">
        <v>23</v>
      </c>
      <c r="J5">
        <v>16451.080000000002</v>
      </c>
      <c r="K5">
        <v>2786.78</v>
      </c>
      <c r="L5">
        <v>13664.3</v>
      </c>
      <c r="M5">
        <v>16451.080000000002</v>
      </c>
      <c r="N5">
        <v>2786.78</v>
      </c>
      <c r="O5">
        <v>13664.3</v>
      </c>
      <c r="P5">
        <v>3692.48</v>
      </c>
      <c r="Q5">
        <v>100592288.3</v>
      </c>
      <c r="R5">
        <v>201161049</v>
      </c>
      <c r="S5">
        <v>5.2999999999999999E-2</v>
      </c>
      <c r="T5" t="s">
        <v>24</v>
      </c>
      <c r="U5">
        <v>3.5000000000000003E-2</v>
      </c>
      <c r="V5">
        <v>0.08</v>
      </c>
      <c r="X5">
        <v>18105.2</v>
      </c>
    </row>
    <row r="6" spans="1:25" x14ac:dyDescent="0.25">
      <c r="A6">
        <v>2020</v>
      </c>
      <c r="B6">
        <v>1</v>
      </c>
      <c r="C6" t="s">
        <v>295</v>
      </c>
      <c r="D6" t="s">
        <v>296</v>
      </c>
      <c r="E6" t="s">
        <v>297</v>
      </c>
      <c r="F6" t="s">
        <v>416</v>
      </c>
      <c r="G6" t="s">
        <v>417</v>
      </c>
      <c r="H6" t="s">
        <v>34</v>
      </c>
      <c r="I6" t="s">
        <v>23</v>
      </c>
      <c r="J6">
        <v>186752.54</v>
      </c>
      <c r="K6">
        <v>101315.4</v>
      </c>
      <c r="L6">
        <v>85437.14</v>
      </c>
      <c r="M6">
        <v>186752.54</v>
      </c>
      <c r="N6">
        <v>101315.4</v>
      </c>
      <c r="O6">
        <v>85437.14</v>
      </c>
      <c r="P6">
        <v>134242.91</v>
      </c>
      <c r="Q6">
        <v>909593599.20000005</v>
      </c>
      <c r="R6">
        <v>977143194.10000002</v>
      </c>
      <c r="S6">
        <v>5.2999999999999999E-2</v>
      </c>
      <c r="T6" t="s">
        <v>24</v>
      </c>
      <c r="U6">
        <v>3.5000000000000003E-2</v>
      </c>
      <c r="V6">
        <v>0.08</v>
      </c>
      <c r="X6">
        <v>113204.21</v>
      </c>
    </row>
    <row r="7" spans="1:25" x14ac:dyDescent="0.25">
      <c r="A7">
        <v>2020</v>
      </c>
      <c r="B7">
        <v>1</v>
      </c>
      <c r="C7" t="s">
        <v>302</v>
      </c>
      <c r="D7" t="s">
        <v>418</v>
      </c>
      <c r="E7" t="s">
        <v>419</v>
      </c>
      <c r="F7" t="s">
        <v>420</v>
      </c>
      <c r="G7" t="s">
        <v>421</v>
      </c>
      <c r="H7" t="s">
        <v>34</v>
      </c>
      <c r="I7" t="s">
        <v>23</v>
      </c>
      <c r="J7">
        <v>62942.42</v>
      </c>
      <c r="K7">
        <v>24110.31</v>
      </c>
      <c r="L7">
        <v>38832.11</v>
      </c>
      <c r="M7">
        <v>62942.42</v>
      </c>
      <c r="N7">
        <v>24110.31</v>
      </c>
      <c r="O7">
        <v>38832.11</v>
      </c>
      <c r="P7">
        <v>31946.16</v>
      </c>
      <c r="Q7">
        <v>352729020.89999998</v>
      </c>
      <c r="R7">
        <v>504813324.30000001</v>
      </c>
      <c r="S7">
        <v>5.2999999999999999E-2</v>
      </c>
      <c r="T7">
        <v>3</v>
      </c>
      <c r="U7">
        <v>2.75E-2</v>
      </c>
      <c r="V7">
        <v>0.08</v>
      </c>
      <c r="X7">
        <v>51452.54</v>
      </c>
      <c r="Y7">
        <v>7.4999999999999997E-3</v>
      </c>
    </row>
    <row r="8" spans="1:25" x14ac:dyDescent="0.25">
      <c r="A8">
        <v>2020</v>
      </c>
      <c r="B8">
        <v>1</v>
      </c>
      <c r="C8" t="s">
        <v>302</v>
      </c>
      <c r="D8" t="s">
        <v>303</v>
      </c>
      <c r="E8" t="s">
        <v>304</v>
      </c>
      <c r="F8" t="s">
        <v>422</v>
      </c>
      <c r="G8" t="s">
        <v>423</v>
      </c>
      <c r="H8" t="s">
        <v>34</v>
      </c>
      <c r="I8" t="s">
        <v>23</v>
      </c>
      <c r="J8">
        <v>70293.11</v>
      </c>
      <c r="K8">
        <v>30715.89</v>
      </c>
      <c r="L8">
        <v>39577.22</v>
      </c>
      <c r="M8">
        <v>70293.11</v>
      </c>
      <c r="N8">
        <v>30715.89</v>
      </c>
      <c r="O8">
        <v>39577.22</v>
      </c>
      <c r="P8">
        <v>40698.559999999998</v>
      </c>
      <c r="Q8">
        <v>359538579.60000002</v>
      </c>
      <c r="R8">
        <v>514458376.5</v>
      </c>
      <c r="S8">
        <v>5.2999999999999999E-2</v>
      </c>
      <c r="T8" t="s">
        <v>24</v>
      </c>
      <c r="U8">
        <v>3.5000000000000003E-2</v>
      </c>
      <c r="V8">
        <v>0.08</v>
      </c>
      <c r="X8">
        <v>52439.82</v>
      </c>
    </row>
    <row r="9" spans="1:25" x14ac:dyDescent="0.25">
      <c r="A9">
        <v>2020</v>
      </c>
      <c r="B9">
        <v>1</v>
      </c>
      <c r="C9" t="s">
        <v>305</v>
      </c>
      <c r="D9" t="s">
        <v>306</v>
      </c>
      <c r="E9" t="s">
        <v>307</v>
      </c>
      <c r="F9" t="s">
        <v>424</v>
      </c>
      <c r="G9" t="s">
        <v>425</v>
      </c>
      <c r="H9" t="s">
        <v>34</v>
      </c>
      <c r="I9" t="s">
        <v>23</v>
      </c>
      <c r="J9">
        <v>32511.02</v>
      </c>
      <c r="K9">
        <v>5811.13</v>
      </c>
      <c r="L9">
        <v>26699.89</v>
      </c>
      <c r="M9">
        <v>32511.02</v>
      </c>
      <c r="N9">
        <v>5811.13</v>
      </c>
      <c r="O9">
        <v>26699.89</v>
      </c>
      <c r="P9">
        <v>7699.75</v>
      </c>
      <c r="R9">
        <v>589622602.10000002</v>
      </c>
      <c r="S9">
        <v>5.2999999999999999E-2</v>
      </c>
      <c r="T9">
        <v>3</v>
      </c>
      <c r="U9">
        <v>2.75E-2</v>
      </c>
      <c r="V9">
        <v>0.08</v>
      </c>
      <c r="X9">
        <v>35377.360000000001</v>
      </c>
      <c r="Y9">
        <v>7.4999999999999997E-3</v>
      </c>
    </row>
    <row r="10" spans="1:25" x14ac:dyDescent="0.25">
      <c r="A10">
        <v>2020</v>
      </c>
      <c r="B10">
        <v>1</v>
      </c>
      <c r="C10" t="s">
        <v>305</v>
      </c>
      <c r="D10" t="s">
        <v>426</v>
      </c>
      <c r="E10" t="s">
        <v>427</v>
      </c>
      <c r="F10" t="s">
        <v>428</v>
      </c>
      <c r="G10" t="s">
        <v>429</v>
      </c>
      <c r="H10" t="s">
        <v>34</v>
      </c>
      <c r="I10" t="s">
        <v>23</v>
      </c>
      <c r="J10">
        <v>32457.83</v>
      </c>
      <c r="K10">
        <v>5781.71</v>
      </c>
      <c r="L10">
        <v>26676.11</v>
      </c>
      <c r="M10">
        <v>32457.83</v>
      </c>
      <c r="N10">
        <v>5781.71</v>
      </c>
      <c r="O10">
        <v>26676.11</v>
      </c>
      <c r="P10">
        <v>7660.77</v>
      </c>
      <c r="R10">
        <v>589097488.60000002</v>
      </c>
      <c r="S10">
        <v>5.2999999999999999E-2</v>
      </c>
      <c r="T10">
        <v>3</v>
      </c>
      <c r="U10">
        <v>2.75E-2</v>
      </c>
      <c r="V10">
        <v>0.08</v>
      </c>
      <c r="X10">
        <v>35345.85</v>
      </c>
      <c r="Y10">
        <v>7.4999999999999997E-3</v>
      </c>
    </row>
    <row r="11" spans="1:25" x14ac:dyDescent="0.25">
      <c r="A11">
        <v>2020</v>
      </c>
      <c r="B11">
        <v>1</v>
      </c>
      <c r="C11" t="s">
        <v>308</v>
      </c>
      <c r="D11" t="s">
        <v>309</v>
      </c>
      <c r="E11" t="s">
        <v>310</v>
      </c>
      <c r="F11" t="s">
        <v>430</v>
      </c>
      <c r="G11" t="s">
        <v>431</v>
      </c>
      <c r="H11" t="s">
        <v>34</v>
      </c>
      <c r="I11" t="s">
        <v>23</v>
      </c>
      <c r="J11">
        <v>231344.51</v>
      </c>
      <c r="K11">
        <v>77732.800000000003</v>
      </c>
      <c r="L11">
        <v>153611.71</v>
      </c>
      <c r="M11">
        <v>231344.51</v>
      </c>
      <c r="N11">
        <v>77732.800000000003</v>
      </c>
      <c r="O11">
        <v>153611.71</v>
      </c>
      <c r="P11">
        <v>102995.96</v>
      </c>
      <c r="Q11">
        <v>1697717748</v>
      </c>
      <c r="R11">
        <v>1694540773</v>
      </c>
      <c r="S11">
        <v>5.2999999999999999E-2</v>
      </c>
      <c r="T11" t="s">
        <v>24</v>
      </c>
      <c r="U11">
        <v>3.5000000000000003E-2</v>
      </c>
      <c r="V11">
        <v>0.08</v>
      </c>
      <c r="X11">
        <v>203535.51</v>
      </c>
    </row>
    <row r="12" spans="1:25" x14ac:dyDescent="0.25">
      <c r="A12">
        <v>2020</v>
      </c>
      <c r="B12">
        <v>1</v>
      </c>
      <c r="C12" t="s">
        <v>308</v>
      </c>
      <c r="D12" t="s">
        <v>432</v>
      </c>
      <c r="E12" t="s">
        <v>433</v>
      </c>
      <c r="F12" t="s">
        <v>434</v>
      </c>
      <c r="G12" t="s">
        <v>435</v>
      </c>
      <c r="H12" t="s">
        <v>34</v>
      </c>
      <c r="I12" t="s">
        <v>23</v>
      </c>
      <c r="J12">
        <v>82441.350000000006</v>
      </c>
      <c r="K12">
        <v>19102.63</v>
      </c>
      <c r="L12">
        <v>63338.73</v>
      </c>
      <c r="M12">
        <v>82441.350000000006</v>
      </c>
      <c r="N12">
        <v>19102.63</v>
      </c>
      <c r="O12">
        <v>63338.73</v>
      </c>
      <c r="P12">
        <v>25310.98</v>
      </c>
      <c r="Q12">
        <v>683935238.10000002</v>
      </c>
      <c r="R12">
        <v>714795018</v>
      </c>
      <c r="S12">
        <v>5.2999999999999999E-2</v>
      </c>
      <c r="T12">
        <v>3</v>
      </c>
      <c r="U12">
        <v>2.75E-2</v>
      </c>
      <c r="V12">
        <v>0.08</v>
      </c>
      <c r="X12">
        <v>83923.82</v>
      </c>
      <c r="Y12">
        <v>7.4999999999999997E-3</v>
      </c>
    </row>
    <row r="13" spans="1:25" x14ac:dyDescent="0.25">
      <c r="A13">
        <v>2020</v>
      </c>
      <c r="B13">
        <v>1</v>
      </c>
      <c r="C13" t="s">
        <v>311</v>
      </c>
      <c r="D13" t="s">
        <v>312</v>
      </c>
      <c r="E13" t="s">
        <v>313</v>
      </c>
      <c r="F13" t="s">
        <v>436</v>
      </c>
      <c r="G13" t="s">
        <v>437</v>
      </c>
      <c r="H13" t="s">
        <v>34</v>
      </c>
      <c r="I13" t="s">
        <v>23</v>
      </c>
      <c r="J13">
        <v>54740.53</v>
      </c>
      <c r="K13">
        <v>6579.08</v>
      </c>
      <c r="L13">
        <v>48161.45</v>
      </c>
      <c r="M13">
        <v>54740.53</v>
      </c>
      <c r="N13">
        <v>6579.08</v>
      </c>
      <c r="O13">
        <v>48161.45</v>
      </c>
      <c r="P13">
        <v>8717.2800000000007</v>
      </c>
      <c r="Q13">
        <v>608320809.89999998</v>
      </c>
      <c r="R13">
        <v>626787400.60000002</v>
      </c>
      <c r="S13">
        <v>5.2999999999999999E-2</v>
      </c>
      <c r="T13">
        <v>3</v>
      </c>
      <c r="U13">
        <v>2.75E-2</v>
      </c>
      <c r="V13">
        <v>0.08</v>
      </c>
      <c r="X13">
        <v>63813.919999999998</v>
      </c>
      <c r="Y13">
        <v>0.01</v>
      </c>
    </row>
    <row r="14" spans="1:25" x14ac:dyDescent="0.25">
      <c r="A14">
        <v>2020</v>
      </c>
      <c r="B14">
        <v>1</v>
      </c>
      <c r="C14" t="s">
        <v>311</v>
      </c>
      <c r="D14" t="s">
        <v>438</v>
      </c>
      <c r="E14" t="s">
        <v>439</v>
      </c>
      <c r="F14" t="s">
        <v>440</v>
      </c>
      <c r="G14" t="s">
        <v>441</v>
      </c>
      <c r="H14" t="s">
        <v>34</v>
      </c>
      <c r="I14" t="s">
        <v>23</v>
      </c>
      <c r="J14">
        <v>85324.66</v>
      </c>
      <c r="K14">
        <v>14198.08</v>
      </c>
      <c r="L14">
        <v>71126.58</v>
      </c>
      <c r="M14">
        <v>85324.66</v>
      </c>
      <c r="N14">
        <v>14198.08</v>
      </c>
      <c r="O14">
        <v>71126.58</v>
      </c>
      <c r="P14">
        <v>18812.46</v>
      </c>
      <c r="Q14">
        <v>547441406.70000005</v>
      </c>
      <c r="R14">
        <v>561296487.20000005</v>
      </c>
      <c r="S14">
        <v>5.2999999999999999E-2</v>
      </c>
      <c r="T14">
        <v>3</v>
      </c>
      <c r="U14">
        <v>2.75E-2</v>
      </c>
      <c r="V14">
        <v>0.08</v>
      </c>
      <c r="X14">
        <v>94242.72</v>
      </c>
    </row>
    <row r="15" spans="1:25" x14ac:dyDescent="0.25">
      <c r="A15">
        <v>2020</v>
      </c>
      <c r="B15">
        <v>1</v>
      </c>
      <c r="C15" t="s">
        <v>315</v>
      </c>
      <c r="D15" t="s">
        <v>316</v>
      </c>
      <c r="E15" t="s">
        <v>317</v>
      </c>
      <c r="F15" t="s">
        <v>442</v>
      </c>
      <c r="G15" t="s">
        <v>443</v>
      </c>
      <c r="H15" t="s">
        <v>34</v>
      </c>
      <c r="I15" t="s">
        <v>23</v>
      </c>
      <c r="J15">
        <v>229552.67</v>
      </c>
      <c r="K15">
        <v>97154.14</v>
      </c>
      <c r="L15">
        <v>132398.51999999999</v>
      </c>
      <c r="M15">
        <v>229552.67</v>
      </c>
      <c r="N15">
        <v>97154.14</v>
      </c>
      <c r="O15">
        <v>132398.51999999999</v>
      </c>
      <c r="P15">
        <v>128729.24</v>
      </c>
      <c r="Q15">
        <v>797212760.5</v>
      </c>
      <c r="R15">
        <v>853874711.20000005</v>
      </c>
      <c r="S15">
        <v>5.2999999999999999E-2</v>
      </c>
      <c r="T15">
        <v>3</v>
      </c>
      <c r="U15">
        <v>2.75E-2</v>
      </c>
      <c r="V15">
        <v>0.1</v>
      </c>
      <c r="X15">
        <v>175428.04</v>
      </c>
    </row>
    <row r="16" spans="1:25" x14ac:dyDescent="0.25">
      <c r="A16">
        <v>2020</v>
      </c>
      <c r="B16">
        <v>1</v>
      </c>
      <c r="C16" t="s">
        <v>315</v>
      </c>
      <c r="D16" t="s">
        <v>444</v>
      </c>
      <c r="E16" t="s">
        <v>445</v>
      </c>
      <c r="F16" t="s">
        <v>446</v>
      </c>
      <c r="G16" t="s">
        <v>447</v>
      </c>
      <c r="H16" t="s">
        <v>34</v>
      </c>
      <c r="I16" t="s">
        <v>23</v>
      </c>
      <c r="J16">
        <v>271963.57</v>
      </c>
      <c r="K16">
        <v>69695.05</v>
      </c>
      <c r="L16">
        <v>202268.52</v>
      </c>
      <c r="M16">
        <v>271963.57</v>
      </c>
      <c r="N16">
        <v>69695.05</v>
      </c>
      <c r="O16">
        <v>202268.52</v>
      </c>
      <c r="P16">
        <v>92345.94</v>
      </c>
      <c r="Q16">
        <v>816874948.60000002</v>
      </c>
      <c r="R16">
        <v>875793223.5</v>
      </c>
      <c r="S16">
        <v>5.2999999999999999E-2</v>
      </c>
      <c r="T16">
        <v>1</v>
      </c>
      <c r="U16">
        <v>1.4999999999999999E-2</v>
      </c>
      <c r="V16">
        <v>0.1</v>
      </c>
      <c r="X16">
        <v>268005.78999999998</v>
      </c>
    </row>
    <row r="17" spans="1:25" x14ac:dyDescent="0.25">
      <c r="A17">
        <v>2020</v>
      </c>
      <c r="B17">
        <v>1</v>
      </c>
      <c r="C17" t="s">
        <v>318</v>
      </c>
      <c r="D17" t="s">
        <v>448</v>
      </c>
      <c r="E17" t="s">
        <v>449</v>
      </c>
      <c r="F17" t="s">
        <v>450</v>
      </c>
      <c r="G17" t="s">
        <v>451</v>
      </c>
      <c r="H17" t="s">
        <v>34</v>
      </c>
      <c r="I17" t="s">
        <v>23</v>
      </c>
      <c r="J17">
        <v>15038.17</v>
      </c>
      <c r="K17">
        <v>1615.46</v>
      </c>
      <c r="L17">
        <v>13422.72</v>
      </c>
      <c r="M17">
        <v>15038.17</v>
      </c>
      <c r="N17">
        <v>1615.46</v>
      </c>
      <c r="O17">
        <v>13422.72</v>
      </c>
      <c r="P17">
        <v>2140.48</v>
      </c>
      <c r="Q17">
        <v>147862680.30000001</v>
      </c>
      <c r="R17">
        <v>148555639.40000001</v>
      </c>
      <c r="S17">
        <v>5.2999999999999999E-2</v>
      </c>
      <c r="T17" t="s">
        <v>24</v>
      </c>
      <c r="U17">
        <v>3.5000000000000003E-2</v>
      </c>
      <c r="V17">
        <v>0.08</v>
      </c>
      <c r="X17">
        <v>17785.099999999999</v>
      </c>
    </row>
    <row r="18" spans="1:25" x14ac:dyDescent="0.25">
      <c r="A18">
        <v>2020</v>
      </c>
      <c r="B18">
        <v>1</v>
      </c>
      <c r="C18" t="s">
        <v>318</v>
      </c>
      <c r="D18" t="s">
        <v>319</v>
      </c>
      <c r="E18" t="s">
        <v>320</v>
      </c>
      <c r="F18" t="s">
        <v>452</v>
      </c>
      <c r="G18" t="s">
        <v>453</v>
      </c>
      <c r="H18" t="s">
        <v>34</v>
      </c>
      <c r="I18" t="s">
        <v>23</v>
      </c>
      <c r="J18">
        <v>32117.81</v>
      </c>
      <c r="K18">
        <v>4899.57</v>
      </c>
      <c r="L18">
        <v>27218.240000000002</v>
      </c>
      <c r="M18">
        <v>32117.81</v>
      </c>
      <c r="N18">
        <v>4899.57</v>
      </c>
      <c r="O18">
        <v>27218.240000000002</v>
      </c>
      <c r="P18">
        <v>6491.93</v>
      </c>
      <c r="Q18">
        <v>299988609.10000002</v>
      </c>
      <c r="R18">
        <v>301080763.5</v>
      </c>
      <c r="S18">
        <v>5.2999999999999999E-2</v>
      </c>
      <c r="T18">
        <v>3</v>
      </c>
      <c r="U18">
        <v>2.75E-2</v>
      </c>
      <c r="V18">
        <v>0.08</v>
      </c>
      <c r="X18">
        <v>36064.160000000003</v>
      </c>
      <c r="Y18">
        <v>7.4999999999999997E-3</v>
      </c>
    </row>
    <row r="19" spans="1:25" x14ac:dyDescent="0.25">
      <c r="A19">
        <v>2020</v>
      </c>
      <c r="B19">
        <v>1</v>
      </c>
      <c r="C19" t="s">
        <v>318</v>
      </c>
      <c r="D19" t="s">
        <v>454</v>
      </c>
      <c r="E19" t="s">
        <v>455</v>
      </c>
      <c r="F19" t="s">
        <v>456</v>
      </c>
      <c r="G19" t="s">
        <v>457</v>
      </c>
      <c r="H19" t="s">
        <v>34</v>
      </c>
      <c r="I19" t="s">
        <v>23</v>
      </c>
      <c r="J19">
        <v>12137.91</v>
      </c>
      <c r="K19">
        <v>1403.55</v>
      </c>
      <c r="L19">
        <v>10734.36</v>
      </c>
      <c r="M19">
        <v>12137.91</v>
      </c>
      <c r="N19">
        <v>1403.55</v>
      </c>
      <c r="O19">
        <v>10734.36</v>
      </c>
      <c r="P19">
        <v>1859.71</v>
      </c>
      <c r="Q19">
        <v>118262296.90000001</v>
      </c>
      <c r="R19">
        <v>118788146.40000001</v>
      </c>
      <c r="S19">
        <v>5.2999999999999999E-2</v>
      </c>
      <c r="T19">
        <v>3</v>
      </c>
      <c r="U19">
        <v>2.75E-2</v>
      </c>
      <c r="V19">
        <v>0.08</v>
      </c>
      <c r="X19">
        <v>14223.03</v>
      </c>
      <c r="Y19">
        <v>7.4999999999999997E-3</v>
      </c>
    </row>
    <row r="20" spans="1:25" x14ac:dyDescent="0.25">
      <c r="A20">
        <v>2020</v>
      </c>
      <c r="B20">
        <v>1</v>
      </c>
      <c r="C20" t="s">
        <v>321</v>
      </c>
      <c r="D20" t="s">
        <v>322</v>
      </c>
      <c r="E20" t="s">
        <v>323</v>
      </c>
      <c r="F20" t="s">
        <v>458</v>
      </c>
      <c r="G20" t="s">
        <v>459</v>
      </c>
      <c r="H20" t="s">
        <v>34</v>
      </c>
      <c r="I20" t="s">
        <v>23</v>
      </c>
      <c r="J20">
        <v>248298.87</v>
      </c>
      <c r="K20">
        <v>132243.79999999999</v>
      </c>
      <c r="L20">
        <v>116055.07</v>
      </c>
      <c r="M20">
        <v>248298.87</v>
      </c>
      <c r="N20">
        <v>132243.79999999999</v>
      </c>
      <c r="O20">
        <v>116055.07</v>
      </c>
      <c r="P20">
        <v>175223.04000000001</v>
      </c>
      <c r="Q20">
        <v>1254241940</v>
      </c>
      <c r="R20">
        <v>1308640846</v>
      </c>
      <c r="S20">
        <v>5.2999999999999999E-2</v>
      </c>
      <c r="T20" t="s">
        <v>24</v>
      </c>
      <c r="U20">
        <v>3.5000000000000003E-2</v>
      </c>
      <c r="V20">
        <v>0.08</v>
      </c>
      <c r="X20">
        <v>153772.97</v>
      </c>
    </row>
    <row r="21" spans="1:25" x14ac:dyDescent="0.25">
      <c r="A21">
        <v>2020</v>
      </c>
      <c r="B21">
        <v>1</v>
      </c>
      <c r="C21" t="s">
        <v>324</v>
      </c>
      <c r="D21" t="s">
        <v>325</v>
      </c>
      <c r="E21" t="s">
        <v>326</v>
      </c>
      <c r="F21" t="s">
        <v>460</v>
      </c>
      <c r="G21" t="s">
        <v>461</v>
      </c>
      <c r="H21" t="s">
        <v>34</v>
      </c>
      <c r="I21" t="s">
        <v>23</v>
      </c>
      <c r="J21">
        <v>113918.19</v>
      </c>
      <c r="K21">
        <v>56603.9</v>
      </c>
      <c r="L21">
        <v>57314.28</v>
      </c>
      <c r="M21">
        <v>113918.19</v>
      </c>
      <c r="N21">
        <v>56603.9</v>
      </c>
      <c r="O21">
        <v>57314.28</v>
      </c>
      <c r="P21">
        <v>75000.17</v>
      </c>
      <c r="Q21">
        <v>566893214</v>
      </c>
      <c r="R21">
        <v>698797241</v>
      </c>
      <c r="S21">
        <v>5.2999999999999999E-2</v>
      </c>
      <c r="T21">
        <v>3</v>
      </c>
      <c r="U21">
        <v>2.75E-2</v>
      </c>
      <c r="V21">
        <v>0.08</v>
      </c>
      <c r="X21">
        <v>75941.429999999993</v>
      </c>
      <c r="Y21">
        <v>7.4999999999999997E-3</v>
      </c>
    </row>
    <row r="22" spans="1:25" x14ac:dyDescent="0.25">
      <c r="A22">
        <v>2020</v>
      </c>
      <c r="B22">
        <v>1</v>
      </c>
      <c r="C22" t="s">
        <v>324</v>
      </c>
      <c r="D22" t="s">
        <v>462</v>
      </c>
      <c r="E22" t="s">
        <v>463</v>
      </c>
      <c r="F22" t="s">
        <v>464</v>
      </c>
      <c r="G22" t="s">
        <v>465</v>
      </c>
      <c r="H22" t="s">
        <v>34</v>
      </c>
      <c r="I22" t="s">
        <v>23</v>
      </c>
      <c r="J22">
        <v>103752.94</v>
      </c>
      <c r="K22">
        <v>48424.34</v>
      </c>
      <c r="L22">
        <v>55328.61</v>
      </c>
      <c r="M22">
        <v>103752.94</v>
      </c>
      <c r="N22">
        <v>48424.34</v>
      </c>
      <c r="O22">
        <v>55328.61</v>
      </c>
      <c r="P22">
        <v>64162.25</v>
      </c>
      <c r="Q22">
        <v>566398176.60000002</v>
      </c>
      <c r="R22">
        <v>655441853.89999998</v>
      </c>
      <c r="S22">
        <v>5.2999999999999999E-2</v>
      </c>
      <c r="T22" t="s">
        <v>24</v>
      </c>
      <c r="U22">
        <v>3.5000000000000003E-2</v>
      </c>
      <c r="V22">
        <v>0.08</v>
      </c>
      <c r="X22">
        <v>73310.399999999994</v>
      </c>
    </row>
    <row r="23" spans="1:25" x14ac:dyDescent="0.25">
      <c r="A23">
        <v>2020</v>
      </c>
      <c r="B23">
        <v>1</v>
      </c>
      <c r="C23" t="s">
        <v>327</v>
      </c>
      <c r="D23" t="s">
        <v>466</v>
      </c>
      <c r="E23" t="s">
        <v>467</v>
      </c>
      <c r="F23" t="s">
        <v>468</v>
      </c>
      <c r="G23" t="s">
        <v>469</v>
      </c>
      <c r="H23" t="s">
        <v>34</v>
      </c>
      <c r="I23" t="s">
        <v>23</v>
      </c>
      <c r="J23">
        <v>48681.54</v>
      </c>
      <c r="K23">
        <v>10393.42</v>
      </c>
      <c r="L23">
        <v>38288.120000000003</v>
      </c>
      <c r="M23">
        <v>48681.54</v>
      </c>
      <c r="N23">
        <v>10393.42</v>
      </c>
      <c r="O23">
        <v>38288.120000000003</v>
      </c>
      <c r="P23">
        <v>13771.28</v>
      </c>
      <c r="Q23">
        <v>413591060.89999998</v>
      </c>
      <c r="R23">
        <v>431938245.10000002</v>
      </c>
      <c r="S23">
        <v>5.2999999999999999E-2</v>
      </c>
      <c r="T23">
        <v>3</v>
      </c>
      <c r="U23">
        <v>2.75E-2</v>
      </c>
      <c r="V23">
        <v>0.08</v>
      </c>
      <c r="X23">
        <v>50731.76</v>
      </c>
      <c r="Y23">
        <v>7.4999999999999997E-3</v>
      </c>
    </row>
    <row r="24" spans="1:25" x14ac:dyDescent="0.25">
      <c r="A24">
        <v>2020</v>
      </c>
      <c r="B24">
        <v>1</v>
      </c>
      <c r="C24" t="s">
        <v>327</v>
      </c>
      <c r="D24" t="s">
        <v>328</v>
      </c>
      <c r="E24" t="s">
        <v>329</v>
      </c>
      <c r="F24" t="s">
        <v>470</v>
      </c>
      <c r="G24" t="s">
        <v>471</v>
      </c>
      <c r="H24" t="s">
        <v>34</v>
      </c>
      <c r="I24" t="s">
        <v>23</v>
      </c>
      <c r="J24">
        <v>53257.01</v>
      </c>
      <c r="K24">
        <v>14907.34</v>
      </c>
      <c r="L24">
        <v>38349.660000000003</v>
      </c>
      <c r="M24">
        <v>53257.01</v>
      </c>
      <c r="N24">
        <v>14907.34</v>
      </c>
      <c r="O24">
        <v>38349.660000000003</v>
      </c>
      <c r="P24">
        <v>19752.23</v>
      </c>
      <c r="Q24">
        <v>414117217.39999998</v>
      </c>
      <c r="R24">
        <v>432771152.10000002</v>
      </c>
      <c r="S24">
        <v>5.2999999999999999E-2</v>
      </c>
      <c r="T24">
        <v>3</v>
      </c>
      <c r="U24">
        <v>2.75E-2</v>
      </c>
      <c r="V24">
        <v>0.08</v>
      </c>
      <c r="X24">
        <v>50813.3</v>
      </c>
      <c r="Y24">
        <v>7.4999999999999997E-3</v>
      </c>
    </row>
    <row r="25" spans="1:25" x14ac:dyDescent="0.25">
      <c r="A25">
        <v>2020</v>
      </c>
      <c r="B25">
        <v>1</v>
      </c>
      <c r="C25" t="s">
        <v>327</v>
      </c>
      <c r="D25" t="s">
        <v>472</v>
      </c>
      <c r="E25" t="s">
        <v>473</v>
      </c>
      <c r="F25" t="s">
        <v>474</v>
      </c>
      <c r="G25" t="s">
        <v>475</v>
      </c>
      <c r="H25" t="s">
        <v>34</v>
      </c>
      <c r="I25" t="s">
        <v>23</v>
      </c>
      <c r="J25">
        <v>20708.900000000001</v>
      </c>
      <c r="K25">
        <v>3841.04</v>
      </c>
      <c r="L25">
        <v>16867.86</v>
      </c>
      <c r="M25">
        <v>20708.900000000001</v>
      </c>
      <c r="N25">
        <v>3841.04</v>
      </c>
      <c r="O25">
        <v>16867.86</v>
      </c>
      <c r="P25">
        <v>5089.38</v>
      </c>
      <c r="Q25">
        <v>175805241</v>
      </c>
      <c r="R25">
        <v>196693404.5</v>
      </c>
      <c r="S25">
        <v>5.2999999999999999E-2</v>
      </c>
      <c r="T25">
        <v>3</v>
      </c>
      <c r="U25">
        <v>2.75E-2</v>
      </c>
      <c r="V25">
        <v>0.08</v>
      </c>
      <c r="X25">
        <v>22349.919999999998</v>
      </c>
      <c r="Y25">
        <v>7.4999999999999997E-3</v>
      </c>
    </row>
    <row r="26" spans="1:25" x14ac:dyDescent="0.25">
      <c r="A26">
        <v>2020</v>
      </c>
      <c r="B26">
        <v>1</v>
      </c>
      <c r="C26" t="s">
        <v>333</v>
      </c>
      <c r="D26" t="s">
        <v>334</v>
      </c>
      <c r="E26" t="s">
        <v>335</v>
      </c>
      <c r="F26" t="s">
        <v>476</v>
      </c>
      <c r="G26" t="s">
        <v>477</v>
      </c>
      <c r="H26" t="s">
        <v>34</v>
      </c>
      <c r="I26" t="s">
        <v>23</v>
      </c>
      <c r="J26">
        <v>18087.75</v>
      </c>
      <c r="K26">
        <v>5819.39</v>
      </c>
      <c r="L26">
        <v>12268.37</v>
      </c>
      <c r="M26">
        <v>18087.75</v>
      </c>
      <c r="N26">
        <v>5819.39</v>
      </c>
      <c r="O26">
        <v>12268.37</v>
      </c>
      <c r="P26">
        <v>7710.69</v>
      </c>
      <c r="Q26">
        <v>129116413.90000001</v>
      </c>
      <c r="R26">
        <v>141809986.90000001</v>
      </c>
      <c r="S26">
        <v>5.2999999999999999E-2</v>
      </c>
      <c r="T26" t="s">
        <v>24</v>
      </c>
      <c r="U26">
        <v>3.5000000000000003E-2</v>
      </c>
      <c r="V26">
        <v>0.08</v>
      </c>
      <c r="X26">
        <v>16255.58</v>
      </c>
    </row>
    <row r="27" spans="1:25" x14ac:dyDescent="0.25">
      <c r="A27">
        <v>2020</v>
      </c>
      <c r="B27">
        <v>1</v>
      </c>
      <c r="C27" t="s">
        <v>333</v>
      </c>
      <c r="D27" t="s">
        <v>478</v>
      </c>
      <c r="E27" t="s">
        <v>479</v>
      </c>
      <c r="F27" t="s">
        <v>480</v>
      </c>
      <c r="G27" t="s">
        <v>481</v>
      </c>
      <c r="H27" t="s">
        <v>34</v>
      </c>
      <c r="I27" t="s">
        <v>23</v>
      </c>
      <c r="J27">
        <v>19381.54</v>
      </c>
      <c r="K27">
        <v>7261.33</v>
      </c>
      <c r="L27">
        <v>12120.22</v>
      </c>
      <c r="M27">
        <v>19381.54</v>
      </c>
      <c r="N27">
        <v>7261.33</v>
      </c>
      <c r="O27">
        <v>12120.22</v>
      </c>
      <c r="P27">
        <v>9621.26</v>
      </c>
      <c r="Q27">
        <v>129192343.3</v>
      </c>
      <c r="R27">
        <v>138462428.40000001</v>
      </c>
      <c r="S27">
        <v>5.2999999999999999E-2</v>
      </c>
      <c r="T27" t="s">
        <v>24</v>
      </c>
      <c r="U27">
        <v>3.5000000000000003E-2</v>
      </c>
      <c r="V27">
        <v>0.08</v>
      </c>
      <c r="X27">
        <v>16059.29</v>
      </c>
    </row>
    <row r="28" spans="1:25" x14ac:dyDescent="0.25">
      <c r="A28">
        <v>2020</v>
      </c>
      <c r="B28">
        <v>1</v>
      </c>
      <c r="C28" t="s">
        <v>336</v>
      </c>
      <c r="D28" t="s">
        <v>482</v>
      </c>
      <c r="E28" t="s">
        <v>483</v>
      </c>
      <c r="F28" t="s">
        <v>484</v>
      </c>
      <c r="G28" t="s">
        <v>485</v>
      </c>
      <c r="H28" t="s">
        <v>34</v>
      </c>
      <c r="I28" t="s">
        <v>23</v>
      </c>
      <c r="J28">
        <v>36080.06</v>
      </c>
      <c r="K28">
        <v>26367.64</v>
      </c>
      <c r="L28">
        <v>9712.42</v>
      </c>
      <c r="M28">
        <v>36080.06</v>
      </c>
      <c r="N28">
        <v>26367.64</v>
      </c>
      <c r="O28">
        <v>9712.42</v>
      </c>
      <c r="P28">
        <v>34937.120000000003</v>
      </c>
      <c r="R28">
        <v>214482708.30000001</v>
      </c>
      <c r="S28">
        <v>5.2999999999999999E-2</v>
      </c>
      <c r="T28" t="s">
        <v>24</v>
      </c>
      <c r="U28">
        <v>3.5000000000000003E-2</v>
      </c>
      <c r="V28">
        <v>0.08</v>
      </c>
      <c r="X28">
        <v>12868.96</v>
      </c>
    </row>
    <row r="29" spans="1:25" x14ac:dyDescent="0.25">
      <c r="A29">
        <v>2020</v>
      </c>
      <c r="B29">
        <v>1</v>
      </c>
      <c r="C29" t="s">
        <v>336</v>
      </c>
      <c r="D29" t="s">
        <v>337</v>
      </c>
      <c r="E29" t="s">
        <v>338</v>
      </c>
      <c r="F29" t="s">
        <v>486</v>
      </c>
      <c r="G29" t="s">
        <v>487</v>
      </c>
      <c r="H29" t="s">
        <v>34</v>
      </c>
      <c r="I29" t="s">
        <v>23</v>
      </c>
      <c r="J29">
        <v>35866.74</v>
      </c>
      <c r="K29">
        <v>26155.15</v>
      </c>
      <c r="L29">
        <v>9711.59</v>
      </c>
      <c r="M29">
        <v>35866.74</v>
      </c>
      <c r="N29">
        <v>26155.15</v>
      </c>
      <c r="O29">
        <v>9711.59</v>
      </c>
      <c r="P29">
        <v>34655.58</v>
      </c>
      <c r="R29">
        <v>214464274.69999999</v>
      </c>
      <c r="S29">
        <v>5.2999999999999999E-2</v>
      </c>
      <c r="T29">
        <v>3</v>
      </c>
      <c r="U29">
        <v>2.75E-2</v>
      </c>
      <c r="V29">
        <v>0.08</v>
      </c>
      <c r="X29">
        <v>12867.86</v>
      </c>
      <c r="Y29">
        <v>7.4999999999999997E-3</v>
      </c>
    </row>
    <row r="30" spans="1:25" x14ac:dyDescent="0.25">
      <c r="A30">
        <v>2020</v>
      </c>
      <c r="B30">
        <v>1</v>
      </c>
      <c r="C30" t="s">
        <v>340</v>
      </c>
      <c r="D30" t="s">
        <v>341</v>
      </c>
      <c r="E30" t="s">
        <v>342</v>
      </c>
      <c r="F30" t="s">
        <v>488</v>
      </c>
      <c r="G30" t="s">
        <v>489</v>
      </c>
      <c r="H30" t="s">
        <v>34</v>
      </c>
      <c r="I30" t="s">
        <v>23</v>
      </c>
      <c r="J30">
        <v>335536.14</v>
      </c>
      <c r="K30">
        <v>170812.34</v>
      </c>
      <c r="L30">
        <v>164723.79999999999</v>
      </c>
      <c r="M30">
        <v>335536.14</v>
      </c>
      <c r="N30">
        <v>170812.34</v>
      </c>
      <c r="O30">
        <v>164723.79999999999</v>
      </c>
      <c r="P30">
        <v>226326.35</v>
      </c>
      <c r="Q30">
        <v>1764081188</v>
      </c>
      <c r="R30">
        <v>1873569455</v>
      </c>
      <c r="S30">
        <v>5.2999999999999999E-2</v>
      </c>
      <c r="T30">
        <v>3</v>
      </c>
      <c r="U30">
        <v>2.75E-2</v>
      </c>
      <c r="V30">
        <v>0.08</v>
      </c>
      <c r="X30">
        <v>218259.04</v>
      </c>
      <c r="Y30">
        <v>7.4999999999999997E-3</v>
      </c>
    </row>
    <row r="31" spans="1:25" x14ac:dyDescent="0.25">
      <c r="A31">
        <v>2020</v>
      </c>
      <c r="B31">
        <v>1</v>
      </c>
      <c r="C31" t="s">
        <v>343</v>
      </c>
      <c r="D31" t="s">
        <v>344</v>
      </c>
      <c r="E31" t="s">
        <v>345</v>
      </c>
      <c r="F31" t="s">
        <v>490</v>
      </c>
      <c r="G31" t="s">
        <v>491</v>
      </c>
      <c r="H31" t="s">
        <v>34</v>
      </c>
      <c r="I31" t="s">
        <v>23</v>
      </c>
      <c r="J31">
        <v>68819.570000000007</v>
      </c>
      <c r="K31">
        <v>34250.67</v>
      </c>
      <c r="L31">
        <v>34568.9</v>
      </c>
      <c r="M31">
        <v>68819.570000000007</v>
      </c>
      <c r="N31">
        <v>34250.67</v>
      </c>
      <c r="O31">
        <v>34568.9</v>
      </c>
      <c r="P31">
        <v>45382.14</v>
      </c>
      <c r="R31">
        <v>763396582.10000002</v>
      </c>
      <c r="S31">
        <v>5.2999999999999999E-2</v>
      </c>
      <c r="T31">
        <v>3</v>
      </c>
      <c r="U31">
        <v>2.75E-2</v>
      </c>
      <c r="V31">
        <v>0.08</v>
      </c>
      <c r="X31">
        <v>45803.79</v>
      </c>
      <c r="Y31">
        <v>7.4999999999999997E-3</v>
      </c>
    </row>
    <row r="32" spans="1:25" x14ac:dyDescent="0.25">
      <c r="A32">
        <v>2020</v>
      </c>
      <c r="B32">
        <v>1</v>
      </c>
      <c r="C32" t="s">
        <v>346</v>
      </c>
      <c r="D32" t="s">
        <v>347</v>
      </c>
      <c r="E32" t="s">
        <v>348</v>
      </c>
      <c r="F32" t="s">
        <v>492</v>
      </c>
      <c r="G32" t="s">
        <v>493</v>
      </c>
      <c r="H32" t="s">
        <v>34</v>
      </c>
      <c r="I32" t="s">
        <v>23</v>
      </c>
      <c r="J32">
        <v>24024.42</v>
      </c>
      <c r="K32">
        <v>8.17</v>
      </c>
      <c r="L32">
        <v>24016.25</v>
      </c>
      <c r="M32">
        <v>24024.42</v>
      </c>
      <c r="N32">
        <v>8.17</v>
      </c>
      <c r="O32">
        <v>24016.25</v>
      </c>
      <c r="P32">
        <v>10.83</v>
      </c>
      <c r="Q32">
        <v>527767351.5</v>
      </c>
      <c r="R32">
        <v>532950380.39999998</v>
      </c>
      <c r="S32">
        <v>5.2999999999999999E-2</v>
      </c>
      <c r="T32">
        <v>3</v>
      </c>
      <c r="U32">
        <v>2.75E-2</v>
      </c>
      <c r="V32">
        <v>0.04</v>
      </c>
      <c r="X32">
        <v>31821.53</v>
      </c>
      <c r="Y32">
        <v>7.4999999999999997E-3</v>
      </c>
    </row>
    <row r="33" spans="1:25" x14ac:dyDescent="0.25">
      <c r="A33">
        <v>2020</v>
      </c>
      <c r="B33">
        <v>1</v>
      </c>
      <c r="C33" t="s">
        <v>346</v>
      </c>
      <c r="D33" t="s">
        <v>347</v>
      </c>
      <c r="E33" t="s">
        <v>348</v>
      </c>
      <c r="F33" t="s">
        <v>494</v>
      </c>
      <c r="G33" t="s">
        <v>495</v>
      </c>
      <c r="H33" t="s">
        <v>34</v>
      </c>
      <c r="I33" t="s">
        <v>23</v>
      </c>
      <c r="J33">
        <v>48248.04</v>
      </c>
      <c r="K33">
        <v>6969.92</v>
      </c>
      <c r="L33">
        <v>41278.120000000003</v>
      </c>
      <c r="M33">
        <v>48248.04</v>
      </c>
      <c r="N33">
        <v>6969.92</v>
      </c>
      <c r="O33">
        <v>41278.120000000003</v>
      </c>
      <c r="P33">
        <v>9235.15</v>
      </c>
      <c r="Q33">
        <v>439392812.10000002</v>
      </c>
      <c r="R33">
        <v>472165654.80000001</v>
      </c>
      <c r="S33">
        <v>5.2999999999999999E-2</v>
      </c>
      <c r="T33" t="s">
        <v>24</v>
      </c>
      <c r="U33">
        <v>3.5000000000000003E-2</v>
      </c>
      <c r="V33">
        <v>0.08</v>
      </c>
      <c r="X33">
        <v>54693.51</v>
      </c>
    </row>
    <row r="34" spans="1:25" x14ac:dyDescent="0.25">
      <c r="A34">
        <v>2020</v>
      </c>
      <c r="B34">
        <v>1</v>
      </c>
      <c r="C34" t="s">
        <v>346</v>
      </c>
      <c r="D34" t="s">
        <v>496</v>
      </c>
      <c r="E34" t="s">
        <v>497</v>
      </c>
      <c r="F34" t="s">
        <v>498</v>
      </c>
      <c r="G34" t="s">
        <v>499</v>
      </c>
      <c r="H34" t="s">
        <v>34</v>
      </c>
      <c r="I34" t="s">
        <v>23</v>
      </c>
      <c r="J34">
        <v>51459.91</v>
      </c>
      <c r="K34">
        <v>11112.08</v>
      </c>
      <c r="L34">
        <v>40347.83</v>
      </c>
      <c r="M34">
        <v>51459.91</v>
      </c>
      <c r="N34">
        <v>11112.08</v>
      </c>
      <c r="O34">
        <v>40347.83</v>
      </c>
      <c r="P34">
        <v>14723.51</v>
      </c>
      <c r="Q34">
        <v>435506598.80000001</v>
      </c>
      <c r="R34">
        <v>455507999.80000001</v>
      </c>
      <c r="S34">
        <v>5.2999999999999999E-2</v>
      </c>
      <c r="T34" t="s">
        <v>24</v>
      </c>
      <c r="U34">
        <v>3.5000000000000003E-2</v>
      </c>
      <c r="V34">
        <v>0.08</v>
      </c>
      <c r="X34">
        <v>53460.88</v>
      </c>
    </row>
    <row r="35" spans="1:25" x14ac:dyDescent="0.25">
      <c r="A35">
        <v>2020</v>
      </c>
      <c r="B35">
        <v>1</v>
      </c>
      <c r="C35" t="s">
        <v>346</v>
      </c>
      <c r="D35" t="s">
        <v>500</v>
      </c>
      <c r="E35" t="s">
        <v>501</v>
      </c>
      <c r="F35" t="s">
        <v>502</v>
      </c>
      <c r="G35" t="s">
        <v>503</v>
      </c>
      <c r="H35" t="s">
        <v>34</v>
      </c>
      <c r="I35" t="s">
        <v>23</v>
      </c>
      <c r="J35">
        <v>56843.94</v>
      </c>
      <c r="K35">
        <v>14681.82</v>
      </c>
      <c r="L35">
        <v>42162.12</v>
      </c>
      <c r="M35">
        <v>56843.94</v>
      </c>
      <c r="N35">
        <v>14681.82</v>
      </c>
      <c r="O35">
        <v>42162.12</v>
      </c>
      <c r="P35">
        <v>19453.41</v>
      </c>
      <c r="Q35">
        <v>444469488</v>
      </c>
      <c r="R35">
        <v>486610722.19999999</v>
      </c>
      <c r="S35">
        <v>5.2999999999999999E-2</v>
      </c>
      <c r="T35">
        <v>3</v>
      </c>
      <c r="U35">
        <v>2.75E-2</v>
      </c>
      <c r="V35">
        <v>0.08</v>
      </c>
      <c r="X35">
        <v>55864.81</v>
      </c>
      <c r="Y35">
        <v>7.4999999999999997E-3</v>
      </c>
    </row>
    <row r="36" spans="1:25" x14ac:dyDescent="0.25">
      <c r="A36">
        <v>2020</v>
      </c>
      <c r="B36">
        <v>1</v>
      </c>
      <c r="C36" t="s">
        <v>349</v>
      </c>
      <c r="D36" t="s">
        <v>350</v>
      </c>
      <c r="E36" t="s">
        <v>351</v>
      </c>
      <c r="F36" t="s">
        <v>504</v>
      </c>
      <c r="G36" t="s">
        <v>505</v>
      </c>
      <c r="H36" t="s">
        <v>34</v>
      </c>
      <c r="I36" t="s">
        <v>23</v>
      </c>
      <c r="J36">
        <v>7310</v>
      </c>
      <c r="K36">
        <v>30.38</v>
      </c>
      <c r="L36">
        <v>7279.62</v>
      </c>
      <c r="M36">
        <v>7310</v>
      </c>
      <c r="N36">
        <v>30.38</v>
      </c>
      <c r="O36">
        <v>7279.62</v>
      </c>
      <c r="P36">
        <v>40.26</v>
      </c>
      <c r="Q36">
        <v>32788089.399999999</v>
      </c>
      <c r="R36">
        <v>28130796.190000001</v>
      </c>
      <c r="S36">
        <v>5.2999999999999999E-2</v>
      </c>
      <c r="T36">
        <v>1</v>
      </c>
      <c r="U36">
        <v>1.4999999999999999E-2</v>
      </c>
      <c r="V36">
        <v>0.1</v>
      </c>
      <c r="X36">
        <v>9645.49</v>
      </c>
    </row>
    <row r="37" spans="1:25" x14ac:dyDescent="0.25">
      <c r="A37">
        <v>2020</v>
      </c>
      <c r="B37">
        <v>1</v>
      </c>
      <c r="C37" t="s">
        <v>349</v>
      </c>
      <c r="D37" t="s">
        <v>506</v>
      </c>
      <c r="E37" t="s">
        <v>507</v>
      </c>
      <c r="F37" t="s">
        <v>508</v>
      </c>
      <c r="G37" t="s">
        <v>509</v>
      </c>
      <c r="H37" t="s">
        <v>34</v>
      </c>
      <c r="I37" t="s">
        <v>23</v>
      </c>
      <c r="J37">
        <v>165833.60999999999</v>
      </c>
      <c r="K37">
        <v>53466.11</v>
      </c>
      <c r="L37">
        <v>112367.5</v>
      </c>
      <c r="M37">
        <v>165833.60999999999</v>
      </c>
      <c r="N37">
        <v>53466.11</v>
      </c>
      <c r="O37">
        <v>112367.5</v>
      </c>
      <c r="P37">
        <v>70842.600000000006</v>
      </c>
      <c r="Q37">
        <v>1234399824</v>
      </c>
      <c r="R37">
        <v>1247049069</v>
      </c>
      <c r="S37">
        <v>5.2999999999999999E-2</v>
      </c>
      <c r="T37" t="s">
        <v>24</v>
      </c>
      <c r="U37">
        <v>3.5000000000000003E-2</v>
      </c>
      <c r="V37">
        <v>0.08</v>
      </c>
      <c r="X37">
        <v>148886.93</v>
      </c>
    </row>
    <row r="38" spans="1:25" x14ac:dyDescent="0.25">
      <c r="A38">
        <v>2020</v>
      </c>
      <c r="B38">
        <v>1</v>
      </c>
      <c r="C38" t="s">
        <v>349</v>
      </c>
      <c r="D38" t="s">
        <v>510</v>
      </c>
      <c r="E38" t="s">
        <v>511</v>
      </c>
      <c r="F38" t="s">
        <v>512</v>
      </c>
      <c r="G38" t="s">
        <v>513</v>
      </c>
      <c r="H38" t="s">
        <v>34</v>
      </c>
      <c r="I38" t="s">
        <v>23</v>
      </c>
      <c r="J38">
        <v>75273.41</v>
      </c>
      <c r="K38">
        <v>28349.63</v>
      </c>
      <c r="L38">
        <v>46923.78</v>
      </c>
      <c r="M38">
        <v>75273.41</v>
      </c>
      <c r="N38">
        <v>28349.63</v>
      </c>
      <c r="O38">
        <v>46923.78</v>
      </c>
      <c r="P38">
        <v>37563.26</v>
      </c>
      <c r="Q38">
        <v>502884645.19999999</v>
      </c>
      <c r="R38">
        <v>533348882.89999998</v>
      </c>
      <c r="S38">
        <v>5.2999999999999999E-2</v>
      </c>
      <c r="T38">
        <v>3</v>
      </c>
      <c r="U38">
        <v>2.75E-2</v>
      </c>
      <c r="V38">
        <v>0.08</v>
      </c>
      <c r="X38">
        <v>62174.01</v>
      </c>
      <c r="Y38">
        <v>7.4999999999999997E-3</v>
      </c>
    </row>
    <row r="39" spans="1:25" x14ac:dyDescent="0.25">
      <c r="A39">
        <v>2020</v>
      </c>
      <c r="B39">
        <v>1</v>
      </c>
      <c r="C39" t="s">
        <v>349</v>
      </c>
      <c r="D39" t="s">
        <v>514</v>
      </c>
      <c r="E39" t="s">
        <v>515</v>
      </c>
      <c r="F39" t="s">
        <v>516</v>
      </c>
      <c r="G39" t="s">
        <v>517</v>
      </c>
      <c r="H39" t="s">
        <v>34</v>
      </c>
      <c r="I39" t="s">
        <v>23</v>
      </c>
      <c r="J39">
        <v>43267.46</v>
      </c>
      <c r="K39">
        <v>15410.32</v>
      </c>
      <c r="L39">
        <v>27857.14</v>
      </c>
      <c r="M39">
        <v>43267.46</v>
      </c>
      <c r="N39">
        <v>15410.32</v>
      </c>
      <c r="O39">
        <v>27857.14</v>
      </c>
      <c r="P39">
        <v>20418.669999999998</v>
      </c>
      <c r="Q39">
        <v>306186145.10000002</v>
      </c>
      <c r="R39">
        <v>308992326.10000002</v>
      </c>
      <c r="S39">
        <v>5.2999999999999999E-2</v>
      </c>
      <c r="T39">
        <v>3</v>
      </c>
      <c r="U39">
        <v>2.75E-2</v>
      </c>
      <c r="V39">
        <v>0.08</v>
      </c>
      <c r="X39">
        <v>36910.71</v>
      </c>
      <c r="Y39">
        <v>7.4999999999999997E-3</v>
      </c>
    </row>
    <row r="40" spans="1:25" x14ac:dyDescent="0.25">
      <c r="A40">
        <v>2020</v>
      </c>
      <c r="B40">
        <v>1</v>
      </c>
      <c r="C40" t="s">
        <v>349</v>
      </c>
      <c r="D40" t="s">
        <v>350</v>
      </c>
      <c r="E40" t="s">
        <v>351</v>
      </c>
      <c r="F40" t="s">
        <v>518</v>
      </c>
      <c r="G40" t="s">
        <v>519</v>
      </c>
      <c r="H40" t="s">
        <v>34</v>
      </c>
      <c r="I40" t="s">
        <v>23</v>
      </c>
      <c r="J40">
        <v>753436.81</v>
      </c>
      <c r="K40">
        <v>403143.03</v>
      </c>
      <c r="L40">
        <v>350293.78</v>
      </c>
      <c r="M40">
        <v>753436.81</v>
      </c>
      <c r="N40">
        <v>403143.03</v>
      </c>
      <c r="O40">
        <v>350293.78</v>
      </c>
      <c r="P40">
        <v>534164.52</v>
      </c>
      <c r="Q40">
        <v>3713155151</v>
      </c>
      <c r="R40">
        <v>4022499048</v>
      </c>
      <c r="S40">
        <v>5.2999999999999999E-2</v>
      </c>
      <c r="T40">
        <v>3</v>
      </c>
      <c r="U40">
        <v>2.75E-2</v>
      </c>
      <c r="V40">
        <v>0.08</v>
      </c>
      <c r="X40">
        <v>464139.25</v>
      </c>
      <c r="Y40">
        <v>7.4999999999999997E-3</v>
      </c>
    </row>
    <row r="41" spans="1:25" x14ac:dyDescent="0.25">
      <c r="A41">
        <v>2020</v>
      </c>
      <c r="B41">
        <v>1</v>
      </c>
      <c r="C41" t="s">
        <v>352</v>
      </c>
      <c r="D41" t="s">
        <v>520</v>
      </c>
      <c r="E41" t="s">
        <v>521</v>
      </c>
      <c r="F41" t="s">
        <v>522</v>
      </c>
      <c r="G41" t="s">
        <v>523</v>
      </c>
      <c r="H41" t="s">
        <v>34</v>
      </c>
      <c r="I41" t="s">
        <v>23</v>
      </c>
      <c r="J41">
        <v>57568.25</v>
      </c>
      <c r="K41">
        <v>19813.349999999999</v>
      </c>
      <c r="L41">
        <v>37754.9</v>
      </c>
      <c r="M41">
        <v>57568.25</v>
      </c>
      <c r="N41">
        <v>19813.349999999999</v>
      </c>
      <c r="O41">
        <v>37754.9</v>
      </c>
      <c r="P41">
        <v>26252.69</v>
      </c>
      <c r="R41">
        <v>833754129.5</v>
      </c>
      <c r="S41">
        <v>5.2999999999999999E-2</v>
      </c>
      <c r="T41" t="s">
        <v>24</v>
      </c>
      <c r="U41">
        <v>3.5000000000000003E-2</v>
      </c>
      <c r="V41">
        <v>0.08</v>
      </c>
      <c r="X41">
        <v>50025.25</v>
      </c>
    </row>
    <row r="42" spans="1:25" x14ac:dyDescent="0.25">
      <c r="A42">
        <v>2020</v>
      </c>
      <c r="B42">
        <v>1</v>
      </c>
      <c r="C42" t="s">
        <v>352</v>
      </c>
      <c r="D42" t="s">
        <v>524</v>
      </c>
      <c r="E42" t="s">
        <v>525</v>
      </c>
      <c r="F42" t="s">
        <v>526</v>
      </c>
      <c r="G42" t="s">
        <v>527</v>
      </c>
      <c r="H42" t="s">
        <v>34</v>
      </c>
      <c r="I42" t="s">
        <v>23</v>
      </c>
      <c r="J42">
        <v>57678.879999999997</v>
      </c>
      <c r="K42">
        <v>19912.240000000002</v>
      </c>
      <c r="L42">
        <v>37766.629999999997</v>
      </c>
      <c r="M42">
        <v>57678.879999999997</v>
      </c>
      <c r="N42">
        <v>19912.240000000002</v>
      </c>
      <c r="O42">
        <v>37766.629999999997</v>
      </c>
      <c r="P42">
        <v>26383.72</v>
      </c>
      <c r="R42">
        <v>834013189.20000005</v>
      </c>
      <c r="S42">
        <v>5.2999999999999999E-2</v>
      </c>
      <c r="T42">
        <v>3</v>
      </c>
      <c r="U42">
        <v>2.75E-2</v>
      </c>
      <c r="V42">
        <v>0.08</v>
      </c>
      <c r="X42">
        <v>50040.79</v>
      </c>
      <c r="Y42">
        <v>7.4999999999999997E-3</v>
      </c>
    </row>
    <row r="43" spans="1:25" x14ac:dyDescent="0.25">
      <c r="A43">
        <v>2020</v>
      </c>
      <c r="B43">
        <v>1</v>
      </c>
      <c r="C43" t="s">
        <v>352</v>
      </c>
      <c r="D43" t="s">
        <v>353</v>
      </c>
      <c r="E43" t="s">
        <v>354</v>
      </c>
      <c r="F43" t="s">
        <v>528</v>
      </c>
      <c r="G43" t="s">
        <v>529</v>
      </c>
      <c r="H43" t="s">
        <v>34</v>
      </c>
      <c r="I43" t="s">
        <v>23</v>
      </c>
      <c r="J43">
        <v>51605.58</v>
      </c>
      <c r="K43">
        <v>13843.21</v>
      </c>
      <c r="L43">
        <v>37762.370000000003</v>
      </c>
      <c r="M43">
        <v>51605.58</v>
      </c>
      <c r="N43">
        <v>13843.21</v>
      </c>
      <c r="O43">
        <v>37762.370000000003</v>
      </c>
      <c r="P43">
        <v>18342.25</v>
      </c>
      <c r="R43">
        <v>833919106.60000002</v>
      </c>
      <c r="S43">
        <v>5.2999999999999999E-2</v>
      </c>
      <c r="T43">
        <v>3</v>
      </c>
      <c r="U43">
        <v>2.75E-2</v>
      </c>
      <c r="V43">
        <v>0.08</v>
      </c>
      <c r="X43">
        <v>50035.15</v>
      </c>
      <c r="Y43">
        <v>7.4999999999999997E-3</v>
      </c>
    </row>
    <row r="44" spans="1:25" x14ac:dyDescent="0.25">
      <c r="A44">
        <v>2020</v>
      </c>
      <c r="B44">
        <v>1</v>
      </c>
      <c r="C44" t="s">
        <v>355</v>
      </c>
      <c r="D44" t="s">
        <v>356</v>
      </c>
      <c r="E44" t="s">
        <v>357</v>
      </c>
      <c r="F44" t="s">
        <v>530</v>
      </c>
      <c r="G44" t="s">
        <v>531</v>
      </c>
      <c r="H44" t="s">
        <v>34</v>
      </c>
      <c r="I44" t="s">
        <v>23</v>
      </c>
      <c r="J44">
        <v>63423.19</v>
      </c>
      <c r="K44">
        <v>17789.599999999999</v>
      </c>
      <c r="L44">
        <v>45633.59</v>
      </c>
      <c r="M44">
        <v>63423.19</v>
      </c>
      <c r="N44">
        <v>17789.599999999999</v>
      </c>
      <c r="O44">
        <v>45633.59</v>
      </c>
      <c r="P44">
        <v>23571.22</v>
      </c>
      <c r="Q44">
        <v>501983834.5</v>
      </c>
      <c r="R44">
        <v>505757970.60000002</v>
      </c>
      <c r="S44">
        <v>5.2999999999999999E-2</v>
      </c>
      <c r="T44">
        <v>3</v>
      </c>
      <c r="U44">
        <v>2.75E-2</v>
      </c>
      <c r="V44">
        <v>0.08</v>
      </c>
      <c r="X44">
        <v>60464.51</v>
      </c>
      <c r="Y44">
        <v>7.4999999999999997E-3</v>
      </c>
    </row>
    <row r="45" spans="1:25" x14ac:dyDescent="0.25">
      <c r="A45">
        <v>2020</v>
      </c>
      <c r="B45">
        <v>1</v>
      </c>
      <c r="C45" t="s">
        <v>355</v>
      </c>
      <c r="D45" t="s">
        <v>532</v>
      </c>
      <c r="E45" t="s">
        <v>533</v>
      </c>
      <c r="F45" t="s">
        <v>534</v>
      </c>
      <c r="G45" t="s">
        <v>535</v>
      </c>
      <c r="H45" t="s">
        <v>34</v>
      </c>
      <c r="I45" t="s">
        <v>23</v>
      </c>
      <c r="J45">
        <v>47827.7</v>
      </c>
      <c r="K45">
        <v>13240.39</v>
      </c>
      <c r="L45">
        <v>34587.31</v>
      </c>
      <c r="M45">
        <v>47827.7</v>
      </c>
      <c r="N45">
        <v>13240.39</v>
      </c>
      <c r="O45">
        <v>34587.31</v>
      </c>
      <c r="P45">
        <v>17543.52</v>
      </c>
      <c r="Q45">
        <v>380183241.10000002</v>
      </c>
      <c r="R45">
        <v>383619802.30000001</v>
      </c>
      <c r="S45">
        <v>5.2999999999999999E-2</v>
      </c>
      <c r="T45">
        <v>3</v>
      </c>
      <c r="U45">
        <v>2.75E-2</v>
      </c>
      <c r="V45">
        <v>0.08</v>
      </c>
      <c r="X45">
        <v>45828.18</v>
      </c>
      <c r="Y45">
        <v>7.4999999999999997E-3</v>
      </c>
    </row>
    <row r="46" spans="1:25" x14ac:dyDescent="0.25">
      <c r="A46">
        <v>2020</v>
      </c>
      <c r="B46">
        <v>1</v>
      </c>
      <c r="C46" t="s">
        <v>355</v>
      </c>
      <c r="D46" t="s">
        <v>536</v>
      </c>
      <c r="E46" t="s">
        <v>537</v>
      </c>
      <c r="F46" t="s">
        <v>538</v>
      </c>
      <c r="G46" t="s">
        <v>539</v>
      </c>
      <c r="H46" t="s">
        <v>34</v>
      </c>
      <c r="I46" t="s">
        <v>23</v>
      </c>
      <c r="J46">
        <v>57708.36</v>
      </c>
      <c r="K46">
        <v>11641.92</v>
      </c>
      <c r="L46">
        <v>46066.44</v>
      </c>
      <c r="M46">
        <v>57708.36</v>
      </c>
      <c r="N46">
        <v>11641.92</v>
      </c>
      <c r="O46">
        <v>46066.44</v>
      </c>
      <c r="P46">
        <v>15425.55</v>
      </c>
      <c r="Q46">
        <v>506770395.39999998</v>
      </c>
      <c r="R46">
        <v>510530155.60000002</v>
      </c>
      <c r="S46">
        <v>5.2999999999999999E-2</v>
      </c>
      <c r="T46">
        <v>3</v>
      </c>
      <c r="U46">
        <v>2.75E-2</v>
      </c>
      <c r="V46">
        <v>0.08</v>
      </c>
      <c r="X46">
        <v>61038.03</v>
      </c>
      <c r="Y46">
        <v>7.4999999999999997E-3</v>
      </c>
    </row>
    <row r="47" spans="1:25" x14ac:dyDescent="0.25">
      <c r="A47">
        <v>2020</v>
      </c>
      <c r="B47">
        <v>1</v>
      </c>
      <c r="C47" t="s">
        <v>364</v>
      </c>
      <c r="D47" t="s">
        <v>365</v>
      </c>
      <c r="E47" t="s">
        <v>366</v>
      </c>
      <c r="F47" t="s">
        <v>540</v>
      </c>
      <c r="G47" t="s">
        <v>541</v>
      </c>
      <c r="H47" t="s">
        <v>34</v>
      </c>
      <c r="I47" t="s">
        <v>23</v>
      </c>
      <c r="J47">
        <v>11017.01</v>
      </c>
      <c r="K47">
        <v>3.41</v>
      </c>
      <c r="L47">
        <v>11013.6</v>
      </c>
      <c r="M47">
        <v>11017.01</v>
      </c>
      <c r="N47">
        <v>3.41</v>
      </c>
      <c r="O47">
        <v>11013.6</v>
      </c>
      <c r="P47">
        <v>4.5199999999999996</v>
      </c>
      <c r="Q47">
        <v>137070747.69999999</v>
      </c>
      <c r="R47">
        <v>137621367.80000001</v>
      </c>
      <c r="S47">
        <v>5.2999999999999999E-2</v>
      </c>
      <c r="T47">
        <v>3</v>
      </c>
      <c r="U47">
        <v>2.75E-2</v>
      </c>
      <c r="V47">
        <v>0.05</v>
      </c>
      <c r="X47">
        <v>14593.02</v>
      </c>
    </row>
    <row r="48" spans="1:25" x14ac:dyDescent="0.25">
      <c r="A48">
        <v>2020</v>
      </c>
      <c r="B48">
        <v>1</v>
      </c>
      <c r="C48" t="s">
        <v>364</v>
      </c>
      <c r="D48" t="s">
        <v>367</v>
      </c>
      <c r="E48" t="s">
        <v>368</v>
      </c>
      <c r="F48" t="s">
        <v>542</v>
      </c>
      <c r="G48" t="s">
        <v>543</v>
      </c>
      <c r="H48" t="s">
        <v>34</v>
      </c>
      <c r="I48" t="s">
        <v>23</v>
      </c>
      <c r="J48">
        <v>125865.5</v>
      </c>
      <c r="K48">
        <v>29698.240000000002</v>
      </c>
      <c r="L48">
        <v>96167.26</v>
      </c>
      <c r="M48">
        <v>125865.5</v>
      </c>
      <c r="N48">
        <v>29698.240000000002</v>
      </c>
      <c r="O48">
        <v>96167.26</v>
      </c>
      <c r="P48">
        <v>39350.17</v>
      </c>
      <c r="Q48">
        <v>592684881.20000005</v>
      </c>
      <c r="R48">
        <v>606577402</v>
      </c>
      <c r="S48">
        <v>5.2999999999999999E-2</v>
      </c>
      <c r="T48">
        <v>3</v>
      </c>
      <c r="U48">
        <v>2.75E-2</v>
      </c>
      <c r="V48">
        <v>0.1</v>
      </c>
      <c r="X48">
        <v>127421.62</v>
      </c>
    </row>
    <row r="49" spans="1:25" x14ac:dyDescent="0.25">
      <c r="A49">
        <v>2020</v>
      </c>
      <c r="B49">
        <v>1</v>
      </c>
      <c r="C49" t="s">
        <v>364</v>
      </c>
      <c r="D49" t="s">
        <v>365</v>
      </c>
      <c r="E49" t="s">
        <v>366</v>
      </c>
      <c r="F49" t="s">
        <v>544</v>
      </c>
      <c r="G49" t="s">
        <v>545</v>
      </c>
      <c r="H49" t="s">
        <v>34</v>
      </c>
      <c r="I49" t="s">
        <v>23</v>
      </c>
      <c r="J49">
        <v>27719.74</v>
      </c>
      <c r="K49">
        <v>659.33</v>
      </c>
      <c r="L49">
        <v>27060.41</v>
      </c>
      <c r="M49">
        <v>27719.74</v>
      </c>
      <c r="N49">
        <v>659.33</v>
      </c>
      <c r="O49">
        <v>27060.41</v>
      </c>
      <c r="P49">
        <v>873.61</v>
      </c>
      <c r="Q49">
        <v>167177256.30000001</v>
      </c>
      <c r="R49">
        <v>170282009.30000001</v>
      </c>
      <c r="S49">
        <v>5.2999999999999999E-2</v>
      </c>
      <c r="T49">
        <v>3</v>
      </c>
      <c r="U49">
        <v>2.75E-2</v>
      </c>
      <c r="V49">
        <v>0.1</v>
      </c>
      <c r="X49">
        <v>35855.050000000003</v>
      </c>
    </row>
    <row r="50" spans="1:25" x14ac:dyDescent="0.25">
      <c r="A50">
        <v>2020</v>
      </c>
      <c r="B50">
        <v>1</v>
      </c>
      <c r="C50" t="s">
        <v>358</v>
      </c>
      <c r="D50" t="s">
        <v>546</v>
      </c>
      <c r="E50" t="s">
        <v>547</v>
      </c>
      <c r="F50" t="s">
        <v>548</v>
      </c>
      <c r="G50" t="s">
        <v>549</v>
      </c>
      <c r="H50" t="s">
        <v>34</v>
      </c>
      <c r="I50" t="s">
        <v>23</v>
      </c>
      <c r="J50">
        <v>162082.25</v>
      </c>
      <c r="K50">
        <v>59390.89</v>
      </c>
      <c r="L50">
        <v>102691.36</v>
      </c>
      <c r="M50">
        <v>162082.25</v>
      </c>
      <c r="N50">
        <v>59390.89</v>
      </c>
      <c r="O50">
        <v>102691.36</v>
      </c>
      <c r="P50">
        <v>78692.929999999993</v>
      </c>
      <c r="Q50">
        <v>620133411.5</v>
      </c>
      <c r="R50">
        <v>660488261.39999998</v>
      </c>
      <c r="S50">
        <v>5.2999999999999999E-2</v>
      </c>
      <c r="T50">
        <v>3</v>
      </c>
      <c r="U50">
        <v>2.75E-2</v>
      </c>
      <c r="V50">
        <v>0.1</v>
      </c>
      <c r="X50">
        <v>136066.04999999999</v>
      </c>
    </row>
    <row r="51" spans="1:25" x14ac:dyDescent="0.25">
      <c r="A51">
        <v>2020</v>
      </c>
      <c r="B51">
        <v>1</v>
      </c>
      <c r="C51" t="s">
        <v>358</v>
      </c>
      <c r="D51" t="s">
        <v>550</v>
      </c>
      <c r="E51" t="s">
        <v>551</v>
      </c>
      <c r="F51" t="s">
        <v>552</v>
      </c>
      <c r="G51" t="s">
        <v>553</v>
      </c>
      <c r="H51" t="s">
        <v>34</v>
      </c>
      <c r="I51" t="s">
        <v>23</v>
      </c>
      <c r="J51">
        <v>94884.81</v>
      </c>
      <c r="K51">
        <v>45918.62</v>
      </c>
      <c r="L51">
        <v>48966.19</v>
      </c>
      <c r="M51">
        <v>94884.81</v>
      </c>
      <c r="N51">
        <v>45918.62</v>
      </c>
      <c r="O51">
        <v>48966.19</v>
      </c>
      <c r="P51">
        <v>60842.17</v>
      </c>
      <c r="Q51">
        <v>525222724.30000001</v>
      </c>
      <c r="R51">
        <v>556113888.20000005</v>
      </c>
      <c r="S51">
        <v>5.2999999999999999E-2</v>
      </c>
      <c r="T51" t="s">
        <v>24</v>
      </c>
      <c r="U51">
        <v>3.5000000000000003E-2</v>
      </c>
      <c r="V51">
        <v>0.08</v>
      </c>
      <c r="X51">
        <v>64880.2</v>
      </c>
    </row>
    <row r="52" spans="1:25" x14ac:dyDescent="0.25">
      <c r="A52">
        <v>2020</v>
      </c>
      <c r="B52">
        <v>1</v>
      </c>
      <c r="C52" t="s">
        <v>358</v>
      </c>
      <c r="D52" t="s">
        <v>554</v>
      </c>
      <c r="E52" t="s">
        <v>555</v>
      </c>
      <c r="F52" t="s">
        <v>556</v>
      </c>
      <c r="G52" t="s">
        <v>557</v>
      </c>
      <c r="H52" t="s">
        <v>34</v>
      </c>
      <c r="I52" t="s">
        <v>23</v>
      </c>
      <c r="J52">
        <v>127007.26</v>
      </c>
      <c r="K52">
        <v>68958.789999999994</v>
      </c>
      <c r="L52">
        <v>58048.46</v>
      </c>
      <c r="M52">
        <v>127007.26</v>
      </c>
      <c r="N52">
        <v>68958.789999999994</v>
      </c>
      <c r="O52">
        <v>58048.46</v>
      </c>
      <c r="P52">
        <v>91370.4</v>
      </c>
      <c r="Q52">
        <v>620131606.5</v>
      </c>
      <c r="R52">
        <v>661771981.10000002</v>
      </c>
      <c r="S52">
        <v>5.2999999999999999E-2</v>
      </c>
      <c r="T52">
        <v>3</v>
      </c>
      <c r="U52">
        <v>2.75E-2</v>
      </c>
      <c r="V52">
        <v>0.08</v>
      </c>
      <c r="X52">
        <v>76914.22</v>
      </c>
      <c r="Y52">
        <v>7.4999999999999997E-3</v>
      </c>
    </row>
    <row r="53" spans="1:25" x14ac:dyDescent="0.25">
      <c r="A53">
        <v>2020</v>
      </c>
      <c r="B53">
        <v>1</v>
      </c>
      <c r="C53" t="s">
        <v>361</v>
      </c>
      <c r="D53" t="s">
        <v>362</v>
      </c>
      <c r="E53" t="s">
        <v>363</v>
      </c>
      <c r="F53" t="s">
        <v>558</v>
      </c>
      <c r="G53" t="s">
        <v>559</v>
      </c>
      <c r="H53" t="s">
        <v>34</v>
      </c>
      <c r="I53" t="s">
        <v>23</v>
      </c>
      <c r="J53">
        <v>47719.54</v>
      </c>
      <c r="K53">
        <v>8969.5400000000009</v>
      </c>
      <c r="L53">
        <v>38750</v>
      </c>
      <c r="M53">
        <v>47719.54</v>
      </c>
      <c r="N53">
        <v>8969.5400000000009</v>
      </c>
      <c r="O53">
        <v>38750</v>
      </c>
      <c r="P53">
        <v>11884.64</v>
      </c>
      <c r="Q53">
        <v>426675371</v>
      </c>
      <c r="R53">
        <v>429053852.89999998</v>
      </c>
      <c r="S53">
        <v>5.2999999999999999E-2</v>
      </c>
      <c r="T53" t="s">
        <v>24</v>
      </c>
      <c r="U53">
        <v>3.5000000000000003E-2</v>
      </c>
      <c r="V53">
        <v>0.08</v>
      </c>
      <c r="X53">
        <v>51343.75</v>
      </c>
    </row>
    <row r="54" spans="1:25" x14ac:dyDescent="0.25">
      <c r="A54">
        <v>2020</v>
      </c>
      <c r="B54">
        <v>1</v>
      </c>
      <c r="C54" t="s">
        <v>361</v>
      </c>
      <c r="D54" t="s">
        <v>560</v>
      </c>
      <c r="E54" t="s">
        <v>561</v>
      </c>
      <c r="F54" t="s">
        <v>562</v>
      </c>
      <c r="G54" t="s">
        <v>563</v>
      </c>
      <c r="H54" t="s">
        <v>34</v>
      </c>
      <c r="I54" t="s">
        <v>23</v>
      </c>
      <c r="J54">
        <v>48506.91</v>
      </c>
      <c r="K54">
        <v>8165.18</v>
      </c>
      <c r="L54">
        <v>40341.74</v>
      </c>
      <c r="M54">
        <v>48506.91</v>
      </c>
      <c r="N54">
        <v>8165.18</v>
      </c>
      <c r="O54">
        <v>40341.74</v>
      </c>
      <c r="P54">
        <v>10818.86</v>
      </c>
      <c r="Q54">
        <v>444358886.69999999</v>
      </c>
      <c r="R54">
        <v>446521094.69999999</v>
      </c>
      <c r="S54">
        <v>5.2999999999999999E-2</v>
      </c>
      <c r="T54">
        <v>3</v>
      </c>
      <c r="U54">
        <v>2.75E-2</v>
      </c>
      <c r="V54">
        <v>0.08</v>
      </c>
      <c r="X54">
        <v>53452.800000000003</v>
      </c>
      <c r="Y54">
        <v>7.4999999999999997E-3</v>
      </c>
    </row>
    <row r="55" spans="1:25" x14ac:dyDescent="0.25">
      <c r="A55">
        <v>2020</v>
      </c>
      <c r="B55">
        <v>1</v>
      </c>
      <c r="C55" t="s">
        <v>295</v>
      </c>
      <c r="D55" t="s">
        <v>564</v>
      </c>
      <c r="E55" t="s">
        <v>565</v>
      </c>
      <c r="F55" t="s">
        <v>566</v>
      </c>
      <c r="G55" t="s">
        <v>567</v>
      </c>
      <c r="H55" t="s">
        <v>34</v>
      </c>
      <c r="I55" t="s">
        <v>34</v>
      </c>
      <c r="J55">
        <v>92188.14</v>
      </c>
      <c r="K55">
        <v>92188.14</v>
      </c>
      <c r="M55">
        <v>92188.14</v>
      </c>
      <c r="N55">
        <v>92188.14</v>
      </c>
      <c r="P55">
        <v>122149.29</v>
      </c>
    </row>
    <row r="56" spans="1:25" x14ac:dyDescent="0.25">
      <c r="A56">
        <v>2020</v>
      </c>
      <c r="B56">
        <v>1</v>
      </c>
      <c r="C56" t="s">
        <v>321</v>
      </c>
      <c r="D56" t="s">
        <v>568</v>
      </c>
      <c r="E56" t="s">
        <v>569</v>
      </c>
      <c r="F56" t="s">
        <v>570</v>
      </c>
      <c r="G56" t="s">
        <v>571</v>
      </c>
      <c r="H56" t="s">
        <v>34</v>
      </c>
      <c r="I56" t="s">
        <v>34</v>
      </c>
      <c r="J56">
        <v>92604.69</v>
      </c>
      <c r="K56">
        <v>92604.69</v>
      </c>
      <c r="M56">
        <v>92604.69</v>
      </c>
      <c r="N56">
        <v>92604.69</v>
      </c>
      <c r="P56">
        <v>122701.22</v>
      </c>
    </row>
    <row r="57" spans="1:25" x14ac:dyDescent="0.25">
      <c r="A57">
        <v>2020</v>
      </c>
      <c r="B57">
        <v>1</v>
      </c>
      <c r="C57" t="s">
        <v>327</v>
      </c>
      <c r="D57" t="s">
        <v>328</v>
      </c>
      <c r="E57" t="s">
        <v>329</v>
      </c>
      <c r="F57" t="s">
        <v>572</v>
      </c>
      <c r="G57" t="s">
        <v>573</v>
      </c>
      <c r="H57" t="s">
        <v>34</v>
      </c>
      <c r="I57" t="s">
        <v>34</v>
      </c>
      <c r="J57">
        <v>1960.91</v>
      </c>
      <c r="K57">
        <v>1960.91</v>
      </c>
      <c r="M57">
        <v>1960.91</v>
      </c>
      <c r="N57">
        <v>1960.91</v>
      </c>
      <c r="P57">
        <v>2598.1999999999998</v>
      </c>
    </row>
    <row r="58" spans="1:25" x14ac:dyDescent="0.25">
      <c r="A58">
        <v>2020</v>
      </c>
      <c r="B58">
        <v>1</v>
      </c>
      <c r="C58" t="s">
        <v>340</v>
      </c>
      <c r="D58" t="s">
        <v>574</v>
      </c>
      <c r="E58" t="s">
        <v>575</v>
      </c>
      <c r="F58" t="s">
        <v>576</v>
      </c>
      <c r="G58" t="s">
        <v>577</v>
      </c>
      <c r="H58" t="s">
        <v>34</v>
      </c>
      <c r="I58" t="s">
        <v>34</v>
      </c>
      <c r="J58">
        <v>91791.34</v>
      </c>
      <c r="K58">
        <v>91791.34</v>
      </c>
      <c r="M58">
        <v>91791.34</v>
      </c>
      <c r="N58">
        <v>91791.34</v>
      </c>
      <c r="P58">
        <v>121623.53</v>
      </c>
    </row>
    <row r="59" spans="1:25" x14ac:dyDescent="0.25">
      <c r="A59">
        <v>2020</v>
      </c>
      <c r="B59">
        <v>1</v>
      </c>
      <c r="C59" t="s">
        <v>355</v>
      </c>
      <c r="D59" t="s">
        <v>356</v>
      </c>
      <c r="E59" t="s">
        <v>357</v>
      </c>
      <c r="F59" t="s">
        <v>578</v>
      </c>
      <c r="G59" t="s">
        <v>579</v>
      </c>
      <c r="H59" t="s">
        <v>34</v>
      </c>
      <c r="I59" t="s">
        <v>34</v>
      </c>
      <c r="J59">
        <v>0.23</v>
      </c>
      <c r="K59">
        <v>0.23</v>
      </c>
      <c r="M59">
        <v>0.23</v>
      </c>
      <c r="N59">
        <v>0.23</v>
      </c>
      <c r="P59">
        <v>0.31</v>
      </c>
    </row>
    <row r="60" spans="1:25" x14ac:dyDescent="0.25">
      <c r="A60">
        <v>2020</v>
      </c>
      <c r="B60">
        <v>2</v>
      </c>
      <c r="C60" t="s">
        <v>168</v>
      </c>
      <c r="D60" t="s">
        <v>412</v>
      </c>
      <c r="E60" t="s">
        <v>413</v>
      </c>
      <c r="F60" t="s">
        <v>414</v>
      </c>
      <c r="G60" t="s">
        <v>415</v>
      </c>
      <c r="H60" t="s">
        <v>34</v>
      </c>
      <c r="I60" t="s">
        <v>23</v>
      </c>
      <c r="J60">
        <v>38099.53</v>
      </c>
      <c r="K60">
        <v>6152.51</v>
      </c>
      <c r="L60">
        <v>31947.02</v>
      </c>
      <c r="M60">
        <v>21648.45</v>
      </c>
      <c r="N60">
        <v>3365.73</v>
      </c>
      <c r="O60">
        <v>18282.72</v>
      </c>
      <c r="P60">
        <v>4459.59</v>
      </c>
      <c r="Q60">
        <v>201161049</v>
      </c>
      <c r="R60">
        <v>202582354.59999999</v>
      </c>
      <c r="S60">
        <v>5.2999999999999999E-2</v>
      </c>
      <c r="T60" t="s">
        <v>24</v>
      </c>
      <c r="U60">
        <v>3.5000000000000003E-2</v>
      </c>
      <c r="V60">
        <v>0.08</v>
      </c>
      <c r="X60">
        <v>24224.6</v>
      </c>
    </row>
    <row r="61" spans="1:25" x14ac:dyDescent="0.25">
      <c r="A61">
        <v>2020</v>
      </c>
      <c r="B61">
        <v>2</v>
      </c>
      <c r="C61" t="s">
        <v>168</v>
      </c>
      <c r="D61" t="s">
        <v>404</v>
      </c>
      <c r="E61" t="s">
        <v>405</v>
      </c>
      <c r="F61" t="s">
        <v>406</v>
      </c>
      <c r="G61" t="s">
        <v>407</v>
      </c>
      <c r="H61" t="s">
        <v>34</v>
      </c>
      <c r="I61" t="s">
        <v>23</v>
      </c>
      <c r="J61">
        <v>110607.31</v>
      </c>
      <c r="K61">
        <v>20979.360000000001</v>
      </c>
      <c r="L61">
        <v>89627.96</v>
      </c>
      <c r="M61">
        <v>56260.56</v>
      </c>
      <c r="N61">
        <v>10693.75</v>
      </c>
      <c r="O61">
        <v>45566.81</v>
      </c>
      <c r="P61">
        <v>14169.22</v>
      </c>
      <c r="Q61">
        <v>493876892.80000001</v>
      </c>
      <c r="R61">
        <v>512390190.80000001</v>
      </c>
      <c r="S61">
        <v>5.2999999999999999E-2</v>
      </c>
      <c r="T61">
        <v>3</v>
      </c>
      <c r="U61">
        <v>2.75E-2</v>
      </c>
      <c r="V61">
        <v>0.08</v>
      </c>
      <c r="X61">
        <v>60376.03</v>
      </c>
      <c r="Y61">
        <v>7.4999999999999997E-3</v>
      </c>
    </row>
    <row r="62" spans="1:25" x14ac:dyDescent="0.25">
      <c r="A62">
        <v>2020</v>
      </c>
      <c r="B62">
        <v>2</v>
      </c>
      <c r="C62" t="s">
        <v>168</v>
      </c>
      <c r="D62" t="s">
        <v>292</v>
      </c>
      <c r="E62" t="s">
        <v>293</v>
      </c>
      <c r="F62" t="s">
        <v>410</v>
      </c>
      <c r="G62" t="s">
        <v>411</v>
      </c>
      <c r="H62" t="s">
        <v>34</v>
      </c>
      <c r="I62" t="s">
        <v>23</v>
      </c>
      <c r="J62">
        <v>139471.22</v>
      </c>
      <c r="K62">
        <v>2185.04</v>
      </c>
      <c r="L62">
        <v>137286.18</v>
      </c>
      <c r="M62">
        <v>70731.72</v>
      </c>
      <c r="N62">
        <v>1112.3</v>
      </c>
      <c r="O62">
        <v>69619.42</v>
      </c>
      <c r="P62">
        <v>1473.8</v>
      </c>
      <c r="Q62">
        <v>1512452494</v>
      </c>
      <c r="R62">
        <v>1562405278</v>
      </c>
      <c r="S62">
        <v>5.2999999999999999E-2</v>
      </c>
      <c r="T62">
        <v>3</v>
      </c>
      <c r="U62">
        <v>2.75E-2</v>
      </c>
      <c r="V62">
        <v>0.04</v>
      </c>
      <c r="X62">
        <v>92245.73</v>
      </c>
      <c r="Y62">
        <v>7.4999999999999997E-3</v>
      </c>
    </row>
    <row r="63" spans="1:25" x14ac:dyDescent="0.25">
      <c r="A63">
        <v>2020</v>
      </c>
      <c r="B63">
        <v>2</v>
      </c>
      <c r="C63" t="s">
        <v>168</v>
      </c>
      <c r="D63" t="s">
        <v>292</v>
      </c>
      <c r="E63" t="s">
        <v>293</v>
      </c>
      <c r="F63" t="s">
        <v>408</v>
      </c>
      <c r="G63" t="s">
        <v>409</v>
      </c>
      <c r="H63" t="s">
        <v>34</v>
      </c>
      <c r="I63" t="s">
        <v>23</v>
      </c>
      <c r="J63">
        <v>123781.44</v>
      </c>
      <c r="K63">
        <v>34462.959999999999</v>
      </c>
      <c r="L63">
        <v>89318.48</v>
      </c>
      <c r="M63">
        <v>62641.42</v>
      </c>
      <c r="N63">
        <v>17226.05</v>
      </c>
      <c r="O63">
        <v>45415.37</v>
      </c>
      <c r="P63">
        <v>22824.51</v>
      </c>
      <c r="Q63">
        <v>492180360</v>
      </c>
      <c r="R63">
        <v>510742460.30000001</v>
      </c>
      <c r="S63">
        <v>5.2999999999999999E-2</v>
      </c>
      <c r="T63">
        <v>3</v>
      </c>
      <c r="U63">
        <v>2.75E-2</v>
      </c>
      <c r="V63">
        <v>0.08</v>
      </c>
      <c r="X63">
        <v>60175.37</v>
      </c>
      <c r="Y63">
        <v>7.4999999999999997E-3</v>
      </c>
    </row>
    <row r="64" spans="1:25" x14ac:dyDescent="0.25">
      <c r="A64">
        <v>2020</v>
      </c>
      <c r="B64">
        <v>2</v>
      </c>
      <c r="C64" t="s">
        <v>295</v>
      </c>
      <c r="D64" t="s">
        <v>296</v>
      </c>
      <c r="E64" t="s">
        <v>297</v>
      </c>
      <c r="F64" t="s">
        <v>416</v>
      </c>
      <c r="G64" t="s">
        <v>417</v>
      </c>
      <c r="H64" t="s">
        <v>34</v>
      </c>
      <c r="I64" t="s">
        <v>23</v>
      </c>
      <c r="J64">
        <v>375158.59</v>
      </c>
      <c r="K64">
        <v>200010.64</v>
      </c>
      <c r="L64">
        <v>175147.95</v>
      </c>
      <c r="M64">
        <v>188406.05</v>
      </c>
      <c r="N64">
        <v>98695.24</v>
      </c>
      <c r="O64">
        <v>89710.81</v>
      </c>
      <c r="P64">
        <v>130771.19</v>
      </c>
      <c r="Q64">
        <v>977143194.10000002</v>
      </c>
      <c r="R64">
        <v>1003970588</v>
      </c>
      <c r="S64">
        <v>5.2999999999999999E-2</v>
      </c>
      <c r="T64" t="s">
        <v>24</v>
      </c>
      <c r="U64">
        <v>3.5000000000000003E-2</v>
      </c>
      <c r="V64">
        <v>0.08</v>
      </c>
      <c r="X64">
        <v>118866.83</v>
      </c>
    </row>
    <row r="65" spans="1:25" x14ac:dyDescent="0.25">
      <c r="A65">
        <v>2020</v>
      </c>
      <c r="B65">
        <v>2</v>
      </c>
      <c r="C65" t="s">
        <v>298</v>
      </c>
      <c r="D65" t="s">
        <v>299</v>
      </c>
      <c r="E65" t="s">
        <v>300</v>
      </c>
      <c r="F65" t="s">
        <v>587</v>
      </c>
      <c r="G65" t="s">
        <v>588</v>
      </c>
      <c r="H65" t="s">
        <v>34</v>
      </c>
      <c r="I65" t="s">
        <v>23</v>
      </c>
      <c r="J65">
        <v>39202.78</v>
      </c>
      <c r="K65">
        <v>14266.86</v>
      </c>
      <c r="L65">
        <v>24935.919999999998</v>
      </c>
      <c r="M65">
        <v>39202.78</v>
      </c>
      <c r="N65">
        <v>14266.86</v>
      </c>
      <c r="O65">
        <v>24935.919999999998</v>
      </c>
      <c r="P65">
        <v>18903.59</v>
      </c>
      <c r="R65">
        <v>550668219.20000005</v>
      </c>
      <c r="S65">
        <v>5.2999999999999999E-2</v>
      </c>
      <c r="T65">
        <v>3</v>
      </c>
      <c r="U65">
        <v>2.75E-2</v>
      </c>
      <c r="V65">
        <v>0.08</v>
      </c>
      <c r="X65">
        <v>33040.089999999997</v>
      </c>
      <c r="Y65">
        <v>7.4999999999999997E-3</v>
      </c>
    </row>
    <row r="66" spans="1:25" x14ac:dyDescent="0.25">
      <c r="A66">
        <v>2020</v>
      </c>
      <c r="B66">
        <v>2</v>
      </c>
      <c r="C66" t="s">
        <v>302</v>
      </c>
      <c r="D66" t="s">
        <v>303</v>
      </c>
      <c r="E66" t="s">
        <v>304</v>
      </c>
      <c r="F66" t="s">
        <v>422</v>
      </c>
      <c r="G66" t="s">
        <v>423</v>
      </c>
      <c r="H66" t="s">
        <v>34</v>
      </c>
      <c r="I66" t="s">
        <v>23</v>
      </c>
      <c r="J66">
        <v>146597.47</v>
      </c>
      <c r="K66">
        <v>59764.24</v>
      </c>
      <c r="L66">
        <v>86833.23</v>
      </c>
      <c r="M66">
        <v>76304.36</v>
      </c>
      <c r="N66">
        <v>29048.35</v>
      </c>
      <c r="O66">
        <v>47256.01</v>
      </c>
      <c r="P66">
        <v>38489.06</v>
      </c>
      <c r="Q66">
        <v>514458376.5</v>
      </c>
      <c r="R66">
        <v>529111808.10000002</v>
      </c>
      <c r="S66">
        <v>5.2999999999999999E-2</v>
      </c>
      <c r="T66" t="s">
        <v>24</v>
      </c>
      <c r="U66">
        <v>3.5000000000000003E-2</v>
      </c>
      <c r="V66">
        <v>0.08</v>
      </c>
      <c r="X66">
        <v>62614.21</v>
      </c>
    </row>
    <row r="67" spans="1:25" x14ac:dyDescent="0.25">
      <c r="A67">
        <v>2020</v>
      </c>
      <c r="B67">
        <v>2</v>
      </c>
      <c r="C67" t="s">
        <v>302</v>
      </c>
      <c r="D67" t="s">
        <v>418</v>
      </c>
      <c r="E67" t="s">
        <v>419</v>
      </c>
      <c r="F67" t="s">
        <v>420</v>
      </c>
      <c r="G67" t="s">
        <v>421</v>
      </c>
      <c r="H67" t="s">
        <v>34</v>
      </c>
      <c r="I67" t="s">
        <v>23</v>
      </c>
      <c r="J67">
        <v>133925.07999999999</v>
      </c>
      <c r="K67">
        <v>48720.94</v>
      </c>
      <c r="L67">
        <v>85204.15</v>
      </c>
      <c r="M67">
        <v>70982.67</v>
      </c>
      <c r="N67">
        <v>24610.63</v>
      </c>
      <c r="O67">
        <v>46372.04</v>
      </c>
      <c r="P67">
        <v>32609.08</v>
      </c>
      <c r="Q67">
        <v>504813324.30000001</v>
      </c>
      <c r="R67">
        <v>519235953.10000002</v>
      </c>
      <c r="S67">
        <v>5.2999999999999999E-2</v>
      </c>
      <c r="T67">
        <v>3</v>
      </c>
      <c r="U67">
        <v>2.75E-2</v>
      </c>
      <c r="V67">
        <v>0.08</v>
      </c>
      <c r="X67">
        <v>61442.96</v>
      </c>
      <c r="Y67">
        <v>7.4999999999999997E-3</v>
      </c>
    </row>
    <row r="68" spans="1:25" x14ac:dyDescent="0.25">
      <c r="A68">
        <v>2020</v>
      </c>
      <c r="B68">
        <v>2</v>
      </c>
      <c r="C68" t="s">
        <v>305</v>
      </c>
      <c r="D68" t="s">
        <v>426</v>
      </c>
      <c r="E68" t="s">
        <v>427</v>
      </c>
      <c r="F68" t="s">
        <v>428</v>
      </c>
      <c r="G68" t="s">
        <v>429</v>
      </c>
      <c r="H68" t="s">
        <v>34</v>
      </c>
      <c r="I68" t="s">
        <v>23</v>
      </c>
      <c r="J68">
        <v>97852.87</v>
      </c>
      <c r="K68">
        <v>17630.22</v>
      </c>
      <c r="L68">
        <v>80222.649999999994</v>
      </c>
      <c r="M68">
        <v>65395.040000000001</v>
      </c>
      <c r="N68">
        <v>11848.51</v>
      </c>
      <c r="O68">
        <v>53546.53</v>
      </c>
      <c r="P68">
        <v>15699.27</v>
      </c>
      <c r="Q68">
        <v>589097488.60000002</v>
      </c>
      <c r="R68">
        <v>593388485.89999998</v>
      </c>
      <c r="S68">
        <v>5.2999999999999999E-2</v>
      </c>
      <c r="T68">
        <v>3</v>
      </c>
      <c r="U68">
        <v>2.75E-2</v>
      </c>
      <c r="V68">
        <v>0.08</v>
      </c>
      <c r="X68">
        <v>70949.16</v>
      </c>
      <c r="Y68">
        <v>7.4999999999999997E-3</v>
      </c>
    </row>
    <row r="69" spans="1:25" x14ac:dyDescent="0.25">
      <c r="A69">
        <v>2020</v>
      </c>
      <c r="B69">
        <v>2</v>
      </c>
      <c r="C69" t="s">
        <v>305</v>
      </c>
      <c r="D69" t="s">
        <v>306</v>
      </c>
      <c r="E69" t="s">
        <v>307</v>
      </c>
      <c r="F69" t="s">
        <v>424</v>
      </c>
      <c r="G69" t="s">
        <v>425</v>
      </c>
      <c r="H69" t="s">
        <v>34</v>
      </c>
      <c r="I69" t="s">
        <v>23</v>
      </c>
      <c r="J69">
        <v>98002.39</v>
      </c>
      <c r="K69">
        <v>17712.7</v>
      </c>
      <c r="L69">
        <v>80289.69</v>
      </c>
      <c r="M69">
        <v>65491.37</v>
      </c>
      <c r="N69">
        <v>11901.57</v>
      </c>
      <c r="O69">
        <v>53589.8</v>
      </c>
      <c r="P69">
        <v>15769.58</v>
      </c>
      <c r="Q69">
        <v>589622602.10000002</v>
      </c>
      <c r="R69">
        <v>593818713.79999995</v>
      </c>
      <c r="S69">
        <v>5.2999999999999999E-2</v>
      </c>
      <c r="T69">
        <v>3</v>
      </c>
      <c r="U69">
        <v>2.75E-2</v>
      </c>
      <c r="V69">
        <v>0.08</v>
      </c>
      <c r="X69">
        <v>71006.48</v>
      </c>
      <c r="Y69">
        <v>7.4999999999999997E-3</v>
      </c>
    </row>
    <row r="70" spans="1:25" x14ac:dyDescent="0.25">
      <c r="A70">
        <v>2020</v>
      </c>
      <c r="B70">
        <v>2</v>
      </c>
      <c r="C70" t="s">
        <v>308</v>
      </c>
      <c r="D70" t="s">
        <v>309</v>
      </c>
      <c r="E70" t="s">
        <v>310</v>
      </c>
      <c r="F70" t="s">
        <v>430</v>
      </c>
      <c r="G70" t="s">
        <v>431</v>
      </c>
      <c r="H70" t="s">
        <v>34</v>
      </c>
      <c r="I70" t="s">
        <v>23</v>
      </c>
      <c r="J70">
        <v>465481.11</v>
      </c>
      <c r="K70">
        <v>156992.37</v>
      </c>
      <c r="L70">
        <v>308488.74</v>
      </c>
      <c r="M70">
        <v>234136.6</v>
      </c>
      <c r="N70">
        <v>79259.570000000007</v>
      </c>
      <c r="O70">
        <v>154877.03</v>
      </c>
      <c r="P70">
        <v>105018.93</v>
      </c>
      <c r="Q70">
        <v>1694540773</v>
      </c>
      <c r="R70">
        <v>1725660338</v>
      </c>
      <c r="S70">
        <v>5.2999999999999999E-2</v>
      </c>
      <c r="T70" t="s">
        <v>24</v>
      </c>
      <c r="U70">
        <v>3.5000000000000003E-2</v>
      </c>
      <c r="V70">
        <v>0.08</v>
      </c>
      <c r="X70">
        <v>205212.07</v>
      </c>
    </row>
    <row r="71" spans="1:25" x14ac:dyDescent="0.25">
      <c r="A71">
        <v>2020</v>
      </c>
      <c r="B71">
        <v>2</v>
      </c>
      <c r="C71" t="s">
        <v>308</v>
      </c>
      <c r="D71" t="s">
        <v>432</v>
      </c>
      <c r="E71" t="s">
        <v>433</v>
      </c>
      <c r="F71" t="s">
        <v>434</v>
      </c>
      <c r="G71" t="s">
        <v>435</v>
      </c>
      <c r="H71" t="s">
        <v>34</v>
      </c>
      <c r="I71" t="s">
        <v>23</v>
      </c>
      <c r="J71">
        <v>166464.72</v>
      </c>
      <c r="K71">
        <v>37160.25</v>
      </c>
      <c r="L71">
        <v>129304.47</v>
      </c>
      <c r="M71">
        <v>84023.37</v>
      </c>
      <c r="N71">
        <v>18057.62</v>
      </c>
      <c r="O71">
        <v>65965.75</v>
      </c>
      <c r="P71">
        <v>23926.35</v>
      </c>
      <c r="Q71">
        <v>714795018</v>
      </c>
      <c r="R71">
        <v>741948538.60000002</v>
      </c>
      <c r="S71">
        <v>5.2999999999999999E-2</v>
      </c>
      <c r="T71">
        <v>3</v>
      </c>
      <c r="U71">
        <v>2.75E-2</v>
      </c>
      <c r="V71">
        <v>0.08</v>
      </c>
      <c r="X71">
        <v>87404.61</v>
      </c>
      <c r="Y71">
        <v>7.4999999999999997E-3</v>
      </c>
    </row>
    <row r="72" spans="1:25" x14ac:dyDescent="0.25">
      <c r="A72">
        <v>2020</v>
      </c>
      <c r="B72">
        <v>2</v>
      </c>
      <c r="C72" t="s">
        <v>311</v>
      </c>
      <c r="D72" t="s">
        <v>312</v>
      </c>
      <c r="E72" t="s">
        <v>313</v>
      </c>
      <c r="F72" t="s">
        <v>436</v>
      </c>
      <c r="G72" t="s">
        <v>437</v>
      </c>
      <c r="H72" t="s">
        <v>34</v>
      </c>
      <c r="I72" t="s">
        <v>23</v>
      </c>
      <c r="J72">
        <v>119756.56</v>
      </c>
      <c r="K72">
        <v>21430.34</v>
      </c>
      <c r="L72">
        <v>98326.22</v>
      </c>
      <c r="M72">
        <v>65016.03</v>
      </c>
      <c r="N72">
        <v>14851.26</v>
      </c>
      <c r="O72">
        <v>50164.77</v>
      </c>
      <c r="P72">
        <v>19677.919999999998</v>
      </c>
      <c r="Q72">
        <v>626787400.60000002</v>
      </c>
      <c r="R72">
        <v>659696271.10000002</v>
      </c>
      <c r="S72">
        <v>5.2999999999999999E-2</v>
      </c>
      <c r="T72">
        <v>3</v>
      </c>
      <c r="U72">
        <v>2.75E-2</v>
      </c>
      <c r="V72">
        <v>0.08</v>
      </c>
      <c r="X72">
        <v>66468.320000000007</v>
      </c>
      <c r="Y72">
        <v>0.01</v>
      </c>
    </row>
    <row r="73" spans="1:25" x14ac:dyDescent="0.25">
      <c r="A73">
        <v>2020</v>
      </c>
      <c r="B73">
        <v>2</v>
      </c>
      <c r="C73" t="s">
        <v>311</v>
      </c>
      <c r="D73" t="s">
        <v>438</v>
      </c>
      <c r="E73" t="s">
        <v>439</v>
      </c>
      <c r="F73" t="s">
        <v>440</v>
      </c>
      <c r="G73" t="s">
        <v>441</v>
      </c>
      <c r="H73" t="s">
        <v>34</v>
      </c>
      <c r="I73" t="s">
        <v>23</v>
      </c>
      <c r="J73">
        <v>174226.42</v>
      </c>
      <c r="K73">
        <v>29656.48</v>
      </c>
      <c r="L73">
        <v>144569.94</v>
      </c>
      <c r="M73">
        <v>88901.75</v>
      </c>
      <c r="N73">
        <v>15458.4</v>
      </c>
      <c r="O73">
        <v>73443.350000000006</v>
      </c>
      <c r="P73">
        <v>20482.38</v>
      </c>
      <c r="Q73">
        <v>561296487.20000005</v>
      </c>
      <c r="R73">
        <v>583555802.39999998</v>
      </c>
      <c r="S73">
        <v>5.2999999999999999E-2</v>
      </c>
      <c r="T73">
        <v>3</v>
      </c>
      <c r="U73">
        <v>2.75E-2</v>
      </c>
      <c r="V73">
        <v>0.08</v>
      </c>
      <c r="X73">
        <v>97312.44</v>
      </c>
    </row>
    <row r="74" spans="1:25" x14ac:dyDescent="0.25">
      <c r="A74">
        <v>2020</v>
      </c>
      <c r="B74">
        <v>2</v>
      </c>
      <c r="C74" t="s">
        <v>315</v>
      </c>
      <c r="D74" t="s">
        <v>444</v>
      </c>
      <c r="E74" t="s">
        <v>445</v>
      </c>
      <c r="F74" t="s">
        <v>446</v>
      </c>
      <c r="G74" t="s">
        <v>447</v>
      </c>
      <c r="H74" t="s">
        <v>34</v>
      </c>
      <c r="I74" t="s">
        <v>23</v>
      </c>
      <c r="J74">
        <v>560958.44999999995</v>
      </c>
      <c r="K74">
        <v>145979.37</v>
      </c>
      <c r="L74">
        <v>414979.09</v>
      </c>
      <c r="M74">
        <v>288994.88</v>
      </c>
      <c r="N74">
        <v>76284.320000000007</v>
      </c>
      <c r="O74">
        <v>212710.56</v>
      </c>
      <c r="P74">
        <v>101076.72</v>
      </c>
      <c r="Q74">
        <v>875793223.5</v>
      </c>
      <c r="R74">
        <v>904258330.29999995</v>
      </c>
      <c r="S74">
        <v>5.2999999999999999E-2</v>
      </c>
      <c r="T74">
        <v>1</v>
      </c>
      <c r="U74">
        <v>1.4999999999999999E-2</v>
      </c>
      <c r="V74">
        <v>0.1</v>
      </c>
      <c r="X74">
        <v>281841.5</v>
      </c>
    </row>
    <row r="75" spans="1:25" x14ac:dyDescent="0.25">
      <c r="A75">
        <v>2020</v>
      </c>
      <c r="B75">
        <v>2</v>
      </c>
      <c r="C75" t="s">
        <v>315</v>
      </c>
      <c r="D75" t="s">
        <v>316</v>
      </c>
      <c r="E75" t="s">
        <v>317</v>
      </c>
      <c r="F75" t="s">
        <v>442</v>
      </c>
      <c r="G75" t="s">
        <v>443</v>
      </c>
      <c r="H75" t="s">
        <v>34</v>
      </c>
      <c r="I75" t="s">
        <v>23</v>
      </c>
      <c r="J75">
        <v>466266.83</v>
      </c>
      <c r="K75">
        <v>195180.07</v>
      </c>
      <c r="L75">
        <v>271086.76</v>
      </c>
      <c r="M75">
        <v>236714.16</v>
      </c>
      <c r="N75">
        <v>98025.919999999998</v>
      </c>
      <c r="O75">
        <v>138688.24</v>
      </c>
      <c r="P75">
        <v>129884.35</v>
      </c>
      <c r="Q75">
        <v>853874711.20000005</v>
      </c>
      <c r="R75">
        <v>875649217.60000002</v>
      </c>
      <c r="S75">
        <v>5.2999999999999999E-2</v>
      </c>
      <c r="T75">
        <v>3</v>
      </c>
      <c r="U75">
        <v>2.75E-2</v>
      </c>
      <c r="V75">
        <v>0.1</v>
      </c>
      <c r="X75">
        <v>183761.92000000001</v>
      </c>
    </row>
    <row r="76" spans="1:25" x14ac:dyDescent="0.25">
      <c r="A76">
        <v>2020</v>
      </c>
      <c r="B76">
        <v>2</v>
      </c>
      <c r="C76" t="s">
        <v>318</v>
      </c>
      <c r="D76" t="s">
        <v>448</v>
      </c>
      <c r="E76" t="s">
        <v>449</v>
      </c>
      <c r="F76" t="s">
        <v>450</v>
      </c>
      <c r="G76" t="s">
        <v>451</v>
      </c>
      <c r="H76" t="s">
        <v>34</v>
      </c>
      <c r="I76" t="s">
        <v>23</v>
      </c>
      <c r="J76">
        <v>30731.84</v>
      </c>
      <c r="K76">
        <v>3788.42</v>
      </c>
      <c r="L76">
        <v>26943.42</v>
      </c>
      <c r="M76">
        <v>15693.67</v>
      </c>
      <c r="N76">
        <v>2172.9699999999998</v>
      </c>
      <c r="O76">
        <v>13520.7</v>
      </c>
      <c r="P76">
        <v>2879.18</v>
      </c>
      <c r="Q76">
        <v>148555639.40000001</v>
      </c>
      <c r="R76">
        <v>150026469.80000001</v>
      </c>
      <c r="S76">
        <v>5.2999999999999999E-2</v>
      </c>
      <c r="T76" t="s">
        <v>24</v>
      </c>
      <c r="U76">
        <v>3.5000000000000003E-2</v>
      </c>
      <c r="V76">
        <v>0.08</v>
      </c>
      <c r="X76">
        <v>17914.93</v>
      </c>
    </row>
    <row r="77" spans="1:25" x14ac:dyDescent="0.25">
      <c r="A77">
        <v>2020</v>
      </c>
      <c r="B77">
        <v>2</v>
      </c>
      <c r="C77" t="s">
        <v>318</v>
      </c>
      <c r="D77" t="s">
        <v>319</v>
      </c>
      <c r="E77" t="s">
        <v>320</v>
      </c>
      <c r="F77" t="s">
        <v>452</v>
      </c>
      <c r="G77" t="s">
        <v>453</v>
      </c>
      <c r="H77" t="s">
        <v>34</v>
      </c>
      <c r="I77" t="s">
        <v>23</v>
      </c>
      <c r="J77">
        <v>67534.320000000007</v>
      </c>
      <c r="K77">
        <v>12910.97</v>
      </c>
      <c r="L77">
        <v>54623.34</v>
      </c>
      <c r="M77">
        <v>35416.51</v>
      </c>
      <c r="N77">
        <v>8011.4</v>
      </c>
      <c r="O77">
        <v>27405.11</v>
      </c>
      <c r="P77">
        <v>10615.11</v>
      </c>
      <c r="Q77">
        <v>301080763.5</v>
      </c>
      <c r="R77">
        <v>304115373.10000002</v>
      </c>
      <c r="S77">
        <v>5.2999999999999999E-2</v>
      </c>
      <c r="T77">
        <v>3</v>
      </c>
      <c r="U77">
        <v>2.75E-2</v>
      </c>
      <c r="V77">
        <v>0.08</v>
      </c>
      <c r="X77">
        <v>36311.769999999997</v>
      </c>
      <c r="Y77">
        <v>7.4999999999999997E-3</v>
      </c>
    </row>
    <row r="78" spans="1:25" x14ac:dyDescent="0.25">
      <c r="A78">
        <v>2020</v>
      </c>
      <c r="B78">
        <v>2</v>
      </c>
      <c r="C78" t="s">
        <v>318</v>
      </c>
      <c r="D78" t="s">
        <v>454</v>
      </c>
      <c r="E78" t="s">
        <v>455</v>
      </c>
      <c r="F78" t="s">
        <v>456</v>
      </c>
      <c r="G78" t="s">
        <v>457</v>
      </c>
      <c r="H78" t="s">
        <v>34</v>
      </c>
      <c r="I78" t="s">
        <v>23</v>
      </c>
      <c r="J78">
        <v>24786.78</v>
      </c>
      <c r="K78">
        <v>3244.63</v>
      </c>
      <c r="L78">
        <v>21542.15</v>
      </c>
      <c r="M78">
        <v>12648.87</v>
      </c>
      <c r="N78">
        <v>1841.07</v>
      </c>
      <c r="O78">
        <v>10807.8</v>
      </c>
      <c r="P78">
        <v>2439.42</v>
      </c>
      <c r="Q78">
        <v>118788146.40000001</v>
      </c>
      <c r="R78">
        <v>119883995.09999999</v>
      </c>
      <c r="S78">
        <v>5.2999999999999999E-2</v>
      </c>
      <c r="T78">
        <v>3</v>
      </c>
      <c r="U78">
        <v>2.75E-2</v>
      </c>
      <c r="V78">
        <v>0.08</v>
      </c>
      <c r="X78">
        <v>14320.33</v>
      </c>
      <c r="Y78">
        <v>7.4999999999999997E-3</v>
      </c>
    </row>
    <row r="79" spans="1:25" x14ac:dyDescent="0.25">
      <c r="A79">
        <v>2020</v>
      </c>
      <c r="B79">
        <v>2</v>
      </c>
      <c r="C79" t="s">
        <v>321</v>
      </c>
      <c r="D79" t="s">
        <v>322</v>
      </c>
      <c r="E79" t="s">
        <v>323</v>
      </c>
      <c r="F79" t="s">
        <v>458</v>
      </c>
      <c r="G79" t="s">
        <v>459</v>
      </c>
      <c r="H79" t="s">
        <v>34</v>
      </c>
      <c r="I79" t="s">
        <v>23</v>
      </c>
      <c r="J79">
        <v>502359.03</v>
      </c>
      <c r="K79">
        <v>264883.43</v>
      </c>
      <c r="L79">
        <v>237475.6</v>
      </c>
      <c r="M79">
        <v>254060.16</v>
      </c>
      <c r="N79">
        <v>132639.63</v>
      </c>
      <c r="O79">
        <v>121420.53</v>
      </c>
      <c r="P79">
        <v>175747.51</v>
      </c>
      <c r="Q79">
        <v>1308640846</v>
      </c>
      <c r="R79">
        <v>1372729140</v>
      </c>
      <c r="S79">
        <v>5.2999999999999999E-2</v>
      </c>
      <c r="T79" t="s">
        <v>24</v>
      </c>
      <c r="U79">
        <v>3.5000000000000003E-2</v>
      </c>
      <c r="V79">
        <v>0.08</v>
      </c>
      <c r="X79">
        <v>160882.20000000001</v>
      </c>
    </row>
    <row r="80" spans="1:25" x14ac:dyDescent="0.25">
      <c r="A80">
        <v>2020</v>
      </c>
      <c r="B80">
        <v>2</v>
      </c>
      <c r="C80" t="s">
        <v>324</v>
      </c>
      <c r="D80" t="s">
        <v>462</v>
      </c>
      <c r="E80" t="s">
        <v>463</v>
      </c>
      <c r="F80" t="s">
        <v>464</v>
      </c>
      <c r="G80" t="s">
        <v>465</v>
      </c>
      <c r="H80" t="s">
        <v>34</v>
      </c>
      <c r="I80" t="s">
        <v>23</v>
      </c>
      <c r="J80">
        <v>210253.64</v>
      </c>
      <c r="K80">
        <v>95274.2</v>
      </c>
      <c r="L80">
        <v>114979.45</v>
      </c>
      <c r="M80">
        <v>106500.7</v>
      </c>
      <c r="N80">
        <v>46849.86</v>
      </c>
      <c r="O80">
        <v>59650.84</v>
      </c>
      <c r="P80">
        <v>62076.06</v>
      </c>
      <c r="Q80">
        <v>655441853.89999998</v>
      </c>
      <c r="R80">
        <v>661847603.5</v>
      </c>
      <c r="S80">
        <v>5.2999999999999999E-2</v>
      </c>
      <c r="T80" t="s">
        <v>24</v>
      </c>
      <c r="U80">
        <v>3.5000000000000003E-2</v>
      </c>
      <c r="V80">
        <v>0.08</v>
      </c>
      <c r="X80">
        <v>79037.37</v>
      </c>
    </row>
    <row r="81" spans="1:25" x14ac:dyDescent="0.25">
      <c r="A81">
        <v>2020</v>
      </c>
      <c r="B81">
        <v>2</v>
      </c>
      <c r="C81" t="s">
        <v>324</v>
      </c>
      <c r="D81" t="s">
        <v>325</v>
      </c>
      <c r="E81" t="s">
        <v>326</v>
      </c>
      <c r="F81" t="s">
        <v>460</v>
      </c>
      <c r="G81" t="s">
        <v>461</v>
      </c>
      <c r="H81" t="s">
        <v>34</v>
      </c>
      <c r="I81" t="s">
        <v>23</v>
      </c>
      <c r="J81">
        <v>231620.77</v>
      </c>
      <c r="K81">
        <v>110714.23</v>
      </c>
      <c r="L81">
        <v>120906.55</v>
      </c>
      <c r="M81">
        <v>117702.59</v>
      </c>
      <c r="N81">
        <v>54110.32</v>
      </c>
      <c r="O81">
        <v>63592.26</v>
      </c>
      <c r="P81">
        <v>71696.179999999993</v>
      </c>
      <c r="Q81">
        <v>698797241</v>
      </c>
      <c r="R81">
        <v>705531894.70000005</v>
      </c>
      <c r="S81">
        <v>5.2999999999999999E-2</v>
      </c>
      <c r="T81">
        <v>3</v>
      </c>
      <c r="U81">
        <v>2.75E-2</v>
      </c>
      <c r="V81">
        <v>0.08</v>
      </c>
      <c r="X81">
        <v>84259.75</v>
      </c>
      <c r="Y81">
        <v>7.4999999999999997E-3</v>
      </c>
    </row>
    <row r="82" spans="1:25" x14ac:dyDescent="0.25">
      <c r="A82">
        <v>2020</v>
      </c>
      <c r="B82">
        <v>2</v>
      </c>
      <c r="C82" t="s">
        <v>327</v>
      </c>
      <c r="D82" t="s">
        <v>472</v>
      </c>
      <c r="E82" t="s">
        <v>473</v>
      </c>
      <c r="F82" t="s">
        <v>474</v>
      </c>
      <c r="G82" t="s">
        <v>475</v>
      </c>
      <c r="H82" t="s">
        <v>34</v>
      </c>
      <c r="I82" t="s">
        <v>23</v>
      </c>
      <c r="J82">
        <v>43443.89</v>
      </c>
      <c r="K82">
        <v>8240.99</v>
      </c>
      <c r="L82">
        <v>35202.9</v>
      </c>
      <c r="M82">
        <v>22734.99</v>
      </c>
      <c r="N82">
        <v>4399.95</v>
      </c>
      <c r="O82">
        <v>18335.04</v>
      </c>
      <c r="P82">
        <v>5829.93</v>
      </c>
      <c r="Q82">
        <v>196693404.5</v>
      </c>
      <c r="R82">
        <v>208205434.5</v>
      </c>
      <c r="S82">
        <v>5.2999999999999999E-2</v>
      </c>
      <c r="T82">
        <v>3</v>
      </c>
      <c r="U82">
        <v>2.75E-2</v>
      </c>
      <c r="V82">
        <v>0.08</v>
      </c>
      <c r="X82">
        <v>24293.93</v>
      </c>
      <c r="Y82">
        <v>7.4999999999999997E-3</v>
      </c>
    </row>
    <row r="83" spans="1:25" x14ac:dyDescent="0.25">
      <c r="A83">
        <v>2020</v>
      </c>
      <c r="B83">
        <v>2</v>
      </c>
      <c r="C83" t="s">
        <v>327</v>
      </c>
      <c r="D83" t="s">
        <v>328</v>
      </c>
      <c r="E83" t="s">
        <v>329</v>
      </c>
      <c r="F83" t="s">
        <v>470</v>
      </c>
      <c r="G83" t="s">
        <v>471</v>
      </c>
      <c r="H83" t="s">
        <v>34</v>
      </c>
      <c r="I83" t="s">
        <v>23</v>
      </c>
      <c r="J83">
        <v>111157.19</v>
      </c>
      <c r="K83">
        <v>32994.910000000003</v>
      </c>
      <c r="L83">
        <v>78162.28</v>
      </c>
      <c r="M83">
        <v>57900.19</v>
      </c>
      <c r="N83">
        <v>18087.57</v>
      </c>
      <c r="O83">
        <v>39812.620000000003</v>
      </c>
      <c r="P83">
        <v>23966.03</v>
      </c>
      <c r="Q83">
        <v>432771152.10000002</v>
      </c>
      <c r="R83">
        <v>446424167.5</v>
      </c>
      <c r="S83">
        <v>5.2999999999999999E-2</v>
      </c>
      <c r="T83">
        <v>3</v>
      </c>
      <c r="U83">
        <v>2.75E-2</v>
      </c>
      <c r="V83">
        <v>0.08</v>
      </c>
      <c r="X83">
        <v>52751.72</v>
      </c>
      <c r="Y83">
        <v>7.4999999999999997E-3</v>
      </c>
    </row>
    <row r="84" spans="1:25" x14ac:dyDescent="0.25">
      <c r="A84">
        <v>2020</v>
      </c>
      <c r="B84">
        <v>2</v>
      </c>
      <c r="C84" t="s">
        <v>327</v>
      </c>
      <c r="D84" t="s">
        <v>466</v>
      </c>
      <c r="E84" t="s">
        <v>467</v>
      </c>
      <c r="F84" t="s">
        <v>468</v>
      </c>
      <c r="G84" t="s">
        <v>469</v>
      </c>
      <c r="H84" t="s">
        <v>34</v>
      </c>
      <c r="I84" t="s">
        <v>23</v>
      </c>
      <c r="J84">
        <v>101725.17</v>
      </c>
      <c r="K84">
        <v>24156.240000000002</v>
      </c>
      <c r="L84">
        <v>77568.92</v>
      </c>
      <c r="M84">
        <v>53043.63</v>
      </c>
      <c r="N84">
        <v>13762.82</v>
      </c>
      <c r="O84">
        <v>39280.81</v>
      </c>
      <c r="P84">
        <v>18235.740000000002</v>
      </c>
      <c r="Q84">
        <v>431938245.10000002</v>
      </c>
      <c r="R84">
        <v>435512867.19999999</v>
      </c>
      <c r="S84">
        <v>5.2999999999999999E-2</v>
      </c>
      <c r="T84">
        <v>3</v>
      </c>
      <c r="U84">
        <v>2.75E-2</v>
      </c>
      <c r="V84">
        <v>0.08</v>
      </c>
      <c r="X84">
        <v>52047.07</v>
      </c>
      <c r="Y84">
        <v>7.4999999999999997E-3</v>
      </c>
    </row>
    <row r="85" spans="1:25" x14ac:dyDescent="0.25">
      <c r="A85">
        <v>2020</v>
      </c>
      <c r="B85">
        <v>2</v>
      </c>
      <c r="C85" t="s">
        <v>333</v>
      </c>
      <c r="D85" t="s">
        <v>478</v>
      </c>
      <c r="E85" t="s">
        <v>479</v>
      </c>
      <c r="F85" t="s">
        <v>480</v>
      </c>
      <c r="G85" t="s">
        <v>481</v>
      </c>
      <c r="H85" t="s">
        <v>34</v>
      </c>
      <c r="I85" t="s">
        <v>23</v>
      </c>
      <c r="J85">
        <v>40519.89</v>
      </c>
      <c r="K85">
        <v>15802.12</v>
      </c>
      <c r="L85">
        <v>24717.77</v>
      </c>
      <c r="M85">
        <v>21138.34</v>
      </c>
      <c r="N85">
        <v>8540.7900000000009</v>
      </c>
      <c r="O85">
        <v>12597.55</v>
      </c>
      <c r="P85">
        <v>11316.55</v>
      </c>
      <c r="Q85">
        <v>138462428.40000001</v>
      </c>
      <c r="R85">
        <v>139733473.80000001</v>
      </c>
      <c r="S85">
        <v>5.2999999999999999E-2</v>
      </c>
      <c r="T85" t="s">
        <v>24</v>
      </c>
      <c r="U85">
        <v>3.5000000000000003E-2</v>
      </c>
      <c r="V85">
        <v>0.08</v>
      </c>
      <c r="X85">
        <v>16691.75</v>
      </c>
    </row>
    <row r="86" spans="1:25" x14ac:dyDescent="0.25">
      <c r="A86">
        <v>2020</v>
      </c>
      <c r="B86">
        <v>2</v>
      </c>
      <c r="C86" t="s">
        <v>333</v>
      </c>
      <c r="D86" t="s">
        <v>334</v>
      </c>
      <c r="E86" t="s">
        <v>335</v>
      </c>
      <c r="F86" t="s">
        <v>476</v>
      </c>
      <c r="G86" t="s">
        <v>477</v>
      </c>
      <c r="H86" t="s">
        <v>34</v>
      </c>
      <c r="I86" t="s">
        <v>23</v>
      </c>
      <c r="J86">
        <v>36916.53</v>
      </c>
      <c r="K86">
        <v>11732.7</v>
      </c>
      <c r="L86">
        <v>25183.83</v>
      </c>
      <c r="M86">
        <v>18828.78</v>
      </c>
      <c r="N86">
        <v>5913.31</v>
      </c>
      <c r="O86">
        <v>12915.47</v>
      </c>
      <c r="P86">
        <v>7835.14</v>
      </c>
      <c r="Q86">
        <v>141809986.90000001</v>
      </c>
      <c r="R86">
        <v>143406581.30000001</v>
      </c>
      <c r="S86">
        <v>5.2999999999999999E-2</v>
      </c>
      <c r="T86" t="s">
        <v>24</v>
      </c>
      <c r="U86">
        <v>3.5000000000000003E-2</v>
      </c>
      <c r="V86">
        <v>0.08</v>
      </c>
      <c r="X86">
        <v>17112.990000000002</v>
      </c>
    </row>
    <row r="87" spans="1:25" x14ac:dyDescent="0.25">
      <c r="A87">
        <v>2020</v>
      </c>
      <c r="B87">
        <v>2</v>
      </c>
      <c r="C87" t="s">
        <v>336</v>
      </c>
      <c r="D87" t="s">
        <v>337</v>
      </c>
      <c r="E87" t="s">
        <v>338</v>
      </c>
      <c r="F87" t="s">
        <v>486</v>
      </c>
      <c r="G87" t="s">
        <v>487</v>
      </c>
      <c r="H87" t="s">
        <v>34</v>
      </c>
      <c r="I87" t="s">
        <v>23</v>
      </c>
      <c r="J87">
        <v>81764.3</v>
      </c>
      <c r="K87">
        <v>52426.3</v>
      </c>
      <c r="L87">
        <v>29338</v>
      </c>
      <c r="M87">
        <v>45897.55</v>
      </c>
      <c r="N87">
        <v>26271.15</v>
      </c>
      <c r="O87">
        <v>19626.41</v>
      </c>
      <c r="P87">
        <v>34809.269999999997</v>
      </c>
      <c r="Q87">
        <v>214464274.69999999</v>
      </c>
      <c r="R87">
        <v>218952197.5</v>
      </c>
      <c r="S87">
        <v>5.2999999999999999E-2</v>
      </c>
      <c r="T87">
        <v>3</v>
      </c>
      <c r="U87">
        <v>2.75E-2</v>
      </c>
      <c r="V87">
        <v>0.08</v>
      </c>
      <c r="X87">
        <v>26004.99</v>
      </c>
      <c r="Y87">
        <v>7.4999999999999997E-3</v>
      </c>
    </row>
    <row r="88" spans="1:25" x14ac:dyDescent="0.25">
      <c r="A88">
        <v>2020</v>
      </c>
      <c r="B88">
        <v>2</v>
      </c>
      <c r="C88" t="s">
        <v>336</v>
      </c>
      <c r="D88" t="s">
        <v>482</v>
      </c>
      <c r="E88" t="s">
        <v>483</v>
      </c>
      <c r="F88" t="s">
        <v>484</v>
      </c>
      <c r="G88" t="s">
        <v>485</v>
      </c>
      <c r="H88" t="s">
        <v>34</v>
      </c>
      <c r="I88" t="s">
        <v>23</v>
      </c>
      <c r="J88">
        <v>82002.320000000007</v>
      </c>
      <c r="K88">
        <v>52657.86</v>
      </c>
      <c r="L88">
        <v>29344.45</v>
      </c>
      <c r="M88">
        <v>45922.26</v>
      </c>
      <c r="N88">
        <v>26290.23</v>
      </c>
      <c r="O88">
        <v>19632.03</v>
      </c>
      <c r="P88">
        <v>34834.550000000003</v>
      </c>
      <c r="Q88">
        <v>214482708.30000001</v>
      </c>
      <c r="R88">
        <v>219057939.09999999</v>
      </c>
      <c r="S88">
        <v>5.2999999999999999E-2</v>
      </c>
      <c r="T88" t="s">
        <v>24</v>
      </c>
      <c r="U88">
        <v>3.5000000000000003E-2</v>
      </c>
      <c r="V88">
        <v>0.08</v>
      </c>
      <c r="X88">
        <v>26012.44</v>
      </c>
    </row>
    <row r="89" spans="1:25" x14ac:dyDescent="0.25">
      <c r="A89">
        <v>2020</v>
      </c>
      <c r="B89">
        <v>2</v>
      </c>
      <c r="C89" t="s">
        <v>340</v>
      </c>
      <c r="D89" t="s">
        <v>341</v>
      </c>
      <c r="E89" t="s">
        <v>342</v>
      </c>
      <c r="F89" t="s">
        <v>488</v>
      </c>
      <c r="G89" t="s">
        <v>489</v>
      </c>
      <c r="H89" t="s">
        <v>34</v>
      </c>
      <c r="I89" t="s">
        <v>23</v>
      </c>
      <c r="J89">
        <v>678268.67</v>
      </c>
      <c r="K89">
        <v>340143.92</v>
      </c>
      <c r="L89">
        <v>338124.75</v>
      </c>
      <c r="M89">
        <v>342732.53</v>
      </c>
      <c r="N89">
        <v>169331.58</v>
      </c>
      <c r="O89">
        <v>173400.95</v>
      </c>
      <c r="P89">
        <v>224364.35</v>
      </c>
      <c r="Q89">
        <v>1873569455</v>
      </c>
      <c r="R89">
        <v>1955701420</v>
      </c>
      <c r="S89">
        <v>5.2999999999999999E-2</v>
      </c>
      <c r="T89">
        <v>3</v>
      </c>
      <c r="U89">
        <v>2.75E-2</v>
      </c>
      <c r="V89">
        <v>0.08</v>
      </c>
      <c r="X89">
        <v>229756.25</v>
      </c>
      <c r="Y89">
        <v>7.4999999999999997E-3</v>
      </c>
    </row>
    <row r="90" spans="1:25" x14ac:dyDescent="0.25">
      <c r="A90">
        <v>2020</v>
      </c>
      <c r="B90">
        <v>2</v>
      </c>
      <c r="C90" t="s">
        <v>343</v>
      </c>
      <c r="D90" t="s">
        <v>344</v>
      </c>
      <c r="E90" t="s">
        <v>345</v>
      </c>
      <c r="F90" t="s">
        <v>490</v>
      </c>
      <c r="G90" t="s">
        <v>491</v>
      </c>
      <c r="H90" t="s">
        <v>34</v>
      </c>
      <c r="I90" t="s">
        <v>23</v>
      </c>
      <c r="J90">
        <v>180053.98</v>
      </c>
      <c r="K90">
        <v>74558.649999999994</v>
      </c>
      <c r="L90">
        <v>105495.33</v>
      </c>
      <c r="M90">
        <v>111234.41</v>
      </c>
      <c r="N90">
        <v>40307.980000000003</v>
      </c>
      <c r="O90">
        <v>70926.429999999993</v>
      </c>
      <c r="P90">
        <v>53408.07</v>
      </c>
      <c r="Q90">
        <v>763396582.10000002</v>
      </c>
      <c r="R90">
        <v>802895446.29999995</v>
      </c>
      <c r="S90">
        <v>5.2999999999999999E-2</v>
      </c>
      <c r="T90">
        <v>3</v>
      </c>
      <c r="U90">
        <v>2.75E-2</v>
      </c>
      <c r="V90">
        <v>0.08</v>
      </c>
      <c r="X90">
        <v>93977.52</v>
      </c>
      <c r="Y90">
        <v>7.4999999999999997E-3</v>
      </c>
    </row>
    <row r="91" spans="1:25" x14ac:dyDescent="0.25">
      <c r="A91">
        <v>2020</v>
      </c>
      <c r="B91">
        <v>2</v>
      </c>
      <c r="C91" t="s">
        <v>346</v>
      </c>
      <c r="D91" t="s">
        <v>496</v>
      </c>
      <c r="E91" t="s">
        <v>497</v>
      </c>
      <c r="F91" t="s">
        <v>498</v>
      </c>
      <c r="G91" t="s">
        <v>499</v>
      </c>
      <c r="H91" t="s">
        <v>34</v>
      </c>
      <c r="I91" t="s">
        <v>23</v>
      </c>
      <c r="J91">
        <v>104921.85</v>
      </c>
      <c r="K91">
        <v>23150.49</v>
      </c>
      <c r="L91">
        <v>81771.360000000001</v>
      </c>
      <c r="M91">
        <v>53461.94</v>
      </c>
      <c r="N91">
        <v>12038.41</v>
      </c>
      <c r="O91">
        <v>41423.53</v>
      </c>
      <c r="P91">
        <v>15950.89</v>
      </c>
      <c r="Q91">
        <v>455507999.80000001</v>
      </c>
      <c r="R91">
        <v>459261617.69999999</v>
      </c>
      <c r="S91">
        <v>5.2999999999999999E-2</v>
      </c>
      <c r="T91" t="s">
        <v>24</v>
      </c>
      <c r="U91">
        <v>3.5000000000000003E-2</v>
      </c>
      <c r="V91">
        <v>0.08</v>
      </c>
      <c r="X91">
        <v>54886.18</v>
      </c>
    </row>
    <row r="92" spans="1:25" x14ac:dyDescent="0.25">
      <c r="A92">
        <v>2020</v>
      </c>
      <c r="B92">
        <v>2</v>
      </c>
      <c r="C92" t="s">
        <v>346</v>
      </c>
      <c r="D92" t="s">
        <v>500</v>
      </c>
      <c r="E92" t="s">
        <v>501</v>
      </c>
      <c r="F92" t="s">
        <v>502</v>
      </c>
      <c r="G92" t="s">
        <v>503</v>
      </c>
      <c r="H92" t="s">
        <v>34</v>
      </c>
      <c r="I92" t="s">
        <v>23</v>
      </c>
      <c r="J92">
        <v>114448.03</v>
      </c>
      <c r="K92">
        <v>27937.4</v>
      </c>
      <c r="L92">
        <v>86510.63</v>
      </c>
      <c r="M92">
        <v>57604.09</v>
      </c>
      <c r="N92">
        <v>13255.58</v>
      </c>
      <c r="O92">
        <v>44348.51</v>
      </c>
      <c r="P92">
        <v>17563.650000000001</v>
      </c>
      <c r="Q92">
        <v>486610722.19999999</v>
      </c>
      <c r="R92">
        <v>492752148.60000002</v>
      </c>
      <c r="S92">
        <v>5.2999999999999999E-2</v>
      </c>
      <c r="T92">
        <v>3</v>
      </c>
      <c r="U92">
        <v>2.75E-2</v>
      </c>
      <c r="V92">
        <v>0.08</v>
      </c>
      <c r="X92">
        <v>58761.77</v>
      </c>
      <c r="Y92">
        <v>7.4999999999999997E-3</v>
      </c>
    </row>
    <row r="93" spans="1:25" x14ac:dyDescent="0.25">
      <c r="A93">
        <v>2020</v>
      </c>
      <c r="B93">
        <v>2</v>
      </c>
      <c r="C93" t="s">
        <v>346</v>
      </c>
      <c r="D93" t="s">
        <v>347</v>
      </c>
      <c r="E93" t="s">
        <v>348</v>
      </c>
      <c r="F93" t="s">
        <v>492</v>
      </c>
      <c r="G93" t="s">
        <v>493</v>
      </c>
      <c r="H93" t="s">
        <v>34</v>
      </c>
      <c r="I93" t="s">
        <v>23</v>
      </c>
      <c r="J93">
        <v>48232.45</v>
      </c>
      <c r="K93">
        <v>8.17</v>
      </c>
      <c r="L93">
        <v>48224.28</v>
      </c>
      <c r="M93">
        <v>24208.03</v>
      </c>
      <c r="O93">
        <v>24208.03</v>
      </c>
      <c r="Q93">
        <v>532950380.39999998</v>
      </c>
      <c r="R93">
        <v>536237502</v>
      </c>
      <c r="S93">
        <v>5.2999999999999999E-2</v>
      </c>
      <c r="T93">
        <v>3</v>
      </c>
      <c r="U93">
        <v>2.75E-2</v>
      </c>
      <c r="V93">
        <v>0.04</v>
      </c>
      <c r="X93">
        <v>32075.64</v>
      </c>
      <c r="Y93">
        <v>7.4999999999999997E-3</v>
      </c>
    </row>
    <row r="94" spans="1:25" x14ac:dyDescent="0.25">
      <c r="A94">
        <v>2020</v>
      </c>
      <c r="B94">
        <v>2</v>
      </c>
      <c r="C94" t="s">
        <v>346</v>
      </c>
      <c r="D94" t="s">
        <v>347</v>
      </c>
      <c r="E94" t="s">
        <v>348</v>
      </c>
      <c r="F94" t="s">
        <v>494</v>
      </c>
      <c r="G94" t="s">
        <v>495</v>
      </c>
      <c r="H94" t="s">
        <v>34</v>
      </c>
      <c r="I94" t="s">
        <v>23</v>
      </c>
      <c r="J94">
        <v>102646.64</v>
      </c>
      <c r="K94">
        <v>18401.349999999999</v>
      </c>
      <c r="L94">
        <v>84245.28</v>
      </c>
      <c r="M94">
        <v>54398.59</v>
      </c>
      <c r="N94">
        <v>11431.43</v>
      </c>
      <c r="O94">
        <v>42967.17</v>
      </c>
      <c r="P94">
        <v>15146.64</v>
      </c>
      <c r="Q94">
        <v>472165654.80000001</v>
      </c>
      <c r="R94">
        <v>476692586.60000002</v>
      </c>
      <c r="S94">
        <v>5.2999999999999999E-2</v>
      </c>
      <c r="T94" t="s">
        <v>24</v>
      </c>
      <c r="U94">
        <v>3.5000000000000003E-2</v>
      </c>
      <c r="V94">
        <v>0.08</v>
      </c>
      <c r="X94">
        <v>56931.49</v>
      </c>
    </row>
    <row r="95" spans="1:25" x14ac:dyDescent="0.25">
      <c r="A95">
        <v>2020</v>
      </c>
      <c r="B95">
        <v>2</v>
      </c>
      <c r="C95" t="s">
        <v>349</v>
      </c>
      <c r="D95" t="s">
        <v>506</v>
      </c>
      <c r="E95" t="s">
        <v>507</v>
      </c>
      <c r="F95" t="s">
        <v>508</v>
      </c>
      <c r="G95" t="s">
        <v>509</v>
      </c>
      <c r="H95" t="s">
        <v>34</v>
      </c>
      <c r="I95" t="s">
        <v>23</v>
      </c>
      <c r="J95">
        <v>330958.58</v>
      </c>
      <c r="K95">
        <v>104048.68</v>
      </c>
      <c r="L95">
        <v>226909.9</v>
      </c>
      <c r="M95">
        <v>165124.97</v>
      </c>
      <c r="N95">
        <v>50582.57</v>
      </c>
      <c r="O95">
        <v>114542.41</v>
      </c>
      <c r="P95">
        <v>67021.899999999994</v>
      </c>
      <c r="Q95">
        <v>1247049069</v>
      </c>
      <c r="R95">
        <v>1282429048</v>
      </c>
      <c r="S95">
        <v>5.2999999999999999E-2</v>
      </c>
      <c r="T95" t="s">
        <v>24</v>
      </c>
      <c r="U95">
        <v>3.5000000000000003E-2</v>
      </c>
      <c r="V95">
        <v>0.08</v>
      </c>
      <c r="X95">
        <v>151768.69</v>
      </c>
    </row>
    <row r="96" spans="1:25" x14ac:dyDescent="0.25">
      <c r="A96">
        <v>2020</v>
      </c>
      <c r="B96">
        <v>2</v>
      </c>
      <c r="C96" t="s">
        <v>349</v>
      </c>
      <c r="D96" t="s">
        <v>350</v>
      </c>
      <c r="E96" t="s">
        <v>351</v>
      </c>
      <c r="F96" t="s">
        <v>504</v>
      </c>
      <c r="G96" t="s">
        <v>505</v>
      </c>
      <c r="H96" t="s">
        <v>34</v>
      </c>
      <c r="I96" t="s">
        <v>23</v>
      </c>
      <c r="J96">
        <v>13778.45</v>
      </c>
      <c r="K96">
        <v>36.020000000000003</v>
      </c>
      <c r="L96">
        <v>13742.44</v>
      </c>
      <c r="M96">
        <v>6468.45</v>
      </c>
      <c r="N96">
        <v>5.63</v>
      </c>
      <c r="O96">
        <v>6462.82</v>
      </c>
      <c r="P96">
        <v>7.46</v>
      </c>
      <c r="Q96">
        <v>28130796.190000001</v>
      </c>
      <c r="R96">
        <v>25952822.780000001</v>
      </c>
      <c r="S96">
        <v>5.2999999999999999E-2</v>
      </c>
      <c r="T96">
        <v>1</v>
      </c>
      <c r="U96">
        <v>1.4999999999999999E-2</v>
      </c>
      <c r="V96">
        <v>0.1</v>
      </c>
      <c r="X96">
        <v>8563.24</v>
      </c>
    </row>
    <row r="97" spans="1:25" x14ac:dyDescent="0.25">
      <c r="A97">
        <v>2020</v>
      </c>
      <c r="B97">
        <v>2</v>
      </c>
      <c r="C97" t="s">
        <v>349</v>
      </c>
      <c r="D97" t="s">
        <v>350</v>
      </c>
      <c r="E97" t="s">
        <v>351</v>
      </c>
      <c r="F97" t="s">
        <v>518</v>
      </c>
      <c r="G97" t="s">
        <v>519</v>
      </c>
      <c r="H97" t="s">
        <v>34</v>
      </c>
      <c r="I97" t="s">
        <v>23</v>
      </c>
      <c r="J97">
        <v>1497658.99</v>
      </c>
      <c r="K97">
        <v>777767.77</v>
      </c>
      <c r="L97">
        <v>719891.22</v>
      </c>
      <c r="M97">
        <v>744222.18</v>
      </c>
      <c r="N97">
        <v>374624.73</v>
      </c>
      <c r="O97">
        <v>369597.45</v>
      </c>
      <c r="P97">
        <v>496377.77</v>
      </c>
      <c r="Q97">
        <v>4022499048</v>
      </c>
      <c r="R97">
        <v>4139444571</v>
      </c>
      <c r="S97">
        <v>5.2999999999999999E-2</v>
      </c>
      <c r="T97">
        <v>3</v>
      </c>
      <c r="U97">
        <v>2.75E-2</v>
      </c>
      <c r="V97">
        <v>0.08</v>
      </c>
      <c r="X97">
        <v>489716.62</v>
      </c>
      <c r="Y97">
        <v>7.4999999999999997E-3</v>
      </c>
    </row>
    <row r="98" spans="1:25" x14ac:dyDescent="0.25">
      <c r="A98">
        <v>2020</v>
      </c>
      <c r="B98">
        <v>2</v>
      </c>
      <c r="C98" t="s">
        <v>349</v>
      </c>
      <c r="D98" t="s">
        <v>510</v>
      </c>
      <c r="E98" t="s">
        <v>511</v>
      </c>
      <c r="F98" t="s">
        <v>512</v>
      </c>
      <c r="G98" t="s">
        <v>513</v>
      </c>
      <c r="H98" t="s">
        <v>34</v>
      </c>
      <c r="I98" t="s">
        <v>23</v>
      </c>
      <c r="J98">
        <v>157617.21</v>
      </c>
      <c r="K98">
        <v>60205.72</v>
      </c>
      <c r="L98">
        <v>97411.49</v>
      </c>
      <c r="M98">
        <v>82343.8</v>
      </c>
      <c r="N98">
        <v>31856.09</v>
      </c>
      <c r="O98">
        <v>50487.71</v>
      </c>
      <c r="P98">
        <v>42209.32</v>
      </c>
      <c r="Q98">
        <v>533348882.89999998</v>
      </c>
      <c r="R98">
        <v>581587979.20000005</v>
      </c>
      <c r="S98">
        <v>5.2999999999999999E-2</v>
      </c>
      <c r="T98">
        <v>3</v>
      </c>
      <c r="U98">
        <v>2.75E-2</v>
      </c>
      <c r="V98">
        <v>0.08</v>
      </c>
      <c r="X98">
        <v>66896.210000000006</v>
      </c>
      <c r="Y98">
        <v>7.4999999999999997E-3</v>
      </c>
    </row>
    <row r="99" spans="1:25" x14ac:dyDescent="0.25">
      <c r="A99">
        <v>2020</v>
      </c>
      <c r="B99">
        <v>2</v>
      </c>
      <c r="C99" t="s">
        <v>349</v>
      </c>
      <c r="D99" t="s">
        <v>514</v>
      </c>
      <c r="E99" t="s">
        <v>515</v>
      </c>
      <c r="F99" t="s">
        <v>516</v>
      </c>
      <c r="G99" t="s">
        <v>517</v>
      </c>
      <c r="H99" t="s">
        <v>34</v>
      </c>
      <c r="I99" t="s">
        <v>23</v>
      </c>
      <c r="J99">
        <v>86579.82</v>
      </c>
      <c r="K99">
        <v>30571.79</v>
      </c>
      <c r="L99">
        <v>56008.03</v>
      </c>
      <c r="M99">
        <v>43312.36</v>
      </c>
      <c r="N99">
        <v>15161.47</v>
      </c>
      <c r="O99">
        <v>28150.89</v>
      </c>
      <c r="P99">
        <v>20088.95</v>
      </c>
      <c r="Q99">
        <v>308992326.10000002</v>
      </c>
      <c r="R99">
        <v>312673198.5</v>
      </c>
      <c r="S99">
        <v>5.2999999999999999E-2</v>
      </c>
      <c r="T99">
        <v>3</v>
      </c>
      <c r="U99">
        <v>2.75E-2</v>
      </c>
      <c r="V99">
        <v>0.08</v>
      </c>
      <c r="X99">
        <v>37299.93</v>
      </c>
      <c r="Y99">
        <v>7.4999999999999997E-3</v>
      </c>
    </row>
    <row r="100" spans="1:25" x14ac:dyDescent="0.25">
      <c r="A100">
        <v>2020</v>
      </c>
      <c r="B100">
        <v>2</v>
      </c>
      <c r="C100" t="s">
        <v>352</v>
      </c>
      <c r="D100" t="s">
        <v>353</v>
      </c>
      <c r="E100" t="s">
        <v>354</v>
      </c>
      <c r="F100" t="s">
        <v>528</v>
      </c>
      <c r="G100" t="s">
        <v>529</v>
      </c>
      <c r="H100" t="s">
        <v>34</v>
      </c>
      <c r="I100" t="s">
        <v>23</v>
      </c>
      <c r="J100">
        <v>157301.15</v>
      </c>
      <c r="K100">
        <v>43678.81</v>
      </c>
      <c r="L100">
        <v>113622.35</v>
      </c>
      <c r="M100">
        <v>105695.57</v>
      </c>
      <c r="N100">
        <v>29835.599999999999</v>
      </c>
      <c r="O100">
        <v>75859.97</v>
      </c>
      <c r="P100">
        <v>39532.17</v>
      </c>
      <c r="Q100">
        <v>833919106.60000002</v>
      </c>
      <c r="R100">
        <v>841321912.70000005</v>
      </c>
      <c r="S100">
        <v>5.2999999999999999E-2</v>
      </c>
      <c r="T100">
        <v>3</v>
      </c>
      <c r="U100">
        <v>2.75E-2</v>
      </c>
      <c r="V100">
        <v>0.08</v>
      </c>
      <c r="X100">
        <v>100514.46</v>
      </c>
      <c r="Y100">
        <v>7.4999999999999997E-3</v>
      </c>
    </row>
    <row r="101" spans="1:25" x14ac:dyDescent="0.25">
      <c r="A101">
        <v>2020</v>
      </c>
      <c r="B101">
        <v>2</v>
      </c>
      <c r="C101" t="s">
        <v>352</v>
      </c>
      <c r="D101" t="s">
        <v>520</v>
      </c>
      <c r="E101" t="s">
        <v>521</v>
      </c>
      <c r="F101" t="s">
        <v>522</v>
      </c>
      <c r="G101" t="s">
        <v>523</v>
      </c>
      <c r="H101" t="s">
        <v>34</v>
      </c>
      <c r="I101" t="s">
        <v>23</v>
      </c>
      <c r="J101">
        <v>162734.78</v>
      </c>
      <c r="K101">
        <v>49117.42</v>
      </c>
      <c r="L101">
        <v>113617.36</v>
      </c>
      <c r="M101">
        <v>105166.52</v>
      </c>
      <c r="N101">
        <v>29304.07</v>
      </c>
      <c r="O101">
        <v>75862.460000000006</v>
      </c>
      <c r="P101">
        <v>38827.89</v>
      </c>
      <c r="Q101">
        <v>833754129.5</v>
      </c>
      <c r="R101">
        <v>841541776.5</v>
      </c>
      <c r="S101">
        <v>5.2999999999999999E-2</v>
      </c>
      <c r="T101" t="s">
        <v>24</v>
      </c>
      <c r="U101">
        <v>3.5000000000000003E-2</v>
      </c>
      <c r="V101">
        <v>0.08</v>
      </c>
      <c r="X101">
        <v>100517.75</v>
      </c>
    </row>
    <row r="102" spans="1:25" x14ac:dyDescent="0.25">
      <c r="A102">
        <v>2020</v>
      </c>
      <c r="B102">
        <v>2</v>
      </c>
      <c r="C102" t="s">
        <v>352</v>
      </c>
      <c r="D102" t="s">
        <v>524</v>
      </c>
      <c r="E102" t="s">
        <v>525</v>
      </c>
      <c r="F102" t="s">
        <v>526</v>
      </c>
      <c r="G102" t="s">
        <v>527</v>
      </c>
      <c r="H102" t="s">
        <v>34</v>
      </c>
      <c r="I102" t="s">
        <v>23</v>
      </c>
      <c r="J102">
        <v>165199.43</v>
      </c>
      <c r="K102">
        <v>51575.839999999997</v>
      </c>
      <c r="L102">
        <v>113623.59</v>
      </c>
      <c r="M102">
        <v>107520.55</v>
      </c>
      <c r="N102">
        <v>31663.599999999999</v>
      </c>
      <c r="O102">
        <v>75856.95</v>
      </c>
      <c r="P102">
        <v>41954.27</v>
      </c>
      <c r="Q102">
        <v>834013189.20000005</v>
      </c>
      <c r="R102">
        <v>841161133.10000002</v>
      </c>
      <c r="S102">
        <v>5.2999999999999999E-2</v>
      </c>
      <c r="T102">
        <v>3</v>
      </c>
      <c r="U102">
        <v>2.75E-2</v>
      </c>
      <c r="V102">
        <v>0.08</v>
      </c>
      <c r="X102">
        <v>100510.46</v>
      </c>
      <c r="Y102">
        <v>7.4999999999999997E-3</v>
      </c>
    </row>
    <row r="103" spans="1:25" x14ac:dyDescent="0.25">
      <c r="A103">
        <v>2020</v>
      </c>
      <c r="B103">
        <v>2</v>
      </c>
      <c r="C103" t="s">
        <v>355</v>
      </c>
      <c r="D103" t="s">
        <v>532</v>
      </c>
      <c r="E103" t="s">
        <v>533</v>
      </c>
      <c r="F103" t="s">
        <v>534</v>
      </c>
      <c r="G103" t="s">
        <v>535</v>
      </c>
      <c r="H103" t="s">
        <v>34</v>
      </c>
      <c r="I103" t="s">
        <v>23</v>
      </c>
      <c r="J103">
        <v>94451.74</v>
      </c>
      <c r="K103">
        <v>24311.46</v>
      </c>
      <c r="L103">
        <v>70140.28</v>
      </c>
      <c r="M103">
        <v>46624.04</v>
      </c>
      <c r="N103">
        <v>11071.07</v>
      </c>
      <c r="O103">
        <v>35552.97</v>
      </c>
      <c r="P103">
        <v>14669.17</v>
      </c>
      <c r="Q103">
        <v>383619802.30000001</v>
      </c>
      <c r="R103">
        <v>401508242.69999999</v>
      </c>
      <c r="S103">
        <v>5.2999999999999999E-2</v>
      </c>
      <c r="T103">
        <v>3</v>
      </c>
      <c r="U103">
        <v>2.75E-2</v>
      </c>
      <c r="V103">
        <v>0.08</v>
      </c>
      <c r="X103">
        <v>47107.68</v>
      </c>
      <c r="Y103">
        <v>7.4999999999999997E-3</v>
      </c>
    </row>
    <row r="104" spans="1:25" x14ac:dyDescent="0.25">
      <c r="A104">
        <v>2020</v>
      </c>
      <c r="B104">
        <v>2</v>
      </c>
      <c r="C104" t="s">
        <v>355</v>
      </c>
      <c r="D104" t="s">
        <v>356</v>
      </c>
      <c r="E104" t="s">
        <v>357</v>
      </c>
      <c r="F104" t="s">
        <v>530</v>
      </c>
      <c r="G104" t="s">
        <v>531</v>
      </c>
      <c r="H104" t="s">
        <v>34</v>
      </c>
      <c r="I104" t="s">
        <v>23</v>
      </c>
      <c r="J104">
        <v>124735.48</v>
      </c>
      <c r="K104">
        <v>32393.55</v>
      </c>
      <c r="L104">
        <v>92341.93</v>
      </c>
      <c r="M104">
        <v>61312.29</v>
      </c>
      <c r="N104">
        <v>14603.95</v>
      </c>
      <c r="O104">
        <v>46708.34</v>
      </c>
      <c r="P104">
        <v>19350.23</v>
      </c>
      <c r="Q104">
        <v>505757970.60000002</v>
      </c>
      <c r="R104">
        <v>525717890.69999999</v>
      </c>
      <c r="S104">
        <v>5.2999999999999999E-2</v>
      </c>
      <c r="T104">
        <v>3</v>
      </c>
      <c r="U104">
        <v>2.75E-2</v>
      </c>
      <c r="V104">
        <v>0.08</v>
      </c>
      <c r="X104">
        <v>61888.55</v>
      </c>
      <c r="Y104">
        <v>7.4999999999999997E-3</v>
      </c>
    </row>
    <row r="105" spans="1:25" x14ac:dyDescent="0.25">
      <c r="A105">
        <v>2020</v>
      </c>
      <c r="B105">
        <v>2</v>
      </c>
      <c r="C105" t="s">
        <v>355</v>
      </c>
      <c r="D105" t="s">
        <v>536</v>
      </c>
      <c r="E105" t="s">
        <v>537</v>
      </c>
      <c r="F105" t="s">
        <v>538</v>
      </c>
      <c r="G105" t="s">
        <v>539</v>
      </c>
      <c r="H105" t="s">
        <v>34</v>
      </c>
      <c r="I105" t="s">
        <v>23</v>
      </c>
      <c r="J105">
        <v>113553.85</v>
      </c>
      <c r="K105">
        <v>20981.83</v>
      </c>
      <c r="L105">
        <v>92572.02</v>
      </c>
      <c r="M105">
        <v>55845.49</v>
      </c>
      <c r="N105">
        <v>9339.9</v>
      </c>
      <c r="O105">
        <v>46505.58</v>
      </c>
      <c r="P105">
        <v>12375.37</v>
      </c>
      <c r="Q105">
        <v>510530155.60000002</v>
      </c>
      <c r="R105">
        <v>516468170.80000001</v>
      </c>
      <c r="S105">
        <v>5.2999999999999999E-2</v>
      </c>
      <c r="T105">
        <v>3</v>
      </c>
      <c r="U105">
        <v>2.75E-2</v>
      </c>
      <c r="V105">
        <v>0.08</v>
      </c>
      <c r="X105">
        <v>61619.9</v>
      </c>
      <c r="Y105">
        <v>7.4999999999999997E-3</v>
      </c>
    </row>
    <row r="106" spans="1:25" x14ac:dyDescent="0.25">
      <c r="A106">
        <v>2020</v>
      </c>
      <c r="B106">
        <v>2</v>
      </c>
      <c r="C106" t="s">
        <v>364</v>
      </c>
      <c r="D106" t="s">
        <v>365</v>
      </c>
      <c r="E106" t="s">
        <v>366</v>
      </c>
      <c r="F106" t="s">
        <v>540</v>
      </c>
      <c r="G106" t="s">
        <v>541</v>
      </c>
      <c r="H106" t="s">
        <v>34</v>
      </c>
      <c r="I106" t="s">
        <v>23</v>
      </c>
      <c r="J106">
        <v>22089.279999999999</v>
      </c>
      <c r="K106">
        <v>6.11</v>
      </c>
      <c r="L106">
        <v>22083.17</v>
      </c>
      <c r="M106">
        <v>11072.27</v>
      </c>
      <c r="N106">
        <v>2.7</v>
      </c>
      <c r="O106">
        <v>11069.57</v>
      </c>
      <c r="P106">
        <v>3.58</v>
      </c>
      <c r="Q106">
        <v>137621367.80000001</v>
      </c>
      <c r="R106">
        <v>138466682.30000001</v>
      </c>
      <c r="S106">
        <v>5.2999999999999999E-2</v>
      </c>
      <c r="T106">
        <v>3</v>
      </c>
      <c r="U106">
        <v>2.75E-2</v>
      </c>
      <c r="V106">
        <v>0.05</v>
      </c>
      <c r="X106">
        <v>14667.18</v>
      </c>
    </row>
    <row r="107" spans="1:25" x14ac:dyDescent="0.25">
      <c r="A107">
        <v>2020</v>
      </c>
      <c r="B107">
        <v>2</v>
      </c>
      <c r="C107" t="s">
        <v>364</v>
      </c>
      <c r="D107" t="s">
        <v>367</v>
      </c>
      <c r="E107" t="s">
        <v>368</v>
      </c>
      <c r="F107" t="s">
        <v>542</v>
      </c>
      <c r="G107" t="s">
        <v>543</v>
      </c>
      <c r="H107" t="s">
        <v>34</v>
      </c>
      <c r="I107" t="s">
        <v>23</v>
      </c>
      <c r="J107">
        <v>252284.33</v>
      </c>
      <c r="K107">
        <v>57821.78</v>
      </c>
      <c r="L107">
        <v>194462.55</v>
      </c>
      <c r="M107">
        <v>126418.83</v>
      </c>
      <c r="N107">
        <v>28123.54</v>
      </c>
      <c r="O107">
        <v>98295.29</v>
      </c>
      <c r="P107">
        <v>37263.69</v>
      </c>
      <c r="Q107">
        <v>606577402</v>
      </c>
      <c r="R107">
        <v>619222729.39999998</v>
      </c>
      <c r="S107">
        <v>5.2999999999999999E-2</v>
      </c>
      <c r="T107">
        <v>3</v>
      </c>
      <c r="U107">
        <v>2.75E-2</v>
      </c>
      <c r="V107">
        <v>0.1</v>
      </c>
      <c r="X107">
        <v>130241.26</v>
      </c>
    </row>
    <row r="108" spans="1:25" x14ac:dyDescent="0.25">
      <c r="A108">
        <v>2020</v>
      </c>
      <c r="B108">
        <v>2</v>
      </c>
      <c r="C108" t="s">
        <v>364</v>
      </c>
      <c r="D108" t="s">
        <v>365</v>
      </c>
      <c r="E108" t="s">
        <v>366</v>
      </c>
      <c r="F108" t="s">
        <v>544</v>
      </c>
      <c r="G108" t="s">
        <v>545</v>
      </c>
      <c r="H108" t="s">
        <v>34</v>
      </c>
      <c r="I108" t="s">
        <v>23</v>
      </c>
      <c r="J108">
        <v>55984.13</v>
      </c>
      <c r="K108">
        <v>1331.87</v>
      </c>
      <c r="L108">
        <v>54652.26</v>
      </c>
      <c r="M108">
        <v>28264.39</v>
      </c>
      <c r="N108">
        <v>672.54</v>
      </c>
      <c r="O108">
        <v>27591.85</v>
      </c>
      <c r="P108">
        <v>891.12</v>
      </c>
      <c r="Q108">
        <v>170282009.30000001</v>
      </c>
      <c r="R108">
        <v>173804596.40000001</v>
      </c>
      <c r="S108">
        <v>5.2999999999999999E-2</v>
      </c>
      <c r="T108">
        <v>3</v>
      </c>
      <c r="U108">
        <v>2.75E-2</v>
      </c>
      <c r="V108">
        <v>0.1</v>
      </c>
      <c r="X108">
        <v>36559.199999999997</v>
      </c>
    </row>
    <row r="109" spans="1:25" x14ac:dyDescent="0.25">
      <c r="A109">
        <v>2020</v>
      </c>
      <c r="B109">
        <v>2</v>
      </c>
      <c r="C109" t="s">
        <v>358</v>
      </c>
      <c r="D109" t="s">
        <v>546</v>
      </c>
      <c r="E109" t="s">
        <v>547</v>
      </c>
      <c r="F109" t="s">
        <v>548</v>
      </c>
      <c r="G109" t="s">
        <v>549</v>
      </c>
      <c r="H109" t="s">
        <v>34</v>
      </c>
      <c r="I109" t="s">
        <v>23</v>
      </c>
      <c r="J109">
        <v>324815.26</v>
      </c>
      <c r="K109">
        <v>114274.2</v>
      </c>
      <c r="L109">
        <v>210541.07</v>
      </c>
      <c r="M109">
        <v>162733.01</v>
      </c>
      <c r="N109">
        <v>54883.31</v>
      </c>
      <c r="O109">
        <v>107849.71</v>
      </c>
      <c r="P109">
        <v>72720.38</v>
      </c>
      <c r="Q109">
        <v>660488261.39999998</v>
      </c>
      <c r="R109">
        <v>684461008.39999998</v>
      </c>
      <c r="S109">
        <v>5.2999999999999999E-2</v>
      </c>
      <c r="T109">
        <v>3</v>
      </c>
      <c r="U109">
        <v>2.75E-2</v>
      </c>
      <c r="V109">
        <v>0.1</v>
      </c>
      <c r="X109">
        <v>142900.85999999999</v>
      </c>
    </row>
    <row r="110" spans="1:25" x14ac:dyDescent="0.25">
      <c r="A110">
        <v>2020</v>
      </c>
      <c r="B110">
        <v>2</v>
      </c>
      <c r="C110" t="s">
        <v>358</v>
      </c>
      <c r="D110" t="s">
        <v>550</v>
      </c>
      <c r="E110" t="s">
        <v>551</v>
      </c>
      <c r="F110" t="s">
        <v>552</v>
      </c>
      <c r="G110" t="s">
        <v>553</v>
      </c>
      <c r="H110" t="s">
        <v>34</v>
      </c>
      <c r="I110" t="s">
        <v>23</v>
      </c>
      <c r="J110">
        <v>190342.69</v>
      </c>
      <c r="K110">
        <v>89100.2</v>
      </c>
      <c r="L110">
        <v>101242.49</v>
      </c>
      <c r="M110">
        <v>95457.88</v>
      </c>
      <c r="N110">
        <v>43181.58</v>
      </c>
      <c r="O110">
        <v>52276.3</v>
      </c>
      <c r="P110">
        <v>57215.59</v>
      </c>
      <c r="Q110">
        <v>556113888.20000005</v>
      </c>
      <c r="R110">
        <v>598321157.89999998</v>
      </c>
      <c r="S110">
        <v>5.2999999999999999E-2</v>
      </c>
      <c r="T110" t="s">
        <v>24</v>
      </c>
      <c r="U110">
        <v>3.5000000000000003E-2</v>
      </c>
      <c r="V110">
        <v>0.08</v>
      </c>
      <c r="X110">
        <v>69266.100000000006</v>
      </c>
    </row>
    <row r="111" spans="1:25" x14ac:dyDescent="0.25">
      <c r="A111">
        <v>2020</v>
      </c>
      <c r="B111">
        <v>2</v>
      </c>
      <c r="C111" t="s">
        <v>358</v>
      </c>
      <c r="D111" t="s">
        <v>554</v>
      </c>
      <c r="E111" t="s">
        <v>555</v>
      </c>
      <c r="F111" t="s">
        <v>556</v>
      </c>
      <c r="G111" t="s">
        <v>557</v>
      </c>
      <c r="H111" t="s">
        <v>34</v>
      </c>
      <c r="I111" t="s">
        <v>23</v>
      </c>
      <c r="J111">
        <v>253464.47</v>
      </c>
      <c r="K111">
        <v>134282.84</v>
      </c>
      <c r="L111">
        <v>119181.63</v>
      </c>
      <c r="M111">
        <v>126457.21</v>
      </c>
      <c r="N111">
        <v>65324.05</v>
      </c>
      <c r="O111">
        <v>61133.17</v>
      </c>
      <c r="P111">
        <v>86554.36</v>
      </c>
      <c r="Q111">
        <v>661771981.10000002</v>
      </c>
      <c r="R111">
        <v>688252180.10000002</v>
      </c>
      <c r="S111">
        <v>5.2999999999999999E-2</v>
      </c>
      <c r="T111">
        <v>3</v>
      </c>
      <c r="U111">
        <v>2.75E-2</v>
      </c>
      <c r="V111">
        <v>0.08</v>
      </c>
      <c r="X111">
        <v>81001.45</v>
      </c>
      <c r="Y111">
        <v>7.4999999999999997E-3</v>
      </c>
    </row>
    <row r="112" spans="1:25" x14ac:dyDescent="0.25">
      <c r="A112">
        <v>2020</v>
      </c>
      <c r="B112">
        <v>2</v>
      </c>
      <c r="C112" t="s">
        <v>361</v>
      </c>
      <c r="D112" t="s">
        <v>560</v>
      </c>
      <c r="E112" t="s">
        <v>561</v>
      </c>
      <c r="F112" t="s">
        <v>562</v>
      </c>
      <c r="G112" t="s">
        <v>563</v>
      </c>
      <c r="H112" t="s">
        <v>34</v>
      </c>
      <c r="I112" t="s">
        <v>23</v>
      </c>
      <c r="J112">
        <v>96490.15</v>
      </c>
      <c r="K112">
        <v>15500.57</v>
      </c>
      <c r="L112">
        <v>80989.58</v>
      </c>
      <c r="M112">
        <v>47983.24</v>
      </c>
      <c r="N112">
        <v>7335.4</v>
      </c>
      <c r="O112">
        <v>40647.839999999997</v>
      </c>
      <c r="P112">
        <v>9719.4</v>
      </c>
      <c r="Q112">
        <v>446521094.69999999</v>
      </c>
      <c r="R112">
        <v>451118767.19999999</v>
      </c>
      <c r="S112">
        <v>5.2999999999999999E-2</v>
      </c>
      <c r="T112">
        <v>3</v>
      </c>
      <c r="U112">
        <v>2.75E-2</v>
      </c>
      <c r="V112">
        <v>0.08</v>
      </c>
      <c r="X112">
        <v>53858.39</v>
      </c>
      <c r="Y112">
        <v>7.4999999999999997E-3</v>
      </c>
    </row>
    <row r="113" spans="1:25" x14ac:dyDescent="0.25">
      <c r="A113">
        <v>2020</v>
      </c>
      <c r="B113">
        <v>2</v>
      </c>
      <c r="C113" t="s">
        <v>361</v>
      </c>
      <c r="D113" t="s">
        <v>362</v>
      </c>
      <c r="E113" t="s">
        <v>363</v>
      </c>
      <c r="F113" t="s">
        <v>558</v>
      </c>
      <c r="G113" t="s">
        <v>559</v>
      </c>
      <c r="H113" t="s">
        <v>34</v>
      </c>
      <c r="I113" t="s">
        <v>23</v>
      </c>
      <c r="J113">
        <v>94181.86</v>
      </c>
      <c r="K113">
        <v>16359.09</v>
      </c>
      <c r="L113">
        <v>77822.77</v>
      </c>
      <c r="M113">
        <v>46462.32</v>
      </c>
      <c r="N113">
        <v>7389.55</v>
      </c>
      <c r="O113">
        <v>39072.769999999997</v>
      </c>
      <c r="P113">
        <v>9791.16</v>
      </c>
      <c r="Q113">
        <v>429053852.89999998</v>
      </c>
      <c r="R113">
        <v>433803075.89999998</v>
      </c>
      <c r="S113">
        <v>5.2999999999999999E-2</v>
      </c>
      <c r="T113" t="s">
        <v>24</v>
      </c>
      <c r="U113">
        <v>3.5000000000000003E-2</v>
      </c>
      <c r="V113">
        <v>0.08</v>
      </c>
      <c r="X113">
        <v>51771.42</v>
      </c>
    </row>
    <row r="114" spans="1:25" x14ac:dyDescent="0.25">
      <c r="A114">
        <v>2020</v>
      </c>
      <c r="B114">
        <v>2</v>
      </c>
      <c r="C114" t="s">
        <v>295</v>
      </c>
      <c r="D114" t="s">
        <v>564</v>
      </c>
      <c r="E114" t="s">
        <v>565</v>
      </c>
      <c r="F114" t="s">
        <v>566</v>
      </c>
      <c r="G114" t="s">
        <v>567</v>
      </c>
      <c r="H114" t="s">
        <v>34</v>
      </c>
      <c r="I114" t="s">
        <v>34</v>
      </c>
      <c r="J114">
        <v>178461.15</v>
      </c>
      <c r="K114">
        <v>178461.15</v>
      </c>
      <c r="M114">
        <v>86273.01</v>
      </c>
      <c r="N114">
        <v>86273.01</v>
      </c>
      <c r="P114">
        <v>114311.74</v>
      </c>
    </row>
    <row r="115" spans="1:25" x14ac:dyDescent="0.25">
      <c r="A115">
        <v>2020</v>
      </c>
      <c r="B115">
        <v>2</v>
      </c>
      <c r="C115" t="s">
        <v>298</v>
      </c>
      <c r="D115" t="s">
        <v>589</v>
      </c>
      <c r="E115" t="s">
        <v>590</v>
      </c>
      <c r="F115" t="s">
        <v>591</v>
      </c>
      <c r="G115" t="s">
        <v>592</v>
      </c>
      <c r="H115" t="s">
        <v>34</v>
      </c>
      <c r="I115" t="s">
        <v>34</v>
      </c>
      <c r="J115">
        <v>14286.37</v>
      </c>
      <c r="K115">
        <v>14286.37</v>
      </c>
      <c r="M115">
        <v>14286.37</v>
      </c>
      <c r="N115">
        <v>14286.37</v>
      </c>
      <c r="P115">
        <v>18929.439999999999</v>
      </c>
    </row>
    <row r="116" spans="1:25" x14ac:dyDescent="0.25">
      <c r="A116">
        <v>2020</v>
      </c>
      <c r="B116">
        <v>2</v>
      </c>
      <c r="C116" t="s">
        <v>321</v>
      </c>
      <c r="D116" t="s">
        <v>568</v>
      </c>
      <c r="E116" t="s">
        <v>569</v>
      </c>
      <c r="F116" t="s">
        <v>570</v>
      </c>
      <c r="G116" t="s">
        <v>571</v>
      </c>
      <c r="H116" t="s">
        <v>34</v>
      </c>
      <c r="I116" t="s">
        <v>34</v>
      </c>
      <c r="J116">
        <v>180665.92</v>
      </c>
      <c r="K116">
        <v>180665.92</v>
      </c>
      <c r="M116">
        <v>88061.22</v>
      </c>
      <c r="N116">
        <v>88061.22</v>
      </c>
      <c r="P116">
        <v>116681.12</v>
      </c>
    </row>
    <row r="117" spans="1:25" x14ac:dyDescent="0.25">
      <c r="A117">
        <v>2020</v>
      </c>
      <c r="B117">
        <v>2</v>
      </c>
      <c r="C117" t="s">
        <v>327</v>
      </c>
      <c r="D117" t="s">
        <v>328</v>
      </c>
      <c r="E117" t="s">
        <v>329</v>
      </c>
      <c r="F117" t="s">
        <v>572</v>
      </c>
      <c r="G117" t="s">
        <v>573</v>
      </c>
      <c r="H117" t="s">
        <v>34</v>
      </c>
      <c r="I117" t="s">
        <v>34</v>
      </c>
      <c r="J117">
        <v>3285.09</v>
      </c>
      <c r="K117">
        <v>3285.09</v>
      </c>
      <c r="M117">
        <v>1324.19</v>
      </c>
      <c r="N117">
        <v>1324.19</v>
      </c>
      <c r="P117">
        <v>1754.55</v>
      </c>
    </row>
    <row r="118" spans="1:25" x14ac:dyDescent="0.25">
      <c r="A118">
        <v>2020</v>
      </c>
      <c r="B118">
        <v>2</v>
      </c>
      <c r="C118" t="s">
        <v>340</v>
      </c>
      <c r="D118" t="s">
        <v>574</v>
      </c>
      <c r="E118" t="s">
        <v>575</v>
      </c>
      <c r="F118" t="s">
        <v>576</v>
      </c>
      <c r="G118" t="s">
        <v>577</v>
      </c>
      <c r="H118" t="s">
        <v>34</v>
      </c>
      <c r="I118" t="s">
        <v>34</v>
      </c>
      <c r="J118">
        <v>186706.06</v>
      </c>
      <c r="K118">
        <v>186706.06</v>
      </c>
      <c r="M118">
        <v>94914.72</v>
      </c>
      <c r="N118">
        <v>94914.72</v>
      </c>
      <c r="P118">
        <v>125762</v>
      </c>
    </row>
    <row r="119" spans="1:25" x14ac:dyDescent="0.25">
      <c r="A119">
        <v>2020</v>
      </c>
      <c r="B119">
        <v>2</v>
      </c>
      <c r="C119" t="s">
        <v>355</v>
      </c>
      <c r="D119" t="s">
        <v>356</v>
      </c>
      <c r="E119" t="s">
        <v>357</v>
      </c>
      <c r="F119" t="s">
        <v>578</v>
      </c>
      <c r="G119" t="s">
        <v>579</v>
      </c>
      <c r="H119" t="s">
        <v>34</v>
      </c>
      <c r="I119" t="s">
        <v>34</v>
      </c>
      <c r="J119">
        <v>0.45</v>
      </c>
      <c r="K119">
        <v>0.45</v>
      </c>
      <c r="M119">
        <v>0.22</v>
      </c>
      <c r="N119">
        <v>0.22</v>
      </c>
      <c r="P119">
        <v>0.28999999999999998</v>
      </c>
    </row>
    <row r="120" spans="1:25" x14ac:dyDescent="0.25">
      <c r="A120">
        <v>2020</v>
      </c>
      <c r="B120">
        <v>3</v>
      </c>
      <c r="C120" t="s">
        <v>168</v>
      </c>
      <c r="D120" t="s">
        <v>412</v>
      </c>
      <c r="E120" t="s">
        <v>413</v>
      </c>
      <c r="F120" t="s">
        <v>414</v>
      </c>
      <c r="G120" t="s">
        <v>415</v>
      </c>
      <c r="H120" t="s">
        <v>34</v>
      </c>
      <c r="I120" t="s">
        <v>23</v>
      </c>
      <c r="J120">
        <v>61397.3</v>
      </c>
      <c r="K120">
        <v>11095.09</v>
      </c>
      <c r="L120">
        <v>50302.21</v>
      </c>
      <c r="M120">
        <v>23297.77</v>
      </c>
      <c r="N120">
        <v>4942.59</v>
      </c>
      <c r="O120">
        <v>18355.18</v>
      </c>
      <c r="P120">
        <v>6548.93</v>
      </c>
      <c r="Q120">
        <v>202582354.59999999</v>
      </c>
      <c r="R120">
        <v>202761306.19999999</v>
      </c>
      <c r="S120">
        <v>5.2999999999999999E-2</v>
      </c>
      <c r="T120" t="s">
        <v>24</v>
      </c>
      <c r="U120">
        <v>3.5000000000000003E-2</v>
      </c>
      <c r="V120">
        <v>0.08</v>
      </c>
      <c r="X120">
        <v>24320.62</v>
      </c>
    </row>
    <row r="121" spans="1:25" x14ac:dyDescent="0.25">
      <c r="A121">
        <v>2020</v>
      </c>
      <c r="B121">
        <v>3</v>
      </c>
      <c r="C121" t="s">
        <v>168</v>
      </c>
      <c r="D121" t="s">
        <v>404</v>
      </c>
      <c r="E121" t="s">
        <v>405</v>
      </c>
      <c r="F121" t="s">
        <v>406</v>
      </c>
      <c r="G121" t="s">
        <v>407</v>
      </c>
      <c r="H121" t="s">
        <v>34</v>
      </c>
      <c r="I121" t="s">
        <v>23</v>
      </c>
      <c r="J121">
        <v>175884.24</v>
      </c>
      <c r="K121">
        <v>39313.82</v>
      </c>
      <c r="L121">
        <v>136570.42000000001</v>
      </c>
      <c r="M121">
        <v>65276.93</v>
      </c>
      <c r="N121">
        <v>18334.46</v>
      </c>
      <c r="O121">
        <v>46942.46</v>
      </c>
      <c r="P121">
        <v>24293.16</v>
      </c>
      <c r="Q121">
        <v>512390190.80000001</v>
      </c>
      <c r="R121">
        <v>524255907.60000002</v>
      </c>
      <c r="S121">
        <v>5.2999999999999999E-2</v>
      </c>
      <c r="T121">
        <v>3</v>
      </c>
      <c r="U121">
        <v>2.75E-2</v>
      </c>
      <c r="V121">
        <v>0.08</v>
      </c>
      <c r="X121">
        <v>62198.77</v>
      </c>
      <c r="Y121">
        <v>7.4999999999999997E-3</v>
      </c>
    </row>
    <row r="122" spans="1:25" x14ac:dyDescent="0.25">
      <c r="A122">
        <v>2020</v>
      </c>
      <c r="B122">
        <v>3</v>
      </c>
      <c r="C122" t="s">
        <v>168</v>
      </c>
      <c r="D122" t="s">
        <v>292</v>
      </c>
      <c r="E122" t="s">
        <v>293</v>
      </c>
      <c r="F122" t="s">
        <v>410</v>
      </c>
      <c r="G122" t="s">
        <v>411</v>
      </c>
      <c r="H122" t="s">
        <v>34</v>
      </c>
      <c r="I122" t="s">
        <v>23</v>
      </c>
      <c r="J122">
        <v>212230.27</v>
      </c>
      <c r="K122">
        <v>3269.09</v>
      </c>
      <c r="L122">
        <v>208961.17</v>
      </c>
      <c r="M122">
        <v>72759.039999999994</v>
      </c>
      <c r="N122">
        <v>1084.05</v>
      </c>
      <c r="O122">
        <v>71674.990000000005</v>
      </c>
      <c r="P122">
        <v>1436.37</v>
      </c>
      <c r="Q122">
        <v>1562405278</v>
      </c>
      <c r="R122">
        <v>1603240140</v>
      </c>
      <c r="S122">
        <v>5.2999999999999999E-2</v>
      </c>
      <c r="T122">
        <v>3</v>
      </c>
      <c r="U122">
        <v>2.75E-2</v>
      </c>
      <c r="V122">
        <v>0.04</v>
      </c>
      <c r="X122">
        <v>94969.36</v>
      </c>
      <c r="Y122">
        <v>7.4999999999999997E-3</v>
      </c>
    </row>
    <row r="123" spans="1:25" x14ac:dyDescent="0.25">
      <c r="A123">
        <v>2020</v>
      </c>
      <c r="B123">
        <v>3</v>
      </c>
      <c r="C123" t="s">
        <v>168</v>
      </c>
      <c r="D123" t="s">
        <v>292</v>
      </c>
      <c r="E123" t="s">
        <v>293</v>
      </c>
      <c r="F123" t="s">
        <v>408</v>
      </c>
      <c r="G123" t="s">
        <v>409</v>
      </c>
      <c r="H123" t="s">
        <v>34</v>
      </c>
      <c r="I123" t="s">
        <v>23</v>
      </c>
      <c r="J123">
        <v>192240.27</v>
      </c>
      <c r="K123">
        <v>56124.63</v>
      </c>
      <c r="L123">
        <v>136115.64000000001</v>
      </c>
      <c r="M123">
        <v>68458.83</v>
      </c>
      <c r="N123">
        <v>21661.68</v>
      </c>
      <c r="O123">
        <v>46797.16</v>
      </c>
      <c r="P123">
        <v>28701.72</v>
      </c>
      <c r="Q123">
        <v>510742460.30000001</v>
      </c>
      <c r="R123">
        <v>522694731.80000001</v>
      </c>
      <c r="S123">
        <v>5.2999999999999999E-2</v>
      </c>
      <c r="T123">
        <v>3</v>
      </c>
      <c r="U123">
        <v>2.75E-2</v>
      </c>
      <c r="V123">
        <v>0.08</v>
      </c>
      <c r="X123">
        <v>62006.23</v>
      </c>
      <c r="Y123">
        <v>7.4999999999999997E-3</v>
      </c>
    </row>
    <row r="124" spans="1:25" x14ac:dyDescent="0.25">
      <c r="A124">
        <v>2020</v>
      </c>
      <c r="B124">
        <v>3</v>
      </c>
      <c r="C124" t="s">
        <v>295</v>
      </c>
      <c r="D124" t="s">
        <v>296</v>
      </c>
      <c r="E124" t="s">
        <v>297</v>
      </c>
      <c r="F124" t="s">
        <v>416</v>
      </c>
      <c r="G124" t="s">
        <v>417</v>
      </c>
      <c r="H124" t="s">
        <v>34</v>
      </c>
      <c r="I124" t="s">
        <v>23</v>
      </c>
      <c r="J124">
        <v>572650.16</v>
      </c>
      <c r="K124">
        <v>306076.28000000003</v>
      </c>
      <c r="L124">
        <v>266573.88</v>
      </c>
      <c r="M124">
        <v>197491.56</v>
      </c>
      <c r="N124">
        <v>106065.64</v>
      </c>
      <c r="O124">
        <v>91425.93</v>
      </c>
      <c r="P124">
        <v>140536.97</v>
      </c>
      <c r="Q124">
        <v>1003970588</v>
      </c>
      <c r="R124">
        <v>1015018627</v>
      </c>
      <c r="S124">
        <v>5.2999999999999999E-2</v>
      </c>
      <c r="T124" t="s">
        <v>24</v>
      </c>
      <c r="U124">
        <v>3.5000000000000003E-2</v>
      </c>
      <c r="V124">
        <v>0.08</v>
      </c>
      <c r="X124">
        <v>121139.35</v>
      </c>
    </row>
    <row r="125" spans="1:25" x14ac:dyDescent="0.25">
      <c r="A125">
        <v>2020</v>
      </c>
      <c r="B125">
        <v>3</v>
      </c>
      <c r="C125" t="s">
        <v>298</v>
      </c>
      <c r="D125" t="s">
        <v>299</v>
      </c>
      <c r="E125" t="s">
        <v>300</v>
      </c>
      <c r="F125" t="s">
        <v>587</v>
      </c>
      <c r="G125" t="s">
        <v>588</v>
      </c>
      <c r="H125" t="s">
        <v>34</v>
      </c>
      <c r="I125" t="s">
        <v>23</v>
      </c>
      <c r="J125">
        <v>114280.24</v>
      </c>
      <c r="K125">
        <v>39475.43</v>
      </c>
      <c r="L125">
        <v>74804.820000000007</v>
      </c>
      <c r="M125">
        <v>75077.460000000006</v>
      </c>
      <c r="N125">
        <v>25208.57</v>
      </c>
      <c r="O125">
        <v>49868.9</v>
      </c>
      <c r="P125">
        <v>33401.35</v>
      </c>
      <c r="Q125">
        <v>550668219.20000005</v>
      </c>
      <c r="R125">
        <v>550603263.60000002</v>
      </c>
      <c r="S125">
        <v>5.2999999999999999E-2</v>
      </c>
      <c r="T125">
        <v>3</v>
      </c>
      <c r="U125">
        <v>2.75E-2</v>
      </c>
      <c r="V125">
        <v>0.08</v>
      </c>
      <c r="X125">
        <v>66076.289999999994</v>
      </c>
      <c r="Y125">
        <v>7.4999999999999997E-3</v>
      </c>
    </row>
    <row r="126" spans="1:25" x14ac:dyDescent="0.25">
      <c r="A126">
        <v>2020</v>
      </c>
      <c r="B126">
        <v>3</v>
      </c>
      <c r="C126" t="s">
        <v>302</v>
      </c>
      <c r="D126" t="s">
        <v>303</v>
      </c>
      <c r="E126" t="s">
        <v>304</v>
      </c>
      <c r="F126" t="s">
        <v>422</v>
      </c>
      <c r="G126" t="s">
        <v>423</v>
      </c>
      <c r="H126" t="s">
        <v>34</v>
      </c>
      <c r="I126" t="s">
        <v>23</v>
      </c>
      <c r="J126">
        <v>228289.89</v>
      </c>
      <c r="K126">
        <v>92808.23</v>
      </c>
      <c r="L126">
        <v>135481.67000000001</v>
      </c>
      <c r="M126">
        <v>81692.42</v>
      </c>
      <c r="N126">
        <v>33043.980000000003</v>
      </c>
      <c r="O126">
        <v>48648.44</v>
      </c>
      <c r="P126">
        <v>43783.28</v>
      </c>
      <c r="Q126">
        <v>529111808.10000002</v>
      </c>
      <c r="R126">
        <v>545207824.70000005</v>
      </c>
      <c r="S126">
        <v>5.2999999999999999E-2</v>
      </c>
      <c r="T126" t="s">
        <v>24</v>
      </c>
      <c r="U126">
        <v>3.5000000000000003E-2</v>
      </c>
      <c r="V126">
        <v>0.08</v>
      </c>
      <c r="X126">
        <v>64459.18</v>
      </c>
    </row>
    <row r="127" spans="1:25" x14ac:dyDescent="0.25">
      <c r="A127">
        <v>2020</v>
      </c>
      <c r="B127">
        <v>3</v>
      </c>
      <c r="C127" t="s">
        <v>302</v>
      </c>
      <c r="D127" t="s">
        <v>418</v>
      </c>
      <c r="E127" t="s">
        <v>419</v>
      </c>
      <c r="F127" t="s">
        <v>420</v>
      </c>
      <c r="G127" t="s">
        <v>421</v>
      </c>
      <c r="H127" t="s">
        <v>34</v>
      </c>
      <c r="I127" t="s">
        <v>23</v>
      </c>
      <c r="J127">
        <v>210483.31</v>
      </c>
      <c r="K127">
        <v>77532.289999999994</v>
      </c>
      <c r="L127">
        <v>132951.01999999999</v>
      </c>
      <c r="M127">
        <v>76558.23</v>
      </c>
      <c r="N127">
        <v>28811.360000000001</v>
      </c>
      <c r="O127">
        <v>47746.87</v>
      </c>
      <c r="P127">
        <v>38175.050000000003</v>
      </c>
      <c r="Q127">
        <v>519235953.10000002</v>
      </c>
      <c r="R127">
        <v>535174100.30000001</v>
      </c>
      <c r="S127">
        <v>5.2999999999999999E-2</v>
      </c>
      <c r="T127">
        <v>3</v>
      </c>
      <c r="U127">
        <v>2.75E-2</v>
      </c>
      <c r="V127">
        <v>0.08</v>
      </c>
      <c r="X127">
        <v>63264.6</v>
      </c>
      <c r="Y127">
        <v>7.4999999999999997E-3</v>
      </c>
    </row>
    <row r="128" spans="1:25" x14ac:dyDescent="0.25">
      <c r="A128">
        <v>2020</v>
      </c>
      <c r="B128">
        <v>3</v>
      </c>
      <c r="C128" t="s">
        <v>305</v>
      </c>
      <c r="D128" t="s">
        <v>426</v>
      </c>
      <c r="E128" t="s">
        <v>427</v>
      </c>
      <c r="F128" t="s">
        <v>428</v>
      </c>
      <c r="G128" t="s">
        <v>429</v>
      </c>
      <c r="H128" t="s">
        <v>34</v>
      </c>
      <c r="I128" t="s">
        <v>23</v>
      </c>
      <c r="J128">
        <v>179672.87</v>
      </c>
      <c r="K128">
        <v>43670.45</v>
      </c>
      <c r="L128">
        <v>136002.43</v>
      </c>
      <c r="M128">
        <v>81820.009999999995</v>
      </c>
      <c r="N128">
        <v>26040.23</v>
      </c>
      <c r="O128">
        <v>55779.78</v>
      </c>
      <c r="P128">
        <v>34503.300000000003</v>
      </c>
      <c r="Q128">
        <v>593388485.89999998</v>
      </c>
      <c r="R128">
        <v>638414958.5</v>
      </c>
      <c r="S128">
        <v>5.2999999999999999E-2</v>
      </c>
      <c r="T128">
        <v>3</v>
      </c>
      <c r="U128">
        <v>2.75E-2</v>
      </c>
      <c r="V128">
        <v>0.08</v>
      </c>
      <c r="X128">
        <v>73908.210000000006</v>
      </c>
      <c r="Y128">
        <v>7.4999999999999997E-3</v>
      </c>
    </row>
    <row r="129" spans="1:25" x14ac:dyDescent="0.25">
      <c r="A129">
        <v>2020</v>
      </c>
      <c r="B129">
        <v>3</v>
      </c>
      <c r="C129" t="s">
        <v>305</v>
      </c>
      <c r="D129" t="s">
        <v>306</v>
      </c>
      <c r="E129" t="s">
        <v>307</v>
      </c>
      <c r="F129" t="s">
        <v>424</v>
      </c>
      <c r="G129" t="s">
        <v>425</v>
      </c>
      <c r="H129" t="s">
        <v>34</v>
      </c>
      <c r="I129" t="s">
        <v>23</v>
      </c>
      <c r="J129">
        <v>179698.09</v>
      </c>
      <c r="K129">
        <v>43593.68</v>
      </c>
      <c r="L129">
        <v>136104.41</v>
      </c>
      <c r="M129">
        <v>81695.7</v>
      </c>
      <c r="N129">
        <v>25880.97</v>
      </c>
      <c r="O129">
        <v>55814.73</v>
      </c>
      <c r="P129">
        <v>34292.29</v>
      </c>
      <c r="Q129">
        <v>593818713.79999995</v>
      </c>
      <c r="R129">
        <v>638756486.29999995</v>
      </c>
      <c r="S129">
        <v>5.2999999999999999E-2</v>
      </c>
      <c r="T129">
        <v>3</v>
      </c>
      <c r="U129">
        <v>2.75E-2</v>
      </c>
      <c r="V129">
        <v>0.08</v>
      </c>
      <c r="X129">
        <v>73954.509999999995</v>
      </c>
      <c r="Y129">
        <v>7.4999999999999997E-3</v>
      </c>
    </row>
    <row r="130" spans="1:25" x14ac:dyDescent="0.25">
      <c r="A130">
        <v>2020</v>
      </c>
      <c r="B130">
        <v>3</v>
      </c>
      <c r="C130" t="s">
        <v>308</v>
      </c>
      <c r="D130" t="s">
        <v>309</v>
      </c>
      <c r="E130" t="s">
        <v>310</v>
      </c>
      <c r="F130" t="s">
        <v>430</v>
      </c>
      <c r="G130" t="s">
        <v>431</v>
      </c>
      <c r="H130" t="s">
        <v>34</v>
      </c>
      <c r="I130" t="s">
        <v>23</v>
      </c>
      <c r="J130">
        <v>709643.9</v>
      </c>
      <c r="K130">
        <v>245752.63</v>
      </c>
      <c r="L130">
        <v>463891.27</v>
      </c>
      <c r="M130">
        <v>244162.8</v>
      </c>
      <c r="N130">
        <v>88760.26</v>
      </c>
      <c r="O130">
        <v>155402.53</v>
      </c>
      <c r="P130">
        <v>117607.35</v>
      </c>
      <c r="Q130">
        <v>1725660338</v>
      </c>
      <c r="R130">
        <v>1706145584</v>
      </c>
      <c r="S130">
        <v>5.2999999999999999E-2</v>
      </c>
      <c r="T130" t="s">
        <v>24</v>
      </c>
      <c r="U130">
        <v>3.5000000000000003E-2</v>
      </c>
      <c r="V130">
        <v>0.08</v>
      </c>
      <c r="X130">
        <v>205908.36</v>
      </c>
    </row>
    <row r="131" spans="1:25" x14ac:dyDescent="0.25">
      <c r="A131">
        <v>2020</v>
      </c>
      <c r="B131">
        <v>3</v>
      </c>
      <c r="C131" t="s">
        <v>308</v>
      </c>
      <c r="D131" t="s">
        <v>432</v>
      </c>
      <c r="E131" t="s">
        <v>433</v>
      </c>
      <c r="F131" t="s">
        <v>434</v>
      </c>
      <c r="G131" t="s">
        <v>435</v>
      </c>
      <c r="H131" t="s">
        <v>34</v>
      </c>
      <c r="I131" t="s">
        <v>23</v>
      </c>
      <c r="J131">
        <v>259557.94</v>
      </c>
      <c r="K131">
        <v>63134.13</v>
      </c>
      <c r="L131">
        <v>196423.82</v>
      </c>
      <c r="M131">
        <v>93093.22</v>
      </c>
      <c r="N131">
        <v>25973.88</v>
      </c>
      <c r="O131">
        <v>67119.34</v>
      </c>
      <c r="P131">
        <v>34415.39</v>
      </c>
      <c r="Q131">
        <v>741948538.60000002</v>
      </c>
      <c r="R131">
        <v>740270248</v>
      </c>
      <c r="S131">
        <v>5.2999999999999999E-2</v>
      </c>
      <c r="T131">
        <v>3</v>
      </c>
      <c r="U131">
        <v>2.75E-2</v>
      </c>
      <c r="V131">
        <v>0.08</v>
      </c>
      <c r="X131">
        <v>88933.13</v>
      </c>
      <c r="Y131">
        <v>7.4999999999999997E-3</v>
      </c>
    </row>
    <row r="132" spans="1:25" x14ac:dyDescent="0.25">
      <c r="A132">
        <v>2020</v>
      </c>
      <c r="B132">
        <v>3</v>
      </c>
      <c r="C132" t="s">
        <v>311</v>
      </c>
      <c r="D132" t="s">
        <v>312</v>
      </c>
      <c r="E132" t="s">
        <v>313</v>
      </c>
      <c r="F132" t="s">
        <v>436</v>
      </c>
      <c r="G132" t="s">
        <v>437</v>
      </c>
      <c r="H132" t="s">
        <v>34</v>
      </c>
      <c r="I132" t="s">
        <v>23</v>
      </c>
      <c r="J132">
        <v>187104.17</v>
      </c>
      <c r="K132">
        <v>37474.43</v>
      </c>
      <c r="L132">
        <v>149629.74</v>
      </c>
      <c r="M132">
        <v>67347.61</v>
      </c>
      <c r="N132">
        <v>16044.09</v>
      </c>
      <c r="O132">
        <v>51303.519999999997</v>
      </c>
      <c r="P132">
        <v>21258.42</v>
      </c>
      <c r="Q132">
        <v>659696271.10000002</v>
      </c>
      <c r="R132">
        <v>655990654.79999995</v>
      </c>
      <c r="S132">
        <v>5.2999999999999999E-2</v>
      </c>
      <c r="T132">
        <v>3</v>
      </c>
      <c r="U132">
        <v>2.75E-2</v>
      </c>
      <c r="V132">
        <v>0.08</v>
      </c>
      <c r="X132">
        <v>67977.16</v>
      </c>
      <c r="Y132">
        <v>0.01</v>
      </c>
    </row>
    <row r="133" spans="1:25" x14ac:dyDescent="0.25">
      <c r="A133">
        <v>2020</v>
      </c>
      <c r="B133">
        <v>3</v>
      </c>
      <c r="C133" t="s">
        <v>311</v>
      </c>
      <c r="D133" t="s">
        <v>438</v>
      </c>
      <c r="E133" t="s">
        <v>439</v>
      </c>
      <c r="F133" t="s">
        <v>440</v>
      </c>
      <c r="G133" t="s">
        <v>441</v>
      </c>
      <c r="H133" t="s">
        <v>34</v>
      </c>
      <c r="I133" t="s">
        <v>23</v>
      </c>
      <c r="J133">
        <v>268063.03999999998</v>
      </c>
      <c r="K133">
        <v>48454.02</v>
      </c>
      <c r="L133">
        <v>219609.03</v>
      </c>
      <c r="M133">
        <v>93836.62</v>
      </c>
      <c r="N133">
        <v>18797.53</v>
      </c>
      <c r="O133">
        <v>75039.09</v>
      </c>
      <c r="P133">
        <v>24906.73</v>
      </c>
      <c r="Q133">
        <v>583555802.39999998</v>
      </c>
      <c r="R133">
        <v>586171180.60000002</v>
      </c>
      <c r="S133">
        <v>5.2999999999999999E-2</v>
      </c>
      <c r="T133">
        <v>3</v>
      </c>
      <c r="U133">
        <v>2.75E-2</v>
      </c>
      <c r="V133">
        <v>0.08</v>
      </c>
      <c r="X133">
        <v>99426.79</v>
      </c>
    </row>
    <row r="134" spans="1:25" x14ac:dyDescent="0.25">
      <c r="A134">
        <v>2020</v>
      </c>
      <c r="B134">
        <v>3</v>
      </c>
      <c r="C134" t="s">
        <v>315</v>
      </c>
      <c r="D134" t="s">
        <v>444</v>
      </c>
      <c r="E134" t="s">
        <v>445</v>
      </c>
      <c r="F134" t="s">
        <v>446</v>
      </c>
      <c r="G134" t="s">
        <v>447</v>
      </c>
      <c r="H134" t="s">
        <v>34</v>
      </c>
      <c r="I134" t="s">
        <v>23</v>
      </c>
      <c r="J134">
        <v>868711.32</v>
      </c>
      <c r="K134">
        <v>231756.51</v>
      </c>
      <c r="L134">
        <v>636954.81999999995</v>
      </c>
      <c r="M134">
        <v>307752.87</v>
      </c>
      <c r="N134">
        <v>85777.14</v>
      </c>
      <c r="O134">
        <v>221975.73</v>
      </c>
      <c r="P134">
        <v>113654.71</v>
      </c>
      <c r="Q134">
        <v>904258330.29999995</v>
      </c>
      <c r="R134">
        <v>953328030.60000002</v>
      </c>
      <c r="S134">
        <v>5.2999999999999999E-2</v>
      </c>
      <c r="T134">
        <v>1</v>
      </c>
      <c r="U134">
        <v>1.4999999999999999E-2</v>
      </c>
      <c r="V134">
        <v>0.1</v>
      </c>
      <c r="X134">
        <v>294117.84000000003</v>
      </c>
    </row>
    <row r="135" spans="1:25" x14ac:dyDescent="0.25">
      <c r="A135">
        <v>2020</v>
      </c>
      <c r="B135">
        <v>3</v>
      </c>
      <c r="C135" t="s">
        <v>315</v>
      </c>
      <c r="D135" t="s">
        <v>316</v>
      </c>
      <c r="E135" t="s">
        <v>317</v>
      </c>
      <c r="F135" t="s">
        <v>442</v>
      </c>
      <c r="G135" t="s">
        <v>443</v>
      </c>
      <c r="H135" t="s">
        <v>34</v>
      </c>
      <c r="I135" t="s">
        <v>23</v>
      </c>
      <c r="J135">
        <v>715547.76</v>
      </c>
      <c r="K135">
        <v>299691.43</v>
      </c>
      <c r="L135">
        <v>415856.33</v>
      </c>
      <c r="M135">
        <v>249280.93</v>
      </c>
      <c r="N135">
        <v>104511.37</v>
      </c>
      <c r="O135">
        <v>144769.57</v>
      </c>
      <c r="P135">
        <v>138477.56</v>
      </c>
      <c r="Q135">
        <v>875649217.60000002</v>
      </c>
      <c r="R135">
        <v>929712420</v>
      </c>
      <c r="S135">
        <v>5.2999999999999999E-2</v>
      </c>
      <c r="T135">
        <v>3</v>
      </c>
      <c r="U135">
        <v>2.75E-2</v>
      </c>
      <c r="V135">
        <v>0.1</v>
      </c>
      <c r="X135">
        <v>191819.67</v>
      </c>
    </row>
    <row r="136" spans="1:25" x14ac:dyDescent="0.25">
      <c r="A136">
        <v>2020</v>
      </c>
      <c r="B136">
        <v>3</v>
      </c>
      <c r="C136" t="s">
        <v>318</v>
      </c>
      <c r="D136" t="s">
        <v>448</v>
      </c>
      <c r="E136" t="s">
        <v>449</v>
      </c>
      <c r="F136" t="s">
        <v>450</v>
      </c>
      <c r="G136" t="s">
        <v>451</v>
      </c>
      <c r="H136" t="s">
        <v>34</v>
      </c>
      <c r="I136" t="s">
        <v>23</v>
      </c>
      <c r="J136">
        <v>47652.46</v>
      </c>
      <c r="K136">
        <v>7174.03</v>
      </c>
      <c r="L136">
        <v>40478.43</v>
      </c>
      <c r="M136">
        <v>16920.62</v>
      </c>
      <c r="N136">
        <v>3385.61</v>
      </c>
      <c r="O136">
        <v>13535.02</v>
      </c>
      <c r="P136">
        <v>4485.93</v>
      </c>
      <c r="Q136">
        <v>150026469.80000001</v>
      </c>
      <c r="R136">
        <v>148871785.30000001</v>
      </c>
      <c r="S136">
        <v>5.2999999999999999E-2</v>
      </c>
      <c r="T136" t="s">
        <v>24</v>
      </c>
      <c r="U136">
        <v>3.5000000000000003E-2</v>
      </c>
      <c r="V136">
        <v>0.08</v>
      </c>
      <c r="X136">
        <v>17933.900000000001</v>
      </c>
    </row>
    <row r="137" spans="1:25" x14ac:dyDescent="0.25">
      <c r="A137">
        <v>2020</v>
      </c>
      <c r="B137">
        <v>3</v>
      </c>
      <c r="C137" t="s">
        <v>318</v>
      </c>
      <c r="D137" t="s">
        <v>319</v>
      </c>
      <c r="E137" t="s">
        <v>320</v>
      </c>
      <c r="F137" t="s">
        <v>452</v>
      </c>
      <c r="G137" t="s">
        <v>453</v>
      </c>
      <c r="H137" t="s">
        <v>34</v>
      </c>
      <c r="I137" t="s">
        <v>23</v>
      </c>
      <c r="J137">
        <v>103871.8</v>
      </c>
      <c r="K137">
        <v>21807</v>
      </c>
      <c r="L137">
        <v>82064.800000000003</v>
      </c>
      <c r="M137">
        <v>36337.480000000003</v>
      </c>
      <c r="N137">
        <v>8896.02</v>
      </c>
      <c r="O137">
        <v>27441.46</v>
      </c>
      <c r="P137">
        <v>11787.23</v>
      </c>
      <c r="Q137">
        <v>304115373.10000002</v>
      </c>
      <c r="R137">
        <v>301883520</v>
      </c>
      <c r="S137">
        <v>5.2999999999999999E-2</v>
      </c>
      <c r="T137">
        <v>3</v>
      </c>
      <c r="U137">
        <v>2.75E-2</v>
      </c>
      <c r="V137">
        <v>0.08</v>
      </c>
      <c r="X137">
        <v>36359.93</v>
      </c>
      <c r="Y137">
        <v>7.4999999999999997E-3</v>
      </c>
    </row>
    <row r="138" spans="1:25" x14ac:dyDescent="0.25">
      <c r="A138">
        <v>2020</v>
      </c>
      <c r="B138">
        <v>3</v>
      </c>
      <c r="C138" t="s">
        <v>318</v>
      </c>
      <c r="D138" t="s">
        <v>454</v>
      </c>
      <c r="E138" t="s">
        <v>455</v>
      </c>
      <c r="F138" t="s">
        <v>456</v>
      </c>
      <c r="G138" t="s">
        <v>457</v>
      </c>
      <c r="H138" t="s">
        <v>34</v>
      </c>
      <c r="I138" t="s">
        <v>23</v>
      </c>
      <c r="J138">
        <v>37659.800000000003</v>
      </c>
      <c r="K138">
        <v>5299.71</v>
      </c>
      <c r="L138">
        <v>32360.1</v>
      </c>
      <c r="M138">
        <v>12873.02</v>
      </c>
      <c r="N138">
        <v>2055.08</v>
      </c>
      <c r="O138">
        <v>10817.94</v>
      </c>
      <c r="P138">
        <v>2722.98</v>
      </c>
      <c r="Q138">
        <v>119883995.09999999</v>
      </c>
      <c r="R138">
        <v>119012210</v>
      </c>
      <c r="S138">
        <v>5.2999999999999999E-2</v>
      </c>
      <c r="T138">
        <v>3</v>
      </c>
      <c r="U138">
        <v>2.75E-2</v>
      </c>
      <c r="V138">
        <v>0.08</v>
      </c>
      <c r="X138">
        <v>14333.77</v>
      </c>
      <c r="Y138">
        <v>7.4999999999999997E-3</v>
      </c>
    </row>
    <row r="139" spans="1:25" x14ac:dyDescent="0.25">
      <c r="A139">
        <v>2020</v>
      </c>
      <c r="B139">
        <v>3</v>
      </c>
      <c r="C139" t="s">
        <v>321</v>
      </c>
      <c r="D139" t="s">
        <v>322</v>
      </c>
      <c r="E139" t="s">
        <v>323</v>
      </c>
      <c r="F139" t="s">
        <v>458</v>
      </c>
      <c r="G139" t="s">
        <v>459</v>
      </c>
      <c r="H139" t="s">
        <v>34</v>
      </c>
      <c r="I139" t="s">
        <v>23</v>
      </c>
      <c r="J139">
        <v>772835.24</v>
      </c>
      <c r="K139">
        <v>410790.23</v>
      </c>
      <c r="L139">
        <v>362045.02</v>
      </c>
      <c r="M139">
        <v>270476.21000000002</v>
      </c>
      <c r="N139">
        <v>145906.79</v>
      </c>
      <c r="O139">
        <v>124569.42</v>
      </c>
      <c r="P139">
        <v>193326.5</v>
      </c>
      <c r="Q139">
        <v>1372729140</v>
      </c>
      <c r="R139">
        <v>1378178841</v>
      </c>
      <c r="S139">
        <v>5.2999999999999999E-2</v>
      </c>
      <c r="T139" t="s">
        <v>24</v>
      </c>
      <c r="U139">
        <v>3.5000000000000003E-2</v>
      </c>
      <c r="V139">
        <v>0.08</v>
      </c>
      <c r="X139">
        <v>165054.48000000001</v>
      </c>
    </row>
    <row r="140" spans="1:25" x14ac:dyDescent="0.25">
      <c r="A140">
        <v>2020</v>
      </c>
      <c r="B140">
        <v>3</v>
      </c>
      <c r="C140" t="s">
        <v>324</v>
      </c>
      <c r="D140" t="s">
        <v>462</v>
      </c>
      <c r="E140" t="s">
        <v>463</v>
      </c>
      <c r="F140" t="s">
        <v>464</v>
      </c>
      <c r="G140" t="s">
        <v>465</v>
      </c>
      <c r="H140" t="s">
        <v>34</v>
      </c>
      <c r="I140" t="s">
        <v>23</v>
      </c>
      <c r="J140">
        <v>323971.06</v>
      </c>
      <c r="K140">
        <v>147305.74</v>
      </c>
      <c r="L140">
        <v>176665.31</v>
      </c>
      <c r="M140">
        <v>113717.41</v>
      </c>
      <c r="N140">
        <v>52031.55</v>
      </c>
      <c r="O140">
        <v>61685.86</v>
      </c>
      <c r="P140">
        <v>68941.8</v>
      </c>
      <c r="Q140">
        <v>661847603.5</v>
      </c>
      <c r="R140">
        <v>700381911.5</v>
      </c>
      <c r="S140">
        <v>5.2999999999999999E-2</v>
      </c>
      <c r="T140" t="s">
        <v>24</v>
      </c>
      <c r="U140">
        <v>3.5000000000000003E-2</v>
      </c>
      <c r="V140">
        <v>0.08</v>
      </c>
      <c r="X140">
        <v>81733.77</v>
      </c>
    </row>
    <row r="141" spans="1:25" x14ac:dyDescent="0.25">
      <c r="A141">
        <v>2020</v>
      </c>
      <c r="B141">
        <v>3</v>
      </c>
      <c r="C141" t="s">
        <v>324</v>
      </c>
      <c r="D141" t="s">
        <v>325</v>
      </c>
      <c r="E141" t="s">
        <v>326</v>
      </c>
      <c r="F141" t="s">
        <v>460</v>
      </c>
      <c r="G141" t="s">
        <v>461</v>
      </c>
      <c r="H141" t="s">
        <v>34</v>
      </c>
      <c r="I141" t="s">
        <v>23</v>
      </c>
      <c r="J141">
        <v>362067.84</v>
      </c>
      <c r="K141">
        <v>173570.19</v>
      </c>
      <c r="L141">
        <v>188497.65</v>
      </c>
      <c r="M141">
        <v>130447.06</v>
      </c>
      <c r="N141">
        <v>62855.96</v>
      </c>
      <c r="O141">
        <v>67591.100000000006</v>
      </c>
      <c r="P141">
        <v>83284.149999999994</v>
      </c>
      <c r="Q141">
        <v>705531894.70000005</v>
      </c>
      <c r="R141">
        <v>787104887.60000002</v>
      </c>
      <c r="S141">
        <v>5.2999999999999999E-2</v>
      </c>
      <c r="T141">
        <v>3</v>
      </c>
      <c r="U141">
        <v>2.75E-2</v>
      </c>
      <c r="V141">
        <v>0.08</v>
      </c>
      <c r="X141">
        <v>89558.21</v>
      </c>
      <c r="Y141">
        <v>7.4999999999999997E-3</v>
      </c>
    </row>
    <row r="142" spans="1:25" x14ac:dyDescent="0.25">
      <c r="A142">
        <v>2020</v>
      </c>
      <c r="B142">
        <v>3</v>
      </c>
      <c r="C142" t="s">
        <v>327</v>
      </c>
      <c r="D142" t="s">
        <v>472</v>
      </c>
      <c r="E142" t="s">
        <v>473</v>
      </c>
      <c r="F142" t="s">
        <v>474</v>
      </c>
      <c r="G142" t="s">
        <v>475</v>
      </c>
      <c r="H142" t="s">
        <v>34</v>
      </c>
      <c r="I142" t="s">
        <v>23</v>
      </c>
      <c r="J142">
        <v>71661.94</v>
      </c>
      <c r="K142">
        <v>16507.490000000002</v>
      </c>
      <c r="L142">
        <v>55154.44</v>
      </c>
      <c r="M142">
        <v>28218.04</v>
      </c>
      <c r="N142">
        <v>8266.51</v>
      </c>
      <c r="O142">
        <v>19951.54</v>
      </c>
      <c r="P142">
        <v>10953.12</v>
      </c>
      <c r="Q142">
        <v>208205434.5</v>
      </c>
      <c r="R142">
        <v>232391012.19999999</v>
      </c>
      <c r="S142">
        <v>5.2999999999999999E-2</v>
      </c>
      <c r="T142">
        <v>3</v>
      </c>
      <c r="U142">
        <v>2.75E-2</v>
      </c>
      <c r="V142">
        <v>0.08</v>
      </c>
      <c r="X142">
        <v>26435.79</v>
      </c>
      <c r="Y142">
        <v>7.4999999999999997E-3</v>
      </c>
    </row>
    <row r="143" spans="1:25" x14ac:dyDescent="0.25">
      <c r="A143">
        <v>2020</v>
      </c>
      <c r="B143">
        <v>3</v>
      </c>
      <c r="C143" t="s">
        <v>327</v>
      </c>
      <c r="D143" t="s">
        <v>328</v>
      </c>
      <c r="E143" t="s">
        <v>329</v>
      </c>
      <c r="F143" t="s">
        <v>470</v>
      </c>
      <c r="G143" t="s">
        <v>471</v>
      </c>
      <c r="H143" t="s">
        <v>34</v>
      </c>
      <c r="I143" t="s">
        <v>23</v>
      </c>
      <c r="J143">
        <v>175046.24</v>
      </c>
      <c r="K143">
        <v>56477.71</v>
      </c>
      <c r="L143">
        <v>118568.52</v>
      </c>
      <c r="M143">
        <v>63889.04</v>
      </c>
      <c r="N143">
        <v>23482.799999999999</v>
      </c>
      <c r="O143">
        <v>40406.239999999998</v>
      </c>
      <c r="P143">
        <v>31114.71</v>
      </c>
      <c r="Q143">
        <v>446424167.5</v>
      </c>
      <c r="R143">
        <v>445880382.10000002</v>
      </c>
      <c r="S143">
        <v>5.2999999999999999E-2</v>
      </c>
      <c r="T143">
        <v>3</v>
      </c>
      <c r="U143">
        <v>2.75E-2</v>
      </c>
      <c r="V143">
        <v>0.08</v>
      </c>
      <c r="X143">
        <v>53538.27</v>
      </c>
      <c r="Y143">
        <v>7.4999999999999997E-3</v>
      </c>
    </row>
    <row r="144" spans="1:25" x14ac:dyDescent="0.25">
      <c r="A144">
        <v>2020</v>
      </c>
      <c r="B144">
        <v>3</v>
      </c>
      <c r="C144" t="s">
        <v>327</v>
      </c>
      <c r="D144" t="s">
        <v>466</v>
      </c>
      <c r="E144" t="s">
        <v>467</v>
      </c>
      <c r="F144" t="s">
        <v>468</v>
      </c>
      <c r="G144" t="s">
        <v>469</v>
      </c>
      <c r="H144" t="s">
        <v>34</v>
      </c>
      <c r="I144" t="s">
        <v>23</v>
      </c>
      <c r="J144">
        <v>161978.63</v>
      </c>
      <c r="K144">
        <v>43760.98</v>
      </c>
      <c r="L144">
        <v>118217.65</v>
      </c>
      <c r="M144">
        <v>60253.47</v>
      </c>
      <c r="N144">
        <v>19604.740000000002</v>
      </c>
      <c r="O144">
        <v>40648.730000000003</v>
      </c>
      <c r="P144">
        <v>25976.28</v>
      </c>
      <c r="Q144">
        <v>435512867.19999999</v>
      </c>
      <c r="R144">
        <v>462146493.10000002</v>
      </c>
      <c r="S144">
        <v>5.2999999999999999E-2</v>
      </c>
      <c r="T144">
        <v>3</v>
      </c>
      <c r="U144">
        <v>2.75E-2</v>
      </c>
      <c r="V144">
        <v>0.08</v>
      </c>
      <c r="X144">
        <v>53859.56</v>
      </c>
      <c r="Y144">
        <v>7.4999999999999997E-3</v>
      </c>
    </row>
    <row r="145" spans="1:25" x14ac:dyDescent="0.25">
      <c r="A145">
        <v>2020</v>
      </c>
      <c r="B145">
        <v>3</v>
      </c>
      <c r="C145" t="s">
        <v>333</v>
      </c>
      <c r="D145" t="s">
        <v>478</v>
      </c>
      <c r="E145" t="s">
        <v>479</v>
      </c>
      <c r="F145" t="s">
        <v>480</v>
      </c>
      <c r="G145" t="s">
        <v>481</v>
      </c>
      <c r="H145" t="s">
        <v>34</v>
      </c>
      <c r="I145" t="s">
        <v>23</v>
      </c>
      <c r="J145">
        <v>65270.76</v>
      </c>
      <c r="K145">
        <v>27828.84</v>
      </c>
      <c r="L145">
        <v>37441.919999999998</v>
      </c>
      <c r="M145">
        <v>24750.87</v>
      </c>
      <c r="N145">
        <v>12026.72</v>
      </c>
      <c r="O145">
        <v>12724.16</v>
      </c>
      <c r="P145">
        <v>15935.4</v>
      </c>
      <c r="Q145">
        <v>139733473.80000001</v>
      </c>
      <c r="R145">
        <v>141258347.5</v>
      </c>
      <c r="S145">
        <v>5.2999999999999999E-2</v>
      </c>
      <c r="T145" t="s">
        <v>24</v>
      </c>
      <c r="U145">
        <v>3.5000000000000003E-2</v>
      </c>
      <c r="V145">
        <v>0.08</v>
      </c>
      <c r="X145">
        <v>16859.509999999998</v>
      </c>
    </row>
    <row r="146" spans="1:25" x14ac:dyDescent="0.25">
      <c r="A146">
        <v>2020</v>
      </c>
      <c r="B146">
        <v>3</v>
      </c>
      <c r="C146" t="s">
        <v>333</v>
      </c>
      <c r="D146" t="s">
        <v>334</v>
      </c>
      <c r="E146" t="s">
        <v>335</v>
      </c>
      <c r="F146" t="s">
        <v>476</v>
      </c>
      <c r="G146" t="s">
        <v>477</v>
      </c>
      <c r="H146" t="s">
        <v>34</v>
      </c>
      <c r="I146" t="s">
        <v>23</v>
      </c>
      <c r="J146">
        <v>56818.6</v>
      </c>
      <c r="K146">
        <v>18611.759999999998</v>
      </c>
      <c r="L146">
        <v>38206.839999999997</v>
      </c>
      <c r="M146">
        <v>19902.060000000001</v>
      </c>
      <c r="N146">
        <v>6879.06</v>
      </c>
      <c r="O146">
        <v>13023.01</v>
      </c>
      <c r="P146">
        <v>9114.75</v>
      </c>
      <c r="Q146">
        <v>143406581.30000001</v>
      </c>
      <c r="R146">
        <v>144184780.5</v>
      </c>
      <c r="S146">
        <v>5.2999999999999999E-2</v>
      </c>
      <c r="T146" t="s">
        <v>24</v>
      </c>
      <c r="U146">
        <v>3.5000000000000003E-2</v>
      </c>
      <c r="V146">
        <v>0.08</v>
      </c>
      <c r="X146">
        <v>17255.48</v>
      </c>
    </row>
    <row r="147" spans="1:25" x14ac:dyDescent="0.25">
      <c r="A147">
        <v>2020</v>
      </c>
      <c r="B147">
        <v>3</v>
      </c>
      <c r="C147" t="s">
        <v>336</v>
      </c>
      <c r="D147" t="s">
        <v>337</v>
      </c>
      <c r="E147" t="s">
        <v>338</v>
      </c>
      <c r="F147" t="s">
        <v>486</v>
      </c>
      <c r="G147" t="s">
        <v>487</v>
      </c>
      <c r="H147" t="s">
        <v>34</v>
      </c>
      <c r="I147" t="s">
        <v>23</v>
      </c>
      <c r="J147">
        <v>130888.77</v>
      </c>
      <c r="K147">
        <v>81500.75</v>
      </c>
      <c r="L147">
        <v>49388.02</v>
      </c>
      <c r="M147">
        <v>49124.47</v>
      </c>
      <c r="N147">
        <v>29074.45</v>
      </c>
      <c r="O147">
        <v>20050.02</v>
      </c>
      <c r="P147">
        <v>38523.64</v>
      </c>
      <c r="Q147">
        <v>218952197.5</v>
      </c>
      <c r="R147">
        <v>223819119.40000001</v>
      </c>
      <c r="S147">
        <v>5.2999999999999999E-2</v>
      </c>
      <c r="T147">
        <v>3</v>
      </c>
      <c r="U147">
        <v>2.75E-2</v>
      </c>
      <c r="V147">
        <v>0.08</v>
      </c>
      <c r="X147">
        <v>26566.28</v>
      </c>
      <c r="Y147">
        <v>7.4999999999999997E-3</v>
      </c>
    </row>
    <row r="148" spans="1:25" x14ac:dyDescent="0.25">
      <c r="A148">
        <v>2020</v>
      </c>
      <c r="B148">
        <v>3</v>
      </c>
      <c r="C148" t="s">
        <v>336</v>
      </c>
      <c r="D148" t="s">
        <v>482</v>
      </c>
      <c r="E148" t="s">
        <v>483</v>
      </c>
      <c r="F148" t="s">
        <v>484</v>
      </c>
      <c r="G148" t="s">
        <v>485</v>
      </c>
      <c r="H148" t="s">
        <v>34</v>
      </c>
      <c r="I148" t="s">
        <v>23</v>
      </c>
      <c r="J148">
        <v>131127.21</v>
      </c>
      <c r="K148">
        <v>81724.66</v>
      </c>
      <c r="L148">
        <v>49402.54</v>
      </c>
      <c r="M148">
        <v>49124.89</v>
      </c>
      <c r="N148">
        <v>29066.799999999999</v>
      </c>
      <c r="O148">
        <v>20058.09</v>
      </c>
      <c r="P148">
        <v>38513.51</v>
      </c>
      <c r="Q148">
        <v>219057939.09999999</v>
      </c>
      <c r="R148">
        <v>223891517.19999999</v>
      </c>
      <c r="S148">
        <v>5.2999999999999999E-2</v>
      </c>
      <c r="T148" t="s">
        <v>24</v>
      </c>
      <c r="U148">
        <v>3.5000000000000003E-2</v>
      </c>
      <c r="V148">
        <v>0.08</v>
      </c>
      <c r="X148">
        <v>26576.97</v>
      </c>
    </row>
    <row r="149" spans="1:25" x14ac:dyDescent="0.25">
      <c r="A149">
        <v>2020</v>
      </c>
      <c r="B149">
        <v>3</v>
      </c>
      <c r="C149" t="s">
        <v>340</v>
      </c>
      <c r="D149" t="s">
        <v>341</v>
      </c>
      <c r="E149" t="s">
        <v>342</v>
      </c>
      <c r="F149" t="s">
        <v>488</v>
      </c>
      <c r="G149" t="s">
        <v>489</v>
      </c>
      <c r="H149" t="s">
        <v>34</v>
      </c>
      <c r="I149" t="s">
        <v>23</v>
      </c>
      <c r="J149">
        <v>1044547.9</v>
      </c>
      <c r="K149">
        <v>527929.72</v>
      </c>
      <c r="L149">
        <v>516618.18</v>
      </c>
      <c r="M149">
        <v>366279.23</v>
      </c>
      <c r="N149">
        <v>187785.8</v>
      </c>
      <c r="O149">
        <v>178493.43</v>
      </c>
      <c r="P149">
        <v>248816.18</v>
      </c>
      <c r="Q149">
        <v>1955701420</v>
      </c>
      <c r="R149">
        <v>1986028505</v>
      </c>
      <c r="S149">
        <v>5.2999999999999999E-2</v>
      </c>
      <c r="T149">
        <v>3</v>
      </c>
      <c r="U149">
        <v>2.75E-2</v>
      </c>
      <c r="V149">
        <v>0.08</v>
      </c>
      <c r="X149">
        <v>236503.8</v>
      </c>
      <c r="Y149">
        <v>7.4999999999999997E-3</v>
      </c>
    </row>
    <row r="150" spans="1:25" x14ac:dyDescent="0.25">
      <c r="A150">
        <v>2020</v>
      </c>
      <c r="B150">
        <v>3</v>
      </c>
      <c r="C150" t="s">
        <v>343</v>
      </c>
      <c r="D150" t="s">
        <v>344</v>
      </c>
      <c r="E150" t="s">
        <v>345</v>
      </c>
      <c r="F150" t="s">
        <v>490</v>
      </c>
      <c r="G150" t="s">
        <v>491</v>
      </c>
      <c r="H150" t="s">
        <v>34</v>
      </c>
      <c r="I150" t="s">
        <v>23</v>
      </c>
      <c r="J150">
        <v>328058.68</v>
      </c>
      <c r="K150">
        <v>147694.51</v>
      </c>
      <c r="L150">
        <v>180364.17</v>
      </c>
      <c r="M150">
        <v>148004.70000000001</v>
      </c>
      <c r="N150">
        <v>73135.86</v>
      </c>
      <c r="O150">
        <v>74868.84</v>
      </c>
      <c r="P150">
        <v>96905.01</v>
      </c>
      <c r="Q150">
        <v>802895446.29999995</v>
      </c>
      <c r="R150">
        <v>850458106.10000002</v>
      </c>
      <c r="S150">
        <v>5.2999999999999999E-2</v>
      </c>
      <c r="T150">
        <v>3</v>
      </c>
      <c r="U150">
        <v>2.75E-2</v>
      </c>
      <c r="V150">
        <v>0.08</v>
      </c>
      <c r="X150">
        <v>99201.21</v>
      </c>
      <c r="Y150">
        <v>7.4999999999999997E-3</v>
      </c>
    </row>
    <row r="151" spans="1:25" x14ac:dyDescent="0.25">
      <c r="A151">
        <v>2020</v>
      </c>
      <c r="B151">
        <v>3</v>
      </c>
      <c r="C151" t="s">
        <v>346</v>
      </c>
      <c r="D151" t="s">
        <v>496</v>
      </c>
      <c r="E151" t="s">
        <v>497</v>
      </c>
      <c r="F151" t="s">
        <v>498</v>
      </c>
      <c r="G151" t="s">
        <v>499</v>
      </c>
      <c r="H151" t="s">
        <v>34</v>
      </c>
      <c r="I151" t="s">
        <v>23</v>
      </c>
      <c r="J151">
        <v>159383.60999999999</v>
      </c>
      <c r="K151">
        <v>35702.43</v>
      </c>
      <c r="L151">
        <v>123681.18</v>
      </c>
      <c r="M151">
        <v>54461.760000000002</v>
      </c>
      <c r="N151">
        <v>12551.94</v>
      </c>
      <c r="O151">
        <v>41909.82</v>
      </c>
      <c r="P151">
        <v>16631.32</v>
      </c>
      <c r="Q151">
        <v>459261617.69999999</v>
      </c>
      <c r="R151">
        <v>466246933.89999998</v>
      </c>
      <c r="S151">
        <v>5.2999999999999999E-2</v>
      </c>
      <c r="T151" t="s">
        <v>24</v>
      </c>
      <c r="U151">
        <v>3.5000000000000003E-2</v>
      </c>
      <c r="V151">
        <v>0.08</v>
      </c>
      <c r="X151">
        <v>55530.51</v>
      </c>
    </row>
    <row r="152" spans="1:25" x14ac:dyDescent="0.25">
      <c r="A152">
        <v>2020</v>
      </c>
      <c r="B152">
        <v>3</v>
      </c>
      <c r="C152" t="s">
        <v>346</v>
      </c>
      <c r="D152" t="s">
        <v>500</v>
      </c>
      <c r="E152" t="s">
        <v>501</v>
      </c>
      <c r="F152" t="s">
        <v>502</v>
      </c>
      <c r="G152" t="s">
        <v>503</v>
      </c>
      <c r="H152" t="s">
        <v>34</v>
      </c>
      <c r="I152" t="s">
        <v>23</v>
      </c>
      <c r="J152">
        <v>174692.99</v>
      </c>
      <c r="K152">
        <v>42740.54</v>
      </c>
      <c r="L152">
        <v>131952.45000000001</v>
      </c>
      <c r="M152">
        <v>60244.959999999999</v>
      </c>
      <c r="N152">
        <v>14803.14</v>
      </c>
      <c r="O152">
        <v>45441.82</v>
      </c>
      <c r="P152">
        <v>19614.16</v>
      </c>
      <c r="Q152">
        <v>492752148.60000002</v>
      </c>
      <c r="R152">
        <v>510754613.89999998</v>
      </c>
      <c r="S152">
        <v>5.2999999999999999E-2</v>
      </c>
      <c r="T152">
        <v>3</v>
      </c>
      <c r="U152">
        <v>2.75E-2</v>
      </c>
      <c r="V152">
        <v>0.08</v>
      </c>
      <c r="X152">
        <v>60210.41</v>
      </c>
      <c r="Y152">
        <v>7.4999999999999997E-3</v>
      </c>
    </row>
    <row r="153" spans="1:25" x14ac:dyDescent="0.25">
      <c r="A153">
        <v>2020</v>
      </c>
      <c r="B153">
        <v>3</v>
      </c>
      <c r="C153" t="s">
        <v>346</v>
      </c>
      <c r="D153" t="s">
        <v>347</v>
      </c>
      <c r="E153" t="s">
        <v>348</v>
      </c>
      <c r="F153" t="s">
        <v>492</v>
      </c>
      <c r="G153" t="s">
        <v>493</v>
      </c>
      <c r="H153" t="s">
        <v>34</v>
      </c>
      <c r="I153" t="s">
        <v>23</v>
      </c>
      <c r="J153">
        <v>72632.639999999999</v>
      </c>
      <c r="K153">
        <v>23.28</v>
      </c>
      <c r="L153">
        <v>72609.36</v>
      </c>
      <c r="M153">
        <v>24400.18</v>
      </c>
      <c r="N153">
        <v>15.1</v>
      </c>
      <c r="O153">
        <v>24385.08</v>
      </c>
      <c r="P153">
        <v>20.010000000000002</v>
      </c>
      <c r="Q153">
        <v>536237502</v>
      </c>
      <c r="R153">
        <v>540770263</v>
      </c>
      <c r="S153">
        <v>5.2999999999999999E-2</v>
      </c>
      <c r="T153">
        <v>3</v>
      </c>
      <c r="U153">
        <v>2.75E-2</v>
      </c>
      <c r="V153">
        <v>0.04</v>
      </c>
      <c r="X153">
        <v>32310.23</v>
      </c>
      <c r="Y153">
        <v>7.4999999999999997E-3</v>
      </c>
    </row>
    <row r="154" spans="1:25" x14ac:dyDescent="0.25">
      <c r="A154">
        <v>2020</v>
      </c>
      <c r="B154">
        <v>3</v>
      </c>
      <c r="C154" t="s">
        <v>346</v>
      </c>
      <c r="D154" t="s">
        <v>347</v>
      </c>
      <c r="E154" t="s">
        <v>348</v>
      </c>
      <c r="F154" t="s">
        <v>494</v>
      </c>
      <c r="G154" t="s">
        <v>495</v>
      </c>
      <c r="H154" t="s">
        <v>34</v>
      </c>
      <c r="I154" t="s">
        <v>23</v>
      </c>
      <c r="J154">
        <v>157840.57999999999</v>
      </c>
      <c r="K154">
        <v>30036.080000000002</v>
      </c>
      <c r="L154">
        <v>127804.5</v>
      </c>
      <c r="M154">
        <v>55193.94</v>
      </c>
      <c r="N154">
        <v>11634.72</v>
      </c>
      <c r="O154">
        <v>43559.22</v>
      </c>
      <c r="P154">
        <v>15416.01</v>
      </c>
      <c r="Q154">
        <v>476692586.60000002</v>
      </c>
      <c r="R154">
        <v>485240137.69999999</v>
      </c>
      <c r="S154">
        <v>5.2999999999999999E-2</v>
      </c>
      <c r="T154" t="s">
        <v>24</v>
      </c>
      <c r="U154">
        <v>3.5000000000000003E-2</v>
      </c>
      <c r="V154">
        <v>0.08</v>
      </c>
      <c r="X154">
        <v>57715.96</v>
      </c>
    </row>
    <row r="155" spans="1:25" x14ac:dyDescent="0.25">
      <c r="A155">
        <v>2020</v>
      </c>
      <c r="B155">
        <v>3</v>
      </c>
      <c r="C155" t="s">
        <v>349</v>
      </c>
      <c r="D155" t="s">
        <v>506</v>
      </c>
      <c r="E155" t="s">
        <v>507</v>
      </c>
      <c r="F155" t="s">
        <v>508</v>
      </c>
      <c r="G155" t="s">
        <v>509</v>
      </c>
      <c r="H155" t="s">
        <v>34</v>
      </c>
      <c r="I155" t="s">
        <v>23</v>
      </c>
      <c r="J155">
        <v>500919.26</v>
      </c>
      <c r="K155">
        <v>157938.89000000001</v>
      </c>
      <c r="L155">
        <v>342980.37</v>
      </c>
      <c r="M155">
        <v>169960.68</v>
      </c>
      <c r="N155">
        <v>53890.21</v>
      </c>
      <c r="O155">
        <v>116070.46</v>
      </c>
      <c r="P155">
        <v>71404.53</v>
      </c>
      <c r="Q155">
        <v>1282429048</v>
      </c>
      <c r="R155">
        <v>1280793700</v>
      </c>
      <c r="S155">
        <v>5.2999999999999999E-2</v>
      </c>
      <c r="T155" t="s">
        <v>24</v>
      </c>
      <c r="U155">
        <v>3.5000000000000003E-2</v>
      </c>
      <c r="V155">
        <v>0.08</v>
      </c>
      <c r="X155">
        <v>153793.35999999999</v>
      </c>
    </row>
    <row r="156" spans="1:25" x14ac:dyDescent="0.25">
      <c r="A156">
        <v>2020</v>
      </c>
      <c r="B156">
        <v>3</v>
      </c>
      <c r="C156" t="s">
        <v>349</v>
      </c>
      <c r="D156" t="s">
        <v>350</v>
      </c>
      <c r="E156" t="s">
        <v>351</v>
      </c>
      <c r="F156" t="s">
        <v>504</v>
      </c>
      <c r="G156" t="s">
        <v>505</v>
      </c>
      <c r="H156" t="s">
        <v>34</v>
      </c>
      <c r="I156" t="s">
        <v>23</v>
      </c>
      <c r="J156">
        <v>19968.78</v>
      </c>
      <c r="K156">
        <v>57.09</v>
      </c>
      <c r="L156">
        <v>19911.689999999999</v>
      </c>
      <c r="M156">
        <v>6190.33</v>
      </c>
      <c r="N156">
        <v>21.08</v>
      </c>
      <c r="O156">
        <v>6169.25</v>
      </c>
      <c r="P156">
        <v>27.93</v>
      </c>
      <c r="Q156">
        <v>25952822.780000001</v>
      </c>
      <c r="R156">
        <v>25674050.059999999</v>
      </c>
      <c r="S156">
        <v>5.2999999999999999E-2</v>
      </c>
      <c r="T156">
        <v>1</v>
      </c>
      <c r="U156">
        <v>1.4999999999999999E-2</v>
      </c>
      <c r="V156">
        <v>0.1</v>
      </c>
      <c r="X156">
        <v>8174.25</v>
      </c>
    </row>
    <row r="157" spans="1:25" x14ac:dyDescent="0.25">
      <c r="A157">
        <v>2020</v>
      </c>
      <c r="B157">
        <v>3</v>
      </c>
      <c r="C157" t="s">
        <v>349</v>
      </c>
      <c r="D157" t="s">
        <v>350</v>
      </c>
      <c r="E157" t="s">
        <v>351</v>
      </c>
      <c r="F157" t="s">
        <v>518</v>
      </c>
      <c r="G157" t="s">
        <v>519</v>
      </c>
      <c r="H157" t="s">
        <v>34</v>
      </c>
      <c r="I157" t="s">
        <v>23</v>
      </c>
      <c r="J157">
        <v>2271848.2799999998</v>
      </c>
      <c r="K157">
        <v>1176534.07</v>
      </c>
      <c r="L157">
        <v>1095314.21</v>
      </c>
      <c r="M157">
        <v>774189.29</v>
      </c>
      <c r="N157">
        <v>398766.3</v>
      </c>
      <c r="O157">
        <v>375422.99</v>
      </c>
      <c r="P157">
        <v>528365.35</v>
      </c>
      <c r="Q157">
        <v>4139444571</v>
      </c>
      <c r="R157">
        <v>4151146441</v>
      </c>
      <c r="S157">
        <v>5.2999999999999999E-2</v>
      </c>
      <c r="T157">
        <v>3</v>
      </c>
      <c r="U157">
        <v>2.75E-2</v>
      </c>
      <c r="V157">
        <v>0.08</v>
      </c>
      <c r="X157">
        <v>497435.46</v>
      </c>
      <c r="Y157">
        <v>7.4999999999999997E-3</v>
      </c>
    </row>
    <row r="158" spans="1:25" x14ac:dyDescent="0.25">
      <c r="A158">
        <v>2020</v>
      </c>
      <c r="B158">
        <v>3</v>
      </c>
      <c r="C158" t="s">
        <v>349</v>
      </c>
      <c r="D158" t="s">
        <v>510</v>
      </c>
      <c r="E158" t="s">
        <v>511</v>
      </c>
      <c r="F158" t="s">
        <v>512</v>
      </c>
      <c r="G158" t="s">
        <v>513</v>
      </c>
      <c r="H158" t="s">
        <v>34</v>
      </c>
      <c r="I158" t="s">
        <v>23</v>
      </c>
      <c r="J158">
        <v>244875.41</v>
      </c>
      <c r="K158">
        <v>93924.55</v>
      </c>
      <c r="L158">
        <v>150950.85999999999</v>
      </c>
      <c r="M158">
        <v>87258.2</v>
      </c>
      <c r="N158">
        <v>33718.83</v>
      </c>
      <c r="O158">
        <v>53539.37</v>
      </c>
      <c r="P158">
        <v>44677.45</v>
      </c>
      <c r="Q158">
        <v>581587979.20000005</v>
      </c>
      <c r="R158">
        <v>600739704.10000002</v>
      </c>
      <c r="S158">
        <v>5.2999999999999999E-2</v>
      </c>
      <c r="T158">
        <v>3</v>
      </c>
      <c r="U158">
        <v>2.75E-2</v>
      </c>
      <c r="V158">
        <v>0.08</v>
      </c>
      <c r="X158">
        <v>70939.66</v>
      </c>
      <c r="Y158">
        <v>7.4999999999999997E-3</v>
      </c>
    </row>
    <row r="159" spans="1:25" x14ac:dyDescent="0.25">
      <c r="A159">
        <v>2020</v>
      </c>
      <c r="B159">
        <v>3</v>
      </c>
      <c r="C159" t="s">
        <v>349</v>
      </c>
      <c r="D159" t="s">
        <v>514</v>
      </c>
      <c r="E159" t="s">
        <v>515</v>
      </c>
      <c r="F159" t="s">
        <v>516</v>
      </c>
      <c r="G159" t="s">
        <v>517</v>
      </c>
      <c r="H159" t="s">
        <v>34</v>
      </c>
      <c r="I159" t="s">
        <v>23</v>
      </c>
      <c r="J159">
        <v>130926.06</v>
      </c>
      <c r="K159">
        <v>46752.9</v>
      </c>
      <c r="L159">
        <v>84173.16</v>
      </c>
      <c r="M159">
        <v>44346.239999999998</v>
      </c>
      <c r="N159">
        <v>16181.11</v>
      </c>
      <c r="O159">
        <v>28165.13</v>
      </c>
      <c r="P159">
        <v>21439.97</v>
      </c>
      <c r="Q159">
        <v>312673198.5</v>
      </c>
      <c r="R159">
        <v>309306696.80000001</v>
      </c>
      <c r="S159">
        <v>5.2999999999999999E-2</v>
      </c>
      <c r="T159">
        <v>3</v>
      </c>
      <c r="U159">
        <v>2.75E-2</v>
      </c>
      <c r="V159">
        <v>0.08</v>
      </c>
      <c r="X159">
        <v>37318.79</v>
      </c>
      <c r="Y159">
        <v>7.4999999999999997E-3</v>
      </c>
    </row>
    <row r="160" spans="1:25" x14ac:dyDescent="0.25">
      <c r="A160">
        <v>2020</v>
      </c>
      <c r="B160">
        <v>3</v>
      </c>
      <c r="C160" t="s">
        <v>352</v>
      </c>
      <c r="D160" t="s">
        <v>353</v>
      </c>
      <c r="E160" t="s">
        <v>354</v>
      </c>
      <c r="F160" t="s">
        <v>528</v>
      </c>
      <c r="G160" t="s">
        <v>529</v>
      </c>
      <c r="H160" t="s">
        <v>34</v>
      </c>
      <c r="I160" t="s">
        <v>23</v>
      </c>
      <c r="J160">
        <v>277867.36</v>
      </c>
      <c r="K160">
        <v>87196.66</v>
      </c>
      <c r="L160">
        <v>190670.7</v>
      </c>
      <c r="M160">
        <v>120566.21</v>
      </c>
      <c r="N160">
        <v>43517.85</v>
      </c>
      <c r="O160">
        <v>77048.36</v>
      </c>
      <c r="P160">
        <v>57661.15</v>
      </c>
      <c r="Q160">
        <v>841321912.70000005</v>
      </c>
      <c r="R160">
        <v>860162686.20000005</v>
      </c>
      <c r="S160">
        <v>5.2999999999999999E-2</v>
      </c>
      <c r="T160">
        <v>3</v>
      </c>
      <c r="U160">
        <v>2.75E-2</v>
      </c>
      <c r="V160">
        <v>0.08</v>
      </c>
      <c r="X160">
        <v>102089.08</v>
      </c>
      <c r="Y160">
        <v>7.4999999999999997E-3</v>
      </c>
    </row>
    <row r="161" spans="1:25" x14ac:dyDescent="0.25">
      <c r="A161">
        <v>2020</v>
      </c>
      <c r="B161">
        <v>3</v>
      </c>
      <c r="C161" t="s">
        <v>352</v>
      </c>
      <c r="D161" t="s">
        <v>520</v>
      </c>
      <c r="E161" t="s">
        <v>521</v>
      </c>
      <c r="F161" t="s">
        <v>522</v>
      </c>
      <c r="G161" t="s">
        <v>523</v>
      </c>
      <c r="H161" t="s">
        <v>34</v>
      </c>
      <c r="I161" t="s">
        <v>23</v>
      </c>
      <c r="J161">
        <v>280741.90999999997</v>
      </c>
      <c r="K161">
        <v>89807</v>
      </c>
      <c r="L161">
        <v>190934.91</v>
      </c>
      <c r="M161">
        <v>118007.13</v>
      </c>
      <c r="N161">
        <v>40689.58</v>
      </c>
      <c r="O161">
        <v>77317.55</v>
      </c>
      <c r="P161">
        <v>53913.69</v>
      </c>
      <c r="Q161">
        <v>841541776.5</v>
      </c>
      <c r="R161">
        <v>865887458.5</v>
      </c>
      <c r="S161">
        <v>5.2999999999999999E-2</v>
      </c>
      <c r="T161" t="s">
        <v>24</v>
      </c>
      <c r="U161">
        <v>3.5000000000000003E-2</v>
      </c>
      <c r="V161">
        <v>0.08</v>
      </c>
      <c r="X161">
        <v>102445.75</v>
      </c>
    </row>
    <row r="162" spans="1:25" x14ac:dyDescent="0.25">
      <c r="A162">
        <v>2020</v>
      </c>
      <c r="B162">
        <v>3</v>
      </c>
      <c r="C162" t="s">
        <v>352</v>
      </c>
      <c r="D162" t="s">
        <v>524</v>
      </c>
      <c r="E162" t="s">
        <v>525</v>
      </c>
      <c r="F162" t="s">
        <v>526</v>
      </c>
      <c r="G162" t="s">
        <v>527</v>
      </c>
      <c r="H162" t="s">
        <v>34</v>
      </c>
      <c r="I162" t="s">
        <v>23</v>
      </c>
      <c r="J162">
        <v>283162.07</v>
      </c>
      <c r="K162">
        <v>92479.17</v>
      </c>
      <c r="L162">
        <v>190682.9</v>
      </c>
      <c r="M162">
        <v>117962.65</v>
      </c>
      <c r="N162">
        <v>40903.33</v>
      </c>
      <c r="O162">
        <v>77059.320000000007</v>
      </c>
      <c r="P162">
        <v>54196.91</v>
      </c>
      <c r="Q162">
        <v>841161133.10000002</v>
      </c>
      <c r="R162">
        <v>860565490.89999998</v>
      </c>
      <c r="S162">
        <v>5.2999999999999999E-2</v>
      </c>
      <c r="T162">
        <v>3</v>
      </c>
      <c r="U162">
        <v>2.75E-2</v>
      </c>
      <c r="V162">
        <v>0.08</v>
      </c>
      <c r="X162">
        <v>102103.6</v>
      </c>
      <c r="Y162">
        <v>7.4999999999999997E-3</v>
      </c>
    </row>
    <row r="163" spans="1:25" x14ac:dyDescent="0.25">
      <c r="A163">
        <v>2020</v>
      </c>
      <c r="B163">
        <v>3</v>
      </c>
      <c r="C163" t="s">
        <v>355</v>
      </c>
      <c r="D163" t="s">
        <v>532</v>
      </c>
      <c r="E163" t="s">
        <v>533</v>
      </c>
      <c r="F163" t="s">
        <v>534</v>
      </c>
      <c r="G163" t="s">
        <v>535</v>
      </c>
      <c r="H163" t="s">
        <v>34</v>
      </c>
      <c r="I163" t="s">
        <v>23</v>
      </c>
      <c r="J163">
        <v>142906.75</v>
      </c>
      <c r="K163">
        <v>36232.93</v>
      </c>
      <c r="L163">
        <v>106673.82</v>
      </c>
      <c r="M163">
        <v>48455.01</v>
      </c>
      <c r="N163">
        <v>11921.46</v>
      </c>
      <c r="O163">
        <v>36533.54</v>
      </c>
      <c r="P163">
        <v>15795.94</v>
      </c>
      <c r="Q163">
        <v>401508242.69999999</v>
      </c>
      <c r="R163">
        <v>405274157.89999998</v>
      </c>
      <c r="S163">
        <v>5.2999999999999999E-2</v>
      </c>
      <c r="T163">
        <v>3</v>
      </c>
      <c r="U163">
        <v>2.75E-2</v>
      </c>
      <c r="V163">
        <v>0.08</v>
      </c>
      <c r="X163">
        <v>48406.94</v>
      </c>
      <c r="Y163">
        <v>7.4999999999999997E-3</v>
      </c>
    </row>
    <row r="164" spans="1:25" x14ac:dyDescent="0.25">
      <c r="A164">
        <v>2020</v>
      </c>
      <c r="B164">
        <v>3</v>
      </c>
      <c r="C164" t="s">
        <v>355</v>
      </c>
      <c r="D164" t="s">
        <v>356</v>
      </c>
      <c r="E164" t="s">
        <v>357</v>
      </c>
      <c r="F164" t="s">
        <v>530</v>
      </c>
      <c r="G164" t="s">
        <v>531</v>
      </c>
      <c r="H164" t="s">
        <v>34</v>
      </c>
      <c r="I164" t="s">
        <v>23</v>
      </c>
      <c r="J164">
        <v>188572.96</v>
      </c>
      <c r="K164">
        <v>48165.83</v>
      </c>
      <c r="L164">
        <v>140407.13</v>
      </c>
      <c r="M164">
        <v>63837.48</v>
      </c>
      <c r="N164">
        <v>15772.28</v>
      </c>
      <c r="O164">
        <v>48065.2</v>
      </c>
      <c r="P164">
        <v>20898.27</v>
      </c>
      <c r="Q164">
        <v>525717890.69999999</v>
      </c>
      <c r="R164">
        <v>535721890.10000002</v>
      </c>
      <c r="S164">
        <v>5.2999999999999999E-2</v>
      </c>
      <c r="T164">
        <v>3</v>
      </c>
      <c r="U164">
        <v>2.75E-2</v>
      </c>
      <c r="V164">
        <v>0.08</v>
      </c>
      <c r="X164">
        <v>63686.39</v>
      </c>
      <c r="Y164">
        <v>7.4999999999999997E-3</v>
      </c>
    </row>
    <row r="165" spans="1:25" x14ac:dyDescent="0.25">
      <c r="A165">
        <v>2020</v>
      </c>
      <c r="B165">
        <v>3</v>
      </c>
      <c r="C165" t="s">
        <v>355</v>
      </c>
      <c r="D165" t="s">
        <v>536</v>
      </c>
      <c r="E165" t="s">
        <v>537</v>
      </c>
      <c r="F165" t="s">
        <v>538</v>
      </c>
      <c r="G165" t="s">
        <v>539</v>
      </c>
      <c r="H165" t="s">
        <v>34</v>
      </c>
      <c r="I165" t="s">
        <v>23</v>
      </c>
      <c r="J165">
        <v>168444.23</v>
      </c>
      <c r="K165">
        <v>29356.66</v>
      </c>
      <c r="L165">
        <v>139087.57</v>
      </c>
      <c r="M165">
        <v>54890.37</v>
      </c>
      <c r="N165">
        <v>8374.83</v>
      </c>
      <c r="O165">
        <v>46515.54</v>
      </c>
      <c r="P165">
        <v>11096.65</v>
      </c>
      <c r="Q165">
        <v>516468170.80000001</v>
      </c>
      <c r="R165">
        <v>510750101.19999999</v>
      </c>
      <c r="S165">
        <v>5.2999999999999999E-2</v>
      </c>
      <c r="T165">
        <v>3</v>
      </c>
      <c r="U165">
        <v>2.75E-2</v>
      </c>
      <c r="V165">
        <v>0.08</v>
      </c>
      <c r="X165">
        <v>61633.1</v>
      </c>
      <c r="Y165">
        <v>7.4999999999999997E-3</v>
      </c>
    </row>
    <row r="166" spans="1:25" x14ac:dyDescent="0.25">
      <c r="A166">
        <v>2020</v>
      </c>
      <c r="B166">
        <v>3</v>
      </c>
      <c r="C166" t="s">
        <v>364</v>
      </c>
      <c r="D166" t="s">
        <v>365</v>
      </c>
      <c r="E166" t="s">
        <v>366</v>
      </c>
      <c r="F166" t="s">
        <v>540</v>
      </c>
      <c r="G166" t="s">
        <v>541</v>
      </c>
      <c r="H166" t="s">
        <v>34</v>
      </c>
      <c r="I166" t="s">
        <v>23</v>
      </c>
      <c r="J166">
        <v>33214.46</v>
      </c>
      <c r="K166">
        <v>8.48</v>
      </c>
      <c r="L166">
        <v>33205.97</v>
      </c>
      <c r="M166">
        <v>11125.17</v>
      </c>
      <c r="N166">
        <v>2.37</v>
      </c>
      <c r="O166">
        <v>11122.81</v>
      </c>
      <c r="P166">
        <v>3.14</v>
      </c>
      <c r="Q166">
        <v>138466682.30000001</v>
      </c>
      <c r="R166">
        <v>138949162.09999999</v>
      </c>
      <c r="S166">
        <v>5.2999999999999999E-2</v>
      </c>
      <c r="T166">
        <v>3</v>
      </c>
      <c r="U166">
        <v>2.75E-2</v>
      </c>
      <c r="V166">
        <v>0.05</v>
      </c>
      <c r="X166">
        <v>14737.72</v>
      </c>
    </row>
    <row r="167" spans="1:25" x14ac:dyDescent="0.25">
      <c r="A167">
        <v>2020</v>
      </c>
      <c r="B167">
        <v>3</v>
      </c>
      <c r="C167" t="s">
        <v>364</v>
      </c>
      <c r="D167" t="s">
        <v>367</v>
      </c>
      <c r="E167" t="s">
        <v>368</v>
      </c>
      <c r="F167" t="s">
        <v>542</v>
      </c>
      <c r="G167" t="s">
        <v>543</v>
      </c>
      <c r="H167" t="s">
        <v>34</v>
      </c>
      <c r="I167" t="s">
        <v>23</v>
      </c>
      <c r="J167">
        <v>382597.66</v>
      </c>
      <c r="K167">
        <v>87648.65</v>
      </c>
      <c r="L167">
        <v>294949.01</v>
      </c>
      <c r="M167">
        <v>130313.32</v>
      </c>
      <c r="N167">
        <v>29826.87</v>
      </c>
      <c r="O167">
        <v>100486.46</v>
      </c>
      <c r="P167">
        <v>39520.6</v>
      </c>
      <c r="Q167">
        <v>619222729.39999998</v>
      </c>
      <c r="R167">
        <v>633902480.29999995</v>
      </c>
      <c r="S167">
        <v>5.2999999999999999E-2</v>
      </c>
      <c r="T167">
        <v>3</v>
      </c>
      <c r="U167">
        <v>2.75E-2</v>
      </c>
      <c r="V167">
        <v>0.1</v>
      </c>
      <c r="X167">
        <v>133144.54999999999</v>
      </c>
    </row>
    <row r="168" spans="1:25" x14ac:dyDescent="0.25">
      <c r="A168">
        <v>2020</v>
      </c>
      <c r="B168">
        <v>3</v>
      </c>
      <c r="C168" t="s">
        <v>364</v>
      </c>
      <c r="D168" t="s">
        <v>365</v>
      </c>
      <c r="E168" t="s">
        <v>366</v>
      </c>
      <c r="F168" t="s">
        <v>544</v>
      </c>
      <c r="G168" t="s">
        <v>545</v>
      </c>
      <c r="H168" t="s">
        <v>34</v>
      </c>
      <c r="I168" t="s">
        <v>23</v>
      </c>
      <c r="J168">
        <v>84104.3</v>
      </c>
      <c r="K168">
        <v>1669.39</v>
      </c>
      <c r="L168">
        <v>82434.91</v>
      </c>
      <c r="M168">
        <v>28120.17</v>
      </c>
      <c r="N168">
        <v>337.52</v>
      </c>
      <c r="O168">
        <v>27782.65</v>
      </c>
      <c r="P168">
        <v>447.21</v>
      </c>
      <c r="Q168">
        <v>173804596.40000001</v>
      </c>
      <c r="R168">
        <v>172661393.80000001</v>
      </c>
      <c r="S168">
        <v>5.2999999999999999E-2</v>
      </c>
      <c r="T168">
        <v>3</v>
      </c>
      <c r="U168">
        <v>2.75E-2</v>
      </c>
      <c r="V168">
        <v>0.1</v>
      </c>
      <c r="X168">
        <v>36812.01</v>
      </c>
    </row>
    <row r="169" spans="1:25" x14ac:dyDescent="0.25">
      <c r="A169">
        <v>2020</v>
      </c>
      <c r="B169">
        <v>3</v>
      </c>
      <c r="C169" t="s">
        <v>358</v>
      </c>
      <c r="D169" t="s">
        <v>546</v>
      </c>
      <c r="E169" t="s">
        <v>547</v>
      </c>
      <c r="F169" t="s">
        <v>548</v>
      </c>
      <c r="G169" t="s">
        <v>549</v>
      </c>
      <c r="H169" t="s">
        <v>34</v>
      </c>
      <c r="I169" t="s">
        <v>23</v>
      </c>
      <c r="J169">
        <v>493961.44</v>
      </c>
      <c r="K169">
        <v>173072.42</v>
      </c>
      <c r="L169">
        <v>320889.02</v>
      </c>
      <c r="M169">
        <v>169146.18</v>
      </c>
      <c r="N169">
        <v>58798.23</v>
      </c>
      <c r="O169">
        <v>110347.95</v>
      </c>
      <c r="P169">
        <v>77907.649999999994</v>
      </c>
      <c r="Q169">
        <v>684461008.39999998</v>
      </c>
      <c r="R169">
        <v>691642834.60000002</v>
      </c>
      <c r="S169">
        <v>5.2999999999999999E-2</v>
      </c>
      <c r="T169">
        <v>3</v>
      </c>
      <c r="U169">
        <v>2.75E-2</v>
      </c>
      <c r="V169">
        <v>0.1</v>
      </c>
      <c r="X169">
        <v>146211.03</v>
      </c>
    </row>
    <row r="170" spans="1:25" x14ac:dyDescent="0.25">
      <c r="A170">
        <v>2020</v>
      </c>
      <c r="B170">
        <v>3</v>
      </c>
      <c r="C170" t="s">
        <v>358</v>
      </c>
      <c r="D170" t="s">
        <v>550</v>
      </c>
      <c r="E170" t="s">
        <v>551</v>
      </c>
      <c r="F170" t="s">
        <v>552</v>
      </c>
      <c r="G170" t="s">
        <v>553</v>
      </c>
      <c r="H170" t="s">
        <v>34</v>
      </c>
      <c r="I170" t="s">
        <v>23</v>
      </c>
      <c r="J170">
        <v>294060.06</v>
      </c>
      <c r="K170">
        <v>138787.20000000001</v>
      </c>
      <c r="L170">
        <v>155272.85999999999</v>
      </c>
      <c r="M170">
        <v>103717.37</v>
      </c>
      <c r="N170">
        <v>49687</v>
      </c>
      <c r="O170">
        <v>54030.37</v>
      </c>
      <c r="P170">
        <v>65835.28</v>
      </c>
      <c r="Q170">
        <v>598321157.89999998</v>
      </c>
      <c r="R170">
        <v>594849461.70000005</v>
      </c>
      <c r="S170">
        <v>5.2999999999999999E-2</v>
      </c>
      <c r="T170" t="s">
        <v>24</v>
      </c>
      <c r="U170">
        <v>3.5000000000000003E-2</v>
      </c>
      <c r="V170">
        <v>0.08</v>
      </c>
      <c r="X170">
        <v>71590.240000000005</v>
      </c>
    </row>
    <row r="171" spans="1:25" x14ac:dyDescent="0.25">
      <c r="A171">
        <v>2020</v>
      </c>
      <c r="B171">
        <v>3</v>
      </c>
      <c r="C171" t="s">
        <v>358</v>
      </c>
      <c r="D171" t="s">
        <v>554</v>
      </c>
      <c r="E171" t="s">
        <v>555</v>
      </c>
      <c r="F171" t="s">
        <v>556</v>
      </c>
      <c r="G171" t="s">
        <v>557</v>
      </c>
      <c r="H171" t="s">
        <v>34</v>
      </c>
      <c r="I171" t="s">
        <v>23</v>
      </c>
      <c r="J171">
        <v>385404.06</v>
      </c>
      <c r="K171">
        <v>203643.98</v>
      </c>
      <c r="L171">
        <v>181760.08</v>
      </c>
      <c r="M171">
        <v>131939.59</v>
      </c>
      <c r="N171">
        <v>69361.14</v>
      </c>
      <c r="O171">
        <v>62578.45</v>
      </c>
      <c r="P171">
        <v>91903.51</v>
      </c>
      <c r="Q171">
        <v>688252180.10000002</v>
      </c>
      <c r="R171">
        <v>693688580.5</v>
      </c>
      <c r="S171">
        <v>5.2999999999999999E-2</v>
      </c>
      <c r="T171">
        <v>3</v>
      </c>
      <c r="U171">
        <v>2.75E-2</v>
      </c>
      <c r="V171">
        <v>0.08</v>
      </c>
      <c r="X171">
        <v>82916.45</v>
      </c>
      <c r="Y171">
        <v>7.4999999999999997E-3</v>
      </c>
    </row>
    <row r="172" spans="1:25" x14ac:dyDescent="0.25">
      <c r="A172">
        <v>2020</v>
      </c>
      <c r="B172">
        <v>3</v>
      </c>
      <c r="C172" t="s">
        <v>361</v>
      </c>
      <c r="D172" t="s">
        <v>560</v>
      </c>
      <c r="E172" t="s">
        <v>561</v>
      </c>
      <c r="F172" t="s">
        <v>562</v>
      </c>
      <c r="G172" t="s">
        <v>563</v>
      </c>
      <c r="H172" t="s">
        <v>34</v>
      </c>
      <c r="I172" t="s">
        <v>23</v>
      </c>
      <c r="J172">
        <v>149926.16</v>
      </c>
      <c r="K172">
        <v>25980.68</v>
      </c>
      <c r="L172">
        <v>123945.48</v>
      </c>
      <c r="M172">
        <v>53436.01</v>
      </c>
      <c r="N172">
        <v>10480.11</v>
      </c>
      <c r="O172">
        <v>42955.9</v>
      </c>
      <c r="P172">
        <v>13886.14</v>
      </c>
      <c r="Q172">
        <v>451118767.19999999</v>
      </c>
      <c r="R172">
        <v>497490721.89999998</v>
      </c>
      <c r="S172">
        <v>5.2999999999999999E-2</v>
      </c>
      <c r="T172">
        <v>3</v>
      </c>
      <c r="U172">
        <v>2.75E-2</v>
      </c>
      <c r="V172">
        <v>0.08</v>
      </c>
      <c r="X172">
        <v>56916.57</v>
      </c>
      <c r="Y172">
        <v>7.4999999999999997E-3</v>
      </c>
    </row>
    <row r="173" spans="1:25" x14ac:dyDescent="0.25">
      <c r="A173">
        <v>2020</v>
      </c>
      <c r="B173">
        <v>3</v>
      </c>
      <c r="C173" t="s">
        <v>361</v>
      </c>
      <c r="D173" t="s">
        <v>362</v>
      </c>
      <c r="E173" t="s">
        <v>363</v>
      </c>
      <c r="F173" t="s">
        <v>558</v>
      </c>
      <c r="G173" t="s">
        <v>559</v>
      </c>
      <c r="H173" t="s">
        <v>34</v>
      </c>
      <c r="I173" t="s">
        <v>23</v>
      </c>
      <c r="J173">
        <v>145128.57</v>
      </c>
      <c r="K173">
        <v>26070.33</v>
      </c>
      <c r="L173">
        <v>119058.23</v>
      </c>
      <c r="M173">
        <v>50946.7</v>
      </c>
      <c r="N173">
        <v>9711.24</v>
      </c>
      <c r="O173">
        <v>41235.46</v>
      </c>
      <c r="P173">
        <v>12867.39</v>
      </c>
      <c r="Q173">
        <v>433803075.89999998</v>
      </c>
      <c r="R173">
        <v>476813422.89999998</v>
      </c>
      <c r="S173">
        <v>5.2999999999999999E-2</v>
      </c>
      <c r="T173" t="s">
        <v>24</v>
      </c>
      <c r="U173">
        <v>3.5000000000000003E-2</v>
      </c>
      <c r="V173">
        <v>0.08</v>
      </c>
      <c r="X173">
        <v>54636.99</v>
      </c>
    </row>
    <row r="174" spans="1:25" x14ac:dyDescent="0.25">
      <c r="A174">
        <v>2020</v>
      </c>
      <c r="B174">
        <v>3</v>
      </c>
      <c r="C174" t="s">
        <v>295</v>
      </c>
      <c r="D174" t="s">
        <v>564</v>
      </c>
      <c r="E174" t="s">
        <v>565</v>
      </c>
      <c r="F174" t="s">
        <v>566</v>
      </c>
      <c r="G174" t="s">
        <v>567</v>
      </c>
      <c r="H174" t="s">
        <v>34</v>
      </c>
      <c r="I174" t="s">
        <v>34</v>
      </c>
      <c r="J174">
        <v>271247.48</v>
      </c>
      <c r="K174">
        <v>271247.48</v>
      </c>
      <c r="M174">
        <v>92786.32</v>
      </c>
      <c r="N174">
        <v>92786.32</v>
      </c>
      <c r="P174">
        <v>122941.88</v>
      </c>
    </row>
    <row r="175" spans="1:25" x14ac:dyDescent="0.25">
      <c r="A175">
        <v>2020</v>
      </c>
      <c r="B175">
        <v>3</v>
      </c>
      <c r="C175" t="s">
        <v>298</v>
      </c>
      <c r="D175" t="s">
        <v>589</v>
      </c>
      <c r="E175" t="s">
        <v>590</v>
      </c>
      <c r="F175" t="s">
        <v>591</v>
      </c>
      <c r="G175" t="s">
        <v>592</v>
      </c>
      <c r="H175" t="s">
        <v>34</v>
      </c>
      <c r="I175" t="s">
        <v>34</v>
      </c>
      <c r="J175">
        <v>39351.83</v>
      </c>
      <c r="K175">
        <v>39351.83</v>
      </c>
      <c r="M175">
        <v>25065.46</v>
      </c>
      <c r="N175">
        <v>25065.46</v>
      </c>
      <c r="P175">
        <v>33211.730000000003</v>
      </c>
    </row>
    <row r="176" spans="1:25" x14ac:dyDescent="0.25">
      <c r="A176">
        <v>2020</v>
      </c>
      <c r="B176">
        <v>3</v>
      </c>
      <c r="C176" t="s">
        <v>321</v>
      </c>
      <c r="D176" t="s">
        <v>568</v>
      </c>
      <c r="E176" t="s">
        <v>569</v>
      </c>
      <c r="F176" t="s">
        <v>570</v>
      </c>
      <c r="G176" t="s">
        <v>571</v>
      </c>
      <c r="H176" t="s">
        <v>34</v>
      </c>
      <c r="I176" t="s">
        <v>34</v>
      </c>
      <c r="J176">
        <v>278212.93</v>
      </c>
      <c r="K176">
        <v>278212.93</v>
      </c>
      <c r="M176">
        <v>97547.01</v>
      </c>
      <c r="N176">
        <v>97547.01</v>
      </c>
      <c r="P176">
        <v>129249.79</v>
      </c>
    </row>
    <row r="177" spans="1:25" x14ac:dyDescent="0.25">
      <c r="A177">
        <v>2020</v>
      </c>
      <c r="B177">
        <v>3</v>
      </c>
      <c r="C177" t="s">
        <v>327</v>
      </c>
      <c r="D177" t="s">
        <v>328</v>
      </c>
      <c r="E177" t="s">
        <v>329</v>
      </c>
      <c r="F177" t="s">
        <v>572</v>
      </c>
      <c r="G177" t="s">
        <v>573</v>
      </c>
      <c r="H177" t="s">
        <v>34</v>
      </c>
      <c r="I177" t="s">
        <v>34</v>
      </c>
      <c r="J177">
        <v>12724.88</v>
      </c>
      <c r="K177">
        <v>12724.88</v>
      </c>
      <c r="M177">
        <v>9439.7800000000007</v>
      </c>
      <c r="N177">
        <v>9439.7800000000007</v>
      </c>
      <c r="P177">
        <v>12507.71</v>
      </c>
    </row>
    <row r="178" spans="1:25" x14ac:dyDescent="0.25">
      <c r="A178">
        <v>2020</v>
      </c>
      <c r="B178">
        <v>3</v>
      </c>
      <c r="C178" t="s">
        <v>340</v>
      </c>
      <c r="D178" t="s">
        <v>574</v>
      </c>
      <c r="E178" t="s">
        <v>575</v>
      </c>
      <c r="F178" t="s">
        <v>576</v>
      </c>
      <c r="G178" t="s">
        <v>577</v>
      </c>
      <c r="H178" t="s">
        <v>34</v>
      </c>
      <c r="I178" t="s">
        <v>34</v>
      </c>
      <c r="J178">
        <v>288922.81</v>
      </c>
      <c r="K178">
        <v>288922.81</v>
      </c>
      <c r="M178">
        <v>102216.75</v>
      </c>
      <c r="N178">
        <v>102216.75</v>
      </c>
      <c r="P178">
        <v>135437.19</v>
      </c>
    </row>
    <row r="179" spans="1:25" x14ac:dyDescent="0.25">
      <c r="A179">
        <v>2020</v>
      </c>
      <c r="B179">
        <v>3</v>
      </c>
      <c r="C179" t="s">
        <v>355</v>
      </c>
      <c r="D179" t="s">
        <v>356</v>
      </c>
      <c r="E179" t="s">
        <v>357</v>
      </c>
      <c r="F179" t="s">
        <v>578</v>
      </c>
      <c r="G179" t="s">
        <v>579</v>
      </c>
      <c r="H179" t="s">
        <v>34</v>
      </c>
      <c r="I179" t="s">
        <v>34</v>
      </c>
      <c r="J179">
        <v>0.49</v>
      </c>
      <c r="K179">
        <v>0.49</v>
      </c>
      <c r="M179">
        <v>0.04</v>
      </c>
      <c r="N179">
        <v>0.04</v>
      </c>
      <c r="P179">
        <v>0.05</v>
      </c>
    </row>
    <row r="180" spans="1:25" x14ac:dyDescent="0.25">
      <c r="A180">
        <v>2020</v>
      </c>
      <c r="B180">
        <v>4</v>
      </c>
      <c r="C180" t="s">
        <v>168</v>
      </c>
      <c r="D180" t="s">
        <v>412</v>
      </c>
      <c r="E180" t="s">
        <v>413</v>
      </c>
      <c r="F180" t="s">
        <v>414</v>
      </c>
      <c r="G180" t="s">
        <v>415</v>
      </c>
      <c r="H180" t="s">
        <v>34</v>
      </c>
      <c r="I180" t="s">
        <v>23</v>
      </c>
      <c r="J180">
        <v>84898.74</v>
      </c>
      <c r="K180">
        <v>16091.98</v>
      </c>
      <c r="L180">
        <v>68806.759999999995</v>
      </c>
      <c r="M180">
        <v>23501.439999999999</v>
      </c>
      <c r="N180">
        <v>4996.8900000000003</v>
      </c>
      <c r="O180">
        <v>18504.55</v>
      </c>
      <c r="P180">
        <v>6620.88</v>
      </c>
      <c r="Q180">
        <v>202761306.19999999</v>
      </c>
      <c r="R180">
        <v>205880858.40000001</v>
      </c>
      <c r="S180">
        <v>5.2999999999999999E-2</v>
      </c>
      <c r="T180" t="s">
        <v>24</v>
      </c>
      <c r="U180">
        <v>3.5000000000000003E-2</v>
      </c>
      <c r="V180">
        <v>0.08</v>
      </c>
      <c r="X180">
        <v>24518.53</v>
      </c>
    </row>
    <row r="181" spans="1:25" x14ac:dyDescent="0.25">
      <c r="A181">
        <v>2020</v>
      </c>
      <c r="B181">
        <v>4</v>
      </c>
      <c r="C181" t="s">
        <v>168</v>
      </c>
      <c r="D181" t="s">
        <v>292</v>
      </c>
      <c r="E181" t="s">
        <v>293</v>
      </c>
      <c r="F181" t="s">
        <v>408</v>
      </c>
      <c r="G181" t="s">
        <v>409</v>
      </c>
      <c r="H181" t="s">
        <v>34</v>
      </c>
      <c r="I181" t="s">
        <v>23</v>
      </c>
      <c r="J181">
        <v>262066.56</v>
      </c>
      <c r="K181">
        <v>77702.17</v>
      </c>
      <c r="L181">
        <v>184364.39</v>
      </c>
      <c r="M181">
        <v>69826.289999999994</v>
      </c>
      <c r="N181">
        <v>21577.54</v>
      </c>
      <c r="O181">
        <v>48248.75</v>
      </c>
      <c r="P181">
        <v>28590.240000000002</v>
      </c>
      <c r="Q181">
        <v>522694731.80000001</v>
      </c>
      <c r="R181">
        <v>542798559.29999995</v>
      </c>
      <c r="S181">
        <v>5.2999999999999999E-2</v>
      </c>
      <c r="T181">
        <v>3</v>
      </c>
      <c r="U181">
        <v>2.75E-2</v>
      </c>
      <c r="V181">
        <v>0.08</v>
      </c>
      <c r="X181">
        <v>63929.599999999999</v>
      </c>
      <c r="Y181">
        <v>7.4999999999999997E-3</v>
      </c>
    </row>
    <row r="182" spans="1:25" x14ac:dyDescent="0.25">
      <c r="A182">
        <v>2020</v>
      </c>
      <c r="B182">
        <v>4</v>
      </c>
      <c r="C182" t="s">
        <v>168</v>
      </c>
      <c r="D182" t="s">
        <v>292</v>
      </c>
      <c r="E182" t="s">
        <v>293</v>
      </c>
      <c r="F182" t="s">
        <v>410</v>
      </c>
      <c r="G182" t="s">
        <v>411</v>
      </c>
      <c r="H182" t="s">
        <v>34</v>
      </c>
      <c r="I182" t="s">
        <v>23</v>
      </c>
      <c r="J182">
        <v>286948.09999999998</v>
      </c>
      <c r="K182">
        <v>4429.54</v>
      </c>
      <c r="L182">
        <v>282518.56</v>
      </c>
      <c r="M182">
        <v>74717.83</v>
      </c>
      <c r="N182">
        <v>1160.45</v>
      </c>
      <c r="O182">
        <v>73557.38</v>
      </c>
      <c r="P182">
        <v>1537.59</v>
      </c>
      <c r="Q182">
        <v>1603240140</v>
      </c>
      <c r="R182">
        <v>1645544256</v>
      </c>
      <c r="S182">
        <v>5.2999999999999999E-2</v>
      </c>
      <c r="T182">
        <v>3</v>
      </c>
      <c r="U182">
        <v>2.75E-2</v>
      </c>
      <c r="V182">
        <v>0.04</v>
      </c>
      <c r="X182">
        <v>97463.53</v>
      </c>
      <c r="Y182">
        <v>7.4999999999999997E-3</v>
      </c>
    </row>
    <row r="183" spans="1:25" x14ac:dyDescent="0.25">
      <c r="A183">
        <v>2020</v>
      </c>
      <c r="B183">
        <v>4</v>
      </c>
      <c r="C183" t="s">
        <v>168</v>
      </c>
      <c r="D183" t="s">
        <v>404</v>
      </c>
      <c r="E183" t="s">
        <v>405</v>
      </c>
      <c r="F183" t="s">
        <v>406</v>
      </c>
      <c r="G183" t="s">
        <v>407</v>
      </c>
      <c r="H183" t="s">
        <v>34</v>
      </c>
      <c r="I183" t="s">
        <v>23</v>
      </c>
      <c r="J183">
        <v>247108.39</v>
      </c>
      <c r="K183">
        <v>62189.62</v>
      </c>
      <c r="L183">
        <v>184918.76</v>
      </c>
      <c r="M183">
        <v>71224.149999999994</v>
      </c>
      <c r="N183">
        <v>22875.8</v>
      </c>
      <c r="O183">
        <v>48348.34</v>
      </c>
      <c r="P183">
        <v>30310.44</v>
      </c>
      <c r="Q183">
        <v>524255907.60000002</v>
      </c>
      <c r="R183">
        <v>543436646.5</v>
      </c>
      <c r="S183">
        <v>5.2999999999999999E-2</v>
      </c>
      <c r="T183">
        <v>3</v>
      </c>
      <c r="U183">
        <v>2.75E-2</v>
      </c>
      <c r="V183">
        <v>0.08</v>
      </c>
      <c r="X183">
        <v>64061.55</v>
      </c>
      <c r="Y183">
        <v>7.4999999999999997E-3</v>
      </c>
    </row>
    <row r="184" spans="1:25" x14ac:dyDescent="0.25">
      <c r="A184">
        <v>2020</v>
      </c>
      <c r="B184">
        <v>4</v>
      </c>
      <c r="C184" t="s">
        <v>295</v>
      </c>
      <c r="D184" t="s">
        <v>296</v>
      </c>
      <c r="E184" t="s">
        <v>297</v>
      </c>
      <c r="F184" t="s">
        <v>416</v>
      </c>
      <c r="G184" t="s">
        <v>417</v>
      </c>
      <c r="H184" t="s">
        <v>34</v>
      </c>
      <c r="I184" t="s">
        <v>23</v>
      </c>
      <c r="J184">
        <v>771503.9</v>
      </c>
      <c r="K184">
        <v>410067.49</v>
      </c>
      <c r="L184">
        <v>361436.41</v>
      </c>
      <c r="M184">
        <v>198853.75</v>
      </c>
      <c r="N184">
        <v>103991.22</v>
      </c>
      <c r="O184">
        <v>94862.53</v>
      </c>
      <c r="P184">
        <v>137788.35999999999</v>
      </c>
      <c r="Q184">
        <v>1015018627</v>
      </c>
      <c r="R184">
        <v>1079862314</v>
      </c>
      <c r="S184">
        <v>5.2999999999999999E-2</v>
      </c>
      <c r="T184" t="s">
        <v>24</v>
      </c>
      <c r="U184">
        <v>3.5000000000000003E-2</v>
      </c>
      <c r="V184">
        <v>0.08</v>
      </c>
      <c r="X184">
        <v>125692.86</v>
      </c>
    </row>
    <row r="185" spans="1:25" x14ac:dyDescent="0.25">
      <c r="A185">
        <v>2020</v>
      </c>
      <c r="B185">
        <v>4</v>
      </c>
      <c r="C185" t="s">
        <v>298</v>
      </c>
      <c r="D185" t="s">
        <v>299</v>
      </c>
      <c r="E185" t="s">
        <v>300</v>
      </c>
      <c r="F185" t="s">
        <v>587</v>
      </c>
      <c r="G185" t="s">
        <v>588</v>
      </c>
      <c r="H185" t="s">
        <v>34</v>
      </c>
      <c r="I185" t="s">
        <v>23</v>
      </c>
      <c r="J185">
        <v>194609.11</v>
      </c>
      <c r="K185">
        <v>69511.47</v>
      </c>
      <c r="L185">
        <v>125097.64</v>
      </c>
      <c r="M185">
        <v>80328.87</v>
      </c>
      <c r="N185">
        <v>30036.05</v>
      </c>
      <c r="O185">
        <v>50292.82</v>
      </c>
      <c r="P185">
        <v>39797.760000000002</v>
      </c>
      <c r="Q185">
        <v>550603263.60000002</v>
      </c>
      <c r="R185">
        <v>560029886.29999995</v>
      </c>
      <c r="S185">
        <v>5.2999999999999999E-2</v>
      </c>
      <c r="T185">
        <v>3</v>
      </c>
      <c r="U185">
        <v>2.75E-2</v>
      </c>
      <c r="V185">
        <v>0.08</v>
      </c>
      <c r="X185">
        <v>66637.990000000005</v>
      </c>
      <c r="Y185">
        <v>7.4999999999999997E-3</v>
      </c>
    </row>
    <row r="186" spans="1:25" x14ac:dyDescent="0.25">
      <c r="A186">
        <v>2020</v>
      </c>
      <c r="B186">
        <v>4</v>
      </c>
      <c r="C186" t="s">
        <v>302</v>
      </c>
      <c r="D186" t="s">
        <v>418</v>
      </c>
      <c r="E186" t="s">
        <v>419</v>
      </c>
      <c r="F186" t="s">
        <v>420</v>
      </c>
      <c r="G186" t="s">
        <v>421</v>
      </c>
      <c r="H186" t="s">
        <v>34</v>
      </c>
      <c r="I186" t="s">
        <v>23</v>
      </c>
      <c r="J186">
        <v>288979.84999999998</v>
      </c>
      <c r="K186">
        <v>106217.12</v>
      </c>
      <c r="L186">
        <v>182762.73</v>
      </c>
      <c r="M186">
        <v>78496.539999999994</v>
      </c>
      <c r="N186">
        <v>28684.83</v>
      </c>
      <c r="O186">
        <v>49811.71</v>
      </c>
      <c r="P186">
        <v>38007.4</v>
      </c>
      <c r="Q186">
        <v>535174100.30000001</v>
      </c>
      <c r="R186">
        <v>564834459.10000002</v>
      </c>
      <c r="S186">
        <v>5.2999999999999999E-2</v>
      </c>
      <c r="T186">
        <v>3</v>
      </c>
      <c r="U186">
        <v>2.75E-2</v>
      </c>
      <c r="V186">
        <v>0.08</v>
      </c>
      <c r="X186">
        <v>66000.509999999995</v>
      </c>
      <c r="Y186">
        <v>7.4999999999999997E-3</v>
      </c>
    </row>
    <row r="187" spans="1:25" x14ac:dyDescent="0.25">
      <c r="A187">
        <v>2020</v>
      </c>
      <c r="B187">
        <v>4</v>
      </c>
      <c r="C187" t="s">
        <v>302</v>
      </c>
      <c r="D187" t="s">
        <v>303</v>
      </c>
      <c r="E187" t="s">
        <v>304</v>
      </c>
      <c r="F187" t="s">
        <v>422</v>
      </c>
      <c r="G187" t="s">
        <v>423</v>
      </c>
      <c r="H187" t="s">
        <v>34</v>
      </c>
      <c r="I187" t="s">
        <v>23</v>
      </c>
      <c r="J187">
        <v>311479.98</v>
      </c>
      <c r="K187">
        <v>125261.91</v>
      </c>
      <c r="L187">
        <v>186218.07</v>
      </c>
      <c r="M187">
        <v>83190.09</v>
      </c>
      <c r="N187">
        <v>32453.68</v>
      </c>
      <c r="O187">
        <v>50736.4</v>
      </c>
      <c r="P187">
        <v>43001.13</v>
      </c>
      <c r="Q187">
        <v>545207824.70000005</v>
      </c>
      <c r="R187">
        <v>575221072</v>
      </c>
      <c r="S187">
        <v>5.2999999999999999E-2</v>
      </c>
      <c r="T187" t="s">
        <v>24</v>
      </c>
      <c r="U187">
        <v>3.5000000000000003E-2</v>
      </c>
      <c r="V187">
        <v>0.08</v>
      </c>
      <c r="X187">
        <v>67225.73</v>
      </c>
    </row>
    <row r="188" spans="1:25" x14ac:dyDescent="0.25">
      <c r="A188">
        <v>2020</v>
      </c>
      <c r="B188">
        <v>4</v>
      </c>
      <c r="C188" t="s">
        <v>305</v>
      </c>
      <c r="D188" t="s">
        <v>426</v>
      </c>
      <c r="E188" t="s">
        <v>427</v>
      </c>
      <c r="F188" t="s">
        <v>428</v>
      </c>
      <c r="G188" t="s">
        <v>429</v>
      </c>
      <c r="H188" t="s">
        <v>34</v>
      </c>
      <c r="I188" t="s">
        <v>23</v>
      </c>
      <c r="J188">
        <v>270956.07</v>
      </c>
      <c r="K188">
        <v>72001.06</v>
      </c>
      <c r="L188">
        <v>198955.01</v>
      </c>
      <c r="M188">
        <v>91283.199999999997</v>
      </c>
      <c r="N188">
        <v>28330.62</v>
      </c>
      <c r="O188">
        <v>62952.58</v>
      </c>
      <c r="P188">
        <v>37538.07</v>
      </c>
      <c r="Q188">
        <v>638414958.5</v>
      </c>
      <c r="R188">
        <v>751787881</v>
      </c>
      <c r="S188">
        <v>5.2999999999999999E-2</v>
      </c>
      <c r="T188">
        <v>3</v>
      </c>
      <c r="U188">
        <v>2.75E-2</v>
      </c>
      <c r="V188">
        <v>0.08</v>
      </c>
      <c r="X188">
        <v>83412.17</v>
      </c>
      <c r="Y188">
        <v>7.4999999999999997E-3</v>
      </c>
    </row>
    <row r="189" spans="1:25" x14ac:dyDescent="0.25">
      <c r="A189">
        <v>2020</v>
      </c>
      <c r="B189">
        <v>4</v>
      </c>
      <c r="C189" t="s">
        <v>305</v>
      </c>
      <c r="D189" t="s">
        <v>306</v>
      </c>
      <c r="E189" t="s">
        <v>307</v>
      </c>
      <c r="F189" t="s">
        <v>424</v>
      </c>
      <c r="G189" t="s">
        <v>425</v>
      </c>
      <c r="H189" t="s">
        <v>34</v>
      </c>
      <c r="I189" t="s">
        <v>23</v>
      </c>
      <c r="J189">
        <v>270956.90000000002</v>
      </c>
      <c r="K189">
        <v>71863.25</v>
      </c>
      <c r="L189">
        <v>199093.64</v>
      </c>
      <c r="M189">
        <v>91258.81</v>
      </c>
      <c r="N189">
        <v>28269.58</v>
      </c>
      <c r="O189">
        <v>62989.23</v>
      </c>
      <c r="P189">
        <v>37457.19</v>
      </c>
      <c r="Q189">
        <v>638756486.29999995</v>
      </c>
      <c r="R189">
        <v>752255676.5</v>
      </c>
      <c r="S189">
        <v>5.2999999999999999E-2</v>
      </c>
      <c r="T189">
        <v>3</v>
      </c>
      <c r="U189">
        <v>2.75E-2</v>
      </c>
      <c r="V189">
        <v>0.08</v>
      </c>
      <c r="X189">
        <v>83460.73</v>
      </c>
      <c r="Y189">
        <v>7.4999999999999997E-3</v>
      </c>
    </row>
    <row r="190" spans="1:25" x14ac:dyDescent="0.25">
      <c r="A190">
        <v>2020</v>
      </c>
      <c r="B190">
        <v>4</v>
      </c>
      <c r="C190" t="s">
        <v>308</v>
      </c>
      <c r="D190" t="s">
        <v>309</v>
      </c>
      <c r="E190" t="s">
        <v>310</v>
      </c>
      <c r="F190" t="s">
        <v>430</v>
      </c>
      <c r="G190" t="s">
        <v>431</v>
      </c>
      <c r="H190" t="s">
        <v>34</v>
      </c>
      <c r="I190" t="s">
        <v>23</v>
      </c>
      <c r="J190">
        <v>952204.68</v>
      </c>
      <c r="K190">
        <v>332267.65000000002</v>
      </c>
      <c r="L190">
        <v>619937.03</v>
      </c>
      <c r="M190">
        <v>242560.77</v>
      </c>
      <c r="N190">
        <v>86515.01</v>
      </c>
      <c r="O190">
        <v>156045.76000000001</v>
      </c>
      <c r="P190">
        <v>114632.39</v>
      </c>
      <c r="Q190">
        <v>1706145584</v>
      </c>
      <c r="R190">
        <v>1739864956</v>
      </c>
      <c r="S190">
        <v>5.2999999999999999E-2</v>
      </c>
      <c r="T190" t="s">
        <v>24</v>
      </c>
      <c r="U190">
        <v>3.5000000000000003E-2</v>
      </c>
      <c r="V190">
        <v>0.08</v>
      </c>
      <c r="X190">
        <v>206760.63</v>
      </c>
    </row>
    <row r="191" spans="1:25" x14ac:dyDescent="0.25">
      <c r="A191">
        <v>2020</v>
      </c>
      <c r="B191">
        <v>4</v>
      </c>
      <c r="C191" t="s">
        <v>308</v>
      </c>
      <c r="D191" t="s">
        <v>432</v>
      </c>
      <c r="E191" t="s">
        <v>433</v>
      </c>
      <c r="F191" t="s">
        <v>434</v>
      </c>
      <c r="G191" t="s">
        <v>435</v>
      </c>
      <c r="H191" t="s">
        <v>34</v>
      </c>
      <c r="I191" t="s">
        <v>23</v>
      </c>
      <c r="J191">
        <v>360283.64</v>
      </c>
      <c r="K191">
        <v>94627.839999999997</v>
      </c>
      <c r="L191">
        <v>265655.8</v>
      </c>
      <c r="M191">
        <v>100725.7</v>
      </c>
      <c r="N191">
        <v>31493.71</v>
      </c>
      <c r="O191">
        <v>69231.98</v>
      </c>
      <c r="P191">
        <v>41729.17</v>
      </c>
      <c r="Q191">
        <v>740270248</v>
      </c>
      <c r="R191">
        <v>788602749.70000005</v>
      </c>
      <c r="S191">
        <v>5.2999999999999999E-2</v>
      </c>
      <c r="T191">
        <v>3</v>
      </c>
      <c r="U191">
        <v>2.75E-2</v>
      </c>
      <c r="V191">
        <v>0.08</v>
      </c>
      <c r="X191">
        <v>91732.38</v>
      </c>
      <c r="Y191">
        <v>7.4999999999999997E-3</v>
      </c>
    </row>
    <row r="192" spans="1:25" x14ac:dyDescent="0.25">
      <c r="A192">
        <v>2020</v>
      </c>
      <c r="B192">
        <v>4</v>
      </c>
      <c r="C192" t="s">
        <v>311</v>
      </c>
      <c r="D192" t="s">
        <v>438</v>
      </c>
      <c r="E192" t="s">
        <v>439</v>
      </c>
      <c r="F192" t="s">
        <v>440</v>
      </c>
      <c r="G192" t="s">
        <v>441</v>
      </c>
      <c r="H192" t="s">
        <v>34</v>
      </c>
      <c r="I192" t="s">
        <v>23</v>
      </c>
      <c r="J192">
        <v>364350.04</v>
      </c>
      <c r="K192">
        <v>67978.06</v>
      </c>
      <c r="L192">
        <v>296371.98</v>
      </c>
      <c r="M192">
        <v>96287</v>
      </c>
      <c r="N192">
        <v>19524.05</v>
      </c>
      <c r="O192">
        <v>76762.95</v>
      </c>
      <c r="P192">
        <v>25869.360000000001</v>
      </c>
      <c r="Q192">
        <v>586171180.60000002</v>
      </c>
      <c r="R192">
        <v>610427771.39999998</v>
      </c>
      <c r="S192">
        <v>5.2999999999999999E-2</v>
      </c>
      <c r="T192">
        <v>3</v>
      </c>
      <c r="U192">
        <v>2.75E-2</v>
      </c>
      <c r="V192">
        <v>0.08</v>
      </c>
      <c r="X192">
        <v>101710.91</v>
      </c>
    </row>
    <row r="193" spans="1:25" x14ac:dyDescent="0.25">
      <c r="A193">
        <v>2020</v>
      </c>
      <c r="B193">
        <v>4</v>
      </c>
      <c r="C193" t="s">
        <v>311</v>
      </c>
      <c r="D193" t="s">
        <v>312</v>
      </c>
      <c r="E193" t="s">
        <v>313</v>
      </c>
      <c r="F193" t="s">
        <v>436</v>
      </c>
      <c r="G193" t="s">
        <v>437</v>
      </c>
      <c r="H193" t="s">
        <v>34</v>
      </c>
      <c r="I193" t="s">
        <v>23</v>
      </c>
      <c r="J193">
        <v>256029.26</v>
      </c>
      <c r="K193">
        <v>54043.03</v>
      </c>
      <c r="L193">
        <v>201986.22</v>
      </c>
      <c r="M193">
        <v>68925.09</v>
      </c>
      <c r="N193">
        <v>16568.599999999999</v>
      </c>
      <c r="O193">
        <v>52356.480000000003</v>
      </c>
      <c r="P193">
        <v>21953.4</v>
      </c>
      <c r="Q193">
        <v>655990654.79999995</v>
      </c>
      <c r="R193">
        <v>686699822.10000002</v>
      </c>
      <c r="S193">
        <v>5.2999999999999999E-2</v>
      </c>
      <c r="T193">
        <v>3</v>
      </c>
      <c r="U193">
        <v>2.75E-2</v>
      </c>
      <c r="V193">
        <v>0.08</v>
      </c>
      <c r="X193">
        <v>69372.34</v>
      </c>
      <c r="Y193">
        <v>0.01</v>
      </c>
    </row>
    <row r="194" spans="1:25" x14ac:dyDescent="0.25">
      <c r="A194">
        <v>2020</v>
      </c>
      <c r="B194">
        <v>4</v>
      </c>
      <c r="C194" t="s">
        <v>315</v>
      </c>
      <c r="D194" t="s">
        <v>316</v>
      </c>
      <c r="E194" t="s">
        <v>317</v>
      </c>
      <c r="F194" t="s">
        <v>442</v>
      </c>
      <c r="G194" t="s">
        <v>443</v>
      </c>
      <c r="H194" t="s">
        <v>34</v>
      </c>
      <c r="I194" t="s">
        <v>23</v>
      </c>
      <c r="J194">
        <v>969884.09</v>
      </c>
      <c r="K194">
        <v>398647.39</v>
      </c>
      <c r="L194">
        <v>571236.71</v>
      </c>
      <c r="M194">
        <v>254336.33</v>
      </c>
      <c r="N194">
        <v>98955.95</v>
      </c>
      <c r="O194">
        <v>155380.38</v>
      </c>
      <c r="P194">
        <v>131116.64000000001</v>
      </c>
      <c r="Q194">
        <v>929712420</v>
      </c>
      <c r="R194">
        <v>1007972290</v>
      </c>
      <c r="S194">
        <v>5.2999999999999999E-2</v>
      </c>
      <c r="T194">
        <v>3</v>
      </c>
      <c r="U194">
        <v>2.75E-2</v>
      </c>
      <c r="V194">
        <v>0.1</v>
      </c>
      <c r="X194">
        <v>205879</v>
      </c>
    </row>
    <row r="195" spans="1:25" x14ac:dyDescent="0.25">
      <c r="A195">
        <v>2020</v>
      </c>
      <c r="B195">
        <v>4</v>
      </c>
      <c r="C195" t="s">
        <v>315</v>
      </c>
      <c r="D195" t="s">
        <v>444</v>
      </c>
      <c r="E195" t="s">
        <v>445</v>
      </c>
      <c r="F195" t="s">
        <v>446</v>
      </c>
      <c r="G195" t="s">
        <v>447</v>
      </c>
      <c r="H195" t="s">
        <v>34</v>
      </c>
      <c r="I195" t="s">
        <v>23</v>
      </c>
      <c r="J195">
        <v>1194539.4099999999</v>
      </c>
      <c r="K195">
        <v>314432.27</v>
      </c>
      <c r="L195">
        <v>880107.14</v>
      </c>
      <c r="M195">
        <v>325828.09000000003</v>
      </c>
      <c r="N195">
        <v>82675.77</v>
      </c>
      <c r="O195">
        <v>243152.32</v>
      </c>
      <c r="P195">
        <v>109545.39</v>
      </c>
      <c r="Q195">
        <v>953328030.60000002</v>
      </c>
      <c r="R195">
        <v>1081472994</v>
      </c>
      <c r="S195">
        <v>5.2999999999999999E-2</v>
      </c>
      <c r="T195">
        <v>1</v>
      </c>
      <c r="U195">
        <v>1.4999999999999999E-2</v>
      </c>
      <c r="V195">
        <v>0.1</v>
      </c>
      <c r="X195">
        <v>322176.83</v>
      </c>
    </row>
    <row r="196" spans="1:25" x14ac:dyDescent="0.25">
      <c r="A196">
        <v>2020</v>
      </c>
      <c r="B196">
        <v>4</v>
      </c>
      <c r="C196" t="s">
        <v>318</v>
      </c>
      <c r="D196" t="s">
        <v>319</v>
      </c>
      <c r="E196" t="s">
        <v>320</v>
      </c>
      <c r="F196" t="s">
        <v>452</v>
      </c>
      <c r="G196" t="s">
        <v>453</v>
      </c>
      <c r="H196" t="s">
        <v>34</v>
      </c>
      <c r="I196" t="s">
        <v>23</v>
      </c>
      <c r="J196">
        <v>140909.04</v>
      </c>
      <c r="K196">
        <v>29720.71</v>
      </c>
      <c r="L196">
        <v>111188.33</v>
      </c>
      <c r="M196">
        <v>37037.24</v>
      </c>
      <c r="N196">
        <v>7913.71</v>
      </c>
      <c r="O196">
        <v>29123.53</v>
      </c>
      <c r="P196">
        <v>10485.67</v>
      </c>
      <c r="Q196">
        <v>301883520</v>
      </c>
      <c r="R196">
        <v>341261016.19999999</v>
      </c>
      <c r="S196">
        <v>5.2999999999999999E-2</v>
      </c>
      <c r="T196">
        <v>3</v>
      </c>
      <c r="U196">
        <v>2.75E-2</v>
      </c>
      <c r="V196">
        <v>0.08</v>
      </c>
      <c r="X196">
        <v>38588.67</v>
      </c>
      <c r="Y196">
        <v>7.4999999999999997E-3</v>
      </c>
    </row>
    <row r="197" spans="1:25" x14ac:dyDescent="0.25">
      <c r="A197">
        <v>2020</v>
      </c>
      <c r="B197">
        <v>4</v>
      </c>
      <c r="C197" t="s">
        <v>318</v>
      </c>
      <c r="D197" t="s">
        <v>448</v>
      </c>
      <c r="E197" t="s">
        <v>449</v>
      </c>
      <c r="F197" t="s">
        <v>450</v>
      </c>
      <c r="G197" t="s">
        <v>451</v>
      </c>
      <c r="H197" t="s">
        <v>34</v>
      </c>
      <c r="I197" t="s">
        <v>23</v>
      </c>
      <c r="J197">
        <v>66460.240000000005</v>
      </c>
      <c r="K197">
        <v>11376.33</v>
      </c>
      <c r="L197">
        <v>55083.91</v>
      </c>
      <c r="M197">
        <v>18807.78</v>
      </c>
      <c r="N197">
        <v>4202.3</v>
      </c>
      <c r="O197">
        <v>14605.48</v>
      </c>
      <c r="P197">
        <v>5568.05</v>
      </c>
      <c r="Q197">
        <v>148871785.30000001</v>
      </c>
      <c r="R197">
        <v>173665922.90000001</v>
      </c>
      <c r="S197">
        <v>5.2999999999999999E-2</v>
      </c>
      <c r="T197" t="s">
        <v>24</v>
      </c>
      <c r="U197">
        <v>3.5000000000000003E-2</v>
      </c>
      <c r="V197">
        <v>0.08</v>
      </c>
      <c r="X197">
        <v>19352.259999999998</v>
      </c>
    </row>
    <row r="198" spans="1:25" x14ac:dyDescent="0.25">
      <c r="A198">
        <v>2020</v>
      </c>
      <c r="B198">
        <v>4</v>
      </c>
      <c r="C198" t="s">
        <v>318</v>
      </c>
      <c r="D198" t="s">
        <v>454</v>
      </c>
      <c r="E198" t="s">
        <v>455</v>
      </c>
      <c r="F198" t="s">
        <v>456</v>
      </c>
      <c r="G198" t="s">
        <v>457</v>
      </c>
      <c r="H198" t="s">
        <v>34</v>
      </c>
      <c r="I198" t="s">
        <v>23</v>
      </c>
      <c r="J198">
        <v>50667.19</v>
      </c>
      <c r="K198">
        <v>7048.23</v>
      </c>
      <c r="L198">
        <v>43618.95</v>
      </c>
      <c r="M198">
        <v>13007.39</v>
      </c>
      <c r="N198">
        <v>1748.53</v>
      </c>
      <c r="O198">
        <v>11258.86</v>
      </c>
      <c r="P198">
        <v>2316.8000000000002</v>
      </c>
      <c r="Q198">
        <v>119012210</v>
      </c>
      <c r="R198">
        <v>129620913</v>
      </c>
      <c r="S198">
        <v>5.2999999999999999E-2</v>
      </c>
      <c r="T198">
        <v>3</v>
      </c>
      <c r="U198">
        <v>2.75E-2</v>
      </c>
      <c r="V198">
        <v>0.08</v>
      </c>
      <c r="X198">
        <v>14917.99</v>
      </c>
      <c r="Y198">
        <v>7.4999999999999997E-3</v>
      </c>
    </row>
    <row r="199" spans="1:25" x14ac:dyDescent="0.25">
      <c r="A199">
        <v>2020</v>
      </c>
      <c r="B199">
        <v>4</v>
      </c>
      <c r="C199" t="s">
        <v>321</v>
      </c>
      <c r="D199" t="s">
        <v>322</v>
      </c>
      <c r="E199" t="s">
        <v>323</v>
      </c>
      <c r="F199" t="s">
        <v>458</v>
      </c>
      <c r="G199" t="s">
        <v>459</v>
      </c>
      <c r="H199" t="s">
        <v>34</v>
      </c>
      <c r="I199" t="s">
        <v>23</v>
      </c>
      <c r="J199">
        <v>1049325.79</v>
      </c>
      <c r="K199">
        <v>557365.64</v>
      </c>
      <c r="L199">
        <v>491960.15</v>
      </c>
      <c r="M199">
        <v>276490.55</v>
      </c>
      <c r="N199">
        <v>146575.41</v>
      </c>
      <c r="O199">
        <v>129915.14</v>
      </c>
      <c r="P199">
        <v>194212.42</v>
      </c>
      <c r="Q199">
        <v>1378178841</v>
      </c>
      <c r="R199">
        <v>1490780442</v>
      </c>
      <c r="S199">
        <v>5.2999999999999999E-2</v>
      </c>
      <c r="T199" t="s">
        <v>24</v>
      </c>
      <c r="U199">
        <v>3.5000000000000003E-2</v>
      </c>
      <c r="V199">
        <v>0.08</v>
      </c>
      <c r="X199">
        <v>172137.56</v>
      </c>
    </row>
    <row r="200" spans="1:25" x14ac:dyDescent="0.25">
      <c r="A200">
        <v>2020</v>
      </c>
      <c r="B200">
        <v>4</v>
      </c>
      <c r="C200" t="s">
        <v>324</v>
      </c>
      <c r="D200" t="s">
        <v>325</v>
      </c>
      <c r="E200" t="s">
        <v>326</v>
      </c>
      <c r="F200" t="s">
        <v>460</v>
      </c>
      <c r="G200" t="s">
        <v>461</v>
      </c>
      <c r="H200" t="s">
        <v>34</v>
      </c>
      <c r="I200" t="s">
        <v>23</v>
      </c>
      <c r="J200">
        <v>502033.21</v>
      </c>
      <c r="K200">
        <v>239181.38</v>
      </c>
      <c r="L200">
        <v>262851.83</v>
      </c>
      <c r="M200">
        <v>139965.38</v>
      </c>
      <c r="N200">
        <v>65611.19</v>
      </c>
      <c r="O200">
        <v>74354.19</v>
      </c>
      <c r="P200">
        <v>86934.83</v>
      </c>
      <c r="Q200">
        <v>787104887.60000002</v>
      </c>
      <c r="R200">
        <v>854883398.5</v>
      </c>
      <c r="S200">
        <v>5.2999999999999999E-2</v>
      </c>
      <c r="T200">
        <v>3</v>
      </c>
      <c r="U200">
        <v>2.75E-2</v>
      </c>
      <c r="V200">
        <v>0.08</v>
      </c>
      <c r="X200">
        <v>98519.3</v>
      </c>
      <c r="Y200">
        <v>7.4999999999999997E-3</v>
      </c>
    </row>
    <row r="201" spans="1:25" x14ac:dyDescent="0.25">
      <c r="A201">
        <v>2020</v>
      </c>
      <c r="B201">
        <v>4</v>
      </c>
      <c r="C201" t="s">
        <v>324</v>
      </c>
      <c r="D201" t="s">
        <v>462</v>
      </c>
      <c r="E201" t="s">
        <v>463</v>
      </c>
      <c r="F201" t="s">
        <v>464</v>
      </c>
      <c r="G201" t="s">
        <v>465</v>
      </c>
      <c r="H201" t="s">
        <v>34</v>
      </c>
      <c r="I201" t="s">
        <v>23</v>
      </c>
      <c r="J201">
        <v>441485.16</v>
      </c>
      <c r="K201">
        <v>199595.72</v>
      </c>
      <c r="L201">
        <v>241889.44</v>
      </c>
      <c r="M201">
        <v>117514.11</v>
      </c>
      <c r="N201">
        <v>52289.98</v>
      </c>
      <c r="O201">
        <v>65224.13</v>
      </c>
      <c r="P201">
        <v>69284.22</v>
      </c>
      <c r="Q201">
        <v>700381911.5</v>
      </c>
      <c r="R201">
        <v>739984301.70000005</v>
      </c>
      <c r="S201">
        <v>5.2999999999999999E-2</v>
      </c>
      <c r="T201" t="s">
        <v>24</v>
      </c>
      <c r="U201">
        <v>3.5000000000000003E-2</v>
      </c>
      <c r="V201">
        <v>0.08</v>
      </c>
      <c r="X201">
        <v>86421.97</v>
      </c>
    </row>
    <row r="202" spans="1:25" x14ac:dyDescent="0.25">
      <c r="A202">
        <v>2020</v>
      </c>
      <c r="B202">
        <v>4</v>
      </c>
      <c r="C202" t="s">
        <v>327</v>
      </c>
      <c r="D202" t="s">
        <v>466</v>
      </c>
      <c r="E202" t="s">
        <v>467</v>
      </c>
      <c r="F202" t="s">
        <v>468</v>
      </c>
      <c r="G202" t="s">
        <v>469</v>
      </c>
      <c r="H202" t="s">
        <v>34</v>
      </c>
      <c r="I202" t="s">
        <v>23</v>
      </c>
      <c r="J202">
        <v>225924.95</v>
      </c>
      <c r="K202">
        <v>64829.58</v>
      </c>
      <c r="L202">
        <v>161095.37</v>
      </c>
      <c r="M202">
        <v>63946.31</v>
      </c>
      <c r="N202">
        <v>21068.6</v>
      </c>
      <c r="O202">
        <v>42877.72</v>
      </c>
      <c r="P202">
        <v>27915.89</v>
      </c>
      <c r="Q202">
        <v>462146493.10000002</v>
      </c>
      <c r="R202">
        <v>484736431</v>
      </c>
      <c r="S202">
        <v>5.2999999999999999E-2</v>
      </c>
      <c r="T202">
        <v>3</v>
      </c>
      <c r="U202">
        <v>2.75E-2</v>
      </c>
      <c r="V202">
        <v>0.08</v>
      </c>
      <c r="X202">
        <v>56812.98</v>
      </c>
      <c r="Y202">
        <v>7.4999999999999997E-3</v>
      </c>
    </row>
    <row r="203" spans="1:25" x14ac:dyDescent="0.25">
      <c r="A203">
        <v>2020</v>
      </c>
      <c r="B203">
        <v>4</v>
      </c>
      <c r="C203" t="s">
        <v>327</v>
      </c>
      <c r="D203" t="s">
        <v>328</v>
      </c>
      <c r="E203" t="s">
        <v>329</v>
      </c>
      <c r="F203" t="s">
        <v>470</v>
      </c>
      <c r="G203" t="s">
        <v>471</v>
      </c>
      <c r="H203" t="s">
        <v>34</v>
      </c>
      <c r="I203" t="s">
        <v>23</v>
      </c>
      <c r="J203">
        <v>242449.63</v>
      </c>
      <c r="K203">
        <v>80192.58</v>
      </c>
      <c r="L203">
        <v>162257.04999999999</v>
      </c>
      <c r="M203">
        <v>67403.39</v>
      </c>
      <c r="N203">
        <v>23714.87</v>
      </c>
      <c r="O203">
        <v>43688.53</v>
      </c>
      <c r="P203">
        <v>31422.2</v>
      </c>
      <c r="Q203">
        <v>445880382.10000002</v>
      </c>
      <c r="R203">
        <v>518907900.10000002</v>
      </c>
      <c r="S203">
        <v>5.2999999999999999E-2</v>
      </c>
      <c r="T203">
        <v>3</v>
      </c>
      <c r="U203">
        <v>2.75E-2</v>
      </c>
      <c r="V203">
        <v>0.08</v>
      </c>
      <c r="X203">
        <v>57887.3</v>
      </c>
      <c r="Y203">
        <v>7.4999999999999997E-3</v>
      </c>
    </row>
    <row r="204" spans="1:25" x14ac:dyDescent="0.25">
      <c r="A204">
        <v>2020</v>
      </c>
      <c r="B204">
        <v>4</v>
      </c>
      <c r="C204" t="s">
        <v>327</v>
      </c>
      <c r="D204" t="s">
        <v>472</v>
      </c>
      <c r="E204" t="s">
        <v>473</v>
      </c>
      <c r="F204" t="s">
        <v>474</v>
      </c>
      <c r="G204" t="s">
        <v>475</v>
      </c>
      <c r="H204" t="s">
        <v>34</v>
      </c>
      <c r="I204" t="s">
        <v>23</v>
      </c>
      <c r="J204">
        <v>103118.92</v>
      </c>
      <c r="K204">
        <v>25910.81</v>
      </c>
      <c r="L204">
        <v>77208.11</v>
      </c>
      <c r="M204">
        <v>31456.98</v>
      </c>
      <c r="N204">
        <v>9403.31</v>
      </c>
      <c r="O204">
        <v>22053.67</v>
      </c>
      <c r="P204">
        <v>12459.39</v>
      </c>
      <c r="Q204">
        <v>232391012.19999999</v>
      </c>
      <c r="R204">
        <v>254627433.30000001</v>
      </c>
      <c r="S204">
        <v>5.2999999999999999E-2</v>
      </c>
      <c r="T204">
        <v>3</v>
      </c>
      <c r="U204">
        <v>2.75E-2</v>
      </c>
      <c r="V204">
        <v>0.08</v>
      </c>
      <c r="X204">
        <v>29221.11</v>
      </c>
      <c r="Y204">
        <v>7.4999999999999997E-3</v>
      </c>
    </row>
    <row r="205" spans="1:25" x14ac:dyDescent="0.25">
      <c r="A205">
        <v>2020</v>
      </c>
      <c r="B205">
        <v>4</v>
      </c>
      <c r="C205" t="s">
        <v>333</v>
      </c>
      <c r="D205" t="s">
        <v>478</v>
      </c>
      <c r="E205" t="s">
        <v>479</v>
      </c>
      <c r="F205" t="s">
        <v>480</v>
      </c>
      <c r="G205" t="s">
        <v>481</v>
      </c>
      <c r="H205" t="s">
        <v>34</v>
      </c>
      <c r="I205" t="s">
        <v>23</v>
      </c>
      <c r="J205">
        <v>90386.880000000005</v>
      </c>
      <c r="K205">
        <v>39841.86</v>
      </c>
      <c r="L205">
        <v>50545.02</v>
      </c>
      <c r="M205">
        <v>25116.12</v>
      </c>
      <c r="N205">
        <v>12013.03</v>
      </c>
      <c r="O205">
        <v>13103.09</v>
      </c>
      <c r="P205">
        <v>15917.26</v>
      </c>
      <c r="Q205">
        <v>141258347.5</v>
      </c>
      <c r="R205">
        <v>148101630.30000001</v>
      </c>
      <c r="S205">
        <v>5.2999999999999999E-2</v>
      </c>
      <c r="T205" t="s">
        <v>24</v>
      </c>
      <c r="U205">
        <v>3.5000000000000003E-2</v>
      </c>
      <c r="V205">
        <v>0.08</v>
      </c>
      <c r="X205">
        <v>17361.599999999999</v>
      </c>
    </row>
    <row r="206" spans="1:25" x14ac:dyDescent="0.25">
      <c r="A206">
        <v>2020</v>
      </c>
      <c r="B206">
        <v>4</v>
      </c>
      <c r="C206" t="s">
        <v>333</v>
      </c>
      <c r="D206" t="s">
        <v>334</v>
      </c>
      <c r="E206" t="s">
        <v>335</v>
      </c>
      <c r="F206" t="s">
        <v>476</v>
      </c>
      <c r="G206" t="s">
        <v>477</v>
      </c>
      <c r="H206" t="s">
        <v>34</v>
      </c>
      <c r="I206" t="s">
        <v>23</v>
      </c>
      <c r="J206">
        <v>77080.72</v>
      </c>
      <c r="K206">
        <v>25137.65</v>
      </c>
      <c r="L206">
        <v>51943.07</v>
      </c>
      <c r="M206">
        <v>20262.12</v>
      </c>
      <c r="N206">
        <v>6525.89</v>
      </c>
      <c r="O206">
        <v>13736.24</v>
      </c>
      <c r="P206">
        <v>8646.7999999999993</v>
      </c>
      <c r="Q206">
        <v>144184780.5</v>
      </c>
      <c r="R206">
        <v>159157101.80000001</v>
      </c>
      <c r="S206">
        <v>5.2999999999999999E-2</v>
      </c>
      <c r="T206" t="s">
        <v>24</v>
      </c>
      <c r="U206">
        <v>3.5000000000000003E-2</v>
      </c>
      <c r="V206">
        <v>0.08</v>
      </c>
      <c r="X206">
        <v>18200.509999999998</v>
      </c>
    </row>
    <row r="207" spans="1:25" x14ac:dyDescent="0.25">
      <c r="A207">
        <v>2020</v>
      </c>
      <c r="B207">
        <v>4</v>
      </c>
      <c r="C207" t="s">
        <v>336</v>
      </c>
      <c r="D207" t="s">
        <v>482</v>
      </c>
      <c r="E207" t="s">
        <v>483</v>
      </c>
      <c r="F207" t="s">
        <v>484</v>
      </c>
      <c r="G207" t="s">
        <v>485</v>
      </c>
      <c r="H207" t="s">
        <v>34</v>
      </c>
      <c r="I207" t="s">
        <v>23</v>
      </c>
      <c r="J207">
        <v>181480.08</v>
      </c>
      <c r="K207">
        <v>111168.97</v>
      </c>
      <c r="L207">
        <v>70311.11</v>
      </c>
      <c r="M207">
        <v>50352.87</v>
      </c>
      <c r="N207">
        <v>29444.31</v>
      </c>
      <c r="O207">
        <v>20908.57</v>
      </c>
      <c r="P207">
        <v>39013.71</v>
      </c>
      <c r="Q207">
        <v>223891517.19999999</v>
      </c>
      <c r="R207">
        <v>237839304.80000001</v>
      </c>
      <c r="S207">
        <v>5.2999999999999999E-2</v>
      </c>
      <c r="T207" t="s">
        <v>24</v>
      </c>
      <c r="U207">
        <v>3.5000000000000003E-2</v>
      </c>
      <c r="V207">
        <v>0.08</v>
      </c>
      <c r="X207">
        <v>27703.85</v>
      </c>
    </row>
    <row r="208" spans="1:25" x14ac:dyDescent="0.25">
      <c r="A208">
        <v>2020</v>
      </c>
      <c r="B208">
        <v>4</v>
      </c>
      <c r="C208" t="s">
        <v>336</v>
      </c>
      <c r="D208" t="s">
        <v>337</v>
      </c>
      <c r="E208" t="s">
        <v>338</v>
      </c>
      <c r="F208" t="s">
        <v>486</v>
      </c>
      <c r="G208" t="s">
        <v>487</v>
      </c>
      <c r="H208" t="s">
        <v>34</v>
      </c>
      <c r="I208" t="s">
        <v>23</v>
      </c>
      <c r="J208">
        <v>181263.13</v>
      </c>
      <c r="K208">
        <v>110958.17</v>
      </c>
      <c r="L208">
        <v>70304.960000000006</v>
      </c>
      <c r="M208">
        <v>50374.36</v>
      </c>
      <c r="N208">
        <v>29457.43</v>
      </c>
      <c r="O208">
        <v>20916.939999999999</v>
      </c>
      <c r="P208">
        <v>39031.089999999997</v>
      </c>
      <c r="Q208">
        <v>223819119.40000001</v>
      </c>
      <c r="R208">
        <v>238096575.80000001</v>
      </c>
      <c r="S208">
        <v>5.2999999999999999E-2</v>
      </c>
      <c r="T208">
        <v>3</v>
      </c>
      <c r="U208">
        <v>2.75E-2</v>
      </c>
      <c r="V208">
        <v>0.08</v>
      </c>
      <c r="X208">
        <v>27714.94</v>
      </c>
      <c r="Y208">
        <v>7.4999999999999997E-3</v>
      </c>
    </row>
    <row r="209" spans="1:25" x14ac:dyDescent="0.25">
      <c r="A209">
        <v>2020</v>
      </c>
      <c r="B209">
        <v>4</v>
      </c>
      <c r="C209" t="s">
        <v>340</v>
      </c>
      <c r="D209" t="s">
        <v>341</v>
      </c>
      <c r="E209" t="s">
        <v>342</v>
      </c>
      <c r="F209" t="s">
        <v>488</v>
      </c>
      <c r="G209" t="s">
        <v>489</v>
      </c>
      <c r="H209" t="s">
        <v>34</v>
      </c>
      <c r="I209" t="s">
        <v>23</v>
      </c>
      <c r="J209">
        <v>1415492.91</v>
      </c>
      <c r="K209">
        <v>715419.4</v>
      </c>
      <c r="L209">
        <v>700073.52</v>
      </c>
      <c r="M209">
        <v>370945.01</v>
      </c>
      <c r="N209">
        <v>187489.68</v>
      </c>
      <c r="O209">
        <v>183455.34</v>
      </c>
      <c r="P209">
        <v>248423.82</v>
      </c>
      <c r="Q209">
        <v>1986028505</v>
      </c>
      <c r="R209">
        <v>2065276842</v>
      </c>
      <c r="S209">
        <v>5.2999999999999999E-2</v>
      </c>
      <c r="T209">
        <v>3</v>
      </c>
      <c r="U209">
        <v>2.75E-2</v>
      </c>
      <c r="V209">
        <v>0.08</v>
      </c>
      <c r="X209">
        <v>243078.32</v>
      </c>
      <c r="Y209">
        <v>7.4999999999999997E-3</v>
      </c>
    </row>
    <row r="210" spans="1:25" x14ac:dyDescent="0.25">
      <c r="A210">
        <v>2020</v>
      </c>
      <c r="B210">
        <v>4</v>
      </c>
      <c r="C210" t="s">
        <v>343</v>
      </c>
      <c r="D210" t="s">
        <v>344</v>
      </c>
      <c r="E210" t="s">
        <v>345</v>
      </c>
      <c r="F210" t="s">
        <v>490</v>
      </c>
      <c r="G210" t="s">
        <v>491</v>
      </c>
      <c r="H210" t="s">
        <v>34</v>
      </c>
      <c r="I210" t="s">
        <v>23</v>
      </c>
      <c r="J210">
        <v>497185.09</v>
      </c>
      <c r="K210">
        <v>237156.94</v>
      </c>
      <c r="L210">
        <v>260028.15</v>
      </c>
      <c r="M210">
        <v>169126.41</v>
      </c>
      <c r="N210">
        <v>89462.43</v>
      </c>
      <c r="O210">
        <v>79663.98</v>
      </c>
      <c r="P210">
        <v>118537.72</v>
      </c>
      <c r="Q210">
        <v>850458106.10000002</v>
      </c>
      <c r="R210">
        <v>908788026.60000002</v>
      </c>
      <c r="S210">
        <v>5.2999999999999999E-2</v>
      </c>
      <c r="T210">
        <v>3</v>
      </c>
      <c r="U210">
        <v>2.75E-2</v>
      </c>
      <c r="V210">
        <v>0.08</v>
      </c>
      <c r="X210">
        <v>105554.77</v>
      </c>
      <c r="Y210">
        <v>7.4999999999999997E-3</v>
      </c>
    </row>
    <row r="211" spans="1:25" x14ac:dyDescent="0.25">
      <c r="A211">
        <v>2020</v>
      </c>
      <c r="B211">
        <v>4</v>
      </c>
      <c r="C211" t="s">
        <v>346</v>
      </c>
      <c r="D211" t="s">
        <v>347</v>
      </c>
      <c r="E211" t="s">
        <v>348</v>
      </c>
      <c r="F211" t="s">
        <v>494</v>
      </c>
      <c r="G211" t="s">
        <v>495</v>
      </c>
      <c r="H211" t="s">
        <v>34</v>
      </c>
      <c r="I211" t="s">
        <v>23</v>
      </c>
      <c r="J211">
        <v>216233.14</v>
      </c>
      <c r="K211">
        <v>41937</v>
      </c>
      <c r="L211">
        <v>174296.14</v>
      </c>
      <c r="M211">
        <v>58392.57</v>
      </c>
      <c r="N211">
        <v>11900.93</v>
      </c>
      <c r="O211">
        <v>46491.64</v>
      </c>
      <c r="P211">
        <v>15768.73</v>
      </c>
      <c r="Q211">
        <v>485240137.69999999</v>
      </c>
      <c r="R211">
        <v>541450189.89999998</v>
      </c>
      <c r="S211">
        <v>5.2999999999999999E-2</v>
      </c>
      <c r="T211" t="s">
        <v>24</v>
      </c>
      <c r="U211">
        <v>3.5000000000000003E-2</v>
      </c>
      <c r="V211">
        <v>0.08</v>
      </c>
      <c r="X211">
        <v>61601.42</v>
      </c>
    </row>
    <row r="212" spans="1:25" x14ac:dyDescent="0.25">
      <c r="A212">
        <v>2020</v>
      </c>
      <c r="B212">
        <v>4</v>
      </c>
      <c r="C212" t="s">
        <v>346</v>
      </c>
      <c r="D212" t="s">
        <v>496</v>
      </c>
      <c r="E212" t="s">
        <v>497</v>
      </c>
      <c r="F212" t="s">
        <v>498</v>
      </c>
      <c r="G212" t="s">
        <v>499</v>
      </c>
      <c r="H212" t="s">
        <v>34</v>
      </c>
      <c r="I212" t="s">
        <v>23</v>
      </c>
      <c r="J212">
        <v>215206.15</v>
      </c>
      <c r="K212">
        <v>48161.66</v>
      </c>
      <c r="L212">
        <v>167044.49</v>
      </c>
      <c r="M212">
        <v>55822.53</v>
      </c>
      <c r="N212">
        <v>12459.23</v>
      </c>
      <c r="O212">
        <v>43363.3</v>
      </c>
      <c r="P212">
        <v>16508.48</v>
      </c>
      <c r="Q212">
        <v>466246933.89999998</v>
      </c>
      <c r="R212">
        <v>491359368.5</v>
      </c>
      <c r="S212">
        <v>5.2999999999999999E-2</v>
      </c>
      <c r="T212" t="s">
        <v>24</v>
      </c>
      <c r="U212">
        <v>3.5000000000000003E-2</v>
      </c>
      <c r="V212">
        <v>0.08</v>
      </c>
      <c r="X212">
        <v>57456.38</v>
      </c>
    </row>
    <row r="213" spans="1:25" x14ac:dyDescent="0.25">
      <c r="A213">
        <v>2020</v>
      </c>
      <c r="B213">
        <v>4</v>
      </c>
      <c r="C213" t="s">
        <v>346</v>
      </c>
      <c r="D213" t="s">
        <v>347</v>
      </c>
      <c r="E213" t="s">
        <v>348</v>
      </c>
      <c r="F213" t="s">
        <v>492</v>
      </c>
      <c r="G213" t="s">
        <v>493</v>
      </c>
      <c r="H213" t="s">
        <v>34</v>
      </c>
      <c r="I213" t="s">
        <v>23</v>
      </c>
      <c r="J213">
        <v>97195.39</v>
      </c>
      <c r="K213">
        <v>23.28</v>
      </c>
      <c r="L213">
        <v>97172.12</v>
      </c>
      <c r="M213">
        <v>24562.76</v>
      </c>
      <c r="O213">
        <v>24562.76</v>
      </c>
      <c r="Q213">
        <v>540770263</v>
      </c>
      <c r="R213">
        <v>544084799.20000005</v>
      </c>
      <c r="S213">
        <v>5.2999999999999999E-2</v>
      </c>
      <c r="T213">
        <v>3</v>
      </c>
      <c r="U213">
        <v>2.75E-2</v>
      </c>
      <c r="V213">
        <v>0.04</v>
      </c>
      <c r="X213">
        <v>32545.65</v>
      </c>
      <c r="Y213">
        <v>7.4999999999999997E-3</v>
      </c>
    </row>
    <row r="214" spans="1:25" x14ac:dyDescent="0.25">
      <c r="A214">
        <v>2020</v>
      </c>
      <c r="B214">
        <v>4</v>
      </c>
      <c r="C214" t="s">
        <v>346</v>
      </c>
      <c r="D214" t="s">
        <v>500</v>
      </c>
      <c r="E214" t="s">
        <v>501</v>
      </c>
      <c r="F214" t="s">
        <v>502</v>
      </c>
      <c r="G214" t="s">
        <v>503</v>
      </c>
      <c r="H214" t="s">
        <v>34</v>
      </c>
      <c r="I214" t="s">
        <v>23</v>
      </c>
      <c r="J214">
        <v>237608.41</v>
      </c>
      <c r="K214">
        <v>57820.06</v>
      </c>
      <c r="L214">
        <v>179788.35</v>
      </c>
      <c r="M214">
        <v>62915.42</v>
      </c>
      <c r="N214">
        <v>15079.52</v>
      </c>
      <c r="O214">
        <v>47835.9</v>
      </c>
      <c r="P214">
        <v>19980.36</v>
      </c>
      <c r="Q214">
        <v>510754613.89999998</v>
      </c>
      <c r="R214">
        <v>545621536.20000005</v>
      </c>
      <c r="S214">
        <v>5.2999999999999999E-2</v>
      </c>
      <c r="T214">
        <v>3</v>
      </c>
      <c r="U214">
        <v>2.75E-2</v>
      </c>
      <c r="V214">
        <v>0.08</v>
      </c>
      <c r="X214">
        <v>63382.57</v>
      </c>
      <c r="Y214">
        <v>7.4999999999999997E-3</v>
      </c>
    </row>
    <row r="215" spans="1:25" x14ac:dyDescent="0.25">
      <c r="A215">
        <v>2020</v>
      </c>
      <c r="B215">
        <v>4</v>
      </c>
      <c r="C215" t="s">
        <v>349</v>
      </c>
      <c r="D215" t="s">
        <v>350</v>
      </c>
      <c r="E215" t="s">
        <v>351</v>
      </c>
      <c r="F215" t="s">
        <v>504</v>
      </c>
      <c r="G215" t="s">
        <v>505</v>
      </c>
      <c r="H215" t="s">
        <v>34</v>
      </c>
      <c r="I215" t="s">
        <v>23</v>
      </c>
      <c r="J215">
        <v>26755.4</v>
      </c>
      <c r="K215">
        <v>92.24</v>
      </c>
      <c r="L215">
        <v>26663.15</v>
      </c>
      <c r="M215">
        <v>6786.61</v>
      </c>
      <c r="N215">
        <v>35.15</v>
      </c>
      <c r="O215">
        <v>6751.47</v>
      </c>
      <c r="P215">
        <v>46.57</v>
      </c>
      <c r="Q215">
        <v>25674050.059999999</v>
      </c>
      <c r="R215">
        <v>30825069.600000001</v>
      </c>
      <c r="S215">
        <v>5.2999999999999999E-2</v>
      </c>
      <c r="T215">
        <v>1</v>
      </c>
      <c r="U215">
        <v>1.4999999999999999E-2</v>
      </c>
      <c r="V215">
        <v>0.1</v>
      </c>
      <c r="X215">
        <v>8945.69</v>
      </c>
    </row>
    <row r="216" spans="1:25" x14ac:dyDescent="0.25">
      <c r="A216">
        <v>2020</v>
      </c>
      <c r="B216">
        <v>4</v>
      </c>
      <c r="C216" t="s">
        <v>349</v>
      </c>
      <c r="D216" t="s">
        <v>506</v>
      </c>
      <c r="E216" t="s">
        <v>507</v>
      </c>
      <c r="F216" t="s">
        <v>508</v>
      </c>
      <c r="G216" t="s">
        <v>509</v>
      </c>
      <c r="H216" t="s">
        <v>34</v>
      </c>
      <c r="I216" t="s">
        <v>23</v>
      </c>
      <c r="J216">
        <v>671530.56</v>
      </c>
      <c r="K216">
        <v>210671.26</v>
      </c>
      <c r="L216">
        <v>460859.3</v>
      </c>
      <c r="M216">
        <v>170611.3</v>
      </c>
      <c r="N216">
        <v>52732.37</v>
      </c>
      <c r="O216">
        <v>117878.93</v>
      </c>
      <c r="P216">
        <v>69870.39</v>
      </c>
      <c r="Q216">
        <v>1280793700</v>
      </c>
      <c r="R216">
        <v>1322366100</v>
      </c>
      <c r="S216">
        <v>5.2999999999999999E-2</v>
      </c>
      <c r="T216" t="s">
        <v>24</v>
      </c>
      <c r="U216">
        <v>3.5000000000000003E-2</v>
      </c>
      <c r="V216">
        <v>0.08</v>
      </c>
      <c r="X216">
        <v>156189.59</v>
      </c>
    </row>
    <row r="217" spans="1:25" x14ac:dyDescent="0.25">
      <c r="A217">
        <v>2020</v>
      </c>
      <c r="B217">
        <v>4</v>
      </c>
      <c r="C217" t="s">
        <v>349</v>
      </c>
      <c r="D217" t="s">
        <v>510</v>
      </c>
      <c r="E217" t="s">
        <v>511</v>
      </c>
      <c r="F217" t="s">
        <v>512</v>
      </c>
      <c r="G217" t="s">
        <v>513</v>
      </c>
      <c r="H217" t="s">
        <v>34</v>
      </c>
      <c r="I217" t="s">
        <v>23</v>
      </c>
      <c r="J217">
        <v>336117.55</v>
      </c>
      <c r="K217">
        <v>128843.1</v>
      </c>
      <c r="L217">
        <v>207274.45</v>
      </c>
      <c r="M217">
        <v>91242.15</v>
      </c>
      <c r="N217">
        <v>34918.550000000003</v>
      </c>
      <c r="O217">
        <v>56323.59</v>
      </c>
      <c r="P217">
        <v>46267.08</v>
      </c>
      <c r="Q217">
        <v>600739704.10000002</v>
      </c>
      <c r="R217">
        <v>643073014.10000002</v>
      </c>
      <c r="S217">
        <v>5.2999999999999999E-2</v>
      </c>
      <c r="T217">
        <v>3</v>
      </c>
      <c r="U217">
        <v>2.75E-2</v>
      </c>
      <c r="V217">
        <v>0.08</v>
      </c>
      <c r="X217">
        <v>74628.759999999995</v>
      </c>
      <c r="Y217">
        <v>7.4999999999999997E-3</v>
      </c>
    </row>
    <row r="218" spans="1:25" x14ac:dyDescent="0.25">
      <c r="A218">
        <v>2020</v>
      </c>
      <c r="B218">
        <v>4</v>
      </c>
      <c r="C218" t="s">
        <v>349</v>
      </c>
      <c r="D218" t="s">
        <v>514</v>
      </c>
      <c r="E218" t="s">
        <v>515</v>
      </c>
      <c r="F218" t="s">
        <v>516</v>
      </c>
      <c r="G218" t="s">
        <v>517</v>
      </c>
      <c r="H218" t="s">
        <v>34</v>
      </c>
      <c r="I218" t="s">
        <v>23</v>
      </c>
      <c r="J218">
        <v>174916.01</v>
      </c>
      <c r="K218">
        <v>62490.17</v>
      </c>
      <c r="L218">
        <v>112425.84</v>
      </c>
      <c r="M218">
        <v>43989.95</v>
      </c>
      <c r="N218">
        <v>15737.27</v>
      </c>
      <c r="O218">
        <v>28252.69</v>
      </c>
      <c r="P218">
        <v>20851.88</v>
      </c>
      <c r="Q218">
        <v>309306696.80000001</v>
      </c>
      <c r="R218">
        <v>314606806.5</v>
      </c>
      <c r="S218">
        <v>5.2999999999999999E-2</v>
      </c>
      <c r="T218">
        <v>3</v>
      </c>
      <c r="U218">
        <v>2.75E-2</v>
      </c>
      <c r="V218">
        <v>0.08</v>
      </c>
      <c r="X218">
        <v>37434.81</v>
      </c>
      <c r="Y218">
        <v>7.4999999999999997E-3</v>
      </c>
    </row>
    <row r="219" spans="1:25" x14ac:dyDescent="0.25">
      <c r="A219">
        <v>2020</v>
      </c>
      <c r="B219">
        <v>4</v>
      </c>
      <c r="C219" t="s">
        <v>349</v>
      </c>
      <c r="D219" t="s">
        <v>350</v>
      </c>
      <c r="E219" t="s">
        <v>351</v>
      </c>
      <c r="F219" t="s">
        <v>518</v>
      </c>
      <c r="G219" t="s">
        <v>519</v>
      </c>
      <c r="H219" t="s">
        <v>34</v>
      </c>
      <c r="I219" t="s">
        <v>23</v>
      </c>
      <c r="J219">
        <v>3052300.1</v>
      </c>
      <c r="K219">
        <v>1575160.32</v>
      </c>
      <c r="L219">
        <v>1477139.77</v>
      </c>
      <c r="M219">
        <v>780451.82</v>
      </c>
      <c r="N219">
        <v>398626.26</v>
      </c>
      <c r="O219">
        <v>381825.56</v>
      </c>
      <c r="P219">
        <v>528179.79</v>
      </c>
      <c r="Q219">
        <v>4151146441</v>
      </c>
      <c r="R219">
        <v>4280834686</v>
      </c>
      <c r="S219">
        <v>5.2999999999999999E-2</v>
      </c>
      <c r="T219">
        <v>3</v>
      </c>
      <c r="U219">
        <v>2.75E-2</v>
      </c>
      <c r="V219">
        <v>0.08</v>
      </c>
      <c r="X219">
        <v>505918.87</v>
      </c>
      <c r="Y219">
        <v>7.4999999999999997E-3</v>
      </c>
    </row>
    <row r="220" spans="1:25" x14ac:dyDescent="0.25">
      <c r="A220">
        <v>2020</v>
      </c>
      <c r="B220">
        <v>4</v>
      </c>
      <c r="C220" t="s">
        <v>352</v>
      </c>
      <c r="D220" t="s">
        <v>520</v>
      </c>
      <c r="E220" t="s">
        <v>521</v>
      </c>
      <c r="F220" t="s">
        <v>522</v>
      </c>
      <c r="G220" t="s">
        <v>523</v>
      </c>
      <c r="H220" t="s">
        <v>34</v>
      </c>
      <c r="I220" t="s">
        <v>23</v>
      </c>
      <c r="J220">
        <v>414950.96</v>
      </c>
      <c r="K220">
        <v>144106.74</v>
      </c>
      <c r="L220">
        <v>270844.21999999997</v>
      </c>
      <c r="M220">
        <v>134209.04999999999</v>
      </c>
      <c r="N220">
        <v>54299.74</v>
      </c>
      <c r="O220">
        <v>79909.31</v>
      </c>
      <c r="P220">
        <v>71947.16</v>
      </c>
      <c r="Q220">
        <v>865887458.5</v>
      </c>
      <c r="R220">
        <v>898776462</v>
      </c>
      <c r="S220">
        <v>5.2999999999999999E-2</v>
      </c>
      <c r="T220" t="s">
        <v>24</v>
      </c>
      <c r="U220">
        <v>3.5000000000000003E-2</v>
      </c>
      <c r="V220">
        <v>0.08</v>
      </c>
      <c r="X220">
        <v>105879.84</v>
      </c>
    </row>
    <row r="221" spans="1:25" x14ac:dyDescent="0.25">
      <c r="A221">
        <v>2020</v>
      </c>
      <c r="B221">
        <v>4</v>
      </c>
      <c r="C221" t="s">
        <v>352</v>
      </c>
      <c r="D221" t="s">
        <v>524</v>
      </c>
      <c r="E221" t="s">
        <v>525</v>
      </c>
      <c r="F221" t="s">
        <v>526</v>
      </c>
      <c r="G221" t="s">
        <v>527</v>
      </c>
      <c r="H221" t="s">
        <v>34</v>
      </c>
      <c r="I221" t="s">
        <v>23</v>
      </c>
      <c r="J221">
        <v>411976.26</v>
      </c>
      <c r="K221">
        <v>142038.16</v>
      </c>
      <c r="L221">
        <v>269938.09999999998</v>
      </c>
      <c r="M221">
        <v>128814.19</v>
      </c>
      <c r="N221">
        <v>49558.99</v>
      </c>
      <c r="O221">
        <v>79255.199999999997</v>
      </c>
      <c r="P221">
        <v>65665.66</v>
      </c>
      <c r="Q221">
        <v>860565490.89999998</v>
      </c>
      <c r="R221">
        <v>889653514.10000002</v>
      </c>
      <c r="S221">
        <v>5.2999999999999999E-2</v>
      </c>
      <c r="T221">
        <v>3</v>
      </c>
      <c r="U221">
        <v>2.75E-2</v>
      </c>
      <c r="V221">
        <v>0.08</v>
      </c>
      <c r="X221">
        <v>105013.14</v>
      </c>
      <c r="Y221">
        <v>7.4999999999999997E-3</v>
      </c>
    </row>
    <row r="222" spans="1:25" x14ac:dyDescent="0.25">
      <c r="A222">
        <v>2020</v>
      </c>
      <c r="B222">
        <v>4</v>
      </c>
      <c r="C222" t="s">
        <v>352</v>
      </c>
      <c r="D222" t="s">
        <v>353</v>
      </c>
      <c r="E222" t="s">
        <v>354</v>
      </c>
      <c r="F222" t="s">
        <v>528</v>
      </c>
      <c r="G222" t="s">
        <v>529</v>
      </c>
      <c r="H222" t="s">
        <v>34</v>
      </c>
      <c r="I222" t="s">
        <v>23</v>
      </c>
      <c r="J222">
        <v>401757.93</v>
      </c>
      <c r="K222">
        <v>131884.63</v>
      </c>
      <c r="L222">
        <v>269873.3</v>
      </c>
      <c r="M222">
        <v>123890.56</v>
      </c>
      <c r="N222">
        <v>44687.97</v>
      </c>
      <c r="O222">
        <v>79202.59</v>
      </c>
      <c r="P222">
        <v>59211.56</v>
      </c>
      <c r="Q222">
        <v>860162686.20000005</v>
      </c>
      <c r="R222">
        <v>888894599.60000002</v>
      </c>
      <c r="S222">
        <v>5.2999999999999999E-2</v>
      </c>
      <c r="T222">
        <v>3</v>
      </c>
      <c r="U222">
        <v>2.75E-2</v>
      </c>
      <c r="V222">
        <v>0.08</v>
      </c>
      <c r="X222">
        <v>104943.44</v>
      </c>
      <c r="Y222">
        <v>7.4999999999999997E-3</v>
      </c>
    </row>
    <row r="223" spans="1:25" x14ac:dyDescent="0.25">
      <c r="A223">
        <v>2020</v>
      </c>
      <c r="B223">
        <v>4</v>
      </c>
      <c r="C223" t="s">
        <v>355</v>
      </c>
      <c r="D223" t="s">
        <v>536</v>
      </c>
      <c r="E223" t="s">
        <v>537</v>
      </c>
      <c r="F223" t="s">
        <v>538</v>
      </c>
      <c r="G223" t="s">
        <v>539</v>
      </c>
      <c r="H223" t="s">
        <v>34</v>
      </c>
      <c r="I223" t="s">
        <v>23</v>
      </c>
      <c r="J223">
        <v>222972.41</v>
      </c>
      <c r="K223">
        <v>37245.120000000003</v>
      </c>
      <c r="L223">
        <v>185727.29</v>
      </c>
      <c r="M223">
        <v>54528.18</v>
      </c>
      <c r="N223">
        <v>7888.46</v>
      </c>
      <c r="O223">
        <v>46639.72</v>
      </c>
      <c r="P223">
        <v>10452.209999999999</v>
      </c>
      <c r="Q223">
        <v>510750101.19999999</v>
      </c>
      <c r="R223">
        <v>519210442</v>
      </c>
      <c r="S223">
        <v>5.2999999999999999E-2</v>
      </c>
      <c r="T223">
        <v>3</v>
      </c>
      <c r="U223">
        <v>2.75E-2</v>
      </c>
      <c r="V223">
        <v>0.08</v>
      </c>
      <c r="X223">
        <v>61797.63</v>
      </c>
      <c r="Y223">
        <v>7.4999999999999997E-3</v>
      </c>
    </row>
    <row r="224" spans="1:25" x14ac:dyDescent="0.25">
      <c r="A224">
        <v>2020</v>
      </c>
      <c r="B224">
        <v>4</v>
      </c>
      <c r="C224" t="s">
        <v>355</v>
      </c>
      <c r="D224" t="s">
        <v>356</v>
      </c>
      <c r="E224" t="s">
        <v>357</v>
      </c>
      <c r="F224" t="s">
        <v>530</v>
      </c>
      <c r="G224" t="s">
        <v>531</v>
      </c>
      <c r="H224" t="s">
        <v>34</v>
      </c>
      <c r="I224" t="s">
        <v>23</v>
      </c>
      <c r="J224">
        <v>255659.17</v>
      </c>
      <c r="K224">
        <v>64753.48</v>
      </c>
      <c r="L224">
        <v>190905.69</v>
      </c>
      <c r="M224">
        <v>67086.210000000006</v>
      </c>
      <c r="N224">
        <v>16587.650000000001</v>
      </c>
      <c r="O224">
        <v>50498.559999999998</v>
      </c>
      <c r="P224">
        <v>21978.639999999999</v>
      </c>
      <c r="Q224">
        <v>535721890.10000002</v>
      </c>
      <c r="R224">
        <v>579454680</v>
      </c>
      <c r="S224">
        <v>5.2999999999999999E-2</v>
      </c>
      <c r="T224">
        <v>3</v>
      </c>
      <c r="U224">
        <v>2.75E-2</v>
      </c>
      <c r="V224">
        <v>0.08</v>
      </c>
      <c r="X224">
        <v>66910.59</v>
      </c>
      <c r="Y224">
        <v>7.4999999999999997E-3</v>
      </c>
    </row>
    <row r="225" spans="1:25" x14ac:dyDescent="0.25">
      <c r="A225">
        <v>2020</v>
      </c>
      <c r="B225">
        <v>4</v>
      </c>
      <c r="C225" t="s">
        <v>355</v>
      </c>
      <c r="D225" t="s">
        <v>532</v>
      </c>
      <c r="E225" t="s">
        <v>533</v>
      </c>
      <c r="F225" t="s">
        <v>534</v>
      </c>
      <c r="G225" t="s">
        <v>535</v>
      </c>
      <c r="H225" t="s">
        <v>34</v>
      </c>
      <c r="I225" t="s">
        <v>23</v>
      </c>
      <c r="J225">
        <v>193131.22</v>
      </c>
      <c r="K225">
        <v>48829.13</v>
      </c>
      <c r="L225">
        <v>144302.09</v>
      </c>
      <c r="M225">
        <v>50224.47</v>
      </c>
      <c r="N225">
        <v>12596.2</v>
      </c>
      <c r="O225">
        <v>37628.269999999997</v>
      </c>
      <c r="P225">
        <v>16689.97</v>
      </c>
      <c r="Q225">
        <v>405274157.89999998</v>
      </c>
      <c r="R225">
        <v>425683463.5</v>
      </c>
      <c r="S225">
        <v>5.2999999999999999E-2</v>
      </c>
      <c r="T225">
        <v>3</v>
      </c>
      <c r="U225">
        <v>2.75E-2</v>
      </c>
      <c r="V225">
        <v>0.08</v>
      </c>
      <c r="X225">
        <v>49857.46</v>
      </c>
      <c r="Y225">
        <v>7.4999999999999997E-3</v>
      </c>
    </row>
    <row r="226" spans="1:25" x14ac:dyDescent="0.25">
      <c r="A226">
        <v>2020</v>
      </c>
      <c r="B226">
        <v>4</v>
      </c>
      <c r="C226" t="s">
        <v>364</v>
      </c>
      <c r="D226" t="s">
        <v>367</v>
      </c>
      <c r="E226" t="s">
        <v>368</v>
      </c>
      <c r="F226" t="s">
        <v>542</v>
      </c>
      <c r="G226" t="s">
        <v>543</v>
      </c>
      <c r="H226" t="s">
        <v>34</v>
      </c>
      <c r="I226" t="s">
        <v>23</v>
      </c>
      <c r="J226">
        <v>515575.7</v>
      </c>
      <c r="K226">
        <v>117130.98</v>
      </c>
      <c r="L226">
        <v>398444.71</v>
      </c>
      <c r="M226">
        <v>132978.04</v>
      </c>
      <c r="N226">
        <v>29482.33</v>
      </c>
      <c r="O226">
        <v>103495.71</v>
      </c>
      <c r="P226">
        <v>39064.089999999997</v>
      </c>
      <c r="Q226">
        <v>633902480.29999995</v>
      </c>
      <c r="R226">
        <v>656749859.29999995</v>
      </c>
      <c r="S226">
        <v>5.2999999999999999E-2</v>
      </c>
      <c r="T226">
        <v>3</v>
      </c>
      <c r="U226">
        <v>2.75E-2</v>
      </c>
      <c r="V226">
        <v>0.1</v>
      </c>
      <c r="X226">
        <v>137131.81</v>
      </c>
    </row>
    <row r="227" spans="1:25" x14ac:dyDescent="0.25">
      <c r="A227">
        <v>2020</v>
      </c>
      <c r="B227">
        <v>4</v>
      </c>
      <c r="C227" t="s">
        <v>364</v>
      </c>
      <c r="D227" t="s">
        <v>365</v>
      </c>
      <c r="E227" t="s">
        <v>366</v>
      </c>
      <c r="F227" t="s">
        <v>544</v>
      </c>
      <c r="G227" t="s">
        <v>545</v>
      </c>
      <c r="H227" t="s">
        <v>34</v>
      </c>
      <c r="I227" t="s">
        <v>23</v>
      </c>
      <c r="J227">
        <v>112677.36</v>
      </c>
      <c r="K227">
        <v>2090.15</v>
      </c>
      <c r="L227">
        <v>110587.2</v>
      </c>
      <c r="M227">
        <v>28573.05</v>
      </c>
      <c r="N227">
        <v>420.76</v>
      </c>
      <c r="O227">
        <v>28152.29</v>
      </c>
      <c r="P227">
        <v>557.51</v>
      </c>
      <c r="Q227">
        <v>172661393.80000001</v>
      </c>
      <c r="R227">
        <v>178414240.80000001</v>
      </c>
      <c r="S227">
        <v>5.2999999999999999E-2</v>
      </c>
      <c r="T227">
        <v>3</v>
      </c>
      <c r="U227">
        <v>2.75E-2</v>
      </c>
      <c r="V227">
        <v>0.1</v>
      </c>
      <c r="X227">
        <v>37301.79</v>
      </c>
    </row>
    <row r="228" spans="1:25" x14ac:dyDescent="0.25">
      <c r="A228">
        <v>2020</v>
      </c>
      <c r="B228">
        <v>4</v>
      </c>
      <c r="C228" t="s">
        <v>364</v>
      </c>
      <c r="D228" t="s">
        <v>365</v>
      </c>
      <c r="E228" t="s">
        <v>366</v>
      </c>
      <c r="F228" t="s">
        <v>540</v>
      </c>
      <c r="G228" t="s">
        <v>541</v>
      </c>
      <c r="H228" t="s">
        <v>34</v>
      </c>
      <c r="I228" t="s">
        <v>23</v>
      </c>
      <c r="J228">
        <v>44383.31</v>
      </c>
      <c r="K228">
        <v>10.27</v>
      </c>
      <c r="L228">
        <v>44373.04</v>
      </c>
      <c r="M228">
        <v>11168.85</v>
      </c>
      <c r="N228">
        <v>1.79</v>
      </c>
      <c r="O228">
        <v>11167.06</v>
      </c>
      <c r="P228">
        <v>2.37</v>
      </c>
      <c r="Q228">
        <v>138949162.09999999</v>
      </c>
      <c r="R228">
        <v>139570526.40000001</v>
      </c>
      <c r="S228">
        <v>5.2999999999999999E-2</v>
      </c>
      <c r="T228">
        <v>3</v>
      </c>
      <c r="U228">
        <v>2.75E-2</v>
      </c>
      <c r="V228">
        <v>0.05</v>
      </c>
      <c r="X228">
        <v>14796.36</v>
      </c>
    </row>
    <row r="229" spans="1:25" x14ac:dyDescent="0.25">
      <c r="A229">
        <v>2020</v>
      </c>
      <c r="B229">
        <v>4</v>
      </c>
      <c r="C229" t="s">
        <v>358</v>
      </c>
      <c r="D229" t="s">
        <v>546</v>
      </c>
      <c r="E229" t="s">
        <v>547</v>
      </c>
      <c r="F229" t="s">
        <v>548</v>
      </c>
      <c r="G229" t="s">
        <v>549</v>
      </c>
      <c r="H229" t="s">
        <v>34</v>
      </c>
      <c r="I229" t="s">
        <v>23</v>
      </c>
      <c r="J229">
        <v>665404.56000000006</v>
      </c>
      <c r="K229">
        <v>230793.71</v>
      </c>
      <c r="L229">
        <v>434610.85</v>
      </c>
      <c r="M229">
        <v>171443.12</v>
      </c>
      <c r="N229">
        <v>57721.29</v>
      </c>
      <c r="O229">
        <v>113721.83</v>
      </c>
      <c r="P229">
        <v>76480.710000000006</v>
      </c>
      <c r="Q229">
        <v>691642834.60000002</v>
      </c>
      <c r="R229">
        <v>726535316</v>
      </c>
      <c r="S229">
        <v>5.2999999999999999E-2</v>
      </c>
      <c r="T229">
        <v>3</v>
      </c>
      <c r="U229">
        <v>2.75E-2</v>
      </c>
      <c r="V229">
        <v>0.1</v>
      </c>
      <c r="X229">
        <v>150681.43</v>
      </c>
    </row>
    <row r="230" spans="1:25" x14ac:dyDescent="0.25">
      <c r="A230">
        <v>2020</v>
      </c>
      <c r="B230">
        <v>4</v>
      </c>
      <c r="C230" t="s">
        <v>358</v>
      </c>
      <c r="D230" t="s">
        <v>550</v>
      </c>
      <c r="E230" t="s">
        <v>551</v>
      </c>
      <c r="F230" t="s">
        <v>552</v>
      </c>
      <c r="G230" t="s">
        <v>553</v>
      </c>
      <c r="H230" t="s">
        <v>34</v>
      </c>
      <c r="I230" t="s">
        <v>23</v>
      </c>
      <c r="J230">
        <v>402019.15</v>
      </c>
      <c r="K230">
        <v>191738.84</v>
      </c>
      <c r="L230">
        <v>210280.31</v>
      </c>
      <c r="M230">
        <v>107959.09</v>
      </c>
      <c r="N230">
        <v>52951.64</v>
      </c>
      <c r="O230">
        <v>55007.46</v>
      </c>
      <c r="P230">
        <v>70160.92</v>
      </c>
      <c r="Q230">
        <v>594849461.70000005</v>
      </c>
      <c r="R230">
        <v>619898514.10000002</v>
      </c>
      <c r="S230">
        <v>5.2999999999999999E-2</v>
      </c>
      <c r="T230" t="s">
        <v>24</v>
      </c>
      <c r="U230">
        <v>3.5000000000000003E-2</v>
      </c>
      <c r="V230">
        <v>0.08</v>
      </c>
      <c r="X230">
        <v>72884.88</v>
      </c>
    </row>
    <row r="231" spans="1:25" x14ac:dyDescent="0.25">
      <c r="A231">
        <v>2020</v>
      </c>
      <c r="B231">
        <v>4</v>
      </c>
      <c r="C231" t="s">
        <v>358</v>
      </c>
      <c r="D231" t="s">
        <v>554</v>
      </c>
      <c r="E231" t="s">
        <v>555</v>
      </c>
      <c r="F231" t="s">
        <v>556</v>
      </c>
      <c r="G231" t="s">
        <v>557</v>
      </c>
      <c r="H231" t="s">
        <v>34</v>
      </c>
      <c r="I231" t="s">
        <v>23</v>
      </c>
      <c r="J231">
        <v>517864.74</v>
      </c>
      <c r="K231">
        <v>271666.57</v>
      </c>
      <c r="L231">
        <v>246198.17</v>
      </c>
      <c r="M231">
        <v>132460.67000000001</v>
      </c>
      <c r="N231">
        <v>68022.59</v>
      </c>
      <c r="O231">
        <v>64438.09</v>
      </c>
      <c r="P231">
        <v>90129.93</v>
      </c>
      <c r="Q231">
        <v>693688580.5</v>
      </c>
      <c r="R231">
        <v>729319143.39999998</v>
      </c>
      <c r="S231">
        <v>5.2999999999999999E-2</v>
      </c>
      <c r="T231">
        <v>3</v>
      </c>
      <c r="U231">
        <v>2.75E-2</v>
      </c>
      <c r="V231">
        <v>0.08</v>
      </c>
      <c r="X231">
        <v>85380.46</v>
      </c>
      <c r="Y231">
        <v>7.4999999999999997E-3</v>
      </c>
    </row>
    <row r="232" spans="1:25" x14ac:dyDescent="0.25">
      <c r="A232">
        <v>2020</v>
      </c>
      <c r="B232">
        <v>4</v>
      </c>
      <c r="C232" t="s">
        <v>361</v>
      </c>
      <c r="D232" t="s">
        <v>362</v>
      </c>
      <c r="E232" t="s">
        <v>363</v>
      </c>
      <c r="F232" t="s">
        <v>558</v>
      </c>
      <c r="G232" t="s">
        <v>559</v>
      </c>
      <c r="H232" t="s">
        <v>34</v>
      </c>
      <c r="I232" t="s">
        <v>23</v>
      </c>
      <c r="J232">
        <v>198111.14</v>
      </c>
      <c r="K232">
        <v>35003.800000000003</v>
      </c>
      <c r="L232">
        <v>163107.32999999999</v>
      </c>
      <c r="M232">
        <v>52982.57</v>
      </c>
      <c r="N232">
        <v>8933.4699999999993</v>
      </c>
      <c r="O232">
        <v>44049.1</v>
      </c>
      <c r="P232">
        <v>11836.85</v>
      </c>
      <c r="Q232">
        <v>476813422.89999998</v>
      </c>
      <c r="R232">
        <v>495937499.60000002</v>
      </c>
      <c r="S232">
        <v>5.2999999999999999E-2</v>
      </c>
      <c r="T232" t="s">
        <v>24</v>
      </c>
      <c r="U232">
        <v>3.5000000000000003E-2</v>
      </c>
      <c r="V232">
        <v>0.08</v>
      </c>
      <c r="X232">
        <v>58365.06</v>
      </c>
    </row>
    <row r="233" spans="1:25" x14ac:dyDescent="0.25">
      <c r="A233">
        <v>2020</v>
      </c>
      <c r="B233">
        <v>4</v>
      </c>
      <c r="C233" t="s">
        <v>361</v>
      </c>
      <c r="D233" t="s">
        <v>560</v>
      </c>
      <c r="E233" t="s">
        <v>561</v>
      </c>
      <c r="F233" t="s">
        <v>562</v>
      </c>
      <c r="G233" t="s">
        <v>563</v>
      </c>
      <c r="H233" t="s">
        <v>34</v>
      </c>
      <c r="I233" t="s">
        <v>23</v>
      </c>
      <c r="J233">
        <v>205855.66</v>
      </c>
      <c r="K233">
        <v>35972.400000000001</v>
      </c>
      <c r="L233">
        <v>169883.26</v>
      </c>
      <c r="M233">
        <v>55929.5</v>
      </c>
      <c r="N233">
        <v>9991.7199999999993</v>
      </c>
      <c r="O233">
        <v>45937.78</v>
      </c>
      <c r="P233">
        <v>13239.03</v>
      </c>
      <c r="Q233">
        <v>497490721.89999998</v>
      </c>
      <c r="R233">
        <v>516968555.5</v>
      </c>
      <c r="S233">
        <v>5.2999999999999999E-2</v>
      </c>
      <c r="T233">
        <v>3</v>
      </c>
      <c r="U233">
        <v>2.75E-2</v>
      </c>
      <c r="V233">
        <v>0.08</v>
      </c>
      <c r="X233">
        <v>60867.56</v>
      </c>
      <c r="Y233">
        <v>7.4999999999999997E-3</v>
      </c>
    </row>
    <row r="234" spans="1:25" x14ac:dyDescent="0.25">
      <c r="A234">
        <v>2020</v>
      </c>
      <c r="B234">
        <v>4</v>
      </c>
      <c r="C234" t="s">
        <v>295</v>
      </c>
      <c r="D234" t="s">
        <v>564</v>
      </c>
      <c r="E234" t="s">
        <v>565</v>
      </c>
      <c r="F234" t="s">
        <v>566</v>
      </c>
      <c r="G234" t="s">
        <v>567</v>
      </c>
      <c r="H234" t="s">
        <v>34</v>
      </c>
      <c r="I234" t="s">
        <v>34</v>
      </c>
      <c r="J234">
        <v>361551.34</v>
      </c>
      <c r="K234">
        <v>361551.34</v>
      </c>
      <c r="M234">
        <v>90303.86</v>
      </c>
      <c r="N234">
        <v>90303.86</v>
      </c>
      <c r="P234">
        <v>119652.62</v>
      </c>
    </row>
    <row r="235" spans="1:25" x14ac:dyDescent="0.25">
      <c r="A235">
        <v>2020</v>
      </c>
      <c r="B235">
        <v>4</v>
      </c>
      <c r="C235" t="s">
        <v>298</v>
      </c>
      <c r="D235" t="s">
        <v>589</v>
      </c>
      <c r="E235" t="s">
        <v>590</v>
      </c>
      <c r="F235" t="s">
        <v>591</v>
      </c>
      <c r="G235" t="s">
        <v>592</v>
      </c>
      <c r="H235" t="s">
        <v>34</v>
      </c>
      <c r="I235" t="s">
        <v>34</v>
      </c>
      <c r="J235">
        <v>68199.77</v>
      </c>
      <c r="K235">
        <v>68199.77</v>
      </c>
      <c r="M235">
        <v>28847.95</v>
      </c>
      <c r="N235">
        <v>28847.95</v>
      </c>
      <c r="P235">
        <v>38223.53</v>
      </c>
    </row>
    <row r="236" spans="1:25" x14ac:dyDescent="0.25">
      <c r="A236">
        <v>2020</v>
      </c>
      <c r="B236">
        <v>4</v>
      </c>
      <c r="C236" t="s">
        <v>321</v>
      </c>
      <c r="D236" t="s">
        <v>568</v>
      </c>
      <c r="E236" t="s">
        <v>569</v>
      </c>
      <c r="F236" t="s">
        <v>570</v>
      </c>
      <c r="G236" t="s">
        <v>571</v>
      </c>
      <c r="H236" t="s">
        <v>34</v>
      </c>
      <c r="I236" t="s">
        <v>34</v>
      </c>
      <c r="J236">
        <v>377550.69</v>
      </c>
      <c r="K236">
        <v>377550.69</v>
      </c>
      <c r="M236">
        <v>99337.77</v>
      </c>
      <c r="N236">
        <v>99337.77</v>
      </c>
      <c r="P236">
        <v>131622.54</v>
      </c>
    </row>
    <row r="237" spans="1:25" x14ac:dyDescent="0.25">
      <c r="A237">
        <v>2020</v>
      </c>
      <c r="B237">
        <v>4</v>
      </c>
      <c r="C237" t="s">
        <v>327</v>
      </c>
      <c r="D237" t="s">
        <v>328</v>
      </c>
      <c r="E237" t="s">
        <v>329</v>
      </c>
      <c r="F237" t="s">
        <v>572</v>
      </c>
      <c r="G237" t="s">
        <v>573</v>
      </c>
      <c r="H237" t="s">
        <v>34</v>
      </c>
      <c r="I237" t="s">
        <v>34</v>
      </c>
      <c r="J237">
        <v>25077.52</v>
      </c>
      <c r="K237">
        <v>25077.52</v>
      </c>
      <c r="M237">
        <v>12352.65</v>
      </c>
      <c r="N237">
        <v>12352.65</v>
      </c>
      <c r="P237">
        <v>16367.26</v>
      </c>
    </row>
    <row r="238" spans="1:25" x14ac:dyDescent="0.25">
      <c r="A238">
        <v>2020</v>
      </c>
      <c r="B238">
        <v>4</v>
      </c>
      <c r="C238" t="s">
        <v>330</v>
      </c>
      <c r="D238" t="s">
        <v>593</v>
      </c>
      <c r="E238" t="s">
        <v>594</v>
      </c>
      <c r="F238" t="s">
        <v>595</v>
      </c>
      <c r="G238" t="s">
        <v>596</v>
      </c>
      <c r="H238" t="s">
        <v>34</v>
      </c>
      <c r="I238" t="s">
        <v>34</v>
      </c>
      <c r="J238">
        <v>242.75</v>
      </c>
      <c r="K238">
        <v>242.75</v>
      </c>
      <c r="M238">
        <v>242.75</v>
      </c>
      <c r="N238">
        <v>242.75</v>
      </c>
      <c r="P238">
        <v>321.64999999999998</v>
      </c>
    </row>
    <row r="239" spans="1:25" x14ac:dyDescent="0.25">
      <c r="A239">
        <v>2020</v>
      </c>
      <c r="B239">
        <v>4</v>
      </c>
      <c r="C239" t="s">
        <v>340</v>
      </c>
      <c r="D239" t="s">
        <v>574</v>
      </c>
      <c r="E239" t="s">
        <v>575</v>
      </c>
      <c r="F239" t="s">
        <v>576</v>
      </c>
      <c r="G239" t="s">
        <v>577</v>
      </c>
      <c r="H239" t="s">
        <v>34</v>
      </c>
      <c r="I239" t="s">
        <v>34</v>
      </c>
      <c r="J239">
        <v>393487.49</v>
      </c>
      <c r="K239">
        <v>393487.49</v>
      </c>
      <c r="M239">
        <v>104564.69</v>
      </c>
      <c r="N239">
        <v>104564.69</v>
      </c>
      <c r="P239">
        <v>138548.21</v>
      </c>
    </row>
    <row r="240" spans="1:25" x14ac:dyDescent="0.25">
      <c r="A240">
        <v>2020</v>
      </c>
      <c r="B240">
        <v>4</v>
      </c>
      <c r="C240" t="s">
        <v>355</v>
      </c>
      <c r="D240" t="s">
        <v>356</v>
      </c>
      <c r="E240" t="s">
        <v>357</v>
      </c>
      <c r="F240" t="s">
        <v>578</v>
      </c>
      <c r="G240" t="s">
        <v>579</v>
      </c>
      <c r="H240" t="s">
        <v>34</v>
      </c>
      <c r="I240" t="s">
        <v>34</v>
      </c>
      <c r="J240">
        <v>0.49</v>
      </c>
      <c r="K240">
        <v>0.49</v>
      </c>
      <c r="M240">
        <v>0</v>
      </c>
    </row>
    <row r="241" spans="1:25" x14ac:dyDescent="0.25">
      <c r="A241">
        <v>2020</v>
      </c>
      <c r="B241">
        <v>5</v>
      </c>
      <c r="C241" t="s">
        <v>168</v>
      </c>
      <c r="D241" t="s">
        <v>404</v>
      </c>
      <c r="E241" t="s">
        <v>405</v>
      </c>
      <c r="F241" t="s">
        <v>406</v>
      </c>
      <c r="G241" t="s">
        <v>407</v>
      </c>
      <c r="H241" t="s">
        <v>34</v>
      </c>
      <c r="I241" t="s">
        <v>23</v>
      </c>
      <c r="J241">
        <v>322925.53999999998</v>
      </c>
      <c r="K241">
        <v>87131.51</v>
      </c>
      <c r="L241">
        <v>235794.03</v>
      </c>
      <c r="M241">
        <v>75817.149999999994</v>
      </c>
      <c r="N241">
        <v>24941.89</v>
      </c>
      <c r="O241">
        <v>50875.26</v>
      </c>
      <c r="P241">
        <v>33048</v>
      </c>
      <c r="Q241">
        <v>543436646.5</v>
      </c>
      <c r="R241">
        <v>580058776.60000002</v>
      </c>
      <c r="S241">
        <v>5.2999999999999999E-2</v>
      </c>
      <c r="T241">
        <v>3</v>
      </c>
      <c r="U241">
        <v>2.75E-2</v>
      </c>
      <c r="V241">
        <v>0.08</v>
      </c>
      <c r="X241">
        <v>67409.73</v>
      </c>
      <c r="Y241">
        <v>7.4999999999999997E-3</v>
      </c>
    </row>
    <row r="242" spans="1:25" x14ac:dyDescent="0.25">
      <c r="A242">
        <v>2020</v>
      </c>
      <c r="B242">
        <v>5</v>
      </c>
      <c r="C242" t="s">
        <v>168</v>
      </c>
      <c r="D242" t="s">
        <v>292</v>
      </c>
      <c r="E242" t="s">
        <v>293</v>
      </c>
      <c r="F242" t="s">
        <v>410</v>
      </c>
      <c r="G242" t="s">
        <v>411</v>
      </c>
      <c r="H242" t="s">
        <v>34</v>
      </c>
      <c r="I242" t="s">
        <v>23</v>
      </c>
      <c r="J242">
        <v>363840.13</v>
      </c>
      <c r="K242">
        <v>5593.18</v>
      </c>
      <c r="L242">
        <v>358246.94</v>
      </c>
      <c r="M242">
        <v>76892.03</v>
      </c>
      <c r="N242">
        <v>1163.6500000000001</v>
      </c>
      <c r="O242">
        <v>75728.39</v>
      </c>
      <c r="P242">
        <v>1541.83</v>
      </c>
      <c r="Q242">
        <v>1645544256</v>
      </c>
      <c r="R242">
        <v>1699126231</v>
      </c>
      <c r="S242">
        <v>5.2999999999999999E-2</v>
      </c>
      <c r="T242">
        <v>3</v>
      </c>
      <c r="U242">
        <v>2.75E-2</v>
      </c>
      <c r="V242">
        <v>0.04</v>
      </c>
      <c r="X242">
        <v>100340.11</v>
      </c>
      <c r="Y242">
        <v>7.4999999999999997E-3</v>
      </c>
    </row>
    <row r="243" spans="1:25" x14ac:dyDescent="0.25">
      <c r="A243">
        <v>2020</v>
      </c>
      <c r="B243">
        <v>5</v>
      </c>
      <c r="C243" t="s">
        <v>168</v>
      </c>
      <c r="D243" t="s">
        <v>412</v>
      </c>
      <c r="E243" t="s">
        <v>413</v>
      </c>
      <c r="F243" t="s">
        <v>414</v>
      </c>
      <c r="G243" t="s">
        <v>415</v>
      </c>
      <c r="H243" t="s">
        <v>34</v>
      </c>
      <c r="I243" t="s">
        <v>23</v>
      </c>
      <c r="J243">
        <v>108988.17</v>
      </c>
      <c r="K243">
        <v>21462.400000000001</v>
      </c>
      <c r="L243">
        <v>87525.77</v>
      </c>
      <c r="M243">
        <v>24089.43</v>
      </c>
      <c r="N243">
        <v>5370.42</v>
      </c>
      <c r="O243">
        <v>18719.009999999998</v>
      </c>
      <c r="P243">
        <v>7115.8</v>
      </c>
      <c r="Q243">
        <v>205880858.40000001</v>
      </c>
      <c r="R243">
        <v>207497378.69999999</v>
      </c>
      <c r="S243">
        <v>5.2999999999999999E-2</v>
      </c>
      <c r="T243" t="s">
        <v>24</v>
      </c>
      <c r="U243">
        <v>3.5000000000000003E-2</v>
      </c>
      <c r="V243">
        <v>0.08</v>
      </c>
      <c r="X243">
        <v>24802.69</v>
      </c>
    </row>
    <row r="244" spans="1:25" x14ac:dyDescent="0.25">
      <c r="A244">
        <v>2020</v>
      </c>
      <c r="B244">
        <v>5</v>
      </c>
      <c r="C244" t="s">
        <v>168</v>
      </c>
      <c r="D244" t="s">
        <v>292</v>
      </c>
      <c r="E244" t="s">
        <v>293</v>
      </c>
      <c r="F244" t="s">
        <v>408</v>
      </c>
      <c r="G244" t="s">
        <v>409</v>
      </c>
      <c r="H244" t="s">
        <v>34</v>
      </c>
      <c r="I244" t="s">
        <v>23</v>
      </c>
      <c r="J244">
        <v>338447.78</v>
      </c>
      <c r="K244">
        <v>102133.06</v>
      </c>
      <c r="L244">
        <v>236314.72</v>
      </c>
      <c r="M244">
        <v>76381.210000000006</v>
      </c>
      <c r="N244">
        <v>24430.880000000001</v>
      </c>
      <c r="O244">
        <v>51950.33</v>
      </c>
      <c r="P244">
        <v>32370.92</v>
      </c>
      <c r="Q244">
        <v>542798559.29999995</v>
      </c>
      <c r="R244">
        <v>604437848.60000002</v>
      </c>
      <c r="S244">
        <v>5.2999999999999999E-2</v>
      </c>
      <c r="T244">
        <v>3</v>
      </c>
      <c r="U244">
        <v>2.75E-2</v>
      </c>
      <c r="V244">
        <v>0.08</v>
      </c>
      <c r="X244">
        <v>68834.179999999993</v>
      </c>
      <c r="Y244">
        <v>7.4999999999999997E-3</v>
      </c>
    </row>
    <row r="245" spans="1:25" x14ac:dyDescent="0.25">
      <c r="A245">
        <v>2020</v>
      </c>
      <c r="B245">
        <v>5</v>
      </c>
      <c r="C245" t="s">
        <v>295</v>
      </c>
      <c r="D245" t="s">
        <v>296</v>
      </c>
      <c r="E245" t="s">
        <v>297</v>
      </c>
      <c r="F245" t="s">
        <v>416</v>
      </c>
      <c r="G245" t="s">
        <v>417</v>
      </c>
      <c r="H245" t="s">
        <v>34</v>
      </c>
      <c r="I245" t="s">
        <v>23</v>
      </c>
      <c r="J245">
        <v>980581.38</v>
      </c>
      <c r="K245">
        <v>519925.34</v>
      </c>
      <c r="L245">
        <v>460656.04</v>
      </c>
      <c r="M245">
        <v>209077.47</v>
      </c>
      <c r="N245">
        <v>109857.84</v>
      </c>
      <c r="O245">
        <v>99219.63</v>
      </c>
      <c r="P245">
        <v>145561.64000000001</v>
      </c>
      <c r="Q245">
        <v>1079862314</v>
      </c>
      <c r="R245">
        <v>1111237897</v>
      </c>
      <c r="S245">
        <v>5.2999999999999999E-2</v>
      </c>
      <c r="T245" t="s">
        <v>24</v>
      </c>
      <c r="U245">
        <v>3.5000000000000003E-2</v>
      </c>
      <c r="V245">
        <v>0.08</v>
      </c>
      <c r="X245">
        <v>131466.01</v>
      </c>
    </row>
    <row r="246" spans="1:25" x14ac:dyDescent="0.25">
      <c r="A246">
        <v>2020</v>
      </c>
      <c r="B246">
        <v>5</v>
      </c>
      <c r="C246" t="s">
        <v>298</v>
      </c>
      <c r="D246" t="s">
        <v>299</v>
      </c>
      <c r="E246" t="s">
        <v>300</v>
      </c>
      <c r="F246" t="s">
        <v>587</v>
      </c>
      <c r="G246" t="s">
        <v>588</v>
      </c>
      <c r="H246" t="s">
        <v>34</v>
      </c>
      <c r="I246" t="s">
        <v>23</v>
      </c>
      <c r="J246">
        <v>333337.19</v>
      </c>
      <c r="K246">
        <v>135053.71</v>
      </c>
      <c r="L246">
        <v>198283.49</v>
      </c>
      <c r="M246">
        <v>138728.07999999999</v>
      </c>
      <c r="N246">
        <v>65542.23</v>
      </c>
      <c r="O246">
        <v>73185.850000000006</v>
      </c>
      <c r="P246">
        <v>86843.46</v>
      </c>
      <c r="Q246">
        <v>560029886.29999995</v>
      </c>
      <c r="R246">
        <v>1056157638</v>
      </c>
      <c r="S246">
        <v>5.2999999999999999E-2</v>
      </c>
      <c r="T246">
        <v>3</v>
      </c>
      <c r="U246">
        <v>2.75E-2</v>
      </c>
      <c r="V246">
        <v>0.08</v>
      </c>
      <c r="X246">
        <v>96971.25</v>
      </c>
      <c r="Y246">
        <v>7.4999999999999997E-3</v>
      </c>
    </row>
    <row r="247" spans="1:25" x14ac:dyDescent="0.25">
      <c r="A247">
        <v>2020</v>
      </c>
      <c r="B247">
        <v>5</v>
      </c>
      <c r="C247" t="s">
        <v>302</v>
      </c>
      <c r="D247" t="s">
        <v>418</v>
      </c>
      <c r="E247" t="s">
        <v>419</v>
      </c>
      <c r="F247" t="s">
        <v>420</v>
      </c>
      <c r="G247" t="s">
        <v>421</v>
      </c>
      <c r="H247" t="s">
        <v>34</v>
      </c>
      <c r="I247" t="s">
        <v>23</v>
      </c>
      <c r="J247">
        <v>373261.81</v>
      </c>
      <c r="K247">
        <v>138014.39999999999</v>
      </c>
      <c r="L247">
        <v>235247.41</v>
      </c>
      <c r="M247">
        <v>84281.96</v>
      </c>
      <c r="N247">
        <v>31797.279999999999</v>
      </c>
      <c r="O247">
        <v>52484.69</v>
      </c>
      <c r="P247">
        <v>42131.39</v>
      </c>
      <c r="Q247">
        <v>564834459.10000002</v>
      </c>
      <c r="R247">
        <v>594202356.60000002</v>
      </c>
      <c r="S247">
        <v>5.2999999999999999E-2</v>
      </c>
      <c r="T247">
        <v>3</v>
      </c>
      <c r="U247">
        <v>2.75E-2</v>
      </c>
      <c r="V247">
        <v>0.08</v>
      </c>
      <c r="X247">
        <v>69542.210000000006</v>
      </c>
      <c r="Y247">
        <v>7.4999999999999997E-3</v>
      </c>
    </row>
    <row r="248" spans="1:25" x14ac:dyDescent="0.25">
      <c r="A248">
        <v>2020</v>
      </c>
      <c r="B248">
        <v>5</v>
      </c>
      <c r="C248" t="s">
        <v>302</v>
      </c>
      <c r="D248" t="s">
        <v>303</v>
      </c>
      <c r="E248" t="s">
        <v>304</v>
      </c>
      <c r="F248" t="s">
        <v>422</v>
      </c>
      <c r="G248" t="s">
        <v>423</v>
      </c>
      <c r="H248" t="s">
        <v>34</v>
      </c>
      <c r="I248" t="s">
        <v>23</v>
      </c>
      <c r="J248">
        <v>402056.39</v>
      </c>
      <c r="K248">
        <v>162138.51</v>
      </c>
      <c r="L248">
        <v>239917.87</v>
      </c>
      <c r="M248">
        <v>90576.41</v>
      </c>
      <c r="N248">
        <v>36876.6</v>
      </c>
      <c r="O248">
        <v>53699.8</v>
      </c>
      <c r="P248">
        <v>48861.5</v>
      </c>
      <c r="Q248">
        <v>575221072</v>
      </c>
      <c r="R248">
        <v>610649612.60000002</v>
      </c>
      <c r="S248">
        <v>5.2999999999999999E-2</v>
      </c>
      <c r="T248" t="s">
        <v>24</v>
      </c>
      <c r="U248">
        <v>3.5000000000000003E-2</v>
      </c>
      <c r="V248">
        <v>0.08</v>
      </c>
      <c r="X248">
        <v>71152.240000000005</v>
      </c>
    </row>
    <row r="249" spans="1:25" x14ac:dyDescent="0.25">
      <c r="A249">
        <v>2020</v>
      </c>
      <c r="B249">
        <v>5</v>
      </c>
      <c r="C249" t="s">
        <v>305</v>
      </c>
      <c r="D249" t="s">
        <v>426</v>
      </c>
      <c r="E249" t="s">
        <v>427</v>
      </c>
      <c r="F249" t="s">
        <v>428</v>
      </c>
      <c r="G249" t="s">
        <v>429</v>
      </c>
      <c r="H249" t="s">
        <v>34</v>
      </c>
      <c r="I249" t="s">
        <v>23</v>
      </c>
      <c r="J249">
        <v>367159.33</v>
      </c>
      <c r="K249">
        <v>100071.41</v>
      </c>
      <c r="L249">
        <v>267087.92</v>
      </c>
      <c r="M249">
        <v>96203.26</v>
      </c>
      <c r="N249">
        <v>28070.35</v>
      </c>
      <c r="O249">
        <v>68132.91</v>
      </c>
      <c r="P249">
        <v>37193.21</v>
      </c>
      <c r="Q249">
        <v>751787881</v>
      </c>
      <c r="R249">
        <v>752813965.60000002</v>
      </c>
      <c r="S249">
        <v>5.2999999999999999E-2</v>
      </c>
      <c r="T249">
        <v>3</v>
      </c>
      <c r="U249">
        <v>2.75E-2</v>
      </c>
      <c r="V249">
        <v>0.08</v>
      </c>
      <c r="X249">
        <v>90276.11</v>
      </c>
      <c r="Y249">
        <v>7.4999999999999997E-3</v>
      </c>
    </row>
    <row r="250" spans="1:25" x14ac:dyDescent="0.25">
      <c r="A250">
        <v>2020</v>
      </c>
      <c r="B250">
        <v>5</v>
      </c>
      <c r="C250" t="s">
        <v>305</v>
      </c>
      <c r="D250" t="s">
        <v>306</v>
      </c>
      <c r="E250" t="s">
        <v>307</v>
      </c>
      <c r="F250" t="s">
        <v>424</v>
      </c>
      <c r="G250" t="s">
        <v>425</v>
      </c>
      <c r="H250" t="s">
        <v>34</v>
      </c>
      <c r="I250" t="s">
        <v>23</v>
      </c>
      <c r="J250">
        <v>367370.74</v>
      </c>
      <c r="K250">
        <v>100101.21</v>
      </c>
      <c r="L250">
        <v>267269.53000000003</v>
      </c>
      <c r="M250">
        <v>96413.85</v>
      </c>
      <c r="N250">
        <v>28237.95</v>
      </c>
      <c r="O250">
        <v>68175.89</v>
      </c>
      <c r="P250">
        <v>37415.29</v>
      </c>
      <c r="Q250">
        <v>752255676.5</v>
      </c>
      <c r="R250">
        <v>753295270.89999998</v>
      </c>
      <c r="S250">
        <v>5.2999999999999999E-2</v>
      </c>
      <c r="T250">
        <v>3</v>
      </c>
      <c r="U250">
        <v>2.75E-2</v>
      </c>
      <c r="V250">
        <v>0.08</v>
      </c>
      <c r="X250">
        <v>90333.06</v>
      </c>
      <c r="Y250">
        <v>7.4999999999999997E-3</v>
      </c>
    </row>
    <row r="251" spans="1:25" x14ac:dyDescent="0.25">
      <c r="A251">
        <v>2020</v>
      </c>
      <c r="B251">
        <v>5</v>
      </c>
      <c r="C251" t="s">
        <v>308</v>
      </c>
      <c r="D251" t="s">
        <v>432</v>
      </c>
      <c r="E251" t="s">
        <v>433</v>
      </c>
      <c r="F251" t="s">
        <v>434</v>
      </c>
      <c r="G251" t="s">
        <v>435</v>
      </c>
      <c r="H251" t="s">
        <v>34</v>
      </c>
      <c r="I251" t="s">
        <v>23</v>
      </c>
      <c r="J251">
        <v>464505.24</v>
      </c>
      <c r="K251">
        <v>126600.17</v>
      </c>
      <c r="L251">
        <v>337905.07</v>
      </c>
      <c r="M251">
        <v>104221.6</v>
      </c>
      <c r="N251">
        <v>31972.32</v>
      </c>
      <c r="O251">
        <v>72249.27</v>
      </c>
      <c r="P251">
        <v>42363.33</v>
      </c>
      <c r="Q251">
        <v>788602749.70000005</v>
      </c>
      <c r="R251">
        <v>806902005.70000005</v>
      </c>
      <c r="S251">
        <v>5.2999999999999999E-2</v>
      </c>
      <c r="T251">
        <v>3</v>
      </c>
      <c r="U251">
        <v>2.75E-2</v>
      </c>
      <c r="V251">
        <v>0.08</v>
      </c>
      <c r="X251">
        <v>95730.29</v>
      </c>
      <c r="Y251">
        <v>7.4999999999999997E-3</v>
      </c>
    </row>
    <row r="252" spans="1:25" x14ac:dyDescent="0.25">
      <c r="A252">
        <v>2020</v>
      </c>
      <c r="B252">
        <v>5</v>
      </c>
      <c r="C252" t="s">
        <v>308</v>
      </c>
      <c r="D252" t="s">
        <v>309</v>
      </c>
      <c r="E252" t="s">
        <v>310</v>
      </c>
      <c r="F252" t="s">
        <v>430</v>
      </c>
      <c r="G252" t="s">
        <v>431</v>
      </c>
      <c r="H252" t="s">
        <v>34</v>
      </c>
      <c r="I252" t="s">
        <v>23</v>
      </c>
      <c r="J252">
        <v>1194013.45</v>
      </c>
      <c r="K252">
        <v>419169.21</v>
      </c>
      <c r="L252">
        <v>774844.24</v>
      </c>
      <c r="M252">
        <v>241808.77</v>
      </c>
      <c r="N252">
        <v>86901.56</v>
      </c>
      <c r="O252">
        <v>154907.21</v>
      </c>
      <c r="P252">
        <v>115144.57</v>
      </c>
      <c r="Q252">
        <v>1739864956</v>
      </c>
      <c r="R252">
        <v>1681002627</v>
      </c>
      <c r="S252">
        <v>5.2999999999999999E-2</v>
      </c>
      <c r="T252" t="s">
        <v>24</v>
      </c>
      <c r="U252">
        <v>3.5000000000000003E-2</v>
      </c>
      <c r="V252">
        <v>0.08</v>
      </c>
      <c r="X252">
        <v>205252.05</v>
      </c>
    </row>
    <row r="253" spans="1:25" x14ac:dyDescent="0.25">
      <c r="A253">
        <v>2020</v>
      </c>
      <c r="B253">
        <v>5</v>
      </c>
      <c r="C253" t="s">
        <v>311</v>
      </c>
      <c r="D253" t="s">
        <v>312</v>
      </c>
      <c r="E253" t="s">
        <v>313</v>
      </c>
      <c r="F253" t="s">
        <v>436</v>
      </c>
      <c r="G253" t="s">
        <v>437</v>
      </c>
      <c r="H253" t="s">
        <v>34</v>
      </c>
      <c r="I253" t="s">
        <v>23</v>
      </c>
      <c r="J253">
        <v>332735.40999999997</v>
      </c>
      <c r="K253">
        <v>74077.990000000005</v>
      </c>
      <c r="L253">
        <v>258657.42</v>
      </c>
      <c r="M253">
        <v>76706.16</v>
      </c>
      <c r="N253">
        <v>20034.96</v>
      </c>
      <c r="O253">
        <v>56671.199999999997</v>
      </c>
      <c r="P253">
        <v>26546.32</v>
      </c>
      <c r="Q253">
        <v>686699822.10000002</v>
      </c>
      <c r="R253">
        <v>766642212.10000002</v>
      </c>
      <c r="S253">
        <v>5.2999999999999999E-2</v>
      </c>
      <c r="T253">
        <v>3</v>
      </c>
      <c r="U253">
        <v>2.75E-2</v>
      </c>
      <c r="V253">
        <v>0.08</v>
      </c>
      <c r="X253">
        <v>75089.34</v>
      </c>
      <c r="Y253">
        <v>0.01</v>
      </c>
    </row>
    <row r="254" spans="1:25" x14ac:dyDescent="0.25">
      <c r="A254">
        <v>2020</v>
      </c>
      <c r="B254">
        <v>5</v>
      </c>
      <c r="C254" t="s">
        <v>311</v>
      </c>
      <c r="D254" t="s">
        <v>438</v>
      </c>
      <c r="E254" t="s">
        <v>439</v>
      </c>
      <c r="F254" t="s">
        <v>440</v>
      </c>
      <c r="G254" t="s">
        <v>441</v>
      </c>
      <c r="H254" t="s">
        <v>34</v>
      </c>
      <c r="I254" t="s">
        <v>23</v>
      </c>
      <c r="J254">
        <v>466846.51</v>
      </c>
      <c r="K254">
        <v>89970.01</v>
      </c>
      <c r="L254">
        <v>376876.51</v>
      </c>
      <c r="M254">
        <v>102496.48</v>
      </c>
      <c r="N254">
        <v>21991.95</v>
      </c>
      <c r="O254">
        <v>80504.53</v>
      </c>
      <c r="P254">
        <v>29139.33</v>
      </c>
      <c r="Q254">
        <v>610427771.39999998</v>
      </c>
      <c r="R254">
        <v>644495752.10000002</v>
      </c>
      <c r="S254">
        <v>5.2999999999999999E-2</v>
      </c>
      <c r="T254">
        <v>3</v>
      </c>
      <c r="U254">
        <v>2.75E-2</v>
      </c>
      <c r="V254">
        <v>0.08</v>
      </c>
      <c r="X254">
        <v>106668.5</v>
      </c>
    </row>
    <row r="255" spans="1:25" x14ac:dyDescent="0.25">
      <c r="A255">
        <v>2020</v>
      </c>
      <c r="B255">
        <v>5</v>
      </c>
      <c r="C255" t="s">
        <v>315</v>
      </c>
      <c r="D255" t="s">
        <v>316</v>
      </c>
      <c r="E255" t="s">
        <v>317</v>
      </c>
      <c r="F255" t="s">
        <v>442</v>
      </c>
      <c r="G255" t="s">
        <v>443</v>
      </c>
      <c r="H255" t="s">
        <v>34</v>
      </c>
      <c r="I255" t="s">
        <v>23</v>
      </c>
      <c r="J255">
        <v>1250620.3</v>
      </c>
      <c r="K255">
        <v>512216.37</v>
      </c>
      <c r="L255">
        <v>738403.93</v>
      </c>
      <c r="M255">
        <v>280736.21000000002</v>
      </c>
      <c r="N255">
        <v>113568.98</v>
      </c>
      <c r="O255">
        <v>167167.23000000001</v>
      </c>
      <c r="P255">
        <v>150478.9</v>
      </c>
      <c r="Q255">
        <v>1007972290</v>
      </c>
      <c r="R255">
        <v>1076701381</v>
      </c>
      <c r="S255">
        <v>5.2999999999999999E-2</v>
      </c>
      <c r="T255">
        <v>3</v>
      </c>
      <c r="U255">
        <v>2.75E-2</v>
      </c>
      <c r="V255">
        <v>0.1</v>
      </c>
      <c r="X255">
        <v>221496.58</v>
      </c>
    </row>
    <row r="256" spans="1:25" x14ac:dyDescent="0.25">
      <c r="A256">
        <v>2020</v>
      </c>
      <c r="B256">
        <v>5</v>
      </c>
      <c r="C256" t="s">
        <v>315</v>
      </c>
      <c r="D256" t="s">
        <v>444</v>
      </c>
      <c r="E256" t="s">
        <v>445</v>
      </c>
      <c r="F256" t="s">
        <v>446</v>
      </c>
      <c r="G256" t="s">
        <v>447</v>
      </c>
      <c r="H256" t="s">
        <v>34</v>
      </c>
      <c r="I256" t="s">
        <v>23</v>
      </c>
      <c r="J256">
        <v>1571114.01</v>
      </c>
      <c r="K256">
        <v>418518.54</v>
      </c>
      <c r="L256">
        <v>1152595.47</v>
      </c>
      <c r="M256">
        <v>376574.6</v>
      </c>
      <c r="N256">
        <v>104086.27</v>
      </c>
      <c r="O256">
        <v>272488.33</v>
      </c>
      <c r="P256">
        <v>137914.31</v>
      </c>
      <c r="Q256">
        <v>1081472994</v>
      </c>
      <c r="R256">
        <v>1198824100</v>
      </c>
      <c r="S256">
        <v>5.2999999999999999E-2</v>
      </c>
      <c r="T256">
        <v>1</v>
      </c>
      <c r="U256">
        <v>1.4999999999999999E-2</v>
      </c>
      <c r="V256">
        <v>0.1</v>
      </c>
      <c r="X256">
        <v>361047.03999999998</v>
      </c>
    </row>
    <row r="257" spans="1:25" x14ac:dyDescent="0.25">
      <c r="A257">
        <v>2020</v>
      </c>
      <c r="B257">
        <v>5</v>
      </c>
      <c r="C257" t="s">
        <v>318</v>
      </c>
      <c r="D257" t="s">
        <v>448</v>
      </c>
      <c r="E257" t="s">
        <v>449</v>
      </c>
      <c r="F257" t="s">
        <v>450</v>
      </c>
      <c r="G257" t="s">
        <v>451</v>
      </c>
      <c r="H257" t="s">
        <v>34</v>
      </c>
      <c r="I257" t="s">
        <v>23</v>
      </c>
      <c r="J257">
        <v>87901.7</v>
      </c>
      <c r="K257">
        <v>17083.689999999999</v>
      </c>
      <c r="L257">
        <v>70818.009999999995</v>
      </c>
      <c r="M257">
        <v>21441.45</v>
      </c>
      <c r="N257">
        <v>5707.36</v>
      </c>
      <c r="O257">
        <v>15734.1</v>
      </c>
      <c r="P257">
        <v>7562.25</v>
      </c>
      <c r="Q257">
        <v>173665922.90000001</v>
      </c>
      <c r="R257">
        <v>173795347.80000001</v>
      </c>
      <c r="S257">
        <v>5.2999999999999999E-2</v>
      </c>
      <c r="T257" t="s">
        <v>24</v>
      </c>
      <c r="U257">
        <v>3.5000000000000003E-2</v>
      </c>
      <c r="V257">
        <v>0.08</v>
      </c>
      <c r="X257">
        <v>20847.68</v>
      </c>
    </row>
    <row r="258" spans="1:25" x14ac:dyDescent="0.25">
      <c r="A258">
        <v>2020</v>
      </c>
      <c r="B258">
        <v>5</v>
      </c>
      <c r="C258" t="s">
        <v>318</v>
      </c>
      <c r="D258" t="s">
        <v>454</v>
      </c>
      <c r="E258" t="s">
        <v>455</v>
      </c>
      <c r="F258" t="s">
        <v>456</v>
      </c>
      <c r="G258" t="s">
        <v>457</v>
      </c>
      <c r="H258" t="s">
        <v>34</v>
      </c>
      <c r="I258" t="s">
        <v>23</v>
      </c>
      <c r="J258">
        <v>64373.36</v>
      </c>
      <c r="K258">
        <v>9008.7800000000007</v>
      </c>
      <c r="L258">
        <v>55364.58</v>
      </c>
      <c r="M258">
        <v>13706.17</v>
      </c>
      <c r="N258">
        <v>1960.55</v>
      </c>
      <c r="O258">
        <v>11745.62</v>
      </c>
      <c r="P258">
        <v>2597.73</v>
      </c>
      <c r="Q258">
        <v>129620913</v>
      </c>
      <c r="R258">
        <v>129761594.8</v>
      </c>
      <c r="S258">
        <v>5.2999999999999999E-2</v>
      </c>
      <c r="T258">
        <v>3</v>
      </c>
      <c r="U258">
        <v>2.75E-2</v>
      </c>
      <c r="V258">
        <v>0.08</v>
      </c>
      <c r="X258">
        <v>15562.95</v>
      </c>
      <c r="Y258">
        <v>7.4999999999999997E-3</v>
      </c>
    </row>
    <row r="259" spans="1:25" x14ac:dyDescent="0.25">
      <c r="A259">
        <v>2020</v>
      </c>
      <c r="B259">
        <v>5</v>
      </c>
      <c r="C259" t="s">
        <v>318</v>
      </c>
      <c r="D259" t="s">
        <v>319</v>
      </c>
      <c r="E259" t="s">
        <v>320</v>
      </c>
      <c r="F259" t="s">
        <v>452</v>
      </c>
      <c r="G259" t="s">
        <v>453</v>
      </c>
      <c r="H259" t="s">
        <v>34</v>
      </c>
      <c r="I259" t="s">
        <v>23</v>
      </c>
      <c r="J259">
        <v>182513.47</v>
      </c>
      <c r="K259">
        <v>40598.879999999997</v>
      </c>
      <c r="L259">
        <v>141914.59</v>
      </c>
      <c r="M259">
        <v>41604.43</v>
      </c>
      <c r="N259">
        <v>10878.17</v>
      </c>
      <c r="O259">
        <v>30726.26</v>
      </c>
      <c r="P259">
        <v>14413.57</v>
      </c>
      <c r="Q259">
        <v>341261016.19999999</v>
      </c>
      <c r="R259">
        <v>337277243.89999998</v>
      </c>
      <c r="S259">
        <v>5.2999999999999999E-2</v>
      </c>
      <c r="T259">
        <v>3</v>
      </c>
      <c r="U259">
        <v>2.75E-2</v>
      </c>
      <c r="V259">
        <v>0.08</v>
      </c>
      <c r="X259">
        <v>40712.300000000003</v>
      </c>
      <c r="Y259">
        <v>7.4999999999999997E-3</v>
      </c>
    </row>
    <row r="260" spans="1:25" x14ac:dyDescent="0.25">
      <c r="A260">
        <v>2020</v>
      </c>
      <c r="B260">
        <v>5</v>
      </c>
      <c r="C260" t="s">
        <v>321</v>
      </c>
      <c r="D260" t="s">
        <v>322</v>
      </c>
      <c r="E260" t="s">
        <v>323</v>
      </c>
      <c r="F260" t="s">
        <v>458</v>
      </c>
      <c r="G260" t="s">
        <v>459</v>
      </c>
      <c r="H260" t="s">
        <v>34</v>
      </c>
      <c r="I260" t="s">
        <v>23</v>
      </c>
      <c r="J260">
        <v>1353484.11</v>
      </c>
      <c r="K260">
        <v>720265.65</v>
      </c>
      <c r="L260">
        <v>633218.46</v>
      </c>
      <c r="M260">
        <v>304158.32</v>
      </c>
      <c r="N260">
        <v>162900.01</v>
      </c>
      <c r="O260">
        <v>141258.31</v>
      </c>
      <c r="P260">
        <v>215842.51</v>
      </c>
      <c r="Q260">
        <v>1490780442</v>
      </c>
      <c r="R260">
        <v>1628673933</v>
      </c>
      <c r="S260">
        <v>5.2999999999999999E-2</v>
      </c>
      <c r="T260" t="s">
        <v>24</v>
      </c>
      <c r="U260">
        <v>3.5000000000000003E-2</v>
      </c>
      <c r="V260">
        <v>0.08</v>
      </c>
      <c r="X260">
        <v>187167.26</v>
      </c>
    </row>
    <row r="261" spans="1:25" x14ac:dyDescent="0.25">
      <c r="A261">
        <v>2020</v>
      </c>
      <c r="B261">
        <v>5</v>
      </c>
      <c r="C261" t="s">
        <v>324</v>
      </c>
      <c r="D261" t="s">
        <v>462</v>
      </c>
      <c r="E261" t="s">
        <v>463</v>
      </c>
      <c r="F261" t="s">
        <v>464</v>
      </c>
      <c r="G261" t="s">
        <v>465</v>
      </c>
      <c r="H261" t="s">
        <v>34</v>
      </c>
      <c r="I261" t="s">
        <v>23</v>
      </c>
      <c r="J261">
        <v>567986.89</v>
      </c>
      <c r="K261">
        <v>257368.95</v>
      </c>
      <c r="L261">
        <v>310617.94</v>
      </c>
      <c r="M261">
        <v>126501.73</v>
      </c>
      <c r="N261">
        <v>57773.23</v>
      </c>
      <c r="O261">
        <v>68728.5</v>
      </c>
      <c r="P261">
        <v>76549.53</v>
      </c>
      <c r="Q261">
        <v>739984301.70000005</v>
      </c>
      <c r="R261">
        <v>777770024.70000005</v>
      </c>
      <c r="S261">
        <v>5.2999999999999999E-2</v>
      </c>
      <c r="T261" t="s">
        <v>24</v>
      </c>
      <c r="U261">
        <v>3.5000000000000003E-2</v>
      </c>
      <c r="V261">
        <v>0.08</v>
      </c>
      <c r="X261">
        <v>91065.26</v>
      </c>
    </row>
    <row r="262" spans="1:25" x14ac:dyDescent="0.25">
      <c r="A262">
        <v>2020</v>
      </c>
      <c r="B262">
        <v>5</v>
      </c>
      <c r="C262" t="s">
        <v>324</v>
      </c>
      <c r="D262" t="s">
        <v>325</v>
      </c>
      <c r="E262" t="s">
        <v>326</v>
      </c>
      <c r="F262" t="s">
        <v>460</v>
      </c>
      <c r="G262" t="s">
        <v>461</v>
      </c>
      <c r="H262" t="s">
        <v>34</v>
      </c>
      <c r="I262" t="s">
        <v>23</v>
      </c>
      <c r="J262">
        <v>653947.98</v>
      </c>
      <c r="K262">
        <v>311236.07</v>
      </c>
      <c r="L262">
        <v>342711.91</v>
      </c>
      <c r="M262">
        <v>151914.76999999999</v>
      </c>
      <c r="N262">
        <v>72054.69</v>
      </c>
      <c r="O262">
        <v>79860.08</v>
      </c>
      <c r="P262">
        <v>95472.46</v>
      </c>
      <c r="Q262">
        <v>854883398.5</v>
      </c>
      <c r="R262">
        <v>908693386.89999998</v>
      </c>
      <c r="S262">
        <v>5.2999999999999999E-2</v>
      </c>
      <c r="T262">
        <v>3</v>
      </c>
      <c r="U262">
        <v>2.75E-2</v>
      </c>
      <c r="V262">
        <v>0.08</v>
      </c>
      <c r="X262">
        <v>105814.61</v>
      </c>
      <c r="Y262">
        <v>7.4999999999999997E-3</v>
      </c>
    </row>
    <row r="263" spans="1:25" x14ac:dyDescent="0.25">
      <c r="A263">
        <v>2020</v>
      </c>
      <c r="B263">
        <v>5</v>
      </c>
      <c r="C263" t="s">
        <v>327</v>
      </c>
      <c r="D263" t="s">
        <v>328</v>
      </c>
      <c r="E263" t="s">
        <v>329</v>
      </c>
      <c r="F263" t="s">
        <v>470</v>
      </c>
      <c r="G263" t="s">
        <v>471</v>
      </c>
      <c r="H263" t="s">
        <v>34</v>
      </c>
      <c r="I263" t="s">
        <v>23</v>
      </c>
      <c r="J263">
        <v>316807.59999999998</v>
      </c>
      <c r="K263">
        <v>107424.38</v>
      </c>
      <c r="L263">
        <v>209383.22</v>
      </c>
      <c r="M263">
        <v>74357.97</v>
      </c>
      <c r="N263">
        <v>27231.8</v>
      </c>
      <c r="O263">
        <v>47126.17</v>
      </c>
      <c r="P263">
        <v>36082.14</v>
      </c>
      <c r="Q263">
        <v>518907900.10000002</v>
      </c>
      <c r="R263">
        <v>521794976.69999999</v>
      </c>
      <c r="S263">
        <v>5.2999999999999999E-2</v>
      </c>
      <c r="T263">
        <v>3</v>
      </c>
      <c r="U263">
        <v>2.75E-2</v>
      </c>
      <c r="V263">
        <v>0.08</v>
      </c>
      <c r="X263">
        <v>62442.17</v>
      </c>
      <c r="Y263">
        <v>7.4999999999999997E-3</v>
      </c>
    </row>
    <row r="264" spans="1:25" x14ac:dyDescent="0.25">
      <c r="A264">
        <v>2020</v>
      </c>
      <c r="B264">
        <v>5</v>
      </c>
      <c r="C264" t="s">
        <v>327</v>
      </c>
      <c r="D264" t="s">
        <v>472</v>
      </c>
      <c r="E264" t="s">
        <v>473</v>
      </c>
      <c r="F264" t="s">
        <v>474</v>
      </c>
      <c r="G264" t="s">
        <v>475</v>
      </c>
      <c r="H264" t="s">
        <v>34</v>
      </c>
      <c r="I264" t="s">
        <v>23</v>
      </c>
      <c r="J264">
        <v>137263.19</v>
      </c>
      <c r="K264">
        <v>36932.11</v>
      </c>
      <c r="L264">
        <v>100331.09</v>
      </c>
      <c r="M264">
        <v>34144.28</v>
      </c>
      <c r="N264">
        <v>11021.3</v>
      </c>
      <c r="O264">
        <v>23122.98</v>
      </c>
      <c r="P264">
        <v>14603.22</v>
      </c>
      <c r="Q264">
        <v>254627433.30000001</v>
      </c>
      <c r="R264">
        <v>256005008.40000001</v>
      </c>
      <c r="S264">
        <v>5.2999999999999999E-2</v>
      </c>
      <c r="T264">
        <v>3</v>
      </c>
      <c r="U264">
        <v>2.75E-2</v>
      </c>
      <c r="V264">
        <v>0.08</v>
      </c>
      <c r="X264">
        <v>30637.95</v>
      </c>
      <c r="Y264">
        <v>7.4999999999999997E-3</v>
      </c>
    </row>
    <row r="265" spans="1:25" x14ac:dyDescent="0.25">
      <c r="A265">
        <v>2020</v>
      </c>
      <c r="B265">
        <v>5</v>
      </c>
      <c r="C265" t="s">
        <v>327</v>
      </c>
      <c r="D265" t="s">
        <v>466</v>
      </c>
      <c r="E265" t="s">
        <v>467</v>
      </c>
      <c r="F265" t="s">
        <v>468</v>
      </c>
      <c r="G265" t="s">
        <v>469</v>
      </c>
      <c r="H265" t="s">
        <v>34</v>
      </c>
      <c r="I265" t="s">
        <v>23</v>
      </c>
      <c r="J265">
        <v>292791.84000000003</v>
      </c>
      <c r="K265">
        <v>87676.75</v>
      </c>
      <c r="L265">
        <v>205115.1</v>
      </c>
      <c r="M265">
        <v>66866.899999999994</v>
      </c>
      <c r="N265">
        <v>22847.17</v>
      </c>
      <c r="O265">
        <v>44019.73</v>
      </c>
      <c r="P265">
        <v>30272.5</v>
      </c>
      <c r="Q265">
        <v>484736431</v>
      </c>
      <c r="R265">
        <v>487365901.89999998</v>
      </c>
      <c r="S265">
        <v>5.2999999999999999E-2</v>
      </c>
      <c r="T265">
        <v>3</v>
      </c>
      <c r="U265">
        <v>2.75E-2</v>
      </c>
      <c r="V265">
        <v>0.08</v>
      </c>
      <c r="X265">
        <v>58326.14</v>
      </c>
      <c r="Y265">
        <v>7.4999999999999997E-3</v>
      </c>
    </row>
    <row r="266" spans="1:25" x14ac:dyDescent="0.25">
      <c r="A266">
        <v>2020</v>
      </c>
      <c r="B266">
        <v>5</v>
      </c>
      <c r="C266" t="s">
        <v>333</v>
      </c>
      <c r="D266" t="s">
        <v>478</v>
      </c>
      <c r="E266" t="s">
        <v>479</v>
      </c>
      <c r="F266" t="s">
        <v>480</v>
      </c>
      <c r="G266" t="s">
        <v>481</v>
      </c>
      <c r="H266" t="s">
        <v>34</v>
      </c>
      <c r="I266" t="s">
        <v>23</v>
      </c>
      <c r="J266">
        <v>116539.97</v>
      </c>
      <c r="K266">
        <v>52536.2</v>
      </c>
      <c r="L266">
        <v>64003.76</v>
      </c>
      <c r="M266">
        <v>26153.09</v>
      </c>
      <c r="N266">
        <v>12694.34</v>
      </c>
      <c r="O266">
        <v>13458.75</v>
      </c>
      <c r="P266">
        <v>16820</v>
      </c>
      <c r="Q266">
        <v>148101630.30000001</v>
      </c>
      <c r="R266">
        <v>149112366.40000001</v>
      </c>
      <c r="S266">
        <v>5.2999999999999999E-2</v>
      </c>
      <c r="T266" t="s">
        <v>24</v>
      </c>
      <c r="U266">
        <v>3.5000000000000003E-2</v>
      </c>
      <c r="V266">
        <v>0.08</v>
      </c>
      <c r="X266">
        <v>17832.84</v>
      </c>
    </row>
    <row r="267" spans="1:25" x14ac:dyDescent="0.25">
      <c r="A267">
        <v>2020</v>
      </c>
      <c r="B267">
        <v>5</v>
      </c>
      <c r="C267" t="s">
        <v>333</v>
      </c>
      <c r="D267" t="s">
        <v>334</v>
      </c>
      <c r="E267" t="s">
        <v>335</v>
      </c>
      <c r="F267" t="s">
        <v>476</v>
      </c>
      <c r="G267" t="s">
        <v>477</v>
      </c>
      <c r="H267" t="s">
        <v>34</v>
      </c>
      <c r="I267" t="s">
        <v>23</v>
      </c>
      <c r="J267">
        <v>98356.61</v>
      </c>
      <c r="K267">
        <v>31974.2</v>
      </c>
      <c r="L267">
        <v>66382.41</v>
      </c>
      <c r="M267">
        <v>21275.89</v>
      </c>
      <c r="N267">
        <v>6836.55</v>
      </c>
      <c r="O267">
        <v>14439.34</v>
      </c>
      <c r="P267">
        <v>9058.43</v>
      </c>
      <c r="Q267">
        <v>159157101.80000001</v>
      </c>
      <c r="R267">
        <v>159711587.30000001</v>
      </c>
      <c r="S267">
        <v>5.2999999999999999E-2</v>
      </c>
      <c r="T267" t="s">
        <v>24</v>
      </c>
      <c r="U267">
        <v>3.5000000000000003E-2</v>
      </c>
      <c r="V267">
        <v>0.08</v>
      </c>
      <c r="X267">
        <v>19132.12</v>
      </c>
    </row>
    <row r="268" spans="1:25" x14ac:dyDescent="0.25">
      <c r="A268">
        <v>2020</v>
      </c>
      <c r="B268">
        <v>5</v>
      </c>
      <c r="C268" t="s">
        <v>336</v>
      </c>
      <c r="D268" t="s">
        <v>337</v>
      </c>
      <c r="E268" t="s">
        <v>338</v>
      </c>
      <c r="F268" t="s">
        <v>486</v>
      </c>
      <c r="G268" t="s">
        <v>487</v>
      </c>
      <c r="H268" t="s">
        <v>34</v>
      </c>
      <c r="I268" t="s">
        <v>23</v>
      </c>
      <c r="J268">
        <v>234940.67</v>
      </c>
      <c r="K268">
        <v>142626.25</v>
      </c>
      <c r="L268">
        <v>92314.42</v>
      </c>
      <c r="M268">
        <v>53677.54</v>
      </c>
      <c r="N268">
        <v>31668.080000000002</v>
      </c>
      <c r="O268">
        <v>22009.47</v>
      </c>
      <c r="P268">
        <v>41960.2</v>
      </c>
      <c r="Q268">
        <v>238096575.80000001</v>
      </c>
      <c r="R268">
        <v>247945810.09999999</v>
      </c>
      <c r="S268">
        <v>5.2999999999999999E-2</v>
      </c>
      <c r="T268">
        <v>3</v>
      </c>
      <c r="U268">
        <v>2.75E-2</v>
      </c>
      <c r="V268">
        <v>0.08</v>
      </c>
      <c r="X268">
        <v>29162.54</v>
      </c>
      <c r="Y268">
        <v>7.4999999999999997E-3</v>
      </c>
    </row>
    <row r="269" spans="1:25" x14ac:dyDescent="0.25">
      <c r="A269">
        <v>2020</v>
      </c>
      <c r="B269">
        <v>5</v>
      </c>
      <c r="C269" t="s">
        <v>336</v>
      </c>
      <c r="D269" t="s">
        <v>482</v>
      </c>
      <c r="E269" t="s">
        <v>483</v>
      </c>
      <c r="F269" t="s">
        <v>484</v>
      </c>
      <c r="G269" t="s">
        <v>485</v>
      </c>
      <c r="H269" t="s">
        <v>34</v>
      </c>
      <c r="I269" t="s">
        <v>23</v>
      </c>
      <c r="J269">
        <v>234988.19</v>
      </c>
      <c r="K269">
        <v>142694.64000000001</v>
      </c>
      <c r="L269">
        <v>92293.55</v>
      </c>
      <c r="M269">
        <v>53508.11</v>
      </c>
      <c r="N269">
        <v>31525.67</v>
      </c>
      <c r="O269">
        <v>21982.44</v>
      </c>
      <c r="P269">
        <v>41771.51</v>
      </c>
      <c r="Q269">
        <v>237839304.80000001</v>
      </c>
      <c r="R269">
        <v>247606344.80000001</v>
      </c>
      <c r="S269">
        <v>5.2999999999999999E-2</v>
      </c>
      <c r="T269" t="s">
        <v>24</v>
      </c>
      <c r="U269">
        <v>3.5000000000000003E-2</v>
      </c>
      <c r="V269">
        <v>0.08</v>
      </c>
      <c r="X269">
        <v>29126.74</v>
      </c>
    </row>
    <row r="270" spans="1:25" x14ac:dyDescent="0.25">
      <c r="A270">
        <v>2020</v>
      </c>
      <c r="B270">
        <v>5</v>
      </c>
      <c r="C270" t="s">
        <v>340</v>
      </c>
      <c r="D270" t="s">
        <v>341</v>
      </c>
      <c r="E270" t="s">
        <v>342</v>
      </c>
      <c r="F270" t="s">
        <v>488</v>
      </c>
      <c r="G270" t="s">
        <v>489</v>
      </c>
      <c r="H270" t="s">
        <v>34</v>
      </c>
      <c r="I270" t="s">
        <v>23</v>
      </c>
      <c r="J270">
        <v>1809048.64</v>
      </c>
      <c r="K270">
        <v>917908.11</v>
      </c>
      <c r="L270">
        <v>891140.52</v>
      </c>
      <c r="M270">
        <v>393555.73</v>
      </c>
      <c r="N270">
        <v>202488.72</v>
      </c>
      <c r="O270">
        <v>191067.01</v>
      </c>
      <c r="P270">
        <v>268297.55</v>
      </c>
      <c r="Q270">
        <v>2065276842</v>
      </c>
      <c r="R270">
        <v>2154119588</v>
      </c>
      <c r="S270">
        <v>5.2999999999999999E-2</v>
      </c>
      <c r="T270">
        <v>3</v>
      </c>
      <c r="U270">
        <v>2.75E-2</v>
      </c>
      <c r="V270">
        <v>0.08</v>
      </c>
      <c r="X270">
        <v>253163.79</v>
      </c>
      <c r="Y270">
        <v>7.4999999999999997E-3</v>
      </c>
    </row>
    <row r="271" spans="1:25" x14ac:dyDescent="0.25">
      <c r="A271">
        <v>2020</v>
      </c>
      <c r="B271">
        <v>5</v>
      </c>
      <c r="C271" t="s">
        <v>343</v>
      </c>
      <c r="D271" t="s">
        <v>344</v>
      </c>
      <c r="E271" t="s">
        <v>345</v>
      </c>
      <c r="F271" t="s">
        <v>490</v>
      </c>
      <c r="G271" t="s">
        <v>491</v>
      </c>
      <c r="H271" t="s">
        <v>34</v>
      </c>
      <c r="I271" t="s">
        <v>23</v>
      </c>
      <c r="J271">
        <v>689897.31</v>
      </c>
      <c r="K271">
        <v>340997.99</v>
      </c>
      <c r="L271">
        <v>348899.32</v>
      </c>
      <c r="M271">
        <v>192712.22</v>
      </c>
      <c r="N271">
        <v>103841.06</v>
      </c>
      <c r="O271">
        <v>88871.17</v>
      </c>
      <c r="P271">
        <v>137589.4</v>
      </c>
      <c r="Q271">
        <v>908788026.60000002</v>
      </c>
      <c r="R271">
        <v>1053783596</v>
      </c>
      <c r="S271">
        <v>5.2999999999999999E-2</v>
      </c>
      <c r="T271">
        <v>3</v>
      </c>
      <c r="U271">
        <v>2.75E-2</v>
      </c>
      <c r="V271">
        <v>0.08</v>
      </c>
      <c r="X271">
        <v>117754.3</v>
      </c>
      <c r="Y271">
        <v>7.4999999999999997E-3</v>
      </c>
    </row>
    <row r="272" spans="1:25" x14ac:dyDescent="0.25">
      <c r="A272">
        <v>2020</v>
      </c>
      <c r="B272">
        <v>5</v>
      </c>
      <c r="C272" t="s">
        <v>346</v>
      </c>
      <c r="D272" t="s">
        <v>500</v>
      </c>
      <c r="E272" t="s">
        <v>501</v>
      </c>
      <c r="F272" t="s">
        <v>502</v>
      </c>
      <c r="G272" t="s">
        <v>503</v>
      </c>
      <c r="H272" t="s">
        <v>34</v>
      </c>
      <c r="I272" t="s">
        <v>23</v>
      </c>
      <c r="J272">
        <v>304029.48</v>
      </c>
      <c r="K272">
        <v>73910.45</v>
      </c>
      <c r="L272">
        <v>230119.03</v>
      </c>
      <c r="M272">
        <v>66421.070000000007</v>
      </c>
      <c r="N272">
        <v>16090.38</v>
      </c>
      <c r="O272">
        <v>50330.69</v>
      </c>
      <c r="P272">
        <v>21319.759999999998</v>
      </c>
      <c r="Q272">
        <v>545621536.20000005</v>
      </c>
      <c r="R272">
        <v>565847802.89999998</v>
      </c>
      <c r="S272">
        <v>5.2999999999999999E-2</v>
      </c>
      <c r="T272">
        <v>3</v>
      </c>
      <c r="U272">
        <v>2.75E-2</v>
      </c>
      <c r="V272">
        <v>0.08</v>
      </c>
      <c r="X272">
        <v>66688.160000000003</v>
      </c>
      <c r="Y272">
        <v>7.4999999999999997E-3</v>
      </c>
    </row>
    <row r="273" spans="1:25" x14ac:dyDescent="0.25">
      <c r="A273">
        <v>2020</v>
      </c>
      <c r="B273">
        <v>5</v>
      </c>
      <c r="C273" t="s">
        <v>346</v>
      </c>
      <c r="D273" t="s">
        <v>496</v>
      </c>
      <c r="E273" t="s">
        <v>497</v>
      </c>
      <c r="F273" t="s">
        <v>498</v>
      </c>
      <c r="G273" t="s">
        <v>499</v>
      </c>
      <c r="H273" t="s">
        <v>34</v>
      </c>
      <c r="I273" t="s">
        <v>23</v>
      </c>
      <c r="J273">
        <v>273246.19</v>
      </c>
      <c r="K273">
        <v>60679.34</v>
      </c>
      <c r="L273">
        <v>212566.86</v>
      </c>
      <c r="M273">
        <v>58040.04</v>
      </c>
      <c r="N273">
        <v>12517.68</v>
      </c>
      <c r="O273">
        <v>45522.37</v>
      </c>
      <c r="P273">
        <v>16585.919999999998</v>
      </c>
      <c r="Q273">
        <v>491359368.5</v>
      </c>
      <c r="R273">
        <v>513926282.60000002</v>
      </c>
      <c r="S273">
        <v>5.2999999999999999E-2</v>
      </c>
      <c r="T273" t="s">
        <v>24</v>
      </c>
      <c r="U273">
        <v>3.5000000000000003E-2</v>
      </c>
      <c r="V273">
        <v>0.08</v>
      </c>
      <c r="X273">
        <v>60317.14</v>
      </c>
    </row>
    <row r="274" spans="1:25" x14ac:dyDescent="0.25">
      <c r="A274">
        <v>2020</v>
      </c>
      <c r="B274">
        <v>5</v>
      </c>
      <c r="C274" t="s">
        <v>346</v>
      </c>
      <c r="D274" t="s">
        <v>347</v>
      </c>
      <c r="E274" t="s">
        <v>348</v>
      </c>
      <c r="F274" t="s">
        <v>492</v>
      </c>
      <c r="G274" t="s">
        <v>493</v>
      </c>
      <c r="H274" t="s">
        <v>34</v>
      </c>
      <c r="I274" t="s">
        <v>23</v>
      </c>
      <c r="J274">
        <v>122069.16</v>
      </c>
      <c r="K274">
        <v>49.8</v>
      </c>
      <c r="L274">
        <v>122019.36</v>
      </c>
      <c r="M274">
        <v>24873.77</v>
      </c>
      <c r="N274">
        <v>26.52</v>
      </c>
      <c r="O274">
        <v>24847.25</v>
      </c>
      <c r="P274">
        <v>35.14</v>
      </c>
      <c r="Q274">
        <v>544084799.20000005</v>
      </c>
      <c r="R274">
        <v>553335360.10000002</v>
      </c>
      <c r="S274">
        <v>5.2999999999999999E-2</v>
      </c>
      <c r="T274">
        <v>3</v>
      </c>
      <c r="U274">
        <v>2.75E-2</v>
      </c>
      <c r="V274">
        <v>0.04</v>
      </c>
      <c r="X274">
        <v>32922.6</v>
      </c>
      <c r="Y274">
        <v>7.4999999999999997E-3</v>
      </c>
    </row>
    <row r="275" spans="1:25" x14ac:dyDescent="0.25">
      <c r="A275">
        <v>2020</v>
      </c>
      <c r="B275">
        <v>5</v>
      </c>
      <c r="C275" t="s">
        <v>346</v>
      </c>
      <c r="D275" t="s">
        <v>347</v>
      </c>
      <c r="E275" t="s">
        <v>348</v>
      </c>
      <c r="F275" t="s">
        <v>494</v>
      </c>
      <c r="G275" t="s">
        <v>495</v>
      </c>
      <c r="H275" t="s">
        <v>34</v>
      </c>
      <c r="I275" t="s">
        <v>23</v>
      </c>
      <c r="J275">
        <v>280182.36</v>
      </c>
      <c r="K275">
        <v>54824.89</v>
      </c>
      <c r="L275">
        <v>225357.46</v>
      </c>
      <c r="M275">
        <v>63949.21</v>
      </c>
      <c r="N275">
        <v>12887.89</v>
      </c>
      <c r="O275">
        <v>51061.32</v>
      </c>
      <c r="P275">
        <v>17076.45</v>
      </c>
      <c r="Q275">
        <v>541450189.89999998</v>
      </c>
      <c r="R275">
        <v>586154059.70000005</v>
      </c>
      <c r="S275">
        <v>5.2999999999999999E-2</v>
      </c>
      <c r="T275" t="s">
        <v>24</v>
      </c>
      <c r="U275">
        <v>3.5000000000000003E-2</v>
      </c>
      <c r="V275">
        <v>0.08</v>
      </c>
      <c r="X275">
        <v>67656.25</v>
      </c>
    </row>
    <row r="276" spans="1:25" x14ac:dyDescent="0.25">
      <c r="A276">
        <v>2020</v>
      </c>
      <c r="B276">
        <v>5</v>
      </c>
      <c r="C276" t="s">
        <v>349</v>
      </c>
      <c r="D276" t="s">
        <v>350</v>
      </c>
      <c r="E276" t="s">
        <v>351</v>
      </c>
      <c r="F276" t="s">
        <v>518</v>
      </c>
      <c r="G276" t="s">
        <v>519</v>
      </c>
      <c r="H276" t="s">
        <v>34</v>
      </c>
      <c r="I276" t="s">
        <v>23</v>
      </c>
      <c r="J276">
        <v>3859407.55</v>
      </c>
      <c r="K276">
        <v>1992197.64</v>
      </c>
      <c r="L276">
        <v>1867209.92</v>
      </c>
      <c r="M276">
        <v>807107.46</v>
      </c>
      <c r="N276">
        <v>417037.31</v>
      </c>
      <c r="O276">
        <v>390070.15</v>
      </c>
      <c r="P276">
        <v>552574.43999999994</v>
      </c>
      <c r="Q276">
        <v>4280834686</v>
      </c>
      <c r="R276">
        <v>4333214358</v>
      </c>
      <c r="S276">
        <v>5.2999999999999999E-2</v>
      </c>
      <c r="T276">
        <v>3</v>
      </c>
      <c r="U276">
        <v>2.75E-2</v>
      </c>
      <c r="V276">
        <v>0.08</v>
      </c>
      <c r="X276">
        <v>516842.94</v>
      </c>
      <c r="Y276">
        <v>7.4999999999999997E-3</v>
      </c>
    </row>
    <row r="277" spans="1:25" x14ac:dyDescent="0.25">
      <c r="A277">
        <v>2020</v>
      </c>
      <c r="B277">
        <v>5</v>
      </c>
      <c r="C277" t="s">
        <v>349</v>
      </c>
      <c r="D277" t="s">
        <v>506</v>
      </c>
      <c r="E277" t="s">
        <v>507</v>
      </c>
      <c r="F277" t="s">
        <v>508</v>
      </c>
      <c r="G277" t="s">
        <v>509</v>
      </c>
      <c r="H277" t="s">
        <v>34</v>
      </c>
      <c r="I277" t="s">
        <v>23</v>
      </c>
      <c r="J277">
        <v>849211.94</v>
      </c>
      <c r="K277">
        <v>268018.81</v>
      </c>
      <c r="L277">
        <v>581193.13</v>
      </c>
      <c r="M277">
        <v>177681.38</v>
      </c>
      <c r="N277">
        <v>57347.55</v>
      </c>
      <c r="O277">
        <v>120333.83</v>
      </c>
      <c r="P277">
        <v>75985.5</v>
      </c>
      <c r="Q277">
        <v>1322366100</v>
      </c>
      <c r="R277">
        <v>1335005993</v>
      </c>
      <c r="S277">
        <v>5.2999999999999999E-2</v>
      </c>
      <c r="T277" t="s">
        <v>24</v>
      </c>
      <c r="U277">
        <v>3.5000000000000003E-2</v>
      </c>
      <c r="V277">
        <v>0.08</v>
      </c>
      <c r="X277">
        <v>159442.32999999999</v>
      </c>
    </row>
    <row r="278" spans="1:25" x14ac:dyDescent="0.25">
      <c r="A278">
        <v>2020</v>
      </c>
      <c r="B278">
        <v>5</v>
      </c>
      <c r="C278" t="s">
        <v>349</v>
      </c>
      <c r="D278" t="s">
        <v>514</v>
      </c>
      <c r="E278" t="s">
        <v>515</v>
      </c>
      <c r="F278" t="s">
        <v>516</v>
      </c>
      <c r="G278" t="s">
        <v>517</v>
      </c>
      <c r="H278" t="s">
        <v>34</v>
      </c>
      <c r="I278" t="s">
        <v>23</v>
      </c>
      <c r="J278">
        <v>221887.83</v>
      </c>
      <c r="K278">
        <v>80100.66</v>
      </c>
      <c r="L278">
        <v>141787.17000000001</v>
      </c>
      <c r="M278">
        <v>46971.82</v>
      </c>
      <c r="N278">
        <v>17610.5</v>
      </c>
      <c r="O278">
        <v>29361.33</v>
      </c>
      <c r="P278">
        <v>23333.91</v>
      </c>
      <c r="Q278">
        <v>314606806.5</v>
      </c>
      <c r="R278">
        <v>333789137.89999998</v>
      </c>
      <c r="S278">
        <v>5.2999999999999999E-2</v>
      </c>
      <c r="T278">
        <v>3</v>
      </c>
      <c r="U278">
        <v>2.75E-2</v>
      </c>
      <c r="V278">
        <v>0.08</v>
      </c>
      <c r="X278">
        <v>38903.760000000002</v>
      </c>
      <c r="Y278">
        <v>7.4999999999999997E-3</v>
      </c>
    </row>
    <row r="279" spans="1:25" x14ac:dyDescent="0.25">
      <c r="A279">
        <v>2020</v>
      </c>
      <c r="B279">
        <v>5</v>
      </c>
      <c r="C279" t="s">
        <v>349</v>
      </c>
      <c r="D279" t="s">
        <v>350</v>
      </c>
      <c r="E279" t="s">
        <v>351</v>
      </c>
      <c r="F279" t="s">
        <v>504</v>
      </c>
      <c r="G279" t="s">
        <v>505</v>
      </c>
      <c r="H279" t="s">
        <v>34</v>
      </c>
      <c r="I279" t="s">
        <v>23</v>
      </c>
      <c r="J279">
        <v>33041.839999999997</v>
      </c>
      <c r="K279">
        <v>115.12</v>
      </c>
      <c r="L279">
        <v>32926.720000000001</v>
      </c>
      <c r="M279">
        <v>6286.45</v>
      </c>
      <c r="N279">
        <v>22.88</v>
      </c>
      <c r="O279">
        <v>6263.56</v>
      </c>
      <c r="P279">
        <v>30.32</v>
      </c>
      <c r="Q279">
        <v>30825069.600000001</v>
      </c>
      <c r="R279">
        <v>21591078.02</v>
      </c>
      <c r="S279">
        <v>5.2999999999999999E-2</v>
      </c>
      <c r="T279">
        <v>1</v>
      </c>
      <c r="U279">
        <v>1.4999999999999999E-2</v>
      </c>
      <c r="V279">
        <v>0.1</v>
      </c>
      <c r="X279">
        <v>8299.2199999999993</v>
      </c>
    </row>
    <row r="280" spans="1:25" x14ac:dyDescent="0.25">
      <c r="A280">
        <v>2020</v>
      </c>
      <c r="B280">
        <v>5</v>
      </c>
      <c r="C280" t="s">
        <v>349</v>
      </c>
      <c r="D280" t="s">
        <v>510</v>
      </c>
      <c r="E280" t="s">
        <v>511</v>
      </c>
      <c r="F280" t="s">
        <v>512</v>
      </c>
      <c r="G280" t="s">
        <v>513</v>
      </c>
      <c r="H280" t="s">
        <v>34</v>
      </c>
      <c r="I280" t="s">
        <v>23</v>
      </c>
      <c r="J280">
        <v>433168.66</v>
      </c>
      <c r="K280">
        <v>166885.18</v>
      </c>
      <c r="L280">
        <v>266283.46999999997</v>
      </c>
      <c r="M280">
        <v>97051.1</v>
      </c>
      <c r="N280">
        <v>38042.080000000002</v>
      </c>
      <c r="O280">
        <v>59009.02</v>
      </c>
      <c r="P280">
        <v>50405.760000000002</v>
      </c>
      <c r="Q280">
        <v>643073014.10000002</v>
      </c>
      <c r="R280">
        <v>660042846.39999998</v>
      </c>
      <c r="S280">
        <v>5.2999999999999999E-2</v>
      </c>
      <c r="T280">
        <v>3</v>
      </c>
      <c r="U280">
        <v>2.75E-2</v>
      </c>
      <c r="V280">
        <v>0.08</v>
      </c>
      <c r="X280">
        <v>78186.95</v>
      </c>
      <c r="Y280">
        <v>7.4999999999999997E-3</v>
      </c>
    </row>
    <row r="281" spans="1:25" x14ac:dyDescent="0.25">
      <c r="A281">
        <v>2020</v>
      </c>
      <c r="B281">
        <v>5</v>
      </c>
      <c r="C281" t="s">
        <v>352</v>
      </c>
      <c r="D281" t="s">
        <v>520</v>
      </c>
      <c r="E281" t="s">
        <v>521</v>
      </c>
      <c r="F281" t="s">
        <v>522</v>
      </c>
      <c r="G281" t="s">
        <v>523</v>
      </c>
      <c r="H281" t="s">
        <v>34</v>
      </c>
      <c r="I281" t="s">
        <v>23</v>
      </c>
      <c r="J281">
        <v>556780.17000000004</v>
      </c>
      <c r="K281">
        <v>203680.97</v>
      </c>
      <c r="L281">
        <v>353099.2</v>
      </c>
      <c r="M281">
        <v>141829.21</v>
      </c>
      <c r="N281">
        <v>59574.23</v>
      </c>
      <c r="O281">
        <v>82254.98</v>
      </c>
      <c r="P281">
        <v>78935.850000000006</v>
      </c>
      <c r="Q281">
        <v>898776462</v>
      </c>
      <c r="R281">
        <v>917687789</v>
      </c>
      <c r="S281">
        <v>5.2999999999999999E-2</v>
      </c>
      <c r="T281" t="s">
        <v>24</v>
      </c>
      <c r="U281">
        <v>3.5000000000000003E-2</v>
      </c>
      <c r="V281">
        <v>0.08</v>
      </c>
      <c r="X281">
        <v>108987.86</v>
      </c>
    </row>
    <row r="282" spans="1:25" x14ac:dyDescent="0.25">
      <c r="A282">
        <v>2020</v>
      </c>
      <c r="B282">
        <v>5</v>
      </c>
      <c r="C282" t="s">
        <v>352</v>
      </c>
      <c r="D282" t="s">
        <v>524</v>
      </c>
      <c r="E282" t="s">
        <v>525</v>
      </c>
      <c r="F282" t="s">
        <v>526</v>
      </c>
      <c r="G282" t="s">
        <v>527</v>
      </c>
      <c r="H282" t="s">
        <v>34</v>
      </c>
      <c r="I282" t="s">
        <v>23</v>
      </c>
      <c r="J282">
        <v>547235.47</v>
      </c>
      <c r="K282">
        <v>196084.37</v>
      </c>
      <c r="L282">
        <v>351151.1</v>
      </c>
      <c r="M282">
        <v>135259.21</v>
      </c>
      <c r="N282">
        <v>54046.21</v>
      </c>
      <c r="O282">
        <v>81213</v>
      </c>
      <c r="P282">
        <v>71611.23</v>
      </c>
      <c r="Q282">
        <v>889653514.10000002</v>
      </c>
      <c r="R282">
        <v>903800199.79999995</v>
      </c>
      <c r="S282">
        <v>5.2999999999999999E-2</v>
      </c>
      <c r="T282">
        <v>3</v>
      </c>
      <c r="U282">
        <v>2.75E-2</v>
      </c>
      <c r="V282">
        <v>0.08</v>
      </c>
      <c r="X282">
        <v>107607.22</v>
      </c>
      <c r="Y282">
        <v>7.4999999999999997E-3</v>
      </c>
    </row>
    <row r="283" spans="1:25" x14ac:dyDescent="0.25">
      <c r="A283">
        <v>2020</v>
      </c>
      <c r="B283">
        <v>5</v>
      </c>
      <c r="C283" t="s">
        <v>352</v>
      </c>
      <c r="D283" t="s">
        <v>353</v>
      </c>
      <c r="E283" t="s">
        <v>354</v>
      </c>
      <c r="F283" t="s">
        <v>528</v>
      </c>
      <c r="G283" t="s">
        <v>529</v>
      </c>
      <c r="H283" t="s">
        <v>34</v>
      </c>
      <c r="I283" t="s">
        <v>23</v>
      </c>
      <c r="J283">
        <v>530518.78</v>
      </c>
      <c r="K283">
        <v>179484.5</v>
      </c>
      <c r="L283">
        <v>351034.28</v>
      </c>
      <c r="M283">
        <v>128760.85</v>
      </c>
      <c r="N283">
        <v>47599.87</v>
      </c>
      <c r="O283">
        <v>81160.98</v>
      </c>
      <c r="P283">
        <v>63069.83</v>
      </c>
      <c r="Q283">
        <v>888894599.60000002</v>
      </c>
      <c r="R283">
        <v>903410346.10000002</v>
      </c>
      <c r="S283">
        <v>5.2999999999999999E-2</v>
      </c>
      <c r="T283">
        <v>3</v>
      </c>
      <c r="U283">
        <v>2.75E-2</v>
      </c>
      <c r="V283">
        <v>0.08</v>
      </c>
      <c r="X283">
        <v>107538.3</v>
      </c>
      <c r="Y283">
        <v>7.4999999999999997E-3</v>
      </c>
    </row>
    <row r="284" spans="1:25" x14ac:dyDescent="0.25">
      <c r="A284">
        <v>2020</v>
      </c>
      <c r="B284">
        <v>5</v>
      </c>
      <c r="C284" t="s">
        <v>355</v>
      </c>
      <c r="D284" t="s">
        <v>536</v>
      </c>
      <c r="E284" t="s">
        <v>537</v>
      </c>
      <c r="F284" t="s">
        <v>538</v>
      </c>
      <c r="G284" t="s">
        <v>539</v>
      </c>
      <c r="H284" t="s">
        <v>34</v>
      </c>
      <c r="I284" t="s">
        <v>23</v>
      </c>
      <c r="J284">
        <v>278525.05</v>
      </c>
      <c r="K284">
        <v>45703.69</v>
      </c>
      <c r="L284">
        <v>232821.36</v>
      </c>
      <c r="M284">
        <v>55552.639999999999</v>
      </c>
      <c r="N284">
        <v>8458.57</v>
      </c>
      <c r="O284">
        <v>47094.07</v>
      </c>
      <c r="P284">
        <v>11207.61</v>
      </c>
      <c r="Q284">
        <v>519210442</v>
      </c>
      <c r="R284">
        <v>520783544.19999999</v>
      </c>
      <c r="S284">
        <v>5.2999999999999999E-2</v>
      </c>
      <c r="T284">
        <v>3</v>
      </c>
      <c r="U284">
        <v>2.75E-2</v>
      </c>
      <c r="V284">
        <v>0.08</v>
      </c>
      <c r="X284">
        <v>62399.64</v>
      </c>
      <c r="Y284">
        <v>7.4999999999999997E-3</v>
      </c>
    </row>
    <row r="285" spans="1:25" x14ac:dyDescent="0.25">
      <c r="A285">
        <v>2020</v>
      </c>
      <c r="B285">
        <v>5</v>
      </c>
      <c r="C285" t="s">
        <v>355</v>
      </c>
      <c r="D285" t="s">
        <v>532</v>
      </c>
      <c r="E285" t="s">
        <v>533</v>
      </c>
      <c r="F285" t="s">
        <v>534</v>
      </c>
      <c r="G285" t="s">
        <v>535</v>
      </c>
      <c r="H285" t="s">
        <v>34</v>
      </c>
      <c r="I285" t="s">
        <v>23</v>
      </c>
      <c r="J285">
        <v>245518.35</v>
      </c>
      <c r="K285">
        <v>61940.35</v>
      </c>
      <c r="L285">
        <v>183577.99</v>
      </c>
      <c r="M285">
        <v>52387.13</v>
      </c>
      <c r="N285">
        <v>13111.22</v>
      </c>
      <c r="O285">
        <v>39275.910000000003</v>
      </c>
      <c r="P285">
        <v>17372.37</v>
      </c>
      <c r="Q285">
        <v>425683463.5</v>
      </c>
      <c r="R285">
        <v>441659478.19999999</v>
      </c>
      <c r="S285">
        <v>5.2999999999999999E-2</v>
      </c>
      <c r="T285">
        <v>3</v>
      </c>
      <c r="U285">
        <v>2.75E-2</v>
      </c>
      <c r="V285">
        <v>0.08</v>
      </c>
      <c r="X285">
        <v>52040.58</v>
      </c>
      <c r="Y285">
        <v>7.4999999999999997E-3</v>
      </c>
    </row>
    <row r="286" spans="1:25" x14ac:dyDescent="0.25">
      <c r="A286">
        <v>2020</v>
      </c>
      <c r="B286">
        <v>5</v>
      </c>
      <c r="C286" t="s">
        <v>355</v>
      </c>
      <c r="D286" t="s">
        <v>356</v>
      </c>
      <c r="E286" t="s">
        <v>357</v>
      </c>
      <c r="F286" t="s">
        <v>530</v>
      </c>
      <c r="G286" t="s">
        <v>531</v>
      </c>
      <c r="H286" t="s">
        <v>34</v>
      </c>
      <c r="I286" t="s">
        <v>23</v>
      </c>
      <c r="J286">
        <v>326860.84999999998</v>
      </c>
      <c r="K286">
        <v>81850.48</v>
      </c>
      <c r="L286">
        <v>245010.37</v>
      </c>
      <c r="M286">
        <v>71201.679999999993</v>
      </c>
      <c r="N286">
        <v>17097</v>
      </c>
      <c r="O286">
        <v>54104.68</v>
      </c>
      <c r="P286">
        <v>22653.52</v>
      </c>
      <c r="Q286">
        <v>579454680</v>
      </c>
      <c r="R286">
        <v>615357066.5</v>
      </c>
      <c r="S286">
        <v>5.2999999999999999E-2</v>
      </c>
      <c r="T286">
        <v>3</v>
      </c>
      <c r="U286">
        <v>2.75E-2</v>
      </c>
      <c r="V286">
        <v>0.08</v>
      </c>
      <c r="X286">
        <v>71688.7</v>
      </c>
      <c r="Y286">
        <v>7.4999999999999997E-3</v>
      </c>
    </row>
    <row r="287" spans="1:25" x14ac:dyDescent="0.25">
      <c r="A287">
        <v>2020</v>
      </c>
      <c r="B287">
        <v>5</v>
      </c>
      <c r="C287" t="s">
        <v>364</v>
      </c>
      <c r="D287" t="s">
        <v>367</v>
      </c>
      <c r="E287" t="s">
        <v>368</v>
      </c>
      <c r="F287" t="s">
        <v>542</v>
      </c>
      <c r="G287" t="s">
        <v>543</v>
      </c>
      <c r="H287" t="s">
        <v>34</v>
      </c>
      <c r="I287" t="s">
        <v>23</v>
      </c>
      <c r="J287">
        <v>653179.68000000005</v>
      </c>
      <c r="K287">
        <v>148208.64000000001</v>
      </c>
      <c r="L287">
        <v>504971.04</v>
      </c>
      <c r="M287">
        <v>137603.98000000001</v>
      </c>
      <c r="N287">
        <v>31077.66</v>
      </c>
      <c r="O287">
        <v>106526.32</v>
      </c>
      <c r="P287">
        <v>41177.9</v>
      </c>
      <c r="Q287">
        <v>656749859.29999995</v>
      </c>
      <c r="R287">
        <v>671696054.79999995</v>
      </c>
      <c r="S287">
        <v>5.2999999999999999E-2</v>
      </c>
      <c r="T287">
        <v>3</v>
      </c>
      <c r="U287">
        <v>2.75E-2</v>
      </c>
      <c r="V287">
        <v>0.1</v>
      </c>
      <c r="X287">
        <v>141147.38</v>
      </c>
    </row>
    <row r="288" spans="1:25" x14ac:dyDescent="0.25">
      <c r="A288">
        <v>2020</v>
      </c>
      <c r="B288">
        <v>5</v>
      </c>
      <c r="C288" t="s">
        <v>364</v>
      </c>
      <c r="D288" t="s">
        <v>365</v>
      </c>
      <c r="E288" t="s">
        <v>366</v>
      </c>
      <c r="F288" t="s">
        <v>540</v>
      </c>
      <c r="G288" t="s">
        <v>541</v>
      </c>
      <c r="H288" t="s">
        <v>34</v>
      </c>
      <c r="I288" t="s">
        <v>23</v>
      </c>
      <c r="J288">
        <v>55587.9</v>
      </c>
      <c r="K288">
        <v>12.73</v>
      </c>
      <c r="L288">
        <v>55575.17</v>
      </c>
      <c r="M288">
        <v>11204.6</v>
      </c>
      <c r="N288">
        <v>2.46</v>
      </c>
      <c r="O288">
        <v>11202.14</v>
      </c>
      <c r="P288">
        <v>3.26</v>
      </c>
      <c r="Q288">
        <v>139570526.40000001</v>
      </c>
      <c r="R288">
        <v>139823931.69999999</v>
      </c>
      <c r="S288">
        <v>5.2999999999999999E-2</v>
      </c>
      <c r="T288">
        <v>3</v>
      </c>
      <c r="U288">
        <v>2.75E-2</v>
      </c>
      <c r="V288">
        <v>0.05</v>
      </c>
      <c r="X288">
        <v>14842.83</v>
      </c>
    </row>
    <row r="289" spans="1:25" x14ac:dyDescent="0.25">
      <c r="A289">
        <v>2020</v>
      </c>
      <c r="B289">
        <v>5</v>
      </c>
      <c r="C289" t="s">
        <v>364</v>
      </c>
      <c r="D289" t="s">
        <v>365</v>
      </c>
      <c r="E289" t="s">
        <v>366</v>
      </c>
      <c r="F289" t="s">
        <v>544</v>
      </c>
      <c r="G289" t="s">
        <v>545</v>
      </c>
      <c r="H289" t="s">
        <v>34</v>
      </c>
      <c r="I289" t="s">
        <v>23</v>
      </c>
      <c r="J289">
        <v>141993.63</v>
      </c>
      <c r="K289">
        <v>2523.4699999999998</v>
      </c>
      <c r="L289">
        <v>139470.16</v>
      </c>
      <c r="M289">
        <v>29316.28</v>
      </c>
      <c r="N289">
        <v>433.32</v>
      </c>
      <c r="O289">
        <v>28882.959999999999</v>
      </c>
      <c r="P289">
        <v>574.15</v>
      </c>
      <c r="Q289">
        <v>178414240.80000001</v>
      </c>
      <c r="R289">
        <v>181773222.59999999</v>
      </c>
      <c r="S289">
        <v>5.2999999999999999E-2</v>
      </c>
      <c r="T289">
        <v>3</v>
      </c>
      <c r="U289">
        <v>2.75E-2</v>
      </c>
      <c r="V289">
        <v>0.1</v>
      </c>
      <c r="X289">
        <v>38269.919999999998</v>
      </c>
    </row>
    <row r="290" spans="1:25" x14ac:dyDescent="0.25">
      <c r="A290">
        <v>2020</v>
      </c>
      <c r="B290">
        <v>5</v>
      </c>
      <c r="C290" t="s">
        <v>358</v>
      </c>
      <c r="D290" t="s">
        <v>550</v>
      </c>
      <c r="E290" t="s">
        <v>551</v>
      </c>
      <c r="F290" t="s">
        <v>552</v>
      </c>
      <c r="G290" t="s">
        <v>553</v>
      </c>
      <c r="H290" t="s">
        <v>34</v>
      </c>
      <c r="I290" t="s">
        <v>23</v>
      </c>
      <c r="J290">
        <v>513963.73</v>
      </c>
      <c r="K290">
        <v>247380.35</v>
      </c>
      <c r="L290">
        <v>266583.39</v>
      </c>
      <c r="M290">
        <v>111944.58</v>
      </c>
      <c r="N290">
        <v>55641.51</v>
      </c>
      <c r="O290">
        <v>56303.07</v>
      </c>
      <c r="P290">
        <v>73725</v>
      </c>
      <c r="Q290">
        <v>619898514.10000002</v>
      </c>
      <c r="R290">
        <v>623461029.60000002</v>
      </c>
      <c r="S290">
        <v>5.2999999999999999E-2</v>
      </c>
      <c r="T290" t="s">
        <v>24</v>
      </c>
      <c r="U290">
        <v>3.5000000000000003E-2</v>
      </c>
      <c r="V290">
        <v>0.08</v>
      </c>
      <c r="X290">
        <v>74601.570000000007</v>
      </c>
    </row>
    <row r="291" spans="1:25" x14ac:dyDescent="0.25">
      <c r="A291">
        <v>2020</v>
      </c>
      <c r="B291">
        <v>5</v>
      </c>
      <c r="C291" t="s">
        <v>358</v>
      </c>
      <c r="D291" t="s">
        <v>554</v>
      </c>
      <c r="E291" t="s">
        <v>555</v>
      </c>
      <c r="F291" t="s">
        <v>556</v>
      </c>
      <c r="G291" t="s">
        <v>557</v>
      </c>
      <c r="H291" t="s">
        <v>34</v>
      </c>
      <c r="I291" t="s">
        <v>23</v>
      </c>
      <c r="J291">
        <v>651916.34</v>
      </c>
      <c r="K291">
        <v>339536.47</v>
      </c>
      <c r="L291">
        <v>312379.88</v>
      </c>
      <c r="M291">
        <v>134051.60999999999</v>
      </c>
      <c r="N291">
        <v>67869.899999999994</v>
      </c>
      <c r="O291">
        <v>66181.710000000006</v>
      </c>
      <c r="P291">
        <v>89927.62</v>
      </c>
      <c r="Q291">
        <v>729319143.39999998</v>
      </c>
      <c r="R291">
        <v>732193561.89999998</v>
      </c>
      <c r="S291">
        <v>5.2999999999999999E-2</v>
      </c>
      <c r="T291">
        <v>3</v>
      </c>
      <c r="U291">
        <v>2.75E-2</v>
      </c>
      <c r="V291">
        <v>0.08</v>
      </c>
      <c r="X291">
        <v>87690.76</v>
      </c>
      <c r="Y291">
        <v>7.4999999999999997E-3</v>
      </c>
    </row>
    <row r="292" spans="1:25" x14ac:dyDescent="0.25">
      <c r="A292">
        <v>2020</v>
      </c>
      <c r="B292">
        <v>5</v>
      </c>
      <c r="C292" t="s">
        <v>358</v>
      </c>
      <c r="D292" t="s">
        <v>546</v>
      </c>
      <c r="E292" t="s">
        <v>547</v>
      </c>
      <c r="F292" t="s">
        <v>548</v>
      </c>
      <c r="G292" t="s">
        <v>549</v>
      </c>
      <c r="H292" t="s">
        <v>34</v>
      </c>
      <c r="I292" t="s">
        <v>23</v>
      </c>
      <c r="J292">
        <v>839569</v>
      </c>
      <c r="K292">
        <v>288334</v>
      </c>
      <c r="L292">
        <v>551235</v>
      </c>
      <c r="M292">
        <v>174164.44</v>
      </c>
      <c r="N292">
        <v>57540.29</v>
      </c>
      <c r="O292">
        <v>116624.15</v>
      </c>
      <c r="P292">
        <v>76240.88</v>
      </c>
      <c r="Q292">
        <v>726535316</v>
      </c>
      <c r="R292">
        <v>727836415.79999995</v>
      </c>
      <c r="S292">
        <v>5.2999999999999999E-2</v>
      </c>
      <c r="T292">
        <v>3</v>
      </c>
      <c r="U292">
        <v>2.75E-2</v>
      </c>
      <c r="V292">
        <v>0.1</v>
      </c>
      <c r="X292">
        <v>154527</v>
      </c>
    </row>
    <row r="293" spans="1:25" x14ac:dyDescent="0.25">
      <c r="A293">
        <v>2020</v>
      </c>
      <c r="B293">
        <v>5</v>
      </c>
      <c r="C293" t="s">
        <v>361</v>
      </c>
      <c r="D293" t="s">
        <v>560</v>
      </c>
      <c r="E293" t="s">
        <v>561</v>
      </c>
      <c r="F293" t="s">
        <v>562</v>
      </c>
      <c r="G293" t="s">
        <v>563</v>
      </c>
      <c r="H293" t="s">
        <v>34</v>
      </c>
      <c r="I293" t="s">
        <v>23</v>
      </c>
      <c r="J293">
        <v>263662.63</v>
      </c>
      <c r="K293">
        <v>46362.82</v>
      </c>
      <c r="L293">
        <v>217299.82</v>
      </c>
      <c r="M293">
        <v>57806.97</v>
      </c>
      <c r="N293">
        <v>10390.42</v>
      </c>
      <c r="O293">
        <v>47416.56</v>
      </c>
      <c r="P293">
        <v>13767.3</v>
      </c>
      <c r="Q293">
        <v>516968555.5</v>
      </c>
      <c r="R293">
        <v>530147137.19999999</v>
      </c>
      <c r="S293">
        <v>5.2999999999999999E-2</v>
      </c>
      <c r="T293">
        <v>3</v>
      </c>
      <c r="U293">
        <v>2.75E-2</v>
      </c>
      <c r="V293">
        <v>0.08</v>
      </c>
      <c r="X293">
        <v>62826.94</v>
      </c>
      <c r="Y293">
        <v>7.4999999999999997E-3</v>
      </c>
    </row>
    <row r="294" spans="1:25" x14ac:dyDescent="0.25">
      <c r="A294">
        <v>2020</v>
      </c>
      <c r="B294">
        <v>5</v>
      </c>
      <c r="C294" t="s">
        <v>361</v>
      </c>
      <c r="D294" t="s">
        <v>362</v>
      </c>
      <c r="E294" t="s">
        <v>363</v>
      </c>
      <c r="F294" t="s">
        <v>558</v>
      </c>
      <c r="G294" t="s">
        <v>559</v>
      </c>
      <c r="H294" t="s">
        <v>34</v>
      </c>
      <c r="I294" t="s">
        <v>23</v>
      </c>
      <c r="J294">
        <v>252845.17</v>
      </c>
      <c r="K294">
        <v>44244.12</v>
      </c>
      <c r="L294">
        <v>208601.05</v>
      </c>
      <c r="M294">
        <v>54734.03</v>
      </c>
      <c r="N294">
        <v>9240.32</v>
      </c>
      <c r="O294">
        <v>45493.72</v>
      </c>
      <c r="P294">
        <v>12243.42</v>
      </c>
      <c r="Q294">
        <v>495937499.60000002</v>
      </c>
      <c r="R294">
        <v>508715398.19999999</v>
      </c>
      <c r="S294">
        <v>5.2999999999999999E-2</v>
      </c>
      <c r="T294" t="s">
        <v>24</v>
      </c>
      <c r="U294">
        <v>3.5000000000000003E-2</v>
      </c>
      <c r="V294">
        <v>0.08</v>
      </c>
      <c r="X294">
        <v>60279.17</v>
      </c>
    </row>
    <row r="295" spans="1:25" x14ac:dyDescent="0.25">
      <c r="A295">
        <v>2020</v>
      </c>
      <c r="B295">
        <v>5</v>
      </c>
      <c r="C295" t="s">
        <v>295</v>
      </c>
      <c r="D295" t="s">
        <v>564</v>
      </c>
      <c r="E295" t="s">
        <v>565</v>
      </c>
      <c r="F295" t="s">
        <v>566</v>
      </c>
      <c r="G295" t="s">
        <v>567</v>
      </c>
      <c r="H295" t="s">
        <v>34</v>
      </c>
      <c r="I295" t="s">
        <v>34</v>
      </c>
      <c r="J295">
        <v>454385.55</v>
      </c>
      <c r="K295">
        <v>454385.55</v>
      </c>
      <c r="M295">
        <v>92834.2</v>
      </c>
      <c r="N295">
        <v>92834.2</v>
      </c>
      <c r="P295">
        <v>123005.32</v>
      </c>
    </row>
    <row r="296" spans="1:25" x14ac:dyDescent="0.25">
      <c r="A296">
        <v>2020</v>
      </c>
      <c r="B296">
        <v>5</v>
      </c>
      <c r="C296" t="s">
        <v>298</v>
      </c>
      <c r="D296" t="s">
        <v>589</v>
      </c>
      <c r="E296" t="s">
        <v>590</v>
      </c>
      <c r="F296" t="s">
        <v>591</v>
      </c>
      <c r="G296" t="s">
        <v>592</v>
      </c>
      <c r="H296" t="s">
        <v>34</v>
      </c>
      <c r="I296" t="s">
        <v>34</v>
      </c>
      <c r="J296">
        <v>122908.23</v>
      </c>
      <c r="K296">
        <v>122908.23</v>
      </c>
      <c r="M296">
        <v>54708.45</v>
      </c>
      <c r="N296">
        <v>54708.45</v>
      </c>
      <c r="P296">
        <v>72488.7</v>
      </c>
    </row>
    <row r="297" spans="1:25" x14ac:dyDescent="0.25">
      <c r="A297">
        <v>2020</v>
      </c>
      <c r="B297">
        <v>5</v>
      </c>
      <c r="C297" t="s">
        <v>321</v>
      </c>
      <c r="D297" t="s">
        <v>568</v>
      </c>
      <c r="E297" t="s">
        <v>569</v>
      </c>
      <c r="F297" t="s">
        <v>570</v>
      </c>
      <c r="G297" t="s">
        <v>571</v>
      </c>
      <c r="H297" t="s">
        <v>34</v>
      </c>
      <c r="I297" t="s">
        <v>34</v>
      </c>
      <c r="J297">
        <v>488832.46</v>
      </c>
      <c r="K297">
        <v>488832.46</v>
      </c>
      <c r="M297">
        <v>111281.77</v>
      </c>
      <c r="N297">
        <v>111281.77</v>
      </c>
      <c r="P297">
        <v>147448.34</v>
      </c>
    </row>
    <row r="298" spans="1:25" x14ac:dyDescent="0.25">
      <c r="A298">
        <v>2020</v>
      </c>
      <c r="B298">
        <v>5</v>
      </c>
      <c r="C298" t="s">
        <v>327</v>
      </c>
      <c r="D298" t="s">
        <v>328</v>
      </c>
      <c r="E298" t="s">
        <v>329</v>
      </c>
      <c r="F298" t="s">
        <v>572</v>
      </c>
      <c r="G298" t="s">
        <v>573</v>
      </c>
      <c r="H298" t="s">
        <v>34</v>
      </c>
      <c r="I298" t="s">
        <v>34</v>
      </c>
      <c r="J298">
        <v>39499.81</v>
      </c>
      <c r="K298">
        <v>39499.81</v>
      </c>
      <c r="M298">
        <v>14422.29</v>
      </c>
      <c r="N298">
        <v>14422.29</v>
      </c>
      <c r="P298">
        <v>19109.53</v>
      </c>
    </row>
    <row r="299" spans="1:25" x14ac:dyDescent="0.25">
      <c r="A299">
        <v>2020</v>
      </c>
      <c r="B299">
        <v>5</v>
      </c>
      <c r="C299" t="s">
        <v>330</v>
      </c>
      <c r="D299" t="s">
        <v>597</v>
      </c>
      <c r="E299" t="s">
        <v>598</v>
      </c>
      <c r="F299" t="s">
        <v>599</v>
      </c>
      <c r="G299" t="s">
        <v>600</v>
      </c>
      <c r="H299" t="s">
        <v>34</v>
      </c>
      <c r="I299" t="s">
        <v>34</v>
      </c>
      <c r="J299">
        <v>110.59</v>
      </c>
      <c r="K299">
        <v>110.59</v>
      </c>
      <c r="M299">
        <v>110.59</v>
      </c>
      <c r="N299">
        <v>110.59</v>
      </c>
      <c r="P299">
        <v>146.53</v>
      </c>
    </row>
    <row r="300" spans="1:25" x14ac:dyDescent="0.25">
      <c r="A300">
        <v>2020</v>
      </c>
      <c r="B300">
        <v>5</v>
      </c>
      <c r="C300" t="s">
        <v>330</v>
      </c>
      <c r="D300" t="s">
        <v>593</v>
      </c>
      <c r="E300" t="s">
        <v>594</v>
      </c>
      <c r="F300" t="s">
        <v>595</v>
      </c>
      <c r="G300" t="s">
        <v>596</v>
      </c>
      <c r="H300" t="s">
        <v>34</v>
      </c>
      <c r="I300" t="s">
        <v>34</v>
      </c>
      <c r="J300">
        <v>537.35</v>
      </c>
      <c r="K300">
        <v>537.35</v>
      </c>
      <c r="M300">
        <v>294.60000000000002</v>
      </c>
      <c r="N300">
        <v>294.60000000000002</v>
      </c>
      <c r="P300">
        <v>390.34</v>
      </c>
    </row>
    <row r="301" spans="1:25" x14ac:dyDescent="0.25">
      <c r="A301">
        <v>2020</v>
      </c>
      <c r="B301">
        <v>5</v>
      </c>
      <c r="C301" t="s">
        <v>330</v>
      </c>
      <c r="D301" t="s">
        <v>601</v>
      </c>
      <c r="E301" t="s">
        <v>602</v>
      </c>
      <c r="F301" t="s">
        <v>603</v>
      </c>
      <c r="G301" t="s">
        <v>604</v>
      </c>
      <c r="H301" t="s">
        <v>34</v>
      </c>
      <c r="I301" t="s">
        <v>34</v>
      </c>
      <c r="J301">
        <v>87.88</v>
      </c>
      <c r="K301">
        <v>87.88</v>
      </c>
      <c r="M301">
        <v>87.88</v>
      </c>
      <c r="N301">
        <v>87.88</v>
      </c>
      <c r="P301">
        <v>116.44</v>
      </c>
    </row>
    <row r="302" spans="1:25" x14ac:dyDescent="0.25">
      <c r="A302">
        <v>2020</v>
      </c>
      <c r="B302">
        <v>5</v>
      </c>
      <c r="C302" t="s">
        <v>340</v>
      </c>
      <c r="D302" t="s">
        <v>574</v>
      </c>
      <c r="E302" t="s">
        <v>575</v>
      </c>
      <c r="F302" t="s">
        <v>576</v>
      </c>
      <c r="G302" t="s">
        <v>577</v>
      </c>
      <c r="H302" t="s">
        <v>34</v>
      </c>
      <c r="I302" t="s">
        <v>34</v>
      </c>
      <c r="J302">
        <v>506300.01</v>
      </c>
      <c r="K302">
        <v>506300.01</v>
      </c>
      <c r="M302">
        <v>112812.51</v>
      </c>
      <c r="N302">
        <v>112812.51</v>
      </c>
      <c r="P302">
        <v>149476.57999999999</v>
      </c>
    </row>
    <row r="303" spans="1:25" x14ac:dyDescent="0.25">
      <c r="A303">
        <v>2020</v>
      </c>
      <c r="B303">
        <v>5</v>
      </c>
      <c r="C303" t="s">
        <v>355</v>
      </c>
      <c r="D303" t="s">
        <v>356</v>
      </c>
      <c r="E303" t="s">
        <v>357</v>
      </c>
      <c r="F303" t="s">
        <v>578</v>
      </c>
      <c r="G303" t="s">
        <v>579</v>
      </c>
      <c r="H303" t="s">
        <v>34</v>
      </c>
      <c r="I303" t="s">
        <v>34</v>
      </c>
      <c r="J303">
        <v>0.49</v>
      </c>
      <c r="K303">
        <v>0.49</v>
      </c>
      <c r="M303">
        <v>0</v>
      </c>
    </row>
    <row r="304" spans="1:25" x14ac:dyDescent="0.25">
      <c r="A304">
        <v>2020</v>
      </c>
      <c r="B304">
        <v>6</v>
      </c>
      <c r="C304" t="s">
        <v>168</v>
      </c>
      <c r="D304" t="s">
        <v>412</v>
      </c>
      <c r="E304" t="s">
        <v>413</v>
      </c>
      <c r="F304" t="s">
        <v>414</v>
      </c>
      <c r="G304" t="s">
        <v>415</v>
      </c>
      <c r="H304" t="s">
        <v>34</v>
      </c>
      <c r="I304" t="s">
        <v>23</v>
      </c>
      <c r="J304">
        <v>132955.07</v>
      </c>
      <c r="K304">
        <v>26549.78</v>
      </c>
      <c r="L304">
        <v>106405.29</v>
      </c>
      <c r="M304">
        <v>23966.89</v>
      </c>
      <c r="N304">
        <v>5087.38</v>
      </c>
      <c r="O304">
        <v>18879.509999999998</v>
      </c>
      <c r="P304">
        <v>6740.78</v>
      </c>
      <c r="Q304">
        <v>207497378.69999999</v>
      </c>
      <c r="R304">
        <v>209425201</v>
      </c>
      <c r="S304">
        <v>5.2999999999999999E-2</v>
      </c>
      <c r="T304" t="s">
        <v>24</v>
      </c>
      <c r="U304">
        <v>3.5000000000000003E-2</v>
      </c>
      <c r="V304">
        <v>0.08</v>
      </c>
      <c r="X304">
        <v>25015.35</v>
      </c>
    </row>
    <row r="305" spans="1:25" x14ac:dyDescent="0.25">
      <c r="A305">
        <v>2020</v>
      </c>
      <c r="B305">
        <v>6</v>
      </c>
      <c r="C305" t="s">
        <v>168</v>
      </c>
      <c r="D305" t="s">
        <v>404</v>
      </c>
      <c r="E305" t="s">
        <v>405</v>
      </c>
      <c r="F305" t="s">
        <v>406</v>
      </c>
      <c r="G305" t="s">
        <v>407</v>
      </c>
      <c r="H305" t="s">
        <v>34</v>
      </c>
      <c r="I305" t="s">
        <v>23</v>
      </c>
      <c r="J305">
        <v>402377.14</v>
      </c>
      <c r="K305">
        <v>112713.4</v>
      </c>
      <c r="L305">
        <v>289663.74</v>
      </c>
      <c r="M305">
        <v>79451.600000000006</v>
      </c>
      <c r="N305">
        <v>25581.89</v>
      </c>
      <c r="O305">
        <v>53869.72</v>
      </c>
      <c r="P305">
        <v>33896</v>
      </c>
      <c r="Q305">
        <v>580058776.60000002</v>
      </c>
      <c r="R305">
        <v>609564137.70000005</v>
      </c>
      <c r="S305">
        <v>5.2999999999999999E-2</v>
      </c>
      <c r="T305">
        <v>3</v>
      </c>
      <c r="U305">
        <v>2.75E-2</v>
      </c>
      <c r="V305">
        <v>0.08</v>
      </c>
      <c r="X305">
        <v>71377.37</v>
      </c>
      <c r="Y305">
        <v>7.4999999999999997E-3</v>
      </c>
    </row>
    <row r="306" spans="1:25" x14ac:dyDescent="0.25">
      <c r="A306">
        <v>2020</v>
      </c>
      <c r="B306">
        <v>6</v>
      </c>
      <c r="C306" t="s">
        <v>168</v>
      </c>
      <c r="D306" t="s">
        <v>292</v>
      </c>
      <c r="E306" t="s">
        <v>293</v>
      </c>
      <c r="F306" t="s">
        <v>410</v>
      </c>
      <c r="G306" t="s">
        <v>411</v>
      </c>
      <c r="H306" t="s">
        <v>34</v>
      </c>
      <c r="I306" t="s">
        <v>23</v>
      </c>
      <c r="J306">
        <v>442816.72</v>
      </c>
      <c r="K306">
        <v>6418.49</v>
      </c>
      <c r="L306">
        <v>436398.23</v>
      </c>
      <c r="M306">
        <v>78976.59</v>
      </c>
      <c r="N306">
        <v>825.31</v>
      </c>
      <c r="O306">
        <v>78151.28</v>
      </c>
      <c r="P306">
        <v>1093.53</v>
      </c>
      <c r="Q306">
        <v>1699126231</v>
      </c>
      <c r="R306">
        <v>1752555365</v>
      </c>
      <c r="S306">
        <v>5.2999999999999999E-2</v>
      </c>
      <c r="T306">
        <v>3</v>
      </c>
      <c r="U306">
        <v>2.75E-2</v>
      </c>
      <c r="V306">
        <v>0.04</v>
      </c>
      <c r="X306">
        <v>103550.45</v>
      </c>
      <c r="Y306">
        <v>7.4999999999999997E-3</v>
      </c>
    </row>
    <row r="307" spans="1:25" x14ac:dyDescent="0.25">
      <c r="A307">
        <v>2020</v>
      </c>
      <c r="B307">
        <v>6</v>
      </c>
      <c r="C307" t="s">
        <v>168</v>
      </c>
      <c r="D307" t="s">
        <v>292</v>
      </c>
      <c r="E307" t="s">
        <v>293</v>
      </c>
      <c r="F307" t="s">
        <v>408</v>
      </c>
      <c r="G307" t="s">
        <v>409</v>
      </c>
      <c r="H307" t="s">
        <v>34</v>
      </c>
      <c r="I307" t="s">
        <v>23</v>
      </c>
      <c r="J307">
        <v>421516.23</v>
      </c>
      <c r="K307">
        <v>127711.6</v>
      </c>
      <c r="L307">
        <v>293804.63</v>
      </c>
      <c r="M307">
        <v>83068.460000000006</v>
      </c>
      <c r="N307">
        <v>25578.54</v>
      </c>
      <c r="O307">
        <v>57489.919999999998</v>
      </c>
      <c r="P307">
        <v>33891.57</v>
      </c>
      <c r="Q307">
        <v>604437848.60000002</v>
      </c>
      <c r="R307">
        <v>665131114.89999998</v>
      </c>
      <c r="S307">
        <v>5.2999999999999999E-2</v>
      </c>
      <c r="T307">
        <v>3</v>
      </c>
      <c r="U307">
        <v>2.75E-2</v>
      </c>
      <c r="V307">
        <v>0.08</v>
      </c>
      <c r="X307">
        <v>76174.14</v>
      </c>
      <c r="Y307">
        <v>7.4999999999999997E-3</v>
      </c>
    </row>
    <row r="308" spans="1:25" x14ac:dyDescent="0.25">
      <c r="A308">
        <v>2020</v>
      </c>
      <c r="B308">
        <v>6</v>
      </c>
      <c r="C308" t="s">
        <v>295</v>
      </c>
      <c r="D308" t="s">
        <v>296</v>
      </c>
      <c r="E308" t="s">
        <v>297</v>
      </c>
      <c r="F308" t="s">
        <v>416</v>
      </c>
      <c r="G308" t="s">
        <v>417</v>
      </c>
      <c r="H308" t="s">
        <v>34</v>
      </c>
      <c r="I308" t="s">
        <v>23</v>
      </c>
      <c r="J308">
        <v>1197958.04</v>
      </c>
      <c r="K308">
        <v>633325.03</v>
      </c>
      <c r="L308">
        <v>564633.02</v>
      </c>
      <c r="M308">
        <v>217376.66</v>
      </c>
      <c r="N308">
        <v>113399.69</v>
      </c>
      <c r="O308">
        <v>103976.97</v>
      </c>
      <c r="P308">
        <v>150254.59</v>
      </c>
      <c r="Q308">
        <v>1111237897</v>
      </c>
      <c r="R308">
        <v>1184920285</v>
      </c>
      <c r="S308">
        <v>5.2999999999999999E-2</v>
      </c>
      <c r="T308" t="s">
        <v>24</v>
      </c>
      <c r="U308">
        <v>3.5000000000000003E-2</v>
      </c>
      <c r="V308">
        <v>0.08</v>
      </c>
      <c r="X308">
        <v>137769.49</v>
      </c>
    </row>
    <row r="309" spans="1:25" x14ac:dyDescent="0.25">
      <c r="A309">
        <v>2020</v>
      </c>
      <c r="B309">
        <v>6</v>
      </c>
      <c r="C309" t="s">
        <v>298</v>
      </c>
      <c r="D309" t="s">
        <v>299</v>
      </c>
      <c r="E309" t="s">
        <v>300</v>
      </c>
      <c r="F309" t="s">
        <v>587</v>
      </c>
      <c r="G309" t="s">
        <v>588</v>
      </c>
      <c r="H309" t="s">
        <v>34</v>
      </c>
      <c r="I309" t="s">
        <v>23</v>
      </c>
      <c r="J309">
        <v>494932.39</v>
      </c>
      <c r="K309">
        <v>200380.2</v>
      </c>
      <c r="L309">
        <v>294552.18</v>
      </c>
      <c r="M309">
        <v>161595.19</v>
      </c>
      <c r="N309">
        <v>65326.5</v>
      </c>
      <c r="O309">
        <v>96268.69</v>
      </c>
      <c r="P309">
        <v>86557.61</v>
      </c>
      <c r="Q309">
        <v>1056157638</v>
      </c>
      <c r="R309">
        <v>1069776003</v>
      </c>
      <c r="S309">
        <v>5.2999999999999999E-2</v>
      </c>
      <c r="T309">
        <v>3</v>
      </c>
      <c r="U309">
        <v>2.75E-2</v>
      </c>
      <c r="V309">
        <v>0.08</v>
      </c>
      <c r="X309">
        <v>127556.02</v>
      </c>
      <c r="Y309">
        <v>7.4999999999999997E-3</v>
      </c>
    </row>
    <row r="310" spans="1:25" x14ac:dyDescent="0.25">
      <c r="A310">
        <v>2020</v>
      </c>
      <c r="B310">
        <v>6</v>
      </c>
      <c r="C310" t="s">
        <v>302</v>
      </c>
      <c r="D310" t="s">
        <v>418</v>
      </c>
      <c r="E310" t="s">
        <v>419</v>
      </c>
      <c r="F310" t="s">
        <v>420</v>
      </c>
      <c r="G310" t="s">
        <v>421</v>
      </c>
      <c r="H310" t="s">
        <v>34</v>
      </c>
      <c r="I310" t="s">
        <v>23</v>
      </c>
      <c r="J310">
        <v>461118.59</v>
      </c>
      <c r="K310">
        <v>170844.17</v>
      </c>
      <c r="L310">
        <v>290274.42</v>
      </c>
      <c r="M310">
        <v>87856.78</v>
      </c>
      <c r="N310">
        <v>32829.769999999997</v>
      </c>
      <c r="O310">
        <v>55027.01</v>
      </c>
      <c r="P310">
        <v>43499.44</v>
      </c>
      <c r="Q310">
        <v>594202356.60000002</v>
      </c>
      <c r="R310">
        <v>620977441.20000005</v>
      </c>
      <c r="S310">
        <v>5.2999999999999999E-2</v>
      </c>
      <c r="T310">
        <v>3</v>
      </c>
      <c r="U310">
        <v>2.75E-2</v>
      </c>
      <c r="V310">
        <v>0.08</v>
      </c>
      <c r="X310">
        <v>72910.789999999994</v>
      </c>
      <c r="Y310">
        <v>7.4999999999999997E-3</v>
      </c>
    </row>
    <row r="311" spans="1:25" x14ac:dyDescent="0.25">
      <c r="A311">
        <v>2020</v>
      </c>
      <c r="B311">
        <v>6</v>
      </c>
      <c r="C311" t="s">
        <v>302</v>
      </c>
      <c r="D311" t="s">
        <v>303</v>
      </c>
      <c r="E311" t="s">
        <v>304</v>
      </c>
      <c r="F311" t="s">
        <v>422</v>
      </c>
      <c r="G311" t="s">
        <v>423</v>
      </c>
      <c r="H311" t="s">
        <v>34</v>
      </c>
      <c r="I311" t="s">
        <v>23</v>
      </c>
      <c r="J311">
        <v>496046.59</v>
      </c>
      <c r="K311">
        <v>199586.29</v>
      </c>
      <c r="L311">
        <v>296460.31</v>
      </c>
      <c r="M311">
        <v>93990.21</v>
      </c>
      <c r="N311">
        <v>37447.769999999997</v>
      </c>
      <c r="O311">
        <v>56542.43</v>
      </c>
      <c r="P311">
        <v>49618.3</v>
      </c>
      <c r="Q311">
        <v>610649612.60000002</v>
      </c>
      <c r="R311">
        <v>637995772.79999995</v>
      </c>
      <c r="S311">
        <v>5.2999999999999999E-2</v>
      </c>
      <c r="T311" t="s">
        <v>24</v>
      </c>
      <c r="U311">
        <v>3.5000000000000003E-2</v>
      </c>
      <c r="V311">
        <v>0.08</v>
      </c>
      <c r="X311">
        <v>74918.720000000001</v>
      </c>
    </row>
    <row r="312" spans="1:25" x14ac:dyDescent="0.25">
      <c r="A312">
        <v>2020</v>
      </c>
      <c r="B312">
        <v>6</v>
      </c>
      <c r="C312" t="s">
        <v>305</v>
      </c>
      <c r="D312" t="s">
        <v>426</v>
      </c>
      <c r="E312" t="s">
        <v>427</v>
      </c>
      <c r="F312" t="s">
        <v>428</v>
      </c>
      <c r="G312" t="s">
        <v>429</v>
      </c>
      <c r="H312" t="s">
        <v>34</v>
      </c>
      <c r="I312" t="s">
        <v>23</v>
      </c>
      <c r="J312">
        <v>471258.05</v>
      </c>
      <c r="K312">
        <v>134207.47</v>
      </c>
      <c r="L312">
        <v>337050.57</v>
      </c>
      <c r="M312">
        <v>104098.71</v>
      </c>
      <c r="N312">
        <v>34136.06</v>
      </c>
      <c r="O312">
        <v>69962.649999999994</v>
      </c>
      <c r="P312">
        <v>45230.28</v>
      </c>
      <c r="Q312">
        <v>752813965.60000002</v>
      </c>
      <c r="R312">
        <v>792194613.60000002</v>
      </c>
      <c r="S312">
        <v>5.2999999999999999E-2</v>
      </c>
      <c r="T312">
        <v>3</v>
      </c>
      <c r="U312">
        <v>2.75E-2</v>
      </c>
      <c r="V312">
        <v>0.08</v>
      </c>
      <c r="X312">
        <v>92700.51</v>
      </c>
      <c r="Y312">
        <v>7.4999999999999997E-3</v>
      </c>
    </row>
    <row r="313" spans="1:25" x14ac:dyDescent="0.25">
      <c r="A313">
        <v>2020</v>
      </c>
      <c r="B313">
        <v>6</v>
      </c>
      <c r="C313" t="s">
        <v>305</v>
      </c>
      <c r="D313" t="s">
        <v>306</v>
      </c>
      <c r="E313" t="s">
        <v>307</v>
      </c>
      <c r="F313" t="s">
        <v>424</v>
      </c>
      <c r="G313" t="s">
        <v>425</v>
      </c>
      <c r="H313" t="s">
        <v>34</v>
      </c>
      <c r="I313" t="s">
        <v>23</v>
      </c>
      <c r="J313">
        <v>471649.97</v>
      </c>
      <c r="K313">
        <v>134375.26</v>
      </c>
      <c r="L313">
        <v>337274.71</v>
      </c>
      <c r="M313">
        <v>104279.23</v>
      </c>
      <c r="N313">
        <v>34274.050000000003</v>
      </c>
      <c r="O313">
        <v>70005.179999999993</v>
      </c>
      <c r="P313">
        <v>45413.120000000003</v>
      </c>
      <c r="Q313">
        <v>753295270.89999998</v>
      </c>
      <c r="R313">
        <v>792652424.79999995</v>
      </c>
      <c r="S313">
        <v>5.2999999999999999E-2</v>
      </c>
      <c r="T313">
        <v>3</v>
      </c>
      <c r="U313">
        <v>2.75E-2</v>
      </c>
      <c r="V313">
        <v>0.08</v>
      </c>
      <c r="X313">
        <v>92756.86</v>
      </c>
      <c r="Y313">
        <v>7.4999999999999997E-3</v>
      </c>
    </row>
    <row r="314" spans="1:25" x14ac:dyDescent="0.25">
      <c r="A314">
        <v>2020</v>
      </c>
      <c r="B314">
        <v>6</v>
      </c>
      <c r="C314" t="s">
        <v>308</v>
      </c>
      <c r="D314" t="s">
        <v>432</v>
      </c>
      <c r="E314" t="s">
        <v>433</v>
      </c>
      <c r="F314" t="s">
        <v>434</v>
      </c>
      <c r="G314" t="s">
        <v>435</v>
      </c>
      <c r="H314" t="s">
        <v>34</v>
      </c>
      <c r="I314" t="s">
        <v>23</v>
      </c>
      <c r="J314">
        <v>575711.87</v>
      </c>
      <c r="K314">
        <v>162314.45000000001</v>
      </c>
      <c r="L314">
        <v>413397.42</v>
      </c>
      <c r="M314">
        <v>111206.63</v>
      </c>
      <c r="N314">
        <v>35714.28</v>
      </c>
      <c r="O314">
        <v>75492.350000000006</v>
      </c>
      <c r="P314">
        <v>47321.42</v>
      </c>
      <c r="Q314">
        <v>806902005.70000005</v>
      </c>
      <c r="R314">
        <v>860220687.79999995</v>
      </c>
      <c r="S314">
        <v>5.2999999999999999E-2</v>
      </c>
      <c r="T314">
        <v>3</v>
      </c>
      <c r="U314">
        <v>2.75E-2</v>
      </c>
      <c r="V314">
        <v>0.08</v>
      </c>
      <c r="X314">
        <v>100027.36</v>
      </c>
      <c r="Y314">
        <v>7.4999999999999997E-3</v>
      </c>
    </row>
    <row r="315" spans="1:25" x14ac:dyDescent="0.25">
      <c r="A315">
        <v>2020</v>
      </c>
      <c r="B315">
        <v>6</v>
      </c>
      <c r="C315" t="s">
        <v>308</v>
      </c>
      <c r="D315" t="s">
        <v>309</v>
      </c>
      <c r="E315" t="s">
        <v>310</v>
      </c>
      <c r="F315" t="s">
        <v>430</v>
      </c>
      <c r="G315" t="s">
        <v>431</v>
      </c>
      <c r="H315" t="s">
        <v>34</v>
      </c>
      <c r="I315" t="s">
        <v>23</v>
      </c>
      <c r="J315">
        <v>1433781.33</v>
      </c>
      <c r="K315">
        <v>505296.96</v>
      </c>
      <c r="L315">
        <v>928484.37</v>
      </c>
      <c r="M315">
        <v>239767.88</v>
      </c>
      <c r="N315">
        <v>86127.75</v>
      </c>
      <c r="O315">
        <v>153640.13</v>
      </c>
      <c r="P315">
        <v>114119.27</v>
      </c>
      <c r="Q315">
        <v>1681002627</v>
      </c>
      <c r="R315">
        <v>1711883636</v>
      </c>
      <c r="S315">
        <v>5.2999999999999999E-2</v>
      </c>
      <c r="T315" t="s">
        <v>24</v>
      </c>
      <c r="U315">
        <v>3.5000000000000003E-2</v>
      </c>
      <c r="V315">
        <v>0.08</v>
      </c>
      <c r="X315">
        <v>203573.18</v>
      </c>
    </row>
    <row r="316" spans="1:25" x14ac:dyDescent="0.25">
      <c r="A316">
        <v>2020</v>
      </c>
      <c r="B316">
        <v>6</v>
      </c>
      <c r="C316" t="s">
        <v>311</v>
      </c>
      <c r="D316" t="s">
        <v>438</v>
      </c>
      <c r="E316" t="s">
        <v>439</v>
      </c>
      <c r="F316" t="s">
        <v>440</v>
      </c>
      <c r="G316" t="s">
        <v>441</v>
      </c>
      <c r="H316" t="s">
        <v>34</v>
      </c>
      <c r="I316" t="s">
        <v>23</v>
      </c>
      <c r="J316">
        <v>574722.6</v>
      </c>
      <c r="K316">
        <v>113224.35</v>
      </c>
      <c r="L316">
        <v>461498.25</v>
      </c>
      <c r="M316">
        <v>107876.09</v>
      </c>
      <c r="N316">
        <v>23254.35</v>
      </c>
      <c r="O316">
        <v>84621.74</v>
      </c>
      <c r="P316">
        <v>30812.01</v>
      </c>
      <c r="Q316">
        <v>644495752.10000002</v>
      </c>
      <c r="R316">
        <v>674607862</v>
      </c>
      <c r="S316">
        <v>5.2999999999999999E-2</v>
      </c>
      <c r="T316">
        <v>3</v>
      </c>
      <c r="U316">
        <v>2.75E-2</v>
      </c>
      <c r="V316">
        <v>0.08</v>
      </c>
      <c r="X316">
        <v>112123.81</v>
      </c>
    </row>
    <row r="317" spans="1:25" x14ac:dyDescent="0.25">
      <c r="A317">
        <v>2020</v>
      </c>
      <c r="B317">
        <v>6</v>
      </c>
      <c r="C317" t="s">
        <v>311</v>
      </c>
      <c r="D317" t="s">
        <v>312</v>
      </c>
      <c r="E317" t="s">
        <v>313</v>
      </c>
      <c r="F317" t="s">
        <v>436</v>
      </c>
      <c r="G317" t="s">
        <v>437</v>
      </c>
      <c r="H317" t="s">
        <v>34</v>
      </c>
      <c r="I317" t="s">
        <v>23</v>
      </c>
      <c r="J317">
        <v>414440.53</v>
      </c>
      <c r="K317">
        <v>93298.78</v>
      </c>
      <c r="L317">
        <v>321141.75</v>
      </c>
      <c r="M317">
        <v>81705.119999999995</v>
      </c>
      <c r="N317">
        <v>19220.78</v>
      </c>
      <c r="O317">
        <v>62484.33</v>
      </c>
      <c r="P317">
        <v>25467.54</v>
      </c>
      <c r="Q317">
        <v>766642212.10000002</v>
      </c>
      <c r="R317">
        <v>835778541.89999998</v>
      </c>
      <c r="S317">
        <v>5.2999999999999999E-2</v>
      </c>
      <c r="T317">
        <v>3</v>
      </c>
      <c r="U317">
        <v>2.75E-2</v>
      </c>
      <c r="V317">
        <v>0.08</v>
      </c>
      <c r="X317">
        <v>82791.740000000005</v>
      </c>
      <c r="Y317">
        <v>0.01</v>
      </c>
    </row>
    <row r="318" spans="1:25" x14ac:dyDescent="0.25">
      <c r="A318">
        <v>2020</v>
      </c>
      <c r="B318">
        <v>6</v>
      </c>
      <c r="C318" t="s">
        <v>315</v>
      </c>
      <c r="D318" t="s">
        <v>316</v>
      </c>
      <c r="E318" t="s">
        <v>317</v>
      </c>
      <c r="F318" t="s">
        <v>442</v>
      </c>
      <c r="G318" t="s">
        <v>443</v>
      </c>
      <c r="H318" t="s">
        <v>34</v>
      </c>
      <c r="I318" t="s">
        <v>23</v>
      </c>
      <c r="J318">
        <v>1544322.06</v>
      </c>
      <c r="K318">
        <v>625871.07999999996</v>
      </c>
      <c r="L318">
        <v>918450.98</v>
      </c>
      <c r="M318">
        <v>293701.76000000001</v>
      </c>
      <c r="N318">
        <v>113654.71</v>
      </c>
      <c r="O318">
        <v>180047.05</v>
      </c>
      <c r="P318">
        <v>150592.49</v>
      </c>
      <c r="Q318">
        <v>1076701381</v>
      </c>
      <c r="R318">
        <v>1168591235</v>
      </c>
      <c r="S318">
        <v>5.2999999999999999E-2</v>
      </c>
      <c r="T318">
        <v>3</v>
      </c>
      <c r="U318">
        <v>2.75E-2</v>
      </c>
      <c r="V318">
        <v>0.1</v>
      </c>
      <c r="X318">
        <v>238562.34</v>
      </c>
    </row>
    <row r="319" spans="1:25" x14ac:dyDescent="0.25">
      <c r="A319">
        <v>2020</v>
      </c>
      <c r="B319">
        <v>6</v>
      </c>
      <c r="C319" t="s">
        <v>315</v>
      </c>
      <c r="D319" t="s">
        <v>444</v>
      </c>
      <c r="E319" t="s">
        <v>445</v>
      </c>
      <c r="F319" t="s">
        <v>446</v>
      </c>
      <c r="G319" t="s">
        <v>447</v>
      </c>
      <c r="H319" t="s">
        <v>34</v>
      </c>
      <c r="I319" t="s">
        <v>23</v>
      </c>
      <c r="J319">
        <v>1988482.43</v>
      </c>
      <c r="K319">
        <v>527221.80000000005</v>
      </c>
      <c r="L319">
        <v>1461260.62</v>
      </c>
      <c r="M319">
        <v>417368.41</v>
      </c>
      <c r="N319">
        <v>108703.26</v>
      </c>
      <c r="O319">
        <v>308665.15000000002</v>
      </c>
      <c r="P319">
        <v>144031.82</v>
      </c>
      <c r="Q319">
        <v>1198824100</v>
      </c>
      <c r="R319">
        <v>1384215852</v>
      </c>
      <c r="S319">
        <v>5.2999999999999999E-2</v>
      </c>
      <c r="T319">
        <v>1</v>
      </c>
      <c r="U319">
        <v>1.4999999999999999E-2</v>
      </c>
      <c r="V319">
        <v>0.1</v>
      </c>
      <c r="X319">
        <v>408981.33</v>
      </c>
    </row>
    <row r="320" spans="1:25" x14ac:dyDescent="0.25">
      <c r="A320">
        <v>2020</v>
      </c>
      <c r="B320">
        <v>6</v>
      </c>
      <c r="C320" t="s">
        <v>318</v>
      </c>
      <c r="D320" t="s">
        <v>448</v>
      </c>
      <c r="E320" t="s">
        <v>449</v>
      </c>
      <c r="F320" t="s">
        <v>450</v>
      </c>
      <c r="G320" t="s">
        <v>451</v>
      </c>
      <c r="H320" t="s">
        <v>34</v>
      </c>
      <c r="I320" t="s">
        <v>23</v>
      </c>
      <c r="J320">
        <v>108722.24000000001</v>
      </c>
      <c r="K320">
        <v>22066.41</v>
      </c>
      <c r="L320">
        <v>86655.84</v>
      </c>
      <c r="M320">
        <v>20820.54</v>
      </c>
      <c r="N320">
        <v>4982.72</v>
      </c>
      <c r="O320">
        <v>15837.83</v>
      </c>
      <c r="P320">
        <v>6602.1</v>
      </c>
      <c r="Q320">
        <v>173795347.80000001</v>
      </c>
      <c r="R320">
        <v>175956679.40000001</v>
      </c>
      <c r="S320">
        <v>5.2999999999999999E-2</v>
      </c>
      <c r="T320" t="s">
        <v>24</v>
      </c>
      <c r="U320">
        <v>3.5000000000000003E-2</v>
      </c>
      <c r="V320">
        <v>0.08</v>
      </c>
      <c r="X320">
        <v>20985.119999999999</v>
      </c>
    </row>
    <row r="321" spans="1:25" x14ac:dyDescent="0.25">
      <c r="A321">
        <v>2020</v>
      </c>
      <c r="B321">
        <v>6</v>
      </c>
      <c r="C321" t="s">
        <v>318</v>
      </c>
      <c r="D321" t="s">
        <v>454</v>
      </c>
      <c r="E321" t="s">
        <v>455</v>
      </c>
      <c r="F321" t="s">
        <v>456</v>
      </c>
      <c r="G321" t="s">
        <v>457</v>
      </c>
      <c r="H321" t="s">
        <v>34</v>
      </c>
      <c r="I321" t="s">
        <v>23</v>
      </c>
      <c r="J321">
        <v>78219.649999999994</v>
      </c>
      <c r="K321">
        <v>10652.28</v>
      </c>
      <c r="L321">
        <v>67567.37</v>
      </c>
      <c r="M321">
        <v>13846.29</v>
      </c>
      <c r="N321">
        <v>1643.49</v>
      </c>
      <c r="O321">
        <v>12202.79</v>
      </c>
      <c r="P321">
        <v>2177.63</v>
      </c>
      <c r="Q321">
        <v>129761594.8</v>
      </c>
      <c r="R321">
        <v>139716770.09999999</v>
      </c>
      <c r="S321">
        <v>5.2999999999999999E-2</v>
      </c>
      <c r="T321">
        <v>3</v>
      </c>
      <c r="U321">
        <v>2.75E-2</v>
      </c>
      <c r="V321">
        <v>0.08</v>
      </c>
      <c r="X321">
        <v>16168.7</v>
      </c>
      <c r="Y321">
        <v>7.4999999999999997E-3</v>
      </c>
    </row>
    <row r="322" spans="1:25" x14ac:dyDescent="0.25">
      <c r="A322">
        <v>2020</v>
      </c>
      <c r="B322">
        <v>6</v>
      </c>
      <c r="C322" t="s">
        <v>318</v>
      </c>
      <c r="D322" t="s">
        <v>319</v>
      </c>
      <c r="E322" t="s">
        <v>320</v>
      </c>
      <c r="F322" t="s">
        <v>452</v>
      </c>
      <c r="G322" t="s">
        <v>453</v>
      </c>
      <c r="H322" t="s">
        <v>34</v>
      </c>
      <c r="I322" t="s">
        <v>23</v>
      </c>
      <c r="J322">
        <v>222391.74</v>
      </c>
      <c r="K322">
        <v>50072.76</v>
      </c>
      <c r="L322">
        <v>172318.98</v>
      </c>
      <c r="M322">
        <v>39878.28</v>
      </c>
      <c r="N322">
        <v>9473.89</v>
      </c>
      <c r="O322">
        <v>30404.39</v>
      </c>
      <c r="P322">
        <v>12552.9</v>
      </c>
      <c r="Q322">
        <v>337277243.89999998</v>
      </c>
      <c r="R322">
        <v>334153090.10000002</v>
      </c>
      <c r="S322">
        <v>5.2999999999999999E-2</v>
      </c>
      <c r="T322">
        <v>3</v>
      </c>
      <c r="U322">
        <v>2.75E-2</v>
      </c>
      <c r="V322">
        <v>0.08</v>
      </c>
      <c r="X322">
        <v>40285.82</v>
      </c>
      <c r="Y322">
        <v>7.4999999999999997E-3</v>
      </c>
    </row>
    <row r="323" spans="1:25" x14ac:dyDescent="0.25">
      <c r="A323">
        <v>2020</v>
      </c>
      <c r="B323">
        <v>6</v>
      </c>
      <c r="C323" t="s">
        <v>321</v>
      </c>
      <c r="D323" t="s">
        <v>322</v>
      </c>
      <c r="E323" t="s">
        <v>323</v>
      </c>
      <c r="F323" t="s">
        <v>458</v>
      </c>
      <c r="G323" t="s">
        <v>459</v>
      </c>
      <c r="H323" t="s">
        <v>34</v>
      </c>
      <c r="I323" t="s">
        <v>23</v>
      </c>
      <c r="J323">
        <v>1670159.25</v>
      </c>
      <c r="K323">
        <v>885764.35</v>
      </c>
      <c r="L323">
        <v>784394.9</v>
      </c>
      <c r="M323">
        <v>316675.14</v>
      </c>
      <c r="N323">
        <v>165498.70000000001</v>
      </c>
      <c r="O323">
        <v>151176.44</v>
      </c>
      <c r="P323">
        <v>219285.78</v>
      </c>
      <c r="Q323">
        <v>1628673933</v>
      </c>
      <c r="R323">
        <v>1709805774</v>
      </c>
      <c r="S323">
        <v>5.2999999999999999E-2</v>
      </c>
      <c r="T323" t="s">
        <v>24</v>
      </c>
      <c r="U323">
        <v>3.5000000000000003E-2</v>
      </c>
      <c r="V323">
        <v>0.08</v>
      </c>
      <c r="X323">
        <v>200308.78</v>
      </c>
    </row>
    <row r="324" spans="1:25" x14ac:dyDescent="0.25">
      <c r="A324">
        <v>2020</v>
      </c>
      <c r="B324">
        <v>6</v>
      </c>
      <c r="C324" t="s">
        <v>324</v>
      </c>
      <c r="D324" t="s">
        <v>325</v>
      </c>
      <c r="E324" t="s">
        <v>326</v>
      </c>
      <c r="F324" t="s">
        <v>460</v>
      </c>
      <c r="G324" t="s">
        <v>461</v>
      </c>
      <c r="H324" t="s">
        <v>34</v>
      </c>
      <c r="I324" t="s">
        <v>23</v>
      </c>
      <c r="J324">
        <v>814270.09</v>
      </c>
      <c r="K324">
        <v>387378.52</v>
      </c>
      <c r="L324">
        <v>426891.56</v>
      </c>
      <c r="M324">
        <v>160322.1</v>
      </c>
      <c r="N324">
        <v>76142.45</v>
      </c>
      <c r="O324">
        <v>84179.65</v>
      </c>
      <c r="P324">
        <v>100888.75</v>
      </c>
      <c r="Q324">
        <v>908693386.89999998</v>
      </c>
      <c r="R324">
        <v>950273884.70000005</v>
      </c>
      <c r="S324">
        <v>5.2999999999999999E-2</v>
      </c>
      <c r="T324">
        <v>3</v>
      </c>
      <c r="U324">
        <v>2.75E-2</v>
      </c>
      <c r="V324">
        <v>0.08</v>
      </c>
      <c r="X324">
        <v>111538.04</v>
      </c>
      <c r="Y324">
        <v>7.4999999999999997E-3</v>
      </c>
    </row>
    <row r="325" spans="1:25" x14ac:dyDescent="0.25">
      <c r="A325">
        <v>2020</v>
      </c>
      <c r="B325">
        <v>6</v>
      </c>
      <c r="C325" t="s">
        <v>324</v>
      </c>
      <c r="D325" t="s">
        <v>462</v>
      </c>
      <c r="E325" t="s">
        <v>463</v>
      </c>
      <c r="F325" t="s">
        <v>464</v>
      </c>
      <c r="G325" t="s">
        <v>465</v>
      </c>
      <c r="H325" t="s">
        <v>34</v>
      </c>
      <c r="I325" t="s">
        <v>23</v>
      </c>
      <c r="J325">
        <v>697111.15</v>
      </c>
      <c r="K325">
        <v>314318.62</v>
      </c>
      <c r="L325">
        <v>382792.53</v>
      </c>
      <c r="M325">
        <v>129124.26</v>
      </c>
      <c r="N325">
        <v>56949.67</v>
      </c>
      <c r="O325">
        <v>72174.59</v>
      </c>
      <c r="P325">
        <v>75458.31</v>
      </c>
      <c r="Q325">
        <v>777770024.70000005</v>
      </c>
      <c r="R325">
        <v>816085558</v>
      </c>
      <c r="S325">
        <v>5.2999999999999999E-2</v>
      </c>
      <c r="T325" t="s">
        <v>24</v>
      </c>
      <c r="U325">
        <v>3.5000000000000003E-2</v>
      </c>
      <c r="V325">
        <v>0.08</v>
      </c>
      <c r="X325">
        <v>95631.33</v>
      </c>
    </row>
    <row r="326" spans="1:25" x14ac:dyDescent="0.25">
      <c r="A326">
        <v>2020</v>
      </c>
      <c r="B326">
        <v>6</v>
      </c>
      <c r="C326" t="s">
        <v>327</v>
      </c>
      <c r="D326" t="s">
        <v>328</v>
      </c>
      <c r="E326" t="s">
        <v>329</v>
      </c>
      <c r="F326" t="s">
        <v>470</v>
      </c>
      <c r="G326" t="s">
        <v>471</v>
      </c>
      <c r="H326" t="s">
        <v>34</v>
      </c>
      <c r="I326" t="s">
        <v>23</v>
      </c>
      <c r="J326">
        <v>394103.59</v>
      </c>
      <c r="K326">
        <v>135815.06</v>
      </c>
      <c r="L326">
        <v>258288.53</v>
      </c>
      <c r="M326">
        <v>77295.990000000005</v>
      </c>
      <c r="N326">
        <v>28390.67</v>
      </c>
      <c r="O326">
        <v>48905.32</v>
      </c>
      <c r="P326">
        <v>37617.64</v>
      </c>
      <c r="Q326">
        <v>521794976.69999999</v>
      </c>
      <c r="R326">
        <v>558197434.10000002</v>
      </c>
      <c r="S326">
        <v>5.2999999999999999E-2</v>
      </c>
      <c r="T326">
        <v>3</v>
      </c>
      <c r="U326">
        <v>2.75E-2</v>
      </c>
      <c r="V326">
        <v>0.08</v>
      </c>
      <c r="X326">
        <v>64799.54</v>
      </c>
      <c r="Y326">
        <v>7.4999999999999997E-3</v>
      </c>
    </row>
    <row r="327" spans="1:25" x14ac:dyDescent="0.25">
      <c r="A327">
        <v>2020</v>
      </c>
      <c r="B327">
        <v>6</v>
      </c>
      <c r="C327" t="s">
        <v>327</v>
      </c>
      <c r="D327" t="s">
        <v>466</v>
      </c>
      <c r="E327" t="s">
        <v>467</v>
      </c>
      <c r="F327" t="s">
        <v>468</v>
      </c>
      <c r="G327" t="s">
        <v>469</v>
      </c>
      <c r="H327" t="s">
        <v>34</v>
      </c>
      <c r="I327" t="s">
        <v>23</v>
      </c>
      <c r="J327">
        <v>362233.4</v>
      </c>
      <c r="K327">
        <v>111999.48</v>
      </c>
      <c r="L327">
        <v>250233.92</v>
      </c>
      <c r="M327">
        <v>69441.56</v>
      </c>
      <c r="N327">
        <v>24322.73</v>
      </c>
      <c r="O327">
        <v>45118.83</v>
      </c>
      <c r="P327">
        <v>32227.62</v>
      </c>
      <c r="Q327">
        <v>487365901.89999998</v>
      </c>
      <c r="R327">
        <v>509008230.89999998</v>
      </c>
      <c r="S327">
        <v>5.2999999999999999E-2</v>
      </c>
      <c r="T327">
        <v>3</v>
      </c>
      <c r="U327">
        <v>2.75E-2</v>
      </c>
      <c r="V327">
        <v>0.08</v>
      </c>
      <c r="X327">
        <v>59782.45</v>
      </c>
      <c r="Y327">
        <v>7.4999999999999997E-3</v>
      </c>
    </row>
    <row r="328" spans="1:25" x14ac:dyDescent="0.25">
      <c r="A328">
        <v>2020</v>
      </c>
      <c r="B328">
        <v>6</v>
      </c>
      <c r="C328" t="s">
        <v>327</v>
      </c>
      <c r="D328" t="s">
        <v>472</v>
      </c>
      <c r="E328" t="s">
        <v>473</v>
      </c>
      <c r="F328" t="s">
        <v>474</v>
      </c>
      <c r="G328" t="s">
        <v>475</v>
      </c>
      <c r="H328" t="s">
        <v>34</v>
      </c>
      <c r="I328" t="s">
        <v>23</v>
      </c>
      <c r="J328">
        <v>172240.4</v>
      </c>
      <c r="K328">
        <v>47714.66</v>
      </c>
      <c r="L328">
        <v>124525.74</v>
      </c>
      <c r="M328">
        <v>34977.21</v>
      </c>
      <c r="N328">
        <v>10782.55</v>
      </c>
      <c r="O328">
        <v>24194.66</v>
      </c>
      <c r="P328">
        <v>14286.88</v>
      </c>
      <c r="Q328">
        <v>256005008.40000001</v>
      </c>
      <c r="R328">
        <v>278293654.89999998</v>
      </c>
      <c r="S328">
        <v>5.2999999999999999E-2</v>
      </c>
      <c r="T328">
        <v>3</v>
      </c>
      <c r="U328">
        <v>2.75E-2</v>
      </c>
      <c r="V328">
        <v>0.08</v>
      </c>
      <c r="X328">
        <v>32057.919999999998</v>
      </c>
      <c r="Y328">
        <v>7.4999999999999997E-3</v>
      </c>
    </row>
    <row r="329" spans="1:25" x14ac:dyDescent="0.25">
      <c r="A329">
        <v>2020</v>
      </c>
      <c r="B329">
        <v>6</v>
      </c>
      <c r="C329" t="s">
        <v>333</v>
      </c>
      <c r="D329" t="s">
        <v>478</v>
      </c>
      <c r="E329" t="s">
        <v>479</v>
      </c>
      <c r="F329" t="s">
        <v>480</v>
      </c>
      <c r="G329" t="s">
        <v>481</v>
      </c>
      <c r="H329" t="s">
        <v>34</v>
      </c>
      <c r="I329" t="s">
        <v>23</v>
      </c>
      <c r="J329">
        <v>143054.65</v>
      </c>
      <c r="K329">
        <v>65320.45</v>
      </c>
      <c r="L329">
        <v>77734.210000000006</v>
      </c>
      <c r="M329">
        <v>26514.69</v>
      </c>
      <c r="N329">
        <v>12784.24</v>
      </c>
      <c r="O329">
        <v>13730.44</v>
      </c>
      <c r="P329">
        <v>16939.12</v>
      </c>
      <c r="Q329">
        <v>149112366.40000001</v>
      </c>
      <c r="R329">
        <v>154101601.19999999</v>
      </c>
      <c r="S329">
        <v>5.2999999999999999E-2</v>
      </c>
      <c r="T329" t="s">
        <v>24</v>
      </c>
      <c r="U329">
        <v>3.5000000000000003E-2</v>
      </c>
      <c r="V329">
        <v>0.08</v>
      </c>
      <c r="X329">
        <v>18192.84</v>
      </c>
    </row>
    <row r="330" spans="1:25" x14ac:dyDescent="0.25">
      <c r="A330">
        <v>2020</v>
      </c>
      <c r="B330">
        <v>6</v>
      </c>
      <c r="C330" t="s">
        <v>333</v>
      </c>
      <c r="D330" t="s">
        <v>334</v>
      </c>
      <c r="E330" t="s">
        <v>335</v>
      </c>
      <c r="F330" t="s">
        <v>476</v>
      </c>
      <c r="G330" t="s">
        <v>477</v>
      </c>
      <c r="H330" t="s">
        <v>34</v>
      </c>
      <c r="I330" t="s">
        <v>23</v>
      </c>
      <c r="J330">
        <v>121484.87</v>
      </c>
      <c r="K330">
        <v>40257.81</v>
      </c>
      <c r="L330">
        <v>81227.05</v>
      </c>
      <c r="M330">
        <v>23128.26</v>
      </c>
      <c r="N330">
        <v>8283.6200000000008</v>
      </c>
      <c r="O330">
        <v>14844.64</v>
      </c>
      <c r="P330">
        <v>10975.79</v>
      </c>
      <c r="Q330">
        <v>159711587.30000001</v>
      </c>
      <c r="R330">
        <v>168107640.09999999</v>
      </c>
      <c r="S330">
        <v>5.2999999999999999E-2</v>
      </c>
      <c r="T330" t="s">
        <v>24</v>
      </c>
      <c r="U330">
        <v>3.5000000000000003E-2</v>
      </c>
      <c r="V330">
        <v>0.08</v>
      </c>
      <c r="X330">
        <v>19669.150000000001</v>
      </c>
    </row>
    <row r="331" spans="1:25" x14ac:dyDescent="0.25">
      <c r="A331">
        <v>2020</v>
      </c>
      <c r="B331">
        <v>6</v>
      </c>
      <c r="C331" t="s">
        <v>336</v>
      </c>
      <c r="D331" t="s">
        <v>482</v>
      </c>
      <c r="E331" t="s">
        <v>483</v>
      </c>
      <c r="F331" t="s">
        <v>484</v>
      </c>
      <c r="G331" t="s">
        <v>485</v>
      </c>
      <c r="H331" t="s">
        <v>34</v>
      </c>
      <c r="I331" t="s">
        <v>23</v>
      </c>
      <c r="J331">
        <v>289970.21000000002</v>
      </c>
      <c r="K331">
        <v>174730.33</v>
      </c>
      <c r="L331">
        <v>115239.88</v>
      </c>
      <c r="M331">
        <v>54982.02</v>
      </c>
      <c r="N331">
        <v>32035.69</v>
      </c>
      <c r="O331">
        <v>22946.33</v>
      </c>
      <c r="P331">
        <v>42447.29</v>
      </c>
      <c r="Q331">
        <v>247606344.80000001</v>
      </c>
      <c r="R331">
        <v>259125051.59999999</v>
      </c>
      <c r="S331">
        <v>5.2999999999999999E-2</v>
      </c>
      <c r="T331" t="s">
        <v>24</v>
      </c>
      <c r="U331">
        <v>3.5000000000000003E-2</v>
      </c>
      <c r="V331">
        <v>0.08</v>
      </c>
      <c r="X331">
        <v>30403.88</v>
      </c>
    </row>
    <row r="332" spans="1:25" x14ac:dyDescent="0.25">
      <c r="A332">
        <v>2020</v>
      </c>
      <c r="B332">
        <v>6</v>
      </c>
      <c r="C332" t="s">
        <v>336</v>
      </c>
      <c r="D332" t="s">
        <v>337</v>
      </c>
      <c r="E332" t="s">
        <v>338</v>
      </c>
      <c r="F332" t="s">
        <v>486</v>
      </c>
      <c r="G332" t="s">
        <v>487</v>
      </c>
      <c r="H332" t="s">
        <v>34</v>
      </c>
      <c r="I332" t="s">
        <v>23</v>
      </c>
      <c r="J332">
        <v>290117.37</v>
      </c>
      <c r="K332">
        <v>174823.4</v>
      </c>
      <c r="L332">
        <v>115293.97</v>
      </c>
      <c r="M332">
        <v>55176.7</v>
      </c>
      <c r="N332">
        <v>32197.15</v>
      </c>
      <c r="O332">
        <v>22979.55</v>
      </c>
      <c r="P332">
        <v>42661.22</v>
      </c>
      <c r="Q332">
        <v>247945810.09999999</v>
      </c>
      <c r="R332">
        <v>259519244.40000001</v>
      </c>
      <c r="S332">
        <v>5.2999999999999999E-2</v>
      </c>
      <c r="T332">
        <v>3</v>
      </c>
      <c r="U332">
        <v>2.75E-2</v>
      </c>
      <c r="V332">
        <v>0.08</v>
      </c>
      <c r="X332">
        <v>30447.9</v>
      </c>
      <c r="Y332">
        <v>7.4999999999999997E-3</v>
      </c>
    </row>
    <row r="333" spans="1:25" x14ac:dyDescent="0.25">
      <c r="A333">
        <v>2020</v>
      </c>
      <c r="B333">
        <v>6</v>
      </c>
      <c r="C333" t="s">
        <v>340</v>
      </c>
      <c r="D333" t="s">
        <v>341</v>
      </c>
      <c r="E333" t="s">
        <v>342</v>
      </c>
      <c r="F333" t="s">
        <v>488</v>
      </c>
      <c r="G333" t="s">
        <v>489</v>
      </c>
      <c r="H333" t="s">
        <v>34</v>
      </c>
      <c r="I333" t="s">
        <v>23</v>
      </c>
      <c r="J333">
        <v>2216332.94</v>
      </c>
      <c r="K333">
        <v>1125056.42</v>
      </c>
      <c r="L333">
        <v>1091276.52</v>
      </c>
      <c r="M333">
        <v>407284.31</v>
      </c>
      <c r="N333">
        <v>207148.31</v>
      </c>
      <c r="O333">
        <v>200136</v>
      </c>
      <c r="P333">
        <v>274471.51</v>
      </c>
      <c r="Q333">
        <v>2154119588</v>
      </c>
      <c r="R333">
        <v>2265550336</v>
      </c>
      <c r="S333">
        <v>5.2999999999999999E-2</v>
      </c>
      <c r="T333">
        <v>3</v>
      </c>
      <c r="U333">
        <v>2.75E-2</v>
      </c>
      <c r="V333">
        <v>0.08</v>
      </c>
      <c r="X333">
        <v>265180.2</v>
      </c>
      <c r="Y333">
        <v>7.4999999999999997E-3</v>
      </c>
    </row>
    <row r="334" spans="1:25" x14ac:dyDescent="0.25">
      <c r="A334">
        <v>2020</v>
      </c>
      <c r="B334">
        <v>6</v>
      </c>
      <c r="C334" t="s">
        <v>343</v>
      </c>
      <c r="D334" t="s">
        <v>344</v>
      </c>
      <c r="E334" t="s">
        <v>345</v>
      </c>
      <c r="F334" t="s">
        <v>490</v>
      </c>
      <c r="G334" t="s">
        <v>491</v>
      </c>
      <c r="H334" t="s">
        <v>34</v>
      </c>
      <c r="I334" t="s">
        <v>23</v>
      </c>
      <c r="J334">
        <v>903021.92</v>
      </c>
      <c r="K334">
        <v>455731.96</v>
      </c>
      <c r="L334">
        <v>447289.96</v>
      </c>
      <c r="M334">
        <v>213124.61</v>
      </c>
      <c r="N334">
        <v>114733.97</v>
      </c>
      <c r="O334">
        <v>98390.64</v>
      </c>
      <c r="P334">
        <v>152022.51</v>
      </c>
      <c r="Q334">
        <v>1053783596</v>
      </c>
      <c r="R334">
        <v>1119009666</v>
      </c>
      <c r="S334">
        <v>5.2999999999999999E-2</v>
      </c>
      <c r="T334">
        <v>3</v>
      </c>
      <c r="U334">
        <v>2.75E-2</v>
      </c>
      <c r="V334">
        <v>0.08</v>
      </c>
      <c r="X334">
        <v>130367.6</v>
      </c>
      <c r="Y334">
        <v>7.4999999999999997E-3</v>
      </c>
    </row>
    <row r="335" spans="1:25" x14ac:dyDescent="0.25">
      <c r="A335">
        <v>2020</v>
      </c>
      <c r="B335">
        <v>6</v>
      </c>
      <c r="C335" t="s">
        <v>346</v>
      </c>
      <c r="D335" t="s">
        <v>496</v>
      </c>
      <c r="E335" t="s">
        <v>497</v>
      </c>
      <c r="F335" t="s">
        <v>498</v>
      </c>
      <c r="G335" t="s">
        <v>499</v>
      </c>
      <c r="H335" t="s">
        <v>34</v>
      </c>
      <c r="I335" t="s">
        <v>23</v>
      </c>
      <c r="J335">
        <v>335023.06</v>
      </c>
      <c r="K335">
        <v>73857.58</v>
      </c>
      <c r="L335">
        <v>261165.47</v>
      </c>
      <c r="M335">
        <v>61776.86</v>
      </c>
      <c r="N335">
        <v>13178.25</v>
      </c>
      <c r="O335">
        <v>48598.62</v>
      </c>
      <c r="P335">
        <v>17461.18</v>
      </c>
      <c r="Q335">
        <v>513926282.60000002</v>
      </c>
      <c r="R335">
        <v>559293134.89999998</v>
      </c>
      <c r="S335">
        <v>5.2999999999999999E-2</v>
      </c>
      <c r="T335" t="s">
        <v>24</v>
      </c>
      <c r="U335">
        <v>3.5000000000000003E-2</v>
      </c>
      <c r="V335">
        <v>0.08</v>
      </c>
      <c r="X335">
        <v>64393.17</v>
      </c>
    </row>
    <row r="336" spans="1:25" x14ac:dyDescent="0.25">
      <c r="A336">
        <v>2020</v>
      </c>
      <c r="B336">
        <v>6</v>
      </c>
      <c r="C336" t="s">
        <v>346</v>
      </c>
      <c r="D336" t="s">
        <v>500</v>
      </c>
      <c r="E336" t="s">
        <v>501</v>
      </c>
      <c r="F336" t="s">
        <v>502</v>
      </c>
      <c r="G336" t="s">
        <v>503</v>
      </c>
      <c r="H336" t="s">
        <v>34</v>
      </c>
      <c r="I336" t="s">
        <v>23</v>
      </c>
      <c r="J336">
        <v>376480.21</v>
      </c>
      <c r="K336">
        <v>93364.38</v>
      </c>
      <c r="L336">
        <v>283115.82</v>
      </c>
      <c r="M336">
        <v>72450.73</v>
      </c>
      <c r="N336">
        <v>19453.939999999999</v>
      </c>
      <c r="O336">
        <v>52996.79</v>
      </c>
      <c r="P336">
        <v>25776.47</v>
      </c>
      <c r="Q336">
        <v>565847802.89999998</v>
      </c>
      <c r="R336">
        <v>604497937.60000002</v>
      </c>
      <c r="S336">
        <v>5.2999999999999999E-2</v>
      </c>
      <c r="T336">
        <v>3</v>
      </c>
      <c r="U336">
        <v>2.75E-2</v>
      </c>
      <c r="V336">
        <v>0.08</v>
      </c>
      <c r="X336">
        <v>70220.740000000005</v>
      </c>
      <c r="Y336">
        <v>7.4999999999999997E-3</v>
      </c>
    </row>
    <row r="337" spans="1:25" x14ac:dyDescent="0.25">
      <c r="A337">
        <v>2020</v>
      </c>
      <c r="B337">
        <v>6</v>
      </c>
      <c r="C337" t="s">
        <v>346</v>
      </c>
      <c r="D337" t="s">
        <v>347</v>
      </c>
      <c r="E337" t="s">
        <v>348</v>
      </c>
      <c r="F337" t="s">
        <v>492</v>
      </c>
      <c r="G337" t="s">
        <v>493</v>
      </c>
      <c r="H337" t="s">
        <v>34</v>
      </c>
      <c r="I337" t="s">
        <v>23</v>
      </c>
      <c r="J337">
        <v>147100.10999999999</v>
      </c>
      <c r="K337">
        <v>57.11</v>
      </c>
      <c r="L337">
        <v>147043</v>
      </c>
      <c r="M337">
        <v>25030.95</v>
      </c>
      <c r="N337">
        <v>7.31</v>
      </c>
      <c r="O337">
        <v>25023.64</v>
      </c>
      <c r="P337">
        <v>9.69</v>
      </c>
      <c r="Q337">
        <v>553335360.10000002</v>
      </c>
      <c r="R337">
        <v>551875209.79999995</v>
      </c>
      <c r="S337">
        <v>5.2999999999999999E-2</v>
      </c>
      <c r="T337">
        <v>3</v>
      </c>
      <c r="U337">
        <v>2.75E-2</v>
      </c>
      <c r="V337">
        <v>0.04</v>
      </c>
      <c r="X337">
        <v>33156.32</v>
      </c>
      <c r="Y337">
        <v>7.4999999999999997E-3</v>
      </c>
    </row>
    <row r="338" spans="1:25" x14ac:dyDescent="0.25">
      <c r="A338">
        <v>2020</v>
      </c>
      <c r="B338">
        <v>6</v>
      </c>
      <c r="C338" t="s">
        <v>346</v>
      </c>
      <c r="D338" t="s">
        <v>347</v>
      </c>
      <c r="E338" t="s">
        <v>348</v>
      </c>
      <c r="F338" t="s">
        <v>494</v>
      </c>
      <c r="G338" t="s">
        <v>495</v>
      </c>
      <c r="H338" t="s">
        <v>34</v>
      </c>
      <c r="I338" t="s">
        <v>23</v>
      </c>
      <c r="J338">
        <v>348827.6</v>
      </c>
      <c r="K338">
        <v>68217.95</v>
      </c>
      <c r="L338">
        <v>280609.65000000002</v>
      </c>
      <c r="M338">
        <v>68645.25</v>
      </c>
      <c r="N338">
        <v>13393.06</v>
      </c>
      <c r="O338">
        <v>55252.18</v>
      </c>
      <c r="P338">
        <v>17745.810000000001</v>
      </c>
      <c r="Q338">
        <v>586154059.70000005</v>
      </c>
      <c r="R338">
        <v>633998338.20000005</v>
      </c>
      <c r="S338">
        <v>5.2999999999999999E-2</v>
      </c>
      <c r="T338" t="s">
        <v>24</v>
      </c>
      <c r="U338">
        <v>3.5000000000000003E-2</v>
      </c>
      <c r="V338">
        <v>0.08</v>
      </c>
      <c r="X338">
        <v>73209.14</v>
      </c>
    </row>
    <row r="339" spans="1:25" x14ac:dyDescent="0.25">
      <c r="A339">
        <v>2020</v>
      </c>
      <c r="B339">
        <v>6</v>
      </c>
      <c r="C339" t="s">
        <v>349</v>
      </c>
      <c r="D339" t="s">
        <v>514</v>
      </c>
      <c r="E339" t="s">
        <v>515</v>
      </c>
      <c r="F339" t="s">
        <v>516</v>
      </c>
      <c r="G339" t="s">
        <v>517</v>
      </c>
      <c r="H339" t="s">
        <v>34</v>
      </c>
      <c r="I339" t="s">
        <v>23</v>
      </c>
      <c r="J339">
        <v>270927.34000000003</v>
      </c>
      <c r="K339">
        <v>97879.23</v>
      </c>
      <c r="L339">
        <v>173048.11</v>
      </c>
      <c r="M339">
        <v>49039.5</v>
      </c>
      <c r="N339">
        <v>17778.57</v>
      </c>
      <c r="O339">
        <v>31260.94</v>
      </c>
      <c r="P339">
        <v>23556.6</v>
      </c>
      <c r="Q339">
        <v>333789137.89999998</v>
      </c>
      <c r="R339">
        <v>356556544.30000001</v>
      </c>
      <c r="S339">
        <v>5.2999999999999999E-2</v>
      </c>
      <c r="T339">
        <v>3</v>
      </c>
      <c r="U339">
        <v>2.75E-2</v>
      </c>
      <c r="V339">
        <v>0.08</v>
      </c>
      <c r="X339">
        <v>41420.74</v>
      </c>
      <c r="Y339">
        <v>7.4999999999999997E-3</v>
      </c>
    </row>
    <row r="340" spans="1:25" x14ac:dyDescent="0.25">
      <c r="A340">
        <v>2020</v>
      </c>
      <c r="B340">
        <v>6</v>
      </c>
      <c r="C340" t="s">
        <v>349</v>
      </c>
      <c r="D340" t="s">
        <v>350</v>
      </c>
      <c r="E340" t="s">
        <v>351</v>
      </c>
      <c r="F340" t="s">
        <v>518</v>
      </c>
      <c r="G340" t="s">
        <v>519</v>
      </c>
      <c r="H340" t="s">
        <v>34</v>
      </c>
      <c r="I340" t="s">
        <v>23</v>
      </c>
      <c r="J340">
        <v>4663628.26</v>
      </c>
      <c r="K340">
        <v>2398962.0499999998</v>
      </c>
      <c r="L340">
        <v>2264666.2200000002</v>
      </c>
      <c r="M340">
        <v>804220.71</v>
      </c>
      <c r="N340">
        <v>406764.41</v>
      </c>
      <c r="O340">
        <v>397456.3</v>
      </c>
      <c r="P340">
        <v>538962.84</v>
      </c>
      <c r="Q340">
        <v>4333214358</v>
      </c>
      <c r="R340">
        <v>4443945652</v>
      </c>
      <c r="S340">
        <v>5.2999999999999999E-2</v>
      </c>
      <c r="T340">
        <v>3</v>
      </c>
      <c r="U340">
        <v>2.75E-2</v>
      </c>
      <c r="V340">
        <v>0.08</v>
      </c>
      <c r="X340">
        <v>526629.6</v>
      </c>
      <c r="Y340">
        <v>7.4999999999999997E-3</v>
      </c>
    </row>
    <row r="341" spans="1:25" x14ac:dyDescent="0.25">
      <c r="A341">
        <v>2020</v>
      </c>
      <c r="B341">
        <v>6</v>
      </c>
      <c r="C341" t="s">
        <v>349</v>
      </c>
      <c r="D341" t="s">
        <v>506</v>
      </c>
      <c r="E341" t="s">
        <v>507</v>
      </c>
      <c r="F341" t="s">
        <v>508</v>
      </c>
      <c r="G341" t="s">
        <v>509</v>
      </c>
      <c r="H341" t="s">
        <v>34</v>
      </c>
      <c r="I341" t="s">
        <v>23</v>
      </c>
      <c r="J341">
        <v>1027274.46</v>
      </c>
      <c r="K341">
        <v>323936.21000000002</v>
      </c>
      <c r="L341">
        <v>703338.24</v>
      </c>
      <c r="M341">
        <v>178062.52</v>
      </c>
      <c r="N341">
        <v>55917.4</v>
      </c>
      <c r="O341">
        <v>122145.11</v>
      </c>
      <c r="P341">
        <v>74090.559999999998</v>
      </c>
      <c r="Q341">
        <v>1335005993</v>
      </c>
      <c r="R341">
        <v>1362365260</v>
      </c>
      <c r="S341">
        <v>5.2999999999999999E-2</v>
      </c>
      <c r="T341" t="s">
        <v>24</v>
      </c>
      <c r="U341">
        <v>3.5000000000000003E-2</v>
      </c>
      <c r="V341">
        <v>0.08</v>
      </c>
      <c r="X341">
        <v>161842.28</v>
      </c>
    </row>
    <row r="342" spans="1:25" x14ac:dyDescent="0.25">
      <c r="A342">
        <v>2020</v>
      </c>
      <c r="B342">
        <v>6</v>
      </c>
      <c r="C342" t="s">
        <v>349</v>
      </c>
      <c r="D342" t="s">
        <v>510</v>
      </c>
      <c r="E342" t="s">
        <v>511</v>
      </c>
      <c r="F342" t="s">
        <v>512</v>
      </c>
      <c r="G342" t="s">
        <v>513</v>
      </c>
      <c r="H342" t="s">
        <v>34</v>
      </c>
      <c r="I342" t="s">
        <v>23</v>
      </c>
      <c r="J342">
        <v>534857.37</v>
      </c>
      <c r="K342">
        <v>207551.98</v>
      </c>
      <c r="L342">
        <v>327305.39</v>
      </c>
      <c r="M342">
        <v>101688.72</v>
      </c>
      <c r="N342">
        <v>40666.800000000003</v>
      </c>
      <c r="O342">
        <v>61021.919999999998</v>
      </c>
      <c r="P342">
        <v>53883.51</v>
      </c>
      <c r="Q342">
        <v>660042846.39999998</v>
      </c>
      <c r="R342">
        <v>687524531.20000005</v>
      </c>
      <c r="S342">
        <v>5.2999999999999999E-2</v>
      </c>
      <c r="T342">
        <v>3</v>
      </c>
      <c r="U342">
        <v>2.75E-2</v>
      </c>
      <c r="V342">
        <v>0.08</v>
      </c>
      <c r="X342">
        <v>80854.039999999994</v>
      </c>
      <c r="Y342">
        <v>7.4999999999999997E-3</v>
      </c>
    </row>
    <row r="343" spans="1:25" x14ac:dyDescent="0.25">
      <c r="A343">
        <v>2020</v>
      </c>
      <c r="B343">
        <v>6</v>
      </c>
      <c r="C343" t="s">
        <v>349</v>
      </c>
      <c r="D343" t="s">
        <v>350</v>
      </c>
      <c r="E343" t="s">
        <v>351</v>
      </c>
      <c r="F343" t="s">
        <v>504</v>
      </c>
      <c r="G343" t="s">
        <v>505</v>
      </c>
      <c r="H343" t="s">
        <v>34</v>
      </c>
      <c r="I343" t="s">
        <v>23</v>
      </c>
      <c r="J343">
        <v>38606.699999999997</v>
      </c>
      <c r="K343">
        <v>118.67</v>
      </c>
      <c r="L343">
        <v>38488.03</v>
      </c>
      <c r="M343">
        <v>5564.86</v>
      </c>
      <c r="N343">
        <v>3.55</v>
      </c>
      <c r="O343">
        <v>5561.31</v>
      </c>
      <c r="P343">
        <v>4.7</v>
      </c>
      <c r="Q343">
        <v>21591078.02</v>
      </c>
      <c r="R343">
        <v>24948298.91</v>
      </c>
      <c r="S343">
        <v>5.2999999999999999E-2</v>
      </c>
      <c r="T343">
        <v>1</v>
      </c>
      <c r="U343">
        <v>1.4999999999999999E-2</v>
      </c>
      <c r="V343">
        <v>0.1</v>
      </c>
      <c r="X343">
        <v>7368.73</v>
      </c>
    </row>
    <row r="344" spans="1:25" x14ac:dyDescent="0.25">
      <c r="A344">
        <v>2020</v>
      </c>
      <c r="B344">
        <v>6</v>
      </c>
      <c r="C344" t="s">
        <v>352</v>
      </c>
      <c r="D344" t="s">
        <v>520</v>
      </c>
      <c r="E344" t="s">
        <v>521</v>
      </c>
      <c r="F344" t="s">
        <v>522</v>
      </c>
      <c r="G344" t="s">
        <v>523</v>
      </c>
      <c r="H344" t="s">
        <v>34</v>
      </c>
      <c r="I344" t="s">
        <v>23</v>
      </c>
      <c r="J344">
        <v>701857.97</v>
      </c>
      <c r="K344">
        <v>264474.03000000003</v>
      </c>
      <c r="L344">
        <v>437383.94</v>
      </c>
      <c r="M344">
        <v>145077.79999999999</v>
      </c>
      <c r="N344">
        <v>60793.06</v>
      </c>
      <c r="O344">
        <v>84284.73</v>
      </c>
      <c r="P344">
        <v>80550.81</v>
      </c>
      <c r="Q344">
        <v>917687789</v>
      </c>
      <c r="R344">
        <v>943600059.39999998</v>
      </c>
      <c r="S344">
        <v>5.2999999999999999E-2</v>
      </c>
      <c r="T344" t="s">
        <v>24</v>
      </c>
      <c r="U344">
        <v>3.5000000000000003E-2</v>
      </c>
      <c r="V344">
        <v>0.08</v>
      </c>
      <c r="X344">
        <v>111677.27</v>
      </c>
    </row>
    <row r="345" spans="1:25" x14ac:dyDescent="0.25">
      <c r="A345">
        <v>2020</v>
      </c>
      <c r="B345">
        <v>6</v>
      </c>
      <c r="C345" t="s">
        <v>352</v>
      </c>
      <c r="D345" t="s">
        <v>524</v>
      </c>
      <c r="E345" t="s">
        <v>525</v>
      </c>
      <c r="F345" t="s">
        <v>526</v>
      </c>
      <c r="G345" t="s">
        <v>527</v>
      </c>
      <c r="H345" t="s">
        <v>34</v>
      </c>
      <c r="I345" t="s">
        <v>23</v>
      </c>
      <c r="J345">
        <v>687527.11</v>
      </c>
      <c r="K345">
        <v>253397.42</v>
      </c>
      <c r="L345">
        <v>434129.69</v>
      </c>
      <c r="M345">
        <v>140291.64000000001</v>
      </c>
      <c r="N345">
        <v>57313.05</v>
      </c>
      <c r="O345">
        <v>82978.59</v>
      </c>
      <c r="P345">
        <v>75939.789999999994</v>
      </c>
      <c r="Q345">
        <v>903800199.79999995</v>
      </c>
      <c r="R345">
        <v>928643674.89999998</v>
      </c>
      <c r="S345">
        <v>5.2999999999999999E-2</v>
      </c>
      <c r="T345">
        <v>3</v>
      </c>
      <c r="U345">
        <v>2.75E-2</v>
      </c>
      <c r="V345">
        <v>0.08</v>
      </c>
      <c r="X345">
        <v>109946.63</v>
      </c>
      <c r="Y345">
        <v>7.4999999999999997E-3</v>
      </c>
    </row>
    <row r="346" spans="1:25" x14ac:dyDescent="0.25">
      <c r="A346">
        <v>2020</v>
      </c>
      <c r="B346">
        <v>6</v>
      </c>
      <c r="C346" t="s">
        <v>352</v>
      </c>
      <c r="D346" t="s">
        <v>353</v>
      </c>
      <c r="E346" t="s">
        <v>354</v>
      </c>
      <c r="F346" t="s">
        <v>528</v>
      </c>
      <c r="G346" t="s">
        <v>529</v>
      </c>
      <c r="H346" t="s">
        <v>34</v>
      </c>
      <c r="I346" t="s">
        <v>23</v>
      </c>
      <c r="J346">
        <v>665050.4</v>
      </c>
      <c r="K346">
        <v>231057.8</v>
      </c>
      <c r="L346">
        <v>433992.59</v>
      </c>
      <c r="M346">
        <v>134531.62</v>
      </c>
      <c r="N346">
        <v>51573.31</v>
      </c>
      <c r="O346">
        <v>82958.320000000007</v>
      </c>
      <c r="P346">
        <v>68334.63</v>
      </c>
      <c r="Q346">
        <v>903410346.10000002</v>
      </c>
      <c r="R346">
        <v>928585813.5</v>
      </c>
      <c r="S346">
        <v>5.2999999999999999E-2</v>
      </c>
      <c r="T346">
        <v>3</v>
      </c>
      <c r="U346">
        <v>2.75E-2</v>
      </c>
      <c r="V346">
        <v>0.08</v>
      </c>
      <c r="X346">
        <v>109919.77</v>
      </c>
      <c r="Y346">
        <v>7.4999999999999997E-3</v>
      </c>
    </row>
    <row r="347" spans="1:25" x14ac:dyDescent="0.25">
      <c r="A347">
        <v>2020</v>
      </c>
      <c r="B347">
        <v>6</v>
      </c>
      <c r="C347" t="s">
        <v>355</v>
      </c>
      <c r="D347" t="s">
        <v>532</v>
      </c>
      <c r="E347" t="s">
        <v>533</v>
      </c>
      <c r="F347" t="s">
        <v>534</v>
      </c>
      <c r="G347" t="s">
        <v>535</v>
      </c>
      <c r="H347" t="s">
        <v>34</v>
      </c>
      <c r="I347" t="s">
        <v>23</v>
      </c>
      <c r="J347">
        <v>300277.87</v>
      </c>
      <c r="K347">
        <v>75694.37</v>
      </c>
      <c r="L347">
        <v>224583.5</v>
      </c>
      <c r="M347">
        <v>54759.519999999997</v>
      </c>
      <c r="N347">
        <v>13754.02</v>
      </c>
      <c r="O347">
        <v>41005.5</v>
      </c>
      <c r="P347">
        <v>18224.07</v>
      </c>
      <c r="Q347">
        <v>441659478.19999999</v>
      </c>
      <c r="R347">
        <v>463878690.5</v>
      </c>
      <c r="S347">
        <v>5.2999999999999999E-2</v>
      </c>
      <c r="T347">
        <v>3</v>
      </c>
      <c r="U347">
        <v>2.75E-2</v>
      </c>
      <c r="V347">
        <v>0.08</v>
      </c>
      <c r="X347">
        <v>54332.29</v>
      </c>
      <c r="Y347">
        <v>7.4999999999999997E-3</v>
      </c>
    </row>
    <row r="348" spans="1:25" x14ac:dyDescent="0.25">
      <c r="A348">
        <v>2020</v>
      </c>
      <c r="B348">
        <v>6</v>
      </c>
      <c r="C348" t="s">
        <v>355</v>
      </c>
      <c r="D348" t="s">
        <v>356</v>
      </c>
      <c r="E348" t="s">
        <v>357</v>
      </c>
      <c r="F348" t="s">
        <v>530</v>
      </c>
      <c r="G348" t="s">
        <v>531</v>
      </c>
      <c r="H348" t="s">
        <v>34</v>
      </c>
      <c r="I348" t="s">
        <v>23</v>
      </c>
      <c r="J348">
        <v>403688.07</v>
      </c>
      <c r="K348">
        <v>101012.39</v>
      </c>
      <c r="L348">
        <v>302675.67</v>
      </c>
      <c r="M348">
        <v>76827.22</v>
      </c>
      <c r="N348">
        <v>19161.919999999998</v>
      </c>
      <c r="O348">
        <v>57665.3</v>
      </c>
      <c r="P348">
        <v>25389.54</v>
      </c>
      <c r="Q348">
        <v>615357066.5</v>
      </c>
      <c r="R348">
        <v>658084970.79999995</v>
      </c>
      <c r="S348">
        <v>5.2999999999999999E-2</v>
      </c>
      <c r="T348">
        <v>3</v>
      </c>
      <c r="U348">
        <v>2.75E-2</v>
      </c>
      <c r="V348">
        <v>0.08</v>
      </c>
      <c r="X348">
        <v>76406.52</v>
      </c>
      <c r="Y348">
        <v>7.4999999999999997E-3</v>
      </c>
    </row>
    <row r="349" spans="1:25" x14ac:dyDescent="0.25">
      <c r="A349">
        <v>2020</v>
      </c>
      <c r="B349">
        <v>6</v>
      </c>
      <c r="C349" t="s">
        <v>355</v>
      </c>
      <c r="D349" t="s">
        <v>536</v>
      </c>
      <c r="E349" t="s">
        <v>537</v>
      </c>
      <c r="F349" t="s">
        <v>538</v>
      </c>
      <c r="G349" t="s">
        <v>539</v>
      </c>
      <c r="H349" t="s">
        <v>34</v>
      </c>
      <c r="I349" t="s">
        <v>23</v>
      </c>
      <c r="J349">
        <v>332977.18</v>
      </c>
      <c r="K349">
        <v>52659.9</v>
      </c>
      <c r="L349">
        <v>280317.28000000003</v>
      </c>
      <c r="M349">
        <v>54452.13</v>
      </c>
      <c r="N349">
        <v>6956.21</v>
      </c>
      <c r="O349">
        <v>47495.92</v>
      </c>
      <c r="P349">
        <v>9216.98</v>
      </c>
      <c r="Q349">
        <v>520783544.19999999</v>
      </c>
      <c r="R349">
        <v>528084710.30000001</v>
      </c>
      <c r="S349">
        <v>5.2999999999999999E-2</v>
      </c>
      <c r="T349">
        <v>3</v>
      </c>
      <c r="U349">
        <v>2.75E-2</v>
      </c>
      <c r="V349">
        <v>0.08</v>
      </c>
      <c r="X349">
        <v>62932.1</v>
      </c>
      <c r="Y349">
        <v>7.4999999999999997E-3</v>
      </c>
    </row>
    <row r="350" spans="1:25" x14ac:dyDescent="0.25">
      <c r="A350">
        <v>2020</v>
      </c>
      <c r="B350">
        <v>6</v>
      </c>
      <c r="C350" t="s">
        <v>364</v>
      </c>
      <c r="D350" t="s">
        <v>367</v>
      </c>
      <c r="E350" t="s">
        <v>368</v>
      </c>
      <c r="F350" t="s">
        <v>542</v>
      </c>
      <c r="G350" t="s">
        <v>543</v>
      </c>
      <c r="H350" t="s">
        <v>34</v>
      </c>
      <c r="I350" t="s">
        <v>23</v>
      </c>
      <c r="J350">
        <v>795075.91</v>
      </c>
      <c r="K350">
        <v>180464.88</v>
      </c>
      <c r="L350">
        <v>614611.04</v>
      </c>
      <c r="M350">
        <v>141896.23000000001</v>
      </c>
      <c r="N350">
        <v>32256.23</v>
      </c>
      <c r="O350">
        <v>109640</v>
      </c>
      <c r="P350">
        <v>42739.51</v>
      </c>
      <c r="Q350">
        <v>671696054.79999995</v>
      </c>
      <c r="R350">
        <v>695579211.70000005</v>
      </c>
      <c r="S350">
        <v>5.2999999999999999E-2</v>
      </c>
      <c r="T350">
        <v>3</v>
      </c>
      <c r="U350">
        <v>2.75E-2</v>
      </c>
      <c r="V350">
        <v>0.1</v>
      </c>
      <c r="X350">
        <v>145273</v>
      </c>
    </row>
    <row r="351" spans="1:25" x14ac:dyDescent="0.25">
      <c r="A351">
        <v>2020</v>
      </c>
      <c r="B351">
        <v>6</v>
      </c>
      <c r="C351" t="s">
        <v>364</v>
      </c>
      <c r="D351" t="s">
        <v>365</v>
      </c>
      <c r="E351" t="s">
        <v>366</v>
      </c>
      <c r="F351" t="s">
        <v>544</v>
      </c>
      <c r="G351" t="s">
        <v>545</v>
      </c>
      <c r="H351" t="s">
        <v>34</v>
      </c>
      <c r="I351" t="s">
        <v>23</v>
      </c>
      <c r="J351">
        <v>171981.97</v>
      </c>
      <c r="K351">
        <v>2865.16</v>
      </c>
      <c r="L351">
        <v>169116.79999999999</v>
      </c>
      <c r="M351">
        <v>29988.33</v>
      </c>
      <c r="N351">
        <v>341.69</v>
      </c>
      <c r="O351">
        <v>29646.639999999999</v>
      </c>
      <c r="P351">
        <v>452.74</v>
      </c>
      <c r="Q351">
        <v>181773222.59999999</v>
      </c>
      <c r="R351">
        <v>187937833.80000001</v>
      </c>
      <c r="S351">
        <v>5.2999999999999999E-2</v>
      </c>
      <c r="T351">
        <v>3</v>
      </c>
      <c r="U351">
        <v>2.75E-2</v>
      </c>
      <c r="V351">
        <v>0.1</v>
      </c>
      <c r="X351">
        <v>39281.800000000003</v>
      </c>
    </row>
    <row r="352" spans="1:25" x14ac:dyDescent="0.25">
      <c r="A352">
        <v>2020</v>
      </c>
      <c r="B352">
        <v>6</v>
      </c>
      <c r="C352" t="s">
        <v>364</v>
      </c>
      <c r="D352" t="s">
        <v>365</v>
      </c>
      <c r="E352" t="s">
        <v>366</v>
      </c>
      <c r="F352" t="s">
        <v>540</v>
      </c>
      <c r="G352" t="s">
        <v>541</v>
      </c>
      <c r="H352" t="s">
        <v>34</v>
      </c>
      <c r="I352" t="s">
        <v>23</v>
      </c>
      <c r="J352">
        <v>66829.440000000002</v>
      </c>
      <c r="K352">
        <v>19.2</v>
      </c>
      <c r="L352">
        <v>66810.240000000005</v>
      </c>
      <c r="M352">
        <v>11241.53</v>
      </c>
      <c r="N352">
        <v>6.47</v>
      </c>
      <c r="O352">
        <v>11235.06</v>
      </c>
      <c r="P352">
        <v>8.57</v>
      </c>
      <c r="Q352">
        <v>139823931.69999999</v>
      </c>
      <c r="R352">
        <v>140391774.19999999</v>
      </c>
      <c r="S352">
        <v>5.2999999999999999E-2</v>
      </c>
      <c r="T352">
        <v>3</v>
      </c>
      <c r="U352">
        <v>2.75E-2</v>
      </c>
      <c r="V352">
        <v>0.05</v>
      </c>
      <c r="X352">
        <v>14886.46</v>
      </c>
    </row>
    <row r="353" spans="1:25" x14ac:dyDescent="0.25">
      <c r="A353">
        <v>2020</v>
      </c>
      <c r="B353">
        <v>6</v>
      </c>
      <c r="C353" t="s">
        <v>358</v>
      </c>
      <c r="D353" t="s">
        <v>550</v>
      </c>
      <c r="E353" t="s">
        <v>551</v>
      </c>
      <c r="F353" t="s">
        <v>552</v>
      </c>
      <c r="G353" t="s">
        <v>553</v>
      </c>
      <c r="H353" t="s">
        <v>34</v>
      </c>
      <c r="I353" t="s">
        <v>23</v>
      </c>
      <c r="J353">
        <v>625870.01</v>
      </c>
      <c r="K353">
        <v>302449.09000000003</v>
      </c>
      <c r="L353">
        <v>323420.92</v>
      </c>
      <c r="M353">
        <v>111906.28</v>
      </c>
      <c r="N353">
        <v>55068.75</v>
      </c>
      <c r="O353">
        <v>56837.53</v>
      </c>
      <c r="P353">
        <v>72966.09</v>
      </c>
      <c r="Q353">
        <v>623461029.60000002</v>
      </c>
      <c r="R353">
        <v>631701096.89999998</v>
      </c>
      <c r="S353">
        <v>5.2999999999999999E-2</v>
      </c>
      <c r="T353" t="s">
        <v>24</v>
      </c>
      <c r="U353">
        <v>3.5000000000000003E-2</v>
      </c>
      <c r="V353">
        <v>0.08</v>
      </c>
      <c r="X353">
        <v>75309.73</v>
      </c>
    </row>
    <row r="354" spans="1:25" x14ac:dyDescent="0.25">
      <c r="A354">
        <v>2020</v>
      </c>
      <c r="B354">
        <v>6</v>
      </c>
      <c r="C354" t="s">
        <v>358</v>
      </c>
      <c r="D354" t="s">
        <v>554</v>
      </c>
      <c r="E354" t="s">
        <v>555</v>
      </c>
      <c r="F354" t="s">
        <v>556</v>
      </c>
      <c r="G354" t="s">
        <v>557</v>
      </c>
      <c r="H354" t="s">
        <v>34</v>
      </c>
      <c r="I354" t="s">
        <v>23</v>
      </c>
      <c r="J354">
        <v>785820.55</v>
      </c>
      <c r="K354">
        <v>405913.09</v>
      </c>
      <c r="L354">
        <v>379907.46</v>
      </c>
      <c r="M354">
        <v>133904.21</v>
      </c>
      <c r="N354">
        <v>66376.63</v>
      </c>
      <c r="O354">
        <v>67527.58</v>
      </c>
      <c r="P354">
        <v>87949.03</v>
      </c>
      <c r="Q354">
        <v>732193561.89999998</v>
      </c>
      <c r="R354">
        <v>759040543.29999995</v>
      </c>
      <c r="S354">
        <v>5.2999999999999999E-2</v>
      </c>
      <c r="T354">
        <v>3</v>
      </c>
      <c r="U354">
        <v>2.75E-2</v>
      </c>
      <c r="V354">
        <v>0.08</v>
      </c>
      <c r="X354">
        <v>89474.05</v>
      </c>
      <c r="Y354">
        <v>7.4999999999999997E-3</v>
      </c>
    </row>
    <row r="355" spans="1:25" x14ac:dyDescent="0.25">
      <c r="A355">
        <v>2020</v>
      </c>
      <c r="B355">
        <v>6</v>
      </c>
      <c r="C355" t="s">
        <v>358</v>
      </c>
      <c r="D355" t="s">
        <v>546</v>
      </c>
      <c r="E355" t="s">
        <v>547</v>
      </c>
      <c r="F355" t="s">
        <v>548</v>
      </c>
      <c r="G355" t="s">
        <v>549</v>
      </c>
      <c r="H355" t="s">
        <v>34</v>
      </c>
      <c r="I355" t="s">
        <v>23</v>
      </c>
      <c r="J355">
        <v>1015462.42</v>
      </c>
      <c r="K355">
        <v>345311.72</v>
      </c>
      <c r="L355">
        <v>670150.69999999995</v>
      </c>
      <c r="M355">
        <v>175893.42</v>
      </c>
      <c r="N355">
        <v>56977.72</v>
      </c>
      <c r="O355">
        <v>118915.7</v>
      </c>
      <c r="P355">
        <v>75495.48</v>
      </c>
      <c r="Q355">
        <v>727836415.79999995</v>
      </c>
      <c r="R355">
        <v>755112318.10000002</v>
      </c>
      <c r="S355">
        <v>5.2999999999999999E-2</v>
      </c>
      <c r="T355">
        <v>3</v>
      </c>
      <c r="U355">
        <v>2.75E-2</v>
      </c>
      <c r="V355">
        <v>0.1</v>
      </c>
      <c r="X355">
        <v>157563.29999999999</v>
      </c>
    </row>
    <row r="356" spans="1:25" x14ac:dyDescent="0.25">
      <c r="A356">
        <v>2020</v>
      </c>
      <c r="B356">
        <v>6</v>
      </c>
      <c r="C356" t="s">
        <v>361</v>
      </c>
      <c r="D356" t="s">
        <v>560</v>
      </c>
      <c r="E356" t="s">
        <v>561</v>
      </c>
      <c r="F356" t="s">
        <v>562</v>
      </c>
      <c r="G356" t="s">
        <v>563</v>
      </c>
      <c r="H356" t="s">
        <v>34</v>
      </c>
      <c r="I356" t="s">
        <v>23</v>
      </c>
      <c r="J356">
        <v>322889.67</v>
      </c>
      <c r="K356">
        <v>56732.32</v>
      </c>
      <c r="L356">
        <v>266157.34999999998</v>
      </c>
      <c r="M356">
        <v>59227.040000000001</v>
      </c>
      <c r="N356">
        <v>10369.51</v>
      </c>
      <c r="O356">
        <v>48857.53</v>
      </c>
      <c r="P356">
        <v>13739.6</v>
      </c>
      <c r="Q356">
        <v>530147137.19999999</v>
      </c>
      <c r="R356">
        <v>548789956.89999998</v>
      </c>
      <c r="S356">
        <v>5.2999999999999999E-2</v>
      </c>
      <c r="T356">
        <v>3</v>
      </c>
      <c r="U356">
        <v>2.75E-2</v>
      </c>
      <c r="V356">
        <v>0.08</v>
      </c>
      <c r="X356">
        <v>64736.23</v>
      </c>
      <c r="Y356">
        <v>7.4999999999999997E-3</v>
      </c>
    </row>
    <row r="357" spans="1:25" x14ac:dyDescent="0.25">
      <c r="A357">
        <v>2020</v>
      </c>
      <c r="B357">
        <v>6</v>
      </c>
      <c r="C357" t="s">
        <v>361</v>
      </c>
      <c r="D357" t="s">
        <v>362</v>
      </c>
      <c r="E357" t="s">
        <v>363</v>
      </c>
      <c r="F357" t="s">
        <v>558</v>
      </c>
      <c r="G357" t="s">
        <v>559</v>
      </c>
      <c r="H357" t="s">
        <v>34</v>
      </c>
      <c r="I357" t="s">
        <v>23</v>
      </c>
      <c r="J357">
        <v>308909.93</v>
      </c>
      <c r="K357">
        <v>53388.52</v>
      </c>
      <c r="L357">
        <v>255521.41</v>
      </c>
      <c r="M357">
        <v>56064.77</v>
      </c>
      <c r="N357">
        <v>9144.4</v>
      </c>
      <c r="O357">
        <v>46920.37</v>
      </c>
      <c r="P357">
        <v>12116.33</v>
      </c>
      <c r="Q357">
        <v>508715398.19999999</v>
      </c>
      <c r="R357">
        <v>527442672.30000001</v>
      </c>
      <c r="S357">
        <v>5.2999999999999999E-2</v>
      </c>
      <c r="T357" t="s">
        <v>24</v>
      </c>
      <c r="U357">
        <v>3.5000000000000003E-2</v>
      </c>
      <c r="V357">
        <v>0.08</v>
      </c>
      <c r="X357">
        <v>62169.48</v>
      </c>
    </row>
    <row r="358" spans="1:25" x14ac:dyDescent="0.25">
      <c r="A358">
        <v>2020</v>
      </c>
      <c r="B358">
        <v>6</v>
      </c>
      <c r="C358" t="s">
        <v>295</v>
      </c>
      <c r="D358" t="s">
        <v>564</v>
      </c>
      <c r="E358" t="s">
        <v>565</v>
      </c>
      <c r="F358" t="s">
        <v>566</v>
      </c>
      <c r="G358" t="s">
        <v>567</v>
      </c>
      <c r="H358" t="s">
        <v>34</v>
      </c>
      <c r="I358" t="s">
        <v>34</v>
      </c>
      <c r="J358">
        <v>547617.09</v>
      </c>
      <c r="K358">
        <v>547617.09</v>
      </c>
      <c r="M358">
        <v>93231.55</v>
      </c>
      <c r="N358">
        <v>93231.55</v>
      </c>
      <c r="P358">
        <v>123531.8</v>
      </c>
    </row>
    <row r="359" spans="1:25" x14ac:dyDescent="0.25">
      <c r="A359">
        <v>2020</v>
      </c>
      <c r="B359">
        <v>6</v>
      </c>
      <c r="C359" t="s">
        <v>298</v>
      </c>
      <c r="D359" t="s">
        <v>589</v>
      </c>
      <c r="E359" t="s">
        <v>590</v>
      </c>
      <c r="F359" t="s">
        <v>591</v>
      </c>
      <c r="G359" t="s">
        <v>592</v>
      </c>
      <c r="H359" t="s">
        <v>34</v>
      </c>
      <c r="I359" t="s">
        <v>34</v>
      </c>
      <c r="J359">
        <v>177303.99</v>
      </c>
      <c r="K359">
        <v>177303.99</v>
      </c>
      <c r="M359">
        <v>54395.77</v>
      </c>
      <c r="N359">
        <v>54395.77</v>
      </c>
      <c r="P359">
        <v>72074.39</v>
      </c>
    </row>
    <row r="360" spans="1:25" x14ac:dyDescent="0.25">
      <c r="A360">
        <v>2020</v>
      </c>
      <c r="B360">
        <v>6</v>
      </c>
      <c r="C360" t="s">
        <v>321</v>
      </c>
      <c r="D360" t="s">
        <v>568</v>
      </c>
      <c r="E360" t="s">
        <v>569</v>
      </c>
      <c r="F360" t="s">
        <v>570</v>
      </c>
      <c r="G360" t="s">
        <v>571</v>
      </c>
      <c r="H360" t="s">
        <v>34</v>
      </c>
      <c r="I360" t="s">
        <v>34</v>
      </c>
      <c r="J360">
        <v>604939.34</v>
      </c>
      <c r="K360">
        <v>604939.34</v>
      </c>
      <c r="M360">
        <v>116106.88</v>
      </c>
      <c r="N360">
        <v>116106.88</v>
      </c>
      <c r="P360">
        <v>153841.62</v>
      </c>
    </row>
    <row r="361" spans="1:25" x14ac:dyDescent="0.25">
      <c r="A361">
        <v>2020</v>
      </c>
      <c r="B361">
        <v>6</v>
      </c>
      <c r="C361" t="s">
        <v>327</v>
      </c>
      <c r="D361" t="s">
        <v>328</v>
      </c>
      <c r="E361" t="s">
        <v>329</v>
      </c>
      <c r="F361" t="s">
        <v>572</v>
      </c>
      <c r="G361" t="s">
        <v>573</v>
      </c>
      <c r="H361" t="s">
        <v>34</v>
      </c>
      <c r="I361" t="s">
        <v>34</v>
      </c>
      <c r="J361">
        <v>53496.61</v>
      </c>
      <c r="K361">
        <v>53496.61</v>
      </c>
      <c r="M361">
        <v>13996.8</v>
      </c>
      <c r="N361">
        <v>13996.8</v>
      </c>
      <c r="P361">
        <v>18545.759999999998</v>
      </c>
    </row>
    <row r="362" spans="1:25" x14ac:dyDescent="0.25">
      <c r="A362">
        <v>2020</v>
      </c>
      <c r="B362">
        <v>6</v>
      </c>
      <c r="C362" t="s">
        <v>330</v>
      </c>
      <c r="D362" t="s">
        <v>331</v>
      </c>
      <c r="E362" t="s">
        <v>332</v>
      </c>
      <c r="F362" t="s">
        <v>605</v>
      </c>
      <c r="G362" t="s">
        <v>606</v>
      </c>
      <c r="H362" t="s">
        <v>34</v>
      </c>
      <c r="I362" t="s">
        <v>34</v>
      </c>
      <c r="J362">
        <v>626.49</v>
      </c>
      <c r="K362">
        <v>626.49</v>
      </c>
      <c r="M362">
        <v>626.49</v>
      </c>
      <c r="N362">
        <v>626.49</v>
      </c>
      <c r="P362">
        <v>830.1</v>
      </c>
    </row>
    <row r="363" spans="1:25" x14ac:dyDescent="0.25">
      <c r="A363">
        <v>2020</v>
      </c>
      <c r="B363">
        <v>6</v>
      </c>
      <c r="C363" t="s">
        <v>330</v>
      </c>
      <c r="D363" t="s">
        <v>593</v>
      </c>
      <c r="E363" t="s">
        <v>594</v>
      </c>
      <c r="F363" t="s">
        <v>595</v>
      </c>
      <c r="G363" t="s">
        <v>596</v>
      </c>
      <c r="H363" t="s">
        <v>34</v>
      </c>
      <c r="I363" t="s">
        <v>34</v>
      </c>
      <c r="J363">
        <v>1090.97</v>
      </c>
      <c r="K363">
        <v>1090.97</v>
      </c>
      <c r="M363">
        <v>553.62</v>
      </c>
      <c r="N363">
        <v>553.62</v>
      </c>
      <c r="P363">
        <v>733.54</v>
      </c>
    </row>
    <row r="364" spans="1:25" x14ac:dyDescent="0.25">
      <c r="A364">
        <v>2020</v>
      </c>
      <c r="B364">
        <v>6</v>
      </c>
      <c r="C364" t="s">
        <v>330</v>
      </c>
      <c r="D364" t="s">
        <v>601</v>
      </c>
      <c r="E364" t="s">
        <v>602</v>
      </c>
      <c r="F364" t="s">
        <v>603</v>
      </c>
      <c r="G364" t="s">
        <v>604</v>
      </c>
      <c r="H364" t="s">
        <v>34</v>
      </c>
      <c r="I364" t="s">
        <v>34</v>
      </c>
      <c r="J364">
        <v>285.57</v>
      </c>
      <c r="K364">
        <v>285.57</v>
      </c>
      <c r="M364">
        <v>197.69</v>
      </c>
      <c r="N364">
        <v>197.69</v>
      </c>
      <c r="P364">
        <v>261.94</v>
      </c>
    </row>
    <row r="365" spans="1:25" x14ac:dyDescent="0.25">
      <c r="A365">
        <v>2020</v>
      </c>
      <c r="B365">
        <v>6</v>
      </c>
      <c r="C365" t="s">
        <v>330</v>
      </c>
      <c r="D365" t="s">
        <v>597</v>
      </c>
      <c r="E365" t="s">
        <v>598</v>
      </c>
      <c r="F365" t="s">
        <v>599</v>
      </c>
      <c r="G365" t="s">
        <v>600</v>
      </c>
      <c r="H365" t="s">
        <v>34</v>
      </c>
      <c r="I365" t="s">
        <v>34</v>
      </c>
      <c r="J365">
        <v>401.06</v>
      </c>
      <c r="K365">
        <v>401.06</v>
      </c>
      <c r="M365">
        <v>290.47000000000003</v>
      </c>
      <c r="N365">
        <v>290.47000000000003</v>
      </c>
      <c r="P365">
        <v>384.87</v>
      </c>
    </row>
    <row r="366" spans="1:25" x14ac:dyDescent="0.25">
      <c r="A366">
        <v>2020</v>
      </c>
      <c r="B366">
        <v>6</v>
      </c>
      <c r="C366" t="s">
        <v>340</v>
      </c>
      <c r="D366" t="s">
        <v>574</v>
      </c>
      <c r="E366" t="s">
        <v>575</v>
      </c>
      <c r="F366" t="s">
        <v>576</v>
      </c>
      <c r="G366" t="s">
        <v>577</v>
      </c>
      <c r="H366" t="s">
        <v>34</v>
      </c>
      <c r="I366" t="s">
        <v>34</v>
      </c>
      <c r="J366">
        <v>620834.31999999995</v>
      </c>
      <c r="K366">
        <v>620834.31999999995</v>
      </c>
      <c r="M366">
        <v>114534.32</v>
      </c>
      <c r="N366">
        <v>114534.32</v>
      </c>
      <c r="P366">
        <v>151757.97</v>
      </c>
    </row>
    <row r="367" spans="1:25" x14ac:dyDescent="0.25">
      <c r="A367">
        <v>2020</v>
      </c>
      <c r="B367">
        <v>6</v>
      </c>
      <c r="C367" t="s">
        <v>355</v>
      </c>
      <c r="D367" t="s">
        <v>356</v>
      </c>
      <c r="E367" t="s">
        <v>357</v>
      </c>
      <c r="F367" t="s">
        <v>578</v>
      </c>
      <c r="G367" t="s">
        <v>579</v>
      </c>
      <c r="H367" t="s">
        <v>34</v>
      </c>
      <c r="I367" t="s">
        <v>34</v>
      </c>
      <c r="J367">
        <v>0.49</v>
      </c>
      <c r="K367">
        <v>0.49</v>
      </c>
      <c r="M367">
        <v>0</v>
      </c>
    </row>
    <row r="368" spans="1:25" x14ac:dyDescent="0.25">
      <c r="A368">
        <v>2020</v>
      </c>
      <c r="B368">
        <v>6</v>
      </c>
      <c r="C368" t="s">
        <v>289</v>
      </c>
      <c r="D368" t="s">
        <v>607</v>
      </c>
      <c r="E368" t="s">
        <v>608</v>
      </c>
      <c r="F368" t="s">
        <v>609</v>
      </c>
      <c r="G368" t="s">
        <v>610</v>
      </c>
      <c r="H368" t="s">
        <v>34</v>
      </c>
      <c r="I368" t="s">
        <v>34</v>
      </c>
      <c r="J368">
        <v>11849.39</v>
      </c>
      <c r="K368">
        <v>11849.39</v>
      </c>
      <c r="M368">
        <v>11849.39</v>
      </c>
      <c r="N368">
        <v>11849.39</v>
      </c>
      <c r="P368">
        <v>15700.44</v>
      </c>
    </row>
    <row r="369" spans="1:25" x14ac:dyDescent="0.25">
      <c r="A369">
        <v>2020</v>
      </c>
      <c r="B369">
        <v>6</v>
      </c>
      <c r="C369" t="s">
        <v>289</v>
      </c>
      <c r="D369" t="s">
        <v>611</v>
      </c>
      <c r="E369" t="s">
        <v>612</v>
      </c>
      <c r="F369" t="s">
        <v>613</v>
      </c>
      <c r="G369" t="s">
        <v>614</v>
      </c>
      <c r="H369" t="s">
        <v>34</v>
      </c>
      <c r="I369" t="s">
        <v>34</v>
      </c>
      <c r="J369">
        <v>11271.5</v>
      </c>
      <c r="K369">
        <v>11271.5</v>
      </c>
      <c r="M369">
        <v>11271.5</v>
      </c>
      <c r="N369">
        <v>11271.5</v>
      </c>
      <c r="P369">
        <v>14934.74</v>
      </c>
    </row>
    <row r="370" spans="1:25" x14ac:dyDescent="0.25">
      <c r="A370">
        <v>2020</v>
      </c>
      <c r="B370">
        <v>7</v>
      </c>
      <c r="C370" t="s">
        <v>168</v>
      </c>
      <c r="D370" t="s">
        <v>412</v>
      </c>
      <c r="E370" t="s">
        <v>413</v>
      </c>
      <c r="F370" t="s">
        <v>414</v>
      </c>
      <c r="G370" t="s">
        <v>415</v>
      </c>
      <c r="H370" t="s">
        <v>34</v>
      </c>
      <c r="I370" t="s">
        <v>23</v>
      </c>
      <c r="J370">
        <v>158917.6</v>
      </c>
      <c r="K370">
        <v>33366.78</v>
      </c>
      <c r="L370">
        <v>125550.81</v>
      </c>
      <c r="M370">
        <v>25962.53</v>
      </c>
      <c r="N370">
        <v>6817</v>
      </c>
      <c r="O370">
        <v>19145.53</v>
      </c>
      <c r="P370">
        <v>9032.5300000000007</v>
      </c>
      <c r="Q370">
        <v>209425201</v>
      </c>
      <c r="R370">
        <v>213371902.69999999</v>
      </c>
      <c r="S370">
        <v>5.2999999999999999E-2</v>
      </c>
      <c r="T370" t="s">
        <v>24</v>
      </c>
      <c r="U370">
        <v>3.5000000000000003E-2</v>
      </c>
      <c r="V370">
        <v>0.08</v>
      </c>
      <c r="X370">
        <v>25367.83</v>
      </c>
    </row>
    <row r="371" spans="1:25" x14ac:dyDescent="0.25">
      <c r="A371">
        <v>2020</v>
      </c>
      <c r="B371">
        <v>7</v>
      </c>
      <c r="C371" t="s">
        <v>168</v>
      </c>
      <c r="D371" t="s">
        <v>404</v>
      </c>
      <c r="E371" t="s">
        <v>405</v>
      </c>
      <c r="F371" t="s">
        <v>406</v>
      </c>
      <c r="G371" t="s">
        <v>407</v>
      </c>
      <c r="H371" t="s">
        <v>34</v>
      </c>
      <c r="I371" t="s">
        <v>23</v>
      </c>
      <c r="J371">
        <v>491662.4</v>
      </c>
      <c r="K371">
        <v>144684.10999999999</v>
      </c>
      <c r="L371">
        <v>346978.29</v>
      </c>
      <c r="M371">
        <v>89285.26</v>
      </c>
      <c r="N371">
        <v>31970.71</v>
      </c>
      <c r="O371">
        <v>57314.55</v>
      </c>
      <c r="P371">
        <v>42361.19</v>
      </c>
      <c r="Q371">
        <v>609564137.70000005</v>
      </c>
      <c r="R371">
        <v>656132139.20000005</v>
      </c>
      <c r="S371">
        <v>5.2999999999999999E-2</v>
      </c>
      <c r="T371">
        <v>3</v>
      </c>
      <c r="U371">
        <v>2.75E-2</v>
      </c>
      <c r="V371">
        <v>0.08</v>
      </c>
      <c r="X371">
        <v>75941.78</v>
      </c>
      <c r="Y371">
        <v>7.4999999999999997E-3</v>
      </c>
    </row>
    <row r="372" spans="1:25" x14ac:dyDescent="0.25">
      <c r="A372">
        <v>2020</v>
      </c>
      <c r="B372">
        <v>7</v>
      </c>
      <c r="C372" t="s">
        <v>168</v>
      </c>
      <c r="D372" t="s">
        <v>292</v>
      </c>
      <c r="E372" t="s">
        <v>293</v>
      </c>
      <c r="F372" t="s">
        <v>410</v>
      </c>
      <c r="G372" t="s">
        <v>411</v>
      </c>
      <c r="H372" t="s">
        <v>34</v>
      </c>
      <c r="I372" t="s">
        <v>23</v>
      </c>
      <c r="J372">
        <v>525261.98</v>
      </c>
      <c r="K372">
        <v>7833.81</v>
      </c>
      <c r="L372">
        <v>517428.17</v>
      </c>
      <c r="M372">
        <v>82445.259999999995</v>
      </c>
      <c r="N372">
        <v>1415.32</v>
      </c>
      <c r="O372">
        <v>81029.94</v>
      </c>
      <c r="P372">
        <v>1875.3</v>
      </c>
      <c r="Q372">
        <v>1752555365</v>
      </c>
      <c r="R372">
        <v>1826267119</v>
      </c>
      <c r="S372">
        <v>5.2999999999999999E-2</v>
      </c>
      <c r="T372">
        <v>3</v>
      </c>
      <c r="U372">
        <v>2.75E-2</v>
      </c>
      <c r="V372">
        <v>0.04</v>
      </c>
      <c r="X372">
        <v>107364.67</v>
      </c>
      <c r="Y372">
        <v>7.4999999999999997E-3</v>
      </c>
    </row>
    <row r="373" spans="1:25" x14ac:dyDescent="0.25">
      <c r="A373">
        <v>2020</v>
      </c>
      <c r="B373">
        <v>7</v>
      </c>
      <c r="C373" t="s">
        <v>168</v>
      </c>
      <c r="D373" t="s">
        <v>292</v>
      </c>
      <c r="E373" t="s">
        <v>293</v>
      </c>
      <c r="F373" t="s">
        <v>408</v>
      </c>
      <c r="G373" t="s">
        <v>409</v>
      </c>
      <c r="H373" t="s">
        <v>34</v>
      </c>
      <c r="I373" t="s">
        <v>23</v>
      </c>
      <c r="J373">
        <v>519662.25</v>
      </c>
      <c r="K373">
        <v>161590.72</v>
      </c>
      <c r="L373">
        <v>358071.53</v>
      </c>
      <c r="M373">
        <v>98146.02</v>
      </c>
      <c r="N373">
        <v>33879.120000000003</v>
      </c>
      <c r="O373">
        <v>64266.9</v>
      </c>
      <c r="P373">
        <v>44889.84</v>
      </c>
      <c r="Q373">
        <v>665131114.89999998</v>
      </c>
      <c r="R373">
        <v>754096152.70000005</v>
      </c>
      <c r="S373">
        <v>5.2999999999999999E-2</v>
      </c>
      <c r="T373">
        <v>3</v>
      </c>
      <c r="U373">
        <v>2.75E-2</v>
      </c>
      <c r="V373">
        <v>0.08</v>
      </c>
      <c r="X373">
        <v>85153.64</v>
      </c>
      <c r="Y373">
        <v>7.4999999999999997E-3</v>
      </c>
    </row>
    <row r="374" spans="1:25" x14ac:dyDescent="0.25">
      <c r="A374">
        <v>2020</v>
      </c>
      <c r="B374">
        <v>7</v>
      </c>
      <c r="C374" t="s">
        <v>295</v>
      </c>
      <c r="D374" t="s">
        <v>296</v>
      </c>
      <c r="E374" t="s">
        <v>297</v>
      </c>
      <c r="F374" t="s">
        <v>416</v>
      </c>
      <c r="G374" t="s">
        <v>417</v>
      </c>
      <c r="H374" t="s">
        <v>34</v>
      </c>
      <c r="I374" t="s">
        <v>23</v>
      </c>
      <c r="J374">
        <v>1434147.34</v>
      </c>
      <c r="K374">
        <v>757652.44</v>
      </c>
      <c r="L374">
        <v>676494.9</v>
      </c>
      <c r="M374">
        <v>236189.29</v>
      </c>
      <c r="N374">
        <v>124327.41</v>
      </c>
      <c r="O374">
        <v>111861.88</v>
      </c>
      <c r="P374">
        <v>164733.82</v>
      </c>
      <c r="Q374">
        <v>1184920285</v>
      </c>
      <c r="R374">
        <v>1285362909</v>
      </c>
      <c r="S374">
        <v>5.2999999999999999E-2</v>
      </c>
      <c r="T374" t="s">
        <v>24</v>
      </c>
      <c r="U374">
        <v>3.5000000000000003E-2</v>
      </c>
      <c r="V374">
        <v>0.08</v>
      </c>
      <c r="X374">
        <v>148216.99</v>
      </c>
    </row>
    <row r="375" spans="1:25" x14ac:dyDescent="0.25">
      <c r="A375">
        <v>2020</v>
      </c>
      <c r="B375">
        <v>7</v>
      </c>
      <c r="C375" t="s">
        <v>298</v>
      </c>
      <c r="D375" t="s">
        <v>299</v>
      </c>
      <c r="E375" t="s">
        <v>300</v>
      </c>
      <c r="F375" t="s">
        <v>587</v>
      </c>
      <c r="G375" t="s">
        <v>588</v>
      </c>
      <c r="H375" t="s">
        <v>34</v>
      </c>
      <c r="I375" t="s">
        <v>23</v>
      </c>
      <c r="J375">
        <v>677011.95</v>
      </c>
      <c r="K375">
        <v>279711.51</v>
      </c>
      <c r="L375">
        <v>397300.44</v>
      </c>
      <c r="M375">
        <v>182079.57</v>
      </c>
      <c r="N375">
        <v>79331.31</v>
      </c>
      <c r="O375">
        <v>102748.26</v>
      </c>
      <c r="P375">
        <v>105113.98</v>
      </c>
      <c r="Q375">
        <v>1069776003</v>
      </c>
      <c r="R375">
        <v>1199248104</v>
      </c>
      <c r="S375">
        <v>5.2999999999999999E-2</v>
      </c>
      <c r="T375">
        <v>3</v>
      </c>
      <c r="U375">
        <v>2.75E-2</v>
      </c>
      <c r="V375">
        <v>0.08</v>
      </c>
      <c r="X375">
        <v>136141.45000000001</v>
      </c>
      <c r="Y375">
        <v>7.4999999999999997E-3</v>
      </c>
    </row>
    <row r="376" spans="1:25" x14ac:dyDescent="0.25">
      <c r="A376">
        <v>2020</v>
      </c>
      <c r="B376">
        <v>7</v>
      </c>
      <c r="C376" t="s">
        <v>302</v>
      </c>
      <c r="D376" t="s">
        <v>418</v>
      </c>
      <c r="E376" t="s">
        <v>419</v>
      </c>
      <c r="F376" t="s">
        <v>420</v>
      </c>
      <c r="G376" t="s">
        <v>421</v>
      </c>
      <c r="H376" t="s">
        <v>34</v>
      </c>
      <c r="I376" t="s">
        <v>23</v>
      </c>
      <c r="J376">
        <v>561885.98</v>
      </c>
      <c r="K376">
        <v>211871.05</v>
      </c>
      <c r="L376">
        <v>350014.93</v>
      </c>
      <c r="M376">
        <v>100767.39</v>
      </c>
      <c r="N376">
        <v>41026.879999999997</v>
      </c>
      <c r="O376">
        <v>59740.5</v>
      </c>
      <c r="P376">
        <v>54360.62</v>
      </c>
      <c r="Q376">
        <v>620977441.20000005</v>
      </c>
      <c r="R376">
        <v>698292017.60000002</v>
      </c>
      <c r="S376">
        <v>5.2999999999999999E-2</v>
      </c>
      <c r="T376">
        <v>3</v>
      </c>
      <c r="U376">
        <v>2.75E-2</v>
      </c>
      <c r="V376">
        <v>0.08</v>
      </c>
      <c r="X376">
        <v>79156.17</v>
      </c>
      <c r="Y376">
        <v>7.4999999999999997E-3</v>
      </c>
    </row>
    <row r="377" spans="1:25" x14ac:dyDescent="0.25">
      <c r="A377">
        <v>2020</v>
      </c>
      <c r="B377">
        <v>7</v>
      </c>
      <c r="C377" t="s">
        <v>302</v>
      </c>
      <c r="D377" t="s">
        <v>303</v>
      </c>
      <c r="E377" t="s">
        <v>304</v>
      </c>
      <c r="F377" t="s">
        <v>422</v>
      </c>
      <c r="G377" t="s">
        <v>423</v>
      </c>
      <c r="H377" t="s">
        <v>34</v>
      </c>
      <c r="I377" t="s">
        <v>23</v>
      </c>
      <c r="J377">
        <v>607512.04</v>
      </c>
      <c r="K377">
        <v>249086.69</v>
      </c>
      <c r="L377">
        <v>358425.34</v>
      </c>
      <c r="M377">
        <v>111465.45</v>
      </c>
      <c r="N377">
        <v>49500.41</v>
      </c>
      <c r="O377">
        <v>61965.04</v>
      </c>
      <c r="P377">
        <v>65588.039999999994</v>
      </c>
      <c r="Q377">
        <v>637995772.79999995</v>
      </c>
      <c r="R377">
        <v>730398825</v>
      </c>
      <c r="S377">
        <v>5.2999999999999999E-2</v>
      </c>
      <c r="T377" t="s">
        <v>24</v>
      </c>
      <c r="U377">
        <v>3.5000000000000003E-2</v>
      </c>
      <c r="V377">
        <v>0.08</v>
      </c>
      <c r="X377">
        <v>82103.679999999993</v>
      </c>
    </row>
    <row r="378" spans="1:25" x14ac:dyDescent="0.25">
      <c r="A378">
        <v>2020</v>
      </c>
      <c r="B378">
        <v>7</v>
      </c>
      <c r="C378" t="s">
        <v>305</v>
      </c>
      <c r="D378" t="s">
        <v>426</v>
      </c>
      <c r="E378" t="s">
        <v>427</v>
      </c>
      <c r="F378" t="s">
        <v>428</v>
      </c>
      <c r="G378" t="s">
        <v>429</v>
      </c>
      <c r="H378" t="s">
        <v>34</v>
      </c>
      <c r="I378" t="s">
        <v>23</v>
      </c>
      <c r="J378">
        <v>598031.03</v>
      </c>
      <c r="K378">
        <v>186424.83</v>
      </c>
      <c r="L378">
        <v>411606.2</v>
      </c>
      <c r="M378">
        <v>126772.98</v>
      </c>
      <c r="N378">
        <v>52217.36</v>
      </c>
      <c r="O378">
        <v>74555.62</v>
      </c>
      <c r="P378">
        <v>69188</v>
      </c>
      <c r="Q378">
        <v>792194613.60000002</v>
      </c>
      <c r="R378">
        <v>854242083</v>
      </c>
      <c r="S378">
        <v>5.2999999999999999E-2</v>
      </c>
      <c r="T378">
        <v>3</v>
      </c>
      <c r="U378">
        <v>2.75E-2</v>
      </c>
      <c r="V378">
        <v>0.08</v>
      </c>
      <c r="X378">
        <v>98786.2</v>
      </c>
      <c r="Y378">
        <v>7.4999999999999997E-3</v>
      </c>
    </row>
    <row r="379" spans="1:25" x14ac:dyDescent="0.25">
      <c r="A379">
        <v>2020</v>
      </c>
      <c r="B379">
        <v>7</v>
      </c>
      <c r="C379" t="s">
        <v>305</v>
      </c>
      <c r="D379" t="s">
        <v>306</v>
      </c>
      <c r="E379" t="s">
        <v>307</v>
      </c>
      <c r="F379" t="s">
        <v>424</v>
      </c>
      <c r="G379" t="s">
        <v>425</v>
      </c>
      <c r="H379" t="s">
        <v>34</v>
      </c>
      <c r="I379" t="s">
        <v>23</v>
      </c>
      <c r="J379">
        <v>598657.1</v>
      </c>
      <c r="K379">
        <v>186782.9</v>
      </c>
      <c r="L379">
        <v>411874.2</v>
      </c>
      <c r="M379">
        <v>127007.12</v>
      </c>
      <c r="N379">
        <v>52407.64</v>
      </c>
      <c r="O379">
        <v>74599.490000000005</v>
      </c>
      <c r="P379">
        <v>69440.12</v>
      </c>
      <c r="Q379">
        <v>792652424.79999995</v>
      </c>
      <c r="R379">
        <v>854752889</v>
      </c>
      <c r="S379">
        <v>5.2999999999999999E-2</v>
      </c>
      <c r="T379">
        <v>3</v>
      </c>
      <c r="U379">
        <v>2.75E-2</v>
      </c>
      <c r="V379">
        <v>0.08</v>
      </c>
      <c r="X379">
        <v>98844.32</v>
      </c>
      <c r="Y379">
        <v>7.4999999999999997E-3</v>
      </c>
    </row>
    <row r="380" spans="1:25" x14ac:dyDescent="0.25">
      <c r="A380">
        <v>2020</v>
      </c>
      <c r="B380">
        <v>7</v>
      </c>
      <c r="C380" t="s">
        <v>308</v>
      </c>
      <c r="D380" t="s">
        <v>432</v>
      </c>
      <c r="E380" t="s">
        <v>433</v>
      </c>
      <c r="F380" t="s">
        <v>434</v>
      </c>
      <c r="G380" t="s">
        <v>435</v>
      </c>
      <c r="H380" t="s">
        <v>34</v>
      </c>
      <c r="I380" t="s">
        <v>23</v>
      </c>
      <c r="J380">
        <v>699299.8</v>
      </c>
      <c r="K380">
        <v>206267.77</v>
      </c>
      <c r="L380">
        <v>493032.03</v>
      </c>
      <c r="M380">
        <v>123587.93</v>
      </c>
      <c r="N380">
        <v>43953.32</v>
      </c>
      <c r="O380">
        <v>79634.61</v>
      </c>
      <c r="P380">
        <v>58238.15</v>
      </c>
      <c r="Q380">
        <v>860220687.79999995</v>
      </c>
      <c r="R380">
        <v>898377026.10000002</v>
      </c>
      <c r="S380">
        <v>5.2999999999999999E-2</v>
      </c>
      <c r="T380">
        <v>3</v>
      </c>
      <c r="U380">
        <v>2.75E-2</v>
      </c>
      <c r="V380">
        <v>0.08</v>
      </c>
      <c r="X380">
        <v>105515.86</v>
      </c>
      <c r="Y380">
        <v>7.4999999999999997E-3</v>
      </c>
    </row>
    <row r="381" spans="1:25" x14ac:dyDescent="0.25">
      <c r="A381">
        <v>2020</v>
      </c>
      <c r="B381">
        <v>7</v>
      </c>
      <c r="C381" t="s">
        <v>308</v>
      </c>
      <c r="D381" t="s">
        <v>309</v>
      </c>
      <c r="E381" t="s">
        <v>310</v>
      </c>
      <c r="F381" t="s">
        <v>430</v>
      </c>
      <c r="G381" t="s">
        <v>431</v>
      </c>
      <c r="H381" t="s">
        <v>34</v>
      </c>
      <c r="I381" t="s">
        <v>23</v>
      </c>
      <c r="J381">
        <v>1692155.43</v>
      </c>
      <c r="K381">
        <v>606997.19999999995</v>
      </c>
      <c r="L381">
        <v>1085158.23</v>
      </c>
      <c r="M381">
        <v>258374.1</v>
      </c>
      <c r="N381">
        <v>101700.24</v>
      </c>
      <c r="O381">
        <v>156673.85999999999</v>
      </c>
      <c r="P381">
        <v>134752.82</v>
      </c>
      <c r="Q381">
        <v>1711883636</v>
      </c>
      <c r="R381">
        <v>1747997401</v>
      </c>
      <c r="S381">
        <v>5.2999999999999999E-2</v>
      </c>
      <c r="T381" t="s">
        <v>24</v>
      </c>
      <c r="U381">
        <v>3.5000000000000003E-2</v>
      </c>
      <c r="V381">
        <v>0.08</v>
      </c>
      <c r="X381">
        <v>207592.86</v>
      </c>
    </row>
    <row r="382" spans="1:25" x14ac:dyDescent="0.25">
      <c r="A382">
        <v>2020</v>
      </c>
      <c r="B382">
        <v>7</v>
      </c>
      <c r="C382" t="s">
        <v>311</v>
      </c>
      <c r="D382" t="s">
        <v>438</v>
      </c>
      <c r="E382" t="s">
        <v>439</v>
      </c>
      <c r="F382" t="s">
        <v>440</v>
      </c>
      <c r="G382" t="s">
        <v>441</v>
      </c>
      <c r="H382" t="s">
        <v>34</v>
      </c>
      <c r="I382" t="s">
        <v>23</v>
      </c>
      <c r="J382">
        <v>693667.05</v>
      </c>
      <c r="K382">
        <v>142661.28</v>
      </c>
      <c r="L382">
        <v>551005.76</v>
      </c>
      <c r="M382">
        <v>118944.45</v>
      </c>
      <c r="N382">
        <v>29436.93</v>
      </c>
      <c r="O382">
        <v>89507.520000000004</v>
      </c>
      <c r="P382">
        <v>39003.93</v>
      </c>
      <c r="Q382">
        <v>674607862</v>
      </c>
      <c r="R382">
        <v>720656391.10000002</v>
      </c>
      <c r="S382">
        <v>5.2999999999999999E-2</v>
      </c>
      <c r="T382">
        <v>3</v>
      </c>
      <c r="U382">
        <v>2.75E-2</v>
      </c>
      <c r="V382">
        <v>0.08</v>
      </c>
      <c r="X382">
        <v>118597.46</v>
      </c>
    </row>
    <row r="383" spans="1:25" x14ac:dyDescent="0.25">
      <c r="A383">
        <v>2020</v>
      </c>
      <c r="B383">
        <v>7</v>
      </c>
      <c r="C383" t="s">
        <v>311</v>
      </c>
      <c r="D383" t="s">
        <v>312</v>
      </c>
      <c r="E383" t="s">
        <v>313</v>
      </c>
      <c r="F383" t="s">
        <v>436</v>
      </c>
      <c r="G383" t="s">
        <v>437</v>
      </c>
      <c r="H383" t="s">
        <v>34</v>
      </c>
      <c r="I383" t="s">
        <v>23</v>
      </c>
      <c r="J383">
        <v>518560.48</v>
      </c>
      <c r="K383">
        <v>129283.09</v>
      </c>
      <c r="L383">
        <v>389277.39</v>
      </c>
      <c r="M383">
        <v>104119.95</v>
      </c>
      <c r="N383">
        <v>35984.32</v>
      </c>
      <c r="O383">
        <v>68135.63</v>
      </c>
      <c r="P383">
        <v>47679.22</v>
      </c>
      <c r="Q383">
        <v>835778541.89999998</v>
      </c>
      <c r="R383">
        <v>911570778.60000002</v>
      </c>
      <c r="S383">
        <v>5.2999999999999999E-2</v>
      </c>
      <c r="T383">
        <v>3</v>
      </c>
      <c r="U383">
        <v>2.75E-2</v>
      </c>
      <c r="V383">
        <v>0.08</v>
      </c>
      <c r="X383">
        <v>90279.71</v>
      </c>
      <c r="Y383">
        <v>0.01</v>
      </c>
    </row>
    <row r="384" spans="1:25" x14ac:dyDescent="0.25">
      <c r="A384">
        <v>2020</v>
      </c>
      <c r="B384">
        <v>7</v>
      </c>
      <c r="C384" t="s">
        <v>315</v>
      </c>
      <c r="D384" t="s">
        <v>316</v>
      </c>
      <c r="E384" t="s">
        <v>317</v>
      </c>
      <c r="F384" t="s">
        <v>442</v>
      </c>
      <c r="G384" t="s">
        <v>443</v>
      </c>
      <c r="H384" t="s">
        <v>34</v>
      </c>
      <c r="I384" t="s">
        <v>23</v>
      </c>
      <c r="J384">
        <v>1873808.62</v>
      </c>
      <c r="K384">
        <v>757976.35</v>
      </c>
      <c r="L384">
        <v>1115832.27</v>
      </c>
      <c r="M384">
        <v>329486.56</v>
      </c>
      <c r="N384">
        <v>132105.26999999999</v>
      </c>
      <c r="O384">
        <v>197381.29</v>
      </c>
      <c r="P384">
        <v>175039.48</v>
      </c>
      <c r="Q384">
        <v>1168591235</v>
      </c>
      <c r="R384">
        <v>1292869549</v>
      </c>
      <c r="S384">
        <v>5.2999999999999999E-2</v>
      </c>
      <c r="T384">
        <v>3</v>
      </c>
      <c r="U384">
        <v>2.75E-2</v>
      </c>
      <c r="V384">
        <v>0.1</v>
      </c>
      <c r="X384">
        <v>261530.21</v>
      </c>
    </row>
    <row r="385" spans="1:25" x14ac:dyDescent="0.25">
      <c r="A385">
        <v>2020</v>
      </c>
      <c r="B385">
        <v>7</v>
      </c>
      <c r="C385" t="s">
        <v>315</v>
      </c>
      <c r="D385" t="s">
        <v>444</v>
      </c>
      <c r="E385" t="s">
        <v>445</v>
      </c>
      <c r="F385" t="s">
        <v>446</v>
      </c>
      <c r="G385" t="s">
        <v>447</v>
      </c>
      <c r="H385" t="s">
        <v>34</v>
      </c>
      <c r="I385" t="s">
        <v>23</v>
      </c>
      <c r="J385">
        <v>2471731.06</v>
      </c>
      <c r="K385">
        <v>664545.01</v>
      </c>
      <c r="L385">
        <v>1807186.05</v>
      </c>
      <c r="M385">
        <v>483248.64000000001</v>
      </c>
      <c r="N385">
        <v>137323.21</v>
      </c>
      <c r="O385">
        <v>345925.43</v>
      </c>
      <c r="P385">
        <v>181953.25</v>
      </c>
      <c r="Q385">
        <v>1384215852</v>
      </c>
      <c r="R385">
        <v>1510633807</v>
      </c>
      <c r="S385">
        <v>5.2999999999999999E-2</v>
      </c>
      <c r="T385">
        <v>1</v>
      </c>
      <c r="U385">
        <v>1.4999999999999999E-2</v>
      </c>
      <c r="V385">
        <v>0.1</v>
      </c>
      <c r="X385">
        <v>458351.2</v>
      </c>
    </row>
    <row r="386" spans="1:25" x14ac:dyDescent="0.25">
      <c r="A386">
        <v>2020</v>
      </c>
      <c r="B386">
        <v>7</v>
      </c>
      <c r="C386" t="s">
        <v>318</v>
      </c>
      <c r="D386" t="s">
        <v>448</v>
      </c>
      <c r="E386" t="s">
        <v>449</v>
      </c>
      <c r="F386" t="s">
        <v>450</v>
      </c>
      <c r="G386" t="s">
        <v>451</v>
      </c>
      <c r="H386" t="s">
        <v>34</v>
      </c>
      <c r="I386" t="s">
        <v>23</v>
      </c>
      <c r="J386">
        <v>132535.9</v>
      </c>
      <c r="K386">
        <v>28539.22</v>
      </c>
      <c r="L386">
        <v>103996.68</v>
      </c>
      <c r="M386">
        <v>23813.65</v>
      </c>
      <c r="N386">
        <v>6472.81</v>
      </c>
      <c r="O386">
        <v>17340.849999999999</v>
      </c>
      <c r="P386">
        <v>8576.4699999999993</v>
      </c>
      <c r="Q386">
        <v>175956679.40000001</v>
      </c>
      <c r="R386">
        <v>206987024.69999999</v>
      </c>
      <c r="S386">
        <v>5.2999999999999999E-2</v>
      </c>
      <c r="T386" t="s">
        <v>24</v>
      </c>
      <c r="U386">
        <v>3.5000000000000003E-2</v>
      </c>
      <c r="V386">
        <v>0.08</v>
      </c>
      <c r="X386">
        <v>22976.62</v>
      </c>
    </row>
    <row r="387" spans="1:25" x14ac:dyDescent="0.25">
      <c r="A387">
        <v>2020</v>
      </c>
      <c r="B387">
        <v>7</v>
      </c>
      <c r="C387" t="s">
        <v>318</v>
      </c>
      <c r="D387" t="s">
        <v>454</v>
      </c>
      <c r="E387" t="s">
        <v>455</v>
      </c>
      <c r="F387" t="s">
        <v>456</v>
      </c>
      <c r="G387" t="s">
        <v>457</v>
      </c>
      <c r="H387" t="s">
        <v>34</v>
      </c>
      <c r="I387" t="s">
        <v>23</v>
      </c>
      <c r="J387">
        <v>95445.03</v>
      </c>
      <c r="K387">
        <v>13650.35</v>
      </c>
      <c r="L387">
        <v>81794.67</v>
      </c>
      <c r="M387">
        <v>17225.38</v>
      </c>
      <c r="N387">
        <v>2998.08</v>
      </c>
      <c r="O387">
        <v>14227.3</v>
      </c>
      <c r="P387">
        <v>3972.45</v>
      </c>
      <c r="Q387">
        <v>139716770.09999999</v>
      </c>
      <c r="R387">
        <v>174469455.5</v>
      </c>
      <c r="S387">
        <v>5.2999999999999999E-2</v>
      </c>
      <c r="T387">
        <v>3</v>
      </c>
      <c r="U387">
        <v>2.75E-2</v>
      </c>
      <c r="V387">
        <v>0.08</v>
      </c>
      <c r="X387">
        <v>18851.169999999998</v>
      </c>
      <c r="Y387">
        <v>7.4999999999999997E-3</v>
      </c>
    </row>
    <row r="388" spans="1:25" x14ac:dyDescent="0.25">
      <c r="A388">
        <v>2020</v>
      </c>
      <c r="B388">
        <v>7</v>
      </c>
      <c r="C388" t="s">
        <v>318</v>
      </c>
      <c r="D388" t="s">
        <v>319</v>
      </c>
      <c r="E388" t="s">
        <v>320</v>
      </c>
      <c r="F388" t="s">
        <v>452</v>
      </c>
      <c r="G388" t="s">
        <v>453</v>
      </c>
      <c r="H388" t="s">
        <v>34</v>
      </c>
      <c r="I388" t="s">
        <v>23</v>
      </c>
      <c r="J388">
        <v>267212.03999999998</v>
      </c>
      <c r="K388">
        <v>62483.17</v>
      </c>
      <c r="L388">
        <v>204728.87</v>
      </c>
      <c r="M388">
        <v>44820.3</v>
      </c>
      <c r="N388">
        <v>12410.41</v>
      </c>
      <c r="O388">
        <v>32409.89</v>
      </c>
      <c r="P388">
        <v>16443.79</v>
      </c>
      <c r="Q388">
        <v>334153090.10000002</v>
      </c>
      <c r="R388">
        <v>381565285.19999999</v>
      </c>
      <c r="S388">
        <v>5.2999999999999999E-2</v>
      </c>
      <c r="T388">
        <v>3</v>
      </c>
      <c r="U388">
        <v>2.75E-2</v>
      </c>
      <c r="V388">
        <v>0.08</v>
      </c>
      <c r="X388">
        <v>42943.1</v>
      </c>
      <c r="Y388">
        <v>7.4999999999999997E-3</v>
      </c>
    </row>
    <row r="389" spans="1:25" x14ac:dyDescent="0.25">
      <c r="A389">
        <v>2020</v>
      </c>
      <c r="B389">
        <v>7</v>
      </c>
      <c r="C389" t="s">
        <v>321</v>
      </c>
      <c r="D389" t="s">
        <v>322</v>
      </c>
      <c r="E389" t="s">
        <v>323</v>
      </c>
      <c r="F389" t="s">
        <v>458</v>
      </c>
      <c r="G389" t="s">
        <v>459</v>
      </c>
      <c r="H389" t="s">
        <v>34</v>
      </c>
      <c r="I389" t="s">
        <v>23</v>
      </c>
      <c r="J389">
        <v>1999692.11</v>
      </c>
      <c r="K389">
        <v>1057521.3400000001</v>
      </c>
      <c r="L389">
        <v>942170.77</v>
      </c>
      <c r="M389">
        <v>329532.86</v>
      </c>
      <c r="N389">
        <v>171757</v>
      </c>
      <c r="O389">
        <v>157775.87</v>
      </c>
      <c r="P389">
        <v>227578.02</v>
      </c>
      <c r="Q389">
        <v>1709805774</v>
      </c>
      <c r="R389">
        <v>1774411301</v>
      </c>
      <c r="S389">
        <v>5.2999999999999999E-2</v>
      </c>
      <c r="T389" t="s">
        <v>24</v>
      </c>
      <c r="U389">
        <v>3.5000000000000003E-2</v>
      </c>
      <c r="V389">
        <v>0.08</v>
      </c>
      <c r="X389">
        <v>209053.02</v>
      </c>
    </row>
    <row r="390" spans="1:25" x14ac:dyDescent="0.25">
      <c r="A390">
        <v>2020</v>
      </c>
      <c r="B390">
        <v>7</v>
      </c>
      <c r="C390" t="s">
        <v>324</v>
      </c>
      <c r="D390" t="s">
        <v>325</v>
      </c>
      <c r="E390" t="s">
        <v>326</v>
      </c>
      <c r="F390" t="s">
        <v>460</v>
      </c>
      <c r="G390" t="s">
        <v>461</v>
      </c>
      <c r="H390" t="s">
        <v>34</v>
      </c>
      <c r="I390" t="s">
        <v>23</v>
      </c>
      <c r="J390">
        <v>1000060.21</v>
      </c>
      <c r="K390">
        <v>483764.25</v>
      </c>
      <c r="L390">
        <v>516295.96</v>
      </c>
      <c r="M390">
        <v>185790.12</v>
      </c>
      <c r="N390">
        <v>96385.73</v>
      </c>
      <c r="O390">
        <v>89404.4</v>
      </c>
      <c r="P390">
        <v>127711.09</v>
      </c>
      <c r="Q390">
        <v>950273884.70000005</v>
      </c>
      <c r="R390">
        <v>1024073188</v>
      </c>
      <c r="S390">
        <v>5.2999999999999999E-2</v>
      </c>
      <c r="T390">
        <v>3</v>
      </c>
      <c r="U390">
        <v>2.75E-2</v>
      </c>
      <c r="V390">
        <v>0.08</v>
      </c>
      <c r="X390">
        <v>118460.82</v>
      </c>
      <c r="Y390">
        <v>7.4999999999999997E-3</v>
      </c>
    </row>
    <row r="391" spans="1:25" x14ac:dyDescent="0.25">
      <c r="A391">
        <v>2020</v>
      </c>
      <c r="B391">
        <v>7</v>
      </c>
      <c r="C391" t="s">
        <v>324</v>
      </c>
      <c r="D391" t="s">
        <v>462</v>
      </c>
      <c r="E391" t="s">
        <v>463</v>
      </c>
      <c r="F391" t="s">
        <v>464</v>
      </c>
      <c r="G391" t="s">
        <v>465</v>
      </c>
      <c r="H391" t="s">
        <v>34</v>
      </c>
      <c r="I391" t="s">
        <v>23</v>
      </c>
      <c r="J391">
        <v>841105.88</v>
      </c>
      <c r="K391">
        <v>381834.94</v>
      </c>
      <c r="L391">
        <v>459270.93</v>
      </c>
      <c r="M391">
        <v>143994.72</v>
      </c>
      <c r="N391">
        <v>67516.320000000007</v>
      </c>
      <c r="O391">
        <v>76478.399999999994</v>
      </c>
      <c r="P391">
        <v>89459.13</v>
      </c>
      <c r="Q391">
        <v>816085558</v>
      </c>
      <c r="R391">
        <v>872812392.79999995</v>
      </c>
      <c r="S391">
        <v>5.2999999999999999E-2</v>
      </c>
      <c r="T391" t="s">
        <v>24</v>
      </c>
      <c r="U391">
        <v>3.5000000000000003E-2</v>
      </c>
      <c r="V391">
        <v>0.08</v>
      </c>
      <c r="X391">
        <v>101333.88</v>
      </c>
    </row>
    <row r="392" spans="1:25" x14ac:dyDescent="0.25">
      <c r="A392">
        <v>2020</v>
      </c>
      <c r="B392">
        <v>7</v>
      </c>
      <c r="C392" t="s">
        <v>327</v>
      </c>
      <c r="D392" t="s">
        <v>328</v>
      </c>
      <c r="E392" t="s">
        <v>329</v>
      </c>
      <c r="F392" t="s">
        <v>470</v>
      </c>
      <c r="G392" t="s">
        <v>471</v>
      </c>
      <c r="H392" t="s">
        <v>34</v>
      </c>
      <c r="I392" t="s">
        <v>23</v>
      </c>
      <c r="J392">
        <v>482461.42</v>
      </c>
      <c r="K392">
        <v>171279.92</v>
      </c>
      <c r="L392">
        <v>311181.49</v>
      </c>
      <c r="M392">
        <v>88357.83</v>
      </c>
      <c r="N392">
        <v>35464.870000000003</v>
      </c>
      <c r="O392">
        <v>52892.959999999999</v>
      </c>
      <c r="P392">
        <v>46990.95</v>
      </c>
      <c r="Q392">
        <v>558197434.10000002</v>
      </c>
      <c r="R392">
        <v>609855430</v>
      </c>
      <c r="S392">
        <v>5.2999999999999999E-2</v>
      </c>
      <c r="T392">
        <v>3</v>
      </c>
      <c r="U392">
        <v>2.75E-2</v>
      </c>
      <c r="V392">
        <v>0.08</v>
      </c>
      <c r="X392">
        <v>70083.17</v>
      </c>
      <c r="Y392">
        <v>7.4999999999999997E-3</v>
      </c>
    </row>
    <row r="393" spans="1:25" x14ac:dyDescent="0.25">
      <c r="A393">
        <v>2020</v>
      </c>
      <c r="B393">
        <v>7</v>
      </c>
      <c r="C393" t="s">
        <v>327</v>
      </c>
      <c r="D393" t="s">
        <v>466</v>
      </c>
      <c r="E393" t="s">
        <v>467</v>
      </c>
      <c r="F393" t="s">
        <v>468</v>
      </c>
      <c r="G393" t="s">
        <v>469</v>
      </c>
      <c r="H393" t="s">
        <v>34</v>
      </c>
      <c r="I393" t="s">
        <v>23</v>
      </c>
      <c r="J393">
        <v>439821.1</v>
      </c>
      <c r="K393">
        <v>141931.25</v>
      </c>
      <c r="L393">
        <v>297889.84000000003</v>
      </c>
      <c r="M393">
        <v>77587.69</v>
      </c>
      <c r="N393">
        <v>29931.77</v>
      </c>
      <c r="O393">
        <v>47655.92</v>
      </c>
      <c r="P393">
        <v>39659.599999999999</v>
      </c>
      <c r="Q393">
        <v>509008230.89999998</v>
      </c>
      <c r="R393">
        <v>543393321.5</v>
      </c>
      <c r="S393">
        <v>5.2999999999999999E-2</v>
      </c>
      <c r="T393">
        <v>3</v>
      </c>
      <c r="U393">
        <v>2.75E-2</v>
      </c>
      <c r="V393">
        <v>0.08</v>
      </c>
      <c r="X393">
        <v>63144.09</v>
      </c>
      <c r="Y393">
        <v>7.4999999999999997E-3</v>
      </c>
    </row>
    <row r="394" spans="1:25" x14ac:dyDescent="0.25">
      <c r="A394">
        <v>2020</v>
      </c>
      <c r="B394">
        <v>7</v>
      </c>
      <c r="C394" t="s">
        <v>327</v>
      </c>
      <c r="D394" t="s">
        <v>472</v>
      </c>
      <c r="E394" t="s">
        <v>473</v>
      </c>
      <c r="F394" t="s">
        <v>474</v>
      </c>
      <c r="G394" t="s">
        <v>475</v>
      </c>
      <c r="H394" t="s">
        <v>34</v>
      </c>
      <c r="I394" t="s">
        <v>23</v>
      </c>
      <c r="J394">
        <v>211535.71</v>
      </c>
      <c r="K394">
        <v>60415.98</v>
      </c>
      <c r="L394">
        <v>151119.73000000001</v>
      </c>
      <c r="M394">
        <v>39295.31</v>
      </c>
      <c r="N394">
        <v>12701.32</v>
      </c>
      <c r="O394">
        <v>26593.99</v>
      </c>
      <c r="P394">
        <v>16829.25</v>
      </c>
      <c r="Q394">
        <v>278293654.89999998</v>
      </c>
      <c r="R394">
        <v>308990243.30000001</v>
      </c>
      <c r="S394">
        <v>5.2999999999999999E-2</v>
      </c>
      <c r="T394">
        <v>3</v>
      </c>
      <c r="U394">
        <v>2.75E-2</v>
      </c>
      <c r="V394">
        <v>0.08</v>
      </c>
      <c r="X394">
        <v>35237.03</v>
      </c>
      <c r="Y394">
        <v>7.4999999999999997E-3</v>
      </c>
    </row>
    <row r="395" spans="1:25" x14ac:dyDescent="0.25">
      <c r="A395">
        <v>2020</v>
      </c>
      <c r="B395">
        <v>7</v>
      </c>
      <c r="C395" t="s">
        <v>333</v>
      </c>
      <c r="D395" t="s">
        <v>478</v>
      </c>
      <c r="E395" t="s">
        <v>479</v>
      </c>
      <c r="F395" t="s">
        <v>480</v>
      </c>
      <c r="G395" t="s">
        <v>481</v>
      </c>
      <c r="H395" t="s">
        <v>34</v>
      </c>
      <c r="I395" t="s">
        <v>23</v>
      </c>
      <c r="J395">
        <v>171856.95</v>
      </c>
      <c r="K395">
        <v>79729.41</v>
      </c>
      <c r="L395">
        <v>92127.54</v>
      </c>
      <c r="M395">
        <v>28802.3</v>
      </c>
      <c r="N395">
        <v>14408.97</v>
      </c>
      <c r="O395">
        <v>14393.33</v>
      </c>
      <c r="P395">
        <v>19091.88</v>
      </c>
      <c r="Q395">
        <v>154101601.19999999</v>
      </c>
      <c r="R395">
        <v>163751084.59999999</v>
      </c>
      <c r="S395">
        <v>5.2999999999999999E-2</v>
      </c>
      <c r="T395" t="s">
        <v>24</v>
      </c>
      <c r="U395">
        <v>3.5000000000000003E-2</v>
      </c>
      <c r="V395">
        <v>0.08</v>
      </c>
      <c r="X395">
        <v>19071.16</v>
      </c>
    </row>
    <row r="396" spans="1:25" x14ac:dyDescent="0.25">
      <c r="A396">
        <v>2020</v>
      </c>
      <c r="B396">
        <v>7</v>
      </c>
      <c r="C396" t="s">
        <v>333</v>
      </c>
      <c r="D396" t="s">
        <v>334</v>
      </c>
      <c r="E396" t="s">
        <v>335</v>
      </c>
      <c r="F396" t="s">
        <v>476</v>
      </c>
      <c r="G396" t="s">
        <v>477</v>
      </c>
      <c r="H396" t="s">
        <v>34</v>
      </c>
      <c r="I396" t="s">
        <v>23</v>
      </c>
      <c r="J396">
        <v>145542.42000000001</v>
      </c>
      <c r="K396">
        <v>48339.03</v>
      </c>
      <c r="L396">
        <v>97203.39</v>
      </c>
      <c r="M396">
        <v>24057.55</v>
      </c>
      <c r="N396">
        <v>8081.22</v>
      </c>
      <c r="O396">
        <v>15976.34</v>
      </c>
      <c r="P396">
        <v>10707.61</v>
      </c>
      <c r="Q396">
        <v>168107640.09999999</v>
      </c>
      <c r="R396">
        <v>184703141</v>
      </c>
      <c r="S396">
        <v>5.2999999999999999E-2</v>
      </c>
      <c r="T396" t="s">
        <v>24</v>
      </c>
      <c r="U396">
        <v>3.5000000000000003E-2</v>
      </c>
      <c r="V396">
        <v>0.08</v>
      </c>
      <c r="X396">
        <v>21168.65</v>
      </c>
    </row>
    <row r="397" spans="1:25" x14ac:dyDescent="0.25">
      <c r="A397">
        <v>2020</v>
      </c>
      <c r="B397">
        <v>7</v>
      </c>
      <c r="C397" t="s">
        <v>336</v>
      </c>
      <c r="D397" t="s">
        <v>482</v>
      </c>
      <c r="E397" t="s">
        <v>483</v>
      </c>
      <c r="F397" t="s">
        <v>484</v>
      </c>
      <c r="G397" t="s">
        <v>485</v>
      </c>
      <c r="H397" t="s">
        <v>34</v>
      </c>
      <c r="I397" t="s">
        <v>23</v>
      </c>
      <c r="J397">
        <v>350017.85</v>
      </c>
      <c r="K397">
        <v>210566.2</v>
      </c>
      <c r="L397">
        <v>139451.65</v>
      </c>
      <c r="M397">
        <v>60047.64</v>
      </c>
      <c r="N397">
        <v>35835.870000000003</v>
      </c>
      <c r="O397">
        <v>24211.77</v>
      </c>
      <c r="P397">
        <v>47482.53</v>
      </c>
      <c r="Q397">
        <v>259125051.59999999</v>
      </c>
      <c r="R397">
        <v>275551456.30000001</v>
      </c>
      <c r="S397">
        <v>5.2999999999999999E-2</v>
      </c>
      <c r="T397" t="s">
        <v>24</v>
      </c>
      <c r="U397">
        <v>3.5000000000000003E-2</v>
      </c>
      <c r="V397">
        <v>0.08</v>
      </c>
      <c r="X397">
        <v>32080.59</v>
      </c>
    </row>
    <row r="398" spans="1:25" x14ac:dyDescent="0.25">
      <c r="A398">
        <v>2020</v>
      </c>
      <c r="B398">
        <v>7</v>
      </c>
      <c r="C398" t="s">
        <v>336</v>
      </c>
      <c r="D398" t="s">
        <v>337</v>
      </c>
      <c r="E398" t="s">
        <v>338</v>
      </c>
      <c r="F398" t="s">
        <v>486</v>
      </c>
      <c r="G398" t="s">
        <v>487</v>
      </c>
      <c r="H398" t="s">
        <v>34</v>
      </c>
      <c r="I398" t="s">
        <v>23</v>
      </c>
      <c r="J398">
        <v>350462.54</v>
      </c>
      <c r="K398">
        <v>210912.14</v>
      </c>
      <c r="L398">
        <v>139550.39999999999</v>
      </c>
      <c r="M398">
        <v>60345.17</v>
      </c>
      <c r="N398">
        <v>36088.74</v>
      </c>
      <c r="O398">
        <v>24256.43</v>
      </c>
      <c r="P398">
        <v>47817.58</v>
      </c>
      <c r="Q398">
        <v>259519244.40000001</v>
      </c>
      <c r="R398">
        <v>276143542.89999998</v>
      </c>
      <c r="S398">
        <v>5.2999999999999999E-2</v>
      </c>
      <c r="T398">
        <v>3</v>
      </c>
      <c r="U398">
        <v>2.75E-2</v>
      </c>
      <c r="V398">
        <v>0.08</v>
      </c>
      <c r="X398">
        <v>32139.77</v>
      </c>
      <c r="Y398">
        <v>7.4999999999999997E-3</v>
      </c>
    </row>
    <row r="399" spans="1:25" x14ac:dyDescent="0.25">
      <c r="A399">
        <v>2020</v>
      </c>
      <c r="B399">
        <v>7</v>
      </c>
      <c r="C399" t="s">
        <v>340</v>
      </c>
      <c r="D399" t="s">
        <v>341</v>
      </c>
      <c r="E399" t="s">
        <v>342</v>
      </c>
      <c r="F399" t="s">
        <v>488</v>
      </c>
      <c r="G399" t="s">
        <v>489</v>
      </c>
      <c r="H399" t="s">
        <v>34</v>
      </c>
      <c r="I399" t="s">
        <v>23</v>
      </c>
      <c r="J399">
        <v>2651373.79</v>
      </c>
      <c r="K399">
        <v>1348069.72</v>
      </c>
      <c r="L399">
        <v>1303304.07</v>
      </c>
      <c r="M399">
        <v>435040.85</v>
      </c>
      <c r="N399">
        <v>223013.3</v>
      </c>
      <c r="O399">
        <v>212027.55</v>
      </c>
      <c r="P399">
        <v>295492.62</v>
      </c>
      <c r="Q399">
        <v>2265550336</v>
      </c>
      <c r="R399">
        <v>2416724800</v>
      </c>
      <c r="S399">
        <v>5.2999999999999999E-2</v>
      </c>
      <c r="T399">
        <v>3</v>
      </c>
      <c r="U399">
        <v>2.75E-2</v>
      </c>
      <c r="V399">
        <v>0.08</v>
      </c>
      <c r="X399">
        <v>280936.51</v>
      </c>
      <c r="Y399">
        <v>7.4999999999999997E-3</v>
      </c>
    </row>
    <row r="400" spans="1:25" x14ac:dyDescent="0.25">
      <c r="A400">
        <v>2020</v>
      </c>
      <c r="B400">
        <v>7</v>
      </c>
      <c r="C400" t="s">
        <v>343</v>
      </c>
      <c r="D400" t="s">
        <v>344</v>
      </c>
      <c r="E400" t="s">
        <v>345</v>
      </c>
      <c r="F400" t="s">
        <v>490</v>
      </c>
      <c r="G400" t="s">
        <v>491</v>
      </c>
      <c r="H400" t="s">
        <v>34</v>
      </c>
      <c r="I400" t="s">
        <v>23</v>
      </c>
      <c r="J400">
        <v>1138420.02</v>
      </c>
      <c r="K400">
        <v>587357.85</v>
      </c>
      <c r="L400">
        <v>551062.17000000004</v>
      </c>
      <c r="M400">
        <v>235398.11</v>
      </c>
      <c r="N400">
        <v>131625.89000000001</v>
      </c>
      <c r="O400">
        <v>103772.22</v>
      </c>
      <c r="P400">
        <v>174404.3</v>
      </c>
      <c r="Q400">
        <v>1119009666</v>
      </c>
      <c r="R400">
        <v>1172626848</v>
      </c>
      <c r="S400">
        <v>5.2999999999999999E-2</v>
      </c>
      <c r="T400">
        <v>3</v>
      </c>
      <c r="U400">
        <v>2.75E-2</v>
      </c>
      <c r="V400">
        <v>0.08</v>
      </c>
      <c r="X400">
        <v>137498.19</v>
      </c>
      <c r="Y400">
        <v>7.4999999999999997E-3</v>
      </c>
    </row>
    <row r="401" spans="1:25" x14ac:dyDescent="0.25">
      <c r="A401">
        <v>2020</v>
      </c>
      <c r="B401">
        <v>7</v>
      </c>
      <c r="C401" t="s">
        <v>346</v>
      </c>
      <c r="D401" t="s">
        <v>496</v>
      </c>
      <c r="E401" t="s">
        <v>497</v>
      </c>
      <c r="F401" t="s">
        <v>498</v>
      </c>
      <c r="G401" t="s">
        <v>499</v>
      </c>
      <c r="H401" t="s">
        <v>34</v>
      </c>
      <c r="I401" t="s">
        <v>23</v>
      </c>
      <c r="J401">
        <v>402135.89</v>
      </c>
      <c r="K401">
        <v>88057.32</v>
      </c>
      <c r="L401">
        <v>314078.57</v>
      </c>
      <c r="M401">
        <v>67112.83</v>
      </c>
      <c r="N401">
        <v>14199.74</v>
      </c>
      <c r="O401">
        <v>52913.1</v>
      </c>
      <c r="P401">
        <v>18814.650000000001</v>
      </c>
      <c r="Q401">
        <v>559293134.89999998</v>
      </c>
      <c r="R401">
        <v>609204441.79999995</v>
      </c>
      <c r="S401">
        <v>5.2999999999999999E-2</v>
      </c>
      <c r="T401" t="s">
        <v>24</v>
      </c>
      <c r="U401">
        <v>3.5000000000000003E-2</v>
      </c>
      <c r="V401">
        <v>0.08</v>
      </c>
      <c r="X401">
        <v>70109.850000000006</v>
      </c>
    </row>
    <row r="402" spans="1:25" x14ac:dyDescent="0.25">
      <c r="A402">
        <v>2020</v>
      </c>
      <c r="B402">
        <v>7</v>
      </c>
      <c r="C402" t="s">
        <v>346</v>
      </c>
      <c r="D402" t="s">
        <v>500</v>
      </c>
      <c r="E402" t="s">
        <v>501</v>
      </c>
      <c r="F402" t="s">
        <v>502</v>
      </c>
      <c r="G402" t="s">
        <v>503</v>
      </c>
      <c r="H402" t="s">
        <v>34</v>
      </c>
      <c r="I402" t="s">
        <v>23</v>
      </c>
      <c r="J402">
        <v>462876.66</v>
      </c>
      <c r="K402">
        <v>122712.26</v>
      </c>
      <c r="L402">
        <v>340164.4</v>
      </c>
      <c r="M402">
        <v>86396.45</v>
      </c>
      <c r="N402">
        <v>29347.88</v>
      </c>
      <c r="O402">
        <v>57048.57</v>
      </c>
      <c r="P402">
        <v>38885.94</v>
      </c>
      <c r="Q402">
        <v>604497937.60000002</v>
      </c>
      <c r="R402">
        <v>655324736.70000005</v>
      </c>
      <c r="S402">
        <v>5.2999999999999999E-2</v>
      </c>
      <c r="T402">
        <v>3</v>
      </c>
      <c r="U402">
        <v>2.75E-2</v>
      </c>
      <c r="V402">
        <v>0.08</v>
      </c>
      <c r="X402">
        <v>75589.36</v>
      </c>
      <c r="Y402">
        <v>7.4999999999999997E-3</v>
      </c>
    </row>
    <row r="403" spans="1:25" x14ac:dyDescent="0.25">
      <c r="A403">
        <v>2020</v>
      </c>
      <c r="B403">
        <v>7</v>
      </c>
      <c r="C403" t="s">
        <v>346</v>
      </c>
      <c r="D403" t="s">
        <v>347</v>
      </c>
      <c r="E403" t="s">
        <v>348</v>
      </c>
      <c r="F403" t="s">
        <v>492</v>
      </c>
      <c r="G403" t="s">
        <v>493</v>
      </c>
      <c r="H403" t="s">
        <v>34</v>
      </c>
      <c r="I403" t="s">
        <v>23</v>
      </c>
      <c r="J403">
        <v>171977.29</v>
      </c>
      <c r="K403">
        <v>120.27</v>
      </c>
      <c r="L403">
        <v>171857.01</v>
      </c>
      <c r="M403">
        <v>24877.18</v>
      </c>
      <c r="N403">
        <v>63.16</v>
      </c>
      <c r="O403">
        <v>24814.01</v>
      </c>
      <c r="P403">
        <v>83.69</v>
      </c>
      <c r="Q403">
        <v>551875209.79999995</v>
      </c>
      <c r="R403">
        <v>544077099.60000002</v>
      </c>
      <c r="S403">
        <v>5.2999999999999999E-2</v>
      </c>
      <c r="T403">
        <v>3</v>
      </c>
      <c r="U403">
        <v>2.75E-2</v>
      </c>
      <c r="V403">
        <v>0.04</v>
      </c>
      <c r="X403">
        <v>32878.57</v>
      </c>
      <c r="Y403">
        <v>7.4999999999999997E-3</v>
      </c>
    </row>
    <row r="404" spans="1:25" x14ac:dyDescent="0.25">
      <c r="A404">
        <v>2020</v>
      </c>
      <c r="B404">
        <v>7</v>
      </c>
      <c r="C404" t="s">
        <v>346</v>
      </c>
      <c r="D404" t="s">
        <v>347</v>
      </c>
      <c r="E404" t="s">
        <v>348</v>
      </c>
      <c r="F404" t="s">
        <v>494</v>
      </c>
      <c r="G404" t="s">
        <v>495</v>
      </c>
      <c r="H404" t="s">
        <v>34</v>
      </c>
      <c r="I404" t="s">
        <v>23</v>
      </c>
      <c r="J404">
        <v>428015.05</v>
      </c>
      <c r="K404">
        <v>87440.76</v>
      </c>
      <c r="L404">
        <v>340574.28</v>
      </c>
      <c r="M404">
        <v>79187.44</v>
      </c>
      <c r="N404">
        <v>19222.810000000001</v>
      </c>
      <c r="O404">
        <v>59964.63</v>
      </c>
      <c r="P404">
        <v>25470.22</v>
      </c>
      <c r="Q404">
        <v>633998338.20000005</v>
      </c>
      <c r="R404">
        <v>690220673.79999995</v>
      </c>
      <c r="S404">
        <v>5.2999999999999999E-2</v>
      </c>
      <c r="T404" t="s">
        <v>24</v>
      </c>
      <c r="U404">
        <v>3.5000000000000003E-2</v>
      </c>
      <c r="V404">
        <v>0.08</v>
      </c>
      <c r="X404">
        <v>79453.14</v>
      </c>
    </row>
    <row r="405" spans="1:25" x14ac:dyDescent="0.25">
      <c r="A405">
        <v>2020</v>
      </c>
      <c r="B405">
        <v>7</v>
      </c>
      <c r="C405" t="s">
        <v>349</v>
      </c>
      <c r="D405" t="s">
        <v>514</v>
      </c>
      <c r="E405" t="s">
        <v>515</v>
      </c>
      <c r="F405" t="s">
        <v>516</v>
      </c>
      <c r="G405" t="s">
        <v>517</v>
      </c>
      <c r="H405" t="s">
        <v>34</v>
      </c>
      <c r="I405" t="s">
        <v>23</v>
      </c>
      <c r="J405">
        <v>323868.49</v>
      </c>
      <c r="K405">
        <v>117306.66</v>
      </c>
      <c r="L405">
        <v>206561.83</v>
      </c>
      <c r="M405">
        <v>52941.15</v>
      </c>
      <c r="N405">
        <v>19427.43</v>
      </c>
      <c r="O405">
        <v>33513.72</v>
      </c>
      <c r="P405">
        <v>25741.34</v>
      </c>
      <c r="Q405">
        <v>356556544.30000001</v>
      </c>
      <c r="R405">
        <v>383538150.89999998</v>
      </c>
      <c r="S405">
        <v>5.2999999999999999E-2</v>
      </c>
      <c r="T405">
        <v>3</v>
      </c>
      <c r="U405">
        <v>2.75E-2</v>
      </c>
      <c r="V405">
        <v>0.08</v>
      </c>
      <c r="X405">
        <v>44405.68</v>
      </c>
      <c r="Y405">
        <v>7.4999999999999997E-3</v>
      </c>
    </row>
    <row r="406" spans="1:25" x14ac:dyDescent="0.25">
      <c r="A406">
        <v>2020</v>
      </c>
      <c r="B406">
        <v>7</v>
      </c>
      <c r="C406" t="s">
        <v>349</v>
      </c>
      <c r="D406" t="s">
        <v>350</v>
      </c>
      <c r="E406" t="s">
        <v>351</v>
      </c>
      <c r="F406" t="s">
        <v>518</v>
      </c>
      <c r="G406" t="s">
        <v>519</v>
      </c>
      <c r="H406" t="s">
        <v>34</v>
      </c>
      <c r="I406" t="s">
        <v>23</v>
      </c>
      <c r="J406">
        <v>5505680.3099999996</v>
      </c>
      <c r="K406">
        <v>2830189.15</v>
      </c>
      <c r="L406">
        <v>2675491.16</v>
      </c>
      <c r="M406">
        <v>842052.04</v>
      </c>
      <c r="N406">
        <v>431227.1</v>
      </c>
      <c r="O406">
        <v>410824.94</v>
      </c>
      <c r="P406">
        <v>571375.91</v>
      </c>
      <c r="Q406">
        <v>4443945652</v>
      </c>
      <c r="R406">
        <v>4628438463</v>
      </c>
      <c r="S406">
        <v>5.2999999999999999E-2</v>
      </c>
      <c r="T406">
        <v>3</v>
      </c>
      <c r="U406">
        <v>2.75E-2</v>
      </c>
      <c r="V406">
        <v>0.08</v>
      </c>
      <c r="X406">
        <v>544343.05000000005</v>
      </c>
      <c r="Y406">
        <v>7.4999999999999997E-3</v>
      </c>
    </row>
    <row r="407" spans="1:25" x14ac:dyDescent="0.25">
      <c r="A407">
        <v>2020</v>
      </c>
      <c r="B407">
        <v>7</v>
      </c>
      <c r="C407" t="s">
        <v>349</v>
      </c>
      <c r="D407" t="s">
        <v>506</v>
      </c>
      <c r="E407" t="s">
        <v>507</v>
      </c>
      <c r="F407" t="s">
        <v>508</v>
      </c>
      <c r="G407" t="s">
        <v>509</v>
      </c>
      <c r="H407" t="s">
        <v>34</v>
      </c>
      <c r="I407" t="s">
        <v>23</v>
      </c>
      <c r="J407">
        <v>1211498.1100000001</v>
      </c>
      <c r="K407">
        <v>382662.17</v>
      </c>
      <c r="L407">
        <v>828835.95</v>
      </c>
      <c r="M407">
        <v>184223.66</v>
      </c>
      <c r="N407">
        <v>58725.95</v>
      </c>
      <c r="O407">
        <v>125497.7</v>
      </c>
      <c r="P407">
        <v>77811.89</v>
      </c>
      <c r="Q407">
        <v>1362365260</v>
      </c>
      <c r="R407">
        <v>1409042332</v>
      </c>
      <c r="S407">
        <v>5.2999999999999999E-2</v>
      </c>
      <c r="T407" t="s">
        <v>24</v>
      </c>
      <c r="U407">
        <v>3.5000000000000003E-2</v>
      </c>
      <c r="V407">
        <v>0.08</v>
      </c>
      <c r="X407">
        <v>166284.46</v>
      </c>
    </row>
    <row r="408" spans="1:25" x14ac:dyDescent="0.25">
      <c r="A408">
        <v>2020</v>
      </c>
      <c r="B408">
        <v>7</v>
      </c>
      <c r="C408" t="s">
        <v>349</v>
      </c>
      <c r="D408" t="s">
        <v>510</v>
      </c>
      <c r="E408" t="s">
        <v>511</v>
      </c>
      <c r="F408" t="s">
        <v>512</v>
      </c>
      <c r="G408" t="s">
        <v>513</v>
      </c>
      <c r="H408" t="s">
        <v>34</v>
      </c>
      <c r="I408" t="s">
        <v>23</v>
      </c>
      <c r="J408">
        <v>655155.65</v>
      </c>
      <c r="K408">
        <v>262048.75</v>
      </c>
      <c r="L408">
        <v>393106.9</v>
      </c>
      <c r="M408">
        <v>120298.28</v>
      </c>
      <c r="N408">
        <v>54496.76</v>
      </c>
      <c r="O408">
        <v>65801.509999999995</v>
      </c>
      <c r="P408">
        <v>72208.210000000006</v>
      </c>
      <c r="Q408">
        <v>687524531.20000005</v>
      </c>
      <c r="R408">
        <v>765592230.89999998</v>
      </c>
      <c r="S408">
        <v>5.2999999999999999E-2</v>
      </c>
      <c r="T408">
        <v>3</v>
      </c>
      <c r="U408">
        <v>2.75E-2</v>
      </c>
      <c r="V408">
        <v>0.08</v>
      </c>
      <c r="X408">
        <v>87187.01</v>
      </c>
      <c r="Y408">
        <v>7.4999999999999997E-3</v>
      </c>
    </row>
    <row r="409" spans="1:25" x14ac:dyDescent="0.25">
      <c r="A409">
        <v>2020</v>
      </c>
      <c r="B409">
        <v>7</v>
      </c>
      <c r="C409" t="s">
        <v>349</v>
      </c>
      <c r="D409" t="s">
        <v>350</v>
      </c>
      <c r="E409" t="s">
        <v>351</v>
      </c>
      <c r="F409" t="s">
        <v>504</v>
      </c>
      <c r="G409" t="s">
        <v>505</v>
      </c>
      <c r="H409" t="s">
        <v>34</v>
      </c>
      <c r="I409" t="s">
        <v>23</v>
      </c>
      <c r="J409">
        <v>44750.69</v>
      </c>
      <c r="K409">
        <v>177.9</v>
      </c>
      <c r="L409">
        <v>44572.79</v>
      </c>
      <c r="M409">
        <v>6143.99</v>
      </c>
      <c r="N409">
        <v>59.23</v>
      </c>
      <c r="O409">
        <v>6084.76</v>
      </c>
      <c r="P409">
        <v>78.48</v>
      </c>
      <c r="Q409">
        <v>24948298.91</v>
      </c>
      <c r="R409">
        <v>25971534.550000001</v>
      </c>
      <c r="S409">
        <v>5.2999999999999999E-2</v>
      </c>
      <c r="T409">
        <v>1</v>
      </c>
      <c r="U409">
        <v>1.4999999999999999E-2</v>
      </c>
      <c r="V409">
        <v>0.1</v>
      </c>
      <c r="X409">
        <v>8062.31</v>
      </c>
    </row>
    <row r="410" spans="1:25" x14ac:dyDescent="0.25">
      <c r="A410">
        <v>2020</v>
      </c>
      <c r="B410">
        <v>7</v>
      </c>
      <c r="C410" t="s">
        <v>352</v>
      </c>
      <c r="D410" t="s">
        <v>520</v>
      </c>
      <c r="E410" t="s">
        <v>521</v>
      </c>
      <c r="F410" t="s">
        <v>522</v>
      </c>
      <c r="G410" t="s">
        <v>523</v>
      </c>
      <c r="H410" t="s">
        <v>34</v>
      </c>
      <c r="I410" t="s">
        <v>23</v>
      </c>
      <c r="J410">
        <v>861686.81</v>
      </c>
      <c r="K410">
        <v>335910.88</v>
      </c>
      <c r="L410">
        <v>525775.93999999994</v>
      </c>
      <c r="M410">
        <v>159828.84</v>
      </c>
      <c r="N410">
        <v>71436.850000000006</v>
      </c>
      <c r="O410">
        <v>88392</v>
      </c>
      <c r="P410">
        <v>94653.82</v>
      </c>
      <c r="Q410">
        <v>943600059.39999998</v>
      </c>
      <c r="R410">
        <v>1008389931</v>
      </c>
      <c r="S410">
        <v>5.2999999999999999E-2</v>
      </c>
      <c r="T410" t="s">
        <v>24</v>
      </c>
      <c r="U410">
        <v>3.5000000000000003E-2</v>
      </c>
      <c r="V410">
        <v>0.08</v>
      </c>
      <c r="X410">
        <v>117119.4</v>
      </c>
    </row>
    <row r="411" spans="1:25" x14ac:dyDescent="0.25">
      <c r="A411">
        <v>2020</v>
      </c>
      <c r="B411">
        <v>7</v>
      </c>
      <c r="C411" t="s">
        <v>352</v>
      </c>
      <c r="D411" t="s">
        <v>524</v>
      </c>
      <c r="E411" t="s">
        <v>525</v>
      </c>
      <c r="F411" t="s">
        <v>526</v>
      </c>
      <c r="G411" t="s">
        <v>527</v>
      </c>
      <c r="H411" t="s">
        <v>34</v>
      </c>
      <c r="I411" t="s">
        <v>23</v>
      </c>
      <c r="J411">
        <v>845807.45</v>
      </c>
      <c r="K411">
        <v>325178.65999999997</v>
      </c>
      <c r="L411">
        <v>520628.79</v>
      </c>
      <c r="M411">
        <v>158280.34</v>
      </c>
      <c r="N411">
        <v>71781.25</v>
      </c>
      <c r="O411">
        <v>86499.09</v>
      </c>
      <c r="P411">
        <v>95110.15</v>
      </c>
      <c r="Q411">
        <v>928643674.89999998</v>
      </c>
      <c r="R411">
        <v>981544606.79999995</v>
      </c>
      <c r="S411">
        <v>5.2999999999999999E-2</v>
      </c>
      <c r="T411">
        <v>3</v>
      </c>
      <c r="U411">
        <v>2.75E-2</v>
      </c>
      <c r="V411">
        <v>0.08</v>
      </c>
      <c r="X411">
        <v>114611.3</v>
      </c>
      <c r="Y411">
        <v>7.4999999999999997E-3</v>
      </c>
    </row>
    <row r="412" spans="1:25" x14ac:dyDescent="0.25">
      <c r="A412">
        <v>2020</v>
      </c>
      <c r="B412">
        <v>7</v>
      </c>
      <c r="C412" t="s">
        <v>352</v>
      </c>
      <c r="D412" t="s">
        <v>353</v>
      </c>
      <c r="E412" t="s">
        <v>354</v>
      </c>
      <c r="F412" t="s">
        <v>528</v>
      </c>
      <c r="G412" t="s">
        <v>529</v>
      </c>
      <c r="H412" t="s">
        <v>34</v>
      </c>
      <c r="I412" t="s">
        <v>23</v>
      </c>
      <c r="J412">
        <v>818170.64</v>
      </c>
      <c r="K412">
        <v>297717.83</v>
      </c>
      <c r="L412">
        <v>520452.82</v>
      </c>
      <c r="M412">
        <v>153120.24</v>
      </c>
      <c r="N412">
        <v>66660.02</v>
      </c>
      <c r="O412">
        <v>86460.22</v>
      </c>
      <c r="P412">
        <v>88324.53</v>
      </c>
      <c r="Q412">
        <v>928585813.5</v>
      </c>
      <c r="R412">
        <v>980744075.79999995</v>
      </c>
      <c r="S412">
        <v>5.2999999999999999E-2</v>
      </c>
      <c r="T412">
        <v>3</v>
      </c>
      <c r="U412">
        <v>2.75E-2</v>
      </c>
      <c r="V412">
        <v>0.08</v>
      </c>
      <c r="X412">
        <v>114559.79</v>
      </c>
      <c r="Y412">
        <v>7.4999999999999997E-3</v>
      </c>
    </row>
    <row r="413" spans="1:25" x14ac:dyDescent="0.25">
      <c r="A413">
        <v>2020</v>
      </c>
      <c r="B413">
        <v>7</v>
      </c>
      <c r="C413" t="s">
        <v>355</v>
      </c>
      <c r="D413" t="s">
        <v>532</v>
      </c>
      <c r="E413" t="s">
        <v>533</v>
      </c>
      <c r="F413" t="s">
        <v>534</v>
      </c>
      <c r="G413" t="s">
        <v>535</v>
      </c>
      <c r="H413" t="s">
        <v>34</v>
      </c>
      <c r="I413" t="s">
        <v>23</v>
      </c>
      <c r="J413">
        <v>357427.31</v>
      </c>
      <c r="K413">
        <v>89626.36</v>
      </c>
      <c r="L413">
        <v>267800.95</v>
      </c>
      <c r="M413">
        <v>57149.45</v>
      </c>
      <c r="N413">
        <v>13931.99</v>
      </c>
      <c r="O413">
        <v>43217.45</v>
      </c>
      <c r="P413">
        <v>18459.89</v>
      </c>
      <c r="Q413">
        <v>463878690.5</v>
      </c>
      <c r="R413">
        <v>490506737.60000002</v>
      </c>
      <c r="S413">
        <v>5.2999999999999999E-2</v>
      </c>
      <c r="T413">
        <v>3</v>
      </c>
      <c r="U413">
        <v>2.75E-2</v>
      </c>
      <c r="V413">
        <v>0.08</v>
      </c>
      <c r="X413">
        <v>57263.13</v>
      </c>
      <c r="Y413">
        <v>7.4999999999999997E-3</v>
      </c>
    </row>
    <row r="414" spans="1:25" x14ac:dyDescent="0.25">
      <c r="A414">
        <v>2020</v>
      </c>
      <c r="B414">
        <v>7</v>
      </c>
      <c r="C414" t="s">
        <v>355</v>
      </c>
      <c r="D414" t="s">
        <v>356</v>
      </c>
      <c r="E414" t="s">
        <v>357</v>
      </c>
      <c r="F414" t="s">
        <v>530</v>
      </c>
      <c r="G414" t="s">
        <v>531</v>
      </c>
      <c r="H414" t="s">
        <v>34</v>
      </c>
      <c r="I414" t="s">
        <v>23</v>
      </c>
      <c r="J414">
        <v>489850.3</v>
      </c>
      <c r="K414">
        <v>125428.08</v>
      </c>
      <c r="L414">
        <v>364422.22</v>
      </c>
      <c r="M414">
        <v>86162.23</v>
      </c>
      <c r="N414">
        <v>24415.69</v>
      </c>
      <c r="O414">
        <v>61746.54</v>
      </c>
      <c r="P414">
        <v>32350.79</v>
      </c>
      <c r="Q414">
        <v>658084970.79999995</v>
      </c>
      <c r="R414">
        <v>705484480.89999998</v>
      </c>
      <c r="S414">
        <v>5.2999999999999999E-2</v>
      </c>
      <c r="T414">
        <v>3</v>
      </c>
      <c r="U414">
        <v>2.75E-2</v>
      </c>
      <c r="V414">
        <v>0.08</v>
      </c>
      <c r="X414">
        <v>81814.17</v>
      </c>
      <c r="Y414">
        <v>7.4999999999999997E-3</v>
      </c>
    </row>
    <row r="415" spans="1:25" x14ac:dyDescent="0.25">
      <c r="A415">
        <v>2020</v>
      </c>
      <c r="B415">
        <v>7</v>
      </c>
      <c r="C415" t="s">
        <v>355</v>
      </c>
      <c r="D415" t="s">
        <v>536</v>
      </c>
      <c r="E415" t="s">
        <v>537</v>
      </c>
      <c r="F415" t="s">
        <v>538</v>
      </c>
      <c r="G415" t="s">
        <v>539</v>
      </c>
      <c r="H415" t="s">
        <v>34</v>
      </c>
      <c r="I415" t="s">
        <v>23</v>
      </c>
      <c r="J415">
        <v>388624.64000000001</v>
      </c>
      <c r="K415">
        <v>59795.5</v>
      </c>
      <c r="L415">
        <v>328829.14</v>
      </c>
      <c r="M415">
        <v>55647.46</v>
      </c>
      <c r="N415">
        <v>7135.6</v>
      </c>
      <c r="O415">
        <v>48511.86</v>
      </c>
      <c r="P415">
        <v>9454.67</v>
      </c>
      <c r="Q415">
        <v>528084710.30000001</v>
      </c>
      <c r="R415">
        <v>543218928.5</v>
      </c>
      <c r="S415">
        <v>5.2999999999999999E-2</v>
      </c>
      <c r="T415">
        <v>3</v>
      </c>
      <c r="U415">
        <v>2.75E-2</v>
      </c>
      <c r="V415">
        <v>0.08</v>
      </c>
      <c r="X415">
        <v>64278.22</v>
      </c>
      <c r="Y415">
        <v>7.4999999999999997E-3</v>
      </c>
    </row>
    <row r="416" spans="1:25" x14ac:dyDescent="0.25">
      <c r="A416">
        <v>2020</v>
      </c>
      <c r="B416">
        <v>7</v>
      </c>
      <c r="C416" t="s">
        <v>364</v>
      </c>
      <c r="D416" t="s">
        <v>367</v>
      </c>
      <c r="E416" t="s">
        <v>368</v>
      </c>
      <c r="F416" t="s">
        <v>542</v>
      </c>
      <c r="G416" t="s">
        <v>543</v>
      </c>
      <c r="H416" t="s">
        <v>34</v>
      </c>
      <c r="I416" t="s">
        <v>23</v>
      </c>
      <c r="J416">
        <v>946656.78</v>
      </c>
      <c r="K416">
        <v>217542.5</v>
      </c>
      <c r="L416">
        <v>729114.28</v>
      </c>
      <c r="M416">
        <v>151580.87</v>
      </c>
      <c r="N416">
        <v>37077.620000000003</v>
      </c>
      <c r="O416">
        <v>114503.25</v>
      </c>
      <c r="P416">
        <v>49127.85</v>
      </c>
      <c r="Q416">
        <v>695579211.70000005</v>
      </c>
      <c r="R416">
        <v>732343611</v>
      </c>
      <c r="S416">
        <v>5.2999999999999999E-2</v>
      </c>
      <c r="T416">
        <v>3</v>
      </c>
      <c r="U416">
        <v>2.75E-2</v>
      </c>
      <c r="V416">
        <v>0.1</v>
      </c>
      <c r="X416">
        <v>151716.79999999999</v>
      </c>
    </row>
    <row r="417" spans="1:25" x14ac:dyDescent="0.25">
      <c r="A417">
        <v>2020</v>
      </c>
      <c r="B417">
        <v>7</v>
      </c>
      <c r="C417" t="s">
        <v>364</v>
      </c>
      <c r="D417" t="s">
        <v>365</v>
      </c>
      <c r="E417" t="s">
        <v>366</v>
      </c>
      <c r="F417" t="s">
        <v>544</v>
      </c>
      <c r="G417" t="s">
        <v>545</v>
      </c>
      <c r="H417" t="s">
        <v>34</v>
      </c>
      <c r="I417" t="s">
        <v>23</v>
      </c>
      <c r="J417">
        <v>203006.12</v>
      </c>
      <c r="K417">
        <v>3228.39</v>
      </c>
      <c r="L417">
        <v>199777.73</v>
      </c>
      <c r="M417">
        <v>31024.16</v>
      </c>
      <c r="N417">
        <v>363.23</v>
      </c>
      <c r="O417">
        <v>30660.93</v>
      </c>
      <c r="P417">
        <v>481.28</v>
      </c>
      <c r="Q417">
        <v>187937833.80000001</v>
      </c>
      <c r="R417">
        <v>194421957.30000001</v>
      </c>
      <c r="S417">
        <v>5.2999999999999999E-2</v>
      </c>
      <c r="T417">
        <v>3</v>
      </c>
      <c r="U417">
        <v>2.75E-2</v>
      </c>
      <c r="V417">
        <v>0.1</v>
      </c>
      <c r="X417">
        <v>40625.730000000003</v>
      </c>
    </row>
    <row r="418" spans="1:25" x14ac:dyDescent="0.25">
      <c r="A418">
        <v>2020</v>
      </c>
      <c r="B418">
        <v>7</v>
      </c>
      <c r="C418" t="s">
        <v>364</v>
      </c>
      <c r="D418" t="s">
        <v>365</v>
      </c>
      <c r="E418" t="s">
        <v>366</v>
      </c>
      <c r="F418" t="s">
        <v>540</v>
      </c>
      <c r="G418" t="s">
        <v>541</v>
      </c>
      <c r="H418" t="s">
        <v>34</v>
      </c>
      <c r="I418" t="s">
        <v>23</v>
      </c>
      <c r="J418">
        <v>78119.929999999993</v>
      </c>
      <c r="K418">
        <v>23.72</v>
      </c>
      <c r="L418">
        <v>78096.210000000006</v>
      </c>
      <c r="M418">
        <v>11290.5</v>
      </c>
      <c r="N418">
        <v>4.5199999999999996</v>
      </c>
      <c r="O418">
        <v>11285.98</v>
      </c>
      <c r="P418">
        <v>5.99</v>
      </c>
      <c r="Q418">
        <v>140391774.19999999</v>
      </c>
      <c r="R418">
        <v>141093783.80000001</v>
      </c>
      <c r="S418">
        <v>5.2999999999999999E-2</v>
      </c>
      <c r="T418">
        <v>3</v>
      </c>
      <c r="U418">
        <v>2.75E-2</v>
      </c>
      <c r="V418">
        <v>0.05</v>
      </c>
      <c r="X418">
        <v>14953.92</v>
      </c>
    </row>
    <row r="419" spans="1:25" x14ac:dyDescent="0.25">
      <c r="A419">
        <v>2020</v>
      </c>
      <c r="B419">
        <v>7</v>
      </c>
      <c r="C419" t="s">
        <v>358</v>
      </c>
      <c r="D419" t="s">
        <v>550</v>
      </c>
      <c r="E419" t="s">
        <v>551</v>
      </c>
      <c r="F419" t="s">
        <v>552</v>
      </c>
      <c r="G419" t="s">
        <v>553</v>
      </c>
      <c r="H419" t="s">
        <v>34</v>
      </c>
      <c r="I419" t="s">
        <v>23</v>
      </c>
      <c r="J419">
        <v>746209.51</v>
      </c>
      <c r="K419">
        <v>365174.32</v>
      </c>
      <c r="L419">
        <v>381035.19</v>
      </c>
      <c r="M419">
        <v>120339.5</v>
      </c>
      <c r="N419">
        <v>62725.22</v>
      </c>
      <c r="O419">
        <v>57614.28</v>
      </c>
      <c r="P419">
        <v>83110.92</v>
      </c>
      <c r="Q419">
        <v>631701096.89999998</v>
      </c>
      <c r="R419">
        <v>640614170.5</v>
      </c>
      <c r="S419">
        <v>5.2999999999999999E-2</v>
      </c>
      <c r="T419" t="s">
        <v>24</v>
      </c>
      <c r="U419">
        <v>3.5000000000000003E-2</v>
      </c>
      <c r="V419">
        <v>0.08</v>
      </c>
      <c r="X419">
        <v>76338.92</v>
      </c>
    </row>
    <row r="420" spans="1:25" x14ac:dyDescent="0.25">
      <c r="A420">
        <v>2020</v>
      </c>
      <c r="B420">
        <v>7</v>
      </c>
      <c r="C420" t="s">
        <v>358</v>
      </c>
      <c r="D420" t="s">
        <v>554</v>
      </c>
      <c r="E420" t="s">
        <v>555</v>
      </c>
      <c r="F420" t="s">
        <v>556</v>
      </c>
      <c r="G420" t="s">
        <v>557</v>
      </c>
      <c r="H420" t="s">
        <v>34</v>
      </c>
      <c r="I420" t="s">
        <v>23</v>
      </c>
      <c r="J420">
        <v>931446.24</v>
      </c>
      <c r="K420">
        <v>481165.92</v>
      </c>
      <c r="L420">
        <v>450280.31</v>
      </c>
      <c r="M420">
        <v>145625.68</v>
      </c>
      <c r="N420">
        <v>75252.83</v>
      </c>
      <c r="O420">
        <v>70372.850000000006</v>
      </c>
      <c r="P420">
        <v>99710</v>
      </c>
      <c r="Q420">
        <v>759040543.29999995</v>
      </c>
      <c r="R420">
        <v>795026664</v>
      </c>
      <c r="S420">
        <v>5.2999999999999999E-2</v>
      </c>
      <c r="T420">
        <v>3</v>
      </c>
      <c r="U420">
        <v>2.75E-2</v>
      </c>
      <c r="V420">
        <v>0.08</v>
      </c>
      <c r="X420">
        <v>93244.03</v>
      </c>
      <c r="Y420">
        <v>7.4999999999999997E-3</v>
      </c>
    </row>
    <row r="421" spans="1:25" x14ac:dyDescent="0.25">
      <c r="A421">
        <v>2020</v>
      </c>
      <c r="B421">
        <v>7</v>
      </c>
      <c r="C421" t="s">
        <v>358</v>
      </c>
      <c r="D421" t="s">
        <v>546</v>
      </c>
      <c r="E421" t="s">
        <v>547</v>
      </c>
      <c r="F421" t="s">
        <v>548</v>
      </c>
      <c r="G421" t="s">
        <v>549</v>
      </c>
      <c r="H421" t="s">
        <v>34</v>
      </c>
      <c r="I421" t="s">
        <v>23</v>
      </c>
      <c r="J421">
        <v>1205151.32</v>
      </c>
      <c r="K421">
        <v>410932.05</v>
      </c>
      <c r="L421">
        <v>794219.28</v>
      </c>
      <c r="M421">
        <v>189688.91</v>
      </c>
      <c r="N421">
        <v>65620.320000000007</v>
      </c>
      <c r="O421">
        <v>124068.58</v>
      </c>
      <c r="P421">
        <v>86946.93</v>
      </c>
      <c r="Q421">
        <v>755112318.10000002</v>
      </c>
      <c r="R421">
        <v>792095881.60000002</v>
      </c>
      <c r="S421">
        <v>5.2999999999999999E-2</v>
      </c>
      <c r="T421">
        <v>3</v>
      </c>
      <c r="U421">
        <v>2.75E-2</v>
      </c>
      <c r="V421">
        <v>0.1</v>
      </c>
      <c r="X421">
        <v>164390.87</v>
      </c>
    </row>
    <row r="422" spans="1:25" x14ac:dyDescent="0.25">
      <c r="A422">
        <v>2020</v>
      </c>
      <c r="B422">
        <v>7</v>
      </c>
      <c r="C422" t="s">
        <v>361</v>
      </c>
      <c r="D422" t="s">
        <v>560</v>
      </c>
      <c r="E422" t="s">
        <v>561</v>
      </c>
      <c r="F422" t="s">
        <v>562</v>
      </c>
      <c r="G422" t="s">
        <v>563</v>
      </c>
      <c r="H422" t="s">
        <v>34</v>
      </c>
      <c r="I422" t="s">
        <v>23</v>
      </c>
      <c r="J422">
        <v>387447.44</v>
      </c>
      <c r="K422">
        <v>70433.67</v>
      </c>
      <c r="L422">
        <v>317013.77</v>
      </c>
      <c r="M422">
        <v>64557.77</v>
      </c>
      <c r="N422">
        <v>13701.34</v>
      </c>
      <c r="O422">
        <v>50856.42</v>
      </c>
      <c r="P422">
        <v>18154.28</v>
      </c>
      <c r="Q422">
        <v>548789956.89999998</v>
      </c>
      <c r="R422">
        <v>574289400.10000002</v>
      </c>
      <c r="S422">
        <v>5.2999999999999999E-2</v>
      </c>
      <c r="T422">
        <v>3</v>
      </c>
      <c r="U422">
        <v>2.75E-2</v>
      </c>
      <c r="V422">
        <v>0.08</v>
      </c>
      <c r="X422">
        <v>67384.759999999995</v>
      </c>
      <c r="Y422">
        <v>7.4999999999999997E-3</v>
      </c>
    </row>
    <row r="423" spans="1:25" x14ac:dyDescent="0.25">
      <c r="A423">
        <v>2020</v>
      </c>
      <c r="B423">
        <v>7</v>
      </c>
      <c r="C423" t="s">
        <v>361</v>
      </c>
      <c r="D423" t="s">
        <v>362</v>
      </c>
      <c r="E423" t="s">
        <v>363</v>
      </c>
      <c r="F423" t="s">
        <v>558</v>
      </c>
      <c r="G423" t="s">
        <v>559</v>
      </c>
      <c r="H423" t="s">
        <v>34</v>
      </c>
      <c r="I423" t="s">
        <v>23</v>
      </c>
      <c r="J423">
        <v>368711.59</v>
      </c>
      <c r="K423">
        <v>64301.95</v>
      </c>
      <c r="L423">
        <v>304409.64</v>
      </c>
      <c r="M423">
        <v>59801.65</v>
      </c>
      <c r="N423">
        <v>10913.43</v>
      </c>
      <c r="O423">
        <v>48888.23</v>
      </c>
      <c r="P423">
        <v>14460.29</v>
      </c>
      <c r="Q423">
        <v>527442672.30000001</v>
      </c>
      <c r="R423">
        <v>552172307.70000005</v>
      </c>
      <c r="S423">
        <v>5.2999999999999999E-2</v>
      </c>
      <c r="T423" t="s">
        <v>24</v>
      </c>
      <c r="U423">
        <v>3.5000000000000003E-2</v>
      </c>
      <c r="V423">
        <v>0.08</v>
      </c>
      <c r="X423">
        <v>64776.9</v>
      </c>
    </row>
    <row r="424" spans="1:25" x14ac:dyDescent="0.25">
      <c r="A424">
        <v>2020</v>
      </c>
      <c r="B424">
        <v>7</v>
      </c>
      <c r="C424" t="s">
        <v>295</v>
      </c>
      <c r="D424" t="s">
        <v>564</v>
      </c>
      <c r="E424" t="s">
        <v>565</v>
      </c>
      <c r="F424" t="s">
        <v>566</v>
      </c>
      <c r="G424" t="s">
        <v>567</v>
      </c>
      <c r="H424" t="s">
        <v>34</v>
      </c>
      <c r="I424" t="s">
        <v>34</v>
      </c>
      <c r="J424">
        <v>652748.56000000006</v>
      </c>
      <c r="K424">
        <v>652748.56000000006</v>
      </c>
      <c r="M424">
        <v>105131.46</v>
      </c>
      <c r="N424">
        <v>105131.46</v>
      </c>
      <c r="P424">
        <v>139299.19</v>
      </c>
    </row>
    <row r="425" spans="1:25" x14ac:dyDescent="0.25">
      <c r="A425">
        <v>2020</v>
      </c>
      <c r="B425">
        <v>7</v>
      </c>
      <c r="C425" t="s">
        <v>298</v>
      </c>
      <c r="D425" t="s">
        <v>589</v>
      </c>
      <c r="E425" t="s">
        <v>590</v>
      </c>
      <c r="F425" t="s">
        <v>591</v>
      </c>
      <c r="G425" t="s">
        <v>592</v>
      </c>
      <c r="H425" t="s">
        <v>34</v>
      </c>
      <c r="I425" t="s">
        <v>34</v>
      </c>
      <c r="J425">
        <v>243757.03</v>
      </c>
      <c r="K425">
        <v>243757.03</v>
      </c>
      <c r="M425">
        <v>66453.03</v>
      </c>
      <c r="N425">
        <v>66453.03</v>
      </c>
      <c r="P425">
        <v>88050.27</v>
      </c>
    </row>
    <row r="426" spans="1:25" x14ac:dyDescent="0.25">
      <c r="A426">
        <v>2020</v>
      </c>
      <c r="B426">
        <v>7</v>
      </c>
      <c r="C426" t="s">
        <v>321</v>
      </c>
      <c r="D426" t="s">
        <v>568</v>
      </c>
      <c r="E426" t="s">
        <v>569</v>
      </c>
      <c r="F426" t="s">
        <v>570</v>
      </c>
      <c r="G426" t="s">
        <v>571</v>
      </c>
      <c r="H426" t="s">
        <v>34</v>
      </c>
      <c r="I426" t="s">
        <v>34</v>
      </c>
      <c r="J426">
        <v>728972.39</v>
      </c>
      <c r="K426">
        <v>728972.39</v>
      </c>
      <c r="M426">
        <v>124033.05</v>
      </c>
      <c r="N426">
        <v>124033.05</v>
      </c>
      <c r="P426">
        <v>164343.79</v>
      </c>
    </row>
    <row r="427" spans="1:25" x14ac:dyDescent="0.25">
      <c r="A427">
        <v>2020</v>
      </c>
      <c r="B427">
        <v>7</v>
      </c>
      <c r="C427" t="s">
        <v>327</v>
      </c>
      <c r="D427" t="s">
        <v>328</v>
      </c>
      <c r="E427" t="s">
        <v>329</v>
      </c>
      <c r="F427" t="s">
        <v>572</v>
      </c>
      <c r="G427" t="s">
        <v>573</v>
      </c>
      <c r="H427" t="s">
        <v>34</v>
      </c>
      <c r="I427" t="s">
        <v>34</v>
      </c>
      <c r="J427">
        <v>71827.02</v>
      </c>
      <c r="K427">
        <v>71827.02</v>
      </c>
      <c r="M427">
        <v>18330.41</v>
      </c>
      <c r="N427">
        <v>18330.41</v>
      </c>
      <c r="P427">
        <v>24287.79</v>
      </c>
    </row>
    <row r="428" spans="1:25" x14ac:dyDescent="0.25">
      <c r="A428">
        <v>2020</v>
      </c>
      <c r="B428">
        <v>7</v>
      </c>
      <c r="C428" t="s">
        <v>330</v>
      </c>
      <c r="D428" t="s">
        <v>331</v>
      </c>
      <c r="E428" t="s">
        <v>332</v>
      </c>
      <c r="F428" t="s">
        <v>605</v>
      </c>
      <c r="G428" t="s">
        <v>606</v>
      </c>
      <c r="H428" t="s">
        <v>34</v>
      </c>
      <c r="I428" t="s">
        <v>34</v>
      </c>
      <c r="J428">
        <v>628.54</v>
      </c>
      <c r="K428">
        <v>628.54</v>
      </c>
      <c r="M428">
        <v>2.0499999999999998</v>
      </c>
      <c r="N428">
        <v>2.0499999999999998</v>
      </c>
      <c r="P428">
        <v>2.71</v>
      </c>
    </row>
    <row r="429" spans="1:25" x14ac:dyDescent="0.25">
      <c r="A429">
        <v>2020</v>
      </c>
      <c r="B429">
        <v>7</v>
      </c>
      <c r="C429" t="s">
        <v>330</v>
      </c>
      <c r="D429" t="s">
        <v>593</v>
      </c>
      <c r="E429" t="s">
        <v>594</v>
      </c>
      <c r="F429" t="s">
        <v>595</v>
      </c>
      <c r="G429" t="s">
        <v>596</v>
      </c>
      <c r="H429" t="s">
        <v>34</v>
      </c>
      <c r="I429" t="s">
        <v>34</v>
      </c>
      <c r="J429">
        <v>2529.35</v>
      </c>
      <c r="K429">
        <v>2529.35</v>
      </c>
      <c r="M429">
        <v>1438.38</v>
      </c>
      <c r="N429">
        <v>1438.38</v>
      </c>
      <c r="P429">
        <v>1905.86</v>
      </c>
    </row>
    <row r="430" spans="1:25" x14ac:dyDescent="0.25">
      <c r="A430">
        <v>2020</v>
      </c>
      <c r="B430">
        <v>7</v>
      </c>
      <c r="C430" t="s">
        <v>330</v>
      </c>
      <c r="D430" t="s">
        <v>601</v>
      </c>
      <c r="E430" t="s">
        <v>602</v>
      </c>
      <c r="F430" t="s">
        <v>603</v>
      </c>
      <c r="G430" t="s">
        <v>604</v>
      </c>
      <c r="H430" t="s">
        <v>34</v>
      </c>
      <c r="I430" t="s">
        <v>34</v>
      </c>
      <c r="J430">
        <v>993.2</v>
      </c>
      <c r="K430">
        <v>993.2</v>
      </c>
      <c r="M430">
        <v>707.63</v>
      </c>
      <c r="N430">
        <v>707.63</v>
      </c>
      <c r="P430">
        <v>937.61</v>
      </c>
    </row>
    <row r="431" spans="1:25" x14ac:dyDescent="0.25">
      <c r="A431">
        <v>2020</v>
      </c>
      <c r="B431">
        <v>7</v>
      </c>
      <c r="C431" t="s">
        <v>330</v>
      </c>
      <c r="D431" t="s">
        <v>597</v>
      </c>
      <c r="E431" t="s">
        <v>598</v>
      </c>
      <c r="F431" t="s">
        <v>599</v>
      </c>
      <c r="G431" t="s">
        <v>600</v>
      </c>
      <c r="H431" t="s">
        <v>34</v>
      </c>
      <c r="I431" t="s">
        <v>34</v>
      </c>
      <c r="J431">
        <v>1273.8499999999999</v>
      </c>
      <c r="K431">
        <v>1273.8499999999999</v>
      </c>
      <c r="M431">
        <v>872.79</v>
      </c>
      <c r="N431">
        <v>872.79</v>
      </c>
      <c r="P431">
        <v>1156.45</v>
      </c>
    </row>
    <row r="432" spans="1:25" x14ac:dyDescent="0.25">
      <c r="A432">
        <v>2020</v>
      </c>
      <c r="B432">
        <v>7</v>
      </c>
      <c r="C432" t="s">
        <v>340</v>
      </c>
      <c r="D432" t="s">
        <v>574</v>
      </c>
      <c r="E432" t="s">
        <v>575</v>
      </c>
      <c r="F432" t="s">
        <v>576</v>
      </c>
      <c r="G432" t="s">
        <v>577</v>
      </c>
      <c r="H432" t="s">
        <v>34</v>
      </c>
      <c r="I432" t="s">
        <v>34</v>
      </c>
      <c r="J432">
        <v>750028.91</v>
      </c>
      <c r="K432">
        <v>750028.91</v>
      </c>
      <c r="M432">
        <v>129194.58</v>
      </c>
      <c r="N432">
        <v>129194.58</v>
      </c>
      <c r="P432">
        <v>171182.82</v>
      </c>
    </row>
    <row r="433" spans="1:25" x14ac:dyDescent="0.25">
      <c r="A433">
        <v>2020</v>
      </c>
      <c r="B433">
        <v>7</v>
      </c>
      <c r="C433" t="s">
        <v>355</v>
      </c>
      <c r="D433" t="s">
        <v>356</v>
      </c>
      <c r="E433" t="s">
        <v>357</v>
      </c>
      <c r="F433" t="s">
        <v>578</v>
      </c>
      <c r="G433" t="s">
        <v>579</v>
      </c>
      <c r="H433" t="s">
        <v>34</v>
      </c>
      <c r="I433" t="s">
        <v>34</v>
      </c>
      <c r="J433">
        <v>0.49</v>
      </c>
      <c r="K433">
        <v>0.49</v>
      </c>
      <c r="M433">
        <v>0</v>
      </c>
    </row>
    <row r="434" spans="1:25" x14ac:dyDescent="0.25">
      <c r="A434">
        <v>2020</v>
      </c>
      <c r="B434">
        <v>7</v>
      </c>
      <c r="C434" t="s">
        <v>289</v>
      </c>
      <c r="D434" t="s">
        <v>607</v>
      </c>
      <c r="E434" t="s">
        <v>608</v>
      </c>
      <c r="F434" t="s">
        <v>609</v>
      </c>
      <c r="G434" t="s">
        <v>610</v>
      </c>
      <c r="H434" t="s">
        <v>34</v>
      </c>
      <c r="I434" t="s">
        <v>34</v>
      </c>
      <c r="J434">
        <v>17287.28</v>
      </c>
      <c r="K434">
        <v>17287.28</v>
      </c>
      <c r="M434">
        <v>5437.89</v>
      </c>
      <c r="N434">
        <v>5437.89</v>
      </c>
      <c r="P434">
        <v>7205.2</v>
      </c>
    </row>
    <row r="435" spans="1:25" x14ac:dyDescent="0.25">
      <c r="A435">
        <v>2020</v>
      </c>
      <c r="B435">
        <v>7</v>
      </c>
      <c r="C435" t="s">
        <v>289</v>
      </c>
      <c r="D435" t="s">
        <v>611</v>
      </c>
      <c r="E435" t="s">
        <v>615</v>
      </c>
      <c r="F435" t="s">
        <v>613</v>
      </c>
      <c r="G435" t="s">
        <v>616</v>
      </c>
      <c r="H435" t="s">
        <v>34</v>
      </c>
      <c r="I435" t="s">
        <v>34</v>
      </c>
      <c r="J435">
        <v>14389.26</v>
      </c>
      <c r="K435">
        <v>14389.26</v>
      </c>
      <c r="M435">
        <v>3117.76</v>
      </c>
      <c r="N435">
        <v>3117.76</v>
      </c>
      <c r="P435">
        <v>4131.03</v>
      </c>
    </row>
    <row r="436" spans="1:25" x14ac:dyDescent="0.25">
      <c r="A436">
        <v>2020</v>
      </c>
      <c r="B436">
        <v>8</v>
      </c>
      <c r="C436" t="s">
        <v>168</v>
      </c>
      <c r="D436" t="s">
        <v>412</v>
      </c>
      <c r="E436" t="s">
        <v>413</v>
      </c>
      <c r="F436" t="s">
        <v>414</v>
      </c>
      <c r="G436" t="s">
        <v>415</v>
      </c>
      <c r="H436" t="s">
        <v>34</v>
      </c>
      <c r="I436" t="s">
        <v>23</v>
      </c>
      <c r="J436">
        <v>185741.1</v>
      </c>
      <c r="K436">
        <v>39671.43</v>
      </c>
      <c r="L436">
        <v>146069.67000000001</v>
      </c>
      <c r="M436">
        <v>26823.5</v>
      </c>
      <c r="N436">
        <v>6304.65</v>
      </c>
      <c r="O436">
        <v>20518.849999999999</v>
      </c>
      <c r="P436">
        <v>8353.66</v>
      </c>
      <c r="Q436">
        <v>213371902.69999999</v>
      </c>
      <c r="R436">
        <v>239752804.69999999</v>
      </c>
      <c r="S436">
        <v>5.2999999999999999E-2</v>
      </c>
      <c r="T436" t="s">
        <v>24</v>
      </c>
      <c r="U436">
        <v>3.5000000000000003E-2</v>
      </c>
      <c r="V436">
        <v>0.08</v>
      </c>
      <c r="X436">
        <v>27187.48</v>
      </c>
    </row>
    <row r="437" spans="1:25" x14ac:dyDescent="0.25">
      <c r="A437">
        <v>2020</v>
      </c>
      <c r="B437">
        <v>8</v>
      </c>
      <c r="C437" t="s">
        <v>168</v>
      </c>
      <c r="D437" t="s">
        <v>404</v>
      </c>
      <c r="E437" t="s">
        <v>405</v>
      </c>
      <c r="F437" t="s">
        <v>406</v>
      </c>
      <c r="G437" t="s">
        <v>407</v>
      </c>
      <c r="H437" t="s">
        <v>34</v>
      </c>
      <c r="I437" t="s">
        <v>23</v>
      </c>
      <c r="J437">
        <v>587270.75</v>
      </c>
      <c r="K437">
        <v>179457.13</v>
      </c>
      <c r="L437">
        <v>407813.62</v>
      </c>
      <c r="M437">
        <v>95608.35</v>
      </c>
      <c r="N437">
        <v>34773.03</v>
      </c>
      <c r="O437">
        <v>60835.33</v>
      </c>
      <c r="P437">
        <v>46074.26</v>
      </c>
      <c r="Q437">
        <v>656132139.20000005</v>
      </c>
      <c r="R437">
        <v>687314657.89999998</v>
      </c>
      <c r="S437">
        <v>5.2999999999999999E-2</v>
      </c>
      <c r="T437">
        <v>3</v>
      </c>
      <c r="U437">
        <v>2.75E-2</v>
      </c>
      <c r="V437">
        <v>0.08</v>
      </c>
      <c r="X437">
        <v>80606.81</v>
      </c>
      <c r="Y437">
        <v>7.4999999999999997E-3</v>
      </c>
    </row>
    <row r="438" spans="1:25" x14ac:dyDescent="0.25">
      <c r="A438">
        <v>2020</v>
      </c>
      <c r="B438">
        <v>8</v>
      </c>
      <c r="C438" t="s">
        <v>168</v>
      </c>
      <c r="D438" t="s">
        <v>292</v>
      </c>
      <c r="E438" t="s">
        <v>293</v>
      </c>
      <c r="F438" t="s">
        <v>410</v>
      </c>
      <c r="G438" t="s">
        <v>411</v>
      </c>
      <c r="H438" t="s">
        <v>34</v>
      </c>
      <c r="I438" t="s">
        <v>23</v>
      </c>
      <c r="J438">
        <v>610170.63</v>
      </c>
      <c r="K438">
        <v>8816.66</v>
      </c>
      <c r="L438">
        <v>601353.96</v>
      </c>
      <c r="M438">
        <v>84908.65</v>
      </c>
      <c r="N438">
        <v>982.85</v>
      </c>
      <c r="O438">
        <v>83925.79</v>
      </c>
      <c r="P438">
        <v>1302.28</v>
      </c>
      <c r="Q438">
        <v>1826267119</v>
      </c>
      <c r="R438">
        <v>1880455433</v>
      </c>
      <c r="S438">
        <v>5.2999999999999999E-2</v>
      </c>
      <c r="T438">
        <v>3</v>
      </c>
      <c r="U438">
        <v>2.75E-2</v>
      </c>
      <c r="V438">
        <v>0.04</v>
      </c>
      <c r="X438">
        <v>111201.68</v>
      </c>
      <c r="Y438">
        <v>7.4999999999999997E-3</v>
      </c>
    </row>
    <row r="439" spans="1:25" x14ac:dyDescent="0.25">
      <c r="A439">
        <v>2020</v>
      </c>
      <c r="B439">
        <v>8</v>
      </c>
      <c r="C439" t="s">
        <v>168</v>
      </c>
      <c r="D439" t="s">
        <v>292</v>
      </c>
      <c r="E439" t="s">
        <v>293</v>
      </c>
      <c r="F439" t="s">
        <v>408</v>
      </c>
      <c r="G439" t="s">
        <v>409</v>
      </c>
      <c r="H439" t="s">
        <v>34</v>
      </c>
      <c r="I439" t="s">
        <v>23</v>
      </c>
      <c r="J439">
        <v>627183.73</v>
      </c>
      <c r="K439">
        <v>198369.16</v>
      </c>
      <c r="L439">
        <v>428814.57</v>
      </c>
      <c r="M439">
        <v>107521.48</v>
      </c>
      <c r="N439">
        <v>36778.44</v>
      </c>
      <c r="O439">
        <v>70743.039999999994</v>
      </c>
      <c r="P439">
        <v>48731.43</v>
      </c>
      <c r="Q439">
        <v>754096152.70000005</v>
      </c>
      <c r="R439">
        <v>808145979.5</v>
      </c>
      <c r="S439">
        <v>5.2999999999999999E-2</v>
      </c>
      <c r="T439">
        <v>3</v>
      </c>
      <c r="U439">
        <v>2.75E-2</v>
      </c>
      <c r="V439">
        <v>0.08</v>
      </c>
      <c r="X439">
        <v>93734.53</v>
      </c>
      <c r="Y439">
        <v>7.4999999999999997E-3</v>
      </c>
    </row>
    <row r="440" spans="1:25" x14ac:dyDescent="0.25">
      <c r="A440">
        <v>2020</v>
      </c>
      <c r="B440">
        <v>8</v>
      </c>
      <c r="C440" t="s">
        <v>295</v>
      </c>
      <c r="D440" t="s">
        <v>296</v>
      </c>
      <c r="E440" t="s">
        <v>297</v>
      </c>
      <c r="F440" t="s">
        <v>416</v>
      </c>
      <c r="G440" t="s">
        <v>417</v>
      </c>
      <c r="H440" t="s">
        <v>34</v>
      </c>
      <c r="I440" t="s">
        <v>23</v>
      </c>
      <c r="J440">
        <v>1681359.02</v>
      </c>
      <c r="K440">
        <v>886557.8</v>
      </c>
      <c r="L440">
        <v>794801.22</v>
      </c>
      <c r="M440">
        <v>247211.68</v>
      </c>
      <c r="N440">
        <v>128905.36</v>
      </c>
      <c r="O440">
        <v>118306.32</v>
      </c>
      <c r="P440">
        <v>170799.6</v>
      </c>
      <c r="Q440">
        <v>1285362909</v>
      </c>
      <c r="R440">
        <v>1327235054</v>
      </c>
      <c r="S440">
        <v>5.2999999999999999E-2</v>
      </c>
      <c r="T440" t="s">
        <v>24</v>
      </c>
      <c r="U440">
        <v>3.5000000000000003E-2</v>
      </c>
      <c r="V440">
        <v>0.08</v>
      </c>
      <c r="X440">
        <v>156755.88</v>
      </c>
    </row>
    <row r="441" spans="1:25" x14ac:dyDescent="0.25">
      <c r="A441">
        <v>2020</v>
      </c>
      <c r="B441">
        <v>8</v>
      </c>
      <c r="C441" t="s">
        <v>298</v>
      </c>
      <c r="D441" t="s">
        <v>299</v>
      </c>
      <c r="E441" t="s">
        <v>300</v>
      </c>
      <c r="F441" t="s">
        <v>587</v>
      </c>
      <c r="G441" t="s">
        <v>588</v>
      </c>
      <c r="H441" t="s">
        <v>34</v>
      </c>
      <c r="I441" t="s">
        <v>23</v>
      </c>
      <c r="J441">
        <v>875587.74</v>
      </c>
      <c r="K441">
        <v>368818.53</v>
      </c>
      <c r="L441">
        <v>506769.21</v>
      </c>
      <c r="M441">
        <v>198575.79</v>
      </c>
      <c r="N441">
        <v>89107.02</v>
      </c>
      <c r="O441">
        <v>109468.77</v>
      </c>
      <c r="P441">
        <v>118066.8</v>
      </c>
      <c r="Q441">
        <v>1199248104</v>
      </c>
      <c r="R441">
        <v>1218187214</v>
      </c>
      <c r="S441">
        <v>5.2999999999999999E-2</v>
      </c>
      <c r="T441">
        <v>3</v>
      </c>
      <c r="U441">
        <v>2.75E-2</v>
      </c>
      <c r="V441">
        <v>0.08</v>
      </c>
      <c r="X441">
        <v>145046.12</v>
      </c>
      <c r="Y441">
        <v>7.4999999999999997E-3</v>
      </c>
    </row>
    <row r="442" spans="1:25" x14ac:dyDescent="0.25">
      <c r="A442">
        <v>2020</v>
      </c>
      <c r="B442">
        <v>8</v>
      </c>
      <c r="C442" t="s">
        <v>302</v>
      </c>
      <c r="D442" t="s">
        <v>418</v>
      </c>
      <c r="E442" t="s">
        <v>419</v>
      </c>
      <c r="F442" t="s">
        <v>420</v>
      </c>
      <c r="G442" t="s">
        <v>421</v>
      </c>
      <c r="H442" t="s">
        <v>34</v>
      </c>
      <c r="I442" t="s">
        <v>23</v>
      </c>
      <c r="J442">
        <v>680859.13</v>
      </c>
      <c r="K442">
        <v>267226.58</v>
      </c>
      <c r="L442">
        <v>413632.55</v>
      </c>
      <c r="M442">
        <v>118973.15</v>
      </c>
      <c r="N442">
        <v>55355.53</v>
      </c>
      <c r="O442">
        <v>63617.62</v>
      </c>
      <c r="P442">
        <v>73346.080000000002</v>
      </c>
      <c r="Q442">
        <v>698292017.60000002</v>
      </c>
      <c r="R442">
        <v>706597111.60000002</v>
      </c>
      <c r="S442">
        <v>5.2999999999999999E-2</v>
      </c>
      <c r="T442">
        <v>3</v>
      </c>
      <c r="U442">
        <v>2.75E-2</v>
      </c>
      <c r="V442">
        <v>0.08</v>
      </c>
      <c r="X442">
        <v>84293.35</v>
      </c>
      <c r="Y442">
        <v>7.4999999999999997E-3</v>
      </c>
    </row>
    <row r="443" spans="1:25" x14ac:dyDescent="0.25">
      <c r="A443">
        <v>2020</v>
      </c>
      <c r="B443">
        <v>8</v>
      </c>
      <c r="C443" t="s">
        <v>302</v>
      </c>
      <c r="D443" t="s">
        <v>303</v>
      </c>
      <c r="E443" t="s">
        <v>304</v>
      </c>
      <c r="F443" t="s">
        <v>422</v>
      </c>
      <c r="G443" t="s">
        <v>423</v>
      </c>
      <c r="H443" t="s">
        <v>34</v>
      </c>
      <c r="I443" t="s">
        <v>23</v>
      </c>
      <c r="J443">
        <v>736344.19</v>
      </c>
      <c r="K443">
        <v>311174.84999999998</v>
      </c>
      <c r="L443">
        <v>425169.34</v>
      </c>
      <c r="M443">
        <v>128832.15</v>
      </c>
      <c r="N443">
        <v>62088.15</v>
      </c>
      <c r="O443">
        <v>66744</v>
      </c>
      <c r="P443">
        <v>82266.8</v>
      </c>
      <c r="Q443">
        <v>730398825</v>
      </c>
      <c r="R443">
        <v>743531109.29999995</v>
      </c>
      <c r="S443">
        <v>5.2999999999999999E-2</v>
      </c>
      <c r="T443" t="s">
        <v>24</v>
      </c>
      <c r="U443">
        <v>3.5000000000000003E-2</v>
      </c>
      <c r="V443">
        <v>0.08</v>
      </c>
      <c r="X443">
        <v>88435.8</v>
      </c>
    </row>
    <row r="444" spans="1:25" x14ac:dyDescent="0.25">
      <c r="A444">
        <v>2020</v>
      </c>
      <c r="B444">
        <v>8</v>
      </c>
      <c r="C444" t="s">
        <v>305</v>
      </c>
      <c r="D444" t="s">
        <v>426</v>
      </c>
      <c r="E444" t="s">
        <v>427</v>
      </c>
      <c r="F444" t="s">
        <v>428</v>
      </c>
      <c r="G444" t="s">
        <v>429</v>
      </c>
      <c r="H444" t="s">
        <v>34</v>
      </c>
      <c r="I444" t="s">
        <v>23</v>
      </c>
      <c r="J444">
        <v>732812.28</v>
      </c>
      <c r="K444">
        <v>242581.95</v>
      </c>
      <c r="L444">
        <v>490230.33</v>
      </c>
      <c r="M444">
        <v>134781.25</v>
      </c>
      <c r="N444">
        <v>56157.120000000003</v>
      </c>
      <c r="O444">
        <v>78624.14</v>
      </c>
      <c r="P444">
        <v>74408.179999999993</v>
      </c>
      <c r="Q444">
        <v>854242083</v>
      </c>
      <c r="R444">
        <v>882040938.10000002</v>
      </c>
      <c r="S444">
        <v>5.2999999999999999E-2</v>
      </c>
      <c r="T444">
        <v>3</v>
      </c>
      <c r="U444">
        <v>2.75E-2</v>
      </c>
      <c r="V444">
        <v>0.08</v>
      </c>
      <c r="X444">
        <v>104176.98</v>
      </c>
      <c r="Y444">
        <v>7.4999999999999997E-3</v>
      </c>
    </row>
    <row r="445" spans="1:25" x14ac:dyDescent="0.25">
      <c r="A445">
        <v>2020</v>
      </c>
      <c r="B445">
        <v>8</v>
      </c>
      <c r="C445" t="s">
        <v>305</v>
      </c>
      <c r="D445" t="s">
        <v>306</v>
      </c>
      <c r="E445" t="s">
        <v>307</v>
      </c>
      <c r="F445" t="s">
        <v>424</v>
      </c>
      <c r="G445" t="s">
        <v>425</v>
      </c>
      <c r="H445" t="s">
        <v>34</v>
      </c>
      <c r="I445" t="s">
        <v>23</v>
      </c>
      <c r="J445">
        <v>733714.74</v>
      </c>
      <c r="K445">
        <v>243199.05</v>
      </c>
      <c r="L445">
        <v>490515.69</v>
      </c>
      <c r="M445">
        <v>135057.64000000001</v>
      </c>
      <c r="N445">
        <v>56416.15</v>
      </c>
      <c r="O445">
        <v>78641.490000000005</v>
      </c>
      <c r="P445">
        <v>74751.399999999994</v>
      </c>
      <c r="Q445">
        <v>854752889</v>
      </c>
      <c r="R445">
        <v>881913333.79999995</v>
      </c>
      <c r="S445">
        <v>5.2999999999999999E-2</v>
      </c>
      <c r="T445">
        <v>3</v>
      </c>
      <c r="U445">
        <v>2.75E-2</v>
      </c>
      <c r="V445">
        <v>0.08</v>
      </c>
      <c r="X445">
        <v>104199.97</v>
      </c>
      <c r="Y445">
        <v>7.4999999999999997E-3</v>
      </c>
    </row>
    <row r="446" spans="1:25" x14ac:dyDescent="0.25">
      <c r="A446">
        <v>2020</v>
      </c>
      <c r="B446">
        <v>8</v>
      </c>
      <c r="C446" t="s">
        <v>308</v>
      </c>
      <c r="D446" t="s">
        <v>432</v>
      </c>
      <c r="E446" t="s">
        <v>433</v>
      </c>
      <c r="F446" t="s">
        <v>434</v>
      </c>
      <c r="G446" t="s">
        <v>435</v>
      </c>
      <c r="H446" t="s">
        <v>34</v>
      </c>
      <c r="I446" t="s">
        <v>23</v>
      </c>
      <c r="J446">
        <v>839879.24</v>
      </c>
      <c r="K446">
        <v>262031.74</v>
      </c>
      <c r="L446">
        <v>577847.5</v>
      </c>
      <c r="M446">
        <v>140579.44</v>
      </c>
      <c r="N446">
        <v>55763.98</v>
      </c>
      <c r="O446">
        <v>84815.46</v>
      </c>
      <c r="P446">
        <v>73887.27</v>
      </c>
      <c r="Q446">
        <v>898377026.10000002</v>
      </c>
      <c r="R446">
        <v>974631134.20000005</v>
      </c>
      <c r="S446">
        <v>5.2999999999999999E-2</v>
      </c>
      <c r="T446">
        <v>3</v>
      </c>
      <c r="U446">
        <v>2.75E-2</v>
      </c>
      <c r="V446">
        <v>0.08</v>
      </c>
      <c r="X446">
        <v>112380.49</v>
      </c>
      <c r="Y446">
        <v>7.4999999999999997E-3</v>
      </c>
    </row>
    <row r="447" spans="1:25" x14ac:dyDescent="0.25">
      <c r="A447">
        <v>2020</v>
      </c>
      <c r="B447">
        <v>8</v>
      </c>
      <c r="C447" t="s">
        <v>308</v>
      </c>
      <c r="D447" t="s">
        <v>309</v>
      </c>
      <c r="E447" t="s">
        <v>310</v>
      </c>
      <c r="F447" t="s">
        <v>430</v>
      </c>
      <c r="G447" t="s">
        <v>431</v>
      </c>
      <c r="H447" t="s">
        <v>34</v>
      </c>
      <c r="I447" t="s">
        <v>23</v>
      </c>
      <c r="J447">
        <v>1960726.08</v>
      </c>
      <c r="K447">
        <v>715817.59</v>
      </c>
      <c r="L447">
        <v>1244908.49</v>
      </c>
      <c r="M447">
        <v>268570.65000000002</v>
      </c>
      <c r="N447">
        <v>108820.39</v>
      </c>
      <c r="O447">
        <v>159750.25</v>
      </c>
      <c r="P447">
        <v>144187.01999999999</v>
      </c>
      <c r="Q447">
        <v>1747997401</v>
      </c>
      <c r="R447">
        <v>1779820729</v>
      </c>
      <c r="S447">
        <v>5.2999999999999999E-2</v>
      </c>
      <c r="T447" t="s">
        <v>24</v>
      </c>
      <c r="U447">
        <v>3.5000000000000003E-2</v>
      </c>
      <c r="V447">
        <v>0.08</v>
      </c>
      <c r="X447">
        <v>211669.09</v>
      </c>
    </row>
    <row r="448" spans="1:25" x14ac:dyDescent="0.25">
      <c r="A448">
        <v>2020</v>
      </c>
      <c r="B448">
        <v>8</v>
      </c>
      <c r="C448" t="s">
        <v>311</v>
      </c>
      <c r="D448" t="s">
        <v>438</v>
      </c>
      <c r="E448" t="s">
        <v>439</v>
      </c>
      <c r="F448" t="s">
        <v>440</v>
      </c>
      <c r="G448" t="s">
        <v>441</v>
      </c>
      <c r="H448" t="s">
        <v>34</v>
      </c>
      <c r="I448" t="s">
        <v>23</v>
      </c>
      <c r="J448">
        <v>822040.38</v>
      </c>
      <c r="K448">
        <v>175805.56</v>
      </c>
      <c r="L448">
        <v>646234.81999999995</v>
      </c>
      <c r="M448">
        <v>128373.33</v>
      </c>
      <c r="N448">
        <v>33144.28</v>
      </c>
      <c r="O448">
        <v>95229.06</v>
      </c>
      <c r="P448">
        <v>43916.17</v>
      </c>
      <c r="Q448">
        <v>720656391.10000002</v>
      </c>
      <c r="R448">
        <v>763796529.29999995</v>
      </c>
      <c r="S448">
        <v>5.2999999999999999E-2</v>
      </c>
      <c r="T448">
        <v>3</v>
      </c>
      <c r="U448">
        <v>2.75E-2</v>
      </c>
      <c r="V448">
        <v>0.08</v>
      </c>
      <c r="X448">
        <v>126178.5</v>
      </c>
    </row>
    <row r="449" spans="1:25" x14ac:dyDescent="0.25">
      <c r="A449">
        <v>2020</v>
      </c>
      <c r="B449">
        <v>8</v>
      </c>
      <c r="C449" t="s">
        <v>311</v>
      </c>
      <c r="D449" t="s">
        <v>312</v>
      </c>
      <c r="E449" t="s">
        <v>313</v>
      </c>
      <c r="F449" t="s">
        <v>436</v>
      </c>
      <c r="G449" t="s">
        <v>437</v>
      </c>
      <c r="H449" t="s">
        <v>34</v>
      </c>
      <c r="I449" t="s">
        <v>23</v>
      </c>
      <c r="J449">
        <v>642255.56000000006</v>
      </c>
      <c r="K449">
        <v>179311.28</v>
      </c>
      <c r="L449">
        <v>462944.27</v>
      </c>
      <c r="M449">
        <v>123695.07</v>
      </c>
      <c r="N449">
        <v>50028.19</v>
      </c>
      <c r="O449">
        <v>73666.89</v>
      </c>
      <c r="P449">
        <v>66287.350000000006</v>
      </c>
      <c r="Q449">
        <v>911570778.60000002</v>
      </c>
      <c r="R449">
        <v>977628378</v>
      </c>
      <c r="S449">
        <v>5.2999999999999999E-2</v>
      </c>
      <c r="T449">
        <v>3</v>
      </c>
      <c r="U449">
        <v>2.75E-2</v>
      </c>
      <c r="V449">
        <v>0.08</v>
      </c>
      <c r="X449">
        <v>97608.62</v>
      </c>
      <c r="Y449">
        <v>0.01</v>
      </c>
    </row>
    <row r="450" spans="1:25" x14ac:dyDescent="0.25">
      <c r="A450">
        <v>2020</v>
      </c>
      <c r="B450">
        <v>8</v>
      </c>
      <c r="C450" t="s">
        <v>315</v>
      </c>
      <c r="D450" t="s">
        <v>316</v>
      </c>
      <c r="E450" t="s">
        <v>317</v>
      </c>
      <c r="F450" t="s">
        <v>442</v>
      </c>
      <c r="G450" t="s">
        <v>443</v>
      </c>
      <c r="H450" t="s">
        <v>34</v>
      </c>
      <c r="I450" t="s">
        <v>23</v>
      </c>
      <c r="J450">
        <v>2229079.58</v>
      </c>
      <c r="K450">
        <v>899663.8</v>
      </c>
      <c r="L450">
        <v>1329415.78</v>
      </c>
      <c r="M450">
        <v>355270.96</v>
      </c>
      <c r="N450">
        <v>141687.45000000001</v>
      </c>
      <c r="O450">
        <v>213583.51</v>
      </c>
      <c r="P450">
        <v>187735.87</v>
      </c>
      <c r="Q450">
        <v>1292869549</v>
      </c>
      <c r="R450">
        <v>1370642411</v>
      </c>
      <c r="S450">
        <v>5.2999999999999999E-2</v>
      </c>
      <c r="T450">
        <v>3</v>
      </c>
      <c r="U450">
        <v>2.75E-2</v>
      </c>
      <c r="V450">
        <v>0.1</v>
      </c>
      <c r="X450">
        <v>282998.15000000002</v>
      </c>
    </row>
    <row r="451" spans="1:25" x14ac:dyDescent="0.25">
      <c r="A451">
        <v>2020</v>
      </c>
      <c r="B451">
        <v>8</v>
      </c>
      <c r="C451" t="s">
        <v>315</v>
      </c>
      <c r="D451" t="s">
        <v>444</v>
      </c>
      <c r="E451" t="s">
        <v>445</v>
      </c>
      <c r="F451" t="s">
        <v>446</v>
      </c>
      <c r="G451" t="s">
        <v>447</v>
      </c>
      <c r="H451" t="s">
        <v>34</v>
      </c>
      <c r="I451" t="s">
        <v>23</v>
      </c>
      <c r="J451">
        <v>2994734.22</v>
      </c>
      <c r="K451">
        <v>817433.09</v>
      </c>
      <c r="L451">
        <v>2177301.13</v>
      </c>
      <c r="M451">
        <v>523003.15</v>
      </c>
      <c r="N451">
        <v>152888.07999999999</v>
      </c>
      <c r="O451">
        <v>370115.07</v>
      </c>
      <c r="P451">
        <v>202576.7</v>
      </c>
      <c r="Q451">
        <v>1510633807</v>
      </c>
      <c r="R451">
        <v>1586644978</v>
      </c>
      <c r="S451">
        <v>5.2999999999999999E-2</v>
      </c>
      <c r="T451">
        <v>1</v>
      </c>
      <c r="U451">
        <v>1.4999999999999999E-2</v>
      </c>
      <c r="V451">
        <v>0.1</v>
      </c>
      <c r="X451">
        <v>490402.47</v>
      </c>
    </row>
    <row r="452" spans="1:25" x14ac:dyDescent="0.25">
      <c r="A452">
        <v>2020</v>
      </c>
      <c r="B452">
        <v>8</v>
      </c>
      <c r="C452" t="s">
        <v>318</v>
      </c>
      <c r="D452" t="s">
        <v>448</v>
      </c>
      <c r="E452" t="s">
        <v>449</v>
      </c>
      <c r="F452" t="s">
        <v>450</v>
      </c>
      <c r="G452" t="s">
        <v>451</v>
      </c>
      <c r="H452" t="s">
        <v>34</v>
      </c>
      <c r="I452" t="s">
        <v>23</v>
      </c>
      <c r="J452">
        <v>159229.95000000001</v>
      </c>
      <c r="K452">
        <v>35649.339999999997</v>
      </c>
      <c r="L452">
        <v>123580.61</v>
      </c>
      <c r="M452">
        <v>26694.05</v>
      </c>
      <c r="N452">
        <v>7110.13</v>
      </c>
      <c r="O452">
        <v>19583.919999999998</v>
      </c>
      <c r="P452">
        <v>9420.92</v>
      </c>
      <c r="Q452">
        <v>206987024.69999999</v>
      </c>
      <c r="R452">
        <v>225491278.09999999</v>
      </c>
      <c r="S452">
        <v>5.2999999999999999E-2</v>
      </c>
      <c r="T452" t="s">
        <v>24</v>
      </c>
      <c r="U452">
        <v>3.5000000000000003E-2</v>
      </c>
      <c r="V452">
        <v>0.08</v>
      </c>
      <c r="X452">
        <v>25948.7</v>
      </c>
    </row>
    <row r="453" spans="1:25" x14ac:dyDescent="0.25">
      <c r="A453">
        <v>2020</v>
      </c>
      <c r="B453">
        <v>8</v>
      </c>
      <c r="C453" t="s">
        <v>318</v>
      </c>
      <c r="D453" t="s">
        <v>454</v>
      </c>
      <c r="E453" t="s">
        <v>455</v>
      </c>
      <c r="F453" t="s">
        <v>456</v>
      </c>
      <c r="G453" t="s">
        <v>457</v>
      </c>
      <c r="H453" t="s">
        <v>34</v>
      </c>
      <c r="I453" t="s">
        <v>23</v>
      </c>
      <c r="J453">
        <v>114957.07</v>
      </c>
      <c r="K453">
        <v>16947.04</v>
      </c>
      <c r="L453">
        <v>98010.02</v>
      </c>
      <c r="M453">
        <v>19512.04</v>
      </c>
      <c r="N453">
        <v>3296.69</v>
      </c>
      <c r="O453">
        <v>16215.35</v>
      </c>
      <c r="P453">
        <v>4368.1099999999997</v>
      </c>
      <c r="Q453">
        <v>174469455.5</v>
      </c>
      <c r="R453">
        <v>183619572.19999999</v>
      </c>
      <c r="S453">
        <v>5.2999999999999999E-2</v>
      </c>
      <c r="T453">
        <v>3</v>
      </c>
      <c r="U453">
        <v>2.75E-2</v>
      </c>
      <c r="V453">
        <v>0.08</v>
      </c>
      <c r="X453">
        <v>21485.34</v>
      </c>
      <c r="Y453">
        <v>7.4999999999999997E-3</v>
      </c>
    </row>
    <row r="454" spans="1:25" x14ac:dyDescent="0.25">
      <c r="A454">
        <v>2020</v>
      </c>
      <c r="B454">
        <v>8</v>
      </c>
      <c r="C454" t="s">
        <v>318</v>
      </c>
      <c r="D454" t="s">
        <v>319</v>
      </c>
      <c r="E454" t="s">
        <v>320</v>
      </c>
      <c r="F454" t="s">
        <v>452</v>
      </c>
      <c r="G454" t="s">
        <v>453</v>
      </c>
      <c r="H454" t="s">
        <v>34</v>
      </c>
      <c r="I454" t="s">
        <v>23</v>
      </c>
      <c r="J454">
        <v>314543.02</v>
      </c>
      <c r="K454">
        <v>74981.11</v>
      </c>
      <c r="L454">
        <v>239561.91</v>
      </c>
      <c r="M454">
        <v>47330.98</v>
      </c>
      <c r="N454">
        <v>12497.94</v>
      </c>
      <c r="O454">
        <v>34833.040000000001</v>
      </c>
      <c r="P454">
        <v>16559.77</v>
      </c>
      <c r="Q454">
        <v>381565285.19999999</v>
      </c>
      <c r="R454">
        <v>387664295.10000002</v>
      </c>
      <c r="S454">
        <v>5.2999999999999999E-2</v>
      </c>
      <c r="T454">
        <v>3</v>
      </c>
      <c r="U454">
        <v>2.75E-2</v>
      </c>
      <c r="V454">
        <v>0.08</v>
      </c>
      <c r="X454">
        <v>46153.77</v>
      </c>
      <c r="Y454">
        <v>7.4999999999999997E-3</v>
      </c>
    </row>
    <row r="455" spans="1:25" x14ac:dyDescent="0.25">
      <c r="A455">
        <v>2020</v>
      </c>
      <c r="B455">
        <v>8</v>
      </c>
      <c r="C455" t="s">
        <v>321</v>
      </c>
      <c r="D455" t="s">
        <v>322</v>
      </c>
      <c r="E455" t="s">
        <v>323</v>
      </c>
      <c r="F455" t="s">
        <v>458</v>
      </c>
      <c r="G455" t="s">
        <v>459</v>
      </c>
      <c r="H455" t="s">
        <v>34</v>
      </c>
      <c r="I455" t="s">
        <v>23</v>
      </c>
      <c r="J455">
        <v>2334210.34</v>
      </c>
      <c r="K455">
        <v>1229529.44</v>
      </c>
      <c r="L455">
        <v>1104680.8899999999</v>
      </c>
      <c r="M455">
        <v>334518.21999999997</v>
      </c>
      <c r="N455">
        <v>172008.1</v>
      </c>
      <c r="O455">
        <v>162510.12</v>
      </c>
      <c r="P455">
        <v>227910.73</v>
      </c>
      <c r="Q455">
        <v>1774411301</v>
      </c>
      <c r="R455">
        <v>1814353912</v>
      </c>
      <c r="S455">
        <v>5.2999999999999999E-2</v>
      </c>
      <c r="T455" t="s">
        <v>24</v>
      </c>
      <c r="U455">
        <v>3.5000000000000003E-2</v>
      </c>
      <c r="V455">
        <v>0.08</v>
      </c>
      <c r="X455">
        <v>215325.91</v>
      </c>
    </row>
    <row r="456" spans="1:25" x14ac:dyDescent="0.25">
      <c r="A456">
        <v>2020</v>
      </c>
      <c r="B456">
        <v>8</v>
      </c>
      <c r="C456" t="s">
        <v>324</v>
      </c>
      <c r="D456" t="s">
        <v>325</v>
      </c>
      <c r="E456" t="s">
        <v>326</v>
      </c>
      <c r="F456" t="s">
        <v>460</v>
      </c>
      <c r="G456" t="s">
        <v>461</v>
      </c>
      <c r="H456" t="s">
        <v>34</v>
      </c>
      <c r="I456" t="s">
        <v>23</v>
      </c>
      <c r="J456">
        <v>1197800.1200000001</v>
      </c>
      <c r="K456">
        <v>586373.81999999995</v>
      </c>
      <c r="L456">
        <v>611426.30000000005</v>
      </c>
      <c r="M456">
        <v>197739.91</v>
      </c>
      <c r="N456">
        <v>102609.57</v>
      </c>
      <c r="O456">
        <v>95130.34</v>
      </c>
      <c r="P456">
        <v>135957.68</v>
      </c>
      <c r="Q456">
        <v>1024073188</v>
      </c>
      <c r="R456">
        <v>1076721811</v>
      </c>
      <c r="S456">
        <v>5.2999999999999999E-2</v>
      </c>
      <c r="T456">
        <v>3</v>
      </c>
      <c r="U456">
        <v>2.75E-2</v>
      </c>
      <c r="V456">
        <v>0.08</v>
      </c>
      <c r="X456">
        <v>126047.7</v>
      </c>
      <c r="Y456">
        <v>7.4999999999999997E-3</v>
      </c>
    </row>
    <row r="457" spans="1:25" x14ac:dyDescent="0.25">
      <c r="A457">
        <v>2020</v>
      </c>
      <c r="B457">
        <v>8</v>
      </c>
      <c r="C457" t="s">
        <v>324</v>
      </c>
      <c r="D457" t="s">
        <v>462</v>
      </c>
      <c r="E457" t="s">
        <v>463</v>
      </c>
      <c r="F457" t="s">
        <v>464</v>
      </c>
      <c r="G457" t="s">
        <v>465</v>
      </c>
      <c r="H457" t="s">
        <v>34</v>
      </c>
      <c r="I457" t="s">
        <v>23</v>
      </c>
      <c r="J457">
        <v>1006136.03</v>
      </c>
      <c r="K457">
        <v>465653.02</v>
      </c>
      <c r="L457">
        <v>540483.01</v>
      </c>
      <c r="M457">
        <v>165030.16</v>
      </c>
      <c r="N457">
        <v>83818.080000000002</v>
      </c>
      <c r="O457">
        <v>81212.08</v>
      </c>
      <c r="P457">
        <v>111058.95</v>
      </c>
      <c r="Q457">
        <v>872812392.79999995</v>
      </c>
      <c r="R457">
        <v>920621033.5</v>
      </c>
      <c r="S457">
        <v>5.2999999999999999E-2</v>
      </c>
      <c r="T457" t="s">
        <v>24</v>
      </c>
      <c r="U457">
        <v>3.5000000000000003E-2</v>
      </c>
      <c r="V457">
        <v>0.08</v>
      </c>
      <c r="X457">
        <v>107606.01</v>
      </c>
    </row>
    <row r="458" spans="1:25" x14ac:dyDescent="0.25">
      <c r="A458">
        <v>2020</v>
      </c>
      <c r="B458">
        <v>8</v>
      </c>
      <c r="C458" t="s">
        <v>327</v>
      </c>
      <c r="D458" t="s">
        <v>328</v>
      </c>
      <c r="E458" t="s">
        <v>329</v>
      </c>
      <c r="F458" t="s">
        <v>470</v>
      </c>
      <c r="G458" t="s">
        <v>471</v>
      </c>
      <c r="H458" t="s">
        <v>34</v>
      </c>
      <c r="I458" t="s">
        <v>23</v>
      </c>
      <c r="J458">
        <v>578250.55000000005</v>
      </c>
      <c r="K458">
        <v>209888.02</v>
      </c>
      <c r="L458">
        <v>368362.53</v>
      </c>
      <c r="M458">
        <v>95789.13</v>
      </c>
      <c r="N458">
        <v>38608.089999999997</v>
      </c>
      <c r="O458">
        <v>57181.04</v>
      </c>
      <c r="P458">
        <v>51155.72</v>
      </c>
      <c r="Q458">
        <v>609855430</v>
      </c>
      <c r="R458">
        <v>652892482.39999998</v>
      </c>
      <c r="S458">
        <v>5.2999999999999999E-2</v>
      </c>
      <c r="T458">
        <v>3</v>
      </c>
      <c r="U458">
        <v>2.75E-2</v>
      </c>
      <c r="V458">
        <v>0.08</v>
      </c>
      <c r="X458">
        <v>75764.87</v>
      </c>
      <c r="Y458">
        <v>7.4999999999999997E-3</v>
      </c>
    </row>
    <row r="459" spans="1:25" x14ac:dyDescent="0.25">
      <c r="A459">
        <v>2020</v>
      </c>
      <c r="B459">
        <v>8</v>
      </c>
      <c r="C459" t="s">
        <v>327</v>
      </c>
      <c r="D459" t="s">
        <v>466</v>
      </c>
      <c r="E459" t="s">
        <v>467</v>
      </c>
      <c r="F459" t="s">
        <v>468</v>
      </c>
      <c r="G459" t="s">
        <v>469</v>
      </c>
      <c r="H459" t="s">
        <v>34</v>
      </c>
      <c r="I459" t="s">
        <v>23</v>
      </c>
      <c r="J459">
        <v>523732.82</v>
      </c>
      <c r="K459">
        <v>175235.82</v>
      </c>
      <c r="L459">
        <v>348497</v>
      </c>
      <c r="M459">
        <v>83911.72</v>
      </c>
      <c r="N459">
        <v>33304.57</v>
      </c>
      <c r="O459">
        <v>50607.16</v>
      </c>
      <c r="P459">
        <v>44128.55</v>
      </c>
      <c r="Q459">
        <v>543393321.5</v>
      </c>
      <c r="R459">
        <v>574181401.60000002</v>
      </c>
      <c r="S459">
        <v>5.2999999999999999E-2</v>
      </c>
      <c r="T459">
        <v>3</v>
      </c>
      <c r="U459">
        <v>2.75E-2</v>
      </c>
      <c r="V459">
        <v>0.08</v>
      </c>
      <c r="X459">
        <v>67054.48</v>
      </c>
      <c r="Y459">
        <v>7.4999999999999997E-3</v>
      </c>
    </row>
    <row r="460" spans="1:25" x14ac:dyDescent="0.25">
      <c r="A460">
        <v>2020</v>
      </c>
      <c r="B460">
        <v>8</v>
      </c>
      <c r="C460" t="s">
        <v>327</v>
      </c>
      <c r="D460" t="s">
        <v>472</v>
      </c>
      <c r="E460" t="s">
        <v>473</v>
      </c>
      <c r="F460" t="s">
        <v>474</v>
      </c>
      <c r="G460" t="s">
        <v>475</v>
      </c>
      <c r="H460" t="s">
        <v>34</v>
      </c>
      <c r="I460" t="s">
        <v>23</v>
      </c>
      <c r="J460">
        <v>256017.21</v>
      </c>
      <c r="K460">
        <v>75451.09</v>
      </c>
      <c r="L460">
        <v>180566.12</v>
      </c>
      <c r="M460">
        <v>44481.5</v>
      </c>
      <c r="N460">
        <v>15035.11</v>
      </c>
      <c r="O460">
        <v>29446.39</v>
      </c>
      <c r="P460">
        <v>19921.52</v>
      </c>
      <c r="Q460">
        <v>308990243.30000001</v>
      </c>
      <c r="R460">
        <v>341284213.30000001</v>
      </c>
      <c r="S460">
        <v>5.2999999999999999E-2</v>
      </c>
      <c r="T460">
        <v>3</v>
      </c>
      <c r="U460">
        <v>2.75E-2</v>
      </c>
      <c r="V460">
        <v>0.08</v>
      </c>
      <c r="X460">
        <v>39016.47</v>
      </c>
      <c r="Y460">
        <v>7.4999999999999997E-3</v>
      </c>
    </row>
    <row r="461" spans="1:25" x14ac:dyDescent="0.25">
      <c r="A461">
        <v>2020</v>
      </c>
      <c r="B461">
        <v>8</v>
      </c>
      <c r="C461" t="s">
        <v>333</v>
      </c>
      <c r="D461" t="s">
        <v>478</v>
      </c>
      <c r="E461" t="s">
        <v>479</v>
      </c>
      <c r="F461" t="s">
        <v>480</v>
      </c>
      <c r="G461" t="s">
        <v>481</v>
      </c>
      <c r="H461" t="s">
        <v>34</v>
      </c>
      <c r="I461" t="s">
        <v>23</v>
      </c>
      <c r="J461">
        <v>202510</v>
      </c>
      <c r="K461">
        <v>95438.49</v>
      </c>
      <c r="L461">
        <v>107071.51</v>
      </c>
      <c r="M461">
        <v>30653.06</v>
      </c>
      <c r="N461">
        <v>15709.08</v>
      </c>
      <c r="O461">
        <v>14943.98</v>
      </c>
      <c r="P461">
        <v>20814.53</v>
      </c>
      <c r="Q461">
        <v>163751084.59999999</v>
      </c>
      <c r="R461">
        <v>166261717.5</v>
      </c>
      <c r="S461">
        <v>5.2999999999999999E-2</v>
      </c>
      <c r="T461" t="s">
        <v>24</v>
      </c>
      <c r="U461">
        <v>3.5000000000000003E-2</v>
      </c>
      <c r="V461">
        <v>0.08</v>
      </c>
      <c r="X461">
        <v>19800.77</v>
      </c>
    </row>
    <row r="462" spans="1:25" x14ac:dyDescent="0.25">
      <c r="A462">
        <v>2020</v>
      </c>
      <c r="B462">
        <v>8</v>
      </c>
      <c r="C462" t="s">
        <v>333</v>
      </c>
      <c r="D462" t="s">
        <v>334</v>
      </c>
      <c r="E462" t="s">
        <v>335</v>
      </c>
      <c r="F462" t="s">
        <v>476</v>
      </c>
      <c r="G462" t="s">
        <v>477</v>
      </c>
      <c r="H462" t="s">
        <v>34</v>
      </c>
      <c r="I462" t="s">
        <v>23</v>
      </c>
      <c r="J462">
        <v>170254.6</v>
      </c>
      <c r="K462">
        <v>56254.879999999997</v>
      </c>
      <c r="L462">
        <v>113999.72</v>
      </c>
      <c r="M462">
        <v>24712.18</v>
      </c>
      <c r="N462">
        <v>7915.85</v>
      </c>
      <c r="O462">
        <v>16796.330000000002</v>
      </c>
      <c r="P462">
        <v>10488.5</v>
      </c>
      <c r="Q462">
        <v>184703141</v>
      </c>
      <c r="R462">
        <v>186215859</v>
      </c>
      <c r="S462">
        <v>5.2999999999999999E-2</v>
      </c>
      <c r="T462" t="s">
        <v>24</v>
      </c>
      <c r="U462">
        <v>3.5000000000000003E-2</v>
      </c>
      <c r="V462">
        <v>0.08</v>
      </c>
      <c r="X462">
        <v>22255.14</v>
      </c>
    </row>
    <row r="463" spans="1:25" x14ac:dyDescent="0.25">
      <c r="A463">
        <v>2020</v>
      </c>
      <c r="B463">
        <v>8</v>
      </c>
      <c r="C463" t="s">
        <v>336</v>
      </c>
      <c r="D463" t="s">
        <v>482</v>
      </c>
      <c r="E463" t="s">
        <v>483</v>
      </c>
      <c r="F463" t="s">
        <v>484</v>
      </c>
      <c r="G463" t="s">
        <v>485</v>
      </c>
      <c r="H463" t="s">
        <v>34</v>
      </c>
      <c r="I463" t="s">
        <v>23</v>
      </c>
      <c r="J463">
        <v>413552.37</v>
      </c>
      <c r="K463">
        <v>248635.77</v>
      </c>
      <c r="L463">
        <v>164916.6</v>
      </c>
      <c r="M463">
        <v>63534.52</v>
      </c>
      <c r="N463">
        <v>38069.56</v>
      </c>
      <c r="O463">
        <v>25464.959999999999</v>
      </c>
      <c r="P463">
        <v>50442.17</v>
      </c>
      <c r="Q463">
        <v>275551456.30000001</v>
      </c>
      <c r="R463">
        <v>286799661.10000002</v>
      </c>
      <c r="S463">
        <v>5.2999999999999999E-2</v>
      </c>
      <c r="T463" t="s">
        <v>24</v>
      </c>
      <c r="U463">
        <v>3.5000000000000003E-2</v>
      </c>
      <c r="V463">
        <v>0.08</v>
      </c>
      <c r="X463">
        <v>33741.07</v>
      </c>
    </row>
    <row r="464" spans="1:25" x14ac:dyDescent="0.25">
      <c r="A464">
        <v>2020</v>
      </c>
      <c r="B464">
        <v>8</v>
      </c>
      <c r="C464" t="s">
        <v>336</v>
      </c>
      <c r="D464" t="s">
        <v>337</v>
      </c>
      <c r="E464" t="s">
        <v>338</v>
      </c>
      <c r="F464" t="s">
        <v>486</v>
      </c>
      <c r="G464" t="s">
        <v>487</v>
      </c>
      <c r="H464" t="s">
        <v>34</v>
      </c>
      <c r="I464" t="s">
        <v>23</v>
      </c>
      <c r="J464">
        <v>414395.03</v>
      </c>
      <c r="K464">
        <v>249326.68</v>
      </c>
      <c r="L464">
        <v>165068.35</v>
      </c>
      <c r="M464">
        <v>63932.49</v>
      </c>
      <c r="N464">
        <v>38414.54</v>
      </c>
      <c r="O464">
        <v>25517.95</v>
      </c>
      <c r="P464">
        <v>50899.27</v>
      </c>
      <c r="Q464">
        <v>276143542.89999998</v>
      </c>
      <c r="R464">
        <v>287377839</v>
      </c>
      <c r="S464">
        <v>5.2999999999999999E-2</v>
      </c>
      <c r="T464">
        <v>3</v>
      </c>
      <c r="U464">
        <v>2.75E-2</v>
      </c>
      <c r="V464">
        <v>0.08</v>
      </c>
      <c r="X464">
        <v>33811.279999999999</v>
      </c>
      <c r="Y464">
        <v>7.4999999999999997E-3</v>
      </c>
    </row>
    <row r="465" spans="1:25" x14ac:dyDescent="0.25">
      <c r="A465">
        <v>2020</v>
      </c>
      <c r="B465">
        <v>8</v>
      </c>
      <c r="C465" t="s">
        <v>340</v>
      </c>
      <c r="D465" t="s">
        <v>341</v>
      </c>
      <c r="E465" t="s">
        <v>342</v>
      </c>
      <c r="F465" t="s">
        <v>488</v>
      </c>
      <c r="G465" t="s">
        <v>489</v>
      </c>
      <c r="H465" t="s">
        <v>34</v>
      </c>
      <c r="I465" t="s">
        <v>23</v>
      </c>
      <c r="J465">
        <v>3122901</v>
      </c>
      <c r="K465">
        <v>1595900.47</v>
      </c>
      <c r="L465">
        <v>1527000.53</v>
      </c>
      <c r="M465">
        <v>471527.21</v>
      </c>
      <c r="N465">
        <v>247830.75</v>
      </c>
      <c r="O465">
        <v>223696.46</v>
      </c>
      <c r="P465">
        <v>328375.74</v>
      </c>
      <c r="Q465">
        <v>2416724800</v>
      </c>
      <c r="R465">
        <v>2523238647</v>
      </c>
      <c r="S465">
        <v>5.2999999999999999E-2</v>
      </c>
      <c r="T465">
        <v>3</v>
      </c>
      <c r="U465">
        <v>2.75E-2</v>
      </c>
      <c r="V465">
        <v>0.08</v>
      </c>
      <c r="X465">
        <v>296397.81</v>
      </c>
      <c r="Y465">
        <v>7.4999999999999997E-3</v>
      </c>
    </row>
    <row r="466" spans="1:25" x14ac:dyDescent="0.25">
      <c r="A466">
        <v>2020</v>
      </c>
      <c r="B466">
        <v>8</v>
      </c>
      <c r="C466" t="s">
        <v>343</v>
      </c>
      <c r="D466" t="s">
        <v>344</v>
      </c>
      <c r="E466" t="s">
        <v>345</v>
      </c>
      <c r="F466" t="s">
        <v>490</v>
      </c>
      <c r="G466" t="s">
        <v>491</v>
      </c>
      <c r="H466" t="s">
        <v>34</v>
      </c>
      <c r="I466" t="s">
        <v>23</v>
      </c>
      <c r="J466">
        <v>1391030.87</v>
      </c>
      <c r="K466">
        <v>732317.84</v>
      </c>
      <c r="L466">
        <v>658713.03</v>
      </c>
      <c r="M466">
        <v>252610.85</v>
      </c>
      <c r="N466">
        <v>144959.99</v>
      </c>
      <c r="O466">
        <v>107650.85</v>
      </c>
      <c r="P466">
        <v>192071.99</v>
      </c>
      <c r="Q466">
        <v>1172626848</v>
      </c>
      <c r="R466">
        <v>1204662844</v>
      </c>
      <c r="S466">
        <v>5.2999999999999999E-2</v>
      </c>
      <c r="T466">
        <v>3</v>
      </c>
      <c r="U466">
        <v>2.75E-2</v>
      </c>
      <c r="V466">
        <v>0.08</v>
      </c>
      <c r="X466">
        <v>142637.38</v>
      </c>
      <c r="Y466">
        <v>7.4999999999999997E-3</v>
      </c>
    </row>
    <row r="467" spans="1:25" x14ac:dyDescent="0.25">
      <c r="A467">
        <v>2020</v>
      </c>
      <c r="B467">
        <v>8</v>
      </c>
      <c r="C467" t="s">
        <v>346</v>
      </c>
      <c r="D467" t="s">
        <v>496</v>
      </c>
      <c r="E467" t="s">
        <v>497</v>
      </c>
      <c r="F467" t="s">
        <v>498</v>
      </c>
      <c r="G467" t="s">
        <v>499</v>
      </c>
      <c r="H467" t="s">
        <v>34</v>
      </c>
      <c r="I467" t="s">
        <v>23</v>
      </c>
      <c r="J467">
        <v>490159.46</v>
      </c>
      <c r="K467">
        <v>117706.75</v>
      </c>
      <c r="L467">
        <v>372452.71</v>
      </c>
      <c r="M467">
        <v>88023.57</v>
      </c>
      <c r="N467">
        <v>29649.43</v>
      </c>
      <c r="O467">
        <v>58374.14</v>
      </c>
      <c r="P467">
        <v>39285.49</v>
      </c>
      <c r="Q467">
        <v>609204441.79999995</v>
      </c>
      <c r="R467">
        <v>679891245.89999998</v>
      </c>
      <c r="S467">
        <v>5.2999999999999999E-2</v>
      </c>
      <c r="T467" t="s">
        <v>24</v>
      </c>
      <c r="U467">
        <v>3.5000000000000003E-2</v>
      </c>
      <c r="V467">
        <v>0.08</v>
      </c>
      <c r="X467">
        <v>77345.740000000005</v>
      </c>
    </row>
    <row r="468" spans="1:25" x14ac:dyDescent="0.25">
      <c r="A468">
        <v>2020</v>
      </c>
      <c r="B468">
        <v>8</v>
      </c>
      <c r="C468" t="s">
        <v>346</v>
      </c>
      <c r="D468" t="s">
        <v>500</v>
      </c>
      <c r="E468" t="s">
        <v>501</v>
      </c>
      <c r="F468" t="s">
        <v>502</v>
      </c>
      <c r="G468" t="s">
        <v>503</v>
      </c>
      <c r="H468" t="s">
        <v>34</v>
      </c>
      <c r="I468" t="s">
        <v>23</v>
      </c>
      <c r="J468">
        <v>560865.06000000006</v>
      </c>
      <c r="K468">
        <v>158648.21</v>
      </c>
      <c r="L468">
        <v>402216.85</v>
      </c>
      <c r="M468">
        <v>97988.4</v>
      </c>
      <c r="N468">
        <v>35935.949999999997</v>
      </c>
      <c r="O468">
        <v>62052.45</v>
      </c>
      <c r="P468">
        <v>47615.13</v>
      </c>
      <c r="Q468">
        <v>655324736.70000005</v>
      </c>
      <c r="R468">
        <v>715000270</v>
      </c>
      <c r="S468">
        <v>5.2999999999999999E-2</v>
      </c>
      <c r="T468">
        <v>3</v>
      </c>
      <c r="U468">
        <v>2.75E-2</v>
      </c>
      <c r="V468">
        <v>0.08</v>
      </c>
      <c r="X468">
        <v>82219.5</v>
      </c>
      <c r="Y468">
        <v>7.4999999999999997E-3</v>
      </c>
    </row>
    <row r="469" spans="1:25" x14ac:dyDescent="0.25">
      <c r="A469">
        <v>2020</v>
      </c>
      <c r="B469">
        <v>8</v>
      </c>
      <c r="C469" t="s">
        <v>346</v>
      </c>
      <c r="D469" t="s">
        <v>347</v>
      </c>
      <c r="E469" t="s">
        <v>348</v>
      </c>
      <c r="F469" t="s">
        <v>492</v>
      </c>
      <c r="G469" t="s">
        <v>493</v>
      </c>
      <c r="H469" t="s">
        <v>34</v>
      </c>
      <c r="I469" t="s">
        <v>23</v>
      </c>
      <c r="J469">
        <v>196788.31</v>
      </c>
      <c r="K469">
        <v>134.6</v>
      </c>
      <c r="L469">
        <v>196653.72</v>
      </c>
      <c r="M469">
        <v>24811.03</v>
      </c>
      <c r="N469">
        <v>14.32</v>
      </c>
      <c r="O469">
        <v>24796.7</v>
      </c>
      <c r="P469">
        <v>18.98</v>
      </c>
      <c r="Q469">
        <v>544077099.60000002</v>
      </c>
      <c r="R469">
        <v>551110622.20000005</v>
      </c>
      <c r="S469">
        <v>5.2999999999999999E-2</v>
      </c>
      <c r="T469">
        <v>3</v>
      </c>
      <c r="U469">
        <v>2.75E-2</v>
      </c>
      <c r="V469">
        <v>0.04</v>
      </c>
      <c r="X469">
        <v>32855.629999999997</v>
      </c>
      <c r="Y469">
        <v>7.4999999999999997E-3</v>
      </c>
    </row>
    <row r="470" spans="1:25" x14ac:dyDescent="0.25">
      <c r="A470">
        <v>2020</v>
      </c>
      <c r="B470">
        <v>8</v>
      </c>
      <c r="C470" t="s">
        <v>346</v>
      </c>
      <c r="D470" t="s">
        <v>347</v>
      </c>
      <c r="E470" t="s">
        <v>348</v>
      </c>
      <c r="F470" t="s">
        <v>494</v>
      </c>
      <c r="G470" t="s">
        <v>495</v>
      </c>
      <c r="H470" t="s">
        <v>34</v>
      </c>
      <c r="I470" t="s">
        <v>23</v>
      </c>
      <c r="J470">
        <v>531174.80000000005</v>
      </c>
      <c r="K470">
        <v>126750.75</v>
      </c>
      <c r="L470">
        <v>404424.05</v>
      </c>
      <c r="M470">
        <v>103159.75</v>
      </c>
      <c r="N470">
        <v>39309.980000000003</v>
      </c>
      <c r="O470">
        <v>63849.760000000002</v>
      </c>
      <c r="P470">
        <v>52085.73</v>
      </c>
      <c r="Q470">
        <v>690220673.79999995</v>
      </c>
      <c r="R470">
        <v>719794969.39999998</v>
      </c>
      <c r="S470">
        <v>5.2999999999999999E-2</v>
      </c>
      <c r="T470" t="s">
        <v>24</v>
      </c>
      <c r="U470">
        <v>3.5000000000000003E-2</v>
      </c>
      <c r="V470">
        <v>0.08</v>
      </c>
      <c r="X470">
        <v>84600.94</v>
      </c>
    </row>
    <row r="471" spans="1:25" x14ac:dyDescent="0.25">
      <c r="A471">
        <v>2020</v>
      </c>
      <c r="B471">
        <v>8</v>
      </c>
      <c r="C471" t="s">
        <v>349</v>
      </c>
      <c r="D471" t="s">
        <v>514</v>
      </c>
      <c r="E471" t="s">
        <v>515</v>
      </c>
      <c r="F471" t="s">
        <v>516</v>
      </c>
      <c r="G471" t="s">
        <v>517</v>
      </c>
      <c r="H471" t="s">
        <v>34</v>
      </c>
      <c r="I471" t="s">
        <v>23</v>
      </c>
      <c r="J471">
        <v>379803.28</v>
      </c>
      <c r="K471">
        <v>137497.35</v>
      </c>
      <c r="L471">
        <v>242305.93</v>
      </c>
      <c r="M471">
        <v>55934.79</v>
      </c>
      <c r="N471">
        <v>20190.689999999999</v>
      </c>
      <c r="O471">
        <v>35744.1</v>
      </c>
      <c r="P471">
        <v>26752.67</v>
      </c>
      <c r="Q471">
        <v>383538150.89999998</v>
      </c>
      <c r="R471">
        <v>405810659.89999998</v>
      </c>
      <c r="S471">
        <v>5.2999999999999999E-2</v>
      </c>
      <c r="T471">
        <v>3</v>
      </c>
      <c r="U471">
        <v>2.75E-2</v>
      </c>
      <c r="V471">
        <v>0.08</v>
      </c>
      <c r="X471">
        <v>47360.93</v>
      </c>
      <c r="Y471">
        <v>7.4999999999999997E-3</v>
      </c>
    </row>
    <row r="472" spans="1:25" x14ac:dyDescent="0.25">
      <c r="A472">
        <v>2020</v>
      </c>
      <c r="B472">
        <v>8</v>
      </c>
      <c r="C472" t="s">
        <v>349</v>
      </c>
      <c r="D472" t="s">
        <v>350</v>
      </c>
      <c r="E472" t="s">
        <v>351</v>
      </c>
      <c r="F472" t="s">
        <v>518</v>
      </c>
      <c r="G472" t="s">
        <v>519</v>
      </c>
      <c r="H472" t="s">
        <v>34</v>
      </c>
      <c r="I472" t="s">
        <v>23</v>
      </c>
      <c r="J472">
        <v>6376606.4000000004</v>
      </c>
      <c r="K472">
        <v>3278678.9</v>
      </c>
      <c r="L472">
        <v>3097927.5</v>
      </c>
      <c r="M472">
        <v>870926.09</v>
      </c>
      <c r="N472">
        <v>448489.75</v>
      </c>
      <c r="O472">
        <v>422436.34</v>
      </c>
      <c r="P472">
        <v>594248.92000000004</v>
      </c>
      <c r="Q472">
        <v>4628438463</v>
      </c>
      <c r="R472">
        <v>4700364123</v>
      </c>
      <c r="S472">
        <v>5.2999999999999999E-2</v>
      </c>
      <c r="T472">
        <v>3</v>
      </c>
      <c r="U472">
        <v>2.75E-2</v>
      </c>
      <c r="V472">
        <v>0.08</v>
      </c>
      <c r="X472">
        <v>559728.16</v>
      </c>
      <c r="Y472">
        <v>7.4999999999999997E-3</v>
      </c>
    </row>
    <row r="473" spans="1:25" x14ac:dyDescent="0.25">
      <c r="A473">
        <v>2020</v>
      </c>
      <c r="B473">
        <v>8</v>
      </c>
      <c r="C473" t="s">
        <v>349</v>
      </c>
      <c r="D473" t="s">
        <v>506</v>
      </c>
      <c r="E473" t="s">
        <v>507</v>
      </c>
      <c r="F473" t="s">
        <v>508</v>
      </c>
      <c r="G473" t="s">
        <v>509</v>
      </c>
      <c r="H473" t="s">
        <v>34</v>
      </c>
      <c r="I473" t="s">
        <v>23</v>
      </c>
      <c r="J473">
        <v>1421164.05</v>
      </c>
      <c r="K473">
        <v>463637.68</v>
      </c>
      <c r="L473">
        <v>957526.37</v>
      </c>
      <c r="M473">
        <v>209665.94</v>
      </c>
      <c r="N473">
        <v>80975.520000000004</v>
      </c>
      <c r="O473">
        <v>128690.42</v>
      </c>
      <c r="P473">
        <v>107292.56</v>
      </c>
      <c r="Q473">
        <v>1409042332</v>
      </c>
      <c r="R473">
        <v>1432871094</v>
      </c>
      <c r="S473">
        <v>5.2999999999999999E-2</v>
      </c>
      <c r="T473" t="s">
        <v>24</v>
      </c>
      <c r="U473">
        <v>3.5000000000000003E-2</v>
      </c>
      <c r="V473">
        <v>0.08</v>
      </c>
      <c r="X473">
        <v>170514.81</v>
      </c>
    </row>
    <row r="474" spans="1:25" x14ac:dyDescent="0.25">
      <c r="A474">
        <v>2020</v>
      </c>
      <c r="B474">
        <v>8</v>
      </c>
      <c r="C474" t="s">
        <v>349</v>
      </c>
      <c r="D474" t="s">
        <v>510</v>
      </c>
      <c r="E474" t="s">
        <v>511</v>
      </c>
      <c r="F474" t="s">
        <v>512</v>
      </c>
      <c r="G474" t="s">
        <v>513</v>
      </c>
      <c r="H474" t="s">
        <v>34</v>
      </c>
      <c r="I474" t="s">
        <v>23</v>
      </c>
      <c r="J474">
        <v>785638.13</v>
      </c>
      <c r="K474">
        <v>322713.88</v>
      </c>
      <c r="L474">
        <v>462924.25</v>
      </c>
      <c r="M474">
        <v>130482.48</v>
      </c>
      <c r="N474">
        <v>60665.13</v>
      </c>
      <c r="O474">
        <v>69817.350000000006</v>
      </c>
      <c r="P474">
        <v>80381.3</v>
      </c>
      <c r="Q474">
        <v>765592230.89999998</v>
      </c>
      <c r="R474">
        <v>776207540.20000005</v>
      </c>
      <c r="S474">
        <v>5.2999999999999999E-2</v>
      </c>
      <c r="T474">
        <v>3</v>
      </c>
      <c r="U474">
        <v>2.75E-2</v>
      </c>
      <c r="V474">
        <v>0.08</v>
      </c>
      <c r="X474">
        <v>92507.99</v>
      </c>
      <c r="Y474">
        <v>7.4999999999999997E-3</v>
      </c>
    </row>
    <row r="475" spans="1:25" x14ac:dyDescent="0.25">
      <c r="A475">
        <v>2020</v>
      </c>
      <c r="B475">
        <v>8</v>
      </c>
      <c r="C475" t="s">
        <v>349</v>
      </c>
      <c r="D475" t="s">
        <v>350</v>
      </c>
      <c r="E475" t="s">
        <v>351</v>
      </c>
      <c r="F475" t="s">
        <v>504</v>
      </c>
      <c r="G475" t="s">
        <v>505</v>
      </c>
      <c r="H475" t="s">
        <v>34</v>
      </c>
      <c r="I475" t="s">
        <v>23</v>
      </c>
      <c r="J475">
        <v>50539.199999999997</v>
      </c>
      <c r="K475">
        <v>200.09</v>
      </c>
      <c r="L475">
        <v>50339.11</v>
      </c>
      <c r="M475">
        <v>5788.51</v>
      </c>
      <c r="N475">
        <v>22.19</v>
      </c>
      <c r="O475">
        <v>5766.32</v>
      </c>
      <c r="P475">
        <v>29.4</v>
      </c>
      <c r="Q475">
        <v>25971534.550000001</v>
      </c>
      <c r="R475">
        <v>22283446.579999998</v>
      </c>
      <c r="S475">
        <v>5.2999999999999999E-2</v>
      </c>
      <c r="T475">
        <v>1</v>
      </c>
      <c r="U475">
        <v>1.4999999999999999E-2</v>
      </c>
      <c r="V475">
        <v>0.1</v>
      </c>
      <c r="X475">
        <v>7640.37</v>
      </c>
    </row>
    <row r="476" spans="1:25" x14ac:dyDescent="0.25">
      <c r="A476">
        <v>2020</v>
      </c>
      <c r="B476">
        <v>8</v>
      </c>
      <c r="C476" t="s">
        <v>352</v>
      </c>
      <c r="D476" t="s">
        <v>520</v>
      </c>
      <c r="E476" t="s">
        <v>521</v>
      </c>
      <c r="F476" t="s">
        <v>522</v>
      </c>
      <c r="G476" t="s">
        <v>523</v>
      </c>
      <c r="H476" t="s">
        <v>34</v>
      </c>
      <c r="I476" t="s">
        <v>23</v>
      </c>
      <c r="J476">
        <v>1035295.33</v>
      </c>
      <c r="K476">
        <v>416663.63</v>
      </c>
      <c r="L476">
        <v>618631.69999999995</v>
      </c>
      <c r="M476">
        <v>173608.52</v>
      </c>
      <c r="N476">
        <v>80752.75</v>
      </c>
      <c r="O476">
        <v>92855.76</v>
      </c>
      <c r="P476">
        <v>106997.4</v>
      </c>
      <c r="Q476">
        <v>1008389931</v>
      </c>
      <c r="R476">
        <v>1042174786</v>
      </c>
      <c r="S476">
        <v>5.2999999999999999E-2</v>
      </c>
      <c r="T476" t="s">
        <v>24</v>
      </c>
      <c r="U476">
        <v>3.5000000000000003E-2</v>
      </c>
      <c r="V476">
        <v>0.08</v>
      </c>
      <c r="X476">
        <v>123033.88</v>
      </c>
    </row>
    <row r="477" spans="1:25" x14ac:dyDescent="0.25">
      <c r="A477">
        <v>2020</v>
      </c>
      <c r="B477">
        <v>8</v>
      </c>
      <c r="C477" t="s">
        <v>352</v>
      </c>
      <c r="D477" t="s">
        <v>524</v>
      </c>
      <c r="E477" t="s">
        <v>525</v>
      </c>
      <c r="F477" t="s">
        <v>526</v>
      </c>
      <c r="G477" t="s">
        <v>527</v>
      </c>
      <c r="H477" t="s">
        <v>34</v>
      </c>
      <c r="I477" t="s">
        <v>23</v>
      </c>
      <c r="J477">
        <v>1015536.56</v>
      </c>
      <c r="K477">
        <v>405065.78</v>
      </c>
      <c r="L477">
        <v>610470.78</v>
      </c>
      <c r="M477">
        <v>169729.11</v>
      </c>
      <c r="N477">
        <v>79887.12</v>
      </c>
      <c r="O477">
        <v>89842</v>
      </c>
      <c r="P477">
        <v>105850.43</v>
      </c>
      <c r="Q477">
        <v>981544606.79999995</v>
      </c>
      <c r="R477">
        <v>1002466132</v>
      </c>
      <c r="S477">
        <v>5.2999999999999999E-2</v>
      </c>
      <c r="T477">
        <v>3</v>
      </c>
      <c r="U477">
        <v>2.75E-2</v>
      </c>
      <c r="V477">
        <v>0.08</v>
      </c>
      <c r="X477">
        <v>119040.64</v>
      </c>
      <c r="Y477">
        <v>7.4999999999999997E-3</v>
      </c>
    </row>
    <row r="478" spans="1:25" x14ac:dyDescent="0.25">
      <c r="A478">
        <v>2020</v>
      </c>
      <c r="B478">
        <v>8</v>
      </c>
      <c r="C478" t="s">
        <v>352</v>
      </c>
      <c r="D478" t="s">
        <v>353</v>
      </c>
      <c r="E478" t="s">
        <v>354</v>
      </c>
      <c r="F478" t="s">
        <v>528</v>
      </c>
      <c r="G478" t="s">
        <v>529</v>
      </c>
      <c r="H478" t="s">
        <v>34</v>
      </c>
      <c r="I478" t="s">
        <v>23</v>
      </c>
      <c r="J478">
        <v>987723.3</v>
      </c>
      <c r="K478">
        <v>376880.24</v>
      </c>
      <c r="L478">
        <v>610843.06000000006</v>
      </c>
      <c r="M478">
        <v>169552.66</v>
      </c>
      <c r="N478">
        <v>79162.42</v>
      </c>
      <c r="O478">
        <v>90390.24</v>
      </c>
      <c r="P478">
        <v>104890.2</v>
      </c>
      <c r="Q478">
        <v>980744075.79999995</v>
      </c>
      <c r="R478">
        <v>1015373782</v>
      </c>
      <c r="S478">
        <v>5.2999999999999999E-2</v>
      </c>
      <c r="T478">
        <v>3</v>
      </c>
      <c r="U478">
        <v>2.75E-2</v>
      </c>
      <c r="V478">
        <v>0.08</v>
      </c>
      <c r="X478">
        <v>119767.07</v>
      </c>
      <c r="Y478">
        <v>7.4999999999999997E-3</v>
      </c>
    </row>
    <row r="479" spans="1:25" x14ac:dyDescent="0.25">
      <c r="A479">
        <v>2020</v>
      </c>
      <c r="B479">
        <v>8</v>
      </c>
      <c r="C479" t="s">
        <v>355</v>
      </c>
      <c r="D479" t="s">
        <v>532</v>
      </c>
      <c r="E479" t="s">
        <v>533</v>
      </c>
      <c r="F479" t="s">
        <v>534</v>
      </c>
      <c r="G479" t="s">
        <v>535</v>
      </c>
      <c r="H479" t="s">
        <v>34</v>
      </c>
      <c r="I479" t="s">
        <v>23</v>
      </c>
      <c r="J479">
        <v>424522.08</v>
      </c>
      <c r="K479">
        <v>111370.16</v>
      </c>
      <c r="L479">
        <v>313151.92</v>
      </c>
      <c r="M479">
        <v>67094.77</v>
      </c>
      <c r="N479">
        <v>21743.8</v>
      </c>
      <c r="O479">
        <v>45350.97</v>
      </c>
      <c r="P479">
        <v>28810.53</v>
      </c>
      <c r="Q479">
        <v>490506737.60000002</v>
      </c>
      <c r="R479">
        <v>510993935.69999999</v>
      </c>
      <c r="S479">
        <v>5.2999999999999999E-2</v>
      </c>
      <c r="T479">
        <v>3</v>
      </c>
      <c r="U479">
        <v>2.75E-2</v>
      </c>
      <c r="V479">
        <v>0.08</v>
      </c>
      <c r="X479">
        <v>60090.04</v>
      </c>
      <c r="Y479">
        <v>7.4999999999999997E-3</v>
      </c>
    </row>
    <row r="480" spans="1:25" x14ac:dyDescent="0.25">
      <c r="A480">
        <v>2020</v>
      </c>
      <c r="B480">
        <v>8</v>
      </c>
      <c r="C480" t="s">
        <v>355</v>
      </c>
      <c r="D480" t="s">
        <v>356</v>
      </c>
      <c r="E480" t="s">
        <v>357</v>
      </c>
      <c r="F480" t="s">
        <v>530</v>
      </c>
      <c r="G480" t="s">
        <v>531</v>
      </c>
      <c r="H480" t="s">
        <v>34</v>
      </c>
      <c r="I480" t="s">
        <v>23</v>
      </c>
      <c r="J480">
        <v>594087.68000000005</v>
      </c>
      <c r="K480">
        <v>164073.59</v>
      </c>
      <c r="L480">
        <v>430014.09</v>
      </c>
      <c r="M480">
        <v>104237.38</v>
      </c>
      <c r="N480">
        <v>38645.51</v>
      </c>
      <c r="O480">
        <v>65591.87</v>
      </c>
      <c r="P480">
        <v>51205.3</v>
      </c>
      <c r="Q480">
        <v>705484480.89999998</v>
      </c>
      <c r="R480">
        <v>743002688</v>
      </c>
      <c r="S480">
        <v>5.2999999999999999E-2</v>
      </c>
      <c r="T480">
        <v>3</v>
      </c>
      <c r="U480">
        <v>2.75E-2</v>
      </c>
      <c r="V480">
        <v>0.08</v>
      </c>
      <c r="X480">
        <v>86909.23</v>
      </c>
      <c r="Y480">
        <v>7.4999999999999997E-3</v>
      </c>
    </row>
    <row r="481" spans="1:25" x14ac:dyDescent="0.25">
      <c r="A481">
        <v>2020</v>
      </c>
      <c r="B481">
        <v>8</v>
      </c>
      <c r="C481" t="s">
        <v>355</v>
      </c>
      <c r="D481" t="s">
        <v>536</v>
      </c>
      <c r="E481" t="s">
        <v>537</v>
      </c>
      <c r="F481" t="s">
        <v>538</v>
      </c>
      <c r="G481" t="s">
        <v>539</v>
      </c>
      <c r="H481" t="s">
        <v>34</v>
      </c>
      <c r="I481" t="s">
        <v>23</v>
      </c>
      <c r="J481">
        <v>454026.62</v>
      </c>
      <c r="K481">
        <v>75734.78</v>
      </c>
      <c r="L481">
        <v>378291.84</v>
      </c>
      <c r="M481">
        <v>65401.98</v>
      </c>
      <c r="N481">
        <v>15939.28</v>
      </c>
      <c r="O481">
        <v>49462.7</v>
      </c>
      <c r="P481">
        <v>21119.54</v>
      </c>
      <c r="Q481">
        <v>543218928.5</v>
      </c>
      <c r="R481">
        <v>549082388.20000005</v>
      </c>
      <c r="S481">
        <v>5.2999999999999999E-2</v>
      </c>
      <c r="T481">
        <v>3</v>
      </c>
      <c r="U481">
        <v>2.75E-2</v>
      </c>
      <c r="V481">
        <v>0.08</v>
      </c>
      <c r="X481">
        <v>65538.080000000002</v>
      </c>
      <c r="Y481">
        <v>7.4999999999999997E-3</v>
      </c>
    </row>
    <row r="482" spans="1:25" x14ac:dyDescent="0.25">
      <c r="A482">
        <v>2020</v>
      </c>
      <c r="B482">
        <v>8</v>
      </c>
      <c r="C482" t="s">
        <v>364</v>
      </c>
      <c r="D482" t="s">
        <v>367</v>
      </c>
      <c r="E482" t="s">
        <v>368</v>
      </c>
      <c r="F482" t="s">
        <v>542</v>
      </c>
      <c r="G482" t="s">
        <v>543</v>
      </c>
      <c r="H482" t="s">
        <v>34</v>
      </c>
      <c r="I482" t="s">
        <v>23</v>
      </c>
      <c r="J482">
        <v>1106270.74</v>
      </c>
      <c r="K482">
        <v>258179.35</v>
      </c>
      <c r="L482">
        <v>848091.39</v>
      </c>
      <c r="M482">
        <v>159613.96</v>
      </c>
      <c r="N482">
        <v>40636.85</v>
      </c>
      <c r="O482">
        <v>118977.11</v>
      </c>
      <c r="P482">
        <v>53843.83</v>
      </c>
      <c r="Q482">
        <v>732343611</v>
      </c>
      <c r="R482">
        <v>751370893.79999995</v>
      </c>
      <c r="S482">
        <v>5.2999999999999999E-2</v>
      </c>
      <c r="T482">
        <v>3</v>
      </c>
      <c r="U482">
        <v>2.75E-2</v>
      </c>
      <c r="V482">
        <v>0.1</v>
      </c>
      <c r="X482">
        <v>157644.67000000001</v>
      </c>
    </row>
    <row r="483" spans="1:25" x14ac:dyDescent="0.25">
      <c r="A483">
        <v>2020</v>
      </c>
      <c r="B483">
        <v>8</v>
      </c>
      <c r="C483" t="s">
        <v>364</v>
      </c>
      <c r="D483" t="s">
        <v>365</v>
      </c>
      <c r="E483" t="s">
        <v>366</v>
      </c>
      <c r="F483" t="s">
        <v>544</v>
      </c>
      <c r="G483" t="s">
        <v>545</v>
      </c>
      <c r="H483" t="s">
        <v>34</v>
      </c>
      <c r="I483" t="s">
        <v>23</v>
      </c>
      <c r="J483">
        <v>235386.39</v>
      </c>
      <c r="K483">
        <v>4072.08</v>
      </c>
      <c r="L483">
        <v>231314.31</v>
      </c>
      <c r="M483">
        <v>32380.27</v>
      </c>
      <c r="N483">
        <v>843.69</v>
      </c>
      <c r="O483">
        <v>31536.58</v>
      </c>
      <c r="P483">
        <v>1117.8900000000001</v>
      </c>
      <c r="Q483">
        <v>194421957.30000001</v>
      </c>
      <c r="R483">
        <v>198857759.69999999</v>
      </c>
      <c r="S483">
        <v>5.2999999999999999E-2</v>
      </c>
      <c r="T483">
        <v>3</v>
      </c>
      <c r="U483">
        <v>2.75E-2</v>
      </c>
      <c r="V483">
        <v>0.1</v>
      </c>
      <c r="X483">
        <v>41785.97</v>
      </c>
    </row>
    <row r="484" spans="1:25" x14ac:dyDescent="0.25">
      <c r="A484">
        <v>2020</v>
      </c>
      <c r="B484">
        <v>8</v>
      </c>
      <c r="C484" t="s">
        <v>364</v>
      </c>
      <c r="D484" t="s">
        <v>365</v>
      </c>
      <c r="E484" t="s">
        <v>366</v>
      </c>
      <c r="F484" t="s">
        <v>540</v>
      </c>
      <c r="G484" t="s">
        <v>541</v>
      </c>
      <c r="H484" t="s">
        <v>34</v>
      </c>
      <c r="I484" t="s">
        <v>23</v>
      </c>
      <c r="J484">
        <v>89453.38</v>
      </c>
      <c r="K484">
        <v>25.89</v>
      </c>
      <c r="L484">
        <v>89427.48</v>
      </c>
      <c r="M484">
        <v>11333.44</v>
      </c>
      <c r="N484">
        <v>2.17</v>
      </c>
      <c r="O484">
        <v>11331.27</v>
      </c>
      <c r="P484">
        <v>2.88</v>
      </c>
      <c r="Q484">
        <v>141093783.80000001</v>
      </c>
      <c r="R484">
        <v>141521412.30000001</v>
      </c>
      <c r="S484">
        <v>5.2999999999999999E-2</v>
      </c>
      <c r="T484">
        <v>3</v>
      </c>
      <c r="U484">
        <v>2.75E-2</v>
      </c>
      <c r="V484">
        <v>0.05</v>
      </c>
      <c r="X484">
        <v>15013.93</v>
      </c>
    </row>
    <row r="485" spans="1:25" x14ac:dyDescent="0.25">
      <c r="A485">
        <v>2020</v>
      </c>
      <c r="B485">
        <v>8</v>
      </c>
      <c r="C485" t="s">
        <v>358</v>
      </c>
      <c r="D485" t="s">
        <v>550</v>
      </c>
      <c r="E485" t="s">
        <v>551</v>
      </c>
      <c r="F485" t="s">
        <v>552</v>
      </c>
      <c r="G485" t="s">
        <v>553</v>
      </c>
      <c r="H485" t="s">
        <v>34</v>
      </c>
      <c r="I485" t="s">
        <v>23</v>
      </c>
      <c r="J485">
        <v>876957.24</v>
      </c>
      <c r="K485">
        <v>437532.42</v>
      </c>
      <c r="L485">
        <v>439424.82</v>
      </c>
      <c r="M485">
        <v>130747.73</v>
      </c>
      <c r="N485">
        <v>72358.100000000006</v>
      </c>
      <c r="O485">
        <v>58389.63</v>
      </c>
      <c r="P485">
        <v>95874.48</v>
      </c>
      <c r="Q485">
        <v>640614170.5</v>
      </c>
      <c r="R485">
        <v>648823479.89999998</v>
      </c>
      <c r="S485">
        <v>5.2999999999999999E-2</v>
      </c>
      <c r="T485" t="s">
        <v>24</v>
      </c>
      <c r="U485">
        <v>3.5000000000000003E-2</v>
      </c>
      <c r="V485">
        <v>0.08</v>
      </c>
      <c r="X485">
        <v>77366.259999999995</v>
      </c>
    </row>
    <row r="486" spans="1:25" x14ac:dyDescent="0.25">
      <c r="A486">
        <v>2020</v>
      </c>
      <c r="B486">
        <v>8</v>
      </c>
      <c r="C486" t="s">
        <v>358</v>
      </c>
      <c r="D486" t="s">
        <v>554</v>
      </c>
      <c r="E486" t="s">
        <v>555</v>
      </c>
      <c r="F486" t="s">
        <v>556</v>
      </c>
      <c r="G486" t="s">
        <v>557</v>
      </c>
      <c r="H486" t="s">
        <v>34</v>
      </c>
      <c r="I486" t="s">
        <v>23</v>
      </c>
      <c r="J486">
        <v>1090757.6499999999</v>
      </c>
      <c r="K486">
        <v>566872.48</v>
      </c>
      <c r="L486">
        <v>523885.16</v>
      </c>
      <c r="M486">
        <v>159311.41</v>
      </c>
      <c r="N486">
        <v>85706.559999999998</v>
      </c>
      <c r="O486">
        <v>73604.850000000006</v>
      </c>
      <c r="P486">
        <v>113561.19</v>
      </c>
      <c r="Q486">
        <v>795026664</v>
      </c>
      <c r="R486">
        <v>830413764</v>
      </c>
      <c r="S486">
        <v>5.2999999999999999E-2</v>
      </c>
      <c r="T486">
        <v>3</v>
      </c>
      <c r="U486">
        <v>2.75E-2</v>
      </c>
      <c r="V486">
        <v>0.08</v>
      </c>
      <c r="X486">
        <v>97526.43</v>
      </c>
      <c r="Y486">
        <v>7.4999999999999997E-3</v>
      </c>
    </row>
    <row r="487" spans="1:25" x14ac:dyDescent="0.25">
      <c r="A487">
        <v>2020</v>
      </c>
      <c r="B487">
        <v>8</v>
      </c>
      <c r="C487" t="s">
        <v>358</v>
      </c>
      <c r="D487" t="s">
        <v>546</v>
      </c>
      <c r="E487" t="s">
        <v>547</v>
      </c>
      <c r="F487" t="s">
        <v>548</v>
      </c>
      <c r="G487" t="s">
        <v>549</v>
      </c>
      <c r="H487" t="s">
        <v>34</v>
      </c>
      <c r="I487" t="s">
        <v>23</v>
      </c>
      <c r="J487">
        <v>1409401.28</v>
      </c>
      <c r="K487">
        <v>486455.53</v>
      </c>
      <c r="L487">
        <v>922945.75</v>
      </c>
      <c r="M487">
        <v>204249.96</v>
      </c>
      <c r="N487">
        <v>75523.490000000005</v>
      </c>
      <c r="O487">
        <v>128726.47</v>
      </c>
      <c r="P487">
        <v>100068.62</v>
      </c>
      <c r="Q487">
        <v>792095881.60000002</v>
      </c>
      <c r="R487">
        <v>813198954.89999998</v>
      </c>
      <c r="S487">
        <v>5.2999999999999999E-2</v>
      </c>
      <c r="T487">
        <v>3</v>
      </c>
      <c r="U487">
        <v>2.75E-2</v>
      </c>
      <c r="V487">
        <v>0.1</v>
      </c>
      <c r="X487">
        <v>170562.58</v>
      </c>
    </row>
    <row r="488" spans="1:25" x14ac:dyDescent="0.25">
      <c r="A488">
        <v>2020</v>
      </c>
      <c r="B488">
        <v>8</v>
      </c>
      <c r="C488" t="s">
        <v>361</v>
      </c>
      <c r="D488" t="s">
        <v>560</v>
      </c>
      <c r="E488" t="s">
        <v>561</v>
      </c>
      <c r="F488" t="s">
        <v>562</v>
      </c>
      <c r="G488" t="s">
        <v>563</v>
      </c>
      <c r="H488" t="s">
        <v>34</v>
      </c>
      <c r="I488" t="s">
        <v>23</v>
      </c>
      <c r="J488">
        <v>465414.51</v>
      </c>
      <c r="K488">
        <v>94667.45</v>
      </c>
      <c r="L488">
        <v>370747.06</v>
      </c>
      <c r="M488">
        <v>77967.070000000007</v>
      </c>
      <c r="N488">
        <v>24233.78</v>
      </c>
      <c r="O488">
        <v>53733.29</v>
      </c>
      <c r="P488">
        <v>32109.759999999998</v>
      </c>
      <c r="Q488">
        <v>574289400.10000002</v>
      </c>
      <c r="R488">
        <v>612320819.60000002</v>
      </c>
      <c r="S488">
        <v>5.2999999999999999E-2</v>
      </c>
      <c r="T488">
        <v>3</v>
      </c>
      <c r="U488">
        <v>2.75E-2</v>
      </c>
      <c r="V488">
        <v>0.08</v>
      </c>
      <c r="X488">
        <v>71196.61</v>
      </c>
      <c r="Y488">
        <v>7.4999999999999997E-3</v>
      </c>
    </row>
    <row r="489" spans="1:25" x14ac:dyDescent="0.25">
      <c r="A489">
        <v>2020</v>
      </c>
      <c r="B489">
        <v>8</v>
      </c>
      <c r="C489" t="s">
        <v>361</v>
      </c>
      <c r="D489" t="s">
        <v>362</v>
      </c>
      <c r="E489" t="s">
        <v>363</v>
      </c>
      <c r="F489" t="s">
        <v>558</v>
      </c>
      <c r="G489" t="s">
        <v>559</v>
      </c>
      <c r="H489" t="s">
        <v>34</v>
      </c>
      <c r="I489" t="s">
        <v>23</v>
      </c>
      <c r="J489">
        <v>440778.98</v>
      </c>
      <c r="K489">
        <v>84670.42</v>
      </c>
      <c r="L489">
        <v>356108.56</v>
      </c>
      <c r="M489">
        <v>72067.39</v>
      </c>
      <c r="N489">
        <v>20368.47</v>
      </c>
      <c r="O489">
        <v>51698.92</v>
      </c>
      <c r="P489">
        <v>26988.22</v>
      </c>
      <c r="Q489">
        <v>552172307.70000005</v>
      </c>
      <c r="R489">
        <v>589512269.20000005</v>
      </c>
      <c r="S489">
        <v>5.2999999999999999E-2</v>
      </c>
      <c r="T489" t="s">
        <v>24</v>
      </c>
      <c r="U489">
        <v>3.5000000000000003E-2</v>
      </c>
      <c r="V489">
        <v>0.08</v>
      </c>
      <c r="X489">
        <v>68501.070000000007</v>
      </c>
    </row>
    <row r="490" spans="1:25" x14ac:dyDescent="0.25">
      <c r="A490">
        <v>2020</v>
      </c>
      <c r="B490">
        <v>8</v>
      </c>
      <c r="C490" t="s">
        <v>295</v>
      </c>
      <c r="D490" t="s">
        <v>564</v>
      </c>
      <c r="E490" t="s">
        <v>565</v>
      </c>
      <c r="F490" t="s">
        <v>566</v>
      </c>
      <c r="G490" t="s">
        <v>567</v>
      </c>
      <c r="H490" t="s">
        <v>34</v>
      </c>
      <c r="I490" t="s">
        <v>34</v>
      </c>
      <c r="J490">
        <v>770989.3</v>
      </c>
      <c r="K490">
        <v>770989.3</v>
      </c>
      <c r="M490">
        <v>118240.74</v>
      </c>
      <c r="N490">
        <v>118240.74</v>
      </c>
      <c r="P490">
        <v>156668.98000000001</v>
      </c>
    </row>
    <row r="491" spans="1:25" x14ac:dyDescent="0.25">
      <c r="A491">
        <v>2020</v>
      </c>
      <c r="B491">
        <v>8</v>
      </c>
      <c r="C491" t="s">
        <v>298</v>
      </c>
      <c r="D491" t="s">
        <v>589</v>
      </c>
      <c r="E491" t="s">
        <v>590</v>
      </c>
      <c r="F491" t="s">
        <v>591</v>
      </c>
      <c r="G491" t="s">
        <v>592</v>
      </c>
      <c r="H491" t="s">
        <v>34</v>
      </c>
      <c r="I491" t="s">
        <v>34</v>
      </c>
      <c r="J491">
        <v>319768.65999999997</v>
      </c>
      <c r="K491">
        <v>319768.65999999997</v>
      </c>
      <c r="M491">
        <v>76011.63</v>
      </c>
      <c r="N491">
        <v>76011.63</v>
      </c>
      <c r="P491">
        <v>100715.41</v>
      </c>
    </row>
    <row r="492" spans="1:25" x14ac:dyDescent="0.25">
      <c r="A492">
        <v>2020</v>
      </c>
      <c r="B492">
        <v>8</v>
      </c>
      <c r="C492" t="s">
        <v>321</v>
      </c>
      <c r="D492" t="s">
        <v>568</v>
      </c>
      <c r="E492" t="s">
        <v>569</v>
      </c>
      <c r="F492" t="s">
        <v>570</v>
      </c>
      <c r="G492" t="s">
        <v>571</v>
      </c>
      <c r="H492" t="s">
        <v>34</v>
      </c>
      <c r="I492" t="s">
        <v>34</v>
      </c>
      <c r="J492">
        <v>853938.35</v>
      </c>
      <c r="K492">
        <v>853938.35</v>
      </c>
      <c r="M492">
        <v>124965.95</v>
      </c>
      <c r="N492">
        <v>124965.95</v>
      </c>
      <c r="P492">
        <v>165579.89000000001</v>
      </c>
    </row>
    <row r="493" spans="1:25" x14ac:dyDescent="0.25">
      <c r="A493">
        <v>2020</v>
      </c>
      <c r="B493">
        <v>8</v>
      </c>
      <c r="C493" t="s">
        <v>327</v>
      </c>
      <c r="D493" t="s">
        <v>328</v>
      </c>
      <c r="E493" t="s">
        <v>329</v>
      </c>
      <c r="F493" t="s">
        <v>572</v>
      </c>
      <c r="G493" t="s">
        <v>573</v>
      </c>
      <c r="H493" t="s">
        <v>34</v>
      </c>
      <c r="I493" t="s">
        <v>34</v>
      </c>
      <c r="J493">
        <v>89491.8</v>
      </c>
      <c r="K493">
        <v>89491.8</v>
      </c>
      <c r="M493">
        <v>17664.78</v>
      </c>
      <c r="N493">
        <v>17664.78</v>
      </c>
      <c r="P493">
        <v>23405.84</v>
      </c>
    </row>
    <row r="494" spans="1:25" x14ac:dyDescent="0.25">
      <c r="A494">
        <v>2020</v>
      </c>
      <c r="B494">
        <v>8</v>
      </c>
      <c r="C494" t="s">
        <v>330</v>
      </c>
      <c r="D494" t="s">
        <v>331</v>
      </c>
      <c r="E494" t="s">
        <v>332</v>
      </c>
      <c r="F494" t="s">
        <v>605</v>
      </c>
      <c r="G494" t="s">
        <v>606</v>
      </c>
      <c r="H494" t="s">
        <v>34</v>
      </c>
      <c r="I494" t="s">
        <v>34</v>
      </c>
      <c r="J494">
        <v>631.4</v>
      </c>
      <c r="K494">
        <v>631.4</v>
      </c>
      <c r="M494">
        <v>2.87</v>
      </c>
      <c r="N494">
        <v>2.87</v>
      </c>
      <c r="P494">
        <v>3.8</v>
      </c>
    </row>
    <row r="495" spans="1:25" x14ac:dyDescent="0.25">
      <c r="A495">
        <v>2020</v>
      </c>
      <c r="B495">
        <v>8</v>
      </c>
      <c r="C495" t="s">
        <v>330</v>
      </c>
      <c r="D495" t="s">
        <v>593</v>
      </c>
      <c r="E495" t="s">
        <v>594</v>
      </c>
      <c r="F495" t="s">
        <v>595</v>
      </c>
      <c r="G495" t="s">
        <v>596</v>
      </c>
      <c r="H495" t="s">
        <v>34</v>
      </c>
      <c r="I495" t="s">
        <v>34</v>
      </c>
      <c r="J495">
        <v>5161.09</v>
      </c>
      <c r="K495">
        <v>5161.09</v>
      </c>
      <c r="M495">
        <v>2631.74</v>
      </c>
      <c r="N495">
        <v>2631.74</v>
      </c>
      <c r="P495">
        <v>3487.05</v>
      </c>
    </row>
    <row r="496" spans="1:25" x14ac:dyDescent="0.25">
      <c r="A496">
        <v>2020</v>
      </c>
      <c r="B496">
        <v>8</v>
      </c>
      <c r="C496" t="s">
        <v>330</v>
      </c>
      <c r="D496" t="s">
        <v>601</v>
      </c>
      <c r="E496" t="s">
        <v>602</v>
      </c>
      <c r="F496" t="s">
        <v>603</v>
      </c>
      <c r="G496" t="s">
        <v>604</v>
      </c>
      <c r="H496" t="s">
        <v>34</v>
      </c>
      <c r="I496" t="s">
        <v>34</v>
      </c>
      <c r="J496">
        <v>2653.26</v>
      </c>
      <c r="K496">
        <v>2653.26</v>
      </c>
      <c r="M496">
        <v>1660.06</v>
      </c>
      <c r="N496">
        <v>1660.06</v>
      </c>
      <c r="P496">
        <v>2199.58</v>
      </c>
    </row>
    <row r="497" spans="1:25" x14ac:dyDescent="0.25">
      <c r="A497">
        <v>2020</v>
      </c>
      <c r="B497">
        <v>8</v>
      </c>
      <c r="C497" t="s">
        <v>330</v>
      </c>
      <c r="D497" t="s">
        <v>597</v>
      </c>
      <c r="E497" t="s">
        <v>598</v>
      </c>
      <c r="F497" t="s">
        <v>599</v>
      </c>
      <c r="G497" t="s">
        <v>600</v>
      </c>
      <c r="H497" t="s">
        <v>34</v>
      </c>
      <c r="I497" t="s">
        <v>34</v>
      </c>
      <c r="J497">
        <v>3235.83</v>
      </c>
      <c r="K497">
        <v>3235.83</v>
      </c>
      <c r="M497">
        <v>1961.98</v>
      </c>
      <c r="N497">
        <v>1961.98</v>
      </c>
      <c r="P497">
        <v>2599.63</v>
      </c>
    </row>
    <row r="498" spans="1:25" x14ac:dyDescent="0.25">
      <c r="A498">
        <v>2020</v>
      </c>
      <c r="B498">
        <v>8</v>
      </c>
      <c r="C498" t="s">
        <v>340</v>
      </c>
      <c r="D498" t="s">
        <v>574</v>
      </c>
      <c r="E498" t="s">
        <v>575</v>
      </c>
      <c r="F498" t="s">
        <v>576</v>
      </c>
      <c r="G498" t="s">
        <v>577</v>
      </c>
      <c r="H498" t="s">
        <v>34</v>
      </c>
      <c r="I498" t="s">
        <v>34</v>
      </c>
      <c r="J498">
        <v>897014.69</v>
      </c>
      <c r="K498">
        <v>897014.69</v>
      </c>
      <c r="M498">
        <v>146985.78</v>
      </c>
      <c r="N498">
        <v>146985.78</v>
      </c>
      <c r="P498">
        <v>194756.16</v>
      </c>
    </row>
    <row r="499" spans="1:25" x14ac:dyDescent="0.25">
      <c r="A499">
        <v>2020</v>
      </c>
      <c r="B499">
        <v>8</v>
      </c>
      <c r="C499" t="s">
        <v>355</v>
      </c>
      <c r="D499" t="s">
        <v>356</v>
      </c>
      <c r="E499" t="s">
        <v>357</v>
      </c>
      <c r="F499" t="s">
        <v>578</v>
      </c>
      <c r="G499" t="s">
        <v>579</v>
      </c>
      <c r="H499" t="s">
        <v>34</v>
      </c>
      <c r="I499" t="s">
        <v>34</v>
      </c>
      <c r="J499">
        <v>0.49</v>
      </c>
      <c r="K499">
        <v>0.49</v>
      </c>
      <c r="M499">
        <v>0</v>
      </c>
    </row>
    <row r="500" spans="1:25" x14ac:dyDescent="0.25">
      <c r="A500">
        <v>2020</v>
      </c>
      <c r="B500">
        <v>8</v>
      </c>
      <c r="C500" t="s">
        <v>289</v>
      </c>
      <c r="D500" t="s">
        <v>607</v>
      </c>
      <c r="E500" t="s">
        <v>608</v>
      </c>
      <c r="F500" t="s">
        <v>609</v>
      </c>
      <c r="G500" t="s">
        <v>610</v>
      </c>
      <c r="H500" t="s">
        <v>34</v>
      </c>
      <c r="I500" t="s">
        <v>34</v>
      </c>
      <c r="J500">
        <v>29801.64</v>
      </c>
      <c r="K500">
        <v>29801.64</v>
      </c>
      <c r="M500">
        <v>12514.36</v>
      </c>
      <c r="N500">
        <v>12514.36</v>
      </c>
      <c r="P500">
        <v>16581.53</v>
      </c>
    </row>
    <row r="501" spans="1:25" x14ac:dyDescent="0.25">
      <c r="A501">
        <v>2020</v>
      </c>
      <c r="B501">
        <v>8</v>
      </c>
      <c r="C501" t="s">
        <v>289</v>
      </c>
      <c r="D501" t="s">
        <v>611</v>
      </c>
      <c r="E501" t="s">
        <v>615</v>
      </c>
      <c r="F501" t="s">
        <v>613</v>
      </c>
      <c r="G501" t="s">
        <v>616</v>
      </c>
      <c r="H501" t="s">
        <v>34</v>
      </c>
      <c r="I501" t="s">
        <v>34</v>
      </c>
      <c r="J501">
        <v>22548.46</v>
      </c>
      <c r="K501">
        <v>22548.46</v>
      </c>
      <c r="M501">
        <v>8159.2</v>
      </c>
      <c r="N501">
        <v>8159.2</v>
      </c>
      <c r="P501">
        <v>10810.94</v>
      </c>
    </row>
    <row r="502" spans="1:25" x14ac:dyDescent="0.25">
      <c r="A502">
        <v>2020</v>
      </c>
      <c r="B502">
        <v>9</v>
      </c>
      <c r="C502" t="s">
        <v>168</v>
      </c>
      <c r="D502" t="s">
        <v>292</v>
      </c>
      <c r="E502" t="s">
        <v>293</v>
      </c>
      <c r="F502" t="s">
        <v>408</v>
      </c>
      <c r="G502" t="s">
        <v>409</v>
      </c>
      <c r="H502" t="s">
        <v>34</v>
      </c>
      <c r="I502" t="s">
        <v>23</v>
      </c>
      <c r="J502">
        <v>741344.72</v>
      </c>
      <c r="K502">
        <v>236698.95</v>
      </c>
      <c r="L502">
        <v>504645.77</v>
      </c>
      <c r="M502">
        <v>114160.99</v>
      </c>
      <c r="N502">
        <v>38329.79</v>
      </c>
      <c r="O502">
        <v>75831.199999999997</v>
      </c>
      <c r="P502">
        <v>50786.97</v>
      </c>
      <c r="Q502">
        <v>808145979.5</v>
      </c>
      <c r="R502">
        <v>866459652.79999995</v>
      </c>
      <c r="S502">
        <v>5.2999999999999999E-2</v>
      </c>
      <c r="T502">
        <v>3</v>
      </c>
      <c r="U502">
        <v>2.75E-2</v>
      </c>
      <c r="V502">
        <v>0.08</v>
      </c>
      <c r="X502">
        <v>100476.34</v>
      </c>
      <c r="Y502">
        <v>7.4999999999999997E-3</v>
      </c>
    </row>
    <row r="503" spans="1:25" x14ac:dyDescent="0.25">
      <c r="A503">
        <v>2020</v>
      </c>
      <c r="B503">
        <v>9</v>
      </c>
      <c r="C503" t="s">
        <v>168</v>
      </c>
      <c r="D503" t="s">
        <v>412</v>
      </c>
      <c r="E503" t="s">
        <v>413</v>
      </c>
      <c r="F503" t="s">
        <v>414</v>
      </c>
      <c r="G503" t="s">
        <v>415</v>
      </c>
      <c r="H503" t="s">
        <v>34</v>
      </c>
      <c r="I503" t="s">
        <v>23</v>
      </c>
      <c r="J503">
        <v>214747.9</v>
      </c>
      <c r="K503">
        <v>45423.13</v>
      </c>
      <c r="L503">
        <v>169324.77</v>
      </c>
      <c r="M503">
        <v>29006.799999999999</v>
      </c>
      <c r="N503">
        <v>5751.7</v>
      </c>
      <c r="O503">
        <v>23255.1</v>
      </c>
      <c r="P503">
        <v>7621</v>
      </c>
      <c r="Q503">
        <v>239752804.69999999</v>
      </c>
      <c r="R503">
        <v>273797258.10000002</v>
      </c>
      <c r="S503">
        <v>5.2999999999999999E-2</v>
      </c>
      <c r="T503" t="s">
        <v>24</v>
      </c>
      <c r="U503">
        <v>3.5000000000000003E-2</v>
      </c>
      <c r="V503">
        <v>0.08</v>
      </c>
      <c r="X503">
        <v>30813</v>
      </c>
    </row>
    <row r="504" spans="1:25" x14ac:dyDescent="0.25">
      <c r="A504">
        <v>2020</v>
      </c>
      <c r="B504">
        <v>9</v>
      </c>
      <c r="C504" t="s">
        <v>168</v>
      </c>
      <c r="D504" t="s">
        <v>404</v>
      </c>
      <c r="E504" t="s">
        <v>405</v>
      </c>
      <c r="F504" t="s">
        <v>406</v>
      </c>
      <c r="G504" t="s">
        <v>407</v>
      </c>
      <c r="H504" t="s">
        <v>34</v>
      </c>
      <c r="I504" t="s">
        <v>23</v>
      </c>
      <c r="J504">
        <v>685326.33</v>
      </c>
      <c r="K504">
        <v>214311.78</v>
      </c>
      <c r="L504">
        <v>471014.55</v>
      </c>
      <c r="M504">
        <v>98055.58</v>
      </c>
      <c r="N504">
        <v>34854.65</v>
      </c>
      <c r="O504">
        <v>63200.93</v>
      </c>
      <c r="P504">
        <v>46182.41</v>
      </c>
      <c r="Q504">
        <v>687314657.89999998</v>
      </c>
      <c r="R504">
        <v>708372608.79999995</v>
      </c>
      <c r="S504">
        <v>5.2999999999999999E-2</v>
      </c>
      <c r="T504">
        <v>3</v>
      </c>
      <c r="U504">
        <v>2.75E-2</v>
      </c>
      <c r="V504">
        <v>0.08</v>
      </c>
      <c r="X504">
        <v>83741.240000000005</v>
      </c>
      <c r="Y504">
        <v>7.4999999999999997E-3</v>
      </c>
    </row>
    <row r="505" spans="1:25" x14ac:dyDescent="0.25">
      <c r="A505">
        <v>2020</v>
      </c>
      <c r="B505">
        <v>9</v>
      </c>
      <c r="C505" t="s">
        <v>168</v>
      </c>
      <c r="D505" t="s">
        <v>292</v>
      </c>
      <c r="E505" t="s">
        <v>293</v>
      </c>
      <c r="F505" t="s">
        <v>410</v>
      </c>
      <c r="G505" t="s">
        <v>411</v>
      </c>
      <c r="H505" t="s">
        <v>34</v>
      </c>
      <c r="I505" t="s">
        <v>23</v>
      </c>
      <c r="J505">
        <v>698177.95</v>
      </c>
      <c r="K505">
        <v>9978.4500000000007</v>
      </c>
      <c r="L505">
        <v>688199.5</v>
      </c>
      <c r="M505">
        <v>88007.32</v>
      </c>
      <c r="N505">
        <v>1161.78</v>
      </c>
      <c r="O505">
        <v>86845.54</v>
      </c>
      <c r="P505">
        <v>1539.36</v>
      </c>
      <c r="Q505">
        <v>1880455433</v>
      </c>
      <c r="R505">
        <v>1955222635</v>
      </c>
      <c r="S505">
        <v>5.2999999999999999E-2</v>
      </c>
      <c r="T505">
        <v>3</v>
      </c>
      <c r="U505">
        <v>2.75E-2</v>
      </c>
      <c r="V505">
        <v>0.04</v>
      </c>
      <c r="X505">
        <v>115070.34</v>
      </c>
      <c r="Y505">
        <v>7.4999999999999997E-3</v>
      </c>
    </row>
    <row r="506" spans="1:25" x14ac:dyDescent="0.25">
      <c r="A506">
        <v>2020</v>
      </c>
      <c r="B506">
        <v>9</v>
      </c>
      <c r="C506" t="s">
        <v>295</v>
      </c>
      <c r="D506" t="s">
        <v>296</v>
      </c>
      <c r="E506" t="s">
        <v>297</v>
      </c>
      <c r="F506" t="s">
        <v>416</v>
      </c>
      <c r="G506" t="s">
        <v>417</v>
      </c>
      <c r="H506" t="s">
        <v>34</v>
      </c>
      <c r="I506" t="s">
        <v>23</v>
      </c>
      <c r="J506">
        <v>1930042.56</v>
      </c>
      <c r="K506">
        <v>1013287.33</v>
      </c>
      <c r="L506">
        <v>916755.23</v>
      </c>
      <c r="M506">
        <v>248683.54</v>
      </c>
      <c r="N506">
        <v>126729.53</v>
      </c>
      <c r="O506">
        <v>121954.01</v>
      </c>
      <c r="P506">
        <v>167916.63</v>
      </c>
      <c r="Q506">
        <v>1327235054</v>
      </c>
      <c r="R506">
        <v>1365916057</v>
      </c>
      <c r="S506">
        <v>5.2999999999999999E-2</v>
      </c>
      <c r="T506" t="s">
        <v>24</v>
      </c>
      <c r="U506">
        <v>3.5000000000000003E-2</v>
      </c>
      <c r="V506">
        <v>0.08</v>
      </c>
      <c r="X506">
        <v>161589.07</v>
      </c>
    </row>
    <row r="507" spans="1:25" x14ac:dyDescent="0.25">
      <c r="A507">
        <v>2020</v>
      </c>
      <c r="B507">
        <v>9</v>
      </c>
      <c r="C507" t="s">
        <v>298</v>
      </c>
      <c r="D507" t="s">
        <v>299</v>
      </c>
      <c r="E507" t="s">
        <v>300</v>
      </c>
      <c r="F507" t="s">
        <v>587</v>
      </c>
      <c r="G507" t="s">
        <v>588</v>
      </c>
      <c r="H507" t="s">
        <v>34</v>
      </c>
      <c r="I507" t="s">
        <v>23</v>
      </c>
      <c r="J507">
        <v>1079161.24</v>
      </c>
      <c r="K507">
        <v>460766.54</v>
      </c>
      <c r="L507">
        <v>618394.71</v>
      </c>
      <c r="M507">
        <v>203573.5</v>
      </c>
      <c r="N507">
        <v>91948.01</v>
      </c>
      <c r="O507">
        <v>111625.49</v>
      </c>
      <c r="P507">
        <v>121831.11</v>
      </c>
      <c r="Q507">
        <v>1218187214</v>
      </c>
      <c r="R507">
        <v>1246875781</v>
      </c>
      <c r="S507">
        <v>5.2999999999999999E-2</v>
      </c>
      <c r="T507">
        <v>3</v>
      </c>
      <c r="U507">
        <v>2.75E-2</v>
      </c>
      <c r="V507">
        <v>0.08</v>
      </c>
      <c r="X507">
        <v>147903.78</v>
      </c>
      <c r="Y507">
        <v>7.4999999999999997E-3</v>
      </c>
    </row>
    <row r="508" spans="1:25" x14ac:dyDescent="0.25">
      <c r="A508">
        <v>2020</v>
      </c>
      <c r="B508">
        <v>9</v>
      </c>
      <c r="C508" t="s">
        <v>302</v>
      </c>
      <c r="D508" t="s">
        <v>303</v>
      </c>
      <c r="E508" t="s">
        <v>304</v>
      </c>
      <c r="F508" t="s">
        <v>422</v>
      </c>
      <c r="G508" t="s">
        <v>423</v>
      </c>
      <c r="H508" t="s">
        <v>34</v>
      </c>
      <c r="I508" t="s">
        <v>23</v>
      </c>
      <c r="J508">
        <v>866599.17</v>
      </c>
      <c r="K508">
        <v>374462.1</v>
      </c>
      <c r="L508">
        <v>492137.08</v>
      </c>
      <c r="M508">
        <v>130254.99</v>
      </c>
      <c r="N508">
        <v>63287.25</v>
      </c>
      <c r="O508">
        <v>66967.73</v>
      </c>
      <c r="P508">
        <v>83855.61</v>
      </c>
      <c r="Q508">
        <v>743531109.29999995</v>
      </c>
      <c r="R508">
        <v>735339698.20000005</v>
      </c>
      <c r="S508">
        <v>5.2999999999999999E-2</v>
      </c>
      <c r="T508" t="s">
        <v>24</v>
      </c>
      <c r="U508">
        <v>3.5000000000000003E-2</v>
      </c>
      <c r="V508">
        <v>0.08</v>
      </c>
      <c r="X508">
        <v>88732.25</v>
      </c>
    </row>
    <row r="509" spans="1:25" x14ac:dyDescent="0.25">
      <c r="A509">
        <v>2020</v>
      </c>
      <c r="B509">
        <v>9</v>
      </c>
      <c r="C509" t="s">
        <v>302</v>
      </c>
      <c r="D509" t="s">
        <v>418</v>
      </c>
      <c r="E509" t="s">
        <v>419</v>
      </c>
      <c r="F509" t="s">
        <v>420</v>
      </c>
      <c r="G509" t="s">
        <v>421</v>
      </c>
      <c r="H509" t="s">
        <v>34</v>
      </c>
      <c r="I509" t="s">
        <v>23</v>
      </c>
      <c r="J509">
        <v>804044.87</v>
      </c>
      <c r="K509">
        <v>326778.90999999997</v>
      </c>
      <c r="L509">
        <v>477265.97</v>
      </c>
      <c r="M509">
        <v>123185.74</v>
      </c>
      <c r="N509">
        <v>59552.32</v>
      </c>
      <c r="O509">
        <v>63633.42</v>
      </c>
      <c r="P509">
        <v>78906.83</v>
      </c>
      <c r="Q509">
        <v>706597111.60000002</v>
      </c>
      <c r="R509">
        <v>698640861.60000002</v>
      </c>
      <c r="S509">
        <v>5.2999999999999999E-2</v>
      </c>
      <c r="T509">
        <v>3</v>
      </c>
      <c r="U509">
        <v>2.75E-2</v>
      </c>
      <c r="V509">
        <v>0.08</v>
      </c>
      <c r="X509">
        <v>84314.28</v>
      </c>
      <c r="Y509">
        <v>7.4999999999999997E-3</v>
      </c>
    </row>
    <row r="510" spans="1:25" x14ac:dyDescent="0.25">
      <c r="A510">
        <v>2020</v>
      </c>
      <c r="B510">
        <v>9</v>
      </c>
      <c r="C510" t="s">
        <v>305</v>
      </c>
      <c r="D510" t="s">
        <v>426</v>
      </c>
      <c r="E510" t="s">
        <v>427</v>
      </c>
      <c r="F510" t="s">
        <v>428</v>
      </c>
      <c r="G510" t="s">
        <v>429</v>
      </c>
      <c r="H510" t="s">
        <v>34</v>
      </c>
      <c r="I510" t="s">
        <v>23</v>
      </c>
      <c r="J510">
        <v>874154.13</v>
      </c>
      <c r="K510">
        <v>301305.09999999998</v>
      </c>
      <c r="L510">
        <v>572849.02</v>
      </c>
      <c r="M510">
        <v>141341.84</v>
      </c>
      <c r="N510">
        <v>58723.15</v>
      </c>
      <c r="O510">
        <v>82618.69</v>
      </c>
      <c r="P510">
        <v>77808.179999999993</v>
      </c>
      <c r="Q510">
        <v>882040938.10000002</v>
      </c>
      <c r="R510">
        <v>942455132.20000005</v>
      </c>
      <c r="S510">
        <v>5.2999999999999999E-2</v>
      </c>
      <c r="T510">
        <v>3</v>
      </c>
      <c r="U510">
        <v>2.75E-2</v>
      </c>
      <c r="V510">
        <v>0.08</v>
      </c>
      <c r="X510">
        <v>109469.75999999999</v>
      </c>
      <c r="Y510">
        <v>7.4999999999999997E-3</v>
      </c>
    </row>
    <row r="511" spans="1:25" x14ac:dyDescent="0.25">
      <c r="A511">
        <v>2020</v>
      </c>
      <c r="B511">
        <v>9</v>
      </c>
      <c r="C511" t="s">
        <v>305</v>
      </c>
      <c r="D511" t="s">
        <v>306</v>
      </c>
      <c r="E511" t="s">
        <v>307</v>
      </c>
      <c r="F511" t="s">
        <v>424</v>
      </c>
      <c r="G511" t="s">
        <v>425</v>
      </c>
      <c r="H511" t="s">
        <v>34</v>
      </c>
      <c r="I511" t="s">
        <v>23</v>
      </c>
      <c r="J511">
        <v>875120.56</v>
      </c>
      <c r="K511">
        <v>302024.46999999997</v>
      </c>
      <c r="L511">
        <v>573096.09</v>
      </c>
      <c r="M511">
        <v>141405.82</v>
      </c>
      <c r="N511">
        <v>58825.42</v>
      </c>
      <c r="O511">
        <v>82580.41</v>
      </c>
      <c r="P511">
        <v>77943.679999999993</v>
      </c>
      <c r="Q511">
        <v>881913333.79999995</v>
      </c>
      <c r="R511">
        <v>941737300.10000002</v>
      </c>
      <c r="S511">
        <v>5.2999999999999999E-2</v>
      </c>
      <c r="T511">
        <v>3</v>
      </c>
      <c r="U511">
        <v>2.75E-2</v>
      </c>
      <c r="V511">
        <v>0.08</v>
      </c>
      <c r="X511">
        <v>109419.04</v>
      </c>
      <c r="Y511">
        <v>7.4999999999999997E-3</v>
      </c>
    </row>
    <row r="512" spans="1:25" x14ac:dyDescent="0.25">
      <c r="A512">
        <v>2020</v>
      </c>
      <c r="B512">
        <v>9</v>
      </c>
      <c r="C512" t="s">
        <v>308</v>
      </c>
      <c r="D512" t="s">
        <v>309</v>
      </c>
      <c r="E512" t="s">
        <v>310</v>
      </c>
      <c r="F512" t="s">
        <v>430</v>
      </c>
      <c r="G512" t="s">
        <v>431</v>
      </c>
      <c r="H512" t="s">
        <v>34</v>
      </c>
      <c r="I512" t="s">
        <v>23</v>
      </c>
      <c r="J512">
        <v>2227039.25</v>
      </c>
      <c r="K512">
        <v>821471.83</v>
      </c>
      <c r="L512">
        <v>1405567.42</v>
      </c>
      <c r="M512">
        <v>266313.17</v>
      </c>
      <c r="N512">
        <v>105654.23</v>
      </c>
      <c r="O512">
        <v>160658.93</v>
      </c>
      <c r="P512">
        <v>139991.85999999999</v>
      </c>
      <c r="Q512">
        <v>1779820729</v>
      </c>
      <c r="R512">
        <v>1768064060</v>
      </c>
      <c r="S512">
        <v>5.2999999999999999E-2</v>
      </c>
      <c r="T512" t="s">
        <v>24</v>
      </c>
      <c r="U512">
        <v>3.5000000000000003E-2</v>
      </c>
      <c r="V512">
        <v>0.08</v>
      </c>
      <c r="X512">
        <v>212873.09</v>
      </c>
    </row>
    <row r="513" spans="1:25" x14ac:dyDescent="0.25">
      <c r="A513">
        <v>2020</v>
      </c>
      <c r="B513">
        <v>9</v>
      </c>
      <c r="C513" t="s">
        <v>308</v>
      </c>
      <c r="D513" t="s">
        <v>432</v>
      </c>
      <c r="E513" t="s">
        <v>433</v>
      </c>
      <c r="F513" t="s">
        <v>434</v>
      </c>
      <c r="G513" t="s">
        <v>435</v>
      </c>
      <c r="H513" t="s">
        <v>34</v>
      </c>
      <c r="I513" t="s">
        <v>23</v>
      </c>
      <c r="J513">
        <v>983863.23</v>
      </c>
      <c r="K513">
        <v>316346.83</v>
      </c>
      <c r="L513">
        <v>667516.4</v>
      </c>
      <c r="M513">
        <v>143983.99</v>
      </c>
      <c r="N513">
        <v>54315.09</v>
      </c>
      <c r="O513">
        <v>89668.91</v>
      </c>
      <c r="P513">
        <v>71967.490000000005</v>
      </c>
      <c r="Q513">
        <v>974631134.20000005</v>
      </c>
      <c r="R513">
        <v>1005557193</v>
      </c>
      <c r="S513">
        <v>5.2999999999999999E-2</v>
      </c>
      <c r="T513">
        <v>3</v>
      </c>
      <c r="U513">
        <v>2.75E-2</v>
      </c>
      <c r="V513">
        <v>0.08</v>
      </c>
      <c r="X513">
        <v>118811.3</v>
      </c>
      <c r="Y513">
        <v>7.4999999999999997E-3</v>
      </c>
    </row>
    <row r="514" spans="1:25" x14ac:dyDescent="0.25">
      <c r="A514">
        <v>2020</v>
      </c>
      <c r="B514">
        <v>9</v>
      </c>
      <c r="C514" t="s">
        <v>311</v>
      </c>
      <c r="D514" t="s">
        <v>312</v>
      </c>
      <c r="E514" t="s">
        <v>313</v>
      </c>
      <c r="F514" t="s">
        <v>436</v>
      </c>
      <c r="G514" t="s">
        <v>437</v>
      </c>
      <c r="H514" t="s">
        <v>34</v>
      </c>
      <c r="I514" t="s">
        <v>23</v>
      </c>
      <c r="J514">
        <v>765147.99</v>
      </c>
      <c r="K514">
        <v>225672.7</v>
      </c>
      <c r="L514">
        <v>539475.29</v>
      </c>
      <c r="M514">
        <v>122892.43</v>
      </c>
      <c r="N514">
        <v>46361.42</v>
      </c>
      <c r="O514">
        <v>76531.02</v>
      </c>
      <c r="P514">
        <v>61428.88</v>
      </c>
      <c r="Q514">
        <v>977628378</v>
      </c>
      <c r="R514">
        <v>985021855.70000005</v>
      </c>
      <c r="S514">
        <v>5.2999999999999999E-2</v>
      </c>
      <c r="T514">
        <v>3</v>
      </c>
      <c r="U514">
        <v>2.75E-2</v>
      </c>
      <c r="V514">
        <v>0.08</v>
      </c>
      <c r="X514">
        <v>101403.6</v>
      </c>
      <c r="Y514">
        <v>0.01</v>
      </c>
    </row>
    <row r="515" spans="1:25" x14ac:dyDescent="0.25">
      <c r="A515">
        <v>2020</v>
      </c>
      <c r="B515">
        <v>9</v>
      </c>
      <c r="C515" t="s">
        <v>311</v>
      </c>
      <c r="D515" t="s">
        <v>438</v>
      </c>
      <c r="E515" t="s">
        <v>439</v>
      </c>
      <c r="F515" t="s">
        <v>440</v>
      </c>
      <c r="G515" t="s">
        <v>441</v>
      </c>
      <c r="H515" t="s">
        <v>34</v>
      </c>
      <c r="I515" t="s">
        <v>23</v>
      </c>
      <c r="J515">
        <v>954447.27</v>
      </c>
      <c r="K515">
        <v>208654.04</v>
      </c>
      <c r="L515">
        <v>745793.23</v>
      </c>
      <c r="M515">
        <v>132406.89000000001</v>
      </c>
      <c r="N515">
        <v>32848.480000000003</v>
      </c>
      <c r="O515">
        <v>99558.41</v>
      </c>
      <c r="P515">
        <v>43524.23</v>
      </c>
      <c r="Q515">
        <v>763796529.29999995</v>
      </c>
      <c r="R515">
        <v>788143437.89999998</v>
      </c>
      <c r="S515">
        <v>5.2999999999999999E-2</v>
      </c>
      <c r="T515">
        <v>3</v>
      </c>
      <c r="U515">
        <v>2.75E-2</v>
      </c>
      <c r="V515">
        <v>0.08</v>
      </c>
      <c r="X515">
        <v>131914.9</v>
      </c>
    </row>
    <row r="516" spans="1:25" x14ac:dyDescent="0.25">
      <c r="A516">
        <v>2020</v>
      </c>
      <c r="B516">
        <v>9</v>
      </c>
      <c r="C516" t="s">
        <v>315</v>
      </c>
      <c r="D516" t="s">
        <v>316</v>
      </c>
      <c r="E516" t="s">
        <v>317</v>
      </c>
      <c r="F516" t="s">
        <v>442</v>
      </c>
      <c r="G516" t="s">
        <v>443</v>
      </c>
      <c r="H516" t="s">
        <v>34</v>
      </c>
      <c r="I516" t="s">
        <v>23</v>
      </c>
      <c r="J516">
        <v>2592938.2400000002</v>
      </c>
      <c r="K516">
        <v>1039546.96</v>
      </c>
      <c r="L516">
        <v>1553391.28</v>
      </c>
      <c r="M516">
        <v>363858.66</v>
      </c>
      <c r="N516">
        <v>139883.16</v>
      </c>
      <c r="O516">
        <v>223975.5</v>
      </c>
      <c r="P516">
        <v>185345.19</v>
      </c>
      <c r="Q516">
        <v>1370642411</v>
      </c>
      <c r="R516">
        <v>1422463794</v>
      </c>
      <c r="S516">
        <v>5.2999999999999999E-2</v>
      </c>
      <c r="T516">
        <v>3</v>
      </c>
      <c r="U516">
        <v>2.75E-2</v>
      </c>
      <c r="V516">
        <v>0.1</v>
      </c>
      <c r="X516">
        <v>296767.53000000003</v>
      </c>
    </row>
    <row r="517" spans="1:25" x14ac:dyDescent="0.25">
      <c r="A517">
        <v>2020</v>
      </c>
      <c r="B517">
        <v>9</v>
      </c>
      <c r="C517" t="s">
        <v>315</v>
      </c>
      <c r="D517" t="s">
        <v>444</v>
      </c>
      <c r="E517" t="s">
        <v>445</v>
      </c>
      <c r="F517" t="s">
        <v>446</v>
      </c>
      <c r="G517" t="s">
        <v>447</v>
      </c>
      <c r="H517" t="s">
        <v>34</v>
      </c>
      <c r="I517" t="s">
        <v>23</v>
      </c>
      <c r="J517">
        <v>3525229.2</v>
      </c>
      <c r="K517">
        <v>964842.61</v>
      </c>
      <c r="L517">
        <v>2560386.58</v>
      </c>
      <c r="M517">
        <v>530494.98</v>
      </c>
      <c r="N517">
        <v>147409.51999999999</v>
      </c>
      <c r="O517">
        <v>383085.46</v>
      </c>
      <c r="P517">
        <v>195317.62</v>
      </c>
      <c r="Q517">
        <v>1586644978</v>
      </c>
      <c r="R517">
        <v>1619175415</v>
      </c>
      <c r="S517">
        <v>5.2999999999999999E-2</v>
      </c>
      <c r="T517">
        <v>1</v>
      </c>
      <c r="U517">
        <v>1.4999999999999999E-2</v>
      </c>
      <c r="V517">
        <v>0.1</v>
      </c>
      <c r="X517">
        <v>507588.23</v>
      </c>
    </row>
    <row r="518" spans="1:25" x14ac:dyDescent="0.25">
      <c r="A518">
        <v>2020</v>
      </c>
      <c r="B518">
        <v>9</v>
      </c>
      <c r="C518" t="s">
        <v>318</v>
      </c>
      <c r="D518" t="s">
        <v>454</v>
      </c>
      <c r="E518" t="s">
        <v>455</v>
      </c>
      <c r="F518" t="s">
        <v>456</v>
      </c>
      <c r="G518" t="s">
        <v>457</v>
      </c>
      <c r="H518" t="s">
        <v>34</v>
      </c>
      <c r="I518" t="s">
        <v>23</v>
      </c>
      <c r="J518">
        <v>135794.60999999999</v>
      </c>
      <c r="K518">
        <v>20672.189999999999</v>
      </c>
      <c r="L518">
        <v>115122.42</v>
      </c>
      <c r="M518">
        <v>20837.54</v>
      </c>
      <c r="N518">
        <v>3725.15</v>
      </c>
      <c r="O518">
        <v>17112.400000000001</v>
      </c>
      <c r="P518">
        <v>4935.82</v>
      </c>
      <c r="Q518">
        <v>183619572.19999999</v>
      </c>
      <c r="R518">
        <v>194279173.30000001</v>
      </c>
      <c r="S518">
        <v>5.2999999999999999E-2</v>
      </c>
      <c r="T518">
        <v>3</v>
      </c>
      <c r="U518">
        <v>2.75E-2</v>
      </c>
      <c r="V518">
        <v>0.08</v>
      </c>
      <c r="X518">
        <v>22673.919999999998</v>
      </c>
      <c r="Y518">
        <v>7.4999999999999997E-3</v>
      </c>
    </row>
    <row r="519" spans="1:25" x14ac:dyDescent="0.25">
      <c r="A519">
        <v>2020</v>
      </c>
      <c r="B519">
        <v>9</v>
      </c>
      <c r="C519" t="s">
        <v>318</v>
      </c>
      <c r="D519" t="s">
        <v>319</v>
      </c>
      <c r="E519" t="s">
        <v>320</v>
      </c>
      <c r="F519" t="s">
        <v>452</v>
      </c>
      <c r="G519" t="s">
        <v>453</v>
      </c>
      <c r="H519" t="s">
        <v>34</v>
      </c>
      <c r="I519" t="s">
        <v>23</v>
      </c>
      <c r="J519">
        <v>370886.19</v>
      </c>
      <c r="K519">
        <v>95566.67</v>
      </c>
      <c r="L519">
        <v>275319.52</v>
      </c>
      <c r="M519">
        <v>56343.17</v>
      </c>
      <c r="N519">
        <v>20585.560000000001</v>
      </c>
      <c r="O519">
        <v>35757.61</v>
      </c>
      <c r="P519">
        <v>27275.87</v>
      </c>
      <c r="Q519">
        <v>387664295.10000002</v>
      </c>
      <c r="R519">
        <v>401982845.69999999</v>
      </c>
      <c r="S519">
        <v>5.2999999999999999E-2</v>
      </c>
      <c r="T519">
        <v>3</v>
      </c>
      <c r="U519">
        <v>2.75E-2</v>
      </c>
      <c r="V519">
        <v>0.08</v>
      </c>
      <c r="X519">
        <v>47378.83</v>
      </c>
      <c r="Y519">
        <v>7.4999999999999997E-3</v>
      </c>
    </row>
    <row r="520" spans="1:25" x14ac:dyDescent="0.25">
      <c r="A520">
        <v>2020</v>
      </c>
      <c r="B520">
        <v>9</v>
      </c>
      <c r="C520" t="s">
        <v>318</v>
      </c>
      <c r="D520" t="s">
        <v>448</v>
      </c>
      <c r="E520" t="s">
        <v>449</v>
      </c>
      <c r="F520" t="s">
        <v>450</v>
      </c>
      <c r="G520" t="s">
        <v>451</v>
      </c>
      <c r="H520" t="s">
        <v>34</v>
      </c>
      <c r="I520" t="s">
        <v>23</v>
      </c>
      <c r="J520">
        <v>186378.99</v>
      </c>
      <c r="K520">
        <v>42410.34</v>
      </c>
      <c r="L520">
        <v>143968.65</v>
      </c>
      <c r="M520">
        <v>27149.040000000001</v>
      </c>
      <c r="N520">
        <v>6761</v>
      </c>
      <c r="O520">
        <v>20388.05</v>
      </c>
      <c r="P520">
        <v>8958.32</v>
      </c>
      <c r="Q520">
        <v>225491278.09999999</v>
      </c>
      <c r="R520">
        <v>224744717.40000001</v>
      </c>
      <c r="S520">
        <v>5.2999999999999999E-2</v>
      </c>
      <c r="T520" t="s">
        <v>24</v>
      </c>
      <c r="U520">
        <v>3.5000000000000003E-2</v>
      </c>
      <c r="V520">
        <v>0.08</v>
      </c>
      <c r="X520">
        <v>27014.16</v>
      </c>
    </row>
    <row r="521" spans="1:25" x14ac:dyDescent="0.25">
      <c r="A521">
        <v>2020</v>
      </c>
      <c r="B521">
        <v>9</v>
      </c>
      <c r="C521" t="s">
        <v>321</v>
      </c>
      <c r="D521" t="s">
        <v>322</v>
      </c>
      <c r="E521" t="s">
        <v>323</v>
      </c>
      <c r="F521" t="s">
        <v>458</v>
      </c>
      <c r="G521" t="s">
        <v>459</v>
      </c>
      <c r="H521" t="s">
        <v>34</v>
      </c>
      <c r="I521" t="s">
        <v>23</v>
      </c>
      <c r="J521">
        <v>2671811.2400000002</v>
      </c>
      <c r="K521">
        <v>1399997.27</v>
      </c>
      <c r="L521">
        <v>1271813.98</v>
      </c>
      <c r="M521">
        <v>337600.91</v>
      </c>
      <c r="N521">
        <v>170467.83</v>
      </c>
      <c r="O521">
        <v>167133.07999999999</v>
      </c>
      <c r="P521">
        <v>225869.87</v>
      </c>
      <c r="Q521">
        <v>1814353912</v>
      </c>
      <c r="R521">
        <v>1876501642</v>
      </c>
      <c r="S521">
        <v>5.2999999999999999E-2</v>
      </c>
      <c r="T521" t="s">
        <v>24</v>
      </c>
      <c r="U521">
        <v>3.5000000000000003E-2</v>
      </c>
      <c r="V521">
        <v>0.08</v>
      </c>
      <c r="X521">
        <v>221451.33</v>
      </c>
    </row>
    <row r="522" spans="1:25" x14ac:dyDescent="0.25">
      <c r="A522">
        <v>2020</v>
      </c>
      <c r="B522">
        <v>9</v>
      </c>
      <c r="C522" t="s">
        <v>324</v>
      </c>
      <c r="D522" t="s">
        <v>325</v>
      </c>
      <c r="E522" t="s">
        <v>326</v>
      </c>
      <c r="F522" t="s">
        <v>460</v>
      </c>
      <c r="G522" t="s">
        <v>461</v>
      </c>
      <c r="H522" t="s">
        <v>34</v>
      </c>
      <c r="I522" t="s">
        <v>23</v>
      </c>
      <c r="J522">
        <v>1401323.57</v>
      </c>
      <c r="K522">
        <v>691268.52</v>
      </c>
      <c r="L522">
        <v>710055.05</v>
      </c>
      <c r="M522">
        <v>203523.45</v>
      </c>
      <c r="N522">
        <v>104894.7</v>
      </c>
      <c r="O522">
        <v>98628.75</v>
      </c>
      <c r="P522">
        <v>138985.48000000001</v>
      </c>
      <c r="Q522">
        <v>1076721811</v>
      </c>
      <c r="R522">
        <v>1101329653</v>
      </c>
      <c r="S522">
        <v>5.2999999999999999E-2</v>
      </c>
      <c r="T522">
        <v>3</v>
      </c>
      <c r="U522">
        <v>2.75E-2</v>
      </c>
      <c r="V522">
        <v>0.08</v>
      </c>
      <c r="X522">
        <v>130683.09</v>
      </c>
      <c r="Y522">
        <v>7.4999999999999997E-3</v>
      </c>
    </row>
    <row r="523" spans="1:25" x14ac:dyDescent="0.25">
      <c r="A523">
        <v>2020</v>
      </c>
      <c r="B523">
        <v>9</v>
      </c>
      <c r="C523" t="s">
        <v>324</v>
      </c>
      <c r="D523" t="s">
        <v>462</v>
      </c>
      <c r="E523" t="s">
        <v>463</v>
      </c>
      <c r="F523" t="s">
        <v>464</v>
      </c>
      <c r="G523" t="s">
        <v>465</v>
      </c>
      <c r="H523" t="s">
        <v>34</v>
      </c>
      <c r="I523" t="s">
        <v>23</v>
      </c>
      <c r="J523">
        <v>1179711.08</v>
      </c>
      <c r="K523">
        <v>553901.54</v>
      </c>
      <c r="L523">
        <v>625809.54</v>
      </c>
      <c r="M523">
        <v>173575.05</v>
      </c>
      <c r="N523">
        <v>88248.52</v>
      </c>
      <c r="O523">
        <v>85326.53</v>
      </c>
      <c r="P523">
        <v>116929.29</v>
      </c>
      <c r="Q523">
        <v>920621033.5</v>
      </c>
      <c r="R523">
        <v>963673223.79999995</v>
      </c>
      <c r="S523">
        <v>5.2999999999999999E-2</v>
      </c>
      <c r="T523" t="s">
        <v>24</v>
      </c>
      <c r="U523">
        <v>3.5000000000000003E-2</v>
      </c>
      <c r="V523">
        <v>0.08</v>
      </c>
      <c r="X523">
        <v>113057.66</v>
      </c>
    </row>
    <row r="524" spans="1:25" x14ac:dyDescent="0.25">
      <c r="A524">
        <v>2020</v>
      </c>
      <c r="B524">
        <v>9</v>
      </c>
      <c r="C524" t="s">
        <v>327</v>
      </c>
      <c r="D524" t="s">
        <v>472</v>
      </c>
      <c r="E524" t="s">
        <v>473</v>
      </c>
      <c r="F524" t="s">
        <v>474</v>
      </c>
      <c r="G524" t="s">
        <v>475</v>
      </c>
      <c r="H524" t="s">
        <v>34</v>
      </c>
      <c r="I524" t="s">
        <v>23</v>
      </c>
      <c r="J524">
        <v>302930.2</v>
      </c>
      <c r="K524">
        <v>89017.22</v>
      </c>
      <c r="L524">
        <v>213912.99</v>
      </c>
      <c r="M524">
        <v>46912.99</v>
      </c>
      <c r="N524">
        <v>13566.13</v>
      </c>
      <c r="O524">
        <v>33346.86</v>
      </c>
      <c r="P524">
        <v>17975.12</v>
      </c>
      <c r="Q524">
        <v>341284213.30000001</v>
      </c>
      <c r="R524">
        <v>395125721.80000001</v>
      </c>
      <c r="S524">
        <v>5.2999999999999999E-2</v>
      </c>
      <c r="T524">
        <v>3</v>
      </c>
      <c r="U524">
        <v>2.75E-2</v>
      </c>
      <c r="V524">
        <v>0.08</v>
      </c>
      <c r="X524">
        <v>44184.6</v>
      </c>
      <c r="Y524">
        <v>7.4999999999999997E-3</v>
      </c>
    </row>
    <row r="525" spans="1:25" x14ac:dyDescent="0.25">
      <c r="A525">
        <v>2020</v>
      </c>
      <c r="B525">
        <v>9</v>
      </c>
      <c r="C525" t="s">
        <v>327</v>
      </c>
      <c r="D525" t="s">
        <v>466</v>
      </c>
      <c r="E525" t="s">
        <v>467</v>
      </c>
      <c r="F525" t="s">
        <v>468</v>
      </c>
      <c r="G525" t="s">
        <v>469</v>
      </c>
      <c r="H525" t="s">
        <v>34</v>
      </c>
      <c r="I525" t="s">
        <v>23</v>
      </c>
      <c r="J525">
        <v>609644.43999999994</v>
      </c>
      <c r="K525">
        <v>207547.08</v>
      </c>
      <c r="L525">
        <v>402097.36</v>
      </c>
      <c r="M525">
        <v>85911.62</v>
      </c>
      <c r="N525">
        <v>32311.26</v>
      </c>
      <c r="O525">
        <v>53600.36</v>
      </c>
      <c r="P525">
        <v>42812.42</v>
      </c>
      <c r="Q525">
        <v>574181401.60000002</v>
      </c>
      <c r="R525">
        <v>609493126.20000005</v>
      </c>
      <c r="S525">
        <v>5.2999999999999999E-2</v>
      </c>
      <c r="T525">
        <v>3</v>
      </c>
      <c r="U525">
        <v>2.75E-2</v>
      </c>
      <c r="V525">
        <v>0.08</v>
      </c>
      <c r="X525">
        <v>71020.47</v>
      </c>
      <c r="Y525">
        <v>7.4999999999999997E-3</v>
      </c>
    </row>
    <row r="526" spans="1:25" x14ac:dyDescent="0.25">
      <c r="A526">
        <v>2020</v>
      </c>
      <c r="B526">
        <v>9</v>
      </c>
      <c r="C526" t="s">
        <v>327</v>
      </c>
      <c r="D526" t="s">
        <v>328</v>
      </c>
      <c r="E526" t="s">
        <v>329</v>
      </c>
      <c r="F526" t="s">
        <v>470</v>
      </c>
      <c r="G526" t="s">
        <v>471</v>
      </c>
      <c r="H526" t="s">
        <v>34</v>
      </c>
      <c r="I526" t="s">
        <v>23</v>
      </c>
      <c r="J526">
        <v>676470.15</v>
      </c>
      <c r="K526">
        <v>246462.54</v>
      </c>
      <c r="L526">
        <v>430007.61</v>
      </c>
      <c r="M526">
        <v>98219.61</v>
      </c>
      <c r="N526">
        <v>36574.53</v>
      </c>
      <c r="O526">
        <v>61645.08</v>
      </c>
      <c r="P526">
        <v>48461.25</v>
      </c>
      <c r="Q526">
        <v>652892482.39999998</v>
      </c>
      <c r="R526">
        <v>708436297.20000005</v>
      </c>
      <c r="S526">
        <v>5.2999999999999999E-2</v>
      </c>
      <c r="T526">
        <v>3</v>
      </c>
      <c r="U526">
        <v>2.75E-2</v>
      </c>
      <c r="V526">
        <v>0.08</v>
      </c>
      <c r="X526">
        <v>81679.73</v>
      </c>
      <c r="Y526">
        <v>7.4999999999999997E-3</v>
      </c>
    </row>
    <row r="527" spans="1:25" x14ac:dyDescent="0.25">
      <c r="A527">
        <v>2020</v>
      </c>
      <c r="B527">
        <v>9</v>
      </c>
      <c r="C527" t="s">
        <v>333</v>
      </c>
      <c r="D527" t="s">
        <v>478</v>
      </c>
      <c r="E527" t="s">
        <v>479</v>
      </c>
      <c r="F527" t="s">
        <v>480</v>
      </c>
      <c r="G527" t="s">
        <v>481</v>
      </c>
      <c r="H527" t="s">
        <v>34</v>
      </c>
      <c r="I527" t="s">
        <v>23</v>
      </c>
      <c r="J527">
        <v>232296.7</v>
      </c>
      <c r="K527">
        <v>109949.43</v>
      </c>
      <c r="L527">
        <v>122347.28</v>
      </c>
      <c r="M527">
        <v>29786.7</v>
      </c>
      <c r="N527">
        <v>14510.94</v>
      </c>
      <c r="O527">
        <v>15275.76</v>
      </c>
      <c r="P527">
        <v>19226.990000000002</v>
      </c>
      <c r="Q527">
        <v>166261717.5</v>
      </c>
      <c r="R527">
        <v>171078062</v>
      </c>
      <c r="S527">
        <v>5.2999999999999999E-2</v>
      </c>
      <c r="T527" t="s">
        <v>24</v>
      </c>
      <c r="U527">
        <v>3.5000000000000003E-2</v>
      </c>
      <c r="V527">
        <v>0.08</v>
      </c>
      <c r="X527">
        <v>20240.39</v>
      </c>
    </row>
    <row r="528" spans="1:25" x14ac:dyDescent="0.25">
      <c r="A528">
        <v>2020</v>
      </c>
      <c r="B528">
        <v>9</v>
      </c>
      <c r="C528" t="s">
        <v>333</v>
      </c>
      <c r="D528" t="s">
        <v>334</v>
      </c>
      <c r="E528" t="s">
        <v>335</v>
      </c>
      <c r="F528" t="s">
        <v>476</v>
      </c>
      <c r="G528" t="s">
        <v>477</v>
      </c>
      <c r="H528" t="s">
        <v>34</v>
      </c>
      <c r="I528" t="s">
        <v>23</v>
      </c>
      <c r="J528">
        <v>193972.71</v>
      </c>
      <c r="K528">
        <v>62683.7</v>
      </c>
      <c r="L528">
        <v>131289.01999999999</v>
      </c>
      <c r="M528">
        <v>23718.11</v>
      </c>
      <c r="N528">
        <v>6428.82</v>
      </c>
      <c r="O528">
        <v>17289.29</v>
      </c>
      <c r="P528">
        <v>8518.19</v>
      </c>
      <c r="Q528">
        <v>186215859</v>
      </c>
      <c r="R528">
        <v>195589325.69999999</v>
      </c>
      <c r="S528">
        <v>5.2999999999999999E-2</v>
      </c>
      <c r="T528" t="s">
        <v>24</v>
      </c>
      <c r="U528">
        <v>3.5000000000000003E-2</v>
      </c>
      <c r="V528">
        <v>0.08</v>
      </c>
      <c r="X528">
        <v>22908.31</v>
      </c>
    </row>
    <row r="529" spans="1:25" x14ac:dyDescent="0.25">
      <c r="A529">
        <v>2020</v>
      </c>
      <c r="B529">
        <v>9</v>
      </c>
      <c r="C529" t="s">
        <v>336</v>
      </c>
      <c r="D529" t="s">
        <v>337</v>
      </c>
      <c r="E529" t="s">
        <v>338</v>
      </c>
      <c r="F529" t="s">
        <v>486</v>
      </c>
      <c r="G529" t="s">
        <v>487</v>
      </c>
      <c r="H529" t="s">
        <v>34</v>
      </c>
      <c r="I529" t="s">
        <v>23</v>
      </c>
      <c r="J529">
        <v>476438.84</v>
      </c>
      <c r="K529">
        <v>284664.53000000003</v>
      </c>
      <c r="L529">
        <v>191774.31</v>
      </c>
      <c r="M529">
        <v>62043.81</v>
      </c>
      <c r="N529">
        <v>35337.85</v>
      </c>
      <c r="O529">
        <v>26705.96</v>
      </c>
      <c r="P529">
        <v>46822.65</v>
      </c>
      <c r="Q529">
        <v>287377839</v>
      </c>
      <c r="R529">
        <v>302378858.30000001</v>
      </c>
      <c r="S529">
        <v>5.2999999999999999E-2</v>
      </c>
      <c r="T529">
        <v>3</v>
      </c>
      <c r="U529">
        <v>2.75E-2</v>
      </c>
      <c r="V529">
        <v>0.08</v>
      </c>
      <c r="X529">
        <v>35385.4</v>
      </c>
      <c r="Y529">
        <v>7.4999999999999997E-3</v>
      </c>
    </row>
    <row r="530" spans="1:25" x14ac:dyDescent="0.25">
      <c r="A530">
        <v>2020</v>
      </c>
      <c r="B530">
        <v>9</v>
      </c>
      <c r="C530" t="s">
        <v>336</v>
      </c>
      <c r="D530" t="s">
        <v>482</v>
      </c>
      <c r="E530" t="s">
        <v>483</v>
      </c>
      <c r="F530" t="s">
        <v>484</v>
      </c>
      <c r="G530" t="s">
        <v>485</v>
      </c>
      <c r="H530" t="s">
        <v>34</v>
      </c>
      <c r="I530" t="s">
        <v>23</v>
      </c>
      <c r="J530">
        <v>473229.05</v>
      </c>
      <c r="K530">
        <v>281675.69</v>
      </c>
      <c r="L530">
        <v>191553.35</v>
      </c>
      <c r="M530">
        <v>59676.68</v>
      </c>
      <c r="N530">
        <v>33039.919999999998</v>
      </c>
      <c r="O530">
        <v>26636.75</v>
      </c>
      <c r="P530">
        <v>43777.9</v>
      </c>
      <c r="Q530">
        <v>286799661.10000002</v>
      </c>
      <c r="R530">
        <v>301428612.89999998</v>
      </c>
      <c r="S530">
        <v>5.2999999999999999E-2</v>
      </c>
      <c r="T530" t="s">
        <v>24</v>
      </c>
      <c r="U530">
        <v>3.5000000000000003E-2</v>
      </c>
      <c r="V530">
        <v>0.08</v>
      </c>
      <c r="X530">
        <v>35293.699999999997</v>
      </c>
    </row>
    <row r="531" spans="1:25" x14ac:dyDescent="0.25">
      <c r="A531">
        <v>2020</v>
      </c>
      <c r="B531">
        <v>9</v>
      </c>
      <c r="C531" t="s">
        <v>340</v>
      </c>
      <c r="D531" t="s">
        <v>341</v>
      </c>
      <c r="E531" t="s">
        <v>342</v>
      </c>
      <c r="F531" t="s">
        <v>488</v>
      </c>
      <c r="G531" t="s">
        <v>489</v>
      </c>
      <c r="H531" t="s">
        <v>34</v>
      </c>
      <c r="I531" t="s">
        <v>23</v>
      </c>
      <c r="J531">
        <v>3616637.46</v>
      </c>
      <c r="K531">
        <v>1859079.16</v>
      </c>
      <c r="L531">
        <v>1757558.3</v>
      </c>
      <c r="M531">
        <v>493736.47</v>
      </c>
      <c r="N531">
        <v>263178.69</v>
      </c>
      <c r="O531">
        <v>230557.77</v>
      </c>
      <c r="P531">
        <v>348711.77</v>
      </c>
      <c r="Q531">
        <v>2523238647</v>
      </c>
      <c r="R531">
        <v>2568245472</v>
      </c>
      <c r="S531">
        <v>5.2999999999999999E-2</v>
      </c>
      <c r="T531">
        <v>3</v>
      </c>
      <c r="U531">
        <v>2.75E-2</v>
      </c>
      <c r="V531">
        <v>0.08</v>
      </c>
      <c r="X531">
        <v>305489.05</v>
      </c>
      <c r="Y531">
        <v>7.4999999999999997E-3</v>
      </c>
    </row>
    <row r="532" spans="1:25" x14ac:dyDescent="0.25">
      <c r="A532">
        <v>2020</v>
      </c>
      <c r="B532">
        <v>9</v>
      </c>
      <c r="C532" t="s">
        <v>343</v>
      </c>
      <c r="D532" t="s">
        <v>344</v>
      </c>
      <c r="E532" t="s">
        <v>345</v>
      </c>
      <c r="F532" t="s">
        <v>490</v>
      </c>
      <c r="G532" t="s">
        <v>491</v>
      </c>
      <c r="H532" t="s">
        <v>34</v>
      </c>
      <c r="I532" t="s">
        <v>23</v>
      </c>
      <c r="J532">
        <v>1642783.33</v>
      </c>
      <c r="K532">
        <v>874891.46</v>
      </c>
      <c r="L532">
        <v>767891.87</v>
      </c>
      <c r="M532">
        <v>251752.46</v>
      </c>
      <c r="N532">
        <v>142573.62</v>
      </c>
      <c r="O532">
        <v>109178.84</v>
      </c>
      <c r="P532">
        <v>188910.04</v>
      </c>
      <c r="Q532">
        <v>1204662844</v>
      </c>
      <c r="R532">
        <v>1206369876</v>
      </c>
      <c r="S532">
        <v>5.2999999999999999E-2</v>
      </c>
      <c r="T532">
        <v>3</v>
      </c>
      <c r="U532">
        <v>2.75E-2</v>
      </c>
      <c r="V532">
        <v>0.08</v>
      </c>
      <c r="X532">
        <v>144661.96</v>
      </c>
      <c r="Y532">
        <v>7.4999999999999997E-3</v>
      </c>
    </row>
    <row r="533" spans="1:25" x14ac:dyDescent="0.25">
      <c r="A533">
        <v>2020</v>
      </c>
      <c r="B533">
        <v>9</v>
      </c>
      <c r="C533" t="s">
        <v>346</v>
      </c>
      <c r="D533" t="s">
        <v>500</v>
      </c>
      <c r="E533" t="s">
        <v>501</v>
      </c>
      <c r="F533" t="s">
        <v>502</v>
      </c>
      <c r="G533" t="s">
        <v>503</v>
      </c>
      <c r="H533" t="s">
        <v>34</v>
      </c>
      <c r="I533" t="s">
        <v>23</v>
      </c>
      <c r="J533">
        <v>665713.68000000005</v>
      </c>
      <c r="K533">
        <v>196245.74</v>
      </c>
      <c r="L533">
        <v>469467.95</v>
      </c>
      <c r="M533">
        <v>104848.62</v>
      </c>
      <c r="N533">
        <v>37597.519999999997</v>
      </c>
      <c r="O533">
        <v>67251.100000000006</v>
      </c>
      <c r="P533">
        <v>49816.72</v>
      </c>
      <c r="Q533">
        <v>715000270</v>
      </c>
      <c r="R533">
        <v>770128129</v>
      </c>
      <c r="S533">
        <v>5.2999999999999999E-2</v>
      </c>
      <c r="T533">
        <v>3</v>
      </c>
      <c r="U533">
        <v>2.75E-2</v>
      </c>
      <c r="V533">
        <v>0.08</v>
      </c>
      <c r="X533">
        <v>89107.7</v>
      </c>
      <c r="Y533">
        <v>7.4999999999999997E-3</v>
      </c>
    </row>
    <row r="534" spans="1:25" x14ac:dyDescent="0.25">
      <c r="A534">
        <v>2020</v>
      </c>
      <c r="B534">
        <v>9</v>
      </c>
      <c r="C534" t="s">
        <v>346</v>
      </c>
      <c r="D534" t="s">
        <v>347</v>
      </c>
      <c r="E534" t="s">
        <v>348</v>
      </c>
      <c r="F534" t="s">
        <v>492</v>
      </c>
      <c r="G534" t="s">
        <v>493</v>
      </c>
      <c r="H534" t="s">
        <v>34</v>
      </c>
      <c r="I534" t="s">
        <v>23</v>
      </c>
      <c r="J534">
        <v>221893.6</v>
      </c>
      <c r="K534">
        <v>236.72</v>
      </c>
      <c r="L534">
        <v>221656.88</v>
      </c>
      <c r="M534">
        <v>25105.29</v>
      </c>
      <c r="N534">
        <v>102.12</v>
      </c>
      <c r="O534">
        <v>25003.16</v>
      </c>
      <c r="P534">
        <v>135.31</v>
      </c>
      <c r="Q534">
        <v>551110622.20000005</v>
      </c>
      <c r="R534">
        <v>553195831.5</v>
      </c>
      <c r="S534">
        <v>5.2999999999999999E-2</v>
      </c>
      <c r="T534">
        <v>3</v>
      </c>
      <c r="U534">
        <v>2.75E-2</v>
      </c>
      <c r="V534">
        <v>0.04</v>
      </c>
      <c r="X534">
        <v>33129.19</v>
      </c>
      <c r="Y534">
        <v>7.4999999999999997E-3</v>
      </c>
    </row>
    <row r="535" spans="1:25" x14ac:dyDescent="0.25">
      <c r="A535">
        <v>2020</v>
      </c>
      <c r="B535">
        <v>9</v>
      </c>
      <c r="C535" t="s">
        <v>346</v>
      </c>
      <c r="D535" t="s">
        <v>347</v>
      </c>
      <c r="E535" t="s">
        <v>348</v>
      </c>
      <c r="F535" t="s">
        <v>494</v>
      </c>
      <c r="G535" t="s">
        <v>495</v>
      </c>
      <c r="H535" t="s">
        <v>34</v>
      </c>
      <c r="I535" t="s">
        <v>23</v>
      </c>
      <c r="J535">
        <v>635894.81999999995</v>
      </c>
      <c r="K535">
        <v>165341.20000000001</v>
      </c>
      <c r="L535">
        <v>470553.62</v>
      </c>
      <c r="M535">
        <v>104720.03</v>
      </c>
      <c r="N535">
        <v>38590.449999999997</v>
      </c>
      <c r="O535">
        <v>66129.58</v>
      </c>
      <c r="P535">
        <v>51132.35</v>
      </c>
      <c r="Q535">
        <v>719794969.39999998</v>
      </c>
      <c r="R535">
        <v>740566516.29999995</v>
      </c>
      <c r="S535">
        <v>5.2999999999999999E-2</v>
      </c>
      <c r="T535" t="s">
        <v>24</v>
      </c>
      <c r="U535">
        <v>3.5000000000000003E-2</v>
      </c>
      <c r="V535">
        <v>0.08</v>
      </c>
      <c r="X535">
        <v>87621.69</v>
      </c>
    </row>
    <row r="536" spans="1:25" x14ac:dyDescent="0.25">
      <c r="A536">
        <v>2020</v>
      </c>
      <c r="B536">
        <v>9</v>
      </c>
      <c r="C536" t="s">
        <v>346</v>
      </c>
      <c r="D536" t="s">
        <v>496</v>
      </c>
      <c r="E536" t="s">
        <v>497</v>
      </c>
      <c r="F536" t="s">
        <v>498</v>
      </c>
      <c r="G536" t="s">
        <v>499</v>
      </c>
      <c r="H536" t="s">
        <v>34</v>
      </c>
      <c r="I536" t="s">
        <v>23</v>
      </c>
      <c r="J536">
        <v>586445.28</v>
      </c>
      <c r="K536">
        <v>152694.67000000001</v>
      </c>
      <c r="L536">
        <v>433750.61</v>
      </c>
      <c r="M536">
        <v>96285.82</v>
      </c>
      <c r="N536">
        <v>34987.919999999998</v>
      </c>
      <c r="O536">
        <v>61297.9</v>
      </c>
      <c r="P536">
        <v>46359</v>
      </c>
      <c r="Q536">
        <v>679891245.89999998</v>
      </c>
      <c r="R536">
        <v>673770636.29999995</v>
      </c>
      <c r="S536">
        <v>5.2999999999999999E-2</v>
      </c>
      <c r="T536" t="s">
        <v>24</v>
      </c>
      <c r="U536">
        <v>3.5000000000000003E-2</v>
      </c>
      <c r="V536">
        <v>0.08</v>
      </c>
      <c r="X536">
        <v>81219.710000000006</v>
      </c>
    </row>
    <row r="537" spans="1:25" x14ac:dyDescent="0.25">
      <c r="A537">
        <v>2020</v>
      </c>
      <c r="B537">
        <v>9</v>
      </c>
      <c r="C537" t="s">
        <v>349</v>
      </c>
      <c r="D537" t="s">
        <v>506</v>
      </c>
      <c r="E537" t="s">
        <v>507</v>
      </c>
      <c r="F537" t="s">
        <v>508</v>
      </c>
      <c r="G537" t="s">
        <v>509</v>
      </c>
      <c r="H537" t="s">
        <v>34</v>
      </c>
      <c r="I537" t="s">
        <v>23</v>
      </c>
      <c r="J537">
        <v>1632299.1</v>
      </c>
      <c r="K537">
        <v>545400.63</v>
      </c>
      <c r="L537">
        <v>1086898.47</v>
      </c>
      <c r="M537">
        <v>211135.05</v>
      </c>
      <c r="N537">
        <v>81762.95</v>
      </c>
      <c r="O537">
        <v>129372.1</v>
      </c>
      <c r="P537">
        <v>108335.91</v>
      </c>
      <c r="Q537">
        <v>1432871094</v>
      </c>
      <c r="R537">
        <v>1424096143</v>
      </c>
      <c r="S537">
        <v>5.2999999999999999E-2</v>
      </c>
      <c r="T537" t="s">
        <v>24</v>
      </c>
      <c r="U537">
        <v>3.5000000000000003E-2</v>
      </c>
      <c r="V537">
        <v>0.08</v>
      </c>
      <c r="X537">
        <v>171418.03</v>
      </c>
    </row>
    <row r="538" spans="1:25" x14ac:dyDescent="0.25">
      <c r="A538">
        <v>2020</v>
      </c>
      <c r="B538">
        <v>9</v>
      </c>
      <c r="C538" t="s">
        <v>349</v>
      </c>
      <c r="D538" t="s">
        <v>350</v>
      </c>
      <c r="E538" t="s">
        <v>351</v>
      </c>
      <c r="F538" t="s">
        <v>504</v>
      </c>
      <c r="G538" t="s">
        <v>505</v>
      </c>
      <c r="H538" t="s">
        <v>34</v>
      </c>
      <c r="I538" t="s">
        <v>23</v>
      </c>
      <c r="J538">
        <v>56174.22</v>
      </c>
      <c r="K538">
        <v>233.51</v>
      </c>
      <c r="L538">
        <v>55940.71</v>
      </c>
      <c r="M538">
        <v>5635.03</v>
      </c>
      <c r="N538">
        <v>33.42</v>
      </c>
      <c r="O538">
        <v>5601.61</v>
      </c>
      <c r="P538">
        <v>44.28</v>
      </c>
      <c r="Q538">
        <v>22283446.579999998</v>
      </c>
      <c r="R538">
        <v>24593169.550000001</v>
      </c>
      <c r="S538">
        <v>5.2999999999999999E-2</v>
      </c>
      <c r="T538">
        <v>1</v>
      </c>
      <c r="U538">
        <v>1.4999999999999999E-2</v>
      </c>
      <c r="V538">
        <v>0.1</v>
      </c>
      <c r="X538">
        <v>7422.13</v>
      </c>
    </row>
    <row r="539" spans="1:25" x14ac:dyDescent="0.25">
      <c r="A539">
        <v>2020</v>
      </c>
      <c r="B539">
        <v>9</v>
      </c>
      <c r="C539" t="s">
        <v>349</v>
      </c>
      <c r="D539" t="s">
        <v>514</v>
      </c>
      <c r="E539" t="s">
        <v>515</v>
      </c>
      <c r="F539" t="s">
        <v>516</v>
      </c>
      <c r="G539" t="s">
        <v>517</v>
      </c>
      <c r="H539" t="s">
        <v>34</v>
      </c>
      <c r="I539" t="s">
        <v>23</v>
      </c>
      <c r="J539">
        <v>437983.64</v>
      </c>
      <c r="K539">
        <v>158239.99</v>
      </c>
      <c r="L539">
        <v>279743.65000000002</v>
      </c>
      <c r="M539">
        <v>58180.36</v>
      </c>
      <c r="N539">
        <v>20742.64</v>
      </c>
      <c r="O539">
        <v>37437.72</v>
      </c>
      <c r="P539">
        <v>27484</v>
      </c>
      <c r="Q539">
        <v>405810659.89999998</v>
      </c>
      <c r="R539">
        <v>420939005</v>
      </c>
      <c r="S539">
        <v>5.2999999999999999E-2</v>
      </c>
      <c r="T539">
        <v>3</v>
      </c>
      <c r="U539">
        <v>2.75E-2</v>
      </c>
      <c r="V539">
        <v>0.08</v>
      </c>
      <c r="X539">
        <v>49604.98</v>
      </c>
      <c r="Y539">
        <v>7.4999999999999997E-3</v>
      </c>
    </row>
    <row r="540" spans="1:25" x14ac:dyDescent="0.25">
      <c r="A540">
        <v>2020</v>
      </c>
      <c r="B540">
        <v>9</v>
      </c>
      <c r="C540" t="s">
        <v>349</v>
      </c>
      <c r="D540" t="s">
        <v>510</v>
      </c>
      <c r="E540" t="s">
        <v>511</v>
      </c>
      <c r="F540" t="s">
        <v>512</v>
      </c>
      <c r="G540" t="s">
        <v>513</v>
      </c>
      <c r="H540" t="s">
        <v>34</v>
      </c>
      <c r="I540" t="s">
        <v>23</v>
      </c>
      <c r="J540">
        <v>921156.36</v>
      </c>
      <c r="K540">
        <v>386351.98</v>
      </c>
      <c r="L540">
        <v>534804.37</v>
      </c>
      <c r="M540">
        <v>135518.23000000001</v>
      </c>
      <c r="N540">
        <v>63638.11</v>
      </c>
      <c r="O540">
        <v>71880.12</v>
      </c>
      <c r="P540">
        <v>84320.49</v>
      </c>
      <c r="Q540">
        <v>776207540.20000005</v>
      </c>
      <c r="R540">
        <v>811145165.20000005</v>
      </c>
      <c r="S540">
        <v>5.2999999999999999E-2</v>
      </c>
      <c r="T540">
        <v>3</v>
      </c>
      <c r="U540">
        <v>2.75E-2</v>
      </c>
      <c r="V540">
        <v>0.08</v>
      </c>
      <c r="X540">
        <v>95241.16</v>
      </c>
      <c r="Y540">
        <v>7.4999999999999997E-3</v>
      </c>
    </row>
    <row r="541" spans="1:25" x14ac:dyDescent="0.25">
      <c r="A541">
        <v>2020</v>
      </c>
      <c r="B541">
        <v>9</v>
      </c>
      <c r="C541" t="s">
        <v>349</v>
      </c>
      <c r="D541" t="s">
        <v>350</v>
      </c>
      <c r="E541" t="s">
        <v>351</v>
      </c>
      <c r="F541" t="s">
        <v>518</v>
      </c>
      <c r="G541" t="s">
        <v>519</v>
      </c>
      <c r="H541" t="s">
        <v>34</v>
      </c>
      <c r="I541" t="s">
        <v>23</v>
      </c>
      <c r="J541">
        <v>7233439.6799999997</v>
      </c>
      <c r="K541">
        <v>3709773.99</v>
      </c>
      <c r="L541">
        <v>3523665.69</v>
      </c>
      <c r="M541">
        <v>856833.28</v>
      </c>
      <c r="N541">
        <v>431095.09</v>
      </c>
      <c r="O541">
        <v>425738.19</v>
      </c>
      <c r="P541">
        <v>571201</v>
      </c>
      <c r="Q541">
        <v>4700364123</v>
      </c>
      <c r="R541">
        <v>4701354153</v>
      </c>
      <c r="S541">
        <v>5.2999999999999999E-2</v>
      </c>
      <c r="T541">
        <v>3</v>
      </c>
      <c r="U541">
        <v>2.75E-2</v>
      </c>
      <c r="V541">
        <v>0.08</v>
      </c>
      <c r="X541">
        <v>564103.1</v>
      </c>
      <c r="Y541">
        <v>7.4999999999999997E-3</v>
      </c>
    </row>
    <row r="542" spans="1:25" x14ac:dyDescent="0.25">
      <c r="A542">
        <v>2020</v>
      </c>
      <c r="B542">
        <v>9</v>
      </c>
      <c r="C542" t="s">
        <v>352</v>
      </c>
      <c r="D542" t="s">
        <v>520</v>
      </c>
      <c r="E542" t="s">
        <v>521</v>
      </c>
      <c r="F542" t="s">
        <v>522</v>
      </c>
      <c r="G542" t="s">
        <v>523</v>
      </c>
      <c r="H542" t="s">
        <v>34</v>
      </c>
      <c r="I542" t="s">
        <v>23</v>
      </c>
      <c r="J542">
        <v>1227367.82</v>
      </c>
      <c r="K542">
        <v>512530.16</v>
      </c>
      <c r="L542">
        <v>714837.67</v>
      </c>
      <c r="M542">
        <v>192072.5</v>
      </c>
      <c r="N542">
        <v>95866.53</v>
      </c>
      <c r="O542">
        <v>96205.97</v>
      </c>
      <c r="P542">
        <v>127023.15</v>
      </c>
      <c r="Q542">
        <v>1042174786</v>
      </c>
      <c r="R542">
        <v>1082373677</v>
      </c>
      <c r="S542">
        <v>5.2999999999999999E-2</v>
      </c>
      <c r="T542" t="s">
        <v>24</v>
      </c>
      <c r="U542">
        <v>3.5000000000000003E-2</v>
      </c>
      <c r="V542">
        <v>0.08</v>
      </c>
      <c r="X542">
        <v>127472.91</v>
      </c>
    </row>
    <row r="543" spans="1:25" x14ac:dyDescent="0.25">
      <c r="A543">
        <v>2020</v>
      </c>
      <c r="B543">
        <v>9</v>
      </c>
      <c r="C543" t="s">
        <v>352</v>
      </c>
      <c r="D543" t="s">
        <v>524</v>
      </c>
      <c r="E543" t="s">
        <v>525</v>
      </c>
      <c r="F543" t="s">
        <v>526</v>
      </c>
      <c r="G543" t="s">
        <v>527</v>
      </c>
      <c r="H543" t="s">
        <v>34</v>
      </c>
      <c r="I543" t="s">
        <v>23</v>
      </c>
      <c r="J543">
        <v>1190107.52</v>
      </c>
      <c r="K543">
        <v>486806.08</v>
      </c>
      <c r="L543">
        <v>703301.43</v>
      </c>
      <c r="M543">
        <v>174570.96</v>
      </c>
      <c r="N543">
        <v>81740.3</v>
      </c>
      <c r="O543">
        <v>92830.65</v>
      </c>
      <c r="P543">
        <v>108305.9</v>
      </c>
      <c r="Q543">
        <v>1002466132</v>
      </c>
      <c r="R543">
        <v>1047544131</v>
      </c>
      <c r="S543">
        <v>5.2999999999999999E-2</v>
      </c>
      <c r="T543">
        <v>3</v>
      </c>
      <c r="U543">
        <v>2.75E-2</v>
      </c>
      <c r="V543">
        <v>0.08</v>
      </c>
      <c r="X543">
        <v>123000.62</v>
      </c>
      <c r="Y543">
        <v>7.4999999999999997E-3</v>
      </c>
    </row>
    <row r="544" spans="1:25" x14ac:dyDescent="0.25">
      <c r="A544">
        <v>2020</v>
      </c>
      <c r="B544">
        <v>9</v>
      </c>
      <c r="C544" t="s">
        <v>352</v>
      </c>
      <c r="D544" t="s">
        <v>353</v>
      </c>
      <c r="E544" t="s">
        <v>354</v>
      </c>
      <c r="F544" t="s">
        <v>528</v>
      </c>
      <c r="G544" t="s">
        <v>529</v>
      </c>
      <c r="H544" t="s">
        <v>34</v>
      </c>
      <c r="I544" t="s">
        <v>23</v>
      </c>
      <c r="J544">
        <v>1176845.07</v>
      </c>
      <c r="K544">
        <v>472128.61</v>
      </c>
      <c r="L544">
        <v>704716.46</v>
      </c>
      <c r="M544">
        <v>189121.77</v>
      </c>
      <c r="N544">
        <v>95248.37</v>
      </c>
      <c r="O544">
        <v>93873.4</v>
      </c>
      <c r="P544">
        <v>126204.09</v>
      </c>
      <c r="Q544">
        <v>1015373782</v>
      </c>
      <c r="R544">
        <v>1057663764</v>
      </c>
      <c r="S544">
        <v>5.2999999999999999E-2</v>
      </c>
      <c r="T544">
        <v>3</v>
      </c>
      <c r="U544">
        <v>2.75E-2</v>
      </c>
      <c r="V544">
        <v>0.08</v>
      </c>
      <c r="X544">
        <v>124382.25</v>
      </c>
      <c r="Y544">
        <v>7.4999999999999997E-3</v>
      </c>
    </row>
    <row r="545" spans="1:25" x14ac:dyDescent="0.25">
      <c r="A545">
        <v>2020</v>
      </c>
      <c r="B545">
        <v>9</v>
      </c>
      <c r="C545" t="s">
        <v>355</v>
      </c>
      <c r="D545" t="s">
        <v>536</v>
      </c>
      <c r="E545" t="s">
        <v>537</v>
      </c>
      <c r="F545" t="s">
        <v>538</v>
      </c>
      <c r="G545" t="s">
        <v>539</v>
      </c>
      <c r="H545" t="s">
        <v>34</v>
      </c>
      <c r="I545" t="s">
        <v>23</v>
      </c>
      <c r="J545">
        <v>525661.06999999995</v>
      </c>
      <c r="K545">
        <v>97929.18</v>
      </c>
      <c r="L545">
        <v>427731.89</v>
      </c>
      <c r="M545">
        <v>71634.45</v>
      </c>
      <c r="N545">
        <v>22194.41</v>
      </c>
      <c r="O545">
        <v>49440.04</v>
      </c>
      <c r="P545">
        <v>29407.59</v>
      </c>
      <c r="Q545">
        <v>549082388.20000005</v>
      </c>
      <c r="R545">
        <v>542718517.60000002</v>
      </c>
      <c r="S545">
        <v>5.2999999999999999E-2</v>
      </c>
      <c r="T545">
        <v>3</v>
      </c>
      <c r="U545">
        <v>2.75E-2</v>
      </c>
      <c r="V545">
        <v>0.08</v>
      </c>
      <c r="X545">
        <v>65508.05</v>
      </c>
      <c r="Y545">
        <v>7.4999999999999997E-3</v>
      </c>
    </row>
    <row r="546" spans="1:25" x14ac:dyDescent="0.25">
      <c r="A546">
        <v>2020</v>
      </c>
      <c r="B546">
        <v>9</v>
      </c>
      <c r="C546" t="s">
        <v>355</v>
      </c>
      <c r="D546" t="s">
        <v>532</v>
      </c>
      <c r="E546" t="s">
        <v>533</v>
      </c>
      <c r="F546" t="s">
        <v>534</v>
      </c>
      <c r="G546" t="s">
        <v>535</v>
      </c>
      <c r="H546" t="s">
        <v>34</v>
      </c>
      <c r="I546" t="s">
        <v>23</v>
      </c>
      <c r="J546">
        <v>497674.39</v>
      </c>
      <c r="K546">
        <v>137822.71</v>
      </c>
      <c r="L546">
        <v>359851.68</v>
      </c>
      <c r="M546">
        <v>73152.31</v>
      </c>
      <c r="N546">
        <v>26452.55</v>
      </c>
      <c r="O546">
        <v>46699.76</v>
      </c>
      <c r="P546">
        <v>35049.629999999997</v>
      </c>
      <c r="Q546">
        <v>510993935.69999999</v>
      </c>
      <c r="R546">
        <v>520292416</v>
      </c>
      <c r="S546">
        <v>5.2999999999999999E-2</v>
      </c>
      <c r="T546">
        <v>3</v>
      </c>
      <c r="U546">
        <v>2.75E-2</v>
      </c>
      <c r="V546">
        <v>0.08</v>
      </c>
      <c r="X546">
        <v>61877.18</v>
      </c>
      <c r="Y546">
        <v>7.4999999999999997E-3</v>
      </c>
    </row>
    <row r="547" spans="1:25" x14ac:dyDescent="0.25">
      <c r="A547">
        <v>2020</v>
      </c>
      <c r="B547">
        <v>9</v>
      </c>
      <c r="C547" t="s">
        <v>355</v>
      </c>
      <c r="D547" t="s">
        <v>356</v>
      </c>
      <c r="E547" t="s">
        <v>357</v>
      </c>
      <c r="F547" t="s">
        <v>530</v>
      </c>
      <c r="G547" t="s">
        <v>531</v>
      </c>
      <c r="H547" t="s">
        <v>34</v>
      </c>
      <c r="I547" t="s">
        <v>23</v>
      </c>
      <c r="J547">
        <v>701581.53</v>
      </c>
      <c r="K547">
        <v>203677.78</v>
      </c>
      <c r="L547">
        <v>497903.75</v>
      </c>
      <c r="M547">
        <v>107493.85</v>
      </c>
      <c r="N547">
        <v>39604.19</v>
      </c>
      <c r="O547">
        <v>67889.66</v>
      </c>
      <c r="P547">
        <v>52475.55</v>
      </c>
      <c r="Q547">
        <v>743002688</v>
      </c>
      <c r="R547">
        <v>756227259.29999995</v>
      </c>
      <c r="S547">
        <v>5.2999999999999999E-2</v>
      </c>
      <c r="T547">
        <v>3</v>
      </c>
      <c r="U547">
        <v>2.75E-2</v>
      </c>
      <c r="V547">
        <v>0.08</v>
      </c>
      <c r="X547">
        <v>89953.8</v>
      </c>
      <c r="Y547">
        <v>7.4999999999999997E-3</v>
      </c>
    </row>
    <row r="548" spans="1:25" x14ac:dyDescent="0.25">
      <c r="A548">
        <v>2020</v>
      </c>
      <c r="B548">
        <v>9</v>
      </c>
      <c r="C548" t="s">
        <v>364</v>
      </c>
      <c r="D548" t="s">
        <v>365</v>
      </c>
      <c r="E548" t="s">
        <v>366</v>
      </c>
      <c r="F548" t="s">
        <v>544</v>
      </c>
      <c r="G548" t="s">
        <v>545</v>
      </c>
      <c r="H548" t="s">
        <v>34</v>
      </c>
      <c r="I548" t="s">
        <v>23</v>
      </c>
      <c r="J548">
        <v>267595.5</v>
      </c>
      <c r="K548">
        <v>4427.24</v>
      </c>
      <c r="L548">
        <v>263168.26</v>
      </c>
      <c r="M548">
        <v>32209.11</v>
      </c>
      <c r="N548">
        <v>355.15</v>
      </c>
      <c r="O548">
        <v>31853.95</v>
      </c>
      <c r="P548">
        <v>470.58</v>
      </c>
      <c r="Q548">
        <v>198857759.69999999</v>
      </c>
      <c r="R548">
        <v>198379775.30000001</v>
      </c>
      <c r="S548">
        <v>5.2999999999999999E-2</v>
      </c>
      <c r="T548">
        <v>3</v>
      </c>
      <c r="U548">
        <v>2.75E-2</v>
      </c>
      <c r="V548">
        <v>0.1</v>
      </c>
      <c r="X548">
        <v>42206.49</v>
      </c>
    </row>
    <row r="549" spans="1:25" x14ac:dyDescent="0.25">
      <c r="A549">
        <v>2020</v>
      </c>
      <c r="B549">
        <v>9</v>
      </c>
      <c r="C549" t="s">
        <v>364</v>
      </c>
      <c r="D549" t="s">
        <v>367</v>
      </c>
      <c r="E549" t="s">
        <v>368</v>
      </c>
      <c r="F549" t="s">
        <v>542</v>
      </c>
      <c r="G549" t="s">
        <v>543</v>
      </c>
      <c r="H549" t="s">
        <v>34</v>
      </c>
      <c r="I549" t="s">
        <v>23</v>
      </c>
      <c r="J549">
        <v>1267843.97</v>
      </c>
      <c r="K549">
        <v>298691.12</v>
      </c>
      <c r="L549">
        <v>969152.85</v>
      </c>
      <c r="M549">
        <v>161573.23000000001</v>
      </c>
      <c r="N549">
        <v>40511.769999999997</v>
      </c>
      <c r="O549">
        <v>121061.47</v>
      </c>
      <c r="P549">
        <v>53678.09</v>
      </c>
      <c r="Q549">
        <v>751370893.79999995</v>
      </c>
      <c r="R549">
        <v>758336799.10000002</v>
      </c>
      <c r="S549">
        <v>5.2999999999999999E-2</v>
      </c>
      <c r="T549">
        <v>3</v>
      </c>
      <c r="U549">
        <v>2.75E-2</v>
      </c>
      <c r="V549">
        <v>0.1</v>
      </c>
      <c r="X549">
        <v>160406.44</v>
      </c>
    </row>
    <row r="550" spans="1:25" x14ac:dyDescent="0.25">
      <c r="A550">
        <v>2020</v>
      </c>
      <c r="B550">
        <v>9</v>
      </c>
      <c r="C550" t="s">
        <v>364</v>
      </c>
      <c r="D550" t="s">
        <v>365</v>
      </c>
      <c r="E550" t="s">
        <v>366</v>
      </c>
      <c r="F550" t="s">
        <v>540</v>
      </c>
      <c r="G550" t="s">
        <v>541</v>
      </c>
      <c r="H550" t="s">
        <v>34</v>
      </c>
      <c r="I550" t="s">
        <v>23</v>
      </c>
      <c r="J550">
        <v>100813.38</v>
      </c>
      <c r="K550">
        <v>26.44</v>
      </c>
      <c r="L550">
        <v>100786.95</v>
      </c>
      <c r="M550">
        <v>11360.01</v>
      </c>
      <c r="N550">
        <v>0.54</v>
      </c>
      <c r="O550">
        <v>11359.46</v>
      </c>
      <c r="P550">
        <v>0.72</v>
      </c>
      <c r="Q550">
        <v>141521412.30000001</v>
      </c>
      <c r="R550">
        <v>141796991.90000001</v>
      </c>
      <c r="S550">
        <v>5.2999999999999999E-2</v>
      </c>
      <c r="T550">
        <v>3</v>
      </c>
      <c r="U550">
        <v>2.75E-2</v>
      </c>
      <c r="V550">
        <v>0.05</v>
      </c>
      <c r="X550">
        <v>15051.29</v>
      </c>
    </row>
    <row r="551" spans="1:25" x14ac:dyDescent="0.25">
      <c r="A551">
        <v>2020</v>
      </c>
      <c r="B551">
        <v>9</v>
      </c>
      <c r="C551" t="s">
        <v>358</v>
      </c>
      <c r="D551" t="s">
        <v>550</v>
      </c>
      <c r="E551" t="s">
        <v>551</v>
      </c>
      <c r="F551" t="s">
        <v>552</v>
      </c>
      <c r="G551" t="s">
        <v>553</v>
      </c>
      <c r="H551" t="s">
        <v>34</v>
      </c>
      <c r="I551" t="s">
        <v>23</v>
      </c>
      <c r="J551">
        <v>1016088.93</v>
      </c>
      <c r="K551">
        <v>514445.64</v>
      </c>
      <c r="L551">
        <v>501643.3</v>
      </c>
      <c r="M551">
        <v>139131.70000000001</v>
      </c>
      <c r="N551">
        <v>76913.22</v>
      </c>
      <c r="O551">
        <v>62218.47</v>
      </c>
      <c r="P551">
        <v>101910.02</v>
      </c>
      <c r="Q551">
        <v>648823479.89999998</v>
      </c>
      <c r="R551">
        <v>725167818.20000005</v>
      </c>
      <c r="S551">
        <v>5.2999999999999999E-2</v>
      </c>
      <c r="T551" t="s">
        <v>24</v>
      </c>
      <c r="U551">
        <v>3.5000000000000003E-2</v>
      </c>
      <c r="V551">
        <v>0.08</v>
      </c>
      <c r="X551">
        <v>82439.48</v>
      </c>
    </row>
    <row r="552" spans="1:25" x14ac:dyDescent="0.25">
      <c r="A552">
        <v>2020</v>
      </c>
      <c r="B552">
        <v>9</v>
      </c>
      <c r="C552" t="s">
        <v>358</v>
      </c>
      <c r="D552" t="s">
        <v>546</v>
      </c>
      <c r="E552" t="s">
        <v>547</v>
      </c>
      <c r="F552" t="s">
        <v>548</v>
      </c>
      <c r="G552" t="s">
        <v>549</v>
      </c>
      <c r="H552" t="s">
        <v>34</v>
      </c>
      <c r="I552" t="s">
        <v>23</v>
      </c>
      <c r="J552">
        <v>1621617.93</v>
      </c>
      <c r="K552">
        <v>565856.17000000004</v>
      </c>
      <c r="L552">
        <v>1055761.75</v>
      </c>
      <c r="M552">
        <v>212216.64</v>
      </c>
      <c r="N552">
        <v>79400.639999999999</v>
      </c>
      <c r="O552">
        <v>132816</v>
      </c>
      <c r="P552">
        <v>105205.85</v>
      </c>
      <c r="Q552">
        <v>813198954.89999998</v>
      </c>
      <c r="R552">
        <v>843094721.39999998</v>
      </c>
      <c r="S552">
        <v>5.2999999999999999E-2</v>
      </c>
      <c r="T552">
        <v>3</v>
      </c>
      <c r="U552">
        <v>2.75E-2</v>
      </c>
      <c r="V552">
        <v>0.1</v>
      </c>
      <c r="X552">
        <v>175981.2</v>
      </c>
    </row>
    <row r="553" spans="1:25" x14ac:dyDescent="0.25">
      <c r="A553">
        <v>2020</v>
      </c>
      <c r="B553">
        <v>9</v>
      </c>
      <c r="C553" t="s">
        <v>358</v>
      </c>
      <c r="D553" t="s">
        <v>554</v>
      </c>
      <c r="E553" t="s">
        <v>555</v>
      </c>
      <c r="F553" t="s">
        <v>556</v>
      </c>
      <c r="G553" t="s">
        <v>557</v>
      </c>
      <c r="H553" t="s">
        <v>34</v>
      </c>
      <c r="I553" t="s">
        <v>23</v>
      </c>
      <c r="J553">
        <v>1258957.97</v>
      </c>
      <c r="K553">
        <v>659010.80000000005</v>
      </c>
      <c r="L553">
        <v>599947.17000000004</v>
      </c>
      <c r="M553">
        <v>168200.33</v>
      </c>
      <c r="N553">
        <v>92138.32</v>
      </c>
      <c r="O553">
        <v>76062.009999999995</v>
      </c>
      <c r="P553">
        <v>122083.27</v>
      </c>
      <c r="Q553">
        <v>830413764</v>
      </c>
      <c r="R553">
        <v>849288986.89999998</v>
      </c>
      <c r="S553">
        <v>5.2999999999999999E-2</v>
      </c>
      <c r="T553">
        <v>3</v>
      </c>
      <c r="U553">
        <v>2.75E-2</v>
      </c>
      <c r="V553">
        <v>0.08</v>
      </c>
      <c r="X553">
        <v>100782.17</v>
      </c>
      <c r="Y553">
        <v>7.4999999999999997E-3</v>
      </c>
    </row>
    <row r="554" spans="1:25" x14ac:dyDescent="0.25">
      <c r="A554">
        <v>2020</v>
      </c>
      <c r="B554">
        <v>9</v>
      </c>
      <c r="C554" t="s">
        <v>361</v>
      </c>
      <c r="D554" t="s">
        <v>362</v>
      </c>
      <c r="E554" t="s">
        <v>363</v>
      </c>
      <c r="F554" t="s">
        <v>558</v>
      </c>
      <c r="G554" t="s">
        <v>559</v>
      </c>
      <c r="H554" t="s">
        <v>34</v>
      </c>
      <c r="I554" t="s">
        <v>23</v>
      </c>
      <c r="J554">
        <v>524117.33</v>
      </c>
      <c r="K554">
        <v>113640.43</v>
      </c>
      <c r="L554">
        <v>410476.9</v>
      </c>
      <c r="M554">
        <v>83338.36</v>
      </c>
      <c r="N554">
        <v>28970.02</v>
      </c>
      <c r="O554">
        <v>54368.34</v>
      </c>
      <c r="P554">
        <v>38385.269999999997</v>
      </c>
      <c r="Q554">
        <v>589512269.20000005</v>
      </c>
      <c r="R554">
        <v>611121931</v>
      </c>
      <c r="S554">
        <v>5.2999999999999999E-2</v>
      </c>
      <c r="T554" t="s">
        <v>24</v>
      </c>
      <c r="U554">
        <v>3.5000000000000003E-2</v>
      </c>
      <c r="V554">
        <v>0.08</v>
      </c>
      <c r="X554">
        <v>72038.05</v>
      </c>
    </row>
    <row r="555" spans="1:25" x14ac:dyDescent="0.25">
      <c r="A555">
        <v>2020</v>
      </c>
      <c r="B555">
        <v>9</v>
      </c>
      <c r="C555" t="s">
        <v>361</v>
      </c>
      <c r="D555" t="s">
        <v>560</v>
      </c>
      <c r="E555" t="s">
        <v>561</v>
      </c>
      <c r="F555" t="s">
        <v>562</v>
      </c>
      <c r="G555" t="s">
        <v>563</v>
      </c>
      <c r="H555" t="s">
        <v>34</v>
      </c>
      <c r="I555" t="s">
        <v>23</v>
      </c>
      <c r="J555">
        <v>551019.17000000004</v>
      </c>
      <c r="K555">
        <v>123826.65</v>
      </c>
      <c r="L555">
        <v>427192.53</v>
      </c>
      <c r="M555">
        <v>85604.66</v>
      </c>
      <c r="N555">
        <v>29159.200000000001</v>
      </c>
      <c r="O555">
        <v>56445.46</v>
      </c>
      <c r="P555">
        <v>38635.94</v>
      </c>
      <c r="Q555">
        <v>612320819.60000002</v>
      </c>
      <c r="R555">
        <v>634183136.70000005</v>
      </c>
      <c r="S555">
        <v>5.2999999999999999E-2</v>
      </c>
      <c r="T555">
        <v>3</v>
      </c>
      <c r="U555">
        <v>2.75E-2</v>
      </c>
      <c r="V555">
        <v>0.08</v>
      </c>
      <c r="X555">
        <v>74790.240000000005</v>
      </c>
      <c r="Y555">
        <v>7.4999999999999997E-3</v>
      </c>
    </row>
    <row r="556" spans="1:25" x14ac:dyDescent="0.25">
      <c r="A556">
        <v>2020</v>
      </c>
      <c r="B556">
        <v>9</v>
      </c>
      <c r="C556" t="s">
        <v>295</v>
      </c>
      <c r="D556" t="s">
        <v>564</v>
      </c>
      <c r="E556" t="s">
        <v>565</v>
      </c>
      <c r="F556" t="s">
        <v>566</v>
      </c>
      <c r="G556" t="s">
        <v>567</v>
      </c>
      <c r="H556" t="s">
        <v>34</v>
      </c>
      <c r="I556" t="s">
        <v>34</v>
      </c>
      <c r="J556">
        <v>889167.18</v>
      </c>
      <c r="K556">
        <v>889167.18</v>
      </c>
      <c r="M556">
        <v>118177.89</v>
      </c>
      <c r="N556">
        <v>118177.89</v>
      </c>
      <c r="P556">
        <v>156585.70000000001</v>
      </c>
    </row>
    <row r="557" spans="1:25" x14ac:dyDescent="0.25">
      <c r="A557">
        <v>2020</v>
      </c>
      <c r="B557">
        <v>9</v>
      </c>
      <c r="C557" t="s">
        <v>298</v>
      </c>
      <c r="D557" t="s">
        <v>589</v>
      </c>
      <c r="E557" t="s">
        <v>590</v>
      </c>
      <c r="F557" t="s">
        <v>591</v>
      </c>
      <c r="G557" t="s">
        <v>592</v>
      </c>
      <c r="H557" t="s">
        <v>34</v>
      </c>
      <c r="I557" t="s">
        <v>34</v>
      </c>
      <c r="J557">
        <v>398561.68</v>
      </c>
      <c r="K557">
        <v>398561.68</v>
      </c>
      <c r="M557">
        <v>78793.03</v>
      </c>
      <c r="N557">
        <v>78793.03</v>
      </c>
      <c r="P557">
        <v>104400.76</v>
      </c>
    </row>
    <row r="558" spans="1:25" x14ac:dyDescent="0.25">
      <c r="A558">
        <v>2020</v>
      </c>
      <c r="B558">
        <v>9</v>
      </c>
      <c r="C558" t="s">
        <v>395</v>
      </c>
      <c r="D558" t="s">
        <v>625</v>
      </c>
      <c r="E558" t="s">
        <v>626</v>
      </c>
      <c r="F558" t="s">
        <v>627</v>
      </c>
      <c r="G558" t="s">
        <v>628</v>
      </c>
      <c r="H558" t="s">
        <v>34</v>
      </c>
      <c r="I558" t="s">
        <v>34</v>
      </c>
      <c r="J558">
        <v>5246.03</v>
      </c>
      <c r="K558">
        <v>5246.03</v>
      </c>
      <c r="M558">
        <v>5246.03</v>
      </c>
      <c r="N558">
        <v>5246.03</v>
      </c>
      <c r="P558">
        <v>6950.99</v>
      </c>
    </row>
    <row r="559" spans="1:25" x14ac:dyDescent="0.25">
      <c r="A559">
        <v>2020</v>
      </c>
      <c r="B559">
        <v>9</v>
      </c>
      <c r="C559" t="s">
        <v>395</v>
      </c>
      <c r="D559" t="s">
        <v>396</v>
      </c>
      <c r="E559" t="s">
        <v>397</v>
      </c>
      <c r="F559" t="s">
        <v>637</v>
      </c>
      <c r="G559" t="s">
        <v>638</v>
      </c>
      <c r="H559" t="s">
        <v>34</v>
      </c>
      <c r="I559" t="s">
        <v>34</v>
      </c>
      <c r="J559">
        <v>6784.35</v>
      </c>
      <c r="K559">
        <v>6784.35</v>
      </c>
      <c r="M559">
        <v>6784.35</v>
      </c>
      <c r="N559">
        <v>6784.35</v>
      </c>
      <c r="P559">
        <v>8989.26</v>
      </c>
    </row>
    <row r="560" spans="1:25" x14ac:dyDescent="0.25">
      <c r="A560">
        <v>2020</v>
      </c>
      <c r="B560">
        <v>9</v>
      </c>
      <c r="C560" t="s">
        <v>395</v>
      </c>
      <c r="D560" t="s">
        <v>629</v>
      </c>
      <c r="E560" t="s">
        <v>630</v>
      </c>
      <c r="F560" t="s">
        <v>631</v>
      </c>
      <c r="G560" t="s">
        <v>632</v>
      </c>
      <c r="H560" t="s">
        <v>34</v>
      </c>
      <c r="I560" t="s">
        <v>34</v>
      </c>
      <c r="J560">
        <v>5253.94</v>
      </c>
      <c r="K560">
        <v>5253.94</v>
      </c>
      <c r="M560">
        <v>5253.94</v>
      </c>
      <c r="N560">
        <v>5253.94</v>
      </c>
      <c r="P560">
        <v>6961.47</v>
      </c>
    </row>
    <row r="561" spans="1:16" x14ac:dyDescent="0.25">
      <c r="A561">
        <v>2020</v>
      </c>
      <c r="B561">
        <v>9</v>
      </c>
      <c r="C561" t="s">
        <v>395</v>
      </c>
      <c r="D561" t="s">
        <v>633</v>
      </c>
      <c r="E561" t="s">
        <v>634</v>
      </c>
      <c r="F561" t="s">
        <v>635</v>
      </c>
      <c r="G561" t="s">
        <v>636</v>
      </c>
      <c r="H561" t="s">
        <v>34</v>
      </c>
      <c r="I561" t="s">
        <v>34</v>
      </c>
      <c r="J561">
        <v>5245.19</v>
      </c>
      <c r="K561">
        <v>5245.19</v>
      </c>
      <c r="M561">
        <v>5245.19</v>
      </c>
      <c r="N561">
        <v>5245.19</v>
      </c>
      <c r="P561">
        <v>6949.88</v>
      </c>
    </row>
    <row r="562" spans="1:16" x14ac:dyDescent="0.25">
      <c r="A562">
        <v>2020</v>
      </c>
      <c r="B562">
        <v>9</v>
      </c>
      <c r="C562" t="s">
        <v>395</v>
      </c>
      <c r="D562" t="s">
        <v>617</v>
      </c>
      <c r="E562" t="s">
        <v>618</v>
      </c>
      <c r="F562" t="s">
        <v>619</v>
      </c>
      <c r="G562" t="s">
        <v>620</v>
      </c>
      <c r="H562" t="s">
        <v>34</v>
      </c>
      <c r="I562" t="s">
        <v>34</v>
      </c>
      <c r="J562">
        <v>5794.63</v>
      </c>
      <c r="K562">
        <v>5794.63</v>
      </c>
      <c r="M562">
        <v>5794.63</v>
      </c>
      <c r="N562">
        <v>5794.63</v>
      </c>
      <c r="P562">
        <v>7677.88</v>
      </c>
    </row>
    <row r="563" spans="1:16" x14ac:dyDescent="0.25">
      <c r="A563">
        <v>2020</v>
      </c>
      <c r="B563">
        <v>9</v>
      </c>
      <c r="C563" t="s">
        <v>395</v>
      </c>
      <c r="D563" t="s">
        <v>621</v>
      </c>
      <c r="E563" t="s">
        <v>622</v>
      </c>
      <c r="F563" t="s">
        <v>623</v>
      </c>
      <c r="G563" t="s">
        <v>624</v>
      </c>
      <c r="H563" t="s">
        <v>34</v>
      </c>
      <c r="I563" t="s">
        <v>34</v>
      </c>
      <c r="J563">
        <v>5246.02</v>
      </c>
      <c r="K563">
        <v>5246.02</v>
      </c>
      <c r="M563">
        <v>5246.02</v>
      </c>
      <c r="N563">
        <v>5246.02</v>
      </c>
      <c r="P563">
        <v>6950.98</v>
      </c>
    </row>
    <row r="564" spans="1:16" x14ac:dyDescent="0.25">
      <c r="A564">
        <v>2020</v>
      </c>
      <c r="B564">
        <v>9</v>
      </c>
      <c r="C564" t="s">
        <v>286</v>
      </c>
      <c r="D564" t="s">
        <v>287</v>
      </c>
      <c r="E564" t="s">
        <v>288</v>
      </c>
      <c r="F564" t="s">
        <v>639</v>
      </c>
      <c r="G564" t="s">
        <v>640</v>
      </c>
      <c r="H564" t="s">
        <v>34</v>
      </c>
      <c r="I564" t="s">
        <v>34</v>
      </c>
      <c r="J564">
        <v>14490.62</v>
      </c>
      <c r="K564">
        <v>14490.62</v>
      </c>
      <c r="M564">
        <v>14490.62</v>
      </c>
      <c r="N564">
        <v>14490.62</v>
      </c>
      <c r="P564">
        <v>19200.07</v>
      </c>
    </row>
    <row r="565" spans="1:16" x14ac:dyDescent="0.25">
      <c r="A565">
        <v>2020</v>
      </c>
      <c r="B565">
        <v>9</v>
      </c>
      <c r="C565" t="s">
        <v>286</v>
      </c>
      <c r="D565" t="s">
        <v>287</v>
      </c>
      <c r="E565" t="s">
        <v>288</v>
      </c>
      <c r="F565" t="s">
        <v>641</v>
      </c>
      <c r="G565" t="s">
        <v>642</v>
      </c>
      <c r="H565" t="s">
        <v>34</v>
      </c>
      <c r="I565" t="s">
        <v>34</v>
      </c>
      <c r="J565">
        <v>6127.89</v>
      </c>
      <c r="K565">
        <v>6127.89</v>
      </c>
      <c r="M565">
        <v>6127.89</v>
      </c>
      <c r="N565">
        <v>6127.89</v>
      </c>
      <c r="P565">
        <v>8119.46</v>
      </c>
    </row>
    <row r="566" spans="1:16" x14ac:dyDescent="0.25">
      <c r="A566">
        <v>2020</v>
      </c>
      <c r="B566">
        <v>9</v>
      </c>
      <c r="C566" t="s">
        <v>308</v>
      </c>
      <c r="D566" t="s">
        <v>643</v>
      </c>
      <c r="E566" t="s">
        <v>644</v>
      </c>
      <c r="F566" t="s">
        <v>645</v>
      </c>
      <c r="G566" t="s">
        <v>646</v>
      </c>
      <c r="H566" t="s">
        <v>34</v>
      </c>
      <c r="I566" t="s">
        <v>34</v>
      </c>
      <c r="J566">
        <v>4387.84</v>
      </c>
      <c r="K566">
        <v>4387.84</v>
      </c>
      <c r="M566">
        <v>4387.84</v>
      </c>
      <c r="N566">
        <v>4387.84</v>
      </c>
      <c r="P566">
        <v>5813.89</v>
      </c>
    </row>
    <row r="567" spans="1:16" x14ac:dyDescent="0.25">
      <c r="A567">
        <v>2020</v>
      </c>
      <c r="B567">
        <v>9</v>
      </c>
      <c r="C567" t="s">
        <v>401</v>
      </c>
      <c r="D567" t="s">
        <v>402</v>
      </c>
      <c r="E567" t="s">
        <v>403</v>
      </c>
      <c r="F567" t="s">
        <v>651</v>
      </c>
      <c r="G567" t="s">
        <v>652</v>
      </c>
      <c r="H567" t="s">
        <v>34</v>
      </c>
      <c r="I567" t="s">
        <v>34</v>
      </c>
      <c r="J567">
        <v>1706.76</v>
      </c>
      <c r="K567">
        <v>1706.76</v>
      </c>
      <c r="M567">
        <v>1706.76</v>
      </c>
      <c r="N567">
        <v>1706.76</v>
      </c>
      <c r="P567">
        <v>2261.46</v>
      </c>
    </row>
    <row r="568" spans="1:16" x14ac:dyDescent="0.25">
      <c r="A568">
        <v>2020</v>
      </c>
      <c r="B568">
        <v>9</v>
      </c>
      <c r="C568" t="s">
        <v>401</v>
      </c>
      <c r="D568" t="s">
        <v>647</v>
      </c>
      <c r="E568" t="s">
        <v>648</v>
      </c>
      <c r="F568" t="s">
        <v>649</v>
      </c>
      <c r="G568" t="s">
        <v>650</v>
      </c>
      <c r="H568" t="s">
        <v>34</v>
      </c>
      <c r="I568" t="s">
        <v>34</v>
      </c>
      <c r="J568">
        <v>1706.76</v>
      </c>
      <c r="K568">
        <v>1706.76</v>
      </c>
      <c r="M568">
        <v>1706.76</v>
      </c>
      <c r="N568">
        <v>1706.76</v>
      </c>
      <c r="P568">
        <v>2261.46</v>
      </c>
    </row>
    <row r="569" spans="1:16" x14ac:dyDescent="0.25">
      <c r="A569">
        <v>2020</v>
      </c>
      <c r="B569">
        <v>9</v>
      </c>
      <c r="C569" t="s">
        <v>401</v>
      </c>
      <c r="D569" t="s">
        <v>402</v>
      </c>
      <c r="E569" t="s">
        <v>403</v>
      </c>
      <c r="F569" t="s">
        <v>653</v>
      </c>
      <c r="G569" t="s">
        <v>654</v>
      </c>
      <c r="H569" t="s">
        <v>34</v>
      </c>
      <c r="I569" t="s">
        <v>34</v>
      </c>
      <c r="J569">
        <v>3208.2</v>
      </c>
      <c r="K569">
        <v>3208.2</v>
      </c>
      <c r="M569">
        <v>3208.2</v>
      </c>
      <c r="N569">
        <v>3208.2</v>
      </c>
      <c r="P569">
        <v>4250.87</v>
      </c>
    </row>
    <row r="570" spans="1:16" x14ac:dyDescent="0.25">
      <c r="A570">
        <v>2020</v>
      </c>
      <c r="B570">
        <v>9</v>
      </c>
      <c r="C570" t="s">
        <v>401</v>
      </c>
      <c r="D570" t="s">
        <v>655</v>
      </c>
      <c r="E570" t="s">
        <v>656</v>
      </c>
      <c r="F570" t="s">
        <v>657</v>
      </c>
      <c r="G570" t="s">
        <v>658</v>
      </c>
      <c r="H570" t="s">
        <v>34</v>
      </c>
      <c r="I570" t="s">
        <v>34</v>
      </c>
      <c r="J570">
        <v>1706.76</v>
      </c>
      <c r="K570">
        <v>1706.76</v>
      </c>
      <c r="M570">
        <v>1706.76</v>
      </c>
      <c r="N570">
        <v>1706.76</v>
      </c>
      <c r="P570">
        <v>2261.46</v>
      </c>
    </row>
    <row r="571" spans="1:16" x14ac:dyDescent="0.25">
      <c r="A571">
        <v>2020</v>
      </c>
      <c r="B571">
        <v>9</v>
      </c>
      <c r="C571" t="s">
        <v>321</v>
      </c>
      <c r="D571" t="s">
        <v>568</v>
      </c>
      <c r="E571" t="s">
        <v>569</v>
      </c>
      <c r="F571" t="s">
        <v>570</v>
      </c>
      <c r="G571" t="s">
        <v>571</v>
      </c>
      <c r="H571" t="s">
        <v>34</v>
      </c>
      <c r="I571" t="s">
        <v>34</v>
      </c>
      <c r="J571">
        <v>975256.91</v>
      </c>
      <c r="K571">
        <v>975256.91</v>
      </c>
      <c r="M571">
        <v>121318.57</v>
      </c>
      <c r="N571">
        <v>121318.57</v>
      </c>
      <c r="P571">
        <v>160747.1</v>
      </c>
    </row>
    <row r="572" spans="1:16" x14ac:dyDescent="0.25">
      <c r="A572">
        <v>2020</v>
      </c>
      <c r="B572">
        <v>9</v>
      </c>
      <c r="C572" t="s">
        <v>327</v>
      </c>
      <c r="D572" t="s">
        <v>328</v>
      </c>
      <c r="E572" t="s">
        <v>329</v>
      </c>
      <c r="F572" t="s">
        <v>572</v>
      </c>
      <c r="G572" t="s">
        <v>573</v>
      </c>
      <c r="H572" t="s">
        <v>34</v>
      </c>
      <c r="I572" t="s">
        <v>34</v>
      </c>
      <c r="J572">
        <v>110317.59</v>
      </c>
      <c r="K572">
        <v>110317.59</v>
      </c>
      <c r="M572">
        <v>20825.79</v>
      </c>
      <c r="N572">
        <v>20825.79</v>
      </c>
      <c r="P572">
        <v>27594.17</v>
      </c>
    </row>
    <row r="573" spans="1:16" x14ac:dyDescent="0.25">
      <c r="A573">
        <v>2020</v>
      </c>
      <c r="B573">
        <v>9</v>
      </c>
      <c r="C573" t="s">
        <v>330</v>
      </c>
      <c r="D573" t="s">
        <v>331</v>
      </c>
      <c r="E573" t="s">
        <v>332</v>
      </c>
      <c r="F573" t="s">
        <v>605</v>
      </c>
      <c r="G573" t="s">
        <v>606</v>
      </c>
      <c r="H573" t="s">
        <v>34</v>
      </c>
      <c r="I573" t="s">
        <v>34</v>
      </c>
      <c r="J573">
        <v>645.07000000000005</v>
      </c>
      <c r="K573">
        <v>645.07000000000005</v>
      </c>
      <c r="M573">
        <v>13.67</v>
      </c>
      <c r="N573">
        <v>13.67</v>
      </c>
      <c r="P573">
        <v>18.11</v>
      </c>
    </row>
    <row r="574" spans="1:16" x14ac:dyDescent="0.25">
      <c r="A574">
        <v>2020</v>
      </c>
      <c r="B574">
        <v>9</v>
      </c>
      <c r="C574" t="s">
        <v>330</v>
      </c>
      <c r="D574" t="s">
        <v>597</v>
      </c>
      <c r="E574" t="s">
        <v>598</v>
      </c>
      <c r="F574" t="s">
        <v>599</v>
      </c>
      <c r="G574" t="s">
        <v>600</v>
      </c>
      <c r="H574" t="s">
        <v>34</v>
      </c>
      <c r="I574" t="s">
        <v>34</v>
      </c>
      <c r="J574">
        <v>5106.6899999999996</v>
      </c>
      <c r="K574">
        <v>5106.6899999999996</v>
      </c>
      <c r="M574">
        <v>1870.85</v>
      </c>
      <c r="N574">
        <v>1870.85</v>
      </c>
      <c r="P574">
        <v>2478.88</v>
      </c>
    </row>
    <row r="575" spans="1:16" x14ac:dyDescent="0.25">
      <c r="A575">
        <v>2020</v>
      </c>
      <c r="B575">
        <v>9</v>
      </c>
      <c r="C575" t="s">
        <v>330</v>
      </c>
      <c r="D575" t="s">
        <v>593</v>
      </c>
      <c r="E575" t="s">
        <v>594</v>
      </c>
      <c r="F575" t="s">
        <v>595</v>
      </c>
      <c r="G575" t="s">
        <v>596</v>
      </c>
      <c r="H575" t="s">
        <v>34</v>
      </c>
      <c r="I575" t="s">
        <v>34</v>
      </c>
      <c r="J575">
        <v>7769.55</v>
      </c>
      <c r="K575">
        <v>7769.55</v>
      </c>
      <c r="M575">
        <v>2608.4699999999998</v>
      </c>
      <c r="N575">
        <v>2608.4699999999998</v>
      </c>
      <c r="P575">
        <v>3456.22</v>
      </c>
    </row>
    <row r="576" spans="1:16" x14ac:dyDescent="0.25">
      <c r="A576">
        <v>2020</v>
      </c>
      <c r="B576">
        <v>9</v>
      </c>
      <c r="C576" t="s">
        <v>330</v>
      </c>
      <c r="D576" t="s">
        <v>601</v>
      </c>
      <c r="E576" t="s">
        <v>602</v>
      </c>
      <c r="F576" t="s">
        <v>603</v>
      </c>
      <c r="G576" t="s">
        <v>604</v>
      </c>
      <c r="H576" t="s">
        <v>34</v>
      </c>
      <c r="I576" t="s">
        <v>34</v>
      </c>
      <c r="J576">
        <v>4329.47</v>
      </c>
      <c r="K576">
        <v>4329.47</v>
      </c>
      <c r="M576">
        <v>1676.21</v>
      </c>
      <c r="N576">
        <v>1676.21</v>
      </c>
      <c r="P576">
        <v>2220.98</v>
      </c>
    </row>
    <row r="577" spans="1:25" x14ac:dyDescent="0.25">
      <c r="A577">
        <v>2020</v>
      </c>
      <c r="B577">
        <v>9</v>
      </c>
      <c r="C577" t="s">
        <v>340</v>
      </c>
      <c r="D577" t="s">
        <v>574</v>
      </c>
      <c r="E577" t="s">
        <v>575</v>
      </c>
      <c r="F577" t="s">
        <v>576</v>
      </c>
      <c r="G577" t="s">
        <v>577</v>
      </c>
      <c r="H577" t="s">
        <v>34</v>
      </c>
      <c r="I577" t="s">
        <v>34</v>
      </c>
      <c r="J577">
        <v>1056384.31</v>
      </c>
      <c r="K577">
        <v>1056384.31</v>
      </c>
      <c r="M577">
        <v>159369.62</v>
      </c>
      <c r="N577">
        <v>159369.62</v>
      </c>
      <c r="P577">
        <v>211164.75</v>
      </c>
    </row>
    <row r="578" spans="1:25" x14ac:dyDescent="0.25">
      <c r="A578">
        <v>2020</v>
      </c>
      <c r="B578">
        <v>9</v>
      </c>
      <c r="C578" t="s">
        <v>355</v>
      </c>
      <c r="D578" t="s">
        <v>356</v>
      </c>
      <c r="E578" t="s">
        <v>357</v>
      </c>
      <c r="F578" t="s">
        <v>578</v>
      </c>
      <c r="G578" t="s">
        <v>579</v>
      </c>
      <c r="H578" t="s">
        <v>34</v>
      </c>
      <c r="I578" t="s">
        <v>34</v>
      </c>
      <c r="J578">
        <v>0.49</v>
      </c>
      <c r="K578">
        <v>0.49</v>
      </c>
      <c r="M578">
        <v>0</v>
      </c>
    </row>
    <row r="579" spans="1:25" x14ac:dyDescent="0.25">
      <c r="A579">
        <v>2020</v>
      </c>
      <c r="B579">
        <v>9</v>
      </c>
      <c r="C579" t="s">
        <v>289</v>
      </c>
      <c r="D579" t="s">
        <v>607</v>
      </c>
      <c r="E579" t="s">
        <v>608</v>
      </c>
      <c r="F579" t="s">
        <v>609</v>
      </c>
      <c r="G579" t="s">
        <v>610</v>
      </c>
      <c r="H579" t="s">
        <v>34</v>
      </c>
      <c r="I579" t="s">
        <v>34</v>
      </c>
      <c r="J579">
        <v>54730.81</v>
      </c>
      <c r="K579">
        <v>54730.81</v>
      </c>
      <c r="M579">
        <v>24929.17</v>
      </c>
      <c r="N579">
        <v>24929.17</v>
      </c>
      <c r="P579">
        <v>33031.15</v>
      </c>
    </row>
    <row r="580" spans="1:25" x14ac:dyDescent="0.25">
      <c r="A580">
        <v>2020</v>
      </c>
      <c r="B580">
        <v>9</v>
      </c>
      <c r="C580" t="s">
        <v>289</v>
      </c>
      <c r="D580" t="s">
        <v>611</v>
      </c>
      <c r="E580" t="s">
        <v>615</v>
      </c>
      <c r="F580" t="s">
        <v>613</v>
      </c>
      <c r="G580" t="s">
        <v>616</v>
      </c>
      <c r="H580" t="s">
        <v>34</v>
      </c>
      <c r="I580" t="s">
        <v>34</v>
      </c>
      <c r="J580">
        <v>42865.06</v>
      </c>
      <c r="K580">
        <v>42865.06</v>
      </c>
      <c r="M580">
        <v>20316.599999999999</v>
      </c>
      <c r="N580">
        <v>20316.599999999999</v>
      </c>
      <c r="P580">
        <v>26919.5</v>
      </c>
    </row>
    <row r="581" spans="1:25" x14ac:dyDescent="0.25">
      <c r="A581">
        <v>2020</v>
      </c>
      <c r="B581">
        <v>10</v>
      </c>
      <c r="C581" t="s">
        <v>168</v>
      </c>
      <c r="D581" t="s">
        <v>404</v>
      </c>
      <c r="E581" t="s">
        <v>405</v>
      </c>
      <c r="F581" t="s">
        <v>406</v>
      </c>
      <c r="G581" t="s">
        <v>407</v>
      </c>
      <c r="H581" t="s">
        <v>34</v>
      </c>
      <c r="I581" t="s">
        <v>23</v>
      </c>
      <c r="J581">
        <v>787603.01</v>
      </c>
      <c r="K581">
        <v>251227.28</v>
      </c>
      <c r="L581">
        <v>536375.73</v>
      </c>
      <c r="M581">
        <v>102276.68</v>
      </c>
      <c r="N581">
        <v>36915.5</v>
      </c>
      <c r="O581">
        <v>65361.17</v>
      </c>
      <c r="P581">
        <v>48913.04</v>
      </c>
      <c r="Q581">
        <v>708372608.79999995</v>
      </c>
      <c r="R581">
        <v>735019964.70000005</v>
      </c>
      <c r="S581">
        <v>5.2999999999999999E-2</v>
      </c>
      <c r="T581">
        <v>3</v>
      </c>
      <c r="U581">
        <v>2.75E-2</v>
      </c>
      <c r="V581">
        <v>0.08</v>
      </c>
      <c r="X581">
        <v>86603.55</v>
      </c>
      <c r="Y581">
        <v>7.4999999999999997E-3</v>
      </c>
    </row>
    <row r="582" spans="1:25" x14ac:dyDescent="0.25">
      <c r="A582">
        <v>2020</v>
      </c>
      <c r="B582">
        <v>10</v>
      </c>
      <c r="C582" t="s">
        <v>168</v>
      </c>
      <c r="D582" t="s">
        <v>292</v>
      </c>
      <c r="E582" t="s">
        <v>293</v>
      </c>
      <c r="F582" t="s">
        <v>410</v>
      </c>
      <c r="G582" t="s">
        <v>411</v>
      </c>
      <c r="H582" t="s">
        <v>34</v>
      </c>
      <c r="I582" t="s">
        <v>23</v>
      </c>
      <c r="J582">
        <v>777867.53</v>
      </c>
      <c r="K582">
        <v>14003.87</v>
      </c>
      <c r="L582">
        <v>763863.66</v>
      </c>
      <c r="M582">
        <v>79689.58</v>
      </c>
      <c r="N582">
        <v>4025.43</v>
      </c>
      <c r="O582">
        <v>75664.149999999994</v>
      </c>
      <c r="P582">
        <v>5333.69</v>
      </c>
      <c r="Q582">
        <v>1955222635</v>
      </c>
      <c r="R582">
        <v>1386610790</v>
      </c>
      <c r="S582">
        <v>5.2999999999999999E-2</v>
      </c>
      <c r="T582">
        <v>3</v>
      </c>
      <c r="U582">
        <v>2.75E-2</v>
      </c>
      <c r="V582">
        <v>0.04</v>
      </c>
      <c r="X582">
        <v>100255</v>
      </c>
      <c r="Y582">
        <v>7.4999999999999997E-3</v>
      </c>
    </row>
    <row r="583" spans="1:25" x14ac:dyDescent="0.25">
      <c r="A583">
        <v>2020</v>
      </c>
      <c r="B583">
        <v>10</v>
      </c>
      <c r="C583" t="s">
        <v>168</v>
      </c>
      <c r="D583" t="s">
        <v>412</v>
      </c>
      <c r="E583" t="s">
        <v>413</v>
      </c>
      <c r="F583" t="s">
        <v>414</v>
      </c>
      <c r="G583" t="s">
        <v>415</v>
      </c>
      <c r="H583" t="s">
        <v>34</v>
      </c>
      <c r="I583" t="s">
        <v>23</v>
      </c>
      <c r="J583">
        <v>246743.74</v>
      </c>
      <c r="K583">
        <v>51148.28</v>
      </c>
      <c r="L583">
        <v>195595.46</v>
      </c>
      <c r="M583">
        <v>31995.85</v>
      </c>
      <c r="N583">
        <v>5725.15</v>
      </c>
      <c r="O583">
        <v>26270.7</v>
      </c>
      <c r="P583">
        <v>7585.82</v>
      </c>
      <c r="Q583">
        <v>273797258.10000002</v>
      </c>
      <c r="R583">
        <v>306347319.39999998</v>
      </c>
      <c r="S583">
        <v>5.2999999999999999E-2</v>
      </c>
      <c r="T583" t="s">
        <v>24</v>
      </c>
      <c r="U583">
        <v>3.5000000000000003E-2</v>
      </c>
      <c r="V583">
        <v>0.08</v>
      </c>
      <c r="X583">
        <v>34808.67</v>
      </c>
    </row>
    <row r="584" spans="1:25" x14ac:dyDescent="0.25">
      <c r="A584">
        <v>2020</v>
      </c>
      <c r="B584">
        <v>10</v>
      </c>
      <c r="C584" t="s">
        <v>168</v>
      </c>
      <c r="D584" t="s">
        <v>292</v>
      </c>
      <c r="E584" t="s">
        <v>293</v>
      </c>
      <c r="F584" t="s">
        <v>408</v>
      </c>
      <c r="G584" t="s">
        <v>409</v>
      </c>
      <c r="H584" t="s">
        <v>34</v>
      </c>
      <c r="I584" t="s">
        <v>23</v>
      </c>
      <c r="J584">
        <v>864094.8</v>
      </c>
      <c r="K584">
        <v>278315.84999999998</v>
      </c>
      <c r="L584">
        <v>585778.94999999995</v>
      </c>
      <c r="M584">
        <v>122750.08</v>
      </c>
      <c r="N584">
        <v>41616.9</v>
      </c>
      <c r="O584">
        <v>81133.179999999993</v>
      </c>
      <c r="P584">
        <v>55142.39</v>
      </c>
      <c r="Q584">
        <v>866459652.79999995</v>
      </c>
      <c r="R584">
        <v>925231465.5</v>
      </c>
      <c r="S584">
        <v>5.2999999999999999E-2</v>
      </c>
      <c r="T584">
        <v>3</v>
      </c>
      <c r="U584">
        <v>2.75E-2</v>
      </c>
      <c r="V584">
        <v>0.08</v>
      </c>
      <c r="X584">
        <v>107501.47</v>
      </c>
      <c r="Y584">
        <v>7.4999999999999997E-3</v>
      </c>
    </row>
    <row r="585" spans="1:25" x14ac:dyDescent="0.25">
      <c r="A585">
        <v>2020</v>
      </c>
      <c r="B585">
        <v>10</v>
      </c>
      <c r="C585" t="s">
        <v>295</v>
      </c>
      <c r="D585" t="s">
        <v>564</v>
      </c>
      <c r="E585" t="s">
        <v>565</v>
      </c>
      <c r="F585" t="s">
        <v>566</v>
      </c>
      <c r="G585" t="s">
        <v>567</v>
      </c>
      <c r="H585" t="s">
        <v>34</v>
      </c>
      <c r="I585" t="s">
        <v>23</v>
      </c>
      <c r="J585">
        <v>1224480.1599999999</v>
      </c>
      <c r="K585">
        <v>1008322.39</v>
      </c>
      <c r="L585">
        <v>216157.77</v>
      </c>
      <c r="M585">
        <v>335312.98</v>
      </c>
      <c r="N585">
        <v>119155.21</v>
      </c>
      <c r="O585">
        <v>216157.77</v>
      </c>
      <c r="P585">
        <v>157880.65</v>
      </c>
      <c r="Q585">
        <v>1331049036</v>
      </c>
      <c r="R585">
        <v>1364565482</v>
      </c>
      <c r="S585">
        <v>5.2999999999999999E-2</v>
      </c>
      <c r="T585">
        <v>3</v>
      </c>
      <c r="U585">
        <v>2.75E-2</v>
      </c>
      <c r="V585">
        <v>0.1</v>
      </c>
      <c r="X585">
        <v>286409.03999999998</v>
      </c>
    </row>
    <row r="586" spans="1:25" x14ac:dyDescent="0.25">
      <c r="A586">
        <v>2020</v>
      </c>
      <c r="B586">
        <v>10</v>
      </c>
      <c r="C586" t="s">
        <v>295</v>
      </c>
      <c r="D586" t="s">
        <v>296</v>
      </c>
      <c r="E586" t="s">
        <v>297</v>
      </c>
      <c r="F586" t="s">
        <v>416</v>
      </c>
      <c r="G586" t="s">
        <v>417</v>
      </c>
      <c r="H586" t="s">
        <v>34</v>
      </c>
      <c r="I586" t="s">
        <v>23</v>
      </c>
      <c r="J586">
        <v>2188733.2999999998</v>
      </c>
      <c r="K586">
        <v>1145773.02</v>
      </c>
      <c r="L586">
        <v>1042960.28</v>
      </c>
      <c r="M586">
        <v>258690.74</v>
      </c>
      <c r="N586">
        <v>132485.69</v>
      </c>
      <c r="O586">
        <v>126205.04</v>
      </c>
      <c r="P586">
        <v>175543.54</v>
      </c>
      <c r="Q586">
        <v>1365916057</v>
      </c>
      <c r="R586">
        <v>1421112008</v>
      </c>
      <c r="S586">
        <v>5.2999999999999999E-2</v>
      </c>
      <c r="T586" t="s">
        <v>24</v>
      </c>
      <c r="U586">
        <v>3.5000000000000003E-2</v>
      </c>
      <c r="V586">
        <v>0.08</v>
      </c>
      <c r="X586">
        <v>167221.68</v>
      </c>
    </row>
    <row r="587" spans="1:25" x14ac:dyDescent="0.25">
      <c r="A587">
        <v>2020</v>
      </c>
      <c r="B587">
        <v>10</v>
      </c>
      <c r="C587" t="s">
        <v>298</v>
      </c>
      <c r="D587" t="s">
        <v>299</v>
      </c>
      <c r="E587" t="s">
        <v>300</v>
      </c>
      <c r="F587" t="s">
        <v>587</v>
      </c>
      <c r="G587" t="s">
        <v>588</v>
      </c>
      <c r="H587" t="s">
        <v>34</v>
      </c>
      <c r="I587" t="s">
        <v>23</v>
      </c>
      <c r="J587">
        <v>1290780.49</v>
      </c>
      <c r="K587">
        <v>556822.15</v>
      </c>
      <c r="L587">
        <v>733958.34</v>
      </c>
      <c r="M587">
        <v>211619.25</v>
      </c>
      <c r="N587">
        <v>96055.62</v>
      </c>
      <c r="O587">
        <v>115563.63</v>
      </c>
      <c r="P587">
        <v>127273.69</v>
      </c>
      <c r="Q587">
        <v>1246875781</v>
      </c>
      <c r="R587">
        <v>1305154434</v>
      </c>
      <c r="S587">
        <v>5.2999999999999999E-2</v>
      </c>
      <c r="T587">
        <v>3</v>
      </c>
      <c r="U587">
        <v>2.75E-2</v>
      </c>
      <c r="V587">
        <v>0.08</v>
      </c>
      <c r="X587">
        <v>153121.81</v>
      </c>
      <c r="Y587">
        <v>7.4999999999999997E-3</v>
      </c>
    </row>
    <row r="588" spans="1:25" x14ac:dyDescent="0.25">
      <c r="A588">
        <v>2020</v>
      </c>
      <c r="B588">
        <v>10</v>
      </c>
      <c r="C588" t="s">
        <v>302</v>
      </c>
      <c r="D588" t="s">
        <v>418</v>
      </c>
      <c r="E588" t="s">
        <v>419</v>
      </c>
      <c r="F588" t="s">
        <v>420</v>
      </c>
      <c r="G588" t="s">
        <v>421</v>
      </c>
      <c r="H588" t="s">
        <v>34</v>
      </c>
      <c r="I588" t="s">
        <v>23</v>
      </c>
      <c r="J588">
        <v>929672.44</v>
      </c>
      <c r="K588">
        <v>388741.87</v>
      </c>
      <c r="L588">
        <v>540930.56999999995</v>
      </c>
      <c r="M588">
        <v>125627.57</v>
      </c>
      <c r="N588">
        <v>61962.97</v>
      </c>
      <c r="O588">
        <v>63664.6</v>
      </c>
      <c r="P588">
        <v>82100.929999999993</v>
      </c>
      <c r="Q588">
        <v>698640861.60000002</v>
      </c>
      <c r="R588">
        <v>707285795</v>
      </c>
      <c r="S588">
        <v>5.2999999999999999E-2</v>
      </c>
      <c r="T588">
        <v>3</v>
      </c>
      <c r="U588">
        <v>2.75E-2</v>
      </c>
      <c r="V588">
        <v>0.08</v>
      </c>
      <c r="X588">
        <v>84355.6</v>
      </c>
      <c r="Y588">
        <v>7.4999999999999997E-3</v>
      </c>
    </row>
    <row r="589" spans="1:25" x14ac:dyDescent="0.25">
      <c r="A589">
        <v>2020</v>
      </c>
      <c r="B589">
        <v>10</v>
      </c>
      <c r="C589" t="s">
        <v>302</v>
      </c>
      <c r="D589" t="s">
        <v>303</v>
      </c>
      <c r="E589" t="s">
        <v>304</v>
      </c>
      <c r="F589" t="s">
        <v>422</v>
      </c>
      <c r="G589" t="s">
        <v>423</v>
      </c>
      <c r="H589" t="s">
        <v>34</v>
      </c>
      <c r="I589" t="s">
        <v>23</v>
      </c>
      <c r="J589">
        <v>1001618.55</v>
      </c>
      <c r="K589">
        <v>441961.76</v>
      </c>
      <c r="L589">
        <v>559656.79</v>
      </c>
      <c r="M589">
        <v>135019.37</v>
      </c>
      <c r="N589">
        <v>67499.66</v>
      </c>
      <c r="O589">
        <v>67519.710000000006</v>
      </c>
      <c r="P589">
        <v>89437.05</v>
      </c>
      <c r="Q589">
        <v>735339698.20000005</v>
      </c>
      <c r="R589">
        <v>755720600.89999998</v>
      </c>
      <c r="S589">
        <v>5.2999999999999999E-2</v>
      </c>
      <c r="T589" t="s">
        <v>24</v>
      </c>
      <c r="U589">
        <v>3.5000000000000003E-2</v>
      </c>
      <c r="V589">
        <v>0.08</v>
      </c>
      <c r="X589">
        <v>89463.62</v>
      </c>
    </row>
    <row r="590" spans="1:25" x14ac:dyDescent="0.25">
      <c r="A590">
        <v>2020</v>
      </c>
      <c r="B590">
        <v>10</v>
      </c>
      <c r="C590" t="s">
        <v>305</v>
      </c>
      <c r="D590" t="s">
        <v>426</v>
      </c>
      <c r="E590" t="s">
        <v>427</v>
      </c>
      <c r="F590" t="s">
        <v>428</v>
      </c>
      <c r="G590" t="s">
        <v>429</v>
      </c>
      <c r="H590" t="s">
        <v>34</v>
      </c>
      <c r="I590" t="s">
        <v>23</v>
      </c>
      <c r="J590">
        <v>1026598.39</v>
      </c>
      <c r="K590">
        <v>367786.75</v>
      </c>
      <c r="L590">
        <v>658811.64</v>
      </c>
      <c r="M590">
        <v>152444.26</v>
      </c>
      <c r="N590">
        <v>66481.649999999994</v>
      </c>
      <c r="O590">
        <v>85962.62</v>
      </c>
      <c r="P590">
        <v>88088.18</v>
      </c>
      <c r="Q590">
        <v>942455132.20000005</v>
      </c>
      <c r="R590">
        <v>955886039.29999995</v>
      </c>
      <c r="S590">
        <v>5.2999999999999999E-2</v>
      </c>
      <c r="T590">
        <v>3</v>
      </c>
      <c r="U590">
        <v>2.75E-2</v>
      </c>
      <c r="V590">
        <v>0.08</v>
      </c>
      <c r="X590">
        <v>113900.47</v>
      </c>
      <c r="Y590">
        <v>7.4999999999999997E-3</v>
      </c>
    </row>
    <row r="591" spans="1:25" x14ac:dyDescent="0.25">
      <c r="A591">
        <v>2020</v>
      </c>
      <c r="B591">
        <v>10</v>
      </c>
      <c r="C591" t="s">
        <v>305</v>
      </c>
      <c r="D591" t="s">
        <v>306</v>
      </c>
      <c r="E591" t="s">
        <v>307</v>
      </c>
      <c r="F591" t="s">
        <v>424</v>
      </c>
      <c r="G591" t="s">
        <v>425</v>
      </c>
      <c r="H591" t="s">
        <v>34</v>
      </c>
      <c r="I591" t="s">
        <v>23</v>
      </c>
      <c r="J591">
        <v>1027570.56</v>
      </c>
      <c r="K591">
        <v>368571.43</v>
      </c>
      <c r="L591">
        <v>658999.14</v>
      </c>
      <c r="M591">
        <v>152450</v>
      </c>
      <c r="N591">
        <v>66546.960000000006</v>
      </c>
      <c r="O591">
        <v>85903.039999999994</v>
      </c>
      <c r="P591">
        <v>88174.720000000001</v>
      </c>
      <c r="Q591">
        <v>941737300.10000002</v>
      </c>
      <c r="R591">
        <v>955288247.29999995</v>
      </c>
      <c r="S591">
        <v>5.2999999999999999E-2</v>
      </c>
      <c r="T591">
        <v>3</v>
      </c>
      <c r="U591">
        <v>2.75E-2</v>
      </c>
      <c r="V591">
        <v>0.08</v>
      </c>
      <c r="X591">
        <v>113821.53</v>
      </c>
      <c r="Y591">
        <v>7.4999999999999997E-3</v>
      </c>
    </row>
    <row r="592" spans="1:25" x14ac:dyDescent="0.25">
      <c r="A592">
        <v>2020</v>
      </c>
      <c r="B592">
        <v>10</v>
      </c>
      <c r="C592" t="s">
        <v>308</v>
      </c>
      <c r="D592" t="s">
        <v>432</v>
      </c>
      <c r="E592" t="s">
        <v>433</v>
      </c>
      <c r="F592" t="s">
        <v>434</v>
      </c>
      <c r="G592" t="s">
        <v>435</v>
      </c>
      <c r="H592" t="s">
        <v>34</v>
      </c>
      <c r="I592" t="s">
        <v>23</v>
      </c>
      <c r="J592">
        <v>1133565.08</v>
      </c>
      <c r="K592">
        <v>373540.36</v>
      </c>
      <c r="L592">
        <v>760024.72</v>
      </c>
      <c r="M592">
        <v>149701.85</v>
      </c>
      <c r="N592">
        <v>57193.53</v>
      </c>
      <c r="O592">
        <v>92508.31</v>
      </c>
      <c r="P592">
        <v>75781.429999999993</v>
      </c>
      <c r="Q592">
        <v>1005557193</v>
      </c>
      <c r="R592">
        <v>1037334749</v>
      </c>
      <c r="S592">
        <v>5.2999999999999999E-2</v>
      </c>
      <c r="T592">
        <v>3</v>
      </c>
      <c r="U592">
        <v>2.75E-2</v>
      </c>
      <c r="V592">
        <v>0.08</v>
      </c>
      <c r="X592">
        <v>122573.52</v>
      </c>
      <c r="Y592">
        <v>7.4999999999999997E-3</v>
      </c>
    </row>
    <row r="593" spans="1:25" x14ac:dyDescent="0.25">
      <c r="A593">
        <v>2020</v>
      </c>
      <c r="B593">
        <v>10</v>
      </c>
      <c r="C593" t="s">
        <v>308</v>
      </c>
      <c r="D593" t="s">
        <v>309</v>
      </c>
      <c r="E593" t="s">
        <v>310</v>
      </c>
      <c r="F593" t="s">
        <v>430</v>
      </c>
      <c r="G593" t="s">
        <v>431</v>
      </c>
      <c r="H593" t="s">
        <v>34</v>
      </c>
      <c r="I593" t="s">
        <v>23</v>
      </c>
      <c r="J593">
        <v>2498945.35</v>
      </c>
      <c r="K593">
        <v>930796.63</v>
      </c>
      <c r="L593">
        <v>1568148.73</v>
      </c>
      <c r="M593">
        <v>271906.09999999998</v>
      </c>
      <c r="N593">
        <v>109324.8</v>
      </c>
      <c r="O593">
        <v>162581.29999999999</v>
      </c>
      <c r="P593">
        <v>144855.35999999999</v>
      </c>
      <c r="Q593">
        <v>1768064060</v>
      </c>
      <c r="R593">
        <v>1822273066</v>
      </c>
      <c r="S593">
        <v>5.2999999999999999E-2</v>
      </c>
      <c r="T593" t="s">
        <v>24</v>
      </c>
      <c r="U593">
        <v>3.5000000000000003E-2</v>
      </c>
      <c r="V593">
        <v>0.08</v>
      </c>
      <c r="X593">
        <v>215420.23</v>
      </c>
    </row>
    <row r="594" spans="1:25" x14ac:dyDescent="0.25">
      <c r="A594">
        <v>2020</v>
      </c>
      <c r="B594">
        <v>10</v>
      </c>
      <c r="C594" t="s">
        <v>311</v>
      </c>
      <c r="D594" t="s">
        <v>312</v>
      </c>
      <c r="E594" t="s">
        <v>313</v>
      </c>
      <c r="F594" t="s">
        <v>436</v>
      </c>
      <c r="G594" t="s">
        <v>437</v>
      </c>
      <c r="H594" t="s">
        <v>34</v>
      </c>
      <c r="I594" t="s">
        <v>23</v>
      </c>
      <c r="J594">
        <v>889849.5</v>
      </c>
      <c r="K594">
        <v>272726.65999999997</v>
      </c>
      <c r="L594">
        <v>617122.85</v>
      </c>
      <c r="M594">
        <v>124701.51</v>
      </c>
      <c r="N594">
        <v>47053.95</v>
      </c>
      <c r="O594">
        <v>77647.56</v>
      </c>
      <c r="P594">
        <v>62346.49</v>
      </c>
      <c r="Q594">
        <v>985021855.70000005</v>
      </c>
      <c r="R594">
        <v>1006262294</v>
      </c>
      <c r="S594">
        <v>5.2999999999999999E-2</v>
      </c>
      <c r="T594">
        <v>3</v>
      </c>
      <c r="U594">
        <v>2.75E-2</v>
      </c>
      <c r="V594">
        <v>0.08</v>
      </c>
      <c r="X594">
        <v>102883.01</v>
      </c>
      <c r="Y594">
        <v>0.01</v>
      </c>
    </row>
    <row r="595" spans="1:25" x14ac:dyDescent="0.25">
      <c r="A595">
        <v>2020</v>
      </c>
      <c r="B595">
        <v>10</v>
      </c>
      <c r="C595" t="s">
        <v>311</v>
      </c>
      <c r="D595" t="s">
        <v>438</v>
      </c>
      <c r="E595" t="s">
        <v>439</v>
      </c>
      <c r="F595" t="s">
        <v>440</v>
      </c>
      <c r="G595" t="s">
        <v>441</v>
      </c>
      <c r="H595" t="s">
        <v>34</v>
      </c>
      <c r="I595" t="s">
        <v>23</v>
      </c>
      <c r="J595">
        <v>1092510.1599999999</v>
      </c>
      <c r="K595">
        <v>243560.69</v>
      </c>
      <c r="L595">
        <v>848949.47</v>
      </c>
      <c r="M595">
        <v>138062.89000000001</v>
      </c>
      <c r="N595">
        <v>34906.65</v>
      </c>
      <c r="O595">
        <v>103156.24</v>
      </c>
      <c r="P595">
        <v>46251.31</v>
      </c>
      <c r="Q595">
        <v>788143437.89999998</v>
      </c>
      <c r="R595">
        <v>819880264.5</v>
      </c>
      <c r="S595">
        <v>5.2999999999999999E-2</v>
      </c>
      <c r="T595">
        <v>3</v>
      </c>
      <c r="U595">
        <v>2.75E-2</v>
      </c>
      <c r="V595">
        <v>0.08</v>
      </c>
      <c r="X595">
        <v>136682.01</v>
      </c>
    </row>
    <row r="596" spans="1:25" x14ac:dyDescent="0.25">
      <c r="A596">
        <v>2020</v>
      </c>
      <c r="B596">
        <v>10</v>
      </c>
      <c r="C596" t="s">
        <v>315</v>
      </c>
      <c r="D596" t="s">
        <v>316</v>
      </c>
      <c r="E596" t="s">
        <v>317</v>
      </c>
      <c r="F596" t="s">
        <v>442</v>
      </c>
      <c r="G596" t="s">
        <v>443</v>
      </c>
      <c r="H596" t="s">
        <v>34</v>
      </c>
      <c r="I596" t="s">
        <v>23</v>
      </c>
      <c r="J596">
        <v>2968310.15</v>
      </c>
      <c r="K596">
        <v>1180751.5900000001</v>
      </c>
      <c r="L596">
        <v>1787558.56</v>
      </c>
      <c r="M596">
        <v>375371.91</v>
      </c>
      <c r="N596">
        <v>141204.63</v>
      </c>
      <c r="O596">
        <v>234167.28</v>
      </c>
      <c r="P596">
        <v>187096.14</v>
      </c>
      <c r="Q596">
        <v>1422463794</v>
      </c>
      <c r="R596">
        <v>1497739912</v>
      </c>
      <c r="S596">
        <v>5.2999999999999999E-2</v>
      </c>
      <c r="T596">
        <v>3</v>
      </c>
      <c r="U596">
        <v>2.75E-2</v>
      </c>
      <c r="V596">
        <v>0.1</v>
      </c>
      <c r="X596">
        <v>310271.64</v>
      </c>
    </row>
    <row r="597" spans="1:25" x14ac:dyDescent="0.25">
      <c r="A597">
        <v>2020</v>
      </c>
      <c r="B597">
        <v>10</v>
      </c>
      <c r="C597" t="s">
        <v>315</v>
      </c>
      <c r="D597" t="s">
        <v>444</v>
      </c>
      <c r="E597" t="s">
        <v>445</v>
      </c>
      <c r="F597" t="s">
        <v>446</v>
      </c>
      <c r="G597" t="s">
        <v>447</v>
      </c>
      <c r="H597" t="s">
        <v>34</v>
      </c>
      <c r="I597" t="s">
        <v>23</v>
      </c>
      <c r="J597">
        <v>4069950.67</v>
      </c>
      <c r="K597">
        <v>1115683.6599999999</v>
      </c>
      <c r="L597">
        <v>2954267.01</v>
      </c>
      <c r="M597">
        <v>544721.48</v>
      </c>
      <c r="N597">
        <v>150841.04999999999</v>
      </c>
      <c r="O597">
        <v>393880.43</v>
      </c>
      <c r="P597">
        <v>199864.39</v>
      </c>
      <c r="Q597">
        <v>1619175415</v>
      </c>
      <c r="R597">
        <v>1676981834</v>
      </c>
      <c r="S597">
        <v>5.2999999999999999E-2</v>
      </c>
      <c r="T597">
        <v>1</v>
      </c>
      <c r="U597">
        <v>1.4999999999999999E-2</v>
      </c>
      <c r="V597">
        <v>0.1</v>
      </c>
      <c r="X597">
        <v>521891.56</v>
      </c>
    </row>
    <row r="598" spans="1:25" x14ac:dyDescent="0.25">
      <c r="A598">
        <v>2020</v>
      </c>
      <c r="B598">
        <v>10</v>
      </c>
      <c r="C598" t="s">
        <v>318</v>
      </c>
      <c r="D598" t="s">
        <v>448</v>
      </c>
      <c r="E598" t="s">
        <v>449</v>
      </c>
      <c r="F598" t="s">
        <v>450</v>
      </c>
      <c r="G598" t="s">
        <v>451</v>
      </c>
      <c r="H598" t="s">
        <v>34</v>
      </c>
      <c r="I598" t="s">
        <v>23</v>
      </c>
      <c r="J598">
        <v>213259.56</v>
      </c>
      <c r="K598">
        <v>48792.35</v>
      </c>
      <c r="L598">
        <v>164467.21</v>
      </c>
      <c r="M598">
        <v>26880.57</v>
      </c>
      <c r="N598">
        <v>6382.02</v>
      </c>
      <c r="O598">
        <v>20498.560000000001</v>
      </c>
      <c r="P598">
        <v>8456.17</v>
      </c>
      <c r="Q598">
        <v>224744717.40000001</v>
      </c>
      <c r="R598">
        <v>227931772</v>
      </c>
      <c r="S598">
        <v>5.2999999999999999E-2</v>
      </c>
      <c r="T598" t="s">
        <v>24</v>
      </c>
      <c r="U598">
        <v>3.5000000000000003E-2</v>
      </c>
      <c r="V598">
        <v>0.08</v>
      </c>
      <c r="X598">
        <v>27160.59</v>
      </c>
    </row>
    <row r="599" spans="1:25" x14ac:dyDescent="0.25">
      <c r="A599">
        <v>2020</v>
      </c>
      <c r="B599">
        <v>10</v>
      </c>
      <c r="C599" t="s">
        <v>318</v>
      </c>
      <c r="D599" t="s">
        <v>454</v>
      </c>
      <c r="E599" t="s">
        <v>455</v>
      </c>
      <c r="F599" t="s">
        <v>456</v>
      </c>
      <c r="G599" t="s">
        <v>457</v>
      </c>
      <c r="H599" t="s">
        <v>34</v>
      </c>
      <c r="I599" t="s">
        <v>23</v>
      </c>
      <c r="J599">
        <v>157456.22</v>
      </c>
      <c r="K599">
        <v>24204.16</v>
      </c>
      <c r="L599">
        <v>133252.06</v>
      </c>
      <c r="M599">
        <v>21661.61</v>
      </c>
      <c r="N599">
        <v>3531.97</v>
      </c>
      <c r="O599">
        <v>18129.64</v>
      </c>
      <c r="P599">
        <v>4679.8599999999997</v>
      </c>
      <c r="Q599">
        <v>194279173.30000001</v>
      </c>
      <c r="R599">
        <v>206083710</v>
      </c>
      <c r="S599">
        <v>5.2999999999999999E-2</v>
      </c>
      <c r="T599">
        <v>3</v>
      </c>
      <c r="U599">
        <v>2.75E-2</v>
      </c>
      <c r="V599">
        <v>0.08</v>
      </c>
      <c r="X599">
        <v>24021.77</v>
      </c>
      <c r="Y599">
        <v>7.4999999999999997E-3</v>
      </c>
    </row>
    <row r="600" spans="1:25" x14ac:dyDescent="0.25">
      <c r="A600">
        <v>2020</v>
      </c>
      <c r="B600">
        <v>10</v>
      </c>
      <c r="C600" t="s">
        <v>318</v>
      </c>
      <c r="D600" t="s">
        <v>319</v>
      </c>
      <c r="E600" t="s">
        <v>320</v>
      </c>
      <c r="F600" t="s">
        <v>452</v>
      </c>
      <c r="G600" t="s">
        <v>453</v>
      </c>
      <c r="H600" t="s">
        <v>34</v>
      </c>
      <c r="I600" t="s">
        <v>23</v>
      </c>
      <c r="J600">
        <v>435390.48</v>
      </c>
      <c r="K600">
        <v>123510.68</v>
      </c>
      <c r="L600">
        <v>311879.8</v>
      </c>
      <c r="M600">
        <v>64504.29</v>
      </c>
      <c r="N600">
        <v>27944.01</v>
      </c>
      <c r="O600">
        <v>36560.28</v>
      </c>
      <c r="P600">
        <v>37025.81</v>
      </c>
      <c r="Q600">
        <v>401982845.69999999</v>
      </c>
      <c r="R600">
        <v>405390039.39999998</v>
      </c>
      <c r="S600">
        <v>5.2999999999999999E-2</v>
      </c>
      <c r="T600">
        <v>3</v>
      </c>
      <c r="U600">
        <v>2.75E-2</v>
      </c>
      <c r="V600">
        <v>0.08</v>
      </c>
      <c r="X600">
        <v>48442.37</v>
      </c>
      <c r="Y600">
        <v>7.4999999999999997E-3</v>
      </c>
    </row>
    <row r="601" spans="1:25" x14ac:dyDescent="0.25">
      <c r="A601">
        <v>2020</v>
      </c>
      <c r="B601">
        <v>10</v>
      </c>
      <c r="C601" t="s">
        <v>321</v>
      </c>
      <c r="D601" t="s">
        <v>322</v>
      </c>
      <c r="E601" t="s">
        <v>323</v>
      </c>
      <c r="F601" t="s">
        <v>458</v>
      </c>
      <c r="G601" t="s">
        <v>459</v>
      </c>
      <c r="H601" t="s">
        <v>34</v>
      </c>
      <c r="I601" t="s">
        <v>23</v>
      </c>
      <c r="J601">
        <v>3032121.42</v>
      </c>
      <c r="K601">
        <v>1584090.84</v>
      </c>
      <c r="L601">
        <v>1448030.59</v>
      </c>
      <c r="M601">
        <v>360310.18</v>
      </c>
      <c r="N601">
        <v>184093.57</v>
      </c>
      <c r="O601">
        <v>176216.61</v>
      </c>
      <c r="P601">
        <v>243923.98</v>
      </c>
      <c r="Q601">
        <v>1876501642</v>
      </c>
      <c r="R601">
        <v>2014948529</v>
      </c>
      <c r="S601">
        <v>5.2999999999999999E-2</v>
      </c>
      <c r="T601" t="s">
        <v>24</v>
      </c>
      <c r="U601">
        <v>3.5000000000000003E-2</v>
      </c>
      <c r="V601">
        <v>0.08</v>
      </c>
      <c r="X601">
        <v>233487.01</v>
      </c>
    </row>
    <row r="602" spans="1:25" x14ac:dyDescent="0.25">
      <c r="A602">
        <v>2020</v>
      </c>
      <c r="B602">
        <v>10</v>
      </c>
      <c r="C602" t="s">
        <v>324</v>
      </c>
      <c r="D602" t="s">
        <v>462</v>
      </c>
      <c r="E602" t="s">
        <v>463</v>
      </c>
      <c r="F602" t="s">
        <v>464</v>
      </c>
      <c r="G602" t="s">
        <v>465</v>
      </c>
      <c r="H602" t="s">
        <v>34</v>
      </c>
      <c r="I602" t="s">
        <v>23</v>
      </c>
      <c r="J602">
        <v>1361676.54</v>
      </c>
      <c r="K602">
        <v>646543.22</v>
      </c>
      <c r="L602">
        <v>715133.32</v>
      </c>
      <c r="M602">
        <v>181965.46</v>
      </c>
      <c r="N602">
        <v>92641.68</v>
      </c>
      <c r="O602">
        <v>89323.78</v>
      </c>
      <c r="P602">
        <v>122750.23</v>
      </c>
      <c r="Q602">
        <v>963673223.79999995</v>
      </c>
      <c r="R602">
        <v>1008893492</v>
      </c>
      <c r="S602">
        <v>5.2999999999999999E-2</v>
      </c>
      <c r="T602" t="s">
        <v>24</v>
      </c>
      <c r="U602">
        <v>3.5000000000000003E-2</v>
      </c>
      <c r="V602">
        <v>0.08</v>
      </c>
      <c r="X602">
        <v>118354</v>
      </c>
    </row>
    <row r="603" spans="1:25" x14ac:dyDescent="0.25">
      <c r="A603">
        <v>2020</v>
      </c>
      <c r="B603">
        <v>10</v>
      </c>
      <c r="C603" t="s">
        <v>324</v>
      </c>
      <c r="D603" t="s">
        <v>325</v>
      </c>
      <c r="E603" t="s">
        <v>326</v>
      </c>
      <c r="F603" t="s">
        <v>460</v>
      </c>
      <c r="G603" t="s">
        <v>461</v>
      </c>
      <c r="H603" t="s">
        <v>34</v>
      </c>
      <c r="I603" t="s">
        <v>23</v>
      </c>
      <c r="J603">
        <v>1611910.59</v>
      </c>
      <c r="K603">
        <v>800314.6</v>
      </c>
      <c r="L603">
        <v>811595.99</v>
      </c>
      <c r="M603">
        <v>210587.02</v>
      </c>
      <c r="N603">
        <v>109046.08</v>
      </c>
      <c r="O603">
        <v>101540.94</v>
      </c>
      <c r="P603">
        <v>144486.06</v>
      </c>
      <c r="Q603">
        <v>1101329653</v>
      </c>
      <c r="R603">
        <v>1141032794</v>
      </c>
      <c r="S603">
        <v>5.2999999999999999E-2</v>
      </c>
      <c r="T603">
        <v>3</v>
      </c>
      <c r="U603">
        <v>2.75E-2</v>
      </c>
      <c r="V603">
        <v>0.08</v>
      </c>
      <c r="X603">
        <v>134541.75</v>
      </c>
      <c r="Y603">
        <v>7.4999999999999997E-3</v>
      </c>
    </row>
    <row r="604" spans="1:25" x14ac:dyDescent="0.25">
      <c r="A604">
        <v>2020</v>
      </c>
      <c r="B604">
        <v>10</v>
      </c>
      <c r="C604" t="s">
        <v>327</v>
      </c>
      <c r="D604" t="s">
        <v>466</v>
      </c>
      <c r="E604" t="s">
        <v>467</v>
      </c>
      <c r="F604" t="s">
        <v>468</v>
      </c>
      <c r="G604" t="s">
        <v>469</v>
      </c>
      <c r="H604" t="s">
        <v>34</v>
      </c>
      <c r="I604" t="s">
        <v>23</v>
      </c>
      <c r="J604">
        <v>699281.81</v>
      </c>
      <c r="K604">
        <v>241784.6</v>
      </c>
      <c r="L604">
        <v>457497.21</v>
      </c>
      <c r="M604">
        <v>89637.37</v>
      </c>
      <c r="N604">
        <v>34237.519999999997</v>
      </c>
      <c r="O604">
        <v>55399.86</v>
      </c>
      <c r="P604">
        <v>45364.71</v>
      </c>
      <c r="Q604">
        <v>609493126.20000005</v>
      </c>
      <c r="R604">
        <v>613920390.89999998</v>
      </c>
      <c r="S604">
        <v>5.2999999999999999E-2</v>
      </c>
      <c r="T604">
        <v>3</v>
      </c>
      <c r="U604">
        <v>2.75E-2</v>
      </c>
      <c r="V604">
        <v>0.08</v>
      </c>
      <c r="X604">
        <v>73404.81</v>
      </c>
      <c r="Y604">
        <v>7.4999999999999997E-3</v>
      </c>
    </row>
    <row r="605" spans="1:25" x14ac:dyDescent="0.25">
      <c r="A605">
        <v>2020</v>
      </c>
      <c r="B605">
        <v>10</v>
      </c>
      <c r="C605" t="s">
        <v>327</v>
      </c>
      <c r="D605" t="s">
        <v>472</v>
      </c>
      <c r="E605" t="s">
        <v>473</v>
      </c>
      <c r="F605" t="s">
        <v>474</v>
      </c>
      <c r="G605" t="s">
        <v>475</v>
      </c>
      <c r="H605" t="s">
        <v>34</v>
      </c>
      <c r="I605" t="s">
        <v>23</v>
      </c>
      <c r="J605">
        <v>353934.95</v>
      </c>
      <c r="K605">
        <v>104052.53</v>
      </c>
      <c r="L605">
        <v>249882.42</v>
      </c>
      <c r="M605">
        <v>51004.75</v>
      </c>
      <c r="N605">
        <v>15035.31</v>
      </c>
      <c r="O605">
        <v>35969.440000000002</v>
      </c>
      <c r="P605">
        <v>19921.79</v>
      </c>
      <c r="Q605">
        <v>395125721.80000001</v>
      </c>
      <c r="R605">
        <v>399199386.60000002</v>
      </c>
      <c r="S605">
        <v>5.2999999999999999E-2</v>
      </c>
      <c r="T605">
        <v>3</v>
      </c>
      <c r="U605">
        <v>2.75E-2</v>
      </c>
      <c r="V605">
        <v>0.08</v>
      </c>
      <c r="X605">
        <v>47659.51</v>
      </c>
      <c r="Y605">
        <v>7.4999999999999997E-3</v>
      </c>
    </row>
    <row r="606" spans="1:25" x14ac:dyDescent="0.25">
      <c r="A606">
        <v>2020</v>
      </c>
      <c r="B606">
        <v>10</v>
      </c>
      <c r="C606" t="s">
        <v>327</v>
      </c>
      <c r="D606" t="s">
        <v>328</v>
      </c>
      <c r="E606" t="s">
        <v>329</v>
      </c>
      <c r="F606" t="s">
        <v>470</v>
      </c>
      <c r="G606" t="s">
        <v>471</v>
      </c>
      <c r="H606" t="s">
        <v>34</v>
      </c>
      <c r="I606" t="s">
        <v>23</v>
      </c>
      <c r="J606">
        <v>780048.01</v>
      </c>
      <c r="K606">
        <v>285630.96999999997</v>
      </c>
      <c r="L606">
        <v>494417.05</v>
      </c>
      <c r="M606">
        <v>103577.86</v>
      </c>
      <c r="N606">
        <v>39168.42</v>
      </c>
      <c r="O606">
        <v>64409.440000000002</v>
      </c>
      <c r="P606">
        <v>51898.16</v>
      </c>
      <c r="Q606">
        <v>708436297.20000005</v>
      </c>
      <c r="R606">
        <v>713938800.39999998</v>
      </c>
      <c r="S606">
        <v>5.2999999999999999E-2</v>
      </c>
      <c r="T606">
        <v>3</v>
      </c>
      <c r="U606">
        <v>2.75E-2</v>
      </c>
      <c r="V606">
        <v>0.08</v>
      </c>
      <c r="X606">
        <v>85342.51</v>
      </c>
      <c r="Y606">
        <v>7.4999999999999997E-3</v>
      </c>
    </row>
    <row r="607" spans="1:25" x14ac:dyDescent="0.25">
      <c r="A607">
        <v>2020</v>
      </c>
      <c r="B607">
        <v>10</v>
      </c>
      <c r="C607" t="s">
        <v>333</v>
      </c>
      <c r="D607" t="s">
        <v>478</v>
      </c>
      <c r="E607" t="s">
        <v>479</v>
      </c>
      <c r="F607" t="s">
        <v>480</v>
      </c>
      <c r="G607" t="s">
        <v>481</v>
      </c>
      <c r="H607" t="s">
        <v>34</v>
      </c>
      <c r="I607" t="s">
        <v>23</v>
      </c>
      <c r="J607">
        <v>263064.68</v>
      </c>
      <c r="K607">
        <v>125152.09</v>
      </c>
      <c r="L607">
        <v>137912.59</v>
      </c>
      <c r="M607">
        <v>30767.98</v>
      </c>
      <c r="N607">
        <v>15202.66</v>
      </c>
      <c r="O607">
        <v>15565.32</v>
      </c>
      <c r="P607">
        <v>20143.53</v>
      </c>
      <c r="Q607">
        <v>171078062</v>
      </c>
      <c r="R607">
        <v>172656005.59999999</v>
      </c>
      <c r="S607">
        <v>5.2999999999999999E-2</v>
      </c>
      <c r="T607" t="s">
        <v>24</v>
      </c>
      <c r="U607">
        <v>3.5000000000000003E-2</v>
      </c>
      <c r="V607">
        <v>0.08</v>
      </c>
      <c r="X607">
        <v>20624.04</v>
      </c>
    </row>
    <row r="608" spans="1:25" x14ac:dyDescent="0.25">
      <c r="A608">
        <v>2020</v>
      </c>
      <c r="B608">
        <v>10</v>
      </c>
      <c r="C608" t="s">
        <v>333</v>
      </c>
      <c r="D608" t="s">
        <v>334</v>
      </c>
      <c r="E608" t="s">
        <v>335</v>
      </c>
      <c r="F608" t="s">
        <v>476</v>
      </c>
      <c r="G608" t="s">
        <v>477</v>
      </c>
      <c r="H608" t="s">
        <v>34</v>
      </c>
      <c r="I608" t="s">
        <v>23</v>
      </c>
      <c r="J608">
        <v>219140.74</v>
      </c>
      <c r="K608">
        <v>70047.64</v>
      </c>
      <c r="L608">
        <v>149093.10999999999</v>
      </c>
      <c r="M608">
        <v>25168.03</v>
      </c>
      <c r="N608">
        <v>7363.94</v>
      </c>
      <c r="O608">
        <v>17804.09</v>
      </c>
      <c r="P608">
        <v>9757.2199999999993</v>
      </c>
      <c r="Q608">
        <v>195589325.69999999</v>
      </c>
      <c r="R608">
        <v>197584357.80000001</v>
      </c>
      <c r="S608">
        <v>5.2999999999999999E-2</v>
      </c>
      <c r="T608" t="s">
        <v>24</v>
      </c>
      <c r="U608">
        <v>3.5000000000000003E-2</v>
      </c>
      <c r="V608">
        <v>0.08</v>
      </c>
      <c r="X608">
        <v>23590.42</v>
      </c>
    </row>
    <row r="609" spans="1:25" x14ac:dyDescent="0.25">
      <c r="A609">
        <v>2020</v>
      </c>
      <c r="B609">
        <v>10</v>
      </c>
      <c r="C609" t="s">
        <v>336</v>
      </c>
      <c r="D609" t="s">
        <v>482</v>
      </c>
      <c r="E609" t="s">
        <v>483</v>
      </c>
      <c r="F609" t="s">
        <v>484</v>
      </c>
      <c r="G609" t="s">
        <v>485</v>
      </c>
      <c r="H609" t="s">
        <v>34</v>
      </c>
      <c r="I609" t="s">
        <v>23</v>
      </c>
      <c r="J609">
        <v>534471.86</v>
      </c>
      <c r="K609">
        <v>315030.42</v>
      </c>
      <c r="L609">
        <v>219441.45</v>
      </c>
      <c r="M609">
        <v>61242.82</v>
      </c>
      <c r="N609">
        <v>33354.720000000001</v>
      </c>
      <c r="O609">
        <v>27888.09</v>
      </c>
      <c r="P609">
        <v>44195.01</v>
      </c>
      <c r="Q609">
        <v>301428612.89999998</v>
      </c>
      <c r="R609">
        <v>314433393.5</v>
      </c>
      <c r="S609">
        <v>5.2999999999999999E-2</v>
      </c>
      <c r="T609" t="s">
        <v>24</v>
      </c>
      <c r="U609">
        <v>3.5000000000000003E-2</v>
      </c>
      <c r="V609">
        <v>0.08</v>
      </c>
      <c r="X609">
        <v>36951.72</v>
      </c>
    </row>
    <row r="610" spans="1:25" x14ac:dyDescent="0.25">
      <c r="A610">
        <v>2020</v>
      </c>
      <c r="B610">
        <v>10</v>
      </c>
      <c r="C610" t="s">
        <v>336</v>
      </c>
      <c r="D610" t="s">
        <v>337</v>
      </c>
      <c r="E610" t="s">
        <v>338</v>
      </c>
      <c r="F610" t="s">
        <v>486</v>
      </c>
      <c r="G610" t="s">
        <v>487</v>
      </c>
      <c r="H610" t="s">
        <v>34</v>
      </c>
      <c r="I610" t="s">
        <v>23</v>
      </c>
      <c r="J610">
        <v>541003.49</v>
      </c>
      <c r="K610">
        <v>321266.03999999998</v>
      </c>
      <c r="L610">
        <v>219737.45</v>
      </c>
      <c r="M610">
        <v>64564.639999999999</v>
      </c>
      <c r="N610">
        <v>36601.51</v>
      </c>
      <c r="O610">
        <v>27963.14</v>
      </c>
      <c r="P610">
        <v>48497</v>
      </c>
      <c r="Q610">
        <v>302378858.30000001</v>
      </c>
      <c r="R610">
        <v>315140376.39999998</v>
      </c>
      <c r="S610">
        <v>5.2999999999999999E-2</v>
      </c>
      <c r="T610">
        <v>3</v>
      </c>
      <c r="U610">
        <v>2.75E-2</v>
      </c>
      <c r="V610">
        <v>0.08</v>
      </c>
      <c r="X610">
        <v>37051.15</v>
      </c>
      <c r="Y610">
        <v>7.4999999999999997E-3</v>
      </c>
    </row>
    <row r="611" spans="1:25" x14ac:dyDescent="0.25">
      <c r="A611">
        <v>2020</v>
      </c>
      <c r="B611">
        <v>10</v>
      </c>
      <c r="C611" t="s">
        <v>340</v>
      </c>
      <c r="D611" t="s">
        <v>341</v>
      </c>
      <c r="E611" t="s">
        <v>342</v>
      </c>
      <c r="F611" t="s">
        <v>488</v>
      </c>
      <c r="G611" t="s">
        <v>489</v>
      </c>
      <c r="H611" t="s">
        <v>34</v>
      </c>
      <c r="I611" t="s">
        <v>23</v>
      </c>
      <c r="J611">
        <v>4125277.13</v>
      </c>
      <c r="K611">
        <v>2132723.15</v>
      </c>
      <c r="L611">
        <v>1992553.97</v>
      </c>
      <c r="M611">
        <v>508639.66</v>
      </c>
      <c r="N611">
        <v>273643.99</v>
      </c>
      <c r="O611">
        <v>234995.67</v>
      </c>
      <c r="P611">
        <v>362578.29</v>
      </c>
      <c r="Q611">
        <v>2568245472</v>
      </c>
      <c r="R611">
        <v>2621242252</v>
      </c>
      <c r="S611">
        <v>5.2999999999999999E-2</v>
      </c>
      <c r="T611">
        <v>3</v>
      </c>
      <c r="U611">
        <v>2.75E-2</v>
      </c>
      <c r="V611">
        <v>0.08</v>
      </c>
      <c r="X611">
        <v>311369.26</v>
      </c>
      <c r="Y611">
        <v>7.4999999999999997E-3</v>
      </c>
    </row>
    <row r="612" spans="1:25" x14ac:dyDescent="0.25">
      <c r="A612">
        <v>2020</v>
      </c>
      <c r="B612">
        <v>10</v>
      </c>
      <c r="C612" t="s">
        <v>340</v>
      </c>
      <c r="D612" t="s">
        <v>574</v>
      </c>
      <c r="E612" t="s">
        <v>575</v>
      </c>
      <c r="F612" t="s">
        <v>576</v>
      </c>
      <c r="G612" t="s">
        <v>577</v>
      </c>
      <c r="H612" t="s">
        <v>34</v>
      </c>
      <c r="I612" t="s">
        <v>23</v>
      </c>
      <c r="J612">
        <v>1494121.91</v>
      </c>
      <c r="K612">
        <v>1221548.1299999999</v>
      </c>
      <c r="L612">
        <v>272573.78000000003</v>
      </c>
      <c r="M612">
        <v>437737.6</v>
      </c>
      <c r="N612">
        <v>165163.82</v>
      </c>
      <c r="O612">
        <v>272573.78000000003</v>
      </c>
      <c r="P612">
        <v>218842.06</v>
      </c>
      <c r="Q612">
        <v>1692196734</v>
      </c>
      <c r="R612">
        <v>1706958689</v>
      </c>
      <c r="S612">
        <v>5.2999999999999999E-2</v>
      </c>
      <c r="T612">
        <v>3</v>
      </c>
      <c r="U612">
        <v>2.75E-2</v>
      </c>
      <c r="V612">
        <v>0.1</v>
      </c>
      <c r="X612">
        <v>361160.26</v>
      </c>
    </row>
    <row r="613" spans="1:25" x14ac:dyDescent="0.25">
      <c r="A613">
        <v>2020</v>
      </c>
      <c r="B613">
        <v>10</v>
      </c>
      <c r="C613" t="s">
        <v>343</v>
      </c>
      <c r="D613" t="s">
        <v>344</v>
      </c>
      <c r="E613" t="s">
        <v>345</v>
      </c>
      <c r="F613" t="s">
        <v>490</v>
      </c>
      <c r="G613" t="s">
        <v>491</v>
      </c>
      <c r="H613" t="s">
        <v>34</v>
      </c>
      <c r="I613" t="s">
        <v>23</v>
      </c>
      <c r="J613">
        <v>1903737.25</v>
      </c>
      <c r="K613">
        <v>1025689.04</v>
      </c>
      <c r="L613">
        <v>878048.21</v>
      </c>
      <c r="M613">
        <v>260953.92</v>
      </c>
      <c r="N613">
        <v>150797.57999999999</v>
      </c>
      <c r="O613">
        <v>110156.34</v>
      </c>
      <c r="P613">
        <v>199806.8</v>
      </c>
      <c r="Q613">
        <v>1206369876</v>
      </c>
      <c r="R613">
        <v>1226249233</v>
      </c>
      <c r="S613">
        <v>5.2999999999999999E-2</v>
      </c>
      <c r="T613">
        <v>3</v>
      </c>
      <c r="U613">
        <v>2.75E-2</v>
      </c>
      <c r="V613">
        <v>0.08</v>
      </c>
      <c r="X613">
        <v>145957.15</v>
      </c>
      <c r="Y613">
        <v>7.4999999999999997E-3</v>
      </c>
    </row>
    <row r="614" spans="1:25" x14ac:dyDescent="0.25">
      <c r="A614">
        <v>2020</v>
      </c>
      <c r="B614">
        <v>10</v>
      </c>
      <c r="C614" t="s">
        <v>346</v>
      </c>
      <c r="D614" t="s">
        <v>347</v>
      </c>
      <c r="E614" t="s">
        <v>348</v>
      </c>
      <c r="F614" t="s">
        <v>494</v>
      </c>
      <c r="G614" t="s">
        <v>495</v>
      </c>
      <c r="H614" t="s">
        <v>34</v>
      </c>
      <c r="I614" t="s">
        <v>23</v>
      </c>
      <c r="J614">
        <v>742699.93</v>
      </c>
      <c r="K614">
        <v>203985.55</v>
      </c>
      <c r="L614">
        <v>538714.37</v>
      </c>
      <c r="M614">
        <v>106805.1</v>
      </c>
      <c r="N614">
        <v>38644.35</v>
      </c>
      <c r="O614">
        <v>68160.75</v>
      </c>
      <c r="P614">
        <v>51203.77</v>
      </c>
      <c r="Q614">
        <v>740566516.29999995</v>
      </c>
      <c r="R614">
        <v>764650029.79999995</v>
      </c>
      <c r="S614">
        <v>5.2999999999999999E-2</v>
      </c>
      <c r="T614" t="s">
        <v>24</v>
      </c>
      <c r="U614">
        <v>3.5000000000000003E-2</v>
      </c>
      <c r="V614">
        <v>0.08</v>
      </c>
      <c r="X614">
        <v>90312.99</v>
      </c>
    </row>
    <row r="615" spans="1:25" x14ac:dyDescent="0.25">
      <c r="A615">
        <v>2020</v>
      </c>
      <c r="B615">
        <v>10</v>
      </c>
      <c r="C615" t="s">
        <v>346</v>
      </c>
      <c r="D615" t="s">
        <v>500</v>
      </c>
      <c r="E615" t="s">
        <v>501</v>
      </c>
      <c r="F615" t="s">
        <v>502</v>
      </c>
      <c r="G615" t="s">
        <v>503</v>
      </c>
      <c r="H615" t="s">
        <v>34</v>
      </c>
      <c r="I615" t="s">
        <v>23</v>
      </c>
      <c r="J615">
        <v>777186.44</v>
      </c>
      <c r="K615">
        <v>235770.51</v>
      </c>
      <c r="L615">
        <v>541415.92000000004</v>
      </c>
      <c r="M615">
        <v>111472.75</v>
      </c>
      <c r="N615">
        <v>39524.78</v>
      </c>
      <c r="O615">
        <v>71947.98</v>
      </c>
      <c r="P615">
        <v>52370.33</v>
      </c>
      <c r="Q615">
        <v>770128129</v>
      </c>
      <c r="R615">
        <v>818723039.79999995</v>
      </c>
      <c r="S615">
        <v>5.2999999999999999E-2</v>
      </c>
      <c r="T615">
        <v>3</v>
      </c>
      <c r="U615">
        <v>2.75E-2</v>
      </c>
      <c r="V615">
        <v>0.08</v>
      </c>
      <c r="X615">
        <v>95331.07</v>
      </c>
      <c r="Y615">
        <v>7.4999999999999997E-3</v>
      </c>
    </row>
    <row r="616" spans="1:25" x14ac:dyDescent="0.25">
      <c r="A616">
        <v>2020</v>
      </c>
      <c r="B616">
        <v>10</v>
      </c>
      <c r="C616" t="s">
        <v>346</v>
      </c>
      <c r="D616" t="s">
        <v>347</v>
      </c>
      <c r="E616" t="s">
        <v>348</v>
      </c>
      <c r="F616" t="s">
        <v>492</v>
      </c>
      <c r="G616" t="s">
        <v>493</v>
      </c>
      <c r="H616" t="s">
        <v>34</v>
      </c>
      <c r="I616" t="s">
        <v>23</v>
      </c>
      <c r="J616">
        <v>247176.03</v>
      </c>
      <c r="K616">
        <v>741.18</v>
      </c>
      <c r="L616">
        <v>246434.84</v>
      </c>
      <c r="M616">
        <v>25282.43</v>
      </c>
      <c r="N616">
        <v>504.47</v>
      </c>
      <c r="O616">
        <v>24777.96</v>
      </c>
      <c r="P616">
        <v>668.42</v>
      </c>
      <c r="Q616">
        <v>553195831.5</v>
      </c>
      <c r="R616">
        <v>541164134</v>
      </c>
      <c r="S616">
        <v>5.2999999999999999E-2</v>
      </c>
      <c r="T616">
        <v>3</v>
      </c>
      <c r="U616">
        <v>2.75E-2</v>
      </c>
      <c r="V616">
        <v>0.04</v>
      </c>
      <c r="X616">
        <v>32830.800000000003</v>
      </c>
      <c r="Y616">
        <v>7.4999999999999997E-3</v>
      </c>
    </row>
    <row r="617" spans="1:25" x14ac:dyDescent="0.25">
      <c r="A617">
        <v>2020</v>
      </c>
      <c r="B617">
        <v>10</v>
      </c>
      <c r="C617" t="s">
        <v>346</v>
      </c>
      <c r="D617" t="s">
        <v>496</v>
      </c>
      <c r="E617" t="s">
        <v>497</v>
      </c>
      <c r="F617" t="s">
        <v>498</v>
      </c>
      <c r="G617" t="s">
        <v>499</v>
      </c>
      <c r="H617" t="s">
        <v>34</v>
      </c>
      <c r="I617" t="s">
        <v>23</v>
      </c>
      <c r="J617">
        <v>684460.89</v>
      </c>
      <c r="K617">
        <v>189294.32</v>
      </c>
      <c r="L617">
        <v>495166.57</v>
      </c>
      <c r="M617">
        <v>98015.61</v>
      </c>
      <c r="N617">
        <v>36599.65</v>
      </c>
      <c r="O617">
        <v>61415.96</v>
      </c>
      <c r="P617">
        <v>48494.54</v>
      </c>
      <c r="Q617">
        <v>673770636.29999995</v>
      </c>
      <c r="R617">
        <v>682498427.39999998</v>
      </c>
      <c r="S617">
        <v>5.2999999999999999E-2</v>
      </c>
      <c r="T617" t="s">
        <v>24</v>
      </c>
      <c r="U617">
        <v>3.5000000000000003E-2</v>
      </c>
      <c r="V617">
        <v>0.08</v>
      </c>
      <c r="X617">
        <v>81376.14</v>
      </c>
    </row>
    <row r="618" spans="1:25" x14ac:dyDescent="0.25">
      <c r="A618">
        <v>2020</v>
      </c>
      <c r="B618">
        <v>10</v>
      </c>
      <c r="C618" t="s">
        <v>349</v>
      </c>
      <c r="D618" t="s">
        <v>506</v>
      </c>
      <c r="E618" t="s">
        <v>507</v>
      </c>
      <c r="F618" t="s">
        <v>508</v>
      </c>
      <c r="G618" t="s">
        <v>509</v>
      </c>
      <c r="H618" t="s">
        <v>34</v>
      </c>
      <c r="I618" t="s">
        <v>23</v>
      </c>
      <c r="J618">
        <v>1845438.15</v>
      </c>
      <c r="K618">
        <v>628411.94999999995</v>
      </c>
      <c r="L618">
        <v>1217026.2</v>
      </c>
      <c r="M618">
        <v>213139.05</v>
      </c>
      <c r="N618">
        <v>83011.320000000007</v>
      </c>
      <c r="O618">
        <v>130127.73</v>
      </c>
      <c r="P618">
        <v>109990</v>
      </c>
      <c r="Q618">
        <v>1424096143</v>
      </c>
      <c r="R618">
        <v>1449557952</v>
      </c>
      <c r="S618">
        <v>5.2999999999999999E-2</v>
      </c>
      <c r="T618" t="s">
        <v>24</v>
      </c>
      <c r="U618">
        <v>3.5000000000000003E-2</v>
      </c>
      <c r="V618">
        <v>0.08</v>
      </c>
      <c r="X618">
        <v>172419.25</v>
      </c>
    </row>
    <row r="619" spans="1:25" x14ac:dyDescent="0.25">
      <c r="A619">
        <v>2020</v>
      </c>
      <c r="B619">
        <v>10</v>
      </c>
      <c r="C619" t="s">
        <v>349</v>
      </c>
      <c r="D619" t="s">
        <v>350</v>
      </c>
      <c r="E619" t="s">
        <v>351</v>
      </c>
      <c r="F619" t="s">
        <v>504</v>
      </c>
      <c r="G619" t="s">
        <v>505</v>
      </c>
      <c r="H619" t="s">
        <v>34</v>
      </c>
      <c r="I619" t="s">
        <v>23</v>
      </c>
      <c r="J619">
        <v>62541.86</v>
      </c>
      <c r="K619">
        <v>323.86</v>
      </c>
      <c r="L619">
        <v>62218</v>
      </c>
      <c r="M619">
        <v>6367.64</v>
      </c>
      <c r="N619">
        <v>90.35</v>
      </c>
      <c r="O619">
        <v>6277.28</v>
      </c>
      <c r="P619">
        <v>119.72</v>
      </c>
      <c r="Q619">
        <v>24593169.550000001</v>
      </c>
      <c r="R619">
        <v>27937770.66</v>
      </c>
      <c r="S619">
        <v>5.2999999999999999E-2</v>
      </c>
      <c r="T619">
        <v>1</v>
      </c>
      <c r="U619">
        <v>1.4999999999999999E-2</v>
      </c>
      <c r="V619">
        <v>0.1</v>
      </c>
      <c r="X619">
        <v>8317.4</v>
      </c>
    </row>
    <row r="620" spans="1:25" x14ac:dyDescent="0.25">
      <c r="A620">
        <v>2020</v>
      </c>
      <c r="B620">
        <v>10</v>
      </c>
      <c r="C620" t="s">
        <v>349</v>
      </c>
      <c r="D620" t="s">
        <v>350</v>
      </c>
      <c r="E620" t="s">
        <v>351</v>
      </c>
      <c r="F620" t="s">
        <v>518</v>
      </c>
      <c r="G620" t="s">
        <v>519</v>
      </c>
      <c r="H620" t="s">
        <v>34</v>
      </c>
      <c r="I620" t="s">
        <v>23</v>
      </c>
      <c r="J620">
        <v>8110306.1500000004</v>
      </c>
      <c r="K620">
        <v>4156971.18</v>
      </c>
      <c r="L620">
        <v>3953334.98</v>
      </c>
      <c r="M620">
        <v>876866.47</v>
      </c>
      <c r="N620">
        <v>447197.18</v>
      </c>
      <c r="O620">
        <v>429669.29</v>
      </c>
      <c r="P620">
        <v>592536.27</v>
      </c>
      <c r="Q620">
        <v>4701354153</v>
      </c>
      <c r="R620">
        <v>4787175906</v>
      </c>
      <c r="S620">
        <v>5.2999999999999999E-2</v>
      </c>
      <c r="T620">
        <v>3</v>
      </c>
      <c r="U620">
        <v>2.75E-2</v>
      </c>
      <c r="V620">
        <v>0.08</v>
      </c>
      <c r="X620">
        <v>569311.80000000005</v>
      </c>
      <c r="Y620">
        <v>7.4999999999999997E-3</v>
      </c>
    </row>
    <row r="621" spans="1:25" x14ac:dyDescent="0.25">
      <c r="A621">
        <v>2020</v>
      </c>
      <c r="B621">
        <v>10</v>
      </c>
      <c r="C621" t="s">
        <v>349</v>
      </c>
      <c r="D621" t="s">
        <v>510</v>
      </c>
      <c r="E621" t="s">
        <v>511</v>
      </c>
      <c r="F621" t="s">
        <v>512</v>
      </c>
      <c r="G621" t="s">
        <v>513</v>
      </c>
      <c r="H621" t="s">
        <v>34</v>
      </c>
      <c r="I621" t="s">
        <v>23</v>
      </c>
      <c r="J621">
        <v>1059451.04</v>
      </c>
      <c r="K621">
        <v>451005.89</v>
      </c>
      <c r="L621">
        <v>608445.15</v>
      </c>
      <c r="M621">
        <v>138294.68</v>
      </c>
      <c r="N621">
        <v>64653.91</v>
      </c>
      <c r="O621">
        <v>73640.77</v>
      </c>
      <c r="P621">
        <v>85666.43</v>
      </c>
      <c r="Q621">
        <v>811145165.20000005</v>
      </c>
      <c r="R621">
        <v>815088523.89999998</v>
      </c>
      <c r="S621">
        <v>5.2999999999999999E-2</v>
      </c>
      <c r="T621">
        <v>3</v>
      </c>
      <c r="U621">
        <v>2.75E-2</v>
      </c>
      <c r="V621">
        <v>0.08</v>
      </c>
      <c r="X621">
        <v>97574.02</v>
      </c>
      <c r="Y621">
        <v>7.4999999999999997E-3</v>
      </c>
    </row>
    <row r="622" spans="1:25" x14ac:dyDescent="0.25">
      <c r="A622">
        <v>2020</v>
      </c>
      <c r="B622">
        <v>10</v>
      </c>
      <c r="C622" t="s">
        <v>349</v>
      </c>
      <c r="D622" t="s">
        <v>514</v>
      </c>
      <c r="E622" t="s">
        <v>515</v>
      </c>
      <c r="F622" t="s">
        <v>516</v>
      </c>
      <c r="G622" t="s">
        <v>517</v>
      </c>
      <c r="H622" t="s">
        <v>34</v>
      </c>
      <c r="I622" t="s">
        <v>23</v>
      </c>
      <c r="J622">
        <v>503120.71</v>
      </c>
      <c r="K622">
        <v>184133.09</v>
      </c>
      <c r="L622">
        <v>318987.62</v>
      </c>
      <c r="M622">
        <v>65137.07</v>
      </c>
      <c r="N622">
        <v>25893.1</v>
      </c>
      <c r="O622">
        <v>39243.97</v>
      </c>
      <c r="P622">
        <v>34308.36</v>
      </c>
      <c r="Q622">
        <v>420939005</v>
      </c>
      <c r="R622">
        <v>445698721.30000001</v>
      </c>
      <c r="S622">
        <v>5.2999999999999999E-2</v>
      </c>
      <c r="T622">
        <v>3</v>
      </c>
      <c r="U622">
        <v>2.75E-2</v>
      </c>
      <c r="V622">
        <v>0.08</v>
      </c>
      <c r="X622">
        <v>51998.26</v>
      </c>
      <c r="Y622">
        <v>7.4999999999999997E-3</v>
      </c>
    </row>
    <row r="623" spans="1:25" x14ac:dyDescent="0.25">
      <c r="A623">
        <v>2020</v>
      </c>
      <c r="B623">
        <v>10</v>
      </c>
      <c r="C623" t="s">
        <v>352</v>
      </c>
      <c r="D623" t="s">
        <v>520</v>
      </c>
      <c r="E623" t="s">
        <v>521</v>
      </c>
      <c r="F623" t="s">
        <v>522</v>
      </c>
      <c r="G623" t="s">
        <v>523</v>
      </c>
      <c r="H623" t="s">
        <v>34</v>
      </c>
      <c r="I623" t="s">
        <v>23</v>
      </c>
      <c r="J623">
        <v>1424924.78</v>
      </c>
      <c r="K623">
        <v>611644.31000000006</v>
      </c>
      <c r="L623">
        <v>813280.47</v>
      </c>
      <c r="M623">
        <v>197556.96</v>
      </c>
      <c r="N623">
        <v>99114.15</v>
      </c>
      <c r="O623">
        <v>98442.8</v>
      </c>
      <c r="P623">
        <v>131326.25</v>
      </c>
      <c r="Q623">
        <v>1082373677</v>
      </c>
      <c r="R623">
        <v>1091571592</v>
      </c>
      <c r="S623">
        <v>5.2999999999999999E-2</v>
      </c>
      <c r="T623" t="s">
        <v>24</v>
      </c>
      <c r="U623">
        <v>3.5000000000000003E-2</v>
      </c>
      <c r="V623">
        <v>0.08</v>
      </c>
      <c r="X623">
        <v>130436.72</v>
      </c>
    </row>
    <row r="624" spans="1:25" x14ac:dyDescent="0.25">
      <c r="A624">
        <v>2020</v>
      </c>
      <c r="B624">
        <v>10</v>
      </c>
      <c r="C624" t="s">
        <v>352</v>
      </c>
      <c r="D624" t="s">
        <v>353</v>
      </c>
      <c r="E624" t="s">
        <v>354</v>
      </c>
      <c r="F624" t="s">
        <v>528</v>
      </c>
      <c r="G624" t="s">
        <v>529</v>
      </c>
      <c r="H624" t="s">
        <v>34</v>
      </c>
      <c r="I624" t="s">
        <v>23</v>
      </c>
      <c r="J624">
        <v>1372235.04</v>
      </c>
      <c r="K624">
        <v>571314.62</v>
      </c>
      <c r="L624">
        <v>800920.42</v>
      </c>
      <c r="M624">
        <v>195389.97</v>
      </c>
      <c r="N624">
        <v>99186.01</v>
      </c>
      <c r="O624">
        <v>96203.97</v>
      </c>
      <c r="P624">
        <v>131421.46</v>
      </c>
      <c r="Q624">
        <v>1057663764</v>
      </c>
      <c r="R624">
        <v>1066840476</v>
      </c>
      <c r="S624">
        <v>5.2999999999999999E-2</v>
      </c>
      <c r="T624">
        <v>3</v>
      </c>
      <c r="U624">
        <v>2.75E-2</v>
      </c>
      <c r="V624">
        <v>0.08</v>
      </c>
      <c r="X624">
        <v>127470.25</v>
      </c>
      <c r="Y624">
        <v>7.4999999999999997E-3</v>
      </c>
    </row>
    <row r="625" spans="1:25" x14ac:dyDescent="0.25">
      <c r="A625">
        <v>2020</v>
      </c>
      <c r="B625">
        <v>10</v>
      </c>
      <c r="C625" t="s">
        <v>352</v>
      </c>
      <c r="D625" t="s">
        <v>524</v>
      </c>
      <c r="E625" t="s">
        <v>525</v>
      </c>
      <c r="F625" t="s">
        <v>526</v>
      </c>
      <c r="G625" t="s">
        <v>527</v>
      </c>
      <c r="H625" t="s">
        <v>34</v>
      </c>
      <c r="I625" t="s">
        <v>23</v>
      </c>
      <c r="J625">
        <v>1371894.32</v>
      </c>
      <c r="K625">
        <v>573055.06000000006</v>
      </c>
      <c r="L625">
        <v>798839.27</v>
      </c>
      <c r="M625">
        <v>181786.81</v>
      </c>
      <c r="N625">
        <v>86248.97</v>
      </c>
      <c r="O625">
        <v>95537.83</v>
      </c>
      <c r="P625">
        <v>114279.89</v>
      </c>
      <c r="Q625">
        <v>1047544131</v>
      </c>
      <c r="R625">
        <v>1062249685</v>
      </c>
      <c r="S625">
        <v>5.2999999999999999E-2</v>
      </c>
      <c r="T625">
        <v>3</v>
      </c>
      <c r="U625">
        <v>2.75E-2</v>
      </c>
      <c r="V625">
        <v>0.08</v>
      </c>
      <c r="X625">
        <v>126587.63</v>
      </c>
      <c r="Y625">
        <v>7.4999999999999997E-3</v>
      </c>
    </row>
    <row r="626" spans="1:25" x14ac:dyDescent="0.25">
      <c r="A626">
        <v>2020</v>
      </c>
      <c r="B626">
        <v>10</v>
      </c>
      <c r="C626" t="s">
        <v>355</v>
      </c>
      <c r="D626" t="s">
        <v>532</v>
      </c>
      <c r="E626" t="s">
        <v>533</v>
      </c>
      <c r="F626" t="s">
        <v>534</v>
      </c>
      <c r="G626" t="s">
        <v>535</v>
      </c>
      <c r="H626" t="s">
        <v>34</v>
      </c>
      <c r="I626" t="s">
        <v>23</v>
      </c>
      <c r="J626">
        <v>569124.37</v>
      </c>
      <c r="K626">
        <v>161366.38</v>
      </c>
      <c r="L626">
        <v>407757.99</v>
      </c>
      <c r="M626">
        <v>71449.98</v>
      </c>
      <c r="N626">
        <v>23543.68</v>
      </c>
      <c r="O626">
        <v>47906.3</v>
      </c>
      <c r="P626">
        <v>31195.37</v>
      </c>
      <c r="Q626">
        <v>520292416</v>
      </c>
      <c r="R626">
        <v>537638433.10000002</v>
      </c>
      <c r="S626">
        <v>5.2999999999999999E-2</v>
      </c>
      <c r="T626">
        <v>3</v>
      </c>
      <c r="U626">
        <v>2.75E-2</v>
      </c>
      <c r="V626">
        <v>0.08</v>
      </c>
      <c r="X626">
        <v>63475.85</v>
      </c>
      <c r="Y626">
        <v>7.4999999999999997E-3</v>
      </c>
    </row>
    <row r="627" spans="1:25" x14ac:dyDescent="0.25">
      <c r="A627">
        <v>2020</v>
      </c>
      <c r="B627">
        <v>10</v>
      </c>
      <c r="C627" t="s">
        <v>355</v>
      </c>
      <c r="D627" t="s">
        <v>536</v>
      </c>
      <c r="E627" t="s">
        <v>537</v>
      </c>
      <c r="F627" t="s">
        <v>538</v>
      </c>
      <c r="G627" t="s">
        <v>539</v>
      </c>
      <c r="H627" t="s">
        <v>34</v>
      </c>
      <c r="I627" t="s">
        <v>23</v>
      </c>
      <c r="J627">
        <v>599040.30000000005</v>
      </c>
      <c r="K627">
        <v>122026.48</v>
      </c>
      <c r="L627">
        <v>477013.82</v>
      </c>
      <c r="M627">
        <v>73379.23</v>
      </c>
      <c r="N627">
        <v>24097.29</v>
      </c>
      <c r="O627">
        <v>49281.94</v>
      </c>
      <c r="P627">
        <v>31928.91</v>
      </c>
      <c r="Q627">
        <v>542718517.60000002</v>
      </c>
      <c r="R627">
        <v>545590989.70000005</v>
      </c>
      <c r="S627">
        <v>5.2999999999999999E-2</v>
      </c>
      <c r="T627">
        <v>3</v>
      </c>
      <c r="U627">
        <v>2.75E-2</v>
      </c>
      <c r="V627">
        <v>0.08</v>
      </c>
      <c r="X627">
        <v>65298.57</v>
      </c>
      <c r="Y627">
        <v>7.4999999999999997E-3</v>
      </c>
    </row>
    <row r="628" spans="1:25" x14ac:dyDescent="0.25">
      <c r="A628">
        <v>2020</v>
      </c>
      <c r="B628">
        <v>10</v>
      </c>
      <c r="C628" t="s">
        <v>355</v>
      </c>
      <c r="D628" t="s">
        <v>356</v>
      </c>
      <c r="E628" t="s">
        <v>357</v>
      </c>
      <c r="F628" t="s">
        <v>530</v>
      </c>
      <c r="G628" t="s">
        <v>531</v>
      </c>
      <c r="H628" t="s">
        <v>34</v>
      </c>
      <c r="I628" t="s">
        <v>23</v>
      </c>
      <c r="J628">
        <v>812609.95</v>
      </c>
      <c r="K628">
        <v>245494.32</v>
      </c>
      <c r="L628">
        <v>567115.62</v>
      </c>
      <c r="M628">
        <v>111028.42</v>
      </c>
      <c r="N628">
        <v>41816.54</v>
      </c>
      <c r="O628">
        <v>69211.88</v>
      </c>
      <c r="P628">
        <v>55406.92</v>
      </c>
      <c r="Q628">
        <v>756227259.29999995</v>
      </c>
      <c r="R628">
        <v>772201710.79999995</v>
      </c>
      <c r="S628">
        <v>5.2999999999999999E-2</v>
      </c>
      <c r="T628">
        <v>3</v>
      </c>
      <c r="U628">
        <v>2.75E-2</v>
      </c>
      <c r="V628">
        <v>0.08</v>
      </c>
      <c r="X628">
        <v>91705.74</v>
      </c>
      <c r="Y628">
        <v>7.4999999999999997E-3</v>
      </c>
    </row>
    <row r="629" spans="1:25" x14ac:dyDescent="0.25">
      <c r="A629">
        <v>2020</v>
      </c>
      <c r="B629">
        <v>10</v>
      </c>
      <c r="C629" t="s">
        <v>364</v>
      </c>
      <c r="D629" t="s">
        <v>365</v>
      </c>
      <c r="E629" t="s">
        <v>366</v>
      </c>
      <c r="F629" t="s">
        <v>544</v>
      </c>
      <c r="G629" t="s">
        <v>545</v>
      </c>
      <c r="H629" t="s">
        <v>34</v>
      </c>
      <c r="I629" t="s">
        <v>23</v>
      </c>
      <c r="J629">
        <v>300181.42</v>
      </c>
      <c r="K629">
        <v>4768.97</v>
      </c>
      <c r="L629">
        <v>295412.45</v>
      </c>
      <c r="M629">
        <v>32585.919999999998</v>
      </c>
      <c r="N629">
        <v>341.73</v>
      </c>
      <c r="O629">
        <v>32244.19</v>
      </c>
      <c r="P629">
        <v>452.79</v>
      </c>
      <c r="Q629">
        <v>198379775.30000001</v>
      </c>
      <c r="R629">
        <v>203724202.69999999</v>
      </c>
      <c r="S629">
        <v>5.2999999999999999E-2</v>
      </c>
      <c r="T629">
        <v>3</v>
      </c>
      <c r="U629">
        <v>2.75E-2</v>
      </c>
      <c r="V629">
        <v>0.1</v>
      </c>
      <c r="X629">
        <v>42723.55</v>
      </c>
    </row>
    <row r="630" spans="1:25" x14ac:dyDescent="0.25">
      <c r="A630">
        <v>2020</v>
      </c>
      <c r="B630">
        <v>10</v>
      </c>
      <c r="C630" t="s">
        <v>364</v>
      </c>
      <c r="D630" t="s">
        <v>365</v>
      </c>
      <c r="E630" t="s">
        <v>366</v>
      </c>
      <c r="F630" t="s">
        <v>540</v>
      </c>
      <c r="G630" t="s">
        <v>541</v>
      </c>
      <c r="H630" t="s">
        <v>34</v>
      </c>
      <c r="I630" t="s">
        <v>23</v>
      </c>
      <c r="J630">
        <v>112187.9</v>
      </c>
      <c r="K630">
        <v>69.64</v>
      </c>
      <c r="L630">
        <v>112118.26</v>
      </c>
      <c r="M630">
        <v>11374.51</v>
      </c>
      <c r="N630">
        <v>43.2</v>
      </c>
      <c r="O630">
        <v>11331.31</v>
      </c>
      <c r="P630">
        <v>57.24</v>
      </c>
      <c r="Q630">
        <v>141796991.90000001</v>
      </c>
      <c r="R630">
        <v>140819290.30000001</v>
      </c>
      <c r="S630">
        <v>5.2999999999999999E-2</v>
      </c>
      <c r="T630">
        <v>3</v>
      </c>
      <c r="U630">
        <v>2.75E-2</v>
      </c>
      <c r="V630">
        <v>0.05</v>
      </c>
      <c r="X630">
        <v>15013.99</v>
      </c>
    </row>
    <row r="631" spans="1:25" x14ac:dyDescent="0.25">
      <c r="A631">
        <v>2020</v>
      </c>
      <c r="B631">
        <v>10</v>
      </c>
      <c r="C631" t="s">
        <v>364</v>
      </c>
      <c r="D631" t="s">
        <v>367</v>
      </c>
      <c r="E631" t="s">
        <v>368</v>
      </c>
      <c r="F631" t="s">
        <v>542</v>
      </c>
      <c r="G631" t="s">
        <v>543</v>
      </c>
      <c r="H631" t="s">
        <v>34</v>
      </c>
      <c r="I631" t="s">
        <v>23</v>
      </c>
      <c r="J631">
        <v>1434937.38</v>
      </c>
      <c r="K631">
        <v>341631.98</v>
      </c>
      <c r="L631">
        <v>1093305.3899999999</v>
      </c>
      <c r="M631">
        <v>167093.41</v>
      </c>
      <c r="N631">
        <v>42940.87</v>
      </c>
      <c r="O631">
        <v>124152.54</v>
      </c>
      <c r="P631">
        <v>56896.65</v>
      </c>
      <c r="Q631">
        <v>758336799.10000002</v>
      </c>
      <c r="R631">
        <v>789918419.10000002</v>
      </c>
      <c r="S631">
        <v>5.2999999999999999E-2</v>
      </c>
      <c r="T631">
        <v>3</v>
      </c>
      <c r="U631">
        <v>2.75E-2</v>
      </c>
      <c r="V631">
        <v>0.1</v>
      </c>
      <c r="X631">
        <v>164502.12</v>
      </c>
    </row>
    <row r="632" spans="1:25" x14ac:dyDescent="0.25">
      <c r="A632">
        <v>2020</v>
      </c>
      <c r="B632">
        <v>10</v>
      </c>
      <c r="C632" t="s">
        <v>358</v>
      </c>
      <c r="D632" t="s">
        <v>550</v>
      </c>
      <c r="E632" t="s">
        <v>551</v>
      </c>
      <c r="F632" t="s">
        <v>552</v>
      </c>
      <c r="G632" t="s">
        <v>553</v>
      </c>
      <c r="H632" t="s">
        <v>34</v>
      </c>
      <c r="I632" t="s">
        <v>23</v>
      </c>
      <c r="J632">
        <v>1169609.6599999999</v>
      </c>
      <c r="K632">
        <v>601918.31000000006</v>
      </c>
      <c r="L632">
        <v>567691.35</v>
      </c>
      <c r="M632">
        <v>153520.72</v>
      </c>
      <c r="N632">
        <v>87472.67</v>
      </c>
      <c r="O632">
        <v>66048.05</v>
      </c>
      <c r="P632">
        <v>115901.29</v>
      </c>
      <c r="Q632">
        <v>725167818.20000005</v>
      </c>
      <c r="R632">
        <v>733393265.39999998</v>
      </c>
      <c r="S632">
        <v>5.2999999999999999E-2</v>
      </c>
      <c r="T632" t="s">
        <v>24</v>
      </c>
      <c r="U632">
        <v>3.5000000000000003E-2</v>
      </c>
      <c r="V632">
        <v>0.08</v>
      </c>
      <c r="X632">
        <v>87513.67</v>
      </c>
    </row>
    <row r="633" spans="1:25" x14ac:dyDescent="0.25">
      <c r="A633">
        <v>2020</v>
      </c>
      <c r="B633">
        <v>10</v>
      </c>
      <c r="C633" t="s">
        <v>358</v>
      </c>
      <c r="D633" t="s">
        <v>554</v>
      </c>
      <c r="E633" t="s">
        <v>555</v>
      </c>
      <c r="F633" t="s">
        <v>556</v>
      </c>
      <c r="G633" t="s">
        <v>557</v>
      </c>
      <c r="H633" t="s">
        <v>34</v>
      </c>
      <c r="I633" t="s">
        <v>23</v>
      </c>
      <c r="J633">
        <v>1432211.49</v>
      </c>
      <c r="K633">
        <v>754982.74</v>
      </c>
      <c r="L633">
        <v>677228.75</v>
      </c>
      <c r="M633">
        <v>173253.52</v>
      </c>
      <c r="N633">
        <v>95971.94</v>
      </c>
      <c r="O633">
        <v>77281.58</v>
      </c>
      <c r="P633">
        <v>127162.82</v>
      </c>
      <c r="Q633">
        <v>849288986.89999998</v>
      </c>
      <c r="R633">
        <v>857345878.70000005</v>
      </c>
      <c r="S633">
        <v>5.2999999999999999E-2</v>
      </c>
      <c r="T633">
        <v>3</v>
      </c>
      <c r="U633">
        <v>2.75E-2</v>
      </c>
      <c r="V633">
        <v>0.08</v>
      </c>
      <c r="X633">
        <v>102398.09</v>
      </c>
      <c r="Y633">
        <v>7.4999999999999997E-3</v>
      </c>
    </row>
    <row r="634" spans="1:25" x14ac:dyDescent="0.25">
      <c r="A634">
        <v>2020</v>
      </c>
      <c r="B634">
        <v>10</v>
      </c>
      <c r="C634" t="s">
        <v>358</v>
      </c>
      <c r="D634" t="s">
        <v>546</v>
      </c>
      <c r="E634" t="s">
        <v>547</v>
      </c>
      <c r="F634" t="s">
        <v>548</v>
      </c>
      <c r="G634" t="s">
        <v>549</v>
      </c>
      <c r="H634" t="s">
        <v>34</v>
      </c>
      <c r="I634" t="s">
        <v>23</v>
      </c>
      <c r="J634">
        <v>1842151.2</v>
      </c>
      <c r="K634">
        <v>650516.66</v>
      </c>
      <c r="L634">
        <v>1191634.54</v>
      </c>
      <c r="M634">
        <v>220533.27</v>
      </c>
      <c r="N634">
        <v>84660.479999999996</v>
      </c>
      <c r="O634">
        <v>135872.79</v>
      </c>
      <c r="P634">
        <v>112175.14</v>
      </c>
      <c r="Q634">
        <v>843094721.39999998</v>
      </c>
      <c r="R634">
        <v>851318901.5</v>
      </c>
      <c r="S634">
        <v>5.2999999999999999E-2</v>
      </c>
      <c r="T634">
        <v>3</v>
      </c>
      <c r="U634">
        <v>2.75E-2</v>
      </c>
      <c r="V634">
        <v>0.1</v>
      </c>
      <c r="X634">
        <v>180031.45</v>
      </c>
    </row>
    <row r="635" spans="1:25" x14ac:dyDescent="0.25">
      <c r="A635">
        <v>2020</v>
      </c>
      <c r="B635">
        <v>10</v>
      </c>
      <c r="C635" t="s">
        <v>361</v>
      </c>
      <c r="D635" t="s">
        <v>362</v>
      </c>
      <c r="E635" t="s">
        <v>363</v>
      </c>
      <c r="F635" t="s">
        <v>558</v>
      </c>
      <c r="G635" t="s">
        <v>559</v>
      </c>
      <c r="H635" t="s">
        <v>34</v>
      </c>
      <c r="I635" t="s">
        <v>23</v>
      </c>
      <c r="J635">
        <v>610983.86</v>
      </c>
      <c r="K635">
        <v>144834.32</v>
      </c>
      <c r="L635">
        <v>466149.54</v>
      </c>
      <c r="M635">
        <v>86866.52</v>
      </c>
      <c r="N635">
        <v>31193.89</v>
      </c>
      <c r="O635">
        <v>55672.639999999999</v>
      </c>
      <c r="P635">
        <v>41331.9</v>
      </c>
      <c r="Q635">
        <v>611121931</v>
      </c>
      <c r="R635">
        <v>618315447.89999998</v>
      </c>
      <c r="S635">
        <v>5.2999999999999999E-2</v>
      </c>
      <c r="T635" t="s">
        <v>24</v>
      </c>
      <c r="U635">
        <v>3.5000000000000003E-2</v>
      </c>
      <c r="V635">
        <v>0.08</v>
      </c>
      <c r="X635">
        <v>73766.240000000005</v>
      </c>
    </row>
    <row r="636" spans="1:25" x14ac:dyDescent="0.25">
      <c r="A636">
        <v>2020</v>
      </c>
      <c r="B636">
        <v>10</v>
      </c>
      <c r="C636" t="s">
        <v>361</v>
      </c>
      <c r="D636" t="s">
        <v>560</v>
      </c>
      <c r="E636" t="s">
        <v>561</v>
      </c>
      <c r="F636" t="s">
        <v>562</v>
      </c>
      <c r="G636" t="s">
        <v>563</v>
      </c>
      <c r="H636" t="s">
        <v>34</v>
      </c>
      <c r="I636" t="s">
        <v>23</v>
      </c>
      <c r="J636">
        <v>635346.12</v>
      </c>
      <c r="K636">
        <v>150398.38</v>
      </c>
      <c r="L636">
        <v>484947.74</v>
      </c>
      <c r="M636">
        <v>84326.95</v>
      </c>
      <c r="N636">
        <v>26571.74</v>
      </c>
      <c r="O636">
        <v>57755.21</v>
      </c>
      <c r="P636">
        <v>35207.550000000003</v>
      </c>
      <c r="Q636">
        <v>634183136.70000005</v>
      </c>
      <c r="R636">
        <v>641244464.60000002</v>
      </c>
      <c r="S636">
        <v>5.2999999999999999E-2</v>
      </c>
      <c r="T636">
        <v>3</v>
      </c>
      <c r="U636">
        <v>2.75E-2</v>
      </c>
      <c r="V636">
        <v>0.08</v>
      </c>
      <c r="X636">
        <v>76525.66</v>
      </c>
      <c r="Y636">
        <v>7.4999999999999997E-3</v>
      </c>
    </row>
    <row r="637" spans="1:25" x14ac:dyDescent="0.25">
      <c r="A637">
        <v>2020</v>
      </c>
      <c r="B637">
        <v>10</v>
      </c>
      <c r="C637" t="s">
        <v>298</v>
      </c>
      <c r="D637" t="s">
        <v>589</v>
      </c>
      <c r="E637" t="s">
        <v>590</v>
      </c>
      <c r="F637" t="s">
        <v>591</v>
      </c>
      <c r="G637" t="s">
        <v>592</v>
      </c>
      <c r="H637" t="s">
        <v>34</v>
      </c>
      <c r="I637" t="s">
        <v>34</v>
      </c>
      <c r="J637">
        <v>480908.84</v>
      </c>
      <c r="K637">
        <v>480908.84</v>
      </c>
      <c r="M637">
        <v>82347.149999999994</v>
      </c>
      <c r="N637">
        <v>82347.149999999994</v>
      </c>
      <c r="P637">
        <v>109109.98</v>
      </c>
    </row>
    <row r="638" spans="1:25" x14ac:dyDescent="0.25">
      <c r="A638">
        <v>2020</v>
      </c>
      <c r="B638">
        <v>10</v>
      </c>
      <c r="C638" t="s">
        <v>395</v>
      </c>
      <c r="D638" t="s">
        <v>629</v>
      </c>
      <c r="E638" t="s">
        <v>630</v>
      </c>
      <c r="F638" t="s">
        <v>631</v>
      </c>
      <c r="G638" t="s">
        <v>632</v>
      </c>
      <c r="H638" t="s">
        <v>34</v>
      </c>
      <c r="I638" t="s">
        <v>34</v>
      </c>
      <c r="J638">
        <v>26960.02</v>
      </c>
      <c r="K638">
        <v>26960.02</v>
      </c>
      <c r="M638">
        <v>21706.080000000002</v>
      </c>
      <c r="N638">
        <v>21706.080000000002</v>
      </c>
      <c r="P638">
        <v>28760.560000000001</v>
      </c>
    </row>
    <row r="639" spans="1:25" x14ac:dyDescent="0.25">
      <c r="A639">
        <v>2020</v>
      </c>
      <c r="B639">
        <v>10</v>
      </c>
      <c r="C639" t="s">
        <v>395</v>
      </c>
      <c r="D639" t="s">
        <v>633</v>
      </c>
      <c r="E639" t="s">
        <v>634</v>
      </c>
      <c r="F639" t="s">
        <v>635</v>
      </c>
      <c r="G639" t="s">
        <v>636</v>
      </c>
      <c r="H639" t="s">
        <v>34</v>
      </c>
      <c r="I639" t="s">
        <v>34</v>
      </c>
      <c r="J639">
        <v>26792.15</v>
      </c>
      <c r="K639">
        <v>26792.15</v>
      </c>
      <c r="M639">
        <v>21546.959999999999</v>
      </c>
      <c r="N639">
        <v>21546.959999999999</v>
      </c>
      <c r="P639">
        <v>28549.72</v>
      </c>
    </row>
    <row r="640" spans="1:25" x14ac:dyDescent="0.25">
      <c r="A640">
        <v>2020</v>
      </c>
      <c r="B640">
        <v>10</v>
      </c>
      <c r="C640" t="s">
        <v>395</v>
      </c>
      <c r="D640" t="s">
        <v>621</v>
      </c>
      <c r="E640" t="s">
        <v>622</v>
      </c>
      <c r="F640" t="s">
        <v>623</v>
      </c>
      <c r="G640" t="s">
        <v>624</v>
      </c>
      <c r="H640" t="s">
        <v>34</v>
      </c>
      <c r="I640" t="s">
        <v>34</v>
      </c>
      <c r="J640">
        <v>26789.53</v>
      </c>
      <c r="K640">
        <v>26789.53</v>
      </c>
      <c r="M640">
        <v>21543.51</v>
      </c>
      <c r="N640">
        <v>21543.51</v>
      </c>
      <c r="P640">
        <v>28545.15</v>
      </c>
    </row>
    <row r="641" spans="1:16" x14ac:dyDescent="0.25">
      <c r="A641">
        <v>2020</v>
      </c>
      <c r="B641">
        <v>10</v>
      </c>
      <c r="C641" t="s">
        <v>395</v>
      </c>
      <c r="D641" t="s">
        <v>396</v>
      </c>
      <c r="E641" t="s">
        <v>397</v>
      </c>
      <c r="F641" t="s">
        <v>637</v>
      </c>
      <c r="G641" t="s">
        <v>638</v>
      </c>
      <c r="H641" t="s">
        <v>34</v>
      </c>
      <c r="I641" t="s">
        <v>34</v>
      </c>
      <c r="J641">
        <v>27425.55</v>
      </c>
      <c r="K641">
        <v>27425.55</v>
      </c>
      <c r="M641">
        <v>20641.21</v>
      </c>
      <c r="N641">
        <v>20641.21</v>
      </c>
      <c r="P641">
        <v>27349.599999999999</v>
      </c>
    </row>
    <row r="642" spans="1:16" x14ac:dyDescent="0.25">
      <c r="A642">
        <v>2020</v>
      </c>
      <c r="B642">
        <v>10</v>
      </c>
      <c r="C642" t="s">
        <v>395</v>
      </c>
      <c r="D642" t="s">
        <v>625</v>
      </c>
      <c r="E642" t="s">
        <v>626</v>
      </c>
      <c r="F642" t="s">
        <v>627</v>
      </c>
      <c r="G642" t="s">
        <v>628</v>
      </c>
      <c r="H642" t="s">
        <v>34</v>
      </c>
      <c r="I642" t="s">
        <v>34</v>
      </c>
      <c r="J642">
        <v>26751.69</v>
      </c>
      <c r="K642">
        <v>26751.69</v>
      </c>
      <c r="M642">
        <v>21505.66</v>
      </c>
      <c r="N642">
        <v>21505.66</v>
      </c>
      <c r="P642">
        <v>28495</v>
      </c>
    </row>
    <row r="643" spans="1:16" x14ac:dyDescent="0.25">
      <c r="A643">
        <v>2020</v>
      </c>
      <c r="B643">
        <v>10</v>
      </c>
      <c r="C643" t="s">
        <v>395</v>
      </c>
      <c r="D643" t="s">
        <v>617</v>
      </c>
      <c r="E643" t="s">
        <v>618</v>
      </c>
      <c r="F643" t="s">
        <v>619</v>
      </c>
      <c r="G643" t="s">
        <v>620</v>
      </c>
      <c r="H643" t="s">
        <v>34</v>
      </c>
      <c r="I643" t="s">
        <v>34</v>
      </c>
      <c r="J643">
        <v>34528.15</v>
      </c>
      <c r="K643">
        <v>34528.15</v>
      </c>
      <c r="M643">
        <v>28733.52</v>
      </c>
      <c r="N643">
        <v>28733.52</v>
      </c>
      <c r="P643">
        <v>38071.919999999998</v>
      </c>
    </row>
    <row r="644" spans="1:16" x14ac:dyDescent="0.25">
      <c r="A644">
        <v>2020</v>
      </c>
      <c r="B644">
        <v>10</v>
      </c>
      <c r="C644" t="s">
        <v>286</v>
      </c>
      <c r="D644" t="s">
        <v>287</v>
      </c>
      <c r="E644" t="s">
        <v>288</v>
      </c>
      <c r="F644" t="s">
        <v>639</v>
      </c>
      <c r="G644" t="s">
        <v>640</v>
      </c>
      <c r="H644" t="s">
        <v>34</v>
      </c>
      <c r="I644" t="s">
        <v>34</v>
      </c>
      <c r="J644">
        <v>30996.080000000002</v>
      </c>
      <c r="K644">
        <v>30996.080000000002</v>
      </c>
      <c r="M644">
        <v>16505.46</v>
      </c>
      <c r="N644">
        <v>16505.46</v>
      </c>
      <c r="P644">
        <v>21869.74</v>
      </c>
    </row>
    <row r="645" spans="1:16" x14ac:dyDescent="0.25">
      <c r="A645">
        <v>2020</v>
      </c>
      <c r="B645">
        <v>10</v>
      </c>
      <c r="C645" t="s">
        <v>286</v>
      </c>
      <c r="D645" t="s">
        <v>287</v>
      </c>
      <c r="E645" t="s">
        <v>288</v>
      </c>
      <c r="F645" t="s">
        <v>641</v>
      </c>
      <c r="G645" t="s">
        <v>642</v>
      </c>
      <c r="H645" t="s">
        <v>34</v>
      </c>
      <c r="I645" t="s">
        <v>34</v>
      </c>
      <c r="J645">
        <v>10159.120000000001</v>
      </c>
      <c r="K645">
        <v>10159.120000000001</v>
      </c>
      <c r="M645">
        <v>4031.23</v>
      </c>
      <c r="N645">
        <v>4031.23</v>
      </c>
      <c r="P645">
        <v>5341.38</v>
      </c>
    </row>
    <row r="646" spans="1:16" x14ac:dyDescent="0.25">
      <c r="A646">
        <v>2020</v>
      </c>
      <c r="B646">
        <v>10</v>
      </c>
      <c r="C646" t="s">
        <v>398</v>
      </c>
      <c r="D646" t="s">
        <v>667</v>
      </c>
      <c r="E646" t="s">
        <v>668</v>
      </c>
      <c r="F646" t="s">
        <v>669</v>
      </c>
      <c r="G646" t="s">
        <v>670</v>
      </c>
      <c r="H646" t="s">
        <v>34</v>
      </c>
      <c r="I646" t="s">
        <v>34</v>
      </c>
      <c r="J646">
        <v>6959.92</v>
      </c>
      <c r="K646">
        <v>6959.92</v>
      </c>
      <c r="M646">
        <v>6959.92</v>
      </c>
      <c r="N646">
        <v>6959.92</v>
      </c>
      <c r="P646">
        <v>9221.89</v>
      </c>
    </row>
    <row r="647" spans="1:16" x14ac:dyDescent="0.25">
      <c r="A647">
        <v>2020</v>
      </c>
      <c r="B647">
        <v>10</v>
      </c>
      <c r="C647" t="s">
        <v>308</v>
      </c>
      <c r="D647" t="s">
        <v>643</v>
      </c>
      <c r="E647" t="s">
        <v>644</v>
      </c>
      <c r="F647" t="s">
        <v>645</v>
      </c>
      <c r="G647" t="s">
        <v>646</v>
      </c>
      <c r="H647" t="s">
        <v>34</v>
      </c>
      <c r="I647" t="s">
        <v>34</v>
      </c>
      <c r="J647">
        <v>11588.52</v>
      </c>
      <c r="K647">
        <v>11588.52</v>
      </c>
      <c r="M647">
        <v>7200.68</v>
      </c>
      <c r="N647">
        <v>7200.68</v>
      </c>
      <c r="P647">
        <v>9540.9</v>
      </c>
    </row>
    <row r="648" spans="1:16" x14ac:dyDescent="0.25">
      <c r="A648">
        <v>2020</v>
      </c>
      <c r="B648">
        <v>10</v>
      </c>
      <c r="C648" t="s">
        <v>401</v>
      </c>
      <c r="D648" t="s">
        <v>402</v>
      </c>
      <c r="E648" t="s">
        <v>403</v>
      </c>
      <c r="F648" t="s">
        <v>653</v>
      </c>
      <c r="G648" t="s">
        <v>654</v>
      </c>
      <c r="H648" t="s">
        <v>34</v>
      </c>
      <c r="I648" t="s">
        <v>34</v>
      </c>
      <c r="J648">
        <v>3260.85</v>
      </c>
      <c r="K648">
        <v>3260.85</v>
      </c>
      <c r="M648">
        <v>52.65</v>
      </c>
      <c r="N648">
        <v>52.65</v>
      </c>
      <c r="P648">
        <v>69.760000000000005</v>
      </c>
    </row>
    <row r="649" spans="1:16" x14ac:dyDescent="0.25">
      <c r="A649">
        <v>2020</v>
      </c>
      <c r="B649">
        <v>10</v>
      </c>
      <c r="C649" t="s">
        <v>401</v>
      </c>
      <c r="D649" t="s">
        <v>655</v>
      </c>
      <c r="E649" t="s">
        <v>656</v>
      </c>
      <c r="F649" t="s">
        <v>657</v>
      </c>
      <c r="G649" t="s">
        <v>658</v>
      </c>
      <c r="H649" t="s">
        <v>34</v>
      </c>
      <c r="I649" t="s">
        <v>34</v>
      </c>
      <c r="J649">
        <v>5396.96</v>
      </c>
      <c r="K649">
        <v>5396.96</v>
      </c>
      <c r="M649">
        <v>3690.2</v>
      </c>
      <c r="N649">
        <v>3690.2</v>
      </c>
      <c r="P649">
        <v>4889.51</v>
      </c>
    </row>
    <row r="650" spans="1:16" x14ac:dyDescent="0.25">
      <c r="A650">
        <v>2020</v>
      </c>
      <c r="B650">
        <v>10</v>
      </c>
      <c r="C650" t="s">
        <v>401</v>
      </c>
      <c r="D650" t="s">
        <v>402</v>
      </c>
      <c r="E650" t="s">
        <v>403</v>
      </c>
      <c r="F650" t="s">
        <v>651</v>
      </c>
      <c r="G650" t="s">
        <v>652</v>
      </c>
      <c r="H650" t="s">
        <v>34</v>
      </c>
      <c r="I650" t="s">
        <v>34</v>
      </c>
      <c r="J650">
        <v>5396.91</v>
      </c>
      <c r="K650">
        <v>5396.91</v>
      </c>
      <c r="M650">
        <v>3690.15</v>
      </c>
      <c r="N650">
        <v>3690.15</v>
      </c>
      <c r="P650">
        <v>4889.45</v>
      </c>
    </row>
    <row r="651" spans="1:16" x14ac:dyDescent="0.25">
      <c r="A651">
        <v>2020</v>
      </c>
      <c r="B651">
        <v>10</v>
      </c>
      <c r="C651" t="s">
        <v>401</v>
      </c>
      <c r="D651" t="s">
        <v>647</v>
      </c>
      <c r="E651" t="s">
        <v>648</v>
      </c>
      <c r="F651" t="s">
        <v>649</v>
      </c>
      <c r="G651" t="s">
        <v>650</v>
      </c>
      <c r="H651" t="s">
        <v>34</v>
      </c>
      <c r="I651" t="s">
        <v>34</v>
      </c>
      <c r="J651">
        <v>5396.96</v>
      </c>
      <c r="K651">
        <v>5396.96</v>
      </c>
      <c r="M651">
        <v>3690.2</v>
      </c>
      <c r="N651">
        <v>3690.2</v>
      </c>
      <c r="P651">
        <v>4889.51</v>
      </c>
    </row>
    <row r="652" spans="1:16" x14ac:dyDescent="0.25">
      <c r="A652">
        <v>2020</v>
      </c>
      <c r="B652">
        <v>10</v>
      </c>
      <c r="C652" t="s">
        <v>321</v>
      </c>
      <c r="D652" t="s">
        <v>568</v>
      </c>
      <c r="E652" t="s">
        <v>569</v>
      </c>
      <c r="F652" t="s">
        <v>570</v>
      </c>
      <c r="G652" t="s">
        <v>571</v>
      </c>
      <c r="H652" t="s">
        <v>34</v>
      </c>
      <c r="I652" t="s">
        <v>34</v>
      </c>
      <c r="J652">
        <v>1101036.72</v>
      </c>
      <c r="K652">
        <v>1101036.72</v>
      </c>
      <c r="M652">
        <v>125779.81</v>
      </c>
      <c r="N652">
        <v>125779.81</v>
      </c>
      <c r="P652">
        <v>166658.25</v>
      </c>
    </row>
    <row r="653" spans="1:16" x14ac:dyDescent="0.25">
      <c r="A653">
        <v>2020</v>
      </c>
      <c r="B653">
        <v>10</v>
      </c>
      <c r="C653" t="s">
        <v>327</v>
      </c>
      <c r="D653" t="s">
        <v>328</v>
      </c>
      <c r="E653" t="s">
        <v>329</v>
      </c>
      <c r="F653" t="s">
        <v>572</v>
      </c>
      <c r="G653" t="s">
        <v>573</v>
      </c>
      <c r="H653" t="s">
        <v>34</v>
      </c>
      <c r="I653" t="s">
        <v>34</v>
      </c>
      <c r="J653">
        <v>128825.96</v>
      </c>
      <c r="K653">
        <v>128825.96</v>
      </c>
      <c r="M653">
        <v>18508.37</v>
      </c>
      <c r="N653">
        <v>18508.37</v>
      </c>
      <c r="P653">
        <v>24523.59</v>
      </c>
    </row>
    <row r="654" spans="1:16" x14ac:dyDescent="0.25">
      <c r="A654">
        <v>2020</v>
      </c>
      <c r="B654">
        <v>10</v>
      </c>
      <c r="C654" t="s">
        <v>330</v>
      </c>
      <c r="D654" t="s">
        <v>593</v>
      </c>
      <c r="E654" t="s">
        <v>594</v>
      </c>
      <c r="F654" t="s">
        <v>595</v>
      </c>
      <c r="G654" t="s">
        <v>596</v>
      </c>
      <c r="H654" t="s">
        <v>34</v>
      </c>
      <c r="I654" t="s">
        <v>34</v>
      </c>
      <c r="J654">
        <v>10925.83</v>
      </c>
      <c r="K654">
        <v>10925.83</v>
      </c>
      <c r="M654">
        <v>3156.28</v>
      </c>
      <c r="N654">
        <v>3156.28</v>
      </c>
      <c r="P654">
        <v>4182.07</v>
      </c>
    </row>
    <row r="655" spans="1:16" x14ac:dyDescent="0.25">
      <c r="A655">
        <v>2020</v>
      </c>
      <c r="B655">
        <v>10</v>
      </c>
      <c r="C655" t="s">
        <v>330</v>
      </c>
      <c r="D655" t="s">
        <v>601</v>
      </c>
      <c r="E655" t="s">
        <v>602</v>
      </c>
      <c r="F655" t="s">
        <v>603</v>
      </c>
      <c r="G655" t="s">
        <v>604</v>
      </c>
      <c r="H655" t="s">
        <v>34</v>
      </c>
      <c r="I655" t="s">
        <v>34</v>
      </c>
      <c r="J655">
        <v>6435</v>
      </c>
      <c r="K655">
        <v>6435</v>
      </c>
      <c r="M655">
        <v>2105.52</v>
      </c>
      <c r="N655">
        <v>2105.52</v>
      </c>
      <c r="P655">
        <v>2789.82</v>
      </c>
    </row>
    <row r="656" spans="1:16" x14ac:dyDescent="0.25">
      <c r="A656">
        <v>2020</v>
      </c>
      <c r="B656">
        <v>10</v>
      </c>
      <c r="C656" t="s">
        <v>330</v>
      </c>
      <c r="D656" t="s">
        <v>331</v>
      </c>
      <c r="E656" t="s">
        <v>332</v>
      </c>
      <c r="F656" t="s">
        <v>605</v>
      </c>
      <c r="G656" t="s">
        <v>606</v>
      </c>
      <c r="H656" t="s">
        <v>34</v>
      </c>
      <c r="I656" t="s">
        <v>34</v>
      </c>
      <c r="J656">
        <v>650.11</v>
      </c>
      <c r="K656">
        <v>650.11</v>
      </c>
      <c r="M656">
        <v>5.04</v>
      </c>
      <c r="N656">
        <v>5.04</v>
      </c>
      <c r="P656">
        <v>6.68</v>
      </c>
    </row>
    <row r="657" spans="1:25" x14ac:dyDescent="0.25">
      <c r="A657">
        <v>2020</v>
      </c>
      <c r="B657">
        <v>10</v>
      </c>
      <c r="C657" t="s">
        <v>330</v>
      </c>
      <c r="D657" t="s">
        <v>597</v>
      </c>
      <c r="E657" t="s">
        <v>598</v>
      </c>
      <c r="F657" t="s">
        <v>599</v>
      </c>
      <c r="G657" t="s">
        <v>600</v>
      </c>
      <c r="H657" t="s">
        <v>34</v>
      </c>
      <c r="I657" t="s">
        <v>34</v>
      </c>
      <c r="J657">
        <v>7343.89</v>
      </c>
      <c r="K657">
        <v>7343.89</v>
      </c>
      <c r="M657">
        <v>2237.21</v>
      </c>
      <c r="N657">
        <v>2237.21</v>
      </c>
      <c r="P657">
        <v>2964.3</v>
      </c>
    </row>
    <row r="658" spans="1:25" x14ac:dyDescent="0.25">
      <c r="A658">
        <v>2020</v>
      </c>
      <c r="B658">
        <v>10</v>
      </c>
      <c r="C658" t="s">
        <v>340</v>
      </c>
      <c r="D658" t="s">
        <v>671</v>
      </c>
      <c r="E658" t="s">
        <v>672</v>
      </c>
      <c r="F658" t="s">
        <v>673</v>
      </c>
      <c r="G658" t="s">
        <v>674</v>
      </c>
      <c r="H658" t="s">
        <v>34</v>
      </c>
      <c r="I658" t="s">
        <v>34</v>
      </c>
      <c r="J658">
        <v>2578.06</v>
      </c>
      <c r="K658">
        <v>2578.06</v>
      </c>
      <c r="M658">
        <v>2578.06</v>
      </c>
      <c r="N658">
        <v>2578.06</v>
      </c>
      <c r="P658">
        <v>3415.93</v>
      </c>
    </row>
    <row r="659" spans="1:25" x14ac:dyDescent="0.25">
      <c r="A659">
        <v>2020</v>
      </c>
      <c r="B659">
        <v>10</v>
      </c>
      <c r="C659" t="s">
        <v>355</v>
      </c>
      <c r="D659" t="s">
        <v>356</v>
      </c>
      <c r="E659" t="s">
        <v>357</v>
      </c>
      <c r="F659" t="s">
        <v>578</v>
      </c>
      <c r="G659" t="s">
        <v>579</v>
      </c>
      <c r="H659" t="s">
        <v>34</v>
      </c>
      <c r="I659" t="s">
        <v>34</v>
      </c>
      <c r="J659">
        <v>0.49</v>
      </c>
      <c r="K659">
        <v>0.49</v>
      </c>
      <c r="M659">
        <v>0</v>
      </c>
    </row>
    <row r="660" spans="1:25" x14ac:dyDescent="0.25">
      <c r="A660">
        <v>2020</v>
      </c>
      <c r="B660">
        <v>10</v>
      </c>
      <c r="C660" t="s">
        <v>289</v>
      </c>
      <c r="D660" t="s">
        <v>607</v>
      </c>
      <c r="E660" t="s">
        <v>608</v>
      </c>
      <c r="F660" t="s">
        <v>609</v>
      </c>
      <c r="G660" t="s">
        <v>610</v>
      </c>
      <c r="H660" t="s">
        <v>34</v>
      </c>
      <c r="I660" t="s">
        <v>34</v>
      </c>
      <c r="J660">
        <v>86484.61</v>
      </c>
      <c r="K660">
        <v>86484.61</v>
      </c>
      <c r="M660">
        <v>31753.8</v>
      </c>
      <c r="N660">
        <v>31753.8</v>
      </c>
      <c r="P660">
        <v>42073.79</v>
      </c>
    </row>
    <row r="661" spans="1:25" x14ac:dyDescent="0.25">
      <c r="A661">
        <v>2020</v>
      </c>
      <c r="B661">
        <v>10</v>
      </c>
      <c r="C661" t="s">
        <v>289</v>
      </c>
      <c r="D661" t="s">
        <v>611</v>
      </c>
      <c r="E661" t="s">
        <v>615</v>
      </c>
      <c r="F661" t="s">
        <v>613</v>
      </c>
      <c r="G661" t="s">
        <v>616</v>
      </c>
      <c r="H661" t="s">
        <v>34</v>
      </c>
      <c r="I661" t="s">
        <v>34</v>
      </c>
      <c r="J661">
        <v>67387.87</v>
      </c>
      <c r="K661">
        <v>67387.87</v>
      </c>
      <c r="M661">
        <v>24522.81</v>
      </c>
      <c r="N661">
        <v>24522.81</v>
      </c>
      <c r="P661">
        <v>32492.720000000001</v>
      </c>
    </row>
    <row r="662" spans="1:25" x14ac:dyDescent="0.25">
      <c r="A662">
        <v>2020</v>
      </c>
      <c r="B662">
        <v>11</v>
      </c>
      <c r="C662" t="s">
        <v>168</v>
      </c>
      <c r="D662" t="s">
        <v>404</v>
      </c>
      <c r="E662" t="s">
        <v>405</v>
      </c>
      <c r="F662" t="s">
        <v>406</v>
      </c>
      <c r="G662" t="s">
        <v>407</v>
      </c>
      <c r="H662" t="s">
        <v>34</v>
      </c>
      <c r="I662" t="s">
        <v>23</v>
      </c>
      <c r="J662">
        <v>892971.73</v>
      </c>
      <c r="K662">
        <v>288442</v>
      </c>
      <c r="L662">
        <v>604529.73</v>
      </c>
      <c r="M662">
        <v>105368.72</v>
      </c>
      <c r="N662">
        <v>37214.720000000001</v>
      </c>
      <c r="O662">
        <v>68154</v>
      </c>
      <c r="P662">
        <v>49309.5</v>
      </c>
      <c r="Q662">
        <v>735019964.70000005</v>
      </c>
      <c r="R662">
        <v>770047540.39999998</v>
      </c>
      <c r="S662">
        <v>5.2999999999999999E-2</v>
      </c>
      <c r="T662">
        <v>3</v>
      </c>
      <c r="U662">
        <v>2.75E-2</v>
      </c>
      <c r="V662">
        <v>0.08</v>
      </c>
      <c r="X662">
        <v>90304.05</v>
      </c>
      <c r="Y662">
        <v>7.4999999999999997E-3</v>
      </c>
    </row>
    <row r="663" spans="1:25" x14ac:dyDescent="0.25">
      <c r="A663">
        <v>2020</v>
      </c>
      <c r="B663">
        <v>11</v>
      </c>
      <c r="C663" t="s">
        <v>168</v>
      </c>
      <c r="D663" t="s">
        <v>292</v>
      </c>
      <c r="E663" t="s">
        <v>293</v>
      </c>
      <c r="F663" t="s">
        <v>408</v>
      </c>
      <c r="G663" t="s">
        <v>409</v>
      </c>
      <c r="H663" t="s">
        <v>34</v>
      </c>
      <c r="I663" t="s">
        <v>23</v>
      </c>
      <c r="J663">
        <v>995060.71</v>
      </c>
      <c r="K663">
        <v>322311.15999999997</v>
      </c>
      <c r="L663">
        <v>672749.55</v>
      </c>
      <c r="M663">
        <v>130965.91</v>
      </c>
      <c r="N663">
        <v>43995.31</v>
      </c>
      <c r="O663">
        <v>86970.6</v>
      </c>
      <c r="P663">
        <v>58293.79</v>
      </c>
      <c r="Q663">
        <v>925231465.5</v>
      </c>
      <c r="R663">
        <v>995369215.10000002</v>
      </c>
      <c r="S663">
        <v>5.2999999999999999E-2</v>
      </c>
      <c r="T663">
        <v>3</v>
      </c>
      <c r="U663">
        <v>2.75E-2</v>
      </c>
      <c r="V663">
        <v>0.08</v>
      </c>
      <c r="X663">
        <v>115236.04</v>
      </c>
      <c r="Y663">
        <v>7.4999999999999997E-3</v>
      </c>
    </row>
    <row r="664" spans="1:25" x14ac:dyDescent="0.25">
      <c r="A664">
        <v>2020</v>
      </c>
      <c r="B664">
        <v>11</v>
      </c>
      <c r="C664" t="s">
        <v>168</v>
      </c>
      <c r="D664" t="s">
        <v>412</v>
      </c>
      <c r="E664" t="s">
        <v>413</v>
      </c>
      <c r="F664" t="s">
        <v>414</v>
      </c>
      <c r="G664" t="s">
        <v>415</v>
      </c>
      <c r="H664" t="s">
        <v>34</v>
      </c>
      <c r="I664" t="s">
        <v>23</v>
      </c>
      <c r="J664">
        <v>282962.08</v>
      </c>
      <c r="K664">
        <v>57748.82</v>
      </c>
      <c r="L664">
        <v>225213.27</v>
      </c>
      <c r="M664">
        <v>36218.339999999997</v>
      </c>
      <c r="N664">
        <v>6600.54</v>
      </c>
      <c r="O664">
        <v>29617.8</v>
      </c>
      <c r="P664">
        <v>8745.7099999999991</v>
      </c>
      <c r="Q664">
        <v>306347319.39999998</v>
      </c>
      <c r="R664">
        <v>347712481.10000002</v>
      </c>
      <c r="S664">
        <v>5.2999999999999999E-2</v>
      </c>
      <c r="T664" t="s">
        <v>24</v>
      </c>
      <c r="U664">
        <v>3.5000000000000003E-2</v>
      </c>
      <c r="V664">
        <v>0.08</v>
      </c>
      <c r="X664">
        <v>39243.589999999997</v>
      </c>
    </row>
    <row r="665" spans="1:25" x14ac:dyDescent="0.25">
      <c r="A665">
        <v>2020</v>
      </c>
      <c r="B665">
        <v>11</v>
      </c>
      <c r="C665" t="s">
        <v>168</v>
      </c>
      <c r="D665" t="s">
        <v>292</v>
      </c>
      <c r="E665" t="s">
        <v>293</v>
      </c>
      <c r="F665" t="s">
        <v>410</v>
      </c>
      <c r="G665" t="s">
        <v>411</v>
      </c>
      <c r="H665" t="s">
        <v>34</v>
      </c>
      <c r="I665" t="s">
        <v>23</v>
      </c>
      <c r="J665">
        <v>840954.99</v>
      </c>
      <c r="K665">
        <v>14112.29</v>
      </c>
      <c r="L665">
        <v>826842.7</v>
      </c>
      <c r="M665">
        <v>63087.46</v>
      </c>
      <c r="N665">
        <v>108.42</v>
      </c>
      <c r="O665">
        <v>62979.040000000001</v>
      </c>
      <c r="P665">
        <v>143.66</v>
      </c>
      <c r="Q665">
        <v>1386610790</v>
      </c>
      <c r="R665">
        <v>1394963471</v>
      </c>
      <c r="S665">
        <v>5.2999999999999999E-2</v>
      </c>
      <c r="T665">
        <v>3</v>
      </c>
      <c r="U665">
        <v>2.75E-2</v>
      </c>
      <c r="V665">
        <v>0.04</v>
      </c>
      <c r="X665">
        <v>83447.23</v>
      </c>
      <c r="Y665">
        <v>7.4999999999999997E-3</v>
      </c>
    </row>
    <row r="666" spans="1:25" x14ac:dyDescent="0.25">
      <c r="A666">
        <v>2020</v>
      </c>
      <c r="B666">
        <v>11</v>
      </c>
      <c r="C666" t="s">
        <v>295</v>
      </c>
      <c r="D666" t="s">
        <v>296</v>
      </c>
      <c r="E666" t="s">
        <v>297</v>
      </c>
      <c r="F666" t="s">
        <v>416</v>
      </c>
      <c r="G666" t="s">
        <v>417</v>
      </c>
      <c r="H666" t="s">
        <v>34</v>
      </c>
      <c r="I666" t="s">
        <v>23</v>
      </c>
      <c r="J666">
        <v>2448689.91</v>
      </c>
      <c r="K666">
        <v>1276150.8799999999</v>
      </c>
      <c r="L666">
        <v>1172539.04</v>
      </c>
      <c r="M666">
        <v>259956.62</v>
      </c>
      <c r="N666">
        <v>130377.86</v>
      </c>
      <c r="O666">
        <v>129578.76</v>
      </c>
      <c r="P666">
        <v>172750.66</v>
      </c>
      <c r="Q666">
        <v>1421112008</v>
      </c>
      <c r="R666">
        <v>1440418935</v>
      </c>
      <c r="S666">
        <v>5.2999999999999999E-2</v>
      </c>
      <c r="T666" t="s">
        <v>24</v>
      </c>
      <c r="U666">
        <v>3.5000000000000003E-2</v>
      </c>
      <c r="V666">
        <v>0.08</v>
      </c>
      <c r="X666">
        <v>171691.86</v>
      </c>
    </row>
    <row r="667" spans="1:25" x14ac:dyDescent="0.25">
      <c r="A667">
        <v>2020</v>
      </c>
      <c r="B667">
        <v>11</v>
      </c>
      <c r="C667" t="s">
        <v>295</v>
      </c>
      <c r="D667" t="s">
        <v>564</v>
      </c>
      <c r="E667" t="s">
        <v>565</v>
      </c>
      <c r="F667" t="s">
        <v>566</v>
      </c>
      <c r="G667" t="s">
        <v>567</v>
      </c>
      <c r="H667" t="s">
        <v>34</v>
      </c>
      <c r="I667" t="s">
        <v>23</v>
      </c>
      <c r="J667">
        <v>1469093.1</v>
      </c>
      <c r="K667">
        <v>1127731.07</v>
      </c>
      <c r="L667">
        <v>341362.02</v>
      </c>
      <c r="M667">
        <v>244612.94</v>
      </c>
      <c r="N667">
        <v>119408.68</v>
      </c>
      <c r="O667">
        <v>125204.26</v>
      </c>
      <c r="P667">
        <v>158216.5</v>
      </c>
      <c r="Q667">
        <v>1364565482</v>
      </c>
      <c r="R667">
        <v>1400361854</v>
      </c>
      <c r="S667">
        <v>5.2999999999999999E-2</v>
      </c>
      <c r="T667">
        <v>3</v>
      </c>
      <c r="U667">
        <v>2.75E-2</v>
      </c>
      <c r="V667">
        <v>0.08</v>
      </c>
      <c r="X667">
        <v>165895.64000000001</v>
      </c>
      <c r="Y667">
        <v>7.4999999999999997E-3</v>
      </c>
    </row>
    <row r="668" spans="1:25" x14ac:dyDescent="0.25">
      <c r="A668">
        <v>2020</v>
      </c>
      <c r="B668">
        <v>11</v>
      </c>
      <c r="C668" t="s">
        <v>298</v>
      </c>
      <c r="D668" t="s">
        <v>299</v>
      </c>
      <c r="E668" t="s">
        <v>300</v>
      </c>
      <c r="F668" t="s">
        <v>587</v>
      </c>
      <c r="G668" t="s">
        <v>588</v>
      </c>
      <c r="H668" t="s">
        <v>34</v>
      </c>
      <c r="I668" t="s">
        <v>23</v>
      </c>
      <c r="J668">
        <v>1506172.49</v>
      </c>
      <c r="K668">
        <v>653430.23</v>
      </c>
      <c r="L668">
        <v>852742.26</v>
      </c>
      <c r="M668">
        <v>215392</v>
      </c>
      <c r="N668">
        <v>96608.08</v>
      </c>
      <c r="O668">
        <v>118783.92</v>
      </c>
      <c r="P668">
        <v>128005.7</v>
      </c>
      <c r="Q668">
        <v>1305154434</v>
      </c>
      <c r="R668">
        <v>1317990547</v>
      </c>
      <c r="S668">
        <v>5.2999999999999999E-2</v>
      </c>
      <c r="T668">
        <v>3</v>
      </c>
      <c r="U668">
        <v>2.75E-2</v>
      </c>
      <c r="V668">
        <v>0.08</v>
      </c>
      <c r="X668">
        <v>157388.70000000001</v>
      </c>
      <c r="Y668">
        <v>7.4999999999999997E-3</v>
      </c>
    </row>
    <row r="669" spans="1:25" x14ac:dyDescent="0.25">
      <c r="A669">
        <v>2020</v>
      </c>
      <c r="B669">
        <v>11</v>
      </c>
      <c r="C669" t="s">
        <v>302</v>
      </c>
      <c r="D669" t="s">
        <v>303</v>
      </c>
      <c r="E669" t="s">
        <v>304</v>
      </c>
      <c r="F669" t="s">
        <v>422</v>
      </c>
      <c r="G669" t="s">
        <v>423</v>
      </c>
      <c r="H669" t="s">
        <v>34</v>
      </c>
      <c r="I669" t="s">
        <v>23</v>
      </c>
      <c r="J669">
        <v>1137918.26</v>
      </c>
      <c r="K669">
        <v>509633.12</v>
      </c>
      <c r="L669">
        <v>628285.15</v>
      </c>
      <c r="M669">
        <v>136299.72</v>
      </c>
      <c r="N669">
        <v>67671.360000000001</v>
      </c>
      <c r="O669">
        <v>68628.36</v>
      </c>
      <c r="P669">
        <v>89664.55</v>
      </c>
      <c r="Q669">
        <v>755720600.89999998</v>
      </c>
      <c r="R669">
        <v>759822334.60000002</v>
      </c>
      <c r="S669">
        <v>5.2999999999999999E-2</v>
      </c>
      <c r="T669" t="s">
        <v>24</v>
      </c>
      <c r="U669">
        <v>3.5000000000000003E-2</v>
      </c>
      <c r="V669">
        <v>0.08</v>
      </c>
      <c r="X669">
        <v>90932.58</v>
      </c>
    </row>
    <row r="670" spans="1:25" x14ac:dyDescent="0.25">
      <c r="A670">
        <v>2020</v>
      </c>
      <c r="B670">
        <v>11</v>
      </c>
      <c r="C670" t="s">
        <v>302</v>
      </c>
      <c r="D670" t="s">
        <v>418</v>
      </c>
      <c r="E670" t="s">
        <v>419</v>
      </c>
      <c r="F670" t="s">
        <v>420</v>
      </c>
      <c r="G670" t="s">
        <v>421</v>
      </c>
      <c r="H670" t="s">
        <v>34</v>
      </c>
      <c r="I670" t="s">
        <v>23</v>
      </c>
      <c r="J670">
        <v>1054732.51</v>
      </c>
      <c r="K670">
        <v>449521.13</v>
      </c>
      <c r="L670">
        <v>605211.37</v>
      </c>
      <c r="M670">
        <v>125060.07</v>
      </c>
      <c r="N670">
        <v>60779.26</v>
      </c>
      <c r="O670">
        <v>64280.81</v>
      </c>
      <c r="P670">
        <v>80532.52</v>
      </c>
      <c r="Q670">
        <v>707285795</v>
      </c>
      <c r="R670">
        <v>712248666.29999995</v>
      </c>
      <c r="S670">
        <v>5.2999999999999999E-2</v>
      </c>
      <c r="T670">
        <v>3</v>
      </c>
      <c r="U670">
        <v>2.75E-2</v>
      </c>
      <c r="V670">
        <v>0.08</v>
      </c>
      <c r="X670">
        <v>85172.07</v>
      </c>
      <c r="Y670">
        <v>7.4999999999999997E-3</v>
      </c>
    </row>
    <row r="671" spans="1:25" x14ac:dyDescent="0.25">
      <c r="A671">
        <v>2020</v>
      </c>
      <c r="B671">
        <v>11</v>
      </c>
      <c r="C671" t="s">
        <v>305</v>
      </c>
      <c r="D671" t="s">
        <v>306</v>
      </c>
      <c r="E671" t="s">
        <v>307</v>
      </c>
      <c r="F671" t="s">
        <v>424</v>
      </c>
      <c r="G671" t="s">
        <v>425</v>
      </c>
      <c r="H671" t="s">
        <v>34</v>
      </c>
      <c r="I671" t="s">
        <v>23</v>
      </c>
      <c r="J671">
        <v>1186850.42</v>
      </c>
      <c r="K671">
        <v>439635.92</v>
      </c>
      <c r="L671">
        <v>747214.5</v>
      </c>
      <c r="M671">
        <v>159279.85999999999</v>
      </c>
      <c r="N671">
        <v>71064.5</v>
      </c>
      <c r="O671">
        <v>88215.360000000001</v>
      </c>
      <c r="P671">
        <v>94160.46</v>
      </c>
      <c r="Q671">
        <v>955288247.29999995</v>
      </c>
      <c r="R671">
        <v>992800895.29999995</v>
      </c>
      <c r="S671">
        <v>5.2999999999999999E-2</v>
      </c>
      <c r="T671">
        <v>3</v>
      </c>
      <c r="U671">
        <v>2.75E-2</v>
      </c>
      <c r="V671">
        <v>0.08</v>
      </c>
      <c r="X671">
        <v>116885.35</v>
      </c>
      <c r="Y671">
        <v>7.4999999999999997E-3</v>
      </c>
    </row>
    <row r="672" spans="1:25" x14ac:dyDescent="0.25">
      <c r="A672">
        <v>2020</v>
      </c>
      <c r="B672">
        <v>11</v>
      </c>
      <c r="C672" t="s">
        <v>305</v>
      </c>
      <c r="D672" t="s">
        <v>426</v>
      </c>
      <c r="E672" t="s">
        <v>427</v>
      </c>
      <c r="F672" t="s">
        <v>428</v>
      </c>
      <c r="G672" t="s">
        <v>429</v>
      </c>
      <c r="H672" t="s">
        <v>34</v>
      </c>
      <c r="I672" t="s">
        <v>23</v>
      </c>
      <c r="J672">
        <v>1185668.8400000001</v>
      </c>
      <c r="K672">
        <v>438580.3</v>
      </c>
      <c r="L672">
        <v>747088.54</v>
      </c>
      <c r="M672">
        <v>159070.45000000001</v>
      </c>
      <c r="N672">
        <v>70793.55</v>
      </c>
      <c r="O672">
        <v>88276.9</v>
      </c>
      <c r="P672">
        <v>93801.46</v>
      </c>
      <c r="Q672">
        <v>955886039.29999995</v>
      </c>
      <c r="R672">
        <v>993562130.70000005</v>
      </c>
      <c r="S672">
        <v>5.2999999999999999E-2</v>
      </c>
      <c r="T672">
        <v>3</v>
      </c>
      <c r="U672">
        <v>2.75E-2</v>
      </c>
      <c r="V672">
        <v>0.08</v>
      </c>
      <c r="X672">
        <v>116966.89</v>
      </c>
      <c r="Y672">
        <v>7.4999999999999997E-3</v>
      </c>
    </row>
    <row r="673" spans="1:25" x14ac:dyDescent="0.25">
      <c r="A673">
        <v>2020</v>
      </c>
      <c r="B673">
        <v>11</v>
      </c>
      <c r="C673" t="s">
        <v>308</v>
      </c>
      <c r="D673" t="s">
        <v>309</v>
      </c>
      <c r="E673" t="s">
        <v>310</v>
      </c>
      <c r="F673" t="s">
        <v>430</v>
      </c>
      <c r="G673" t="s">
        <v>431</v>
      </c>
      <c r="H673" t="s">
        <v>34</v>
      </c>
      <c r="I673" t="s">
        <v>23</v>
      </c>
      <c r="J673">
        <v>2769795.86</v>
      </c>
      <c r="K673">
        <v>1037385.09</v>
      </c>
      <c r="L673">
        <v>1732410.77</v>
      </c>
      <c r="M673">
        <v>270850.51</v>
      </c>
      <c r="N673">
        <v>106588.47</v>
      </c>
      <c r="O673">
        <v>164262.04</v>
      </c>
      <c r="P673">
        <v>141229.72</v>
      </c>
      <c r="Q673">
        <v>1822273066</v>
      </c>
      <c r="R673">
        <v>1805180418</v>
      </c>
      <c r="S673">
        <v>5.2999999999999999E-2</v>
      </c>
      <c r="T673" t="s">
        <v>24</v>
      </c>
      <c r="U673">
        <v>3.5000000000000003E-2</v>
      </c>
      <c r="V673">
        <v>0.08</v>
      </c>
      <c r="X673">
        <v>217647.21</v>
      </c>
    </row>
    <row r="674" spans="1:25" x14ac:dyDescent="0.25">
      <c r="A674">
        <v>2020</v>
      </c>
      <c r="B674">
        <v>11</v>
      </c>
      <c r="C674" t="s">
        <v>308</v>
      </c>
      <c r="D674" t="s">
        <v>432</v>
      </c>
      <c r="E674" t="s">
        <v>433</v>
      </c>
      <c r="F674" t="s">
        <v>434</v>
      </c>
      <c r="G674" t="s">
        <v>435</v>
      </c>
      <c r="H674" t="s">
        <v>34</v>
      </c>
      <c r="I674" t="s">
        <v>23</v>
      </c>
      <c r="J674">
        <v>1289059.2</v>
      </c>
      <c r="K674">
        <v>432558.54</v>
      </c>
      <c r="L674">
        <v>856500.66</v>
      </c>
      <c r="M674">
        <v>155494.12</v>
      </c>
      <c r="N674">
        <v>59018.17</v>
      </c>
      <c r="O674">
        <v>96475.94</v>
      </c>
      <c r="P674">
        <v>78199.08</v>
      </c>
      <c r="Q674">
        <v>1037334749</v>
      </c>
      <c r="R674">
        <v>1093175669</v>
      </c>
      <c r="S674">
        <v>5.2999999999999999E-2</v>
      </c>
      <c r="T674">
        <v>3</v>
      </c>
      <c r="U674">
        <v>2.75E-2</v>
      </c>
      <c r="V674">
        <v>0.08</v>
      </c>
      <c r="X674">
        <v>127830.63</v>
      </c>
      <c r="Y674">
        <v>7.4999999999999997E-3</v>
      </c>
    </row>
    <row r="675" spans="1:25" x14ac:dyDescent="0.25">
      <c r="A675">
        <v>2020</v>
      </c>
      <c r="B675">
        <v>11</v>
      </c>
      <c r="C675" t="s">
        <v>311</v>
      </c>
      <c r="D675" t="s">
        <v>438</v>
      </c>
      <c r="E675" t="s">
        <v>439</v>
      </c>
      <c r="F675" t="s">
        <v>440</v>
      </c>
      <c r="G675" t="s">
        <v>441</v>
      </c>
      <c r="H675" t="s">
        <v>34</v>
      </c>
      <c r="I675" t="s">
        <v>23</v>
      </c>
      <c r="J675">
        <v>1234172.17</v>
      </c>
      <c r="K675">
        <v>278289.06</v>
      </c>
      <c r="L675">
        <v>955883.11</v>
      </c>
      <c r="M675">
        <v>141662.01</v>
      </c>
      <c r="N675">
        <v>34728.370000000003</v>
      </c>
      <c r="O675">
        <v>106933.64</v>
      </c>
      <c r="P675">
        <v>46015.09</v>
      </c>
      <c r="Q675">
        <v>819880264.5</v>
      </c>
      <c r="R675">
        <v>847026494</v>
      </c>
      <c r="S675">
        <v>5.2999999999999999E-2</v>
      </c>
      <c r="T675">
        <v>3</v>
      </c>
      <c r="U675">
        <v>2.75E-2</v>
      </c>
      <c r="V675">
        <v>0.08</v>
      </c>
      <c r="X675">
        <v>141687.07</v>
      </c>
    </row>
    <row r="676" spans="1:25" x14ac:dyDescent="0.25">
      <c r="A676">
        <v>2020</v>
      </c>
      <c r="B676">
        <v>11</v>
      </c>
      <c r="C676" t="s">
        <v>311</v>
      </c>
      <c r="D676" t="s">
        <v>312</v>
      </c>
      <c r="E676" t="s">
        <v>313</v>
      </c>
      <c r="F676" t="s">
        <v>436</v>
      </c>
      <c r="G676" t="s">
        <v>437</v>
      </c>
      <c r="H676" t="s">
        <v>34</v>
      </c>
      <c r="I676" t="s">
        <v>23</v>
      </c>
      <c r="J676">
        <v>1015421.95</v>
      </c>
      <c r="K676">
        <v>318759.05</v>
      </c>
      <c r="L676">
        <v>696662.9</v>
      </c>
      <c r="M676">
        <v>125572.45</v>
      </c>
      <c r="N676">
        <v>46032.39</v>
      </c>
      <c r="O676">
        <v>79540.05</v>
      </c>
      <c r="P676">
        <v>60992.92</v>
      </c>
      <c r="Q676">
        <v>1006262294</v>
      </c>
      <c r="R676">
        <v>1033555198</v>
      </c>
      <c r="S676">
        <v>5.2999999999999999E-2</v>
      </c>
      <c r="T676">
        <v>3</v>
      </c>
      <c r="U676">
        <v>2.75E-2</v>
      </c>
      <c r="V676">
        <v>0.08</v>
      </c>
      <c r="X676">
        <v>105390.57</v>
      </c>
      <c r="Y676">
        <v>0.01</v>
      </c>
    </row>
    <row r="677" spans="1:25" x14ac:dyDescent="0.25">
      <c r="A677">
        <v>2020</v>
      </c>
      <c r="B677">
        <v>11</v>
      </c>
      <c r="C677" t="s">
        <v>315</v>
      </c>
      <c r="D677" t="s">
        <v>316</v>
      </c>
      <c r="E677" t="s">
        <v>317</v>
      </c>
      <c r="F677" t="s">
        <v>442</v>
      </c>
      <c r="G677" t="s">
        <v>443</v>
      </c>
      <c r="H677" t="s">
        <v>34</v>
      </c>
      <c r="I677" t="s">
        <v>23</v>
      </c>
      <c r="J677">
        <v>3358208.47</v>
      </c>
      <c r="K677">
        <v>1325829.32</v>
      </c>
      <c r="L677">
        <v>2032379.15</v>
      </c>
      <c r="M677">
        <v>389898.32</v>
      </c>
      <c r="N677">
        <v>145077.73000000001</v>
      </c>
      <c r="O677">
        <v>244820.59</v>
      </c>
      <c r="P677">
        <v>192227.99</v>
      </c>
      <c r="Q677">
        <v>1497739912</v>
      </c>
      <c r="R677">
        <v>1555316900</v>
      </c>
      <c r="S677">
        <v>5.2999999999999999E-2</v>
      </c>
      <c r="T677">
        <v>3</v>
      </c>
      <c r="U677">
        <v>2.75E-2</v>
      </c>
      <c r="V677">
        <v>0.1</v>
      </c>
      <c r="X677">
        <v>324387.28999999998</v>
      </c>
    </row>
    <row r="678" spans="1:25" x14ac:dyDescent="0.25">
      <c r="A678">
        <v>2020</v>
      </c>
      <c r="B678">
        <v>11</v>
      </c>
      <c r="C678" t="s">
        <v>315</v>
      </c>
      <c r="D678" t="s">
        <v>444</v>
      </c>
      <c r="E678" t="s">
        <v>445</v>
      </c>
      <c r="F678" t="s">
        <v>446</v>
      </c>
      <c r="G678" t="s">
        <v>447</v>
      </c>
      <c r="H678" t="s">
        <v>34</v>
      </c>
      <c r="I678" t="s">
        <v>23</v>
      </c>
      <c r="J678">
        <v>4629400.1100000003</v>
      </c>
      <c r="K678">
        <v>1267636.8999999999</v>
      </c>
      <c r="L678">
        <v>3361763.21</v>
      </c>
      <c r="M678">
        <v>559449.43999999994</v>
      </c>
      <c r="N678">
        <v>151953.24</v>
      </c>
      <c r="O678">
        <v>407496.2</v>
      </c>
      <c r="P678">
        <v>201338.04</v>
      </c>
      <c r="Q678">
        <v>1676981834</v>
      </c>
      <c r="R678">
        <v>1733117930</v>
      </c>
      <c r="S678">
        <v>5.2999999999999999E-2</v>
      </c>
      <c r="T678">
        <v>1</v>
      </c>
      <c r="U678">
        <v>1.4999999999999999E-2</v>
      </c>
      <c r="V678">
        <v>0.1</v>
      </c>
      <c r="X678">
        <v>539932.46</v>
      </c>
    </row>
    <row r="679" spans="1:25" x14ac:dyDescent="0.25">
      <c r="A679">
        <v>2020</v>
      </c>
      <c r="B679">
        <v>11</v>
      </c>
      <c r="C679" t="s">
        <v>318</v>
      </c>
      <c r="D679" t="s">
        <v>454</v>
      </c>
      <c r="E679" t="s">
        <v>455</v>
      </c>
      <c r="F679" t="s">
        <v>456</v>
      </c>
      <c r="G679" t="s">
        <v>457</v>
      </c>
      <c r="H679" t="s">
        <v>34</v>
      </c>
      <c r="I679" t="s">
        <v>23</v>
      </c>
      <c r="J679">
        <v>179182.75</v>
      </c>
      <c r="K679">
        <v>26961.68</v>
      </c>
      <c r="L679">
        <v>152221.07</v>
      </c>
      <c r="M679">
        <v>21726.53</v>
      </c>
      <c r="N679">
        <v>2757.52</v>
      </c>
      <c r="O679">
        <v>18969.009999999998</v>
      </c>
      <c r="P679">
        <v>3653.72</v>
      </c>
      <c r="Q679">
        <v>206083710</v>
      </c>
      <c r="R679">
        <v>212815259.80000001</v>
      </c>
      <c r="S679">
        <v>5.2999999999999999E-2</v>
      </c>
      <c r="T679">
        <v>3</v>
      </c>
      <c r="U679">
        <v>2.75E-2</v>
      </c>
      <c r="V679">
        <v>0.08</v>
      </c>
      <c r="X679">
        <v>25133.94</v>
      </c>
      <c r="Y679">
        <v>7.4999999999999997E-3</v>
      </c>
    </row>
    <row r="680" spans="1:25" x14ac:dyDescent="0.25">
      <c r="A680">
        <v>2020</v>
      </c>
      <c r="B680">
        <v>11</v>
      </c>
      <c r="C680" t="s">
        <v>318</v>
      </c>
      <c r="D680" t="s">
        <v>319</v>
      </c>
      <c r="E680" t="s">
        <v>320</v>
      </c>
      <c r="F680" t="s">
        <v>452</v>
      </c>
      <c r="G680" t="s">
        <v>453</v>
      </c>
      <c r="H680" t="s">
        <v>34</v>
      </c>
      <c r="I680" t="s">
        <v>23</v>
      </c>
      <c r="J680">
        <v>496681.94</v>
      </c>
      <c r="K680">
        <v>147587.49</v>
      </c>
      <c r="L680">
        <v>349094.45</v>
      </c>
      <c r="M680">
        <v>61291.47</v>
      </c>
      <c r="N680">
        <v>24076.82</v>
      </c>
      <c r="O680">
        <v>37214.65</v>
      </c>
      <c r="P680">
        <v>31901.78</v>
      </c>
      <c r="Q680">
        <v>405390039.39999998</v>
      </c>
      <c r="R680">
        <v>416433515.10000002</v>
      </c>
      <c r="S680">
        <v>5.2999999999999999E-2</v>
      </c>
      <c r="T680">
        <v>3</v>
      </c>
      <c r="U680">
        <v>2.75E-2</v>
      </c>
      <c r="V680">
        <v>0.08</v>
      </c>
      <c r="X680">
        <v>49309.41</v>
      </c>
      <c r="Y680">
        <v>7.4999999999999997E-3</v>
      </c>
    </row>
    <row r="681" spans="1:25" x14ac:dyDescent="0.25">
      <c r="A681">
        <v>2020</v>
      </c>
      <c r="B681">
        <v>11</v>
      </c>
      <c r="C681" t="s">
        <v>318</v>
      </c>
      <c r="D681" t="s">
        <v>448</v>
      </c>
      <c r="E681" t="s">
        <v>449</v>
      </c>
      <c r="F681" t="s">
        <v>450</v>
      </c>
      <c r="G681" t="s">
        <v>451</v>
      </c>
      <c r="H681" t="s">
        <v>34</v>
      </c>
      <c r="I681" t="s">
        <v>23</v>
      </c>
      <c r="J681">
        <v>240064.71</v>
      </c>
      <c r="K681">
        <v>54470.720000000001</v>
      </c>
      <c r="L681">
        <v>185593.98</v>
      </c>
      <c r="M681">
        <v>26805.14</v>
      </c>
      <c r="N681">
        <v>5678.37</v>
      </c>
      <c r="O681">
        <v>21126.77</v>
      </c>
      <c r="P681">
        <v>7523.84</v>
      </c>
      <c r="Q681">
        <v>227931772</v>
      </c>
      <c r="R681">
        <v>238617798.09999999</v>
      </c>
      <c r="S681">
        <v>5.2999999999999999E-2</v>
      </c>
      <c r="T681" t="s">
        <v>24</v>
      </c>
      <c r="U681">
        <v>3.5000000000000003E-2</v>
      </c>
      <c r="V681">
        <v>0.08</v>
      </c>
      <c r="X681">
        <v>27992.97</v>
      </c>
    </row>
    <row r="682" spans="1:25" x14ac:dyDescent="0.25">
      <c r="A682">
        <v>2020</v>
      </c>
      <c r="B682">
        <v>11</v>
      </c>
      <c r="C682" t="s">
        <v>321</v>
      </c>
      <c r="D682" t="s">
        <v>322</v>
      </c>
      <c r="E682" t="s">
        <v>323</v>
      </c>
      <c r="F682" t="s">
        <v>458</v>
      </c>
      <c r="G682" t="s">
        <v>459</v>
      </c>
      <c r="H682" t="s">
        <v>34</v>
      </c>
      <c r="I682" t="s">
        <v>23</v>
      </c>
      <c r="J682">
        <v>3397392.07</v>
      </c>
      <c r="K682">
        <v>1766155.27</v>
      </c>
      <c r="L682">
        <v>1631236.81</v>
      </c>
      <c r="M682">
        <v>365270.65</v>
      </c>
      <c r="N682">
        <v>182064.43</v>
      </c>
      <c r="O682">
        <v>183206.22</v>
      </c>
      <c r="P682">
        <v>241235.37</v>
      </c>
      <c r="Q682">
        <v>2014948529</v>
      </c>
      <c r="R682">
        <v>2030855497</v>
      </c>
      <c r="S682">
        <v>5.2999999999999999E-2</v>
      </c>
      <c r="T682" t="s">
        <v>24</v>
      </c>
      <c r="U682">
        <v>3.5000000000000003E-2</v>
      </c>
      <c r="V682">
        <v>0.08</v>
      </c>
      <c r="X682">
        <v>242748.24</v>
      </c>
    </row>
    <row r="683" spans="1:25" x14ac:dyDescent="0.25">
      <c r="A683">
        <v>2020</v>
      </c>
      <c r="B683">
        <v>11</v>
      </c>
      <c r="C683" t="s">
        <v>324</v>
      </c>
      <c r="D683" t="s">
        <v>462</v>
      </c>
      <c r="E683" t="s">
        <v>463</v>
      </c>
      <c r="F683" t="s">
        <v>464</v>
      </c>
      <c r="G683" t="s">
        <v>465</v>
      </c>
      <c r="H683" t="s">
        <v>34</v>
      </c>
      <c r="I683" t="s">
        <v>23</v>
      </c>
      <c r="J683">
        <v>1549645.35</v>
      </c>
      <c r="K683">
        <v>741227.72</v>
      </c>
      <c r="L683">
        <v>808417.63</v>
      </c>
      <c r="M683">
        <v>187968.8</v>
      </c>
      <c r="N683">
        <v>94684.5</v>
      </c>
      <c r="O683">
        <v>93284.31</v>
      </c>
      <c r="P683">
        <v>125456.96000000001</v>
      </c>
      <c r="Q683">
        <v>1008893492</v>
      </c>
      <c r="R683">
        <v>1051134921</v>
      </c>
      <c r="S683">
        <v>5.2999999999999999E-2</v>
      </c>
      <c r="T683" t="s">
        <v>24</v>
      </c>
      <c r="U683">
        <v>3.5000000000000003E-2</v>
      </c>
      <c r="V683">
        <v>0.08</v>
      </c>
      <c r="X683">
        <v>123601.7</v>
      </c>
    </row>
    <row r="684" spans="1:25" x14ac:dyDescent="0.25">
      <c r="A684">
        <v>2020</v>
      </c>
      <c r="B684">
        <v>11</v>
      </c>
      <c r="C684" t="s">
        <v>324</v>
      </c>
      <c r="D684" t="s">
        <v>325</v>
      </c>
      <c r="E684" t="s">
        <v>326</v>
      </c>
      <c r="F684" t="s">
        <v>460</v>
      </c>
      <c r="G684" t="s">
        <v>461</v>
      </c>
      <c r="H684" t="s">
        <v>34</v>
      </c>
      <c r="I684" t="s">
        <v>23</v>
      </c>
      <c r="J684">
        <v>1826180.13</v>
      </c>
      <c r="K684">
        <v>908592.07</v>
      </c>
      <c r="L684">
        <v>917588.06</v>
      </c>
      <c r="M684">
        <v>214269.54</v>
      </c>
      <c r="N684">
        <v>108277.46</v>
      </c>
      <c r="O684">
        <v>105992.07</v>
      </c>
      <c r="P684">
        <v>143467.64000000001</v>
      </c>
      <c r="Q684">
        <v>1141032794</v>
      </c>
      <c r="R684">
        <v>1199625490</v>
      </c>
      <c r="S684">
        <v>5.2999999999999999E-2</v>
      </c>
      <c r="T684">
        <v>3</v>
      </c>
      <c r="U684">
        <v>2.75E-2</v>
      </c>
      <c r="V684">
        <v>0.08</v>
      </c>
      <c r="X684">
        <v>140439.5</v>
      </c>
      <c r="Y684">
        <v>7.4999999999999997E-3</v>
      </c>
    </row>
    <row r="685" spans="1:25" x14ac:dyDescent="0.25">
      <c r="A685">
        <v>2020</v>
      </c>
      <c r="B685">
        <v>11</v>
      </c>
      <c r="C685" t="s">
        <v>327</v>
      </c>
      <c r="D685" t="s">
        <v>472</v>
      </c>
      <c r="E685" t="s">
        <v>473</v>
      </c>
      <c r="F685" t="s">
        <v>474</v>
      </c>
      <c r="G685" t="s">
        <v>475</v>
      </c>
      <c r="H685" t="s">
        <v>34</v>
      </c>
      <c r="I685" t="s">
        <v>23</v>
      </c>
      <c r="J685">
        <v>411615.56</v>
      </c>
      <c r="K685">
        <v>121023.33</v>
      </c>
      <c r="L685">
        <v>290592.23</v>
      </c>
      <c r="M685">
        <v>57680.6</v>
      </c>
      <c r="N685">
        <v>16970.8</v>
      </c>
      <c r="O685">
        <v>40709.800000000003</v>
      </c>
      <c r="P685">
        <v>22486.31</v>
      </c>
      <c r="Q685">
        <v>399199386.60000002</v>
      </c>
      <c r="R685">
        <v>499808744.5</v>
      </c>
      <c r="S685">
        <v>5.2999999999999999E-2</v>
      </c>
      <c r="T685">
        <v>3</v>
      </c>
      <c r="U685">
        <v>2.75E-2</v>
      </c>
      <c r="V685">
        <v>0.08</v>
      </c>
      <c r="X685">
        <v>53940.49</v>
      </c>
      <c r="Y685">
        <v>7.4999999999999997E-3</v>
      </c>
    </row>
    <row r="686" spans="1:25" x14ac:dyDescent="0.25">
      <c r="A686">
        <v>2020</v>
      </c>
      <c r="B686">
        <v>11</v>
      </c>
      <c r="C686" t="s">
        <v>327</v>
      </c>
      <c r="D686" t="s">
        <v>466</v>
      </c>
      <c r="E686" t="s">
        <v>467</v>
      </c>
      <c r="F686" t="s">
        <v>468</v>
      </c>
      <c r="G686" t="s">
        <v>469</v>
      </c>
      <c r="H686" t="s">
        <v>34</v>
      </c>
      <c r="I686" t="s">
        <v>23</v>
      </c>
      <c r="J686">
        <v>790546.13</v>
      </c>
      <c r="K686">
        <v>276507.61</v>
      </c>
      <c r="L686">
        <v>514038.52</v>
      </c>
      <c r="M686">
        <v>91264.320000000007</v>
      </c>
      <c r="N686">
        <v>34723.01</v>
      </c>
      <c r="O686">
        <v>56541.31</v>
      </c>
      <c r="P686">
        <v>46007.99</v>
      </c>
      <c r="Q686">
        <v>613920390.89999998</v>
      </c>
      <c r="R686">
        <v>634700101.5</v>
      </c>
      <c r="S686">
        <v>5.2999999999999999E-2</v>
      </c>
      <c r="T686">
        <v>3</v>
      </c>
      <c r="U686">
        <v>2.75E-2</v>
      </c>
      <c r="V686">
        <v>0.08</v>
      </c>
      <c r="X686">
        <v>74917.23</v>
      </c>
      <c r="Y686">
        <v>7.4999999999999997E-3</v>
      </c>
    </row>
    <row r="687" spans="1:25" x14ac:dyDescent="0.25">
      <c r="A687">
        <v>2020</v>
      </c>
      <c r="B687">
        <v>11</v>
      </c>
      <c r="C687" t="s">
        <v>327</v>
      </c>
      <c r="D687" t="s">
        <v>328</v>
      </c>
      <c r="E687" t="s">
        <v>329</v>
      </c>
      <c r="F687" t="s">
        <v>470</v>
      </c>
      <c r="G687" t="s">
        <v>471</v>
      </c>
      <c r="H687" t="s">
        <v>34</v>
      </c>
      <c r="I687" t="s">
        <v>23</v>
      </c>
      <c r="J687">
        <v>882273.79</v>
      </c>
      <c r="K687">
        <v>321872.45</v>
      </c>
      <c r="L687">
        <v>560401.34</v>
      </c>
      <c r="M687">
        <v>102225.78</v>
      </c>
      <c r="N687">
        <v>36241.49</v>
      </c>
      <c r="O687">
        <v>65984.289999999994</v>
      </c>
      <c r="P687">
        <v>48019.97</v>
      </c>
      <c r="Q687">
        <v>713938800.39999998</v>
      </c>
      <c r="R687">
        <v>743214235.89999998</v>
      </c>
      <c r="S687">
        <v>5.2999999999999999E-2</v>
      </c>
      <c r="T687">
        <v>3</v>
      </c>
      <c r="U687">
        <v>2.75E-2</v>
      </c>
      <c r="V687">
        <v>0.08</v>
      </c>
      <c r="X687">
        <v>87429.18</v>
      </c>
      <c r="Y687">
        <v>7.4999999999999997E-3</v>
      </c>
    </row>
    <row r="688" spans="1:25" x14ac:dyDescent="0.25">
      <c r="A688">
        <v>2020</v>
      </c>
      <c r="B688">
        <v>11</v>
      </c>
      <c r="C688" t="s">
        <v>333</v>
      </c>
      <c r="D688" t="s">
        <v>478</v>
      </c>
      <c r="E688" t="s">
        <v>479</v>
      </c>
      <c r="F688" t="s">
        <v>480</v>
      </c>
      <c r="G688" t="s">
        <v>481</v>
      </c>
      <c r="H688" t="s">
        <v>34</v>
      </c>
      <c r="I688" t="s">
        <v>23</v>
      </c>
      <c r="J688">
        <v>293310.57</v>
      </c>
      <c r="K688">
        <v>139419.07999999999</v>
      </c>
      <c r="L688">
        <v>153891.49</v>
      </c>
      <c r="M688">
        <v>30245.89</v>
      </c>
      <c r="N688">
        <v>14266.99</v>
      </c>
      <c r="O688">
        <v>15978.9</v>
      </c>
      <c r="P688">
        <v>18903.759999999998</v>
      </c>
      <c r="Q688">
        <v>172656005.59999999</v>
      </c>
      <c r="R688">
        <v>180211398.80000001</v>
      </c>
      <c r="S688">
        <v>5.2999999999999999E-2</v>
      </c>
      <c r="T688" t="s">
        <v>24</v>
      </c>
      <c r="U688">
        <v>3.5000000000000003E-2</v>
      </c>
      <c r="V688">
        <v>0.08</v>
      </c>
      <c r="X688">
        <v>21172.04</v>
      </c>
    </row>
    <row r="689" spans="1:25" x14ac:dyDescent="0.25">
      <c r="A689">
        <v>2020</v>
      </c>
      <c r="B689">
        <v>11</v>
      </c>
      <c r="C689" t="s">
        <v>333</v>
      </c>
      <c r="D689" t="s">
        <v>334</v>
      </c>
      <c r="E689" t="s">
        <v>335</v>
      </c>
      <c r="F689" t="s">
        <v>476</v>
      </c>
      <c r="G689" t="s">
        <v>477</v>
      </c>
      <c r="H689" t="s">
        <v>34</v>
      </c>
      <c r="I689" t="s">
        <v>23</v>
      </c>
      <c r="J689">
        <v>243540.13</v>
      </c>
      <c r="K689">
        <v>76160.850000000006</v>
      </c>
      <c r="L689">
        <v>167379.28</v>
      </c>
      <c r="M689">
        <v>24399.38</v>
      </c>
      <c r="N689">
        <v>6113.21</v>
      </c>
      <c r="O689">
        <v>18286.18</v>
      </c>
      <c r="P689">
        <v>8100</v>
      </c>
      <c r="Q689">
        <v>197584357.80000001</v>
      </c>
      <c r="R689">
        <v>206235357.90000001</v>
      </c>
      <c r="S689">
        <v>5.2999999999999999E-2</v>
      </c>
      <c r="T689" t="s">
        <v>24</v>
      </c>
      <c r="U689">
        <v>3.5000000000000003E-2</v>
      </c>
      <c r="V689">
        <v>0.08</v>
      </c>
      <c r="X689">
        <v>24229.18</v>
      </c>
    </row>
    <row r="690" spans="1:25" x14ac:dyDescent="0.25">
      <c r="A690">
        <v>2020</v>
      </c>
      <c r="B690">
        <v>11</v>
      </c>
      <c r="C690" t="s">
        <v>336</v>
      </c>
      <c r="D690" t="s">
        <v>482</v>
      </c>
      <c r="E690" t="s">
        <v>483</v>
      </c>
      <c r="F690" t="s">
        <v>484</v>
      </c>
      <c r="G690" t="s">
        <v>485</v>
      </c>
      <c r="H690" t="s">
        <v>34</v>
      </c>
      <c r="I690" t="s">
        <v>23</v>
      </c>
      <c r="J690">
        <v>596908.02</v>
      </c>
      <c r="K690">
        <v>348531.11</v>
      </c>
      <c r="L690">
        <v>248376.91</v>
      </c>
      <c r="M690">
        <v>62436.160000000003</v>
      </c>
      <c r="N690">
        <v>33500.69</v>
      </c>
      <c r="O690">
        <v>28935.47</v>
      </c>
      <c r="P690">
        <v>44388.42</v>
      </c>
      <c r="Q690">
        <v>314433393.5</v>
      </c>
      <c r="R690">
        <v>324558210</v>
      </c>
      <c r="S690">
        <v>5.2999999999999999E-2</v>
      </c>
      <c r="T690" t="s">
        <v>24</v>
      </c>
      <c r="U690">
        <v>3.5000000000000003E-2</v>
      </c>
      <c r="V690">
        <v>0.08</v>
      </c>
      <c r="X690">
        <v>38339.5</v>
      </c>
    </row>
    <row r="691" spans="1:25" x14ac:dyDescent="0.25">
      <c r="A691">
        <v>2020</v>
      </c>
      <c r="B691">
        <v>11</v>
      </c>
      <c r="C691" t="s">
        <v>336</v>
      </c>
      <c r="D691" t="s">
        <v>337</v>
      </c>
      <c r="E691" t="s">
        <v>338</v>
      </c>
      <c r="F691" t="s">
        <v>486</v>
      </c>
      <c r="G691" t="s">
        <v>487</v>
      </c>
      <c r="H691" t="s">
        <v>34</v>
      </c>
      <c r="I691" t="s">
        <v>23</v>
      </c>
      <c r="J691">
        <v>607648.38</v>
      </c>
      <c r="K691">
        <v>358900.92</v>
      </c>
      <c r="L691">
        <v>248747.46</v>
      </c>
      <c r="M691">
        <v>66644.89</v>
      </c>
      <c r="N691">
        <v>37634.879999999997</v>
      </c>
      <c r="O691">
        <v>29010.01</v>
      </c>
      <c r="P691">
        <v>49866.22</v>
      </c>
      <c r="Q691">
        <v>315140376.39999998</v>
      </c>
      <c r="R691">
        <v>325497315</v>
      </c>
      <c r="S691">
        <v>5.2999999999999999E-2</v>
      </c>
      <c r="T691">
        <v>3</v>
      </c>
      <c r="U691">
        <v>2.75E-2</v>
      </c>
      <c r="V691">
        <v>0.08</v>
      </c>
      <c r="X691">
        <v>38438.26</v>
      </c>
      <c r="Y691">
        <v>7.4999999999999997E-3</v>
      </c>
    </row>
    <row r="692" spans="1:25" x14ac:dyDescent="0.25">
      <c r="A692">
        <v>2020</v>
      </c>
      <c r="B692">
        <v>11</v>
      </c>
      <c r="C692" t="s">
        <v>340</v>
      </c>
      <c r="D692" t="s">
        <v>574</v>
      </c>
      <c r="E692" t="s">
        <v>575</v>
      </c>
      <c r="F692" t="s">
        <v>576</v>
      </c>
      <c r="G692" t="s">
        <v>577</v>
      </c>
      <c r="H692" t="s">
        <v>34</v>
      </c>
      <c r="I692" t="s">
        <v>23</v>
      </c>
      <c r="J692">
        <v>1932901.47</v>
      </c>
      <c r="K692">
        <v>1385058.35</v>
      </c>
      <c r="L692">
        <v>547843.11</v>
      </c>
      <c r="M692">
        <v>438779.55</v>
      </c>
      <c r="N692">
        <v>163510.23000000001</v>
      </c>
      <c r="O692">
        <v>275269.33</v>
      </c>
      <c r="P692">
        <v>216651.05</v>
      </c>
      <c r="Q692">
        <v>1706958689</v>
      </c>
      <c r="R692">
        <v>1725811750</v>
      </c>
      <c r="S692">
        <v>5.2999999999999999E-2</v>
      </c>
      <c r="T692">
        <v>3</v>
      </c>
      <c r="U692">
        <v>2.75E-2</v>
      </c>
      <c r="V692">
        <v>0.1</v>
      </c>
      <c r="X692">
        <v>364731.86</v>
      </c>
    </row>
    <row r="693" spans="1:25" x14ac:dyDescent="0.25">
      <c r="A693">
        <v>2020</v>
      </c>
      <c r="B693">
        <v>11</v>
      </c>
      <c r="C693" t="s">
        <v>340</v>
      </c>
      <c r="D693" t="s">
        <v>341</v>
      </c>
      <c r="E693" t="s">
        <v>342</v>
      </c>
      <c r="F693" t="s">
        <v>488</v>
      </c>
      <c r="G693" t="s">
        <v>489</v>
      </c>
      <c r="H693" t="s">
        <v>34</v>
      </c>
      <c r="I693" t="s">
        <v>23</v>
      </c>
      <c r="J693">
        <v>4640308.41</v>
      </c>
      <c r="K693">
        <v>2407022.37</v>
      </c>
      <c r="L693">
        <v>2233286.04</v>
      </c>
      <c r="M693">
        <v>515031.28</v>
      </c>
      <c r="N693">
        <v>274299.21999999997</v>
      </c>
      <c r="O693">
        <v>240732.07</v>
      </c>
      <c r="P693">
        <v>363446.46</v>
      </c>
      <c r="Q693">
        <v>2621242252</v>
      </c>
      <c r="R693">
        <v>2694924236</v>
      </c>
      <c r="S693">
        <v>5.2999999999999999E-2</v>
      </c>
      <c r="T693">
        <v>3</v>
      </c>
      <c r="U693">
        <v>2.75E-2</v>
      </c>
      <c r="V693">
        <v>0.08</v>
      </c>
      <c r="X693">
        <v>318969.99</v>
      </c>
      <c r="Y693">
        <v>7.4999999999999997E-3</v>
      </c>
    </row>
    <row r="694" spans="1:25" x14ac:dyDescent="0.25">
      <c r="A694">
        <v>2020</v>
      </c>
      <c r="B694">
        <v>11</v>
      </c>
      <c r="C694" t="s">
        <v>343</v>
      </c>
      <c r="D694" t="s">
        <v>344</v>
      </c>
      <c r="E694" t="s">
        <v>345</v>
      </c>
      <c r="F694" t="s">
        <v>490</v>
      </c>
      <c r="G694" t="s">
        <v>491</v>
      </c>
      <c r="H694" t="s">
        <v>34</v>
      </c>
      <c r="I694" t="s">
        <v>23</v>
      </c>
      <c r="J694">
        <v>2166936.4700000002</v>
      </c>
      <c r="K694">
        <v>1176449.71</v>
      </c>
      <c r="L694">
        <v>990486.77</v>
      </c>
      <c r="M694">
        <v>263199.21999999997</v>
      </c>
      <c r="N694">
        <v>150760.66</v>
      </c>
      <c r="O694">
        <v>112438.56</v>
      </c>
      <c r="P694">
        <v>199757.88</v>
      </c>
      <c r="Q694">
        <v>1226249233</v>
      </c>
      <c r="R694">
        <v>1256768982</v>
      </c>
      <c r="S694">
        <v>5.2999999999999999E-2</v>
      </c>
      <c r="T694">
        <v>3</v>
      </c>
      <c r="U694">
        <v>2.75E-2</v>
      </c>
      <c r="V694">
        <v>0.08</v>
      </c>
      <c r="X694">
        <v>148981.09</v>
      </c>
      <c r="Y694">
        <v>7.4999999999999997E-3</v>
      </c>
    </row>
    <row r="695" spans="1:25" x14ac:dyDescent="0.25">
      <c r="A695">
        <v>2020</v>
      </c>
      <c r="B695">
        <v>11</v>
      </c>
      <c r="C695" t="s">
        <v>346</v>
      </c>
      <c r="D695" t="s">
        <v>347</v>
      </c>
      <c r="E695" t="s">
        <v>348</v>
      </c>
      <c r="F695" t="s">
        <v>494</v>
      </c>
      <c r="G695" t="s">
        <v>495</v>
      </c>
      <c r="H695" t="s">
        <v>34</v>
      </c>
      <c r="I695" t="s">
        <v>23</v>
      </c>
      <c r="J695">
        <v>850451.7</v>
      </c>
      <c r="K695">
        <v>241154.44</v>
      </c>
      <c r="L695">
        <v>609297.26</v>
      </c>
      <c r="M695">
        <v>107751.77</v>
      </c>
      <c r="N695">
        <v>37168.879999999997</v>
      </c>
      <c r="O695">
        <v>70582.89</v>
      </c>
      <c r="P695">
        <v>49248.77</v>
      </c>
      <c r="Q695">
        <v>764650029.79999995</v>
      </c>
      <c r="R695">
        <v>794055423.60000002</v>
      </c>
      <c r="S695">
        <v>5.2999999999999999E-2</v>
      </c>
      <c r="T695" t="s">
        <v>24</v>
      </c>
      <c r="U695">
        <v>3.5000000000000003E-2</v>
      </c>
      <c r="V695">
        <v>0.08</v>
      </c>
      <c r="X695">
        <v>93522.33</v>
      </c>
    </row>
    <row r="696" spans="1:25" x14ac:dyDescent="0.25">
      <c r="A696">
        <v>2020</v>
      </c>
      <c r="B696">
        <v>11</v>
      </c>
      <c r="C696" t="s">
        <v>346</v>
      </c>
      <c r="D696" t="s">
        <v>347</v>
      </c>
      <c r="E696" t="s">
        <v>348</v>
      </c>
      <c r="F696" t="s">
        <v>492</v>
      </c>
      <c r="G696" t="s">
        <v>493</v>
      </c>
      <c r="H696" t="s">
        <v>34</v>
      </c>
      <c r="I696" t="s">
        <v>23</v>
      </c>
      <c r="J696">
        <v>271517.71999999997</v>
      </c>
      <c r="K696">
        <v>768.94</v>
      </c>
      <c r="L696">
        <v>270748.78000000003</v>
      </c>
      <c r="M696">
        <v>24341.69</v>
      </c>
      <c r="N696">
        <v>27.76</v>
      </c>
      <c r="O696">
        <v>24313.93</v>
      </c>
      <c r="P696">
        <v>36.78</v>
      </c>
      <c r="Q696">
        <v>541164134</v>
      </c>
      <c r="R696">
        <v>532701259</v>
      </c>
      <c r="S696">
        <v>5.2999999999999999E-2</v>
      </c>
      <c r="T696">
        <v>3</v>
      </c>
      <c r="U696">
        <v>2.75E-2</v>
      </c>
      <c r="V696">
        <v>0.04</v>
      </c>
      <c r="X696">
        <v>32215.96</v>
      </c>
      <c r="Y696">
        <v>7.4999999999999997E-3</v>
      </c>
    </row>
    <row r="697" spans="1:25" x14ac:dyDescent="0.25">
      <c r="A697">
        <v>2020</v>
      </c>
      <c r="B697">
        <v>11</v>
      </c>
      <c r="C697" t="s">
        <v>346</v>
      </c>
      <c r="D697" t="s">
        <v>496</v>
      </c>
      <c r="E697" t="s">
        <v>497</v>
      </c>
      <c r="F697" t="s">
        <v>498</v>
      </c>
      <c r="G697" t="s">
        <v>499</v>
      </c>
      <c r="H697" t="s">
        <v>34</v>
      </c>
      <c r="I697" t="s">
        <v>23</v>
      </c>
      <c r="J697">
        <v>785675.38</v>
      </c>
      <c r="K697">
        <v>226673.73</v>
      </c>
      <c r="L697">
        <v>559001.65</v>
      </c>
      <c r="M697">
        <v>101214.49</v>
      </c>
      <c r="N697">
        <v>37379.4</v>
      </c>
      <c r="O697">
        <v>63835.08</v>
      </c>
      <c r="P697">
        <v>49527.71</v>
      </c>
      <c r="Q697">
        <v>682498427.39999998</v>
      </c>
      <c r="R697">
        <v>727192949.89999998</v>
      </c>
      <c r="S697">
        <v>5.2999999999999999E-2</v>
      </c>
      <c r="T697" t="s">
        <v>24</v>
      </c>
      <c r="U697">
        <v>3.5000000000000003E-2</v>
      </c>
      <c r="V697">
        <v>0.08</v>
      </c>
      <c r="X697">
        <v>84581.48</v>
      </c>
    </row>
    <row r="698" spans="1:25" x14ac:dyDescent="0.25">
      <c r="A698">
        <v>2020</v>
      </c>
      <c r="B698">
        <v>11</v>
      </c>
      <c r="C698" t="s">
        <v>346</v>
      </c>
      <c r="D698" t="s">
        <v>500</v>
      </c>
      <c r="E698" t="s">
        <v>501</v>
      </c>
      <c r="F698" t="s">
        <v>502</v>
      </c>
      <c r="G698" t="s">
        <v>503</v>
      </c>
      <c r="H698" t="s">
        <v>34</v>
      </c>
      <c r="I698" t="s">
        <v>23</v>
      </c>
      <c r="J698">
        <v>894398.57</v>
      </c>
      <c r="K698">
        <v>276203.96000000002</v>
      </c>
      <c r="L698">
        <v>618194.61</v>
      </c>
      <c r="M698">
        <v>117212.13</v>
      </c>
      <c r="N698">
        <v>40433.449999999997</v>
      </c>
      <c r="O698">
        <v>76778.679999999993</v>
      </c>
      <c r="P698">
        <v>53574.32</v>
      </c>
      <c r="Q698">
        <v>818723039.79999995</v>
      </c>
      <c r="R698">
        <v>876806179.10000002</v>
      </c>
      <c r="S698">
        <v>5.2999999999999999E-2</v>
      </c>
      <c r="T698">
        <v>3</v>
      </c>
      <c r="U698">
        <v>2.75E-2</v>
      </c>
      <c r="V698">
        <v>0.08</v>
      </c>
      <c r="X698">
        <v>101731.75</v>
      </c>
      <c r="Y698">
        <v>7.4999999999999997E-3</v>
      </c>
    </row>
    <row r="699" spans="1:25" x14ac:dyDescent="0.25">
      <c r="A699">
        <v>2020</v>
      </c>
      <c r="B699">
        <v>11</v>
      </c>
      <c r="C699" t="s">
        <v>349</v>
      </c>
      <c r="D699" t="s">
        <v>514</v>
      </c>
      <c r="E699" t="s">
        <v>515</v>
      </c>
      <c r="F699" t="s">
        <v>516</v>
      </c>
      <c r="G699" t="s">
        <v>517</v>
      </c>
      <c r="H699" t="s">
        <v>34</v>
      </c>
      <c r="I699" t="s">
        <v>23</v>
      </c>
      <c r="J699">
        <v>578718.34</v>
      </c>
      <c r="K699">
        <v>218384.77</v>
      </c>
      <c r="L699">
        <v>360333.57</v>
      </c>
      <c r="M699">
        <v>75597.62</v>
      </c>
      <c r="N699">
        <v>34251.68</v>
      </c>
      <c r="O699">
        <v>41345.949999999997</v>
      </c>
      <c r="P699">
        <v>45383.47</v>
      </c>
      <c r="Q699">
        <v>445698721.30000001</v>
      </c>
      <c r="R699">
        <v>467357663.30000001</v>
      </c>
      <c r="S699">
        <v>5.2999999999999999E-2</v>
      </c>
      <c r="T699">
        <v>3</v>
      </c>
      <c r="U699">
        <v>2.75E-2</v>
      </c>
      <c r="V699">
        <v>0.08</v>
      </c>
      <c r="X699">
        <v>54783.38</v>
      </c>
      <c r="Y699">
        <v>7.4999999999999997E-3</v>
      </c>
    </row>
    <row r="700" spans="1:25" x14ac:dyDescent="0.25">
      <c r="A700">
        <v>2020</v>
      </c>
      <c r="B700">
        <v>11</v>
      </c>
      <c r="C700" t="s">
        <v>349</v>
      </c>
      <c r="D700" t="s">
        <v>350</v>
      </c>
      <c r="E700" t="s">
        <v>351</v>
      </c>
      <c r="F700" t="s">
        <v>504</v>
      </c>
      <c r="G700" t="s">
        <v>505</v>
      </c>
      <c r="H700" t="s">
        <v>34</v>
      </c>
      <c r="I700" t="s">
        <v>23</v>
      </c>
      <c r="J700">
        <v>69247.990000000005</v>
      </c>
      <c r="K700">
        <v>325.81</v>
      </c>
      <c r="L700">
        <v>68922.179999999993</v>
      </c>
      <c r="M700">
        <v>6706.13</v>
      </c>
      <c r="N700">
        <v>1.95</v>
      </c>
      <c r="O700">
        <v>6704.18</v>
      </c>
      <c r="P700">
        <v>2.58</v>
      </c>
      <c r="Q700">
        <v>27937770.66</v>
      </c>
      <c r="R700">
        <v>28165621.510000002</v>
      </c>
      <c r="S700">
        <v>5.2999999999999999E-2</v>
      </c>
      <c r="T700">
        <v>1</v>
      </c>
      <c r="U700">
        <v>1.4999999999999999E-2</v>
      </c>
      <c r="V700">
        <v>0.1</v>
      </c>
      <c r="X700">
        <v>8883.0400000000009</v>
      </c>
    </row>
    <row r="701" spans="1:25" x14ac:dyDescent="0.25">
      <c r="A701">
        <v>2020</v>
      </c>
      <c r="B701">
        <v>11</v>
      </c>
      <c r="C701" t="s">
        <v>349</v>
      </c>
      <c r="D701" t="s">
        <v>506</v>
      </c>
      <c r="E701" t="s">
        <v>507</v>
      </c>
      <c r="F701" t="s">
        <v>508</v>
      </c>
      <c r="G701" t="s">
        <v>509</v>
      </c>
      <c r="H701" t="s">
        <v>34</v>
      </c>
      <c r="I701" t="s">
        <v>23</v>
      </c>
      <c r="J701">
        <v>2057547.29</v>
      </c>
      <c r="K701">
        <v>708640.34</v>
      </c>
      <c r="L701">
        <v>1348906.95</v>
      </c>
      <c r="M701">
        <v>212109.14</v>
      </c>
      <c r="N701">
        <v>80228.38</v>
      </c>
      <c r="O701">
        <v>131880.75</v>
      </c>
      <c r="P701">
        <v>106302.61</v>
      </c>
      <c r="Q701">
        <v>1449557952</v>
      </c>
      <c r="R701">
        <v>1462808640</v>
      </c>
      <c r="S701">
        <v>5.2999999999999999E-2</v>
      </c>
      <c r="T701" t="s">
        <v>24</v>
      </c>
      <c r="U701">
        <v>3.5000000000000003E-2</v>
      </c>
      <c r="V701">
        <v>0.08</v>
      </c>
      <c r="X701">
        <v>174742</v>
      </c>
    </row>
    <row r="702" spans="1:25" x14ac:dyDescent="0.25">
      <c r="A702">
        <v>2020</v>
      </c>
      <c r="B702">
        <v>11</v>
      </c>
      <c r="C702" t="s">
        <v>349</v>
      </c>
      <c r="D702" t="s">
        <v>350</v>
      </c>
      <c r="E702" t="s">
        <v>351</v>
      </c>
      <c r="F702" t="s">
        <v>518</v>
      </c>
      <c r="G702" t="s">
        <v>519</v>
      </c>
      <c r="H702" t="s">
        <v>34</v>
      </c>
      <c r="I702" t="s">
        <v>23</v>
      </c>
      <c r="J702">
        <v>8983590.8800000008</v>
      </c>
      <c r="K702">
        <v>4593976.96</v>
      </c>
      <c r="L702">
        <v>4389613.92</v>
      </c>
      <c r="M702">
        <v>873284.73</v>
      </c>
      <c r="N702">
        <v>437005.78</v>
      </c>
      <c r="O702">
        <v>436278.95</v>
      </c>
      <c r="P702">
        <v>579032.66</v>
      </c>
      <c r="Q702">
        <v>4787175906</v>
      </c>
      <c r="R702">
        <v>4847317524</v>
      </c>
      <c r="S702">
        <v>5.2999999999999999E-2</v>
      </c>
      <c r="T702">
        <v>3</v>
      </c>
      <c r="U702">
        <v>2.75E-2</v>
      </c>
      <c r="V702">
        <v>0.08</v>
      </c>
      <c r="X702">
        <v>578069.61</v>
      </c>
      <c r="Y702">
        <v>7.4999999999999997E-3</v>
      </c>
    </row>
    <row r="703" spans="1:25" x14ac:dyDescent="0.25">
      <c r="A703">
        <v>2020</v>
      </c>
      <c r="B703">
        <v>11</v>
      </c>
      <c r="C703" t="s">
        <v>349</v>
      </c>
      <c r="D703" t="s">
        <v>510</v>
      </c>
      <c r="E703" t="s">
        <v>511</v>
      </c>
      <c r="F703" t="s">
        <v>512</v>
      </c>
      <c r="G703" t="s">
        <v>513</v>
      </c>
      <c r="H703" t="s">
        <v>34</v>
      </c>
      <c r="I703" t="s">
        <v>23</v>
      </c>
      <c r="J703">
        <v>1196898.4099999999</v>
      </c>
      <c r="K703">
        <v>513974.17</v>
      </c>
      <c r="L703">
        <v>682924.24</v>
      </c>
      <c r="M703">
        <v>137447.37</v>
      </c>
      <c r="N703">
        <v>62968.28</v>
      </c>
      <c r="O703">
        <v>74479.09</v>
      </c>
      <c r="P703">
        <v>83432.97</v>
      </c>
      <c r="Q703">
        <v>815088523.89999998</v>
      </c>
      <c r="R703">
        <v>829658082</v>
      </c>
      <c r="S703">
        <v>5.2999999999999999E-2</v>
      </c>
      <c r="T703">
        <v>3</v>
      </c>
      <c r="U703">
        <v>2.75E-2</v>
      </c>
      <c r="V703">
        <v>0.08</v>
      </c>
      <c r="X703">
        <v>98684.800000000003</v>
      </c>
      <c r="Y703">
        <v>7.4999999999999997E-3</v>
      </c>
    </row>
    <row r="704" spans="1:25" x14ac:dyDescent="0.25">
      <c r="A704">
        <v>2020</v>
      </c>
      <c r="B704">
        <v>11</v>
      </c>
      <c r="C704" t="s">
        <v>352</v>
      </c>
      <c r="D704" t="s">
        <v>520</v>
      </c>
      <c r="E704" t="s">
        <v>521</v>
      </c>
      <c r="F704" t="s">
        <v>522</v>
      </c>
      <c r="G704" t="s">
        <v>523</v>
      </c>
      <c r="H704" t="s">
        <v>34</v>
      </c>
      <c r="I704" t="s">
        <v>23</v>
      </c>
      <c r="J704">
        <v>1628360.1</v>
      </c>
      <c r="K704">
        <v>713442.42</v>
      </c>
      <c r="L704">
        <v>914917.69</v>
      </c>
      <c r="M704">
        <v>203435.32</v>
      </c>
      <c r="N704">
        <v>101798.11</v>
      </c>
      <c r="O704">
        <v>101637.22</v>
      </c>
      <c r="P704">
        <v>134882.49</v>
      </c>
      <c r="Q704">
        <v>1091571592</v>
      </c>
      <c r="R704">
        <v>1152916910</v>
      </c>
      <c r="S704">
        <v>5.2999999999999999E-2</v>
      </c>
      <c r="T704" t="s">
        <v>24</v>
      </c>
      <c r="U704">
        <v>3.5000000000000003E-2</v>
      </c>
      <c r="V704">
        <v>0.08</v>
      </c>
      <c r="X704">
        <v>134669.31</v>
      </c>
    </row>
    <row r="705" spans="1:25" x14ac:dyDescent="0.25">
      <c r="A705">
        <v>2020</v>
      </c>
      <c r="B705">
        <v>11</v>
      </c>
      <c r="C705" t="s">
        <v>352</v>
      </c>
      <c r="D705" t="s">
        <v>524</v>
      </c>
      <c r="E705" t="s">
        <v>525</v>
      </c>
      <c r="F705" t="s">
        <v>526</v>
      </c>
      <c r="G705" t="s">
        <v>527</v>
      </c>
      <c r="H705" t="s">
        <v>34</v>
      </c>
      <c r="I705" t="s">
        <v>23</v>
      </c>
      <c r="J705">
        <v>1563902.42</v>
      </c>
      <c r="K705">
        <v>665993.35</v>
      </c>
      <c r="L705">
        <v>897909.06</v>
      </c>
      <c r="M705">
        <v>192008.09</v>
      </c>
      <c r="N705">
        <v>92938.29</v>
      </c>
      <c r="O705">
        <v>99069.8</v>
      </c>
      <c r="P705">
        <v>123143.24</v>
      </c>
      <c r="Q705">
        <v>1062249685</v>
      </c>
      <c r="R705">
        <v>1125541659</v>
      </c>
      <c r="S705">
        <v>5.2999999999999999E-2</v>
      </c>
      <c r="T705">
        <v>3</v>
      </c>
      <c r="U705">
        <v>2.75E-2</v>
      </c>
      <c r="V705">
        <v>0.08</v>
      </c>
      <c r="X705">
        <v>131267.48000000001</v>
      </c>
      <c r="Y705">
        <v>7.4999999999999997E-3</v>
      </c>
    </row>
    <row r="706" spans="1:25" x14ac:dyDescent="0.25">
      <c r="A706">
        <v>2020</v>
      </c>
      <c r="B706">
        <v>11</v>
      </c>
      <c r="C706" t="s">
        <v>352</v>
      </c>
      <c r="D706" t="s">
        <v>353</v>
      </c>
      <c r="E706" t="s">
        <v>354</v>
      </c>
      <c r="F706" t="s">
        <v>528</v>
      </c>
      <c r="G706" t="s">
        <v>529</v>
      </c>
      <c r="H706" t="s">
        <v>34</v>
      </c>
      <c r="I706" t="s">
        <v>23</v>
      </c>
      <c r="J706">
        <v>1572642.13</v>
      </c>
      <c r="K706">
        <v>672307.56</v>
      </c>
      <c r="L706">
        <v>900334.57</v>
      </c>
      <c r="M706">
        <v>200407.09</v>
      </c>
      <c r="N706">
        <v>100992.94</v>
      </c>
      <c r="O706">
        <v>99414.15</v>
      </c>
      <c r="P706">
        <v>133815.65</v>
      </c>
      <c r="Q706">
        <v>1066840476</v>
      </c>
      <c r="R706">
        <v>1128555344</v>
      </c>
      <c r="S706">
        <v>5.2999999999999999E-2</v>
      </c>
      <c r="T706">
        <v>3</v>
      </c>
      <c r="U706">
        <v>2.75E-2</v>
      </c>
      <c r="V706">
        <v>0.08</v>
      </c>
      <c r="X706">
        <v>131723.75</v>
      </c>
      <c r="Y706">
        <v>7.4999999999999997E-3</v>
      </c>
    </row>
    <row r="707" spans="1:25" x14ac:dyDescent="0.25">
      <c r="A707">
        <v>2020</v>
      </c>
      <c r="B707">
        <v>11</v>
      </c>
      <c r="C707" t="s">
        <v>355</v>
      </c>
      <c r="D707" t="s">
        <v>532</v>
      </c>
      <c r="E707" t="s">
        <v>533</v>
      </c>
      <c r="F707" t="s">
        <v>534</v>
      </c>
      <c r="G707" t="s">
        <v>535</v>
      </c>
      <c r="H707" t="s">
        <v>34</v>
      </c>
      <c r="I707" t="s">
        <v>23</v>
      </c>
      <c r="J707">
        <v>642413.55000000005</v>
      </c>
      <c r="K707">
        <v>184921.61</v>
      </c>
      <c r="L707">
        <v>457491.94</v>
      </c>
      <c r="M707">
        <v>73289.179999999993</v>
      </c>
      <c r="N707">
        <v>23555.22</v>
      </c>
      <c r="O707">
        <v>49733.96</v>
      </c>
      <c r="P707">
        <v>31210.67</v>
      </c>
      <c r="Q707">
        <v>537638433.10000002</v>
      </c>
      <c r="R707">
        <v>560653145.39999998</v>
      </c>
      <c r="S707">
        <v>5.2999999999999999E-2</v>
      </c>
      <c r="T707">
        <v>3</v>
      </c>
      <c r="U707">
        <v>2.75E-2</v>
      </c>
      <c r="V707">
        <v>0.08</v>
      </c>
      <c r="X707">
        <v>65897.490000000005</v>
      </c>
      <c r="Y707">
        <v>7.4999999999999997E-3</v>
      </c>
    </row>
    <row r="708" spans="1:25" x14ac:dyDescent="0.25">
      <c r="A708">
        <v>2020</v>
      </c>
      <c r="B708">
        <v>11</v>
      </c>
      <c r="C708" t="s">
        <v>355</v>
      </c>
      <c r="D708" t="s">
        <v>536</v>
      </c>
      <c r="E708" t="s">
        <v>537</v>
      </c>
      <c r="F708" t="s">
        <v>538</v>
      </c>
      <c r="G708" t="s">
        <v>539</v>
      </c>
      <c r="H708" t="s">
        <v>34</v>
      </c>
      <c r="I708" t="s">
        <v>23</v>
      </c>
      <c r="J708">
        <v>672421.22</v>
      </c>
      <c r="K708">
        <v>145609.49</v>
      </c>
      <c r="L708">
        <v>526811.73</v>
      </c>
      <c r="M708">
        <v>73380.92</v>
      </c>
      <c r="N708">
        <v>23583.01</v>
      </c>
      <c r="O708">
        <v>49797.91</v>
      </c>
      <c r="P708">
        <v>31247.49</v>
      </c>
      <c r="Q708">
        <v>545590989.70000005</v>
      </c>
      <c r="R708">
        <v>554112789.79999995</v>
      </c>
      <c r="S708">
        <v>5.2999999999999999E-2</v>
      </c>
      <c r="T708">
        <v>3</v>
      </c>
      <c r="U708">
        <v>2.75E-2</v>
      </c>
      <c r="V708">
        <v>0.08</v>
      </c>
      <c r="X708">
        <v>65982.23</v>
      </c>
      <c r="Y708">
        <v>7.4999999999999997E-3</v>
      </c>
    </row>
    <row r="709" spans="1:25" x14ac:dyDescent="0.25">
      <c r="A709">
        <v>2020</v>
      </c>
      <c r="B709">
        <v>11</v>
      </c>
      <c r="C709" t="s">
        <v>355</v>
      </c>
      <c r="D709" t="s">
        <v>356</v>
      </c>
      <c r="E709" t="s">
        <v>357</v>
      </c>
      <c r="F709" t="s">
        <v>530</v>
      </c>
      <c r="G709" t="s">
        <v>531</v>
      </c>
      <c r="H709" t="s">
        <v>34</v>
      </c>
      <c r="I709" t="s">
        <v>23</v>
      </c>
      <c r="J709">
        <v>924831.81</v>
      </c>
      <c r="K709">
        <v>286676.96000000002</v>
      </c>
      <c r="L709">
        <v>638154.85</v>
      </c>
      <c r="M709">
        <v>112221.86</v>
      </c>
      <c r="N709">
        <v>41182.629999999997</v>
      </c>
      <c r="O709">
        <v>71039.23</v>
      </c>
      <c r="P709">
        <v>54566.99</v>
      </c>
      <c r="Q709">
        <v>772201710.79999995</v>
      </c>
      <c r="R709">
        <v>796581188.60000002</v>
      </c>
      <c r="S709">
        <v>5.2999999999999999E-2</v>
      </c>
      <c r="T709">
        <v>3</v>
      </c>
      <c r="U709">
        <v>2.75E-2</v>
      </c>
      <c r="V709">
        <v>0.08</v>
      </c>
      <c r="X709">
        <v>94126.97</v>
      </c>
      <c r="Y709">
        <v>7.4999999999999997E-3</v>
      </c>
    </row>
    <row r="710" spans="1:25" x14ac:dyDescent="0.25">
      <c r="A710">
        <v>2020</v>
      </c>
      <c r="B710">
        <v>11</v>
      </c>
      <c r="C710" t="s">
        <v>364</v>
      </c>
      <c r="D710" t="s">
        <v>365</v>
      </c>
      <c r="E710" t="s">
        <v>366</v>
      </c>
      <c r="F710" t="s">
        <v>540</v>
      </c>
      <c r="G710" t="s">
        <v>541</v>
      </c>
      <c r="H710" t="s">
        <v>34</v>
      </c>
      <c r="I710" t="s">
        <v>23</v>
      </c>
      <c r="J710">
        <v>124101.69</v>
      </c>
      <c r="K710">
        <v>751.72</v>
      </c>
      <c r="L710">
        <v>123349.97</v>
      </c>
      <c r="M710">
        <v>11913.79</v>
      </c>
      <c r="N710">
        <v>682.08</v>
      </c>
      <c r="O710">
        <v>11231.71</v>
      </c>
      <c r="P710">
        <v>903.76</v>
      </c>
      <c r="Q710">
        <v>140819290.30000001</v>
      </c>
      <c r="R710">
        <v>139312656.40000001</v>
      </c>
      <c r="S710">
        <v>5.2999999999999999E-2</v>
      </c>
      <c r="T710">
        <v>3</v>
      </c>
      <c r="U710">
        <v>2.75E-2</v>
      </c>
      <c r="V710">
        <v>0.05</v>
      </c>
      <c r="X710">
        <v>14882.01</v>
      </c>
    </row>
    <row r="711" spans="1:25" x14ac:dyDescent="0.25">
      <c r="A711">
        <v>2020</v>
      </c>
      <c r="B711">
        <v>11</v>
      </c>
      <c r="C711" t="s">
        <v>364</v>
      </c>
      <c r="D711" t="s">
        <v>367</v>
      </c>
      <c r="E711" t="s">
        <v>368</v>
      </c>
      <c r="F711" t="s">
        <v>542</v>
      </c>
      <c r="G711" t="s">
        <v>543</v>
      </c>
      <c r="H711" t="s">
        <v>34</v>
      </c>
      <c r="I711" t="s">
        <v>23</v>
      </c>
      <c r="J711">
        <v>1605931.73</v>
      </c>
      <c r="K711">
        <v>383806.04</v>
      </c>
      <c r="L711">
        <v>1222125.69</v>
      </c>
      <c r="M711">
        <v>170994.35</v>
      </c>
      <c r="N711">
        <v>42174.05</v>
      </c>
      <c r="O711">
        <v>128820.3</v>
      </c>
      <c r="P711">
        <v>55880.62</v>
      </c>
      <c r="Q711">
        <v>789918419.10000002</v>
      </c>
      <c r="R711">
        <v>816546499.10000002</v>
      </c>
      <c r="S711">
        <v>5.2999999999999999E-2</v>
      </c>
      <c r="T711">
        <v>3</v>
      </c>
      <c r="U711">
        <v>2.75E-2</v>
      </c>
      <c r="V711">
        <v>0.1</v>
      </c>
      <c r="X711">
        <v>170686.9</v>
      </c>
    </row>
    <row r="712" spans="1:25" x14ac:dyDescent="0.25">
      <c r="A712">
        <v>2020</v>
      </c>
      <c r="B712">
        <v>11</v>
      </c>
      <c r="C712" t="s">
        <v>364</v>
      </c>
      <c r="D712" t="s">
        <v>365</v>
      </c>
      <c r="E712" t="s">
        <v>366</v>
      </c>
      <c r="F712" t="s">
        <v>544</v>
      </c>
      <c r="G712" t="s">
        <v>545</v>
      </c>
      <c r="H712" t="s">
        <v>34</v>
      </c>
      <c r="I712" t="s">
        <v>23</v>
      </c>
      <c r="J712">
        <v>333454.39</v>
      </c>
      <c r="K712">
        <v>5115.84</v>
      </c>
      <c r="L712">
        <v>328338.55</v>
      </c>
      <c r="M712">
        <v>33272.97</v>
      </c>
      <c r="N712">
        <v>346.88</v>
      </c>
      <c r="O712">
        <v>32926.1</v>
      </c>
      <c r="P712">
        <v>459.61</v>
      </c>
      <c r="Q712">
        <v>203724202.69999999</v>
      </c>
      <c r="R712">
        <v>206883578.59999999</v>
      </c>
      <c r="S712">
        <v>5.2999999999999999E-2</v>
      </c>
      <c r="T712">
        <v>3</v>
      </c>
      <c r="U712">
        <v>2.75E-2</v>
      </c>
      <c r="V712">
        <v>0.1</v>
      </c>
      <c r="X712">
        <v>43627.08</v>
      </c>
    </row>
    <row r="713" spans="1:25" x14ac:dyDescent="0.25">
      <c r="A713">
        <v>2020</v>
      </c>
      <c r="B713">
        <v>11</v>
      </c>
      <c r="C713" t="s">
        <v>358</v>
      </c>
      <c r="D713" t="s">
        <v>550</v>
      </c>
      <c r="E713" t="s">
        <v>551</v>
      </c>
      <c r="F713" t="s">
        <v>552</v>
      </c>
      <c r="G713" t="s">
        <v>553</v>
      </c>
      <c r="H713" t="s">
        <v>34</v>
      </c>
      <c r="I713" t="s">
        <v>23</v>
      </c>
      <c r="J713">
        <v>1328611.8899999999</v>
      </c>
      <c r="K713">
        <v>691285.68</v>
      </c>
      <c r="L713">
        <v>637326.19999999995</v>
      </c>
      <c r="M713">
        <v>159002.23000000001</v>
      </c>
      <c r="N713">
        <v>89367.37</v>
      </c>
      <c r="O713">
        <v>69634.86</v>
      </c>
      <c r="P713">
        <v>118411.77</v>
      </c>
      <c r="Q713">
        <v>733393265.39999998</v>
      </c>
      <c r="R713">
        <v>804376525.70000005</v>
      </c>
      <c r="S713">
        <v>5.2999999999999999E-2</v>
      </c>
      <c r="T713" t="s">
        <v>24</v>
      </c>
      <c r="U713">
        <v>3.5000000000000003E-2</v>
      </c>
      <c r="V713">
        <v>0.08</v>
      </c>
      <c r="X713">
        <v>92266.19</v>
      </c>
    </row>
    <row r="714" spans="1:25" x14ac:dyDescent="0.25">
      <c r="A714">
        <v>2020</v>
      </c>
      <c r="B714">
        <v>11</v>
      </c>
      <c r="C714" t="s">
        <v>358</v>
      </c>
      <c r="D714" t="s">
        <v>554</v>
      </c>
      <c r="E714" t="s">
        <v>555</v>
      </c>
      <c r="F714" t="s">
        <v>556</v>
      </c>
      <c r="G714" t="s">
        <v>557</v>
      </c>
      <c r="H714" t="s">
        <v>34</v>
      </c>
      <c r="I714" t="s">
        <v>23</v>
      </c>
      <c r="J714">
        <v>1613134.78</v>
      </c>
      <c r="K714">
        <v>853631.54</v>
      </c>
      <c r="L714">
        <v>759503.24</v>
      </c>
      <c r="M714">
        <v>180923.29</v>
      </c>
      <c r="N714">
        <v>98648.8</v>
      </c>
      <c r="O714">
        <v>82274.490000000005</v>
      </c>
      <c r="P714">
        <v>130709.66</v>
      </c>
      <c r="Q714">
        <v>857345878.70000005</v>
      </c>
      <c r="R714">
        <v>959549140.89999998</v>
      </c>
      <c r="S714">
        <v>5.2999999999999999E-2</v>
      </c>
      <c r="T714">
        <v>3</v>
      </c>
      <c r="U714">
        <v>2.75E-2</v>
      </c>
      <c r="V714">
        <v>0.08</v>
      </c>
      <c r="X714">
        <v>109013.7</v>
      </c>
      <c r="Y714">
        <v>7.4999999999999997E-3</v>
      </c>
    </row>
    <row r="715" spans="1:25" x14ac:dyDescent="0.25">
      <c r="A715">
        <v>2020</v>
      </c>
      <c r="B715">
        <v>11</v>
      </c>
      <c r="C715" t="s">
        <v>358</v>
      </c>
      <c r="D715" t="s">
        <v>546</v>
      </c>
      <c r="E715" t="s">
        <v>547</v>
      </c>
      <c r="F715" t="s">
        <v>548</v>
      </c>
      <c r="G715" t="s">
        <v>549</v>
      </c>
      <c r="H715" t="s">
        <v>34</v>
      </c>
      <c r="I715" t="s">
        <v>23</v>
      </c>
      <c r="J715">
        <v>2062077.13</v>
      </c>
      <c r="K715">
        <v>731475.49</v>
      </c>
      <c r="L715">
        <v>1330601.6299999999</v>
      </c>
      <c r="M715">
        <v>219925.92</v>
      </c>
      <c r="N715">
        <v>80958.84</v>
      </c>
      <c r="O715">
        <v>138967.09</v>
      </c>
      <c r="P715">
        <v>107270.46</v>
      </c>
      <c r="Q715">
        <v>851318901.5</v>
      </c>
      <c r="R715">
        <v>881682407.79999995</v>
      </c>
      <c r="S715">
        <v>5.2999999999999999E-2</v>
      </c>
      <c r="T715">
        <v>3</v>
      </c>
      <c r="U715">
        <v>2.75E-2</v>
      </c>
      <c r="V715">
        <v>0.1</v>
      </c>
      <c r="X715">
        <v>184131.39</v>
      </c>
    </row>
    <row r="716" spans="1:25" x14ac:dyDescent="0.25">
      <c r="A716">
        <v>2020</v>
      </c>
      <c r="B716">
        <v>11</v>
      </c>
      <c r="C716" t="s">
        <v>361</v>
      </c>
      <c r="D716" t="s">
        <v>362</v>
      </c>
      <c r="E716" t="s">
        <v>363</v>
      </c>
      <c r="F716" t="s">
        <v>558</v>
      </c>
      <c r="G716" t="s">
        <v>559</v>
      </c>
      <c r="H716" t="s">
        <v>34</v>
      </c>
      <c r="I716" t="s">
        <v>23</v>
      </c>
      <c r="J716">
        <v>699136.05</v>
      </c>
      <c r="K716">
        <v>176073.24</v>
      </c>
      <c r="L716">
        <v>523062.81</v>
      </c>
      <c r="M716">
        <v>88152.19</v>
      </c>
      <c r="N716">
        <v>31238.92</v>
      </c>
      <c r="O716">
        <v>56913.27</v>
      </c>
      <c r="P716">
        <v>41391.57</v>
      </c>
      <c r="Q716">
        <v>618315447.89999998</v>
      </c>
      <c r="R716">
        <v>638519343.89999998</v>
      </c>
      <c r="S716">
        <v>5.2999999999999999E-2</v>
      </c>
      <c r="T716" t="s">
        <v>24</v>
      </c>
      <c r="U716">
        <v>3.5000000000000003E-2</v>
      </c>
      <c r="V716">
        <v>0.08</v>
      </c>
      <c r="X716">
        <v>75410.09</v>
      </c>
    </row>
    <row r="717" spans="1:25" x14ac:dyDescent="0.25">
      <c r="A717">
        <v>2020</v>
      </c>
      <c r="B717">
        <v>11</v>
      </c>
      <c r="C717" t="s">
        <v>361</v>
      </c>
      <c r="D717" t="s">
        <v>560</v>
      </c>
      <c r="E717" t="s">
        <v>561</v>
      </c>
      <c r="F717" t="s">
        <v>562</v>
      </c>
      <c r="G717" t="s">
        <v>563</v>
      </c>
      <c r="H717" t="s">
        <v>34</v>
      </c>
      <c r="I717" t="s">
        <v>23</v>
      </c>
      <c r="J717">
        <v>721080.31999999995</v>
      </c>
      <c r="K717">
        <v>177149.62</v>
      </c>
      <c r="L717">
        <v>543930.71</v>
      </c>
      <c r="M717">
        <v>85734.2</v>
      </c>
      <c r="N717">
        <v>26751.23</v>
      </c>
      <c r="O717">
        <v>58982.97</v>
      </c>
      <c r="P717">
        <v>35445.379999999997</v>
      </c>
      <c r="Q717">
        <v>641244464.60000002</v>
      </c>
      <c r="R717">
        <v>661296181.60000002</v>
      </c>
      <c r="S717">
        <v>5.2999999999999999E-2</v>
      </c>
      <c r="T717">
        <v>3</v>
      </c>
      <c r="U717">
        <v>2.75E-2</v>
      </c>
      <c r="V717">
        <v>0.08</v>
      </c>
      <c r="X717">
        <v>78152.44</v>
      </c>
      <c r="Y717">
        <v>7.4999999999999997E-3</v>
      </c>
    </row>
    <row r="718" spans="1:25" x14ac:dyDescent="0.25">
      <c r="A718">
        <v>2020</v>
      </c>
      <c r="B718">
        <v>11</v>
      </c>
      <c r="C718" t="s">
        <v>298</v>
      </c>
      <c r="D718" t="s">
        <v>589</v>
      </c>
      <c r="E718" t="s">
        <v>590</v>
      </c>
      <c r="F718" t="s">
        <v>591</v>
      </c>
      <c r="G718" t="s">
        <v>592</v>
      </c>
      <c r="H718" t="s">
        <v>34</v>
      </c>
      <c r="I718" t="s">
        <v>34</v>
      </c>
      <c r="J718">
        <v>561605.46</v>
      </c>
      <c r="K718">
        <v>561605.46</v>
      </c>
      <c r="M718">
        <v>80696.63</v>
      </c>
      <c r="N718">
        <v>80696.63</v>
      </c>
      <c r="P718">
        <v>106923.03</v>
      </c>
    </row>
    <row r="719" spans="1:25" x14ac:dyDescent="0.25">
      <c r="A719">
        <v>2020</v>
      </c>
      <c r="B719">
        <v>11</v>
      </c>
      <c r="C719" t="s">
        <v>395</v>
      </c>
      <c r="D719" t="s">
        <v>617</v>
      </c>
      <c r="E719" t="s">
        <v>618</v>
      </c>
      <c r="F719" t="s">
        <v>619</v>
      </c>
      <c r="G719" t="s">
        <v>620</v>
      </c>
      <c r="H719" t="s">
        <v>34</v>
      </c>
      <c r="I719" t="s">
        <v>34</v>
      </c>
      <c r="J719">
        <v>84992.11</v>
      </c>
      <c r="K719">
        <v>84992.11</v>
      </c>
      <c r="M719">
        <v>50463.95</v>
      </c>
      <c r="N719">
        <v>50463.95</v>
      </c>
      <c r="P719">
        <v>66864.740000000005</v>
      </c>
    </row>
    <row r="720" spans="1:25" x14ac:dyDescent="0.25">
      <c r="A720">
        <v>2020</v>
      </c>
      <c r="B720">
        <v>11</v>
      </c>
      <c r="C720" t="s">
        <v>395</v>
      </c>
      <c r="D720" t="s">
        <v>629</v>
      </c>
      <c r="E720" t="s">
        <v>630</v>
      </c>
      <c r="F720" t="s">
        <v>631</v>
      </c>
      <c r="G720" t="s">
        <v>632</v>
      </c>
      <c r="H720" t="s">
        <v>34</v>
      </c>
      <c r="I720" t="s">
        <v>34</v>
      </c>
      <c r="J720">
        <v>79344.710000000006</v>
      </c>
      <c r="K720">
        <v>79344.710000000006</v>
      </c>
      <c r="M720">
        <v>52384.69</v>
      </c>
      <c r="N720">
        <v>52384.69</v>
      </c>
      <c r="P720">
        <v>69409.710000000006</v>
      </c>
    </row>
    <row r="721" spans="1:16" x14ac:dyDescent="0.25">
      <c r="A721">
        <v>2020</v>
      </c>
      <c r="B721">
        <v>11</v>
      </c>
      <c r="C721" t="s">
        <v>395</v>
      </c>
      <c r="D721" t="s">
        <v>633</v>
      </c>
      <c r="E721" t="s">
        <v>634</v>
      </c>
      <c r="F721" t="s">
        <v>635</v>
      </c>
      <c r="G721" t="s">
        <v>636</v>
      </c>
      <c r="H721" t="s">
        <v>34</v>
      </c>
      <c r="I721" t="s">
        <v>34</v>
      </c>
      <c r="J721">
        <v>78954.820000000007</v>
      </c>
      <c r="K721">
        <v>78954.820000000007</v>
      </c>
      <c r="M721">
        <v>52162.67</v>
      </c>
      <c r="N721">
        <v>52162.67</v>
      </c>
      <c r="P721">
        <v>69115.539999999994</v>
      </c>
    </row>
    <row r="722" spans="1:16" x14ac:dyDescent="0.25">
      <c r="A722">
        <v>2020</v>
      </c>
      <c r="B722">
        <v>11</v>
      </c>
      <c r="C722" t="s">
        <v>395</v>
      </c>
      <c r="D722" t="s">
        <v>396</v>
      </c>
      <c r="E722" t="s">
        <v>397</v>
      </c>
      <c r="F722" t="s">
        <v>637</v>
      </c>
      <c r="G722" t="s">
        <v>638</v>
      </c>
      <c r="H722" t="s">
        <v>34</v>
      </c>
      <c r="I722" t="s">
        <v>34</v>
      </c>
      <c r="J722">
        <v>78787.92</v>
      </c>
      <c r="K722">
        <v>78787.92</v>
      </c>
      <c r="M722">
        <v>51362.37</v>
      </c>
      <c r="N722">
        <v>51362.37</v>
      </c>
      <c r="P722">
        <v>68055.14</v>
      </c>
    </row>
    <row r="723" spans="1:16" x14ac:dyDescent="0.25">
      <c r="A723">
        <v>2020</v>
      </c>
      <c r="B723">
        <v>11</v>
      </c>
      <c r="C723" t="s">
        <v>395</v>
      </c>
      <c r="D723" t="s">
        <v>621</v>
      </c>
      <c r="E723" t="s">
        <v>622</v>
      </c>
      <c r="F723" t="s">
        <v>623</v>
      </c>
      <c r="G723" t="s">
        <v>624</v>
      </c>
      <c r="H723" t="s">
        <v>34</v>
      </c>
      <c r="I723" t="s">
        <v>34</v>
      </c>
      <c r="J723">
        <v>83569.740000000005</v>
      </c>
      <c r="K723">
        <v>83569.740000000005</v>
      </c>
      <c r="M723">
        <v>56780.21</v>
      </c>
      <c r="N723">
        <v>56780.21</v>
      </c>
      <c r="P723">
        <v>75233.78</v>
      </c>
    </row>
    <row r="724" spans="1:16" x14ac:dyDescent="0.25">
      <c r="A724">
        <v>2020</v>
      </c>
      <c r="B724">
        <v>11</v>
      </c>
      <c r="C724" t="s">
        <v>395</v>
      </c>
      <c r="D724" t="s">
        <v>625</v>
      </c>
      <c r="E724" t="s">
        <v>626</v>
      </c>
      <c r="F724" t="s">
        <v>627</v>
      </c>
      <c r="G724" t="s">
        <v>628</v>
      </c>
      <c r="H724" t="s">
        <v>34</v>
      </c>
      <c r="I724" t="s">
        <v>34</v>
      </c>
      <c r="J724">
        <v>79992.73</v>
      </c>
      <c r="K724">
        <v>79992.73</v>
      </c>
      <c r="M724">
        <v>53241.04</v>
      </c>
      <c r="N724">
        <v>53241.04</v>
      </c>
      <c r="P724">
        <v>70544.38</v>
      </c>
    </row>
    <row r="725" spans="1:16" x14ac:dyDescent="0.25">
      <c r="A725">
        <v>2020</v>
      </c>
      <c r="B725">
        <v>11</v>
      </c>
      <c r="C725" t="s">
        <v>286</v>
      </c>
      <c r="D725" t="s">
        <v>287</v>
      </c>
      <c r="E725" t="s">
        <v>288</v>
      </c>
      <c r="F725" t="s">
        <v>639</v>
      </c>
      <c r="G725" t="s">
        <v>640</v>
      </c>
      <c r="H725" t="s">
        <v>34</v>
      </c>
      <c r="I725" t="s">
        <v>34</v>
      </c>
      <c r="J725">
        <v>52139.61</v>
      </c>
      <c r="K725">
        <v>52139.61</v>
      </c>
      <c r="M725">
        <v>21143.52</v>
      </c>
      <c r="N725">
        <v>21143.52</v>
      </c>
      <c r="P725">
        <v>28015.17</v>
      </c>
    </row>
    <row r="726" spans="1:16" x14ac:dyDescent="0.25">
      <c r="A726">
        <v>2020</v>
      </c>
      <c r="B726">
        <v>11</v>
      </c>
      <c r="C726" t="s">
        <v>286</v>
      </c>
      <c r="D726" t="s">
        <v>287</v>
      </c>
      <c r="E726" t="s">
        <v>288</v>
      </c>
      <c r="F726" t="s">
        <v>641</v>
      </c>
      <c r="G726" t="s">
        <v>642</v>
      </c>
      <c r="H726" t="s">
        <v>34</v>
      </c>
      <c r="I726" t="s">
        <v>34</v>
      </c>
      <c r="J726">
        <v>13993.99</v>
      </c>
      <c r="K726">
        <v>13993.99</v>
      </c>
      <c r="M726">
        <v>3834.87</v>
      </c>
      <c r="N726">
        <v>3834.87</v>
      </c>
      <c r="P726">
        <v>5081.2</v>
      </c>
    </row>
    <row r="727" spans="1:16" x14ac:dyDescent="0.25">
      <c r="A727">
        <v>2020</v>
      </c>
      <c r="B727">
        <v>11</v>
      </c>
      <c r="C727" t="s">
        <v>398</v>
      </c>
      <c r="D727" t="s">
        <v>667</v>
      </c>
      <c r="E727" t="s">
        <v>668</v>
      </c>
      <c r="F727" t="s">
        <v>669</v>
      </c>
      <c r="G727" t="s">
        <v>670</v>
      </c>
      <c r="H727" t="s">
        <v>34</v>
      </c>
      <c r="I727" t="s">
        <v>34</v>
      </c>
      <c r="J727">
        <v>27404.05</v>
      </c>
      <c r="K727">
        <v>27404.05</v>
      </c>
      <c r="M727">
        <v>20444.14</v>
      </c>
      <c r="N727">
        <v>20444.14</v>
      </c>
      <c r="P727">
        <v>27088.48</v>
      </c>
    </row>
    <row r="728" spans="1:16" x14ac:dyDescent="0.25">
      <c r="A728">
        <v>2020</v>
      </c>
      <c r="B728">
        <v>11</v>
      </c>
      <c r="C728" t="s">
        <v>308</v>
      </c>
      <c r="D728" t="s">
        <v>643</v>
      </c>
      <c r="E728" t="s">
        <v>644</v>
      </c>
      <c r="F728" t="s">
        <v>645</v>
      </c>
      <c r="G728" t="s">
        <v>646</v>
      </c>
      <c r="H728" t="s">
        <v>34</v>
      </c>
      <c r="I728" t="s">
        <v>34</v>
      </c>
      <c r="J728">
        <v>25698.68</v>
      </c>
      <c r="K728">
        <v>25698.68</v>
      </c>
      <c r="M728">
        <v>14110.16</v>
      </c>
      <c r="N728">
        <v>14110.16</v>
      </c>
      <c r="P728">
        <v>18695.96</v>
      </c>
    </row>
    <row r="729" spans="1:16" x14ac:dyDescent="0.25">
      <c r="A729">
        <v>2020</v>
      </c>
      <c r="B729">
        <v>11</v>
      </c>
      <c r="C729" t="s">
        <v>401</v>
      </c>
      <c r="D729" t="s">
        <v>402</v>
      </c>
      <c r="E729" t="s">
        <v>403</v>
      </c>
      <c r="F729" t="s">
        <v>653</v>
      </c>
      <c r="G729" t="s">
        <v>654</v>
      </c>
      <c r="H729" t="s">
        <v>34</v>
      </c>
      <c r="I729" t="s">
        <v>34</v>
      </c>
      <c r="J729">
        <v>3468.91</v>
      </c>
      <c r="K729">
        <v>3468.91</v>
      </c>
      <c r="M729">
        <v>208.06</v>
      </c>
      <c r="N729">
        <v>208.06</v>
      </c>
      <c r="P729">
        <v>275.68</v>
      </c>
    </row>
    <row r="730" spans="1:16" x14ac:dyDescent="0.25">
      <c r="A730">
        <v>2020</v>
      </c>
      <c r="B730">
        <v>11</v>
      </c>
      <c r="C730" t="s">
        <v>401</v>
      </c>
      <c r="D730" t="s">
        <v>402</v>
      </c>
      <c r="E730" t="s">
        <v>403</v>
      </c>
      <c r="F730" t="s">
        <v>651</v>
      </c>
      <c r="G730" t="s">
        <v>652</v>
      </c>
      <c r="H730" t="s">
        <v>34</v>
      </c>
      <c r="I730" t="s">
        <v>34</v>
      </c>
      <c r="J730">
        <v>15152.72</v>
      </c>
      <c r="K730">
        <v>15152.72</v>
      </c>
      <c r="M730">
        <v>9755.7999999999993</v>
      </c>
      <c r="N730">
        <v>9755.7999999999993</v>
      </c>
      <c r="P730">
        <v>12926.44</v>
      </c>
    </row>
    <row r="731" spans="1:16" x14ac:dyDescent="0.25">
      <c r="A731">
        <v>2020</v>
      </c>
      <c r="B731">
        <v>11</v>
      </c>
      <c r="C731" t="s">
        <v>401</v>
      </c>
      <c r="D731" t="s">
        <v>655</v>
      </c>
      <c r="E731" t="s">
        <v>656</v>
      </c>
      <c r="F731" t="s">
        <v>657</v>
      </c>
      <c r="G731" t="s">
        <v>658</v>
      </c>
      <c r="H731" t="s">
        <v>34</v>
      </c>
      <c r="I731" t="s">
        <v>34</v>
      </c>
      <c r="J731">
        <v>16342.78</v>
      </c>
      <c r="K731">
        <v>16342.78</v>
      </c>
      <c r="M731">
        <v>10945.82</v>
      </c>
      <c r="N731">
        <v>10945.82</v>
      </c>
      <c r="P731">
        <v>14503.21</v>
      </c>
    </row>
    <row r="732" spans="1:16" x14ac:dyDescent="0.25">
      <c r="A732">
        <v>2020</v>
      </c>
      <c r="B732">
        <v>11</v>
      </c>
      <c r="C732" t="s">
        <v>401</v>
      </c>
      <c r="D732" t="s">
        <v>647</v>
      </c>
      <c r="E732" t="s">
        <v>648</v>
      </c>
      <c r="F732" t="s">
        <v>649</v>
      </c>
      <c r="G732" t="s">
        <v>650</v>
      </c>
      <c r="H732" t="s">
        <v>34</v>
      </c>
      <c r="I732" t="s">
        <v>34</v>
      </c>
      <c r="J732">
        <v>14973.46</v>
      </c>
      <c r="K732">
        <v>14973.46</v>
      </c>
      <c r="M732">
        <v>9576.51</v>
      </c>
      <c r="N732">
        <v>9576.51</v>
      </c>
      <c r="P732">
        <v>12688.87</v>
      </c>
    </row>
    <row r="733" spans="1:16" x14ac:dyDescent="0.25">
      <c r="A733">
        <v>2020</v>
      </c>
      <c r="B733">
        <v>11</v>
      </c>
      <c r="C733" t="s">
        <v>321</v>
      </c>
      <c r="D733" t="s">
        <v>568</v>
      </c>
      <c r="E733" t="s">
        <v>569</v>
      </c>
      <c r="F733" t="s">
        <v>570</v>
      </c>
      <c r="G733" t="s">
        <v>571</v>
      </c>
      <c r="H733" t="s">
        <v>34</v>
      </c>
      <c r="I733" t="s">
        <v>34</v>
      </c>
      <c r="J733">
        <v>1225759.1599999999</v>
      </c>
      <c r="K733">
        <v>1225759.1599999999</v>
      </c>
      <c r="M733">
        <v>124722.44</v>
      </c>
      <c r="N733">
        <v>124722.44</v>
      </c>
      <c r="P733">
        <v>165257.23000000001</v>
      </c>
    </row>
    <row r="734" spans="1:16" x14ac:dyDescent="0.25">
      <c r="A734">
        <v>2020</v>
      </c>
      <c r="B734">
        <v>11</v>
      </c>
      <c r="C734" t="s">
        <v>327</v>
      </c>
      <c r="D734" t="s">
        <v>328</v>
      </c>
      <c r="E734" t="s">
        <v>329</v>
      </c>
      <c r="F734" t="s">
        <v>572</v>
      </c>
      <c r="G734" t="s">
        <v>573</v>
      </c>
      <c r="H734" t="s">
        <v>34</v>
      </c>
      <c r="I734" t="s">
        <v>34</v>
      </c>
      <c r="J734">
        <v>145605.14000000001</v>
      </c>
      <c r="K734">
        <v>145605.14000000001</v>
      </c>
      <c r="M734">
        <v>16779.18</v>
      </c>
      <c r="N734">
        <v>16779.18</v>
      </c>
      <c r="P734">
        <v>22232.41</v>
      </c>
    </row>
    <row r="735" spans="1:16" x14ac:dyDescent="0.25">
      <c r="A735">
        <v>2020</v>
      </c>
      <c r="B735">
        <v>11</v>
      </c>
      <c r="C735" t="s">
        <v>330</v>
      </c>
      <c r="D735" t="s">
        <v>597</v>
      </c>
      <c r="E735" t="s">
        <v>598</v>
      </c>
      <c r="F735" t="s">
        <v>599</v>
      </c>
      <c r="G735" t="s">
        <v>600</v>
      </c>
      <c r="H735" t="s">
        <v>34</v>
      </c>
      <c r="I735" t="s">
        <v>34</v>
      </c>
      <c r="J735">
        <v>11409.42</v>
      </c>
      <c r="K735">
        <v>11409.42</v>
      </c>
      <c r="M735">
        <v>4065.52</v>
      </c>
      <c r="N735">
        <v>4065.52</v>
      </c>
      <c r="P735">
        <v>5386.82</v>
      </c>
    </row>
    <row r="736" spans="1:16" x14ac:dyDescent="0.25">
      <c r="A736">
        <v>2020</v>
      </c>
      <c r="B736">
        <v>11</v>
      </c>
      <c r="C736" t="s">
        <v>330</v>
      </c>
      <c r="D736" t="s">
        <v>601</v>
      </c>
      <c r="E736" t="s">
        <v>602</v>
      </c>
      <c r="F736" t="s">
        <v>603</v>
      </c>
      <c r="G736" t="s">
        <v>604</v>
      </c>
      <c r="H736" t="s">
        <v>34</v>
      </c>
      <c r="I736" t="s">
        <v>34</v>
      </c>
      <c r="J736">
        <v>8611.99</v>
      </c>
      <c r="K736">
        <v>8611.99</v>
      </c>
      <c r="M736">
        <v>2177</v>
      </c>
      <c r="N736">
        <v>2177</v>
      </c>
      <c r="P736">
        <v>2884.52</v>
      </c>
    </row>
    <row r="737" spans="1:25" x14ac:dyDescent="0.25">
      <c r="A737">
        <v>2020</v>
      </c>
      <c r="B737">
        <v>11</v>
      </c>
      <c r="C737" t="s">
        <v>330</v>
      </c>
      <c r="D737" t="s">
        <v>331</v>
      </c>
      <c r="E737" t="s">
        <v>332</v>
      </c>
      <c r="F737" t="s">
        <v>605</v>
      </c>
      <c r="G737" t="s">
        <v>606</v>
      </c>
      <c r="H737" t="s">
        <v>34</v>
      </c>
      <c r="I737" t="s">
        <v>34</v>
      </c>
      <c r="J737">
        <v>1389.23</v>
      </c>
      <c r="K737">
        <v>1389.23</v>
      </c>
      <c r="M737">
        <v>739.12</v>
      </c>
      <c r="N737">
        <v>739.12</v>
      </c>
      <c r="P737">
        <v>979.33</v>
      </c>
    </row>
    <row r="738" spans="1:25" x14ac:dyDescent="0.25">
      <c r="A738">
        <v>2020</v>
      </c>
      <c r="B738">
        <v>11</v>
      </c>
      <c r="C738" t="s">
        <v>330</v>
      </c>
      <c r="D738" t="s">
        <v>593</v>
      </c>
      <c r="E738" t="s">
        <v>594</v>
      </c>
      <c r="F738" t="s">
        <v>595</v>
      </c>
      <c r="G738" t="s">
        <v>596</v>
      </c>
      <c r="H738" t="s">
        <v>34</v>
      </c>
      <c r="I738" t="s">
        <v>34</v>
      </c>
      <c r="J738">
        <v>14090.42</v>
      </c>
      <c r="K738">
        <v>14090.42</v>
      </c>
      <c r="M738">
        <v>3164.58</v>
      </c>
      <c r="N738">
        <v>3164.58</v>
      </c>
      <c r="P738">
        <v>4193.07</v>
      </c>
    </row>
    <row r="739" spans="1:25" x14ac:dyDescent="0.25">
      <c r="A739">
        <v>2020</v>
      </c>
      <c r="B739">
        <v>11</v>
      </c>
      <c r="C739" t="s">
        <v>340</v>
      </c>
      <c r="D739" t="s">
        <v>671</v>
      </c>
      <c r="E739" t="s">
        <v>672</v>
      </c>
      <c r="F739" t="s">
        <v>673</v>
      </c>
      <c r="G739" t="s">
        <v>674</v>
      </c>
      <c r="H739" t="s">
        <v>34</v>
      </c>
      <c r="I739" t="s">
        <v>34</v>
      </c>
      <c r="J739">
        <v>4301.63</v>
      </c>
      <c r="K739">
        <v>4301.63</v>
      </c>
      <c r="M739">
        <v>1723.57</v>
      </c>
      <c r="N739">
        <v>1723.57</v>
      </c>
      <c r="P739">
        <v>2283.73</v>
      </c>
    </row>
    <row r="740" spans="1:25" x14ac:dyDescent="0.25">
      <c r="A740">
        <v>2020</v>
      </c>
      <c r="B740">
        <v>11</v>
      </c>
      <c r="C740" t="s">
        <v>355</v>
      </c>
      <c r="D740" t="s">
        <v>356</v>
      </c>
      <c r="E740" t="s">
        <v>357</v>
      </c>
      <c r="F740" t="s">
        <v>578</v>
      </c>
      <c r="G740" t="s">
        <v>579</v>
      </c>
      <c r="H740" t="s">
        <v>34</v>
      </c>
      <c r="I740" t="s">
        <v>34</v>
      </c>
      <c r="J740">
        <v>0.49</v>
      </c>
      <c r="K740">
        <v>0.49</v>
      </c>
      <c r="M740">
        <v>0</v>
      </c>
    </row>
    <row r="741" spans="1:25" x14ac:dyDescent="0.25">
      <c r="A741">
        <v>2020</v>
      </c>
      <c r="B741">
        <v>11</v>
      </c>
      <c r="C741" t="s">
        <v>289</v>
      </c>
      <c r="D741" t="s">
        <v>607</v>
      </c>
      <c r="E741" t="s">
        <v>608</v>
      </c>
      <c r="F741" t="s">
        <v>609</v>
      </c>
      <c r="G741" t="s">
        <v>610</v>
      </c>
      <c r="H741" t="s">
        <v>34</v>
      </c>
      <c r="I741" t="s">
        <v>34</v>
      </c>
      <c r="J741">
        <v>124911.64</v>
      </c>
      <c r="K741">
        <v>124911.64</v>
      </c>
      <c r="M741">
        <v>38427.03</v>
      </c>
      <c r="N741">
        <v>38427.03</v>
      </c>
      <c r="P741">
        <v>50915.81</v>
      </c>
    </row>
    <row r="742" spans="1:25" x14ac:dyDescent="0.25">
      <c r="A742">
        <v>2020</v>
      </c>
      <c r="B742">
        <v>11</v>
      </c>
      <c r="C742" t="s">
        <v>289</v>
      </c>
      <c r="D742" t="s">
        <v>611</v>
      </c>
      <c r="E742" t="s">
        <v>615</v>
      </c>
      <c r="F742" t="s">
        <v>613</v>
      </c>
      <c r="G742" t="s">
        <v>616</v>
      </c>
      <c r="H742" t="s">
        <v>34</v>
      </c>
      <c r="I742" t="s">
        <v>34</v>
      </c>
      <c r="J742">
        <v>95205.55</v>
      </c>
      <c r="K742">
        <v>95205.55</v>
      </c>
      <c r="M742">
        <v>27817.68</v>
      </c>
      <c r="N742">
        <v>27817.68</v>
      </c>
      <c r="P742">
        <v>36858.42</v>
      </c>
    </row>
    <row r="743" spans="1:25" x14ac:dyDescent="0.25">
      <c r="A743">
        <v>2020</v>
      </c>
      <c r="B743">
        <v>12</v>
      </c>
      <c r="C743" t="s">
        <v>168</v>
      </c>
      <c r="D743" t="s">
        <v>292</v>
      </c>
      <c r="E743" t="s">
        <v>293</v>
      </c>
      <c r="F743" t="s">
        <v>410</v>
      </c>
      <c r="G743" t="s">
        <v>678</v>
      </c>
      <c r="H743" t="s">
        <v>34</v>
      </c>
      <c r="I743" t="s">
        <v>23</v>
      </c>
      <c r="J743">
        <v>905450.97</v>
      </c>
      <c r="K743">
        <v>15320.64</v>
      </c>
      <c r="L743">
        <v>890130.33</v>
      </c>
      <c r="M743">
        <v>64495.98</v>
      </c>
      <c r="N743">
        <v>1208.3499999999999</v>
      </c>
      <c r="O743">
        <v>63287.63</v>
      </c>
      <c r="P743">
        <v>1601.06</v>
      </c>
      <c r="Q743">
        <v>1394963471</v>
      </c>
      <c r="R743">
        <v>1400240283</v>
      </c>
      <c r="S743">
        <v>5.2999999999999999E-2</v>
      </c>
      <c r="T743">
        <v>3</v>
      </c>
      <c r="U743">
        <v>2.75E-2</v>
      </c>
      <c r="V743">
        <v>0.04</v>
      </c>
      <c r="X743">
        <v>83856.11</v>
      </c>
      <c r="Y743">
        <v>7.4999999999999997E-3</v>
      </c>
    </row>
    <row r="744" spans="1:25" x14ac:dyDescent="0.25">
      <c r="A744">
        <v>2020</v>
      </c>
      <c r="B744">
        <v>12</v>
      </c>
      <c r="C744" t="s">
        <v>168</v>
      </c>
      <c r="D744" t="s">
        <v>412</v>
      </c>
      <c r="E744" t="s">
        <v>413</v>
      </c>
      <c r="F744" t="s">
        <v>414</v>
      </c>
      <c r="G744" t="s">
        <v>415</v>
      </c>
      <c r="H744" t="s">
        <v>34</v>
      </c>
      <c r="I744" t="s">
        <v>23</v>
      </c>
      <c r="J744">
        <v>323435.59000000003</v>
      </c>
      <c r="K744">
        <v>64980.62</v>
      </c>
      <c r="L744">
        <v>258454.97</v>
      </c>
      <c r="M744">
        <v>40473.51</v>
      </c>
      <c r="N744">
        <v>7231.8</v>
      </c>
      <c r="O744">
        <v>33241.71</v>
      </c>
      <c r="P744">
        <v>9582.14</v>
      </c>
      <c r="Q744">
        <v>347712481.10000002</v>
      </c>
      <c r="R744">
        <v>386375190.30000001</v>
      </c>
      <c r="S744">
        <v>5.2999999999999999E-2</v>
      </c>
      <c r="T744" t="s">
        <v>24</v>
      </c>
      <c r="U744">
        <v>3.5000000000000003E-2</v>
      </c>
      <c r="V744">
        <v>0.08</v>
      </c>
      <c r="X744">
        <v>44045.26</v>
      </c>
    </row>
    <row r="745" spans="1:25" x14ac:dyDescent="0.25">
      <c r="A745">
        <v>2020</v>
      </c>
      <c r="B745">
        <v>12</v>
      </c>
      <c r="C745" t="s">
        <v>168</v>
      </c>
      <c r="D745" t="s">
        <v>404</v>
      </c>
      <c r="E745" t="s">
        <v>405</v>
      </c>
      <c r="F745" t="s">
        <v>406</v>
      </c>
      <c r="G745" t="s">
        <v>407</v>
      </c>
      <c r="H745" t="s">
        <v>34</v>
      </c>
      <c r="I745" t="s">
        <v>23</v>
      </c>
      <c r="J745">
        <v>1002164.57</v>
      </c>
      <c r="K745">
        <v>326296.74</v>
      </c>
      <c r="L745">
        <v>675867.83</v>
      </c>
      <c r="M745">
        <v>109192.85</v>
      </c>
      <c r="N745">
        <v>37854.74</v>
      </c>
      <c r="O745">
        <v>71338.11</v>
      </c>
      <c r="P745">
        <v>50157.53</v>
      </c>
      <c r="Q745">
        <v>770047540.39999998</v>
      </c>
      <c r="R745">
        <v>805335630.10000002</v>
      </c>
      <c r="S745">
        <v>5.2999999999999999E-2</v>
      </c>
      <c r="T745">
        <v>3</v>
      </c>
      <c r="U745">
        <v>2.75E-2</v>
      </c>
      <c r="V745">
        <v>0.08</v>
      </c>
      <c r="X745">
        <v>94522.99</v>
      </c>
      <c r="Y745">
        <v>7.4999999999999997E-3</v>
      </c>
    </row>
    <row r="746" spans="1:25" x14ac:dyDescent="0.25">
      <c r="A746">
        <v>2020</v>
      </c>
      <c r="B746">
        <v>12</v>
      </c>
      <c r="C746" t="s">
        <v>168</v>
      </c>
      <c r="D746" t="s">
        <v>292</v>
      </c>
      <c r="E746" t="s">
        <v>293</v>
      </c>
      <c r="F746" t="s">
        <v>408</v>
      </c>
      <c r="G746" t="s">
        <v>409</v>
      </c>
      <c r="H746" t="s">
        <v>34</v>
      </c>
      <c r="I746" t="s">
        <v>23</v>
      </c>
      <c r="J746">
        <v>1130592.18</v>
      </c>
      <c r="K746">
        <v>364764.87</v>
      </c>
      <c r="L746">
        <v>765827.31</v>
      </c>
      <c r="M746">
        <v>135531.47</v>
      </c>
      <c r="N746">
        <v>42453.71</v>
      </c>
      <c r="O746">
        <v>93077.759999999995</v>
      </c>
      <c r="P746">
        <v>56251.16</v>
      </c>
      <c r="Q746">
        <v>995369215.10000002</v>
      </c>
      <c r="R746">
        <v>1060098088</v>
      </c>
      <c r="S746">
        <v>5.2999999999999999E-2</v>
      </c>
      <c r="T746">
        <v>3</v>
      </c>
      <c r="U746">
        <v>2.75E-2</v>
      </c>
      <c r="V746">
        <v>0.08</v>
      </c>
      <c r="X746">
        <v>123328.04</v>
      </c>
      <c r="Y746">
        <v>7.4999999999999997E-3</v>
      </c>
    </row>
    <row r="747" spans="1:25" x14ac:dyDescent="0.25">
      <c r="A747">
        <v>2020</v>
      </c>
      <c r="B747">
        <v>12</v>
      </c>
      <c r="C747" t="s">
        <v>295</v>
      </c>
      <c r="D747" t="s">
        <v>296</v>
      </c>
      <c r="E747" t="s">
        <v>297</v>
      </c>
      <c r="F747" t="s">
        <v>416</v>
      </c>
      <c r="G747" t="s">
        <v>417</v>
      </c>
      <c r="H747" t="s">
        <v>34</v>
      </c>
      <c r="I747" t="s">
        <v>23</v>
      </c>
      <c r="J747">
        <v>2722888.46</v>
      </c>
      <c r="K747">
        <v>1417115.46</v>
      </c>
      <c r="L747">
        <v>1305773</v>
      </c>
      <c r="M747">
        <v>274198.55</v>
      </c>
      <c r="N747">
        <v>140964.59</v>
      </c>
      <c r="O747">
        <v>133233.96</v>
      </c>
      <c r="P747">
        <v>186778.08</v>
      </c>
      <c r="Q747">
        <v>1440418935</v>
      </c>
      <c r="R747">
        <v>1501831036</v>
      </c>
      <c r="S747">
        <v>5.2999999999999999E-2</v>
      </c>
      <c r="T747" t="s">
        <v>24</v>
      </c>
      <c r="U747">
        <v>3.5000000000000003E-2</v>
      </c>
      <c r="V747">
        <v>0.08</v>
      </c>
      <c r="X747">
        <v>176535</v>
      </c>
    </row>
    <row r="748" spans="1:25" x14ac:dyDescent="0.25">
      <c r="A748">
        <v>2020</v>
      </c>
      <c r="B748">
        <v>12</v>
      </c>
      <c r="C748" t="s">
        <v>295</v>
      </c>
      <c r="D748" t="s">
        <v>564</v>
      </c>
      <c r="E748" t="s">
        <v>565</v>
      </c>
      <c r="F748" t="s">
        <v>566</v>
      </c>
      <c r="G748" t="s">
        <v>567</v>
      </c>
      <c r="H748" t="s">
        <v>34</v>
      </c>
      <c r="I748" t="s">
        <v>23</v>
      </c>
      <c r="J748">
        <v>1726054.3</v>
      </c>
      <c r="K748">
        <v>1255446.06</v>
      </c>
      <c r="L748">
        <v>470608.24</v>
      </c>
      <c r="M748">
        <v>256961.2</v>
      </c>
      <c r="N748">
        <v>127714.99</v>
      </c>
      <c r="O748">
        <v>129246.22</v>
      </c>
      <c r="P748">
        <v>169222.36</v>
      </c>
      <c r="Q748">
        <v>1400361854</v>
      </c>
      <c r="R748">
        <v>1453825423</v>
      </c>
      <c r="S748">
        <v>5.2999999999999999E-2</v>
      </c>
      <c r="T748">
        <v>3</v>
      </c>
      <c r="U748">
        <v>2.75E-2</v>
      </c>
      <c r="V748">
        <v>0.08</v>
      </c>
      <c r="X748">
        <v>171251.24</v>
      </c>
      <c r="Y748">
        <v>7.4999999999999997E-3</v>
      </c>
    </row>
    <row r="749" spans="1:25" x14ac:dyDescent="0.25">
      <c r="A749">
        <v>2020</v>
      </c>
      <c r="B749">
        <v>12</v>
      </c>
      <c r="C749" t="s">
        <v>298</v>
      </c>
      <c r="D749" t="s">
        <v>299</v>
      </c>
      <c r="E749" t="s">
        <v>300</v>
      </c>
      <c r="F749" t="s">
        <v>587</v>
      </c>
      <c r="G749" t="s">
        <v>588</v>
      </c>
      <c r="H749" t="s">
        <v>34</v>
      </c>
      <c r="I749" t="s">
        <v>23</v>
      </c>
      <c r="J749">
        <v>1740932.25</v>
      </c>
      <c r="K749">
        <v>760827.27</v>
      </c>
      <c r="L749">
        <v>980104.98</v>
      </c>
      <c r="M749">
        <v>234759.76</v>
      </c>
      <c r="N749">
        <v>107397.04</v>
      </c>
      <c r="O749">
        <v>127362.72</v>
      </c>
      <c r="P749">
        <v>142301.07999999999</v>
      </c>
      <c r="Q749">
        <v>1317990547</v>
      </c>
      <c r="R749">
        <v>1494602880</v>
      </c>
      <c r="S749">
        <v>5.2999999999999999E-2</v>
      </c>
      <c r="T749">
        <v>3</v>
      </c>
      <c r="U749">
        <v>2.75E-2</v>
      </c>
      <c r="V749">
        <v>0.08</v>
      </c>
      <c r="X749">
        <v>168755.61</v>
      </c>
      <c r="Y749">
        <v>7.4999999999999997E-3</v>
      </c>
    </row>
    <row r="750" spans="1:25" x14ac:dyDescent="0.25">
      <c r="A750">
        <v>2020</v>
      </c>
      <c r="B750">
        <v>12</v>
      </c>
      <c r="C750" t="s">
        <v>302</v>
      </c>
      <c r="D750" t="s">
        <v>418</v>
      </c>
      <c r="E750" t="s">
        <v>419</v>
      </c>
      <c r="F750" t="s">
        <v>420</v>
      </c>
      <c r="G750" t="s">
        <v>421</v>
      </c>
      <c r="H750" t="s">
        <v>34</v>
      </c>
      <c r="I750" t="s">
        <v>23</v>
      </c>
      <c r="J750">
        <v>1183005.6100000001</v>
      </c>
      <c r="K750">
        <v>512384.6</v>
      </c>
      <c r="L750">
        <v>670621.02</v>
      </c>
      <c r="M750">
        <v>128273.11</v>
      </c>
      <c r="N750">
        <v>62863.46</v>
      </c>
      <c r="O750">
        <v>65409.64</v>
      </c>
      <c r="P750">
        <v>83294.09</v>
      </c>
      <c r="Q750">
        <v>712248666.29999995</v>
      </c>
      <c r="R750">
        <v>732214254.39999998</v>
      </c>
      <c r="S750">
        <v>5.2999999999999999E-2</v>
      </c>
      <c r="T750">
        <v>3</v>
      </c>
      <c r="U750">
        <v>2.75E-2</v>
      </c>
      <c r="V750">
        <v>0.08</v>
      </c>
      <c r="X750">
        <v>86667.78</v>
      </c>
      <c r="Y750">
        <v>7.4999999999999997E-3</v>
      </c>
    </row>
    <row r="751" spans="1:25" x14ac:dyDescent="0.25">
      <c r="A751">
        <v>2020</v>
      </c>
      <c r="B751">
        <v>12</v>
      </c>
      <c r="C751" t="s">
        <v>302</v>
      </c>
      <c r="D751" t="s">
        <v>303</v>
      </c>
      <c r="E751" t="s">
        <v>304</v>
      </c>
      <c r="F751" t="s">
        <v>422</v>
      </c>
      <c r="G751" t="s">
        <v>423</v>
      </c>
      <c r="H751" t="s">
        <v>34</v>
      </c>
      <c r="I751" t="s">
        <v>23</v>
      </c>
      <c r="J751">
        <v>1278571.18</v>
      </c>
      <c r="K751">
        <v>580499.69999999995</v>
      </c>
      <c r="L751">
        <v>698071.49</v>
      </c>
      <c r="M751">
        <v>140652.92000000001</v>
      </c>
      <c r="N751">
        <v>70866.58</v>
      </c>
      <c r="O751">
        <v>69786.34</v>
      </c>
      <c r="P751">
        <v>93898.22</v>
      </c>
      <c r="Q751">
        <v>759822334.60000002</v>
      </c>
      <c r="R751">
        <v>781292668.60000002</v>
      </c>
      <c r="S751">
        <v>5.2999999999999999E-2</v>
      </c>
      <c r="T751" t="s">
        <v>24</v>
      </c>
      <c r="U751">
        <v>3.5000000000000003E-2</v>
      </c>
      <c r="V751">
        <v>0.08</v>
      </c>
      <c r="X751">
        <v>92466.9</v>
      </c>
    </row>
    <row r="752" spans="1:25" x14ac:dyDescent="0.25">
      <c r="A752">
        <v>2020</v>
      </c>
      <c r="B752">
        <v>12</v>
      </c>
      <c r="C752" t="s">
        <v>305</v>
      </c>
      <c r="D752" t="s">
        <v>306</v>
      </c>
      <c r="E752" t="s">
        <v>307</v>
      </c>
      <c r="F752" t="s">
        <v>424</v>
      </c>
      <c r="G752" t="s">
        <v>425</v>
      </c>
      <c r="H752" t="s">
        <v>34</v>
      </c>
      <c r="I752" t="s">
        <v>23</v>
      </c>
      <c r="J752">
        <v>1354455.07</v>
      </c>
      <c r="K752">
        <v>515205.75</v>
      </c>
      <c r="L752">
        <v>839249.31</v>
      </c>
      <c r="M752">
        <v>167604.64000000001</v>
      </c>
      <c r="N752">
        <v>75569.83</v>
      </c>
      <c r="O752">
        <v>92034.82</v>
      </c>
      <c r="P752">
        <v>100130.02</v>
      </c>
      <c r="Q752">
        <v>992800895.29999995</v>
      </c>
      <c r="R752">
        <v>1039634678</v>
      </c>
      <c r="S752">
        <v>5.2999999999999999E-2</v>
      </c>
      <c r="T752" t="s">
        <v>24</v>
      </c>
      <c r="U752">
        <v>3.5000000000000003E-2</v>
      </c>
      <c r="V752">
        <v>0.08</v>
      </c>
      <c r="X752">
        <v>121946.13</v>
      </c>
    </row>
    <row r="753" spans="1:25" x14ac:dyDescent="0.25">
      <c r="A753">
        <v>2020</v>
      </c>
      <c r="B753">
        <v>12</v>
      </c>
      <c r="C753" t="s">
        <v>305</v>
      </c>
      <c r="D753" t="s">
        <v>426</v>
      </c>
      <c r="E753" t="s">
        <v>427</v>
      </c>
      <c r="F753" t="s">
        <v>428</v>
      </c>
      <c r="G753" t="s">
        <v>429</v>
      </c>
      <c r="H753" t="s">
        <v>34</v>
      </c>
      <c r="I753" t="s">
        <v>23</v>
      </c>
      <c r="J753">
        <v>1353119.85</v>
      </c>
      <c r="K753">
        <v>513910.17</v>
      </c>
      <c r="L753">
        <v>839209.68</v>
      </c>
      <c r="M753">
        <v>167451</v>
      </c>
      <c r="N753">
        <v>75329.86</v>
      </c>
      <c r="O753">
        <v>92121.14</v>
      </c>
      <c r="P753">
        <v>99812.07</v>
      </c>
      <c r="Q753">
        <v>993562130.70000005</v>
      </c>
      <c r="R753">
        <v>1040779660</v>
      </c>
      <c r="S753">
        <v>5.2999999999999999E-2</v>
      </c>
      <c r="T753">
        <v>3</v>
      </c>
      <c r="U753">
        <v>2.75E-2</v>
      </c>
      <c r="V753">
        <v>0.08</v>
      </c>
      <c r="X753">
        <v>122060.51</v>
      </c>
      <c r="Y753">
        <v>7.4999999999999997E-3</v>
      </c>
    </row>
    <row r="754" spans="1:25" x14ac:dyDescent="0.25">
      <c r="A754">
        <v>2020</v>
      </c>
      <c r="B754">
        <v>12</v>
      </c>
      <c r="C754" t="s">
        <v>308</v>
      </c>
      <c r="D754" t="s">
        <v>309</v>
      </c>
      <c r="E754" t="s">
        <v>310</v>
      </c>
      <c r="F754" t="s">
        <v>430</v>
      </c>
      <c r="G754" t="s">
        <v>431</v>
      </c>
      <c r="H754" t="s">
        <v>34</v>
      </c>
      <c r="I754" t="s">
        <v>23</v>
      </c>
      <c r="J754">
        <v>3048507.28</v>
      </c>
      <c r="K754">
        <v>1152714.92</v>
      </c>
      <c r="L754">
        <v>1895792.36</v>
      </c>
      <c r="M754">
        <v>278711.42</v>
      </c>
      <c r="N754">
        <v>115329.83</v>
      </c>
      <c r="O754">
        <v>163381.59</v>
      </c>
      <c r="P754">
        <v>152812.01999999999</v>
      </c>
      <c r="Q754">
        <v>1805180418</v>
      </c>
      <c r="R754">
        <v>1802829680</v>
      </c>
      <c r="S754">
        <v>5.2999999999999999E-2</v>
      </c>
      <c r="T754" t="s">
        <v>24</v>
      </c>
      <c r="U754">
        <v>3.5000000000000003E-2</v>
      </c>
      <c r="V754">
        <v>0.08</v>
      </c>
      <c r="X754">
        <v>216480.61</v>
      </c>
    </row>
    <row r="755" spans="1:25" x14ac:dyDescent="0.25">
      <c r="A755">
        <v>2020</v>
      </c>
      <c r="B755">
        <v>12</v>
      </c>
      <c r="C755" t="s">
        <v>308</v>
      </c>
      <c r="D755" t="s">
        <v>432</v>
      </c>
      <c r="E755" t="s">
        <v>433</v>
      </c>
      <c r="F755" t="s">
        <v>434</v>
      </c>
      <c r="G755" t="s">
        <v>435</v>
      </c>
      <c r="H755" t="s">
        <v>34</v>
      </c>
      <c r="I755" t="s">
        <v>23</v>
      </c>
      <c r="J755">
        <v>1456916.46</v>
      </c>
      <c r="K755">
        <v>499955.39</v>
      </c>
      <c r="L755">
        <v>956961.07</v>
      </c>
      <c r="M755">
        <v>167857.26</v>
      </c>
      <c r="N755">
        <v>67396.850000000006</v>
      </c>
      <c r="O755">
        <v>100460.41</v>
      </c>
      <c r="P755">
        <v>89300.83</v>
      </c>
      <c r="Q755">
        <v>1093175669</v>
      </c>
      <c r="R755">
        <v>1125325008</v>
      </c>
      <c r="S755">
        <v>5.2999999999999999E-2</v>
      </c>
      <c r="T755">
        <v>3</v>
      </c>
      <c r="U755">
        <v>2.75E-2</v>
      </c>
      <c r="V755">
        <v>0.08</v>
      </c>
      <c r="X755">
        <v>133110.04</v>
      </c>
      <c r="Y755">
        <v>7.4999999999999997E-3</v>
      </c>
    </row>
    <row r="756" spans="1:25" x14ac:dyDescent="0.25">
      <c r="A756">
        <v>2020</v>
      </c>
      <c r="B756">
        <v>12</v>
      </c>
      <c r="C756" t="s">
        <v>311</v>
      </c>
      <c r="D756" t="s">
        <v>438</v>
      </c>
      <c r="E756" t="s">
        <v>439</v>
      </c>
      <c r="F756" t="s">
        <v>440</v>
      </c>
      <c r="G756" t="s">
        <v>441</v>
      </c>
      <c r="H756" t="s">
        <v>34</v>
      </c>
      <c r="I756" t="s">
        <v>23</v>
      </c>
      <c r="J756">
        <v>1381659.03</v>
      </c>
      <c r="K756">
        <v>314754.43</v>
      </c>
      <c r="L756">
        <v>1066904.6000000001</v>
      </c>
      <c r="M756">
        <v>147486.87</v>
      </c>
      <c r="N756">
        <v>36465.370000000003</v>
      </c>
      <c r="O756">
        <v>111021.49</v>
      </c>
      <c r="P756">
        <v>48316.62</v>
      </c>
      <c r="Q756">
        <v>847026494</v>
      </c>
      <c r="R756">
        <v>883602637.29999995</v>
      </c>
      <c r="S756">
        <v>5.2999999999999999E-2</v>
      </c>
      <c r="T756">
        <v>3</v>
      </c>
      <c r="U756">
        <v>2.75E-2</v>
      </c>
      <c r="V756">
        <v>0.08</v>
      </c>
      <c r="X756">
        <v>147103.48000000001</v>
      </c>
    </row>
    <row r="757" spans="1:25" x14ac:dyDescent="0.25">
      <c r="A757">
        <v>2020</v>
      </c>
      <c r="B757">
        <v>12</v>
      </c>
      <c r="C757" t="s">
        <v>311</v>
      </c>
      <c r="D757" t="s">
        <v>312</v>
      </c>
      <c r="E757" t="s">
        <v>313</v>
      </c>
      <c r="F757" t="s">
        <v>436</v>
      </c>
      <c r="G757" t="s">
        <v>437</v>
      </c>
      <c r="H757" t="s">
        <v>34</v>
      </c>
      <c r="I757" t="s">
        <v>23</v>
      </c>
      <c r="J757">
        <v>1146017.3899999999</v>
      </c>
      <c r="K757">
        <v>367566.23</v>
      </c>
      <c r="L757">
        <v>778451.16</v>
      </c>
      <c r="M757">
        <v>130595.45</v>
      </c>
      <c r="N757">
        <v>48807.18</v>
      </c>
      <c r="O757">
        <v>81788.259999999995</v>
      </c>
      <c r="P757">
        <v>64669.52</v>
      </c>
      <c r="Q757">
        <v>1033555198</v>
      </c>
      <c r="R757">
        <v>1063917944</v>
      </c>
      <c r="S757">
        <v>5.2999999999999999E-2</v>
      </c>
      <c r="T757">
        <v>3</v>
      </c>
      <c r="U757">
        <v>2.75E-2</v>
      </c>
      <c r="V757">
        <v>0.08</v>
      </c>
      <c r="X757">
        <v>108369.45</v>
      </c>
      <c r="Y757">
        <v>0.01</v>
      </c>
    </row>
    <row r="758" spans="1:25" x14ac:dyDescent="0.25">
      <c r="A758">
        <v>2020</v>
      </c>
      <c r="B758">
        <v>12</v>
      </c>
      <c r="C758" t="s">
        <v>315</v>
      </c>
      <c r="D758" t="s">
        <v>444</v>
      </c>
      <c r="E758" t="s">
        <v>445</v>
      </c>
      <c r="F758" t="s">
        <v>446</v>
      </c>
      <c r="G758" t="s">
        <v>447</v>
      </c>
      <c r="H758" t="s">
        <v>34</v>
      </c>
      <c r="I758" t="s">
        <v>23</v>
      </c>
      <c r="J758">
        <v>5214758.75</v>
      </c>
      <c r="K758">
        <v>1430909.92</v>
      </c>
      <c r="L758">
        <v>3783848.83</v>
      </c>
      <c r="M758">
        <v>585358.64</v>
      </c>
      <c r="N758">
        <v>163273.01999999999</v>
      </c>
      <c r="O758">
        <v>422085.62</v>
      </c>
      <c r="P758">
        <v>216336.75</v>
      </c>
      <c r="Q758">
        <v>1733117930</v>
      </c>
      <c r="R758">
        <v>1799072267</v>
      </c>
      <c r="S758">
        <v>5.2999999999999999E-2</v>
      </c>
      <c r="T758">
        <v>1</v>
      </c>
      <c r="U758">
        <v>1.4999999999999999E-2</v>
      </c>
      <c r="V758">
        <v>0.1</v>
      </c>
      <c r="X758">
        <v>559263.44999999995</v>
      </c>
    </row>
    <row r="759" spans="1:25" x14ac:dyDescent="0.25">
      <c r="A759">
        <v>2020</v>
      </c>
      <c r="B759">
        <v>12</v>
      </c>
      <c r="C759" t="s">
        <v>315</v>
      </c>
      <c r="D759" t="s">
        <v>316</v>
      </c>
      <c r="E759" t="s">
        <v>317</v>
      </c>
      <c r="F759" t="s">
        <v>442</v>
      </c>
      <c r="G759" t="s">
        <v>443</v>
      </c>
      <c r="H759" t="s">
        <v>34</v>
      </c>
      <c r="I759" t="s">
        <v>23</v>
      </c>
      <c r="J759">
        <v>3771552.91</v>
      </c>
      <c r="K759">
        <v>1482824.64</v>
      </c>
      <c r="L759">
        <v>2288728.2599999998</v>
      </c>
      <c r="M759">
        <v>413344.44</v>
      </c>
      <c r="N759">
        <v>156995.32</v>
      </c>
      <c r="O759">
        <v>256349.11</v>
      </c>
      <c r="P759">
        <v>208018.8</v>
      </c>
      <c r="Q759">
        <v>1555316900</v>
      </c>
      <c r="R759">
        <v>1641507357</v>
      </c>
      <c r="S759">
        <v>5.2999999999999999E-2</v>
      </c>
      <c r="T759">
        <v>3</v>
      </c>
      <c r="U759">
        <v>2.75E-2</v>
      </c>
      <c r="V759">
        <v>0.1</v>
      </c>
      <c r="X759">
        <v>339662.58</v>
      </c>
    </row>
    <row r="760" spans="1:25" x14ac:dyDescent="0.25">
      <c r="A760">
        <v>2020</v>
      </c>
      <c r="B760">
        <v>12</v>
      </c>
      <c r="C760" t="s">
        <v>318</v>
      </c>
      <c r="D760" t="s">
        <v>448</v>
      </c>
      <c r="E760" t="s">
        <v>449</v>
      </c>
      <c r="F760" t="s">
        <v>450</v>
      </c>
      <c r="G760" t="s">
        <v>451</v>
      </c>
      <c r="H760" t="s">
        <v>34</v>
      </c>
      <c r="I760" t="s">
        <v>23</v>
      </c>
      <c r="J760">
        <v>268870.59000000003</v>
      </c>
      <c r="K760">
        <v>60642.98</v>
      </c>
      <c r="L760">
        <v>208227.61</v>
      </c>
      <c r="M760">
        <v>28805.89</v>
      </c>
      <c r="N760">
        <v>6172.26</v>
      </c>
      <c r="O760">
        <v>22633.63</v>
      </c>
      <c r="P760">
        <v>8178.24</v>
      </c>
      <c r="Q760">
        <v>238617798.09999999</v>
      </c>
      <c r="R760">
        <v>261208251.59999999</v>
      </c>
      <c r="S760">
        <v>5.2999999999999999E-2</v>
      </c>
      <c r="T760" t="s">
        <v>24</v>
      </c>
      <c r="U760">
        <v>3.5000000000000003E-2</v>
      </c>
      <c r="V760">
        <v>0.08</v>
      </c>
      <c r="X760">
        <v>29989.56</v>
      </c>
    </row>
    <row r="761" spans="1:25" x14ac:dyDescent="0.25">
      <c r="A761">
        <v>2020</v>
      </c>
      <c r="B761">
        <v>12</v>
      </c>
      <c r="C761" t="s">
        <v>318</v>
      </c>
      <c r="D761" t="s">
        <v>454</v>
      </c>
      <c r="E761" t="s">
        <v>455</v>
      </c>
      <c r="F761" t="s">
        <v>456</v>
      </c>
      <c r="G761" t="s">
        <v>457</v>
      </c>
      <c r="H761" t="s">
        <v>34</v>
      </c>
      <c r="I761" t="s">
        <v>23</v>
      </c>
      <c r="J761">
        <v>203053.45</v>
      </c>
      <c r="K761">
        <v>30228.400000000001</v>
      </c>
      <c r="L761">
        <v>172825.05</v>
      </c>
      <c r="M761">
        <v>23870.7</v>
      </c>
      <c r="N761">
        <v>3266.72</v>
      </c>
      <c r="O761">
        <v>20603.98</v>
      </c>
      <c r="P761">
        <v>4328.3999999999996</v>
      </c>
      <c r="Q761">
        <v>212815259.80000001</v>
      </c>
      <c r="R761">
        <v>242189295.30000001</v>
      </c>
      <c r="S761">
        <v>5.2999999999999999E-2</v>
      </c>
      <c r="T761">
        <v>3</v>
      </c>
      <c r="U761">
        <v>2.75E-2</v>
      </c>
      <c r="V761">
        <v>0.08</v>
      </c>
      <c r="X761">
        <v>27300.27</v>
      </c>
      <c r="Y761">
        <v>7.4999999999999997E-3</v>
      </c>
    </row>
    <row r="762" spans="1:25" x14ac:dyDescent="0.25">
      <c r="A762">
        <v>2020</v>
      </c>
      <c r="B762">
        <v>12</v>
      </c>
      <c r="C762" t="s">
        <v>318</v>
      </c>
      <c r="D762" t="s">
        <v>319</v>
      </c>
      <c r="E762" t="s">
        <v>320</v>
      </c>
      <c r="F762" t="s">
        <v>452</v>
      </c>
      <c r="G762" t="s">
        <v>453</v>
      </c>
      <c r="H762" t="s">
        <v>34</v>
      </c>
      <c r="I762" t="s">
        <v>23</v>
      </c>
      <c r="J762">
        <v>563055.97</v>
      </c>
      <c r="K762">
        <v>173217.51</v>
      </c>
      <c r="L762">
        <v>389838.46</v>
      </c>
      <c r="M762">
        <v>66374.03</v>
      </c>
      <c r="N762">
        <v>25630.02</v>
      </c>
      <c r="O762">
        <v>40744.01</v>
      </c>
      <c r="P762">
        <v>33959.769999999997</v>
      </c>
      <c r="Q762">
        <v>416433515.10000002</v>
      </c>
      <c r="R762">
        <v>483330039</v>
      </c>
      <c r="S762">
        <v>5.2999999999999999E-2</v>
      </c>
      <c r="T762">
        <v>3</v>
      </c>
      <c r="U762">
        <v>2.75E-2</v>
      </c>
      <c r="V762">
        <v>0.08</v>
      </c>
      <c r="X762">
        <v>53985.81</v>
      </c>
      <c r="Y762">
        <v>7.4999999999999997E-3</v>
      </c>
    </row>
    <row r="763" spans="1:25" x14ac:dyDescent="0.25">
      <c r="A763">
        <v>2020</v>
      </c>
      <c r="B763">
        <v>12</v>
      </c>
      <c r="C763" t="s">
        <v>321</v>
      </c>
      <c r="D763" t="s">
        <v>322</v>
      </c>
      <c r="E763" t="s">
        <v>323</v>
      </c>
      <c r="F763" t="s">
        <v>458</v>
      </c>
      <c r="G763" t="s">
        <v>459</v>
      </c>
      <c r="H763" t="s">
        <v>34</v>
      </c>
      <c r="I763" t="s">
        <v>23</v>
      </c>
      <c r="J763">
        <v>3779167.48</v>
      </c>
      <c r="K763">
        <v>1958627.49</v>
      </c>
      <c r="L763">
        <v>1820539.99</v>
      </c>
      <c r="M763">
        <v>381775.4</v>
      </c>
      <c r="N763">
        <v>192472.23</v>
      </c>
      <c r="O763">
        <v>189303.18</v>
      </c>
      <c r="P763">
        <v>255025.7</v>
      </c>
      <c r="Q763">
        <v>2030855497</v>
      </c>
      <c r="R763">
        <v>2149589693</v>
      </c>
      <c r="S763">
        <v>5.2999999999999999E-2</v>
      </c>
      <c r="T763" t="s">
        <v>24</v>
      </c>
      <c r="U763">
        <v>3.5000000000000003E-2</v>
      </c>
      <c r="V763">
        <v>0.08</v>
      </c>
      <c r="X763">
        <v>250826.71</v>
      </c>
    </row>
    <row r="764" spans="1:25" x14ac:dyDescent="0.25">
      <c r="A764">
        <v>2020</v>
      </c>
      <c r="B764">
        <v>12</v>
      </c>
      <c r="C764" t="s">
        <v>324</v>
      </c>
      <c r="D764" t="s">
        <v>462</v>
      </c>
      <c r="E764" t="s">
        <v>463</v>
      </c>
      <c r="F764" t="s">
        <v>464</v>
      </c>
      <c r="G764" t="s">
        <v>465</v>
      </c>
      <c r="H764" t="s">
        <v>34</v>
      </c>
      <c r="I764" t="s">
        <v>23</v>
      </c>
      <c r="J764">
        <v>1746130.86</v>
      </c>
      <c r="K764">
        <v>841318.49</v>
      </c>
      <c r="L764">
        <v>904812.37</v>
      </c>
      <c r="M764">
        <v>196485.52</v>
      </c>
      <c r="N764">
        <v>100090.77</v>
      </c>
      <c r="O764">
        <v>96394.75</v>
      </c>
      <c r="P764">
        <v>132620.26999999999</v>
      </c>
      <c r="Q764">
        <v>1051134921</v>
      </c>
      <c r="R764">
        <v>1077582369</v>
      </c>
      <c r="S764">
        <v>5.2999999999999999E-2</v>
      </c>
      <c r="T764" t="s">
        <v>24</v>
      </c>
      <c r="U764">
        <v>3.5000000000000003E-2</v>
      </c>
      <c r="V764">
        <v>0.08</v>
      </c>
      <c r="X764">
        <v>127723.04</v>
      </c>
    </row>
    <row r="765" spans="1:25" x14ac:dyDescent="0.25">
      <c r="A765">
        <v>2020</v>
      </c>
      <c r="B765">
        <v>12</v>
      </c>
      <c r="C765" t="s">
        <v>324</v>
      </c>
      <c r="D765" t="s">
        <v>325</v>
      </c>
      <c r="E765" t="s">
        <v>326</v>
      </c>
      <c r="F765" t="s">
        <v>460</v>
      </c>
      <c r="G765" t="s">
        <v>461</v>
      </c>
      <c r="H765" t="s">
        <v>34</v>
      </c>
      <c r="I765" t="s">
        <v>23</v>
      </c>
      <c r="J765">
        <v>2056393.64</v>
      </c>
      <c r="K765">
        <v>1025849.81</v>
      </c>
      <c r="L765">
        <v>1030543.83</v>
      </c>
      <c r="M765">
        <v>230213.51</v>
      </c>
      <c r="N765">
        <v>117257.74</v>
      </c>
      <c r="O765">
        <v>112955.77</v>
      </c>
      <c r="P765">
        <v>155366.51</v>
      </c>
      <c r="Q765">
        <v>1199625490</v>
      </c>
      <c r="R765">
        <v>1294814437</v>
      </c>
      <c r="S765">
        <v>5.2999999999999999E-2</v>
      </c>
      <c r="T765">
        <v>3</v>
      </c>
      <c r="U765">
        <v>2.75E-2</v>
      </c>
      <c r="V765">
        <v>0.08</v>
      </c>
      <c r="X765">
        <v>149666.4</v>
      </c>
      <c r="Y765">
        <v>7.4999999999999997E-3</v>
      </c>
    </row>
    <row r="766" spans="1:25" x14ac:dyDescent="0.25">
      <c r="A766">
        <v>2020</v>
      </c>
      <c r="B766">
        <v>12</v>
      </c>
      <c r="C766" t="s">
        <v>327</v>
      </c>
      <c r="D766" t="s">
        <v>328</v>
      </c>
      <c r="E766" t="s">
        <v>329</v>
      </c>
      <c r="F766" t="s">
        <v>470</v>
      </c>
      <c r="G766" t="s">
        <v>471</v>
      </c>
      <c r="H766" t="s">
        <v>34</v>
      </c>
      <c r="I766" t="s">
        <v>23</v>
      </c>
      <c r="J766">
        <v>986906.01</v>
      </c>
      <c r="K766">
        <v>357743.62</v>
      </c>
      <c r="L766">
        <v>629162.38</v>
      </c>
      <c r="M766">
        <v>104632.22</v>
      </c>
      <c r="N766">
        <v>35871.17</v>
      </c>
      <c r="O766">
        <v>68761.05</v>
      </c>
      <c r="P766">
        <v>47529.3</v>
      </c>
      <c r="Q766">
        <v>743214235.89999998</v>
      </c>
      <c r="R766">
        <v>775258923</v>
      </c>
      <c r="S766">
        <v>5.2999999999999999E-2</v>
      </c>
      <c r="T766">
        <v>3</v>
      </c>
      <c r="U766">
        <v>2.75E-2</v>
      </c>
      <c r="V766">
        <v>0.08</v>
      </c>
      <c r="X766">
        <v>91108.39</v>
      </c>
      <c r="Y766">
        <v>7.4999999999999997E-3</v>
      </c>
    </row>
    <row r="767" spans="1:25" x14ac:dyDescent="0.25">
      <c r="A767">
        <v>2020</v>
      </c>
      <c r="B767">
        <v>12</v>
      </c>
      <c r="C767" t="s">
        <v>327</v>
      </c>
      <c r="D767" t="s">
        <v>472</v>
      </c>
      <c r="E767" t="s">
        <v>473</v>
      </c>
      <c r="F767" t="s">
        <v>474</v>
      </c>
      <c r="G767" t="s">
        <v>475</v>
      </c>
      <c r="H767" t="s">
        <v>34</v>
      </c>
      <c r="I767" t="s">
        <v>23</v>
      </c>
      <c r="J767">
        <v>474167.64</v>
      </c>
      <c r="K767">
        <v>136555.99</v>
      </c>
      <c r="L767">
        <v>337611.65</v>
      </c>
      <c r="M767">
        <v>62552.09</v>
      </c>
      <c r="N767">
        <v>15532.66</v>
      </c>
      <c r="O767">
        <v>47019.42</v>
      </c>
      <c r="P767">
        <v>20580.78</v>
      </c>
      <c r="Q767">
        <v>499808744.5</v>
      </c>
      <c r="R767">
        <v>538536857.89999998</v>
      </c>
      <c r="S767">
        <v>5.2999999999999999E-2</v>
      </c>
      <c r="T767">
        <v>3</v>
      </c>
      <c r="U767">
        <v>2.75E-2</v>
      </c>
      <c r="V767">
        <v>0.08</v>
      </c>
      <c r="X767">
        <v>62300.74</v>
      </c>
      <c r="Y767">
        <v>7.4999999999999997E-3</v>
      </c>
    </row>
    <row r="768" spans="1:25" x14ac:dyDescent="0.25">
      <c r="A768">
        <v>2020</v>
      </c>
      <c r="B768">
        <v>12</v>
      </c>
      <c r="C768" t="s">
        <v>327</v>
      </c>
      <c r="D768" t="s">
        <v>466</v>
      </c>
      <c r="E768" t="s">
        <v>467</v>
      </c>
      <c r="F768" t="s">
        <v>468</v>
      </c>
      <c r="G768" t="s">
        <v>469</v>
      </c>
      <c r="H768" t="s">
        <v>34</v>
      </c>
      <c r="I768" t="s">
        <v>23</v>
      </c>
      <c r="J768">
        <v>885677.45</v>
      </c>
      <c r="K768">
        <v>313166.03999999998</v>
      </c>
      <c r="L768">
        <v>572511.42000000004</v>
      </c>
      <c r="M768">
        <v>95131.33</v>
      </c>
      <c r="N768">
        <v>36658.43</v>
      </c>
      <c r="O768">
        <v>58472.9</v>
      </c>
      <c r="P768">
        <v>48572.42</v>
      </c>
      <c r="Q768">
        <v>634700101.5</v>
      </c>
      <c r="R768">
        <v>656576333</v>
      </c>
      <c r="S768">
        <v>5.2999999999999999E-2</v>
      </c>
      <c r="T768">
        <v>3</v>
      </c>
      <c r="U768">
        <v>2.75E-2</v>
      </c>
      <c r="V768">
        <v>0.08</v>
      </c>
      <c r="X768">
        <v>77476.59</v>
      </c>
      <c r="Y768">
        <v>7.4999999999999997E-3</v>
      </c>
    </row>
    <row r="769" spans="1:25" x14ac:dyDescent="0.25">
      <c r="A769">
        <v>2020</v>
      </c>
      <c r="B769">
        <v>12</v>
      </c>
      <c r="C769" t="s">
        <v>333</v>
      </c>
      <c r="D769" t="s">
        <v>334</v>
      </c>
      <c r="E769" t="s">
        <v>335</v>
      </c>
      <c r="F769" t="s">
        <v>476</v>
      </c>
      <c r="G769" t="s">
        <v>477</v>
      </c>
      <c r="H769" t="s">
        <v>34</v>
      </c>
      <c r="I769" t="s">
        <v>23</v>
      </c>
      <c r="J769">
        <v>269444.76</v>
      </c>
      <c r="K769">
        <v>83101.710000000006</v>
      </c>
      <c r="L769">
        <v>186343.05</v>
      </c>
      <c r="M769">
        <v>25904.63</v>
      </c>
      <c r="N769">
        <v>6940.87</v>
      </c>
      <c r="O769">
        <v>18963.77</v>
      </c>
      <c r="P769">
        <v>9196.65</v>
      </c>
      <c r="Q769">
        <v>206235357.90000001</v>
      </c>
      <c r="R769">
        <v>212547810.40000001</v>
      </c>
      <c r="S769">
        <v>5.2999999999999999E-2</v>
      </c>
      <c r="T769" t="s">
        <v>24</v>
      </c>
      <c r="U769">
        <v>3.5000000000000003E-2</v>
      </c>
      <c r="V769">
        <v>0.08</v>
      </c>
      <c r="X769">
        <v>25126.99</v>
      </c>
    </row>
    <row r="770" spans="1:25" x14ac:dyDescent="0.25">
      <c r="A770">
        <v>2020</v>
      </c>
      <c r="B770">
        <v>12</v>
      </c>
      <c r="C770" t="s">
        <v>333</v>
      </c>
      <c r="D770" t="s">
        <v>478</v>
      </c>
      <c r="E770" t="s">
        <v>479</v>
      </c>
      <c r="F770" t="s">
        <v>480</v>
      </c>
      <c r="G770" t="s">
        <v>481</v>
      </c>
      <c r="H770" t="s">
        <v>34</v>
      </c>
      <c r="I770" t="s">
        <v>23</v>
      </c>
      <c r="J770">
        <v>324542.59999999998</v>
      </c>
      <c r="K770">
        <v>154189.92000000001</v>
      </c>
      <c r="L770">
        <v>170352.68</v>
      </c>
      <c r="M770">
        <v>31232.02</v>
      </c>
      <c r="N770">
        <v>14770.84</v>
      </c>
      <c r="O770">
        <v>16461.189999999999</v>
      </c>
      <c r="P770">
        <v>19571.36</v>
      </c>
      <c r="Q770">
        <v>180211398.80000001</v>
      </c>
      <c r="R770">
        <v>183306467.30000001</v>
      </c>
      <c r="S770">
        <v>5.2999999999999999E-2</v>
      </c>
      <c r="T770" t="s">
        <v>24</v>
      </c>
      <c r="U770">
        <v>3.5000000000000003E-2</v>
      </c>
      <c r="V770">
        <v>0.08</v>
      </c>
      <c r="X770">
        <v>21811.07</v>
      </c>
    </row>
    <row r="771" spans="1:25" x14ac:dyDescent="0.25">
      <c r="A771">
        <v>2020</v>
      </c>
      <c r="B771">
        <v>12</v>
      </c>
      <c r="C771" t="s">
        <v>336</v>
      </c>
      <c r="D771" t="s">
        <v>337</v>
      </c>
      <c r="E771" t="s">
        <v>338</v>
      </c>
      <c r="F771" t="s">
        <v>486</v>
      </c>
      <c r="G771" t="s">
        <v>487</v>
      </c>
      <c r="H771" t="s">
        <v>34</v>
      </c>
      <c r="I771" t="s">
        <v>23</v>
      </c>
      <c r="J771">
        <v>674365.33</v>
      </c>
      <c r="K771">
        <v>395602.03</v>
      </c>
      <c r="L771">
        <v>278763.3</v>
      </c>
      <c r="M771">
        <v>66716.95</v>
      </c>
      <c r="N771">
        <v>36701.11</v>
      </c>
      <c r="O771">
        <v>30015.85</v>
      </c>
      <c r="P771">
        <v>48628.97</v>
      </c>
      <c r="Q771">
        <v>325497315</v>
      </c>
      <c r="R771">
        <v>337352598.89999998</v>
      </c>
      <c r="S771">
        <v>5.2999999999999999E-2</v>
      </c>
      <c r="T771">
        <v>3</v>
      </c>
      <c r="U771">
        <v>2.75E-2</v>
      </c>
      <c r="V771">
        <v>0.08</v>
      </c>
      <c r="X771">
        <v>39770.99</v>
      </c>
      <c r="Y771">
        <v>7.4999999999999997E-3</v>
      </c>
    </row>
    <row r="772" spans="1:25" x14ac:dyDescent="0.25">
      <c r="A772">
        <v>2020</v>
      </c>
      <c r="B772">
        <v>12</v>
      </c>
      <c r="C772" t="s">
        <v>336</v>
      </c>
      <c r="D772" t="s">
        <v>482</v>
      </c>
      <c r="E772" t="s">
        <v>483</v>
      </c>
      <c r="F772" t="s">
        <v>484</v>
      </c>
      <c r="G772" t="s">
        <v>485</v>
      </c>
      <c r="H772" t="s">
        <v>34</v>
      </c>
      <c r="I772" t="s">
        <v>23</v>
      </c>
      <c r="J772">
        <v>661616.81999999995</v>
      </c>
      <c r="K772">
        <v>383313.62</v>
      </c>
      <c r="L772">
        <v>278303.21000000002</v>
      </c>
      <c r="M772">
        <v>64708.800000000003</v>
      </c>
      <c r="N772">
        <v>34782.51</v>
      </c>
      <c r="O772">
        <v>29926.29</v>
      </c>
      <c r="P772">
        <v>46086.82</v>
      </c>
      <c r="Q772">
        <v>324558210</v>
      </c>
      <c r="R772">
        <v>336314054.60000002</v>
      </c>
      <c r="S772">
        <v>5.2999999999999999E-2</v>
      </c>
      <c r="T772" t="s">
        <v>24</v>
      </c>
      <c r="U772">
        <v>3.5000000000000003E-2</v>
      </c>
      <c r="V772">
        <v>0.08</v>
      </c>
      <c r="X772">
        <v>39652.339999999997</v>
      </c>
    </row>
    <row r="773" spans="1:25" x14ac:dyDescent="0.25">
      <c r="A773">
        <v>2020</v>
      </c>
      <c r="B773">
        <v>12</v>
      </c>
      <c r="C773" t="s">
        <v>340</v>
      </c>
      <c r="D773" t="s">
        <v>341</v>
      </c>
      <c r="E773" t="s">
        <v>342</v>
      </c>
      <c r="F773" t="s">
        <v>488</v>
      </c>
      <c r="G773" t="s">
        <v>489</v>
      </c>
      <c r="H773" t="s">
        <v>34</v>
      </c>
      <c r="I773" t="s">
        <v>23</v>
      </c>
      <c r="J773">
        <v>5200073.09</v>
      </c>
      <c r="K773">
        <v>2720019.5</v>
      </c>
      <c r="L773">
        <v>2480053.59</v>
      </c>
      <c r="M773">
        <v>559764.68000000005</v>
      </c>
      <c r="N773">
        <v>312997.13</v>
      </c>
      <c r="O773">
        <v>246767.55</v>
      </c>
      <c r="P773">
        <v>414721.2</v>
      </c>
      <c r="Q773">
        <v>2694924236</v>
      </c>
      <c r="R773">
        <v>2754525768</v>
      </c>
      <c r="S773">
        <v>5.2999999999999999E-2</v>
      </c>
      <c r="T773">
        <v>3</v>
      </c>
      <c r="U773">
        <v>2.75E-2</v>
      </c>
      <c r="V773">
        <v>0.08</v>
      </c>
      <c r="X773">
        <v>326967</v>
      </c>
      <c r="Y773">
        <v>7.4999999999999997E-3</v>
      </c>
    </row>
    <row r="774" spans="1:25" x14ac:dyDescent="0.25">
      <c r="A774">
        <v>2020</v>
      </c>
      <c r="B774">
        <v>12</v>
      </c>
      <c r="C774" t="s">
        <v>340</v>
      </c>
      <c r="D774" t="s">
        <v>574</v>
      </c>
      <c r="E774" t="s">
        <v>575</v>
      </c>
      <c r="F774" t="s">
        <v>576</v>
      </c>
      <c r="G774" t="s">
        <v>577</v>
      </c>
      <c r="H774" t="s">
        <v>34</v>
      </c>
      <c r="I774" t="s">
        <v>23</v>
      </c>
      <c r="J774">
        <v>2386170.84</v>
      </c>
      <c r="K774">
        <v>1560820.39</v>
      </c>
      <c r="L774">
        <v>825350.45</v>
      </c>
      <c r="M774">
        <v>453269.38</v>
      </c>
      <c r="N774">
        <v>175762.04</v>
      </c>
      <c r="O774">
        <v>277507.34000000003</v>
      </c>
      <c r="P774">
        <v>232884.7</v>
      </c>
      <c r="Q774">
        <v>1725811750</v>
      </c>
      <c r="R774">
        <v>1734867999</v>
      </c>
      <c r="S774">
        <v>5.2999999999999999E-2</v>
      </c>
      <c r="T774">
        <v>3</v>
      </c>
      <c r="U774">
        <v>2.75E-2</v>
      </c>
      <c r="V774">
        <v>0.1</v>
      </c>
      <c r="X774">
        <v>367697.22</v>
      </c>
    </row>
    <row r="775" spans="1:25" x14ac:dyDescent="0.25">
      <c r="A775">
        <v>2020</v>
      </c>
      <c r="B775">
        <v>12</v>
      </c>
      <c r="C775" t="s">
        <v>343</v>
      </c>
      <c r="D775" t="s">
        <v>344</v>
      </c>
      <c r="E775" t="s">
        <v>345</v>
      </c>
      <c r="F775" t="s">
        <v>490</v>
      </c>
      <c r="G775" t="s">
        <v>491</v>
      </c>
      <c r="H775" t="s">
        <v>34</v>
      </c>
      <c r="I775" t="s">
        <v>23</v>
      </c>
      <c r="J775">
        <v>2443203.92</v>
      </c>
      <c r="K775">
        <v>1337674.98</v>
      </c>
      <c r="L775">
        <v>1105528.93</v>
      </c>
      <c r="M775">
        <v>276267.44</v>
      </c>
      <c r="N775">
        <v>161225.28</v>
      </c>
      <c r="O775">
        <v>115042.17</v>
      </c>
      <c r="P775">
        <v>213623.49</v>
      </c>
      <c r="Q775">
        <v>1256768982</v>
      </c>
      <c r="R775">
        <v>1283745565</v>
      </c>
      <c r="S775">
        <v>5.2999999999999999E-2</v>
      </c>
      <c r="T775">
        <v>3</v>
      </c>
      <c r="U775">
        <v>2.75E-2</v>
      </c>
      <c r="V775">
        <v>0.08</v>
      </c>
      <c r="X775">
        <v>152430.87</v>
      </c>
      <c r="Y775">
        <v>7.4999999999999997E-3</v>
      </c>
    </row>
    <row r="776" spans="1:25" x14ac:dyDescent="0.25">
      <c r="A776">
        <v>2020</v>
      </c>
      <c r="B776">
        <v>12</v>
      </c>
      <c r="C776" t="s">
        <v>346</v>
      </c>
      <c r="D776" t="s">
        <v>496</v>
      </c>
      <c r="E776" t="s">
        <v>497</v>
      </c>
      <c r="F776" t="s">
        <v>498</v>
      </c>
      <c r="G776" t="s">
        <v>499</v>
      </c>
      <c r="H776" t="s">
        <v>34</v>
      </c>
      <c r="I776" t="s">
        <v>23</v>
      </c>
      <c r="J776">
        <v>891560.3</v>
      </c>
      <c r="K776">
        <v>265748.65999999997</v>
      </c>
      <c r="L776">
        <v>625811.64</v>
      </c>
      <c r="M776">
        <v>105884.93</v>
      </c>
      <c r="N776">
        <v>39074.93</v>
      </c>
      <c r="O776">
        <v>66810</v>
      </c>
      <c r="P776">
        <v>51774.28</v>
      </c>
      <c r="Q776">
        <v>727192949.89999998</v>
      </c>
      <c r="R776">
        <v>748194478.29999995</v>
      </c>
      <c r="S776">
        <v>5.2999999999999999E-2</v>
      </c>
      <c r="T776" t="s">
        <v>24</v>
      </c>
      <c r="U776">
        <v>3.5000000000000003E-2</v>
      </c>
      <c r="V776">
        <v>0.08</v>
      </c>
      <c r="X776">
        <v>88523.25</v>
      </c>
    </row>
    <row r="777" spans="1:25" x14ac:dyDescent="0.25">
      <c r="A777">
        <v>2020</v>
      </c>
      <c r="B777">
        <v>12</v>
      </c>
      <c r="C777" t="s">
        <v>346</v>
      </c>
      <c r="D777" t="s">
        <v>347</v>
      </c>
      <c r="E777" t="s">
        <v>348</v>
      </c>
      <c r="F777" t="s">
        <v>494</v>
      </c>
      <c r="G777" t="s">
        <v>495</v>
      </c>
      <c r="H777" t="s">
        <v>34</v>
      </c>
      <c r="I777" t="s">
        <v>23</v>
      </c>
      <c r="J777">
        <v>961866.84</v>
      </c>
      <c r="K777">
        <v>279379.46000000002</v>
      </c>
      <c r="L777">
        <v>682487.38</v>
      </c>
      <c r="M777">
        <v>111415.14</v>
      </c>
      <c r="N777">
        <v>38225.03</v>
      </c>
      <c r="O777">
        <v>73190.12</v>
      </c>
      <c r="P777">
        <v>50648.160000000003</v>
      </c>
      <c r="Q777">
        <v>794055423.60000002</v>
      </c>
      <c r="R777">
        <v>822226301.20000005</v>
      </c>
      <c r="S777">
        <v>5.2999999999999999E-2</v>
      </c>
      <c r="T777" t="s">
        <v>24</v>
      </c>
      <c r="U777">
        <v>3.5000000000000003E-2</v>
      </c>
      <c r="V777">
        <v>0.08</v>
      </c>
      <c r="X777">
        <v>96976.9</v>
      </c>
    </row>
    <row r="778" spans="1:25" x14ac:dyDescent="0.25">
      <c r="A778">
        <v>2020</v>
      </c>
      <c r="B778">
        <v>12</v>
      </c>
      <c r="C778" t="s">
        <v>346</v>
      </c>
      <c r="D778" t="s">
        <v>500</v>
      </c>
      <c r="E778" t="s">
        <v>501</v>
      </c>
      <c r="F778" t="s">
        <v>502</v>
      </c>
      <c r="G778" t="s">
        <v>503</v>
      </c>
      <c r="H778" t="s">
        <v>34</v>
      </c>
      <c r="I778" t="s">
        <v>23</v>
      </c>
      <c r="J778">
        <v>1018573.51</v>
      </c>
      <c r="K778">
        <v>318634.08</v>
      </c>
      <c r="L778">
        <v>699939.43</v>
      </c>
      <c r="M778">
        <v>124174.95</v>
      </c>
      <c r="N778">
        <v>42430.12</v>
      </c>
      <c r="O778">
        <v>81744.820000000007</v>
      </c>
      <c r="P778">
        <v>56219.91</v>
      </c>
      <c r="Q778">
        <v>876806179.10000002</v>
      </c>
      <c r="R778">
        <v>928392027</v>
      </c>
      <c r="S778">
        <v>5.2999999999999999E-2</v>
      </c>
      <c r="T778">
        <v>3</v>
      </c>
      <c r="U778">
        <v>2.75E-2</v>
      </c>
      <c r="V778">
        <v>0.08</v>
      </c>
      <c r="X778">
        <v>108311.89</v>
      </c>
      <c r="Y778">
        <v>7.4999999999999997E-3</v>
      </c>
    </row>
    <row r="779" spans="1:25" x14ac:dyDescent="0.25">
      <c r="A779">
        <v>2020</v>
      </c>
      <c r="B779">
        <v>12</v>
      </c>
      <c r="C779" t="s">
        <v>346</v>
      </c>
      <c r="D779" t="s">
        <v>347</v>
      </c>
      <c r="E779" t="s">
        <v>348</v>
      </c>
      <c r="F779" t="s">
        <v>492</v>
      </c>
      <c r="G779" t="s">
        <v>493</v>
      </c>
      <c r="H779" t="s">
        <v>34</v>
      </c>
      <c r="I779" t="s">
        <v>23</v>
      </c>
      <c r="J779">
        <v>298779.96000000002</v>
      </c>
      <c r="K779">
        <v>1137.23</v>
      </c>
      <c r="L779">
        <v>297642.73</v>
      </c>
      <c r="M779">
        <v>27262.240000000002</v>
      </c>
      <c r="N779">
        <v>368.29</v>
      </c>
      <c r="O779">
        <v>26893.95</v>
      </c>
      <c r="P779">
        <v>487.98</v>
      </c>
      <c r="Q779">
        <v>532701259</v>
      </c>
      <c r="R779">
        <v>655114791.29999995</v>
      </c>
      <c r="S779">
        <v>5.2999999999999999E-2</v>
      </c>
      <c r="T779">
        <v>3</v>
      </c>
      <c r="U779">
        <v>2.75E-2</v>
      </c>
      <c r="V779">
        <v>0.04</v>
      </c>
      <c r="X779">
        <v>35634.480000000003</v>
      </c>
      <c r="Y779">
        <v>7.4999999999999997E-3</v>
      </c>
    </row>
    <row r="780" spans="1:25" x14ac:dyDescent="0.25">
      <c r="A780">
        <v>2020</v>
      </c>
      <c r="B780">
        <v>12</v>
      </c>
      <c r="C780" t="s">
        <v>349</v>
      </c>
      <c r="D780" t="s">
        <v>350</v>
      </c>
      <c r="E780" t="s">
        <v>351</v>
      </c>
      <c r="F780" t="s">
        <v>504</v>
      </c>
      <c r="G780" t="s">
        <v>505</v>
      </c>
      <c r="H780" t="s">
        <v>34</v>
      </c>
      <c r="I780" t="s">
        <v>23</v>
      </c>
      <c r="J780">
        <v>76227.86</v>
      </c>
      <c r="K780">
        <v>336.5</v>
      </c>
      <c r="L780">
        <v>75891.360000000001</v>
      </c>
      <c r="M780">
        <v>6979.87</v>
      </c>
      <c r="N780">
        <v>10.69</v>
      </c>
      <c r="O780">
        <v>6969.19</v>
      </c>
      <c r="P780">
        <v>14.16</v>
      </c>
      <c r="Q780">
        <v>28165621.510000002</v>
      </c>
      <c r="R780">
        <v>30155474.449999999</v>
      </c>
      <c r="S780">
        <v>5.2999999999999999E-2</v>
      </c>
      <c r="T780">
        <v>1</v>
      </c>
      <c r="U780">
        <v>1.4999999999999999E-2</v>
      </c>
      <c r="V780">
        <v>0.1</v>
      </c>
      <c r="X780">
        <v>9234.17</v>
      </c>
    </row>
    <row r="781" spans="1:25" x14ac:dyDescent="0.25">
      <c r="A781">
        <v>2020</v>
      </c>
      <c r="B781">
        <v>12</v>
      </c>
      <c r="C781" t="s">
        <v>349</v>
      </c>
      <c r="D781" t="s">
        <v>514</v>
      </c>
      <c r="E781" t="s">
        <v>515</v>
      </c>
      <c r="F781" t="s">
        <v>516</v>
      </c>
      <c r="G781" t="s">
        <v>517</v>
      </c>
      <c r="H781" t="s">
        <v>34</v>
      </c>
      <c r="I781" t="s">
        <v>23</v>
      </c>
      <c r="J781">
        <v>658480.55000000005</v>
      </c>
      <c r="K781">
        <v>254404.58</v>
      </c>
      <c r="L781">
        <v>404075.97</v>
      </c>
      <c r="M781">
        <v>79762.210000000006</v>
      </c>
      <c r="N781">
        <v>36019.81</v>
      </c>
      <c r="O781">
        <v>43742.400000000001</v>
      </c>
      <c r="P781">
        <v>47726.25</v>
      </c>
      <c r="Q781">
        <v>467357663.30000001</v>
      </c>
      <c r="R781">
        <v>498620283.89999998</v>
      </c>
      <c r="S781">
        <v>5.2999999999999999E-2</v>
      </c>
      <c r="T781">
        <v>3</v>
      </c>
      <c r="U781">
        <v>2.75E-2</v>
      </c>
      <c r="V781">
        <v>0.08</v>
      </c>
      <c r="X781">
        <v>57958.68</v>
      </c>
      <c r="Y781">
        <v>7.4999999999999997E-3</v>
      </c>
    </row>
    <row r="782" spans="1:25" x14ac:dyDescent="0.25">
      <c r="A782">
        <v>2020</v>
      </c>
      <c r="B782">
        <v>12</v>
      </c>
      <c r="C782" t="s">
        <v>349</v>
      </c>
      <c r="D782" t="s">
        <v>510</v>
      </c>
      <c r="E782" t="s">
        <v>511</v>
      </c>
      <c r="F782" t="s">
        <v>512</v>
      </c>
      <c r="G782" t="s">
        <v>513</v>
      </c>
      <c r="H782" t="s">
        <v>34</v>
      </c>
      <c r="I782" t="s">
        <v>23</v>
      </c>
      <c r="J782">
        <v>1338792.76</v>
      </c>
      <c r="K782">
        <v>579701.49</v>
      </c>
      <c r="L782">
        <v>759091.28</v>
      </c>
      <c r="M782">
        <v>141894.35</v>
      </c>
      <c r="N782">
        <v>65727.31</v>
      </c>
      <c r="O782">
        <v>76167.039999999994</v>
      </c>
      <c r="P782">
        <v>87088.69</v>
      </c>
      <c r="Q782">
        <v>829658082</v>
      </c>
      <c r="R782">
        <v>852364075.70000005</v>
      </c>
      <c r="S782">
        <v>5.2999999999999999E-2</v>
      </c>
      <c r="T782">
        <v>3</v>
      </c>
      <c r="U782">
        <v>2.75E-2</v>
      </c>
      <c r="V782">
        <v>0.08</v>
      </c>
      <c r="X782">
        <v>100921.33</v>
      </c>
      <c r="Y782">
        <v>7.4999999999999997E-3</v>
      </c>
    </row>
    <row r="783" spans="1:25" x14ac:dyDescent="0.25">
      <c r="A783">
        <v>2020</v>
      </c>
      <c r="B783">
        <v>12</v>
      </c>
      <c r="C783" t="s">
        <v>349</v>
      </c>
      <c r="D783" t="s">
        <v>350</v>
      </c>
      <c r="E783" t="s">
        <v>351</v>
      </c>
      <c r="F783" t="s">
        <v>518</v>
      </c>
      <c r="G783" t="s">
        <v>519</v>
      </c>
      <c r="H783" t="s">
        <v>34</v>
      </c>
      <c r="I783" t="s">
        <v>23</v>
      </c>
      <c r="J783">
        <v>9895065.0700000003</v>
      </c>
      <c r="K783">
        <v>5061360.74</v>
      </c>
      <c r="L783">
        <v>4833704.33</v>
      </c>
      <c r="M783">
        <v>911474.19</v>
      </c>
      <c r="N783">
        <v>467383.78</v>
      </c>
      <c r="O783">
        <v>444090.4</v>
      </c>
      <c r="P783">
        <v>619283.51</v>
      </c>
      <c r="Q783">
        <v>4847317524</v>
      </c>
      <c r="R783">
        <v>4959678918</v>
      </c>
      <c r="S783">
        <v>5.2999999999999999E-2</v>
      </c>
      <c r="T783">
        <v>3</v>
      </c>
      <c r="U783">
        <v>2.75E-2</v>
      </c>
      <c r="V783">
        <v>0.08</v>
      </c>
      <c r="X783">
        <v>588419.79</v>
      </c>
      <c r="Y783">
        <v>7.4999999999999997E-3</v>
      </c>
    </row>
    <row r="784" spans="1:25" x14ac:dyDescent="0.25">
      <c r="A784">
        <v>2020</v>
      </c>
      <c r="B784">
        <v>12</v>
      </c>
      <c r="C784" t="s">
        <v>349</v>
      </c>
      <c r="D784" t="s">
        <v>506</v>
      </c>
      <c r="E784" t="s">
        <v>507</v>
      </c>
      <c r="F784" t="s">
        <v>508</v>
      </c>
      <c r="G784" t="s">
        <v>509</v>
      </c>
      <c r="H784" t="s">
        <v>34</v>
      </c>
      <c r="I784" t="s">
        <v>23</v>
      </c>
      <c r="J784">
        <v>2276141.58</v>
      </c>
      <c r="K784">
        <v>792952.08</v>
      </c>
      <c r="L784">
        <v>1483189.51</v>
      </c>
      <c r="M784">
        <v>218594.29</v>
      </c>
      <c r="N784">
        <v>84311.74</v>
      </c>
      <c r="O784">
        <v>134282.56</v>
      </c>
      <c r="P784">
        <v>111713.05</v>
      </c>
      <c r="Q784">
        <v>1462808640</v>
      </c>
      <c r="R784">
        <v>1502597826</v>
      </c>
      <c r="S784">
        <v>5.2999999999999999E-2</v>
      </c>
      <c r="T784" t="s">
        <v>24</v>
      </c>
      <c r="U784">
        <v>3.5000000000000003E-2</v>
      </c>
      <c r="V784">
        <v>0.08</v>
      </c>
      <c r="X784">
        <v>177924.39</v>
      </c>
    </row>
    <row r="785" spans="1:25" x14ac:dyDescent="0.25">
      <c r="A785">
        <v>2020</v>
      </c>
      <c r="B785">
        <v>12</v>
      </c>
      <c r="C785" t="s">
        <v>352</v>
      </c>
      <c r="D785" t="s">
        <v>524</v>
      </c>
      <c r="E785" t="s">
        <v>525</v>
      </c>
      <c r="F785" t="s">
        <v>526</v>
      </c>
      <c r="G785" t="s">
        <v>527</v>
      </c>
      <c r="H785" t="s">
        <v>34</v>
      </c>
      <c r="I785" t="s">
        <v>23</v>
      </c>
      <c r="J785">
        <v>1774185.46</v>
      </c>
      <c r="K785">
        <v>772497.34</v>
      </c>
      <c r="L785">
        <v>1001688.11</v>
      </c>
      <c r="M785">
        <v>210283.04</v>
      </c>
      <c r="N785">
        <v>106503.99</v>
      </c>
      <c r="O785">
        <v>103779.05</v>
      </c>
      <c r="P785">
        <v>141117.79</v>
      </c>
      <c r="Q785">
        <v>1125541659</v>
      </c>
      <c r="R785">
        <v>1166245664</v>
      </c>
      <c r="S785">
        <v>5.2999999999999999E-2</v>
      </c>
      <c r="T785">
        <v>3</v>
      </c>
      <c r="U785">
        <v>2.75E-2</v>
      </c>
      <c r="V785">
        <v>0.08</v>
      </c>
      <c r="X785">
        <v>137507.24</v>
      </c>
      <c r="Y785">
        <v>7.4999999999999997E-3</v>
      </c>
    </row>
    <row r="786" spans="1:25" x14ac:dyDescent="0.25">
      <c r="A786">
        <v>2020</v>
      </c>
      <c r="B786">
        <v>12</v>
      </c>
      <c r="C786" t="s">
        <v>352</v>
      </c>
      <c r="D786" t="s">
        <v>353</v>
      </c>
      <c r="E786" t="s">
        <v>354</v>
      </c>
      <c r="F786" t="s">
        <v>528</v>
      </c>
      <c r="G786" t="s">
        <v>529</v>
      </c>
      <c r="H786" t="s">
        <v>34</v>
      </c>
      <c r="I786" t="s">
        <v>23</v>
      </c>
      <c r="J786">
        <v>1786984.44</v>
      </c>
      <c r="K786">
        <v>782894.96</v>
      </c>
      <c r="L786">
        <v>1004089.48</v>
      </c>
      <c r="M786">
        <v>214342.31</v>
      </c>
      <c r="N786">
        <v>110587.4</v>
      </c>
      <c r="O786">
        <v>103754.91</v>
      </c>
      <c r="P786">
        <v>146528.29999999999</v>
      </c>
      <c r="Q786">
        <v>1128555344</v>
      </c>
      <c r="R786">
        <v>1162698951</v>
      </c>
      <c r="S786">
        <v>5.2999999999999999E-2</v>
      </c>
      <c r="T786">
        <v>3</v>
      </c>
      <c r="U786">
        <v>2.75E-2</v>
      </c>
      <c r="V786">
        <v>0.08</v>
      </c>
      <c r="X786">
        <v>137475.26</v>
      </c>
      <c r="Y786">
        <v>7.4999999999999997E-3</v>
      </c>
    </row>
    <row r="787" spans="1:25" x14ac:dyDescent="0.25">
      <c r="A787">
        <v>2020</v>
      </c>
      <c r="B787">
        <v>12</v>
      </c>
      <c r="C787" t="s">
        <v>352</v>
      </c>
      <c r="D787" t="s">
        <v>520</v>
      </c>
      <c r="E787" t="s">
        <v>521</v>
      </c>
      <c r="F787" t="s">
        <v>522</v>
      </c>
      <c r="G787" t="s">
        <v>523</v>
      </c>
      <c r="H787" t="s">
        <v>34</v>
      </c>
      <c r="I787" t="s">
        <v>23</v>
      </c>
      <c r="J787">
        <v>1849339.38</v>
      </c>
      <c r="K787">
        <v>828836.86</v>
      </c>
      <c r="L787">
        <v>1020502.52</v>
      </c>
      <c r="M787">
        <v>220979.28</v>
      </c>
      <c r="N787">
        <v>115394.45</v>
      </c>
      <c r="O787">
        <v>105584.83</v>
      </c>
      <c r="P787">
        <v>152897.64000000001</v>
      </c>
      <c r="Q787">
        <v>1152916910</v>
      </c>
      <c r="R787">
        <v>1178748083</v>
      </c>
      <c r="S787">
        <v>5.2999999999999999E-2</v>
      </c>
      <c r="T787" t="s">
        <v>24</v>
      </c>
      <c r="U787">
        <v>3.5000000000000003E-2</v>
      </c>
      <c r="V787">
        <v>0.08</v>
      </c>
      <c r="X787">
        <v>139899.9</v>
      </c>
    </row>
    <row r="788" spans="1:25" x14ac:dyDescent="0.25">
      <c r="A788">
        <v>2020</v>
      </c>
      <c r="B788">
        <v>12</v>
      </c>
      <c r="C788" t="s">
        <v>355</v>
      </c>
      <c r="D788" t="s">
        <v>536</v>
      </c>
      <c r="E788" t="s">
        <v>537</v>
      </c>
      <c r="F788" t="s">
        <v>538</v>
      </c>
      <c r="G788" t="s">
        <v>539</v>
      </c>
      <c r="H788" t="s">
        <v>34</v>
      </c>
      <c r="I788" t="s">
        <v>23</v>
      </c>
      <c r="J788">
        <v>746650.59</v>
      </c>
      <c r="K788">
        <v>169333.89</v>
      </c>
      <c r="L788">
        <v>577316.69999999995</v>
      </c>
      <c r="M788">
        <v>74229.37</v>
      </c>
      <c r="N788">
        <v>23724.41</v>
      </c>
      <c r="O788">
        <v>50504.959999999999</v>
      </c>
      <c r="P788">
        <v>31434.84</v>
      </c>
      <c r="Q788">
        <v>554112789.79999995</v>
      </c>
      <c r="R788">
        <v>561205146.5</v>
      </c>
      <c r="S788">
        <v>5.2999999999999999E-2</v>
      </c>
      <c r="T788">
        <v>3</v>
      </c>
      <c r="U788">
        <v>2.75E-2</v>
      </c>
      <c r="V788">
        <v>0.08</v>
      </c>
      <c r="X788">
        <v>66919.08</v>
      </c>
      <c r="Y788">
        <v>7.4999999999999997E-3</v>
      </c>
    </row>
    <row r="789" spans="1:25" x14ac:dyDescent="0.25">
      <c r="A789">
        <v>2020</v>
      </c>
      <c r="B789">
        <v>12</v>
      </c>
      <c r="C789" t="s">
        <v>355</v>
      </c>
      <c r="D789" t="s">
        <v>356</v>
      </c>
      <c r="E789" t="s">
        <v>357</v>
      </c>
      <c r="F789" t="s">
        <v>530</v>
      </c>
      <c r="G789" t="s">
        <v>531</v>
      </c>
      <c r="H789" t="s">
        <v>34</v>
      </c>
      <c r="I789" t="s">
        <v>23</v>
      </c>
      <c r="J789">
        <v>1036459.44</v>
      </c>
      <c r="K789">
        <v>324727.8</v>
      </c>
      <c r="L789">
        <v>711731.64</v>
      </c>
      <c r="M789">
        <v>111627.63</v>
      </c>
      <c r="N789">
        <v>38050.85</v>
      </c>
      <c r="O789">
        <v>73576.789999999994</v>
      </c>
      <c r="P789">
        <v>50417.37</v>
      </c>
      <c r="Q789">
        <v>796581188.60000002</v>
      </c>
      <c r="R789">
        <v>828239568.20000005</v>
      </c>
      <c r="S789">
        <v>5.2999999999999999E-2</v>
      </c>
      <c r="T789">
        <v>3</v>
      </c>
      <c r="U789">
        <v>2.75E-2</v>
      </c>
      <c r="V789">
        <v>0.08</v>
      </c>
      <c r="X789">
        <v>97489.25</v>
      </c>
      <c r="Y789">
        <v>7.4999999999999997E-3</v>
      </c>
    </row>
    <row r="790" spans="1:25" x14ac:dyDescent="0.25">
      <c r="A790">
        <v>2020</v>
      </c>
      <c r="B790">
        <v>12</v>
      </c>
      <c r="C790" t="s">
        <v>355</v>
      </c>
      <c r="D790" t="s">
        <v>532</v>
      </c>
      <c r="E790" t="s">
        <v>533</v>
      </c>
      <c r="F790" t="s">
        <v>534</v>
      </c>
      <c r="G790" t="s">
        <v>535</v>
      </c>
      <c r="H790" t="s">
        <v>34</v>
      </c>
      <c r="I790" t="s">
        <v>23</v>
      </c>
      <c r="J790">
        <v>718263.99</v>
      </c>
      <c r="K790">
        <v>209019.89</v>
      </c>
      <c r="L790">
        <v>509244.1</v>
      </c>
      <c r="M790">
        <v>75850.44</v>
      </c>
      <c r="N790">
        <v>24098.28</v>
      </c>
      <c r="O790">
        <v>51752.160000000003</v>
      </c>
      <c r="P790">
        <v>31930.22</v>
      </c>
      <c r="Q790">
        <v>560653145.39999998</v>
      </c>
      <c r="R790">
        <v>582206969.29999995</v>
      </c>
      <c r="S790">
        <v>5.2999999999999999E-2</v>
      </c>
      <c r="T790">
        <v>3</v>
      </c>
      <c r="U790">
        <v>2.75E-2</v>
      </c>
      <c r="V790">
        <v>0.08</v>
      </c>
      <c r="X790">
        <v>68571.61</v>
      </c>
      <c r="Y790">
        <v>7.4999999999999997E-3</v>
      </c>
    </row>
    <row r="791" spans="1:25" x14ac:dyDescent="0.25">
      <c r="A791">
        <v>2020</v>
      </c>
      <c r="B791">
        <v>12</v>
      </c>
      <c r="C791" t="s">
        <v>364</v>
      </c>
      <c r="D791" t="s">
        <v>365</v>
      </c>
      <c r="E791" t="s">
        <v>366</v>
      </c>
      <c r="F791" t="s">
        <v>540</v>
      </c>
      <c r="G791" t="s">
        <v>541</v>
      </c>
      <c r="H791" t="s">
        <v>34</v>
      </c>
      <c r="I791" t="s">
        <v>23</v>
      </c>
      <c r="J791">
        <v>135750.03</v>
      </c>
      <c r="K791">
        <v>1555</v>
      </c>
      <c r="L791">
        <v>134195.03</v>
      </c>
      <c r="M791">
        <v>11648.34</v>
      </c>
      <c r="N791">
        <v>803.28</v>
      </c>
      <c r="O791">
        <v>10845.07</v>
      </c>
      <c r="P791">
        <v>1064.3399999999999</v>
      </c>
      <c r="Q791">
        <v>139312656.40000001</v>
      </c>
      <c r="R791">
        <v>131176028.59999999</v>
      </c>
      <c r="S791">
        <v>5.2999999999999999E-2</v>
      </c>
      <c r="T791">
        <v>3</v>
      </c>
      <c r="U791">
        <v>2.75E-2</v>
      </c>
      <c r="V791">
        <v>0.05</v>
      </c>
      <c r="X791">
        <v>14369.71</v>
      </c>
    </row>
    <row r="792" spans="1:25" x14ac:dyDescent="0.25">
      <c r="A792">
        <v>2020</v>
      </c>
      <c r="B792">
        <v>12</v>
      </c>
      <c r="C792" t="s">
        <v>364</v>
      </c>
      <c r="D792" t="s">
        <v>365</v>
      </c>
      <c r="E792" t="s">
        <v>366</v>
      </c>
      <c r="F792" t="s">
        <v>544</v>
      </c>
      <c r="G792" t="s">
        <v>545</v>
      </c>
      <c r="H792" t="s">
        <v>34</v>
      </c>
      <c r="I792" t="s">
        <v>23</v>
      </c>
      <c r="J792">
        <v>367680.6</v>
      </c>
      <c r="K792">
        <v>5789.74</v>
      </c>
      <c r="L792">
        <v>361890.86</v>
      </c>
      <c r="M792">
        <v>34226.21</v>
      </c>
      <c r="N792">
        <v>673.9</v>
      </c>
      <c r="O792">
        <v>33552.31</v>
      </c>
      <c r="P792">
        <v>892.92</v>
      </c>
      <c r="Q792">
        <v>206883578.59999999</v>
      </c>
      <c r="R792">
        <v>211533481.09999999</v>
      </c>
      <c r="S792">
        <v>5.2999999999999999E-2</v>
      </c>
      <c r="T792">
        <v>3</v>
      </c>
      <c r="U792">
        <v>2.75E-2</v>
      </c>
      <c r="V792">
        <v>0.1</v>
      </c>
      <c r="X792">
        <v>44456.81</v>
      </c>
    </row>
    <row r="793" spans="1:25" x14ac:dyDescent="0.25">
      <c r="A793">
        <v>2020</v>
      </c>
      <c r="B793">
        <v>12</v>
      </c>
      <c r="C793" t="s">
        <v>364</v>
      </c>
      <c r="D793" t="s">
        <v>367</v>
      </c>
      <c r="E793" t="s">
        <v>368</v>
      </c>
      <c r="F793" t="s">
        <v>542</v>
      </c>
      <c r="G793" t="s">
        <v>543</v>
      </c>
      <c r="H793" t="s">
        <v>34</v>
      </c>
      <c r="I793" t="s">
        <v>23</v>
      </c>
      <c r="J793">
        <v>1780442.5</v>
      </c>
      <c r="K793">
        <v>424966.15</v>
      </c>
      <c r="L793">
        <v>1355476.35</v>
      </c>
      <c r="M793">
        <v>174510.77</v>
      </c>
      <c r="N793">
        <v>41160.11</v>
      </c>
      <c r="O793">
        <v>133350.66</v>
      </c>
      <c r="P793">
        <v>54537.15</v>
      </c>
      <c r="Q793">
        <v>816546499.10000002</v>
      </c>
      <c r="R793">
        <v>846414631.5</v>
      </c>
      <c r="S793">
        <v>5.2999999999999999E-2</v>
      </c>
      <c r="T793">
        <v>3</v>
      </c>
      <c r="U793">
        <v>2.75E-2</v>
      </c>
      <c r="V793">
        <v>0.1</v>
      </c>
      <c r="X793">
        <v>176689.62</v>
      </c>
    </row>
    <row r="794" spans="1:25" x14ac:dyDescent="0.25">
      <c r="A794">
        <v>2020</v>
      </c>
      <c r="B794">
        <v>12</v>
      </c>
      <c r="C794" t="s">
        <v>358</v>
      </c>
      <c r="D794" t="s">
        <v>550</v>
      </c>
      <c r="E794" t="s">
        <v>551</v>
      </c>
      <c r="F794" t="s">
        <v>552</v>
      </c>
      <c r="G794" t="s">
        <v>553</v>
      </c>
      <c r="H794" t="s">
        <v>34</v>
      </c>
      <c r="I794" t="s">
        <v>23</v>
      </c>
      <c r="J794">
        <v>1502527.58</v>
      </c>
      <c r="K794">
        <v>789537.67</v>
      </c>
      <c r="L794">
        <v>712989.91</v>
      </c>
      <c r="M794">
        <v>173915.69</v>
      </c>
      <c r="N794">
        <v>98251.98</v>
      </c>
      <c r="O794">
        <v>75663.7</v>
      </c>
      <c r="P794">
        <v>130183.88</v>
      </c>
      <c r="Q794">
        <v>804376525.70000005</v>
      </c>
      <c r="R794">
        <v>866530250</v>
      </c>
      <c r="S794">
        <v>5.2999999999999999E-2</v>
      </c>
      <c r="T794" t="s">
        <v>24</v>
      </c>
      <c r="U794">
        <v>3.5000000000000003E-2</v>
      </c>
      <c r="V794">
        <v>0.08</v>
      </c>
      <c r="X794">
        <v>100254.41</v>
      </c>
    </row>
    <row r="795" spans="1:25" x14ac:dyDescent="0.25">
      <c r="A795">
        <v>2020</v>
      </c>
      <c r="B795">
        <v>12</v>
      </c>
      <c r="C795" t="s">
        <v>358</v>
      </c>
      <c r="D795" t="s">
        <v>554</v>
      </c>
      <c r="E795" t="s">
        <v>555</v>
      </c>
      <c r="F795" t="s">
        <v>556</v>
      </c>
      <c r="G795" t="s">
        <v>557</v>
      </c>
      <c r="H795" t="s">
        <v>34</v>
      </c>
      <c r="I795" t="s">
        <v>23</v>
      </c>
      <c r="J795">
        <v>1811737.86</v>
      </c>
      <c r="K795">
        <v>962006.37</v>
      </c>
      <c r="L795">
        <v>849731.49</v>
      </c>
      <c r="M795">
        <v>198603.07</v>
      </c>
      <c r="N795">
        <v>108374.83</v>
      </c>
      <c r="O795">
        <v>90228.24</v>
      </c>
      <c r="P795">
        <v>143596.65</v>
      </c>
      <c r="Q795">
        <v>959549140.89999998</v>
      </c>
      <c r="R795">
        <v>1032991190</v>
      </c>
      <c r="S795">
        <v>5.2999999999999999E-2</v>
      </c>
      <c r="T795">
        <v>3</v>
      </c>
      <c r="U795">
        <v>2.75E-2</v>
      </c>
      <c r="V795">
        <v>0.08</v>
      </c>
      <c r="X795">
        <v>119552.42</v>
      </c>
      <c r="Y795">
        <v>7.4999999999999997E-3</v>
      </c>
    </row>
    <row r="796" spans="1:25" x14ac:dyDescent="0.25">
      <c r="A796">
        <v>2020</v>
      </c>
      <c r="B796">
        <v>12</v>
      </c>
      <c r="C796" t="s">
        <v>358</v>
      </c>
      <c r="D796" t="s">
        <v>546</v>
      </c>
      <c r="E796" t="s">
        <v>547</v>
      </c>
      <c r="F796" t="s">
        <v>548</v>
      </c>
      <c r="G796" t="s">
        <v>549</v>
      </c>
      <c r="H796" t="s">
        <v>34</v>
      </c>
      <c r="I796" t="s">
        <v>23</v>
      </c>
      <c r="J796">
        <v>2294484.44</v>
      </c>
      <c r="K796">
        <v>818895.62</v>
      </c>
      <c r="L796">
        <v>1475588.83</v>
      </c>
      <c r="M796">
        <v>232407.32</v>
      </c>
      <c r="N796">
        <v>87420.12</v>
      </c>
      <c r="O796">
        <v>144987.20000000001</v>
      </c>
      <c r="P796">
        <v>115831.66</v>
      </c>
      <c r="Q796">
        <v>881682407.79999995</v>
      </c>
      <c r="R796">
        <v>926393202.89999998</v>
      </c>
      <c r="S796">
        <v>5.2999999999999999E-2</v>
      </c>
      <c r="T796">
        <v>3</v>
      </c>
      <c r="U796">
        <v>2.75E-2</v>
      </c>
      <c r="V796">
        <v>0.1</v>
      </c>
      <c r="X796">
        <v>192108.03</v>
      </c>
    </row>
    <row r="797" spans="1:25" x14ac:dyDescent="0.25">
      <c r="A797">
        <v>2020</v>
      </c>
      <c r="B797">
        <v>12</v>
      </c>
      <c r="C797" t="s">
        <v>361</v>
      </c>
      <c r="D797" t="s">
        <v>362</v>
      </c>
      <c r="E797" t="s">
        <v>363</v>
      </c>
      <c r="F797" t="s">
        <v>558</v>
      </c>
      <c r="G797" t="s">
        <v>559</v>
      </c>
      <c r="H797" t="s">
        <v>34</v>
      </c>
      <c r="I797" t="s">
        <v>23</v>
      </c>
      <c r="J797">
        <v>787674.99</v>
      </c>
      <c r="K797">
        <v>205561.13</v>
      </c>
      <c r="L797">
        <v>582113.85</v>
      </c>
      <c r="M797">
        <v>88538.94</v>
      </c>
      <c r="N797">
        <v>29487.89</v>
      </c>
      <c r="O797">
        <v>59051.040000000001</v>
      </c>
      <c r="P797">
        <v>39071.46</v>
      </c>
      <c r="Q797">
        <v>638519343.89999998</v>
      </c>
      <c r="R797">
        <v>665524475.5</v>
      </c>
      <c r="S797">
        <v>5.2999999999999999E-2</v>
      </c>
      <c r="T797" t="s">
        <v>24</v>
      </c>
      <c r="U797">
        <v>3.5000000000000003E-2</v>
      </c>
      <c r="V797">
        <v>0.08</v>
      </c>
      <c r="X797">
        <v>78242.63</v>
      </c>
    </row>
    <row r="798" spans="1:25" x14ac:dyDescent="0.25">
      <c r="A798">
        <v>2020</v>
      </c>
      <c r="B798">
        <v>12</v>
      </c>
      <c r="C798" t="s">
        <v>361</v>
      </c>
      <c r="D798" t="s">
        <v>560</v>
      </c>
      <c r="E798" t="s">
        <v>561</v>
      </c>
      <c r="F798" t="s">
        <v>562</v>
      </c>
      <c r="G798" t="s">
        <v>563</v>
      </c>
      <c r="H798" t="s">
        <v>34</v>
      </c>
      <c r="I798" t="s">
        <v>23</v>
      </c>
      <c r="J798">
        <v>810135.26</v>
      </c>
      <c r="K798">
        <v>205163.06</v>
      </c>
      <c r="L798">
        <v>604972.19999999995</v>
      </c>
      <c r="M798">
        <v>89054.94</v>
      </c>
      <c r="N798">
        <v>28013.45</v>
      </c>
      <c r="O798">
        <v>61041.49</v>
      </c>
      <c r="P798">
        <v>37117.82</v>
      </c>
      <c r="Q798">
        <v>661296181.60000002</v>
      </c>
      <c r="R798">
        <v>686703323.79999995</v>
      </c>
      <c r="S798">
        <v>5.2999999999999999E-2</v>
      </c>
      <c r="T798">
        <v>3</v>
      </c>
      <c r="U798">
        <v>2.75E-2</v>
      </c>
      <c r="V798">
        <v>0.08</v>
      </c>
      <c r="X798">
        <v>80879.97</v>
      </c>
      <c r="Y798">
        <v>7.4999999999999997E-3</v>
      </c>
    </row>
    <row r="799" spans="1:25" x14ac:dyDescent="0.25">
      <c r="A799">
        <v>2020</v>
      </c>
      <c r="B799">
        <v>12</v>
      </c>
      <c r="C799" t="s">
        <v>298</v>
      </c>
      <c r="D799" t="s">
        <v>589</v>
      </c>
      <c r="E799" t="s">
        <v>590</v>
      </c>
      <c r="F799" t="s">
        <v>591</v>
      </c>
      <c r="G799" t="s">
        <v>592</v>
      </c>
      <c r="H799" t="s">
        <v>34</v>
      </c>
      <c r="I799" t="s">
        <v>34</v>
      </c>
      <c r="J799">
        <v>652097.51</v>
      </c>
      <c r="K799">
        <v>652097.51</v>
      </c>
      <c r="M799">
        <v>90492.05</v>
      </c>
      <c r="N799">
        <v>90492.05</v>
      </c>
      <c r="P799">
        <v>119901.96</v>
      </c>
    </row>
    <row r="800" spans="1:25" x14ac:dyDescent="0.25">
      <c r="A800">
        <v>2020</v>
      </c>
      <c r="B800">
        <v>12</v>
      </c>
      <c r="C800" t="s">
        <v>395</v>
      </c>
      <c r="D800" t="s">
        <v>621</v>
      </c>
      <c r="E800" t="s">
        <v>622</v>
      </c>
      <c r="F800" t="s">
        <v>623</v>
      </c>
      <c r="G800" t="s">
        <v>624</v>
      </c>
      <c r="H800" t="s">
        <v>34</v>
      </c>
      <c r="I800" t="s">
        <v>34</v>
      </c>
      <c r="J800">
        <v>152653.65</v>
      </c>
      <c r="K800">
        <v>152653.65</v>
      </c>
      <c r="M800">
        <v>69083.91</v>
      </c>
      <c r="N800">
        <v>69083.91</v>
      </c>
      <c r="P800">
        <v>91536.18</v>
      </c>
    </row>
    <row r="801" spans="1:16" x14ac:dyDescent="0.25">
      <c r="A801">
        <v>2020</v>
      </c>
      <c r="B801">
        <v>12</v>
      </c>
      <c r="C801" t="s">
        <v>395</v>
      </c>
      <c r="D801" t="s">
        <v>629</v>
      </c>
      <c r="E801" t="s">
        <v>630</v>
      </c>
      <c r="F801" t="s">
        <v>631</v>
      </c>
      <c r="G801" t="s">
        <v>632</v>
      </c>
      <c r="H801" t="s">
        <v>34</v>
      </c>
      <c r="I801" t="s">
        <v>34</v>
      </c>
      <c r="J801">
        <v>139685.81</v>
      </c>
      <c r="K801">
        <v>139685.81</v>
      </c>
      <c r="M801">
        <v>60341.1</v>
      </c>
      <c r="N801">
        <v>60341.1</v>
      </c>
      <c r="P801">
        <v>79951.960000000006</v>
      </c>
    </row>
    <row r="802" spans="1:16" x14ac:dyDescent="0.25">
      <c r="A802">
        <v>2020</v>
      </c>
      <c r="B802">
        <v>12</v>
      </c>
      <c r="C802" t="s">
        <v>395</v>
      </c>
      <c r="D802" t="s">
        <v>633</v>
      </c>
      <c r="E802" t="s">
        <v>634</v>
      </c>
      <c r="F802" t="s">
        <v>635</v>
      </c>
      <c r="G802" t="s">
        <v>636</v>
      </c>
      <c r="H802" t="s">
        <v>34</v>
      </c>
      <c r="I802" t="s">
        <v>34</v>
      </c>
      <c r="J802">
        <v>139205.53</v>
      </c>
      <c r="K802">
        <v>139205.53</v>
      </c>
      <c r="M802">
        <v>60250.71</v>
      </c>
      <c r="N802">
        <v>60250.71</v>
      </c>
      <c r="P802">
        <v>79832.19</v>
      </c>
    </row>
    <row r="803" spans="1:16" x14ac:dyDescent="0.25">
      <c r="A803">
        <v>2020</v>
      </c>
      <c r="B803">
        <v>12</v>
      </c>
      <c r="C803" t="s">
        <v>395</v>
      </c>
      <c r="D803" t="s">
        <v>396</v>
      </c>
      <c r="E803" t="s">
        <v>397</v>
      </c>
      <c r="F803" t="s">
        <v>637</v>
      </c>
      <c r="G803" t="s">
        <v>638</v>
      </c>
      <c r="H803" t="s">
        <v>34</v>
      </c>
      <c r="I803" t="s">
        <v>34</v>
      </c>
      <c r="J803">
        <v>142777.60999999999</v>
      </c>
      <c r="K803">
        <v>142777.60999999999</v>
      </c>
      <c r="M803">
        <v>63989.68</v>
      </c>
      <c r="N803">
        <v>63989.68</v>
      </c>
      <c r="P803">
        <v>84786.33</v>
      </c>
    </row>
    <row r="804" spans="1:16" x14ac:dyDescent="0.25">
      <c r="A804">
        <v>2020</v>
      </c>
      <c r="B804">
        <v>12</v>
      </c>
      <c r="C804" t="s">
        <v>395</v>
      </c>
      <c r="D804" t="s">
        <v>617</v>
      </c>
      <c r="E804" t="s">
        <v>618</v>
      </c>
      <c r="F804" t="s">
        <v>619</v>
      </c>
      <c r="G804" t="s">
        <v>620</v>
      </c>
      <c r="H804" t="s">
        <v>34</v>
      </c>
      <c r="I804" t="s">
        <v>34</v>
      </c>
      <c r="J804">
        <v>144458.39000000001</v>
      </c>
      <c r="K804">
        <v>144458.39000000001</v>
      </c>
      <c r="M804">
        <v>59466.29</v>
      </c>
      <c r="N804">
        <v>59466.29</v>
      </c>
      <c r="P804">
        <v>78792.83</v>
      </c>
    </row>
    <row r="805" spans="1:16" x14ac:dyDescent="0.25">
      <c r="A805">
        <v>2020</v>
      </c>
      <c r="B805">
        <v>12</v>
      </c>
      <c r="C805" t="s">
        <v>395</v>
      </c>
      <c r="D805" t="s">
        <v>625</v>
      </c>
      <c r="E805" t="s">
        <v>626</v>
      </c>
      <c r="F805" t="s">
        <v>627</v>
      </c>
      <c r="G805" t="s">
        <v>628</v>
      </c>
      <c r="H805" t="s">
        <v>34</v>
      </c>
      <c r="I805" t="s">
        <v>34</v>
      </c>
      <c r="J805">
        <v>142571.12</v>
      </c>
      <c r="K805">
        <v>142571.12</v>
      </c>
      <c r="M805">
        <v>62578.38</v>
      </c>
      <c r="N805">
        <v>62578.38</v>
      </c>
      <c r="P805">
        <v>82916.36</v>
      </c>
    </row>
    <row r="806" spans="1:16" x14ac:dyDescent="0.25">
      <c r="A806">
        <v>2020</v>
      </c>
      <c r="B806">
        <v>12</v>
      </c>
      <c r="C806" t="s">
        <v>286</v>
      </c>
      <c r="D806" t="s">
        <v>287</v>
      </c>
      <c r="E806" t="s">
        <v>288</v>
      </c>
      <c r="F806" t="s">
        <v>641</v>
      </c>
      <c r="G806" t="s">
        <v>642</v>
      </c>
      <c r="H806" t="s">
        <v>34</v>
      </c>
      <c r="I806" t="s">
        <v>34</v>
      </c>
      <c r="J806">
        <v>15911.23</v>
      </c>
      <c r="K806">
        <v>15911.23</v>
      </c>
      <c r="M806">
        <v>1917.24</v>
      </c>
      <c r="N806">
        <v>1917.24</v>
      </c>
      <c r="P806">
        <v>2540.34</v>
      </c>
    </row>
    <row r="807" spans="1:16" x14ac:dyDescent="0.25">
      <c r="A807">
        <v>2020</v>
      </c>
      <c r="B807">
        <v>12</v>
      </c>
      <c r="C807" t="s">
        <v>286</v>
      </c>
      <c r="D807" t="s">
        <v>287</v>
      </c>
      <c r="E807" t="s">
        <v>288</v>
      </c>
      <c r="F807" t="s">
        <v>639</v>
      </c>
      <c r="G807" t="s">
        <v>640</v>
      </c>
      <c r="H807" t="s">
        <v>34</v>
      </c>
      <c r="I807" t="s">
        <v>34</v>
      </c>
      <c r="J807">
        <v>73197.55</v>
      </c>
      <c r="K807">
        <v>73197.55</v>
      </c>
      <c r="M807">
        <v>21057.94</v>
      </c>
      <c r="N807">
        <v>21057.94</v>
      </c>
      <c r="P807">
        <v>27901.77</v>
      </c>
    </row>
    <row r="808" spans="1:16" x14ac:dyDescent="0.25">
      <c r="A808">
        <v>2020</v>
      </c>
      <c r="B808">
        <v>12</v>
      </c>
      <c r="C808" t="s">
        <v>398</v>
      </c>
      <c r="D808" t="s">
        <v>667</v>
      </c>
      <c r="E808" t="s">
        <v>668</v>
      </c>
      <c r="F808" t="s">
        <v>669</v>
      </c>
      <c r="G808" t="s">
        <v>670</v>
      </c>
      <c r="H808" t="s">
        <v>34</v>
      </c>
      <c r="I808" t="s">
        <v>34</v>
      </c>
      <c r="J808">
        <v>54520.62</v>
      </c>
      <c r="K808">
        <v>54520.62</v>
      </c>
      <c r="M808">
        <v>27116.57</v>
      </c>
      <c r="N808">
        <v>27116.57</v>
      </c>
      <c r="P808">
        <v>35929.449999999997</v>
      </c>
    </row>
    <row r="809" spans="1:16" x14ac:dyDescent="0.25">
      <c r="A809">
        <v>2020</v>
      </c>
      <c r="B809">
        <v>12</v>
      </c>
      <c r="C809" t="s">
        <v>308</v>
      </c>
      <c r="D809" t="s">
        <v>643</v>
      </c>
      <c r="E809" t="s">
        <v>644</v>
      </c>
      <c r="F809" t="s">
        <v>645</v>
      </c>
      <c r="G809" t="s">
        <v>646</v>
      </c>
      <c r="H809" t="s">
        <v>34</v>
      </c>
      <c r="I809" t="s">
        <v>34</v>
      </c>
      <c r="J809">
        <v>45220.7</v>
      </c>
      <c r="K809">
        <v>45220.7</v>
      </c>
      <c r="M809">
        <v>19522.02</v>
      </c>
      <c r="N809">
        <v>19522.02</v>
      </c>
      <c r="P809">
        <v>25866.68</v>
      </c>
    </row>
    <row r="810" spans="1:16" x14ac:dyDescent="0.25">
      <c r="A810">
        <v>2020</v>
      </c>
      <c r="B810">
        <v>12</v>
      </c>
      <c r="C810" t="s">
        <v>401</v>
      </c>
      <c r="D810" t="s">
        <v>655</v>
      </c>
      <c r="E810" t="s">
        <v>656</v>
      </c>
      <c r="F810" t="s">
        <v>657</v>
      </c>
      <c r="G810" t="s">
        <v>658</v>
      </c>
      <c r="H810" t="s">
        <v>34</v>
      </c>
      <c r="I810" t="s">
        <v>34</v>
      </c>
      <c r="J810">
        <v>36007.910000000003</v>
      </c>
      <c r="K810">
        <v>36007.910000000003</v>
      </c>
      <c r="M810">
        <v>19665.13</v>
      </c>
      <c r="N810">
        <v>19665.13</v>
      </c>
      <c r="P810">
        <v>26056.3</v>
      </c>
    </row>
    <row r="811" spans="1:16" x14ac:dyDescent="0.25">
      <c r="A811">
        <v>2020</v>
      </c>
      <c r="B811">
        <v>12</v>
      </c>
      <c r="C811" t="s">
        <v>401</v>
      </c>
      <c r="D811" t="s">
        <v>402</v>
      </c>
      <c r="E811" t="s">
        <v>403</v>
      </c>
      <c r="F811" t="s">
        <v>651</v>
      </c>
      <c r="G811" t="s">
        <v>652</v>
      </c>
      <c r="H811" t="s">
        <v>34</v>
      </c>
      <c r="I811" t="s">
        <v>34</v>
      </c>
      <c r="J811">
        <v>30730.59</v>
      </c>
      <c r="K811">
        <v>30730.59</v>
      </c>
      <c r="M811">
        <v>15577.87</v>
      </c>
      <c r="N811">
        <v>15577.87</v>
      </c>
      <c r="P811">
        <v>20640.68</v>
      </c>
    </row>
    <row r="812" spans="1:16" x14ac:dyDescent="0.25">
      <c r="A812">
        <v>2020</v>
      </c>
      <c r="B812">
        <v>12</v>
      </c>
      <c r="C812" t="s">
        <v>401</v>
      </c>
      <c r="D812" t="s">
        <v>647</v>
      </c>
      <c r="E812" t="s">
        <v>648</v>
      </c>
      <c r="F812" t="s">
        <v>649</v>
      </c>
      <c r="G812" t="s">
        <v>650</v>
      </c>
      <c r="H812" t="s">
        <v>34</v>
      </c>
      <c r="I812" t="s">
        <v>34</v>
      </c>
      <c r="J812">
        <v>32033.08</v>
      </c>
      <c r="K812">
        <v>32033.08</v>
      </c>
      <c r="M812">
        <v>17059.62</v>
      </c>
      <c r="N812">
        <v>17059.62</v>
      </c>
      <c r="P812">
        <v>22603.99</v>
      </c>
    </row>
    <row r="813" spans="1:16" x14ac:dyDescent="0.25">
      <c r="A813">
        <v>2020</v>
      </c>
      <c r="B813">
        <v>12</v>
      </c>
      <c r="C813" t="s">
        <v>401</v>
      </c>
      <c r="D813" t="s">
        <v>402</v>
      </c>
      <c r="E813" t="s">
        <v>403</v>
      </c>
      <c r="F813" t="s">
        <v>653</v>
      </c>
      <c r="G813" t="s">
        <v>654</v>
      </c>
      <c r="H813" t="s">
        <v>34</v>
      </c>
      <c r="I813" t="s">
        <v>34</v>
      </c>
      <c r="J813">
        <v>3598.43</v>
      </c>
      <c r="K813">
        <v>3598.43</v>
      </c>
      <c r="M813">
        <v>129.52000000000001</v>
      </c>
      <c r="N813">
        <v>129.52000000000001</v>
      </c>
      <c r="P813">
        <v>171.61</v>
      </c>
    </row>
    <row r="814" spans="1:16" x14ac:dyDescent="0.25">
      <c r="A814">
        <v>2020</v>
      </c>
      <c r="B814">
        <v>12</v>
      </c>
      <c r="C814" t="s">
        <v>321</v>
      </c>
      <c r="D814" t="s">
        <v>568</v>
      </c>
      <c r="E814" t="s">
        <v>569</v>
      </c>
      <c r="F814" t="s">
        <v>570</v>
      </c>
      <c r="G814" t="s">
        <v>571</v>
      </c>
      <c r="H814" t="s">
        <v>34</v>
      </c>
      <c r="I814" t="s">
        <v>34</v>
      </c>
      <c r="J814">
        <v>1360573.77</v>
      </c>
      <c r="K814">
        <v>1360573.77</v>
      </c>
      <c r="M814">
        <v>134814.60999999999</v>
      </c>
      <c r="N814">
        <v>134814.60999999999</v>
      </c>
      <c r="P814">
        <v>178629.36</v>
      </c>
    </row>
    <row r="815" spans="1:16" x14ac:dyDescent="0.25">
      <c r="A815">
        <v>2020</v>
      </c>
      <c r="B815">
        <v>12</v>
      </c>
      <c r="C815" t="s">
        <v>327</v>
      </c>
      <c r="D815" t="s">
        <v>328</v>
      </c>
      <c r="E815" t="s">
        <v>329</v>
      </c>
      <c r="F815" t="s">
        <v>572</v>
      </c>
      <c r="G815" t="s">
        <v>573</v>
      </c>
      <c r="H815" t="s">
        <v>34</v>
      </c>
      <c r="I815" t="s">
        <v>34</v>
      </c>
      <c r="J815">
        <v>159617.06</v>
      </c>
      <c r="K815">
        <v>159617.06</v>
      </c>
      <c r="M815">
        <v>14011.92</v>
      </c>
      <c r="N815">
        <v>14011.92</v>
      </c>
      <c r="P815">
        <v>18565.79</v>
      </c>
    </row>
    <row r="816" spans="1:16" x14ac:dyDescent="0.25">
      <c r="A816">
        <v>2020</v>
      </c>
      <c r="B816">
        <v>12</v>
      </c>
      <c r="C816" t="s">
        <v>330</v>
      </c>
      <c r="D816" t="s">
        <v>601</v>
      </c>
      <c r="E816" t="s">
        <v>602</v>
      </c>
      <c r="F816" t="s">
        <v>603</v>
      </c>
      <c r="G816" t="s">
        <v>604</v>
      </c>
      <c r="H816" t="s">
        <v>34</v>
      </c>
      <c r="I816" t="s">
        <v>34</v>
      </c>
      <c r="J816">
        <v>12210.67</v>
      </c>
      <c r="K816">
        <v>12210.67</v>
      </c>
      <c r="M816">
        <v>3598.68</v>
      </c>
      <c r="N816">
        <v>3598.68</v>
      </c>
      <c r="P816">
        <v>4768.25</v>
      </c>
    </row>
    <row r="817" spans="1:16" x14ac:dyDescent="0.25">
      <c r="A817">
        <v>2020</v>
      </c>
      <c r="B817">
        <v>12</v>
      </c>
      <c r="C817" t="s">
        <v>330</v>
      </c>
      <c r="D817" t="s">
        <v>593</v>
      </c>
      <c r="E817" t="s">
        <v>594</v>
      </c>
      <c r="F817" t="s">
        <v>595</v>
      </c>
      <c r="G817" t="s">
        <v>596</v>
      </c>
      <c r="H817" t="s">
        <v>34</v>
      </c>
      <c r="I817" t="s">
        <v>34</v>
      </c>
      <c r="J817">
        <v>18790.03</v>
      </c>
      <c r="K817">
        <v>18790.03</v>
      </c>
      <c r="M817">
        <v>4699.62</v>
      </c>
      <c r="N817">
        <v>4699.62</v>
      </c>
      <c r="P817">
        <v>6226.99</v>
      </c>
    </row>
    <row r="818" spans="1:16" x14ac:dyDescent="0.25">
      <c r="A818">
        <v>2020</v>
      </c>
      <c r="B818">
        <v>12</v>
      </c>
      <c r="C818" t="s">
        <v>330</v>
      </c>
      <c r="D818" t="s">
        <v>597</v>
      </c>
      <c r="E818" t="s">
        <v>598</v>
      </c>
      <c r="F818" t="s">
        <v>599</v>
      </c>
      <c r="G818" t="s">
        <v>600</v>
      </c>
      <c r="H818" t="s">
        <v>34</v>
      </c>
      <c r="I818" t="s">
        <v>34</v>
      </c>
      <c r="J818">
        <v>16246.03</v>
      </c>
      <c r="K818">
        <v>16246.03</v>
      </c>
      <c r="M818">
        <v>4836.6099999999997</v>
      </c>
      <c r="N818">
        <v>4836.6099999999997</v>
      </c>
      <c r="P818">
        <v>6408.51</v>
      </c>
    </row>
    <row r="819" spans="1:16" x14ac:dyDescent="0.25">
      <c r="A819">
        <v>2020</v>
      </c>
      <c r="B819">
        <v>12</v>
      </c>
      <c r="C819" t="s">
        <v>330</v>
      </c>
      <c r="D819" t="s">
        <v>331</v>
      </c>
      <c r="E819" t="s">
        <v>332</v>
      </c>
      <c r="F819" t="s">
        <v>605</v>
      </c>
      <c r="G819" t="s">
        <v>606</v>
      </c>
      <c r="H819" t="s">
        <v>34</v>
      </c>
      <c r="I819" t="s">
        <v>34</v>
      </c>
      <c r="J819">
        <v>2278.9699999999998</v>
      </c>
      <c r="K819">
        <v>2278.9699999999998</v>
      </c>
      <c r="M819">
        <v>889.74</v>
      </c>
      <c r="N819">
        <v>889.74</v>
      </c>
      <c r="P819">
        <v>1178.9100000000001</v>
      </c>
    </row>
    <row r="820" spans="1:16" x14ac:dyDescent="0.25">
      <c r="A820">
        <v>2020</v>
      </c>
      <c r="B820">
        <v>12</v>
      </c>
      <c r="C820" t="s">
        <v>340</v>
      </c>
      <c r="D820" t="s">
        <v>671</v>
      </c>
      <c r="E820" t="s">
        <v>672</v>
      </c>
      <c r="F820" t="s">
        <v>673</v>
      </c>
      <c r="G820" t="s">
        <v>674</v>
      </c>
      <c r="H820" t="s">
        <v>34</v>
      </c>
      <c r="I820" t="s">
        <v>34</v>
      </c>
      <c r="J820">
        <v>10153.77</v>
      </c>
      <c r="K820">
        <v>10153.77</v>
      </c>
      <c r="M820">
        <v>5852.14</v>
      </c>
      <c r="N820">
        <v>5852.14</v>
      </c>
      <c r="P820">
        <v>7754.08</v>
      </c>
    </row>
    <row r="821" spans="1:16" x14ac:dyDescent="0.25">
      <c r="A821">
        <v>2020</v>
      </c>
      <c r="B821">
        <v>12</v>
      </c>
      <c r="C821" t="s">
        <v>355</v>
      </c>
      <c r="D821" t="s">
        <v>356</v>
      </c>
      <c r="E821" t="s">
        <v>357</v>
      </c>
      <c r="F821" t="s">
        <v>578</v>
      </c>
      <c r="G821" t="s">
        <v>579</v>
      </c>
      <c r="H821" t="s">
        <v>34</v>
      </c>
      <c r="I821" t="s">
        <v>34</v>
      </c>
      <c r="J821">
        <v>0.49</v>
      </c>
      <c r="K821">
        <v>0.49</v>
      </c>
      <c r="M821">
        <v>0</v>
      </c>
    </row>
    <row r="822" spans="1:16" x14ac:dyDescent="0.25">
      <c r="A822">
        <v>2020</v>
      </c>
      <c r="B822">
        <v>12</v>
      </c>
      <c r="C822" t="s">
        <v>289</v>
      </c>
      <c r="D822" t="s">
        <v>607</v>
      </c>
      <c r="E822" t="s">
        <v>608</v>
      </c>
      <c r="F822" t="s">
        <v>609</v>
      </c>
      <c r="G822" t="s">
        <v>610</v>
      </c>
      <c r="H822" t="s">
        <v>34</v>
      </c>
      <c r="I822" t="s">
        <v>34</v>
      </c>
      <c r="J822">
        <v>166817.68</v>
      </c>
      <c r="K822">
        <v>166817.68</v>
      </c>
      <c r="M822">
        <v>41906.050000000003</v>
      </c>
      <c r="N822">
        <v>41906.050000000003</v>
      </c>
      <c r="P822">
        <v>55525.51</v>
      </c>
    </row>
    <row r="823" spans="1:16" x14ac:dyDescent="0.25">
      <c r="A823">
        <v>2020</v>
      </c>
      <c r="B823">
        <v>12</v>
      </c>
      <c r="C823" t="s">
        <v>289</v>
      </c>
      <c r="D823" t="s">
        <v>611</v>
      </c>
      <c r="E823" t="s">
        <v>615</v>
      </c>
      <c r="F823" t="s">
        <v>613</v>
      </c>
      <c r="G823" t="s">
        <v>616</v>
      </c>
      <c r="H823" t="s">
        <v>34</v>
      </c>
      <c r="I823" t="s">
        <v>34</v>
      </c>
      <c r="J823">
        <v>124460.84</v>
      </c>
      <c r="K823">
        <v>124460.84</v>
      </c>
      <c r="M823">
        <v>29255.29</v>
      </c>
      <c r="N823">
        <v>29255.29</v>
      </c>
      <c r="P823">
        <v>38763.26</v>
      </c>
    </row>
    <row r="824" spans="1:16" x14ac:dyDescent="0.25">
      <c r="A824">
        <v>2020</v>
      </c>
      <c r="B824">
        <v>12</v>
      </c>
      <c r="C824" t="s">
        <v>675</v>
      </c>
      <c r="D824" t="s">
        <v>679</v>
      </c>
      <c r="E824" t="s">
        <v>680</v>
      </c>
      <c r="F824" t="s">
        <v>681</v>
      </c>
      <c r="G824" t="s">
        <v>682</v>
      </c>
      <c r="H824" t="s">
        <v>34</v>
      </c>
      <c r="I824" t="s">
        <v>34</v>
      </c>
      <c r="J824">
        <v>9506.02</v>
      </c>
      <c r="K824">
        <v>9506.02</v>
      </c>
      <c r="M824">
        <v>9506.02</v>
      </c>
      <c r="N824">
        <v>9506.02</v>
      </c>
      <c r="P824">
        <v>12595.48</v>
      </c>
    </row>
    <row r="825" spans="1:16" x14ac:dyDescent="0.25">
      <c r="A825">
        <v>2020</v>
      </c>
      <c r="B825">
        <v>12</v>
      </c>
      <c r="C825" t="s">
        <v>675</v>
      </c>
      <c r="D825" t="s">
        <v>676</v>
      </c>
      <c r="E825" t="s">
        <v>677</v>
      </c>
      <c r="F825" t="s">
        <v>683</v>
      </c>
      <c r="G825" t="s">
        <v>684</v>
      </c>
      <c r="H825" t="s">
        <v>34</v>
      </c>
      <c r="I825" t="s">
        <v>34</v>
      </c>
      <c r="J825">
        <v>7836.91</v>
      </c>
      <c r="K825">
        <v>7836.91</v>
      </c>
      <c r="M825">
        <v>7836.91</v>
      </c>
      <c r="N825">
        <v>7836.91</v>
      </c>
      <c r="P825">
        <v>10383.91</v>
      </c>
    </row>
    <row r="826" spans="1:16" x14ac:dyDescent="0.25">
      <c r="A826">
        <v>2020</v>
      </c>
      <c r="B826">
        <v>12</v>
      </c>
      <c r="C826" t="s">
        <v>675</v>
      </c>
      <c r="D826" t="s">
        <v>685</v>
      </c>
      <c r="E826" t="s">
        <v>686</v>
      </c>
      <c r="F826" t="s">
        <v>687</v>
      </c>
      <c r="G826" t="s">
        <v>688</v>
      </c>
      <c r="H826" t="s">
        <v>34</v>
      </c>
      <c r="I826" t="s">
        <v>34</v>
      </c>
      <c r="J826">
        <v>7836.78</v>
      </c>
      <c r="K826">
        <v>7836.78</v>
      </c>
      <c r="M826">
        <v>7836.78</v>
      </c>
      <c r="N826">
        <v>7836.78</v>
      </c>
      <c r="P826">
        <v>10383.74</v>
      </c>
    </row>
    <row r="827" spans="1:16" x14ac:dyDescent="0.25">
      <c r="A827">
        <v>2020</v>
      </c>
      <c r="B827">
        <v>12</v>
      </c>
      <c r="C827" t="s">
        <v>675</v>
      </c>
      <c r="D827" t="s">
        <v>689</v>
      </c>
      <c r="E827" t="s">
        <v>690</v>
      </c>
      <c r="F827" t="s">
        <v>691</v>
      </c>
      <c r="G827" t="s">
        <v>692</v>
      </c>
      <c r="H827" t="s">
        <v>34</v>
      </c>
      <c r="I827" t="s">
        <v>34</v>
      </c>
      <c r="J827">
        <v>7118.89</v>
      </c>
      <c r="K827">
        <v>7118.89</v>
      </c>
      <c r="M827">
        <v>7118.89</v>
      </c>
      <c r="N827">
        <v>7118.89</v>
      </c>
      <c r="P827">
        <v>9432.5300000000007</v>
      </c>
    </row>
    <row r="828" spans="1:16" x14ac:dyDescent="0.25">
      <c r="A828">
        <v>2020</v>
      </c>
      <c r="B828">
        <v>12</v>
      </c>
      <c r="C828" t="s">
        <v>675</v>
      </c>
      <c r="D828" t="s">
        <v>693</v>
      </c>
      <c r="E828" t="s">
        <v>694</v>
      </c>
      <c r="F828" t="s">
        <v>695</v>
      </c>
      <c r="G828" t="s">
        <v>696</v>
      </c>
      <c r="H828" t="s">
        <v>34</v>
      </c>
      <c r="I828" t="s">
        <v>34</v>
      </c>
      <c r="J828">
        <v>9512.3700000000008</v>
      </c>
      <c r="K828">
        <v>9512.3700000000008</v>
      </c>
      <c r="M828">
        <v>9512.3700000000008</v>
      </c>
      <c r="N828">
        <v>9512.3700000000008</v>
      </c>
      <c r="P828">
        <v>12603.89</v>
      </c>
    </row>
    <row r="829" spans="1:16" x14ac:dyDescent="0.25">
      <c r="A829">
        <v>2020</v>
      </c>
      <c r="B829">
        <v>12</v>
      </c>
      <c r="C829" t="s">
        <v>675</v>
      </c>
      <c r="D829" t="s">
        <v>676</v>
      </c>
      <c r="E829" t="s">
        <v>677</v>
      </c>
      <c r="F829" t="s">
        <v>697</v>
      </c>
      <c r="G829" t="s">
        <v>698</v>
      </c>
      <c r="H829" t="s">
        <v>34</v>
      </c>
      <c r="I829" t="s">
        <v>34</v>
      </c>
      <c r="J829">
        <v>2792.14</v>
      </c>
      <c r="K829">
        <v>2792.14</v>
      </c>
      <c r="M829">
        <v>2792.14</v>
      </c>
      <c r="N829">
        <v>2792.14</v>
      </c>
      <c r="P829">
        <v>3699.58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49"/>
  <sheetViews>
    <sheetView topLeftCell="A37" workbookViewId="0">
      <selection activeCell="A49" sqref="A49:F49"/>
    </sheetView>
  </sheetViews>
  <sheetFormatPr defaultRowHeight="13.8" x14ac:dyDescent="0.25"/>
  <cols>
    <col min="5" max="5" width="10.5546875" bestFit="1" customWidth="1"/>
    <col min="6" max="6" width="11.109375" bestFit="1" customWidth="1"/>
  </cols>
  <sheetData>
    <row r="1" spans="1:6" ht="43.8" thickBot="1" x14ac:dyDescent="0.3">
      <c r="A1" s="45" t="s">
        <v>145</v>
      </c>
      <c r="B1" s="46" t="s">
        <v>146</v>
      </c>
      <c r="C1" s="46" t="s">
        <v>147</v>
      </c>
      <c r="D1" s="46" t="s">
        <v>169</v>
      </c>
      <c r="E1" s="46" t="s">
        <v>150</v>
      </c>
      <c r="F1" s="47" t="s">
        <v>151</v>
      </c>
    </row>
    <row r="2" spans="1:6" ht="29.4" thickBot="1" x14ac:dyDescent="0.3">
      <c r="A2" s="44">
        <v>2018</v>
      </c>
      <c r="B2" s="48">
        <v>1</v>
      </c>
      <c r="C2" s="48" t="s">
        <v>18</v>
      </c>
      <c r="D2" s="48" t="s">
        <v>171</v>
      </c>
      <c r="E2" s="49">
        <v>210495.15</v>
      </c>
      <c r="F2" s="50">
        <f>SUM($E$2:E2)</f>
        <v>210495.15</v>
      </c>
    </row>
    <row r="3" spans="1:6" ht="29.4" thickBot="1" x14ac:dyDescent="0.3">
      <c r="A3" s="44">
        <v>2018</v>
      </c>
      <c r="B3" s="48">
        <v>2</v>
      </c>
      <c r="C3" s="48" t="s">
        <v>18</v>
      </c>
      <c r="D3" s="48" t="s">
        <v>171</v>
      </c>
      <c r="E3" s="49">
        <v>202269.24</v>
      </c>
      <c r="F3" s="50">
        <f>SUM($E$2:E3)</f>
        <v>412764.39</v>
      </c>
    </row>
    <row r="4" spans="1:6" ht="29.4" thickBot="1" x14ac:dyDescent="0.3">
      <c r="A4" s="44">
        <v>2018</v>
      </c>
      <c r="B4" s="48">
        <v>3</v>
      </c>
      <c r="C4" s="48" t="s">
        <v>18</v>
      </c>
      <c r="D4" s="48" t="s">
        <v>171</v>
      </c>
      <c r="E4" s="49">
        <v>251514.55</v>
      </c>
      <c r="F4" s="50">
        <f>SUM($E$2:E4)</f>
        <v>664278.93999999994</v>
      </c>
    </row>
    <row r="5" spans="1:6" ht="29.4" thickBot="1" x14ac:dyDescent="0.3">
      <c r="A5" s="44">
        <v>2018</v>
      </c>
      <c r="B5" s="48">
        <v>4</v>
      </c>
      <c r="C5" s="48" t="s">
        <v>18</v>
      </c>
      <c r="D5" s="48" t="s">
        <v>171</v>
      </c>
      <c r="E5" s="49">
        <v>1895175.44</v>
      </c>
      <c r="F5" s="50">
        <f>SUM($E$2:E5)</f>
        <v>2559454.38</v>
      </c>
    </row>
    <row r="6" spans="1:6" ht="29.4" thickBot="1" x14ac:dyDescent="0.3">
      <c r="A6" s="44">
        <v>2018</v>
      </c>
      <c r="B6" s="48">
        <v>5</v>
      </c>
      <c r="C6" s="48" t="s">
        <v>18</v>
      </c>
      <c r="D6" s="48" t="s">
        <v>171</v>
      </c>
      <c r="E6" s="49">
        <v>280717.86</v>
      </c>
      <c r="F6" s="50">
        <f>SUM($E$2:E6)</f>
        <v>2840172.2399999998</v>
      </c>
    </row>
    <row r="7" spans="1:6" ht="29.4" thickBot="1" x14ac:dyDescent="0.3">
      <c r="A7" s="44">
        <v>2018</v>
      </c>
      <c r="B7" s="48">
        <v>6</v>
      </c>
      <c r="C7" s="48" t="s">
        <v>18</v>
      </c>
      <c r="D7" s="48" t="s">
        <v>171</v>
      </c>
      <c r="E7" s="49">
        <v>261849.85</v>
      </c>
      <c r="F7" s="50">
        <f>SUM($E$2:E7)</f>
        <v>3102022.09</v>
      </c>
    </row>
    <row r="8" spans="1:6" ht="29.4" thickBot="1" x14ac:dyDescent="0.3">
      <c r="A8" s="44">
        <v>2018</v>
      </c>
      <c r="B8" s="48">
        <v>7</v>
      </c>
      <c r="C8" s="48" t="s">
        <v>18</v>
      </c>
      <c r="D8" s="48" t="s">
        <v>171</v>
      </c>
      <c r="E8" s="49">
        <v>262612.32</v>
      </c>
      <c r="F8" s="50">
        <f>SUM($E$2:E8)</f>
        <v>3364634.4099999997</v>
      </c>
    </row>
    <row r="9" spans="1:6" ht="29.4" thickBot="1" x14ac:dyDescent="0.3">
      <c r="A9" s="44">
        <v>2018</v>
      </c>
      <c r="B9" s="48">
        <v>8</v>
      </c>
      <c r="C9" s="48" t="s">
        <v>18</v>
      </c>
      <c r="D9" s="48" t="s">
        <v>171</v>
      </c>
      <c r="E9" s="49">
        <v>252123.04</v>
      </c>
      <c r="F9" s="50">
        <f>SUM($E$2:E9)</f>
        <v>3616757.4499999997</v>
      </c>
    </row>
    <row r="10" spans="1:6" ht="29.4" thickBot="1" x14ac:dyDescent="0.3">
      <c r="A10" s="44">
        <v>2018</v>
      </c>
      <c r="B10" s="48">
        <v>9</v>
      </c>
      <c r="C10" s="48" t="s">
        <v>18</v>
      </c>
      <c r="D10" s="48" t="s">
        <v>171</v>
      </c>
      <c r="E10" s="49">
        <v>246196.34</v>
      </c>
      <c r="F10" s="50">
        <f>SUM($E$2:E10)</f>
        <v>3862953.7899999996</v>
      </c>
    </row>
    <row r="11" spans="1:6" ht="43.2" x14ac:dyDescent="0.25">
      <c r="A11" s="4" t="s">
        <v>251</v>
      </c>
      <c r="B11" s="4" t="s">
        <v>252</v>
      </c>
      <c r="C11" s="4" t="s">
        <v>18</v>
      </c>
      <c r="D11" s="4" t="s">
        <v>253</v>
      </c>
      <c r="E11" s="6">
        <v>2760190.93</v>
      </c>
      <c r="F11" s="6">
        <v>6623144.7199999997</v>
      </c>
    </row>
    <row r="12" spans="1:6" ht="43.2" x14ac:dyDescent="0.25">
      <c r="A12" s="4" t="s">
        <v>251</v>
      </c>
      <c r="B12" s="4" t="s">
        <v>254</v>
      </c>
      <c r="C12" s="4" t="s">
        <v>18</v>
      </c>
      <c r="D12" s="4" t="s">
        <v>253</v>
      </c>
      <c r="E12" s="6">
        <v>963445.4</v>
      </c>
      <c r="F12" s="6">
        <v>7586590.1200000001</v>
      </c>
    </row>
    <row r="13" spans="1:6" ht="43.2" x14ac:dyDescent="0.25">
      <c r="A13" s="4" t="s">
        <v>251</v>
      </c>
      <c r="B13" s="4" t="s">
        <v>255</v>
      </c>
      <c r="C13" s="4" t="s">
        <v>18</v>
      </c>
      <c r="D13" s="4" t="s">
        <v>253</v>
      </c>
      <c r="E13" s="6">
        <v>517329.67</v>
      </c>
      <c r="F13" s="6">
        <v>8103919.79</v>
      </c>
    </row>
    <row r="14" spans="1:6" ht="43.2" x14ac:dyDescent="0.25">
      <c r="A14" s="4">
        <v>2019</v>
      </c>
      <c r="B14" s="4" t="s">
        <v>75</v>
      </c>
      <c r="C14" s="4" t="s">
        <v>18</v>
      </c>
      <c r="D14" s="4" t="s">
        <v>253</v>
      </c>
      <c r="E14" s="6">
        <v>237966.97</v>
      </c>
      <c r="F14" s="6">
        <v>237966.97</v>
      </c>
    </row>
    <row r="15" spans="1:6" ht="43.2" x14ac:dyDescent="0.25">
      <c r="A15" s="4" t="s">
        <v>257</v>
      </c>
      <c r="B15" s="4" t="s">
        <v>258</v>
      </c>
      <c r="C15" s="4" t="s">
        <v>18</v>
      </c>
      <c r="D15" s="4" t="s">
        <v>253</v>
      </c>
      <c r="E15" s="6">
        <v>3075236.03</v>
      </c>
      <c r="F15" s="6">
        <v>3313203</v>
      </c>
    </row>
    <row r="16" spans="1:6" ht="43.2" x14ac:dyDescent="0.25">
      <c r="A16" s="4" t="s">
        <v>257</v>
      </c>
      <c r="B16" s="4" t="s">
        <v>17</v>
      </c>
      <c r="C16" s="4" t="s">
        <v>18</v>
      </c>
      <c r="D16" s="4" t="s">
        <v>253</v>
      </c>
      <c r="E16" s="6">
        <v>1131757.92</v>
      </c>
      <c r="F16" s="6">
        <v>4444960.92</v>
      </c>
    </row>
    <row r="17" spans="1:6" ht="43.2" x14ac:dyDescent="0.25">
      <c r="A17" s="4" t="s">
        <v>261</v>
      </c>
      <c r="B17" s="4" t="s">
        <v>75</v>
      </c>
      <c r="C17" s="4" t="s">
        <v>18</v>
      </c>
      <c r="D17" s="4" t="s">
        <v>253</v>
      </c>
      <c r="E17" s="6">
        <v>73262.77</v>
      </c>
      <c r="F17" s="6">
        <v>73262.77</v>
      </c>
    </row>
    <row r="18" spans="1:6" ht="43.2" x14ac:dyDescent="0.25">
      <c r="A18" s="4" t="s">
        <v>261</v>
      </c>
      <c r="B18" s="4" t="s">
        <v>258</v>
      </c>
      <c r="C18" s="4" t="s">
        <v>18</v>
      </c>
      <c r="D18" s="4" t="s">
        <v>253</v>
      </c>
      <c r="E18" s="6">
        <v>113116.74</v>
      </c>
      <c r="F18" s="6">
        <v>186379.51</v>
      </c>
    </row>
    <row r="19" spans="1:6" ht="43.2" x14ac:dyDescent="0.25">
      <c r="A19" s="4" t="s">
        <v>261</v>
      </c>
      <c r="B19" s="4" t="s">
        <v>17</v>
      </c>
      <c r="C19" s="4" t="s">
        <v>18</v>
      </c>
      <c r="D19" s="4" t="s">
        <v>253</v>
      </c>
      <c r="E19" s="6">
        <v>85554.32</v>
      </c>
      <c r="F19" s="6">
        <v>271933.83</v>
      </c>
    </row>
    <row r="20" spans="1:6" ht="43.2" x14ac:dyDescent="0.25">
      <c r="A20" s="4" t="s">
        <v>261</v>
      </c>
      <c r="B20" s="4" t="s">
        <v>262</v>
      </c>
      <c r="C20" s="4" t="s">
        <v>18</v>
      </c>
      <c r="D20" s="4" t="s">
        <v>253</v>
      </c>
      <c r="E20" s="6">
        <v>345731.61</v>
      </c>
      <c r="F20" s="6">
        <v>617665.43999999994</v>
      </c>
    </row>
    <row r="21" spans="1:6" ht="43.2" x14ac:dyDescent="0.25">
      <c r="A21" s="4" t="s">
        <v>261</v>
      </c>
      <c r="B21" s="4" t="s">
        <v>263</v>
      </c>
      <c r="C21" s="4" t="s">
        <v>18</v>
      </c>
      <c r="D21" s="4" t="s">
        <v>253</v>
      </c>
      <c r="E21" s="6">
        <v>85028.64</v>
      </c>
      <c r="F21" s="6">
        <v>702694.08</v>
      </c>
    </row>
    <row r="22" spans="1:6" ht="43.2" x14ac:dyDescent="0.25">
      <c r="A22" s="4" t="s">
        <v>261</v>
      </c>
      <c r="B22" s="4" t="s">
        <v>264</v>
      </c>
      <c r="C22" s="4" t="s">
        <v>18</v>
      </c>
      <c r="D22" s="4" t="s">
        <v>253</v>
      </c>
      <c r="E22" s="6">
        <v>591189.54</v>
      </c>
      <c r="F22" s="6">
        <v>1293883.6200000001</v>
      </c>
    </row>
    <row r="23" spans="1:6" ht="43.2" x14ac:dyDescent="0.25">
      <c r="A23" s="4" t="s">
        <v>261</v>
      </c>
      <c r="B23" s="4" t="s">
        <v>265</v>
      </c>
      <c r="C23" s="4" t="s">
        <v>18</v>
      </c>
      <c r="D23" s="4" t="s">
        <v>253</v>
      </c>
      <c r="E23" s="6">
        <v>71950.490000000005</v>
      </c>
      <c r="F23" s="6">
        <v>1365834.11</v>
      </c>
    </row>
    <row r="24" spans="1:6" ht="43.2" x14ac:dyDescent="0.25">
      <c r="A24" s="4" t="s">
        <v>261</v>
      </c>
      <c r="B24" s="4" t="s">
        <v>266</v>
      </c>
      <c r="C24" s="4" t="s">
        <v>18</v>
      </c>
      <c r="D24" s="4" t="s">
        <v>253</v>
      </c>
      <c r="E24" s="6">
        <v>212860.61</v>
      </c>
      <c r="F24" s="6">
        <v>1578694.72</v>
      </c>
    </row>
    <row r="25" spans="1:6" ht="43.2" x14ac:dyDescent="0.25">
      <c r="A25" s="4">
        <v>2017</v>
      </c>
      <c r="B25" s="4" t="s">
        <v>267</v>
      </c>
      <c r="C25" s="4" t="s">
        <v>18</v>
      </c>
      <c r="D25" s="4" t="s">
        <v>253</v>
      </c>
      <c r="E25" s="6">
        <v>2000891.73</v>
      </c>
      <c r="F25" s="6">
        <v>3579586.45</v>
      </c>
    </row>
    <row r="26" spans="1:6" ht="43.2" x14ac:dyDescent="0.25">
      <c r="A26" s="4" t="s">
        <v>261</v>
      </c>
      <c r="B26" s="4" t="s">
        <v>252</v>
      </c>
      <c r="C26" s="4" t="s">
        <v>18</v>
      </c>
      <c r="D26" s="4" t="s">
        <v>253</v>
      </c>
      <c r="E26" s="6">
        <v>376274.22</v>
      </c>
      <c r="F26" s="6">
        <v>3955860.67</v>
      </c>
    </row>
    <row r="27" spans="1:6" ht="43.2" x14ac:dyDescent="0.25">
      <c r="A27" s="4" t="s">
        <v>261</v>
      </c>
      <c r="B27" s="4" t="s">
        <v>254</v>
      </c>
      <c r="C27" s="4" t="s">
        <v>18</v>
      </c>
      <c r="D27" s="4" t="s">
        <v>253</v>
      </c>
      <c r="E27" s="6">
        <v>228610.42</v>
      </c>
      <c r="F27" s="6">
        <v>4184471.09</v>
      </c>
    </row>
    <row r="28" spans="1:6" ht="43.2" x14ac:dyDescent="0.25">
      <c r="A28" s="4" t="s">
        <v>261</v>
      </c>
      <c r="B28" s="4" t="s">
        <v>255</v>
      </c>
      <c r="C28" s="4" t="s">
        <v>18</v>
      </c>
      <c r="D28" s="4" t="s">
        <v>253</v>
      </c>
      <c r="E28" s="6">
        <v>1323236.94</v>
      </c>
      <c r="F28" s="6">
        <v>5507708.0300000003</v>
      </c>
    </row>
    <row r="29" spans="1:6" ht="43.2" x14ac:dyDescent="0.25">
      <c r="A29" s="4" t="s">
        <v>257</v>
      </c>
      <c r="B29" s="4" t="s">
        <v>262</v>
      </c>
      <c r="C29" s="4" t="s">
        <v>18</v>
      </c>
      <c r="D29" s="4" t="s">
        <v>253</v>
      </c>
      <c r="E29" s="6">
        <v>3408346.92</v>
      </c>
      <c r="F29" s="6">
        <v>6685179.1200000001</v>
      </c>
    </row>
    <row r="30" spans="1:6" ht="43.2" x14ac:dyDescent="0.25">
      <c r="A30" s="4" t="s">
        <v>257</v>
      </c>
      <c r="B30" s="4" t="s">
        <v>263</v>
      </c>
      <c r="C30" s="4" t="s">
        <v>18</v>
      </c>
      <c r="D30" s="4" t="s">
        <v>253</v>
      </c>
      <c r="E30" s="6">
        <v>965785.57</v>
      </c>
      <c r="F30" s="6">
        <v>7650964.6900000004</v>
      </c>
    </row>
    <row r="31" spans="1:6" ht="43.2" x14ac:dyDescent="0.25">
      <c r="A31" s="4" t="s">
        <v>257</v>
      </c>
      <c r="B31" s="4" t="s">
        <v>264</v>
      </c>
      <c r="C31" s="4" t="s">
        <v>18</v>
      </c>
      <c r="D31" s="4" t="s">
        <v>253</v>
      </c>
      <c r="E31" s="6">
        <v>454142.97</v>
      </c>
      <c r="F31" s="6">
        <v>8105107.6600000001</v>
      </c>
    </row>
    <row r="32" spans="1:6" ht="43.2" x14ac:dyDescent="0.25">
      <c r="A32" s="4" t="s">
        <v>257</v>
      </c>
      <c r="B32" s="4" t="s">
        <v>265</v>
      </c>
      <c r="C32" s="4" t="s">
        <v>18</v>
      </c>
      <c r="D32" s="4" t="s">
        <v>253</v>
      </c>
      <c r="E32" s="6">
        <v>681642.1</v>
      </c>
      <c r="F32" s="6">
        <v>8786749.7599999998</v>
      </c>
    </row>
    <row r="33" spans="1:6" ht="43.2" x14ac:dyDescent="0.25">
      <c r="A33" s="4" t="s">
        <v>257</v>
      </c>
      <c r="B33" s="4" t="s">
        <v>266</v>
      </c>
      <c r="C33" s="4" t="s">
        <v>18</v>
      </c>
      <c r="D33" s="4" t="s">
        <v>253</v>
      </c>
      <c r="E33" s="6">
        <v>851811.65</v>
      </c>
      <c r="F33" s="6">
        <v>9638561.4100000001</v>
      </c>
    </row>
    <row r="34" spans="1:6" ht="43.2" x14ac:dyDescent="0.25">
      <c r="A34" s="4" t="s">
        <v>257</v>
      </c>
      <c r="B34" s="4" t="s">
        <v>267</v>
      </c>
      <c r="C34" s="4" t="s">
        <v>18</v>
      </c>
      <c r="D34" s="4" t="s">
        <v>253</v>
      </c>
      <c r="E34" s="6">
        <v>1407627.56</v>
      </c>
      <c r="F34" s="6">
        <v>11046188.970000001</v>
      </c>
    </row>
    <row r="35" spans="1:6" ht="43.2" x14ac:dyDescent="0.25">
      <c r="A35" s="4" t="s">
        <v>257</v>
      </c>
      <c r="B35" s="4" t="s">
        <v>252</v>
      </c>
      <c r="C35" s="4" t="s">
        <v>18</v>
      </c>
      <c r="D35" s="4" t="s">
        <v>253</v>
      </c>
      <c r="E35" s="6">
        <v>1005614.97</v>
      </c>
      <c r="F35" s="6">
        <v>12051803.939999999</v>
      </c>
    </row>
    <row r="36" spans="1:6" ht="43.2" x14ac:dyDescent="0.25">
      <c r="A36" s="4" t="s">
        <v>257</v>
      </c>
      <c r="B36" s="4" t="s">
        <v>254</v>
      </c>
      <c r="C36" s="4" t="s">
        <v>18</v>
      </c>
      <c r="D36" s="4" t="s">
        <v>253</v>
      </c>
      <c r="E36" s="6">
        <v>912687.07</v>
      </c>
      <c r="F36" s="6">
        <v>12964491.01</v>
      </c>
    </row>
    <row r="37" spans="1:6" ht="43.2" x14ac:dyDescent="0.25">
      <c r="A37" s="4" t="s">
        <v>257</v>
      </c>
      <c r="B37" s="4" t="s">
        <v>255</v>
      </c>
      <c r="C37" s="4" t="s">
        <v>18</v>
      </c>
      <c r="D37" s="4" t="s">
        <v>253</v>
      </c>
      <c r="E37" s="6">
        <v>427264.67</v>
      </c>
      <c r="F37" s="6">
        <v>13391755.68</v>
      </c>
    </row>
    <row r="38" spans="1:6" x14ac:dyDescent="0.25">
      <c r="A38">
        <v>2020</v>
      </c>
      <c r="B38">
        <v>1</v>
      </c>
      <c r="C38" t="s">
        <v>18</v>
      </c>
      <c r="D38" t="s">
        <v>253</v>
      </c>
      <c r="E38">
        <v>223600.7</v>
      </c>
      <c r="F38">
        <v>223600.7</v>
      </c>
    </row>
    <row r="39" spans="1:6" x14ac:dyDescent="0.25">
      <c r="A39">
        <v>2020</v>
      </c>
      <c r="B39">
        <v>2</v>
      </c>
      <c r="C39" t="s">
        <v>18</v>
      </c>
      <c r="D39" t="s">
        <v>253</v>
      </c>
      <c r="E39">
        <v>2225243.7200000002</v>
      </c>
      <c r="F39">
        <v>2448844.42</v>
      </c>
    </row>
    <row r="40" spans="1:6" x14ac:dyDescent="0.25">
      <c r="A40">
        <v>2020</v>
      </c>
      <c r="B40">
        <v>3</v>
      </c>
      <c r="C40" t="s">
        <v>18</v>
      </c>
      <c r="D40" t="s">
        <v>253</v>
      </c>
      <c r="E40">
        <v>449175.32</v>
      </c>
      <c r="F40">
        <v>2898019.74</v>
      </c>
    </row>
    <row r="41" spans="1:6" x14ac:dyDescent="0.25">
      <c r="A41">
        <v>2020</v>
      </c>
      <c r="B41">
        <v>4</v>
      </c>
      <c r="C41" t="s">
        <v>18</v>
      </c>
      <c r="D41" t="s">
        <v>253</v>
      </c>
      <c r="E41">
        <v>500104.09</v>
      </c>
      <c r="F41">
        <v>3398123.83</v>
      </c>
    </row>
    <row r="42" spans="1:6" x14ac:dyDescent="0.25">
      <c r="A42">
        <v>2020</v>
      </c>
      <c r="B42">
        <v>5</v>
      </c>
      <c r="C42" t="s">
        <v>18</v>
      </c>
      <c r="D42" t="s">
        <v>253</v>
      </c>
      <c r="E42">
        <v>1361853.51</v>
      </c>
      <c r="F42">
        <v>4759977.34</v>
      </c>
    </row>
    <row r="43" spans="1:6" x14ac:dyDescent="0.25">
      <c r="A43">
        <v>2020</v>
      </c>
      <c r="B43">
        <v>6</v>
      </c>
      <c r="C43" t="s">
        <v>18</v>
      </c>
      <c r="D43" t="s">
        <v>253</v>
      </c>
      <c r="E43">
        <v>1585810.08</v>
      </c>
      <c r="F43">
        <v>6345787.4199999999</v>
      </c>
    </row>
    <row r="44" spans="1:6" x14ac:dyDescent="0.25">
      <c r="A44">
        <v>2020</v>
      </c>
      <c r="B44">
        <v>7</v>
      </c>
      <c r="C44" t="s">
        <v>18</v>
      </c>
      <c r="D44" t="s">
        <v>253</v>
      </c>
      <c r="E44">
        <v>558580.29</v>
      </c>
      <c r="F44">
        <v>6904367.71</v>
      </c>
    </row>
    <row r="45" spans="1:6" x14ac:dyDescent="0.25">
      <c r="A45">
        <v>2020</v>
      </c>
      <c r="B45">
        <v>8</v>
      </c>
      <c r="C45" t="s">
        <v>18</v>
      </c>
      <c r="D45" t="s">
        <v>253</v>
      </c>
      <c r="E45">
        <v>585265.13</v>
      </c>
      <c r="F45">
        <v>7489632.8399999999</v>
      </c>
    </row>
    <row r="46" spans="1:6" x14ac:dyDescent="0.25">
      <c r="A46">
        <v>2020</v>
      </c>
      <c r="B46">
        <v>9</v>
      </c>
      <c r="C46" t="s">
        <v>18</v>
      </c>
      <c r="D46" t="s">
        <v>253</v>
      </c>
      <c r="E46">
        <v>576191.93000000005</v>
      </c>
      <c r="F46">
        <v>8065824.7699999996</v>
      </c>
    </row>
    <row r="47" spans="1:6" x14ac:dyDescent="0.25">
      <c r="A47">
        <v>2020</v>
      </c>
      <c r="B47">
        <v>10</v>
      </c>
      <c r="C47" t="s">
        <v>18</v>
      </c>
      <c r="D47" t="s">
        <v>253</v>
      </c>
      <c r="E47">
        <v>560258.89</v>
      </c>
      <c r="F47">
        <v>8626083.6600000001</v>
      </c>
    </row>
    <row r="48" spans="1:6" x14ac:dyDescent="0.25">
      <c r="A48">
        <v>2020</v>
      </c>
      <c r="B48">
        <v>11</v>
      </c>
      <c r="C48" t="s">
        <v>18</v>
      </c>
      <c r="D48" t="s">
        <v>253</v>
      </c>
      <c r="E48">
        <v>568878.79</v>
      </c>
      <c r="F48">
        <v>9194962.4499999993</v>
      </c>
    </row>
    <row r="49" spans="1:6" x14ac:dyDescent="0.25">
      <c r="A49">
        <v>2020</v>
      </c>
      <c r="B49">
        <v>12</v>
      </c>
      <c r="C49" t="s">
        <v>18</v>
      </c>
      <c r="D49" t="s">
        <v>253</v>
      </c>
      <c r="E49">
        <v>933303.68</v>
      </c>
      <c r="F49">
        <v>10128266.130000001</v>
      </c>
    </row>
  </sheetData>
  <autoFilter ref="A1:F31"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40"/>
  <sheetViews>
    <sheetView topLeftCell="A19" workbookViewId="0">
      <selection activeCell="M5" sqref="M5"/>
    </sheetView>
  </sheetViews>
  <sheetFormatPr defaultColWidth="9" defaultRowHeight="13.8" x14ac:dyDescent="0.25"/>
  <cols>
    <col min="1" max="1" width="11.21875" style="51" customWidth="1"/>
    <col min="2" max="2" width="14.88671875" style="51" customWidth="1"/>
    <col min="3" max="3" width="11.77734375" style="51" customWidth="1"/>
    <col min="4" max="9" width="9.88671875" style="51" customWidth="1"/>
    <col min="10" max="10" width="11.6640625" style="51" bestFit="1" customWidth="1"/>
    <col min="11" max="11" width="9.88671875" style="51" customWidth="1"/>
    <col min="12" max="12" width="9.88671875" style="67" customWidth="1"/>
    <col min="13" max="13" width="11.6640625" style="67" bestFit="1" customWidth="1"/>
    <col min="14" max="15" width="9.88671875" style="67" customWidth="1"/>
    <col min="16" max="16" width="11.6640625" style="51" bestFit="1" customWidth="1"/>
    <col min="17" max="17" width="9" style="51"/>
    <col min="18" max="18" width="12.77734375" style="22" bestFit="1" customWidth="1"/>
    <col min="19" max="16384" width="9" style="51"/>
  </cols>
  <sheetData>
    <row r="1" spans="1:23" ht="29.4" x14ac:dyDescent="0.25">
      <c r="A1" s="135" t="str">
        <f>管理费收入总表!Q1&amp;"年考核口径管理费收入明细表"</f>
        <v>2020年考核口径管理费收入明细表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R1" s="22" t="s">
        <v>172</v>
      </c>
      <c r="U1" s="51" t="s">
        <v>215</v>
      </c>
      <c r="V1" s="51" t="s">
        <v>173</v>
      </c>
      <c r="W1" s="51" t="s">
        <v>216</v>
      </c>
    </row>
    <row r="2" spans="1:23" x14ac:dyDescent="0.25">
      <c r="A2" s="52"/>
      <c r="B2" s="52"/>
      <c r="C2" s="52"/>
      <c r="L2" s="51"/>
      <c r="M2" s="51"/>
      <c r="N2" s="51"/>
      <c r="O2" s="53" t="s">
        <v>268</v>
      </c>
      <c r="P2" s="97" t="s">
        <v>269</v>
      </c>
      <c r="U2" s="51" t="s">
        <v>176</v>
      </c>
      <c r="V2" s="51" t="s">
        <v>71</v>
      </c>
    </row>
    <row r="3" spans="1:23" ht="14.4" x14ac:dyDescent="0.25">
      <c r="A3" s="54" t="s">
        <v>217</v>
      </c>
      <c r="B3" s="54" t="s">
        <v>177</v>
      </c>
      <c r="C3" s="54"/>
      <c r="D3" s="54" t="s">
        <v>218</v>
      </c>
      <c r="E3" s="54" t="s">
        <v>219</v>
      </c>
      <c r="F3" s="54" t="s">
        <v>179</v>
      </c>
      <c r="G3" s="54" t="s">
        <v>180</v>
      </c>
      <c r="H3" s="54" t="s">
        <v>181</v>
      </c>
      <c r="I3" s="54" t="s">
        <v>182</v>
      </c>
      <c r="J3" s="54" t="s">
        <v>183</v>
      </c>
      <c r="K3" s="54" t="s">
        <v>184</v>
      </c>
      <c r="L3" s="92" t="s">
        <v>185</v>
      </c>
      <c r="M3" s="92" t="s">
        <v>186</v>
      </c>
      <c r="N3" s="92" t="s">
        <v>187</v>
      </c>
      <c r="O3" s="92" t="s">
        <v>188</v>
      </c>
      <c r="P3" s="68" t="s">
        <v>207</v>
      </c>
      <c r="R3" s="22" t="s">
        <v>173</v>
      </c>
      <c r="U3" s="51" t="s">
        <v>203</v>
      </c>
      <c r="V3" s="51" t="s">
        <v>73</v>
      </c>
    </row>
    <row r="4" spans="1:23" ht="14.4" x14ac:dyDescent="0.25">
      <c r="A4" s="122" t="s">
        <v>199</v>
      </c>
      <c r="B4" s="125" t="s">
        <v>176</v>
      </c>
      <c r="C4" s="55" t="s">
        <v>200</v>
      </c>
      <c r="D4" s="93">
        <f>管理费收入总表!D4</f>
        <v>0</v>
      </c>
      <c r="E4" s="93">
        <f>管理费收入总表!E4-管理费收入总表!D4</f>
        <v>0</v>
      </c>
      <c r="F4" s="93">
        <f>管理费收入总表!F4-管理费收入总表!E4</f>
        <v>0</v>
      </c>
      <c r="G4" s="93">
        <f>管理费收入总表!G4-管理费收入总表!F4</f>
        <v>0.264849</v>
      </c>
      <c r="H4" s="93">
        <f>管理费收入总表!H4-管理费收入总表!G4</f>
        <v>0</v>
      </c>
      <c r="I4" s="93">
        <f>管理费收入总表!I4-管理费收入总表!H4</f>
        <v>0</v>
      </c>
      <c r="J4" s="93">
        <f>管理费收入总表!J4-管理费收入总表!I4</f>
        <v>0</v>
      </c>
      <c r="K4" s="93">
        <f>管理费收入总表!K4-管理费收入总表!J4</f>
        <v>0</v>
      </c>
      <c r="L4" s="93">
        <f>管理费收入总表!L4-管理费收入总表!K4</f>
        <v>0</v>
      </c>
      <c r="M4" s="93">
        <f>管理费收入总表!M4-管理费收入总表!L4</f>
        <v>0</v>
      </c>
      <c r="N4" s="93">
        <f>管理费收入总表!N4-管理费收入总表!M4</f>
        <v>0</v>
      </c>
      <c r="O4" s="93">
        <f>管理费收入总表!O4-管理费收入总表!N4</f>
        <v>-22.048044000000004</v>
      </c>
      <c r="P4" s="93">
        <f>管理费收入总表!P4-管理费收入总表!O4</f>
        <v>21.783195000000003</v>
      </c>
      <c r="R4" s="22" t="s">
        <v>71</v>
      </c>
      <c r="U4" s="51" t="s">
        <v>220</v>
      </c>
      <c r="V4" s="51" t="s">
        <v>19</v>
      </c>
    </row>
    <row r="5" spans="1:23" ht="14.4" x14ac:dyDescent="0.25">
      <c r="A5" s="123"/>
      <c r="B5" s="125"/>
      <c r="C5" s="55" t="s">
        <v>190</v>
      </c>
      <c r="D5" s="93">
        <f>管理费收入总表!D5</f>
        <v>0</v>
      </c>
      <c r="E5" s="93">
        <f>管理费收入总表!E5-管理费收入总表!D5</f>
        <v>0</v>
      </c>
      <c r="F5" s="93">
        <f>管理费收入总表!F5-管理费收入总表!E5</f>
        <v>0</v>
      </c>
      <c r="G5" s="93">
        <f>管理费收入总表!G5-管理费收入总表!F5</f>
        <v>65.012388000000001</v>
      </c>
      <c r="H5" s="93">
        <f>管理费收入总表!H5-管理费收入总表!G5</f>
        <v>65.96859400000001</v>
      </c>
      <c r="I5" s="93">
        <f>管理费收入总表!I5-管理费收入总表!H5</f>
        <v>66.975444999999979</v>
      </c>
      <c r="J5" s="93">
        <f>管理费收入总表!J5-管理费收入总表!I5</f>
        <v>260.92101700000001</v>
      </c>
      <c r="K5" s="93">
        <f>管理费收入总表!K5-管理费收入总表!J5</f>
        <v>70.079719999999895</v>
      </c>
      <c r="L5" s="93">
        <f>管理费收入总表!L5-管理费收入总表!K5</f>
        <v>70.313794000000144</v>
      </c>
      <c r="M5" s="93">
        <f>管理费收入总表!M5-管理费收入总表!L5</f>
        <v>70.799808999999982</v>
      </c>
      <c r="N5" s="93">
        <f>管理费收入总表!N5-管理费收入总表!M5</f>
        <v>71.650796999999898</v>
      </c>
      <c r="O5" s="93">
        <f>管理费收入总表!O5-管理费收入总表!N5</f>
        <v>72.827985000000126</v>
      </c>
      <c r="P5" s="93">
        <f>管理费收入总表!P5-管理费收入总表!O5</f>
        <v>-814.54954900000007</v>
      </c>
      <c r="R5" s="22" t="s">
        <v>71</v>
      </c>
      <c r="U5" s="51" t="s">
        <v>191</v>
      </c>
      <c r="V5" s="51" t="s">
        <v>76</v>
      </c>
    </row>
    <row r="6" spans="1:23" s="59" customFormat="1" ht="14.4" x14ac:dyDescent="0.25">
      <c r="A6" s="123"/>
      <c r="B6" s="125"/>
      <c r="C6" s="57" t="s">
        <v>192</v>
      </c>
      <c r="D6" s="96">
        <f>管理费收入总表!D6</f>
        <v>0</v>
      </c>
      <c r="E6" s="96">
        <f>管理费收入总表!E6-管理费收入总表!D6</f>
        <v>0</v>
      </c>
      <c r="F6" s="96">
        <f>管理费收入总表!F6-管理费收入总表!E6</f>
        <v>0</v>
      </c>
      <c r="G6" s="96">
        <f>管理费收入总表!G6-管理费收入总表!F6</f>
        <v>65.277237</v>
      </c>
      <c r="H6" s="96">
        <f>管理费收入总表!H6-管理费收入总表!G6</f>
        <v>65.96859400000001</v>
      </c>
      <c r="I6" s="96">
        <f>管理费收入总表!I6-管理费收入总表!H6</f>
        <v>66.975444999999979</v>
      </c>
      <c r="J6" s="96">
        <f>管理费收入总表!J6-管理费收入总表!I6</f>
        <v>260.92101700000006</v>
      </c>
      <c r="K6" s="96">
        <f>管理费收入总表!K6-管理费收入总表!J6</f>
        <v>70.079719999999895</v>
      </c>
      <c r="L6" s="96">
        <f>管理费收入总表!L6-管理费收入总表!K6</f>
        <v>70.313794000000144</v>
      </c>
      <c r="M6" s="96">
        <f>管理费收入总表!M6-管理费收入总表!L6</f>
        <v>70.799808999999982</v>
      </c>
      <c r="N6" s="96">
        <f>管理费收入总表!N6-管理费收入总表!M6</f>
        <v>71.650796999999898</v>
      </c>
      <c r="O6" s="96">
        <f>管理费收入总表!O6-管理费收入总表!N6</f>
        <v>50.779941000000122</v>
      </c>
      <c r="P6" s="96">
        <f>管理费收入总表!P6-管理费收入总表!O6</f>
        <v>-792.76635400000009</v>
      </c>
      <c r="R6" s="22" t="s">
        <v>71</v>
      </c>
      <c r="U6" s="60" t="s">
        <v>193</v>
      </c>
      <c r="V6" s="60" t="s">
        <v>25</v>
      </c>
    </row>
    <row r="7" spans="1:23" s="59" customFormat="1" ht="14.4" x14ac:dyDescent="0.25">
      <c r="A7" s="123"/>
      <c r="B7" s="122" t="s">
        <v>203</v>
      </c>
      <c r="C7" s="55" t="s">
        <v>221</v>
      </c>
      <c r="D7" s="93">
        <f>管理费收入总表!D7</f>
        <v>10.845383</v>
      </c>
      <c r="E7" s="93">
        <f>管理费收入总表!E7-管理费收入总表!D7</f>
        <v>10.845383</v>
      </c>
      <c r="F7" s="93">
        <f>管理费收入总表!F7-管理费收入总表!E7</f>
        <v>9.8397159999999992</v>
      </c>
      <c r="G7" s="93">
        <f>管理费收入总表!G7-管理费收入总表!F7</f>
        <v>199.517438</v>
      </c>
      <c r="H7" s="93">
        <f>管理费收入总表!H7-管理费收入总表!G7</f>
        <v>9.7958290000000261</v>
      </c>
      <c r="I7" s="93">
        <f>管理费收入总表!I7-管理费收入总表!H7</f>
        <v>9.7958289999999408</v>
      </c>
      <c r="J7" s="93">
        <f>管理费收入总表!J7-管理费收入总表!I7</f>
        <v>-366.208709</v>
      </c>
      <c r="K7" s="93">
        <f>管理费收入总表!K7-管理费收入总表!J7</f>
        <v>11.024359000000004</v>
      </c>
      <c r="L7" s="93">
        <f>管理费收入总表!L7-管理费收入总表!K7</f>
        <v>11.024360000000001</v>
      </c>
      <c r="M7" s="93">
        <f>管理费收入总表!M7-管理费收入总表!L7</f>
        <v>12.035199999999989</v>
      </c>
      <c r="N7" s="93">
        <f>管理费收入总表!N7-管理费收入总表!M7</f>
        <v>11.484797999999998</v>
      </c>
      <c r="O7" s="93">
        <f>管理费收入总表!O7-管理费收入总表!N7</f>
        <v>11.114322000000001</v>
      </c>
      <c r="P7" s="93">
        <f>管理费收入总表!P7-管理费收入总表!O7</f>
        <v>58.886092000000005</v>
      </c>
      <c r="R7" s="61" t="s">
        <v>73</v>
      </c>
      <c r="U7" s="60" t="s">
        <v>222</v>
      </c>
      <c r="V7" s="62" t="s">
        <v>223</v>
      </c>
    </row>
    <row r="8" spans="1:23" s="59" customFormat="1" ht="14.4" x14ac:dyDescent="0.25">
      <c r="A8" s="123"/>
      <c r="B8" s="123"/>
      <c r="C8" s="55" t="s">
        <v>190</v>
      </c>
      <c r="D8" s="93">
        <f>管理费收入总表!D8</f>
        <v>34.258534000000004</v>
      </c>
      <c r="E8" s="93">
        <f>管理费收入总表!E8-管理费收入总表!D8</f>
        <v>34.42457799999999</v>
      </c>
      <c r="F8" s="93">
        <f>管理费收入总表!F8-管理费收入总表!E8</f>
        <v>34.273389000000009</v>
      </c>
      <c r="G8" s="93">
        <f>管理费收入总表!G8-管理费收入总表!F8</f>
        <v>34.279055</v>
      </c>
      <c r="H8" s="93">
        <f>管理费收入总表!H8-管理费收入总表!G8</f>
        <v>34.529811999999993</v>
      </c>
      <c r="I8" s="93">
        <f>管理费收入总表!I8-管理费收入总表!H8</f>
        <v>34.805080000000004</v>
      </c>
      <c r="J8" s="93">
        <f>管理费收入总表!J8-管理费收入总表!I8</f>
        <v>35.536643999999995</v>
      </c>
      <c r="K8" s="93">
        <f>管理费收入总表!K8-管理费收入总表!J8</f>
        <v>36.217957999999982</v>
      </c>
      <c r="L8" s="93">
        <f>管理费收入总表!L8-管理费收入总表!K8</f>
        <v>36.246999000000073</v>
      </c>
      <c r="M8" s="93">
        <f>管理费收入总表!M8-管理费收入总表!L8</f>
        <v>36.149559999999951</v>
      </c>
      <c r="N8" s="93">
        <f>管理费收入总表!N8-管理费收入总表!M8</f>
        <v>36.416999999999973</v>
      </c>
      <c r="O8" s="93">
        <f>管理费收入总表!O8-管理费收入总表!N8</f>
        <v>36.920795000000055</v>
      </c>
      <c r="P8" s="93">
        <f>管理费收入总表!P8-管理费收入总表!O8</f>
        <v>-424.05940400000003</v>
      </c>
      <c r="R8" s="61" t="s">
        <v>73</v>
      </c>
    </row>
    <row r="9" spans="1:23" s="59" customFormat="1" ht="14.4" x14ac:dyDescent="0.25">
      <c r="A9" s="123"/>
      <c r="B9" s="124"/>
      <c r="C9" s="57" t="s">
        <v>224</v>
      </c>
      <c r="D9" s="96">
        <f>管理费收入总表!D9</f>
        <v>45.103917000000003</v>
      </c>
      <c r="E9" s="96">
        <f>管理费收入总表!E9-管理费收入总表!D9</f>
        <v>45.269960999999988</v>
      </c>
      <c r="F9" s="96">
        <f>管理费收入总表!F9-管理费收入总表!E9</f>
        <v>44.113105000000019</v>
      </c>
      <c r="G9" s="96">
        <f>管理费收入总表!G9-管理费收入总表!F9</f>
        <v>233.796493</v>
      </c>
      <c r="H9" s="96">
        <f>管理费收入总表!H9-管理费收入总表!G9</f>
        <v>44.325641000000019</v>
      </c>
      <c r="I9" s="96">
        <f>管理费收入总表!I9-管理费收入总表!H9</f>
        <v>44.600908999999945</v>
      </c>
      <c r="J9" s="96">
        <f>管理费收入总表!J9-管理费收入总表!I9</f>
        <v>-330.67206499999998</v>
      </c>
      <c r="K9" s="96">
        <f>管理费收入总表!K9-管理费收入总表!J9</f>
        <v>47.242316999999986</v>
      </c>
      <c r="L9" s="96">
        <f>管理费收入总表!L9-管理费收入总表!K9</f>
        <v>47.271359000000075</v>
      </c>
      <c r="M9" s="96">
        <f>管理费收入总表!M9-管理费收入总表!L9</f>
        <v>48.184759999999955</v>
      </c>
      <c r="N9" s="96">
        <f>管理费收入总表!N9-管理费收入总表!M9</f>
        <v>47.901797999999985</v>
      </c>
      <c r="O9" s="96">
        <f>管理费收入总表!O9-管理费收入总表!N9</f>
        <v>48.035117000000014</v>
      </c>
      <c r="P9" s="96">
        <f>管理费收入总表!P9-管理费收入总表!O9</f>
        <v>-365.17331200000001</v>
      </c>
      <c r="R9" s="61" t="s">
        <v>73</v>
      </c>
    </row>
    <row r="10" spans="1:23" s="59" customFormat="1" ht="14.4" x14ac:dyDescent="0.25">
      <c r="A10" s="123"/>
      <c r="B10" s="122" t="s">
        <v>225</v>
      </c>
      <c r="C10" s="55" t="s">
        <v>221</v>
      </c>
      <c r="D10" s="93">
        <f>管理费收入总表!D10</f>
        <v>7.5793239999999988</v>
      </c>
      <c r="E10" s="93">
        <f>管理费收入总表!E10-管理费收入总表!D10</f>
        <v>7.4593970000000036</v>
      </c>
      <c r="F10" s="93">
        <f>管理费收入总表!F10-管理费收入总表!E10</f>
        <v>6.9450459999999943</v>
      </c>
      <c r="G10" s="93">
        <f>管理费收入总表!G10-管理费收入总表!F10</f>
        <v>7.7109040000000064</v>
      </c>
      <c r="H10" s="93">
        <f>管理费收入总表!H10-管理费收入总表!G10</f>
        <v>7.2653730000000003</v>
      </c>
      <c r="I10" s="93">
        <f>管理费收入总表!I10-管理费收入总表!H10</f>
        <v>7.3808249999999944</v>
      </c>
      <c r="J10" s="93">
        <f>管理费收入总表!J10-管理费收入总表!I10</f>
        <v>7.4003450000000015</v>
      </c>
      <c r="K10" s="93">
        <f>管理费收入总表!K10-管理费收入总表!J10</f>
        <v>7.5145869999999988</v>
      </c>
      <c r="L10" s="93">
        <f>管理费收入总表!L10-管理费收入总表!K10</f>
        <v>6.7126709999999932</v>
      </c>
      <c r="M10" s="93">
        <f>管理费收入总表!M10-管理费收入总表!L10</f>
        <v>6.5505990000000054</v>
      </c>
      <c r="N10" s="93">
        <f>管理费收入总表!N10-管理费收入总表!M10</f>
        <v>6.2507769999999994</v>
      </c>
      <c r="O10" s="93">
        <f>管理费收入总表!O10-管理费收入总表!N10</f>
        <v>6.0341470000000044</v>
      </c>
      <c r="P10" s="93">
        <f>管理费收入总表!P10-管理费收入总表!O10</f>
        <v>-84.803995</v>
      </c>
      <c r="R10" s="61" t="s">
        <v>19</v>
      </c>
    </row>
    <row r="11" spans="1:23" s="59" customFormat="1" ht="14.4" x14ac:dyDescent="0.25">
      <c r="A11" s="123"/>
      <c r="B11" s="123"/>
      <c r="C11" s="55" t="s">
        <v>226</v>
      </c>
      <c r="D11" s="93">
        <f>管理费收入总表!D11</f>
        <v>0.25917800000000002</v>
      </c>
      <c r="E11" s="93">
        <f>管理费收入总表!E11-管理费收入总表!D11</f>
        <v>0.26161800000000002</v>
      </c>
      <c r="F11" s="93">
        <f>管理费收入总表!F11-管理费收入总表!E11</f>
        <v>0.261463</v>
      </c>
      <c r="G11" s="93">
        <f>管理费收入总表!G11-管理费收入总表!F11</f>
        <v>0.26170599999999999</v>
      </c>
      <c r="H11" s="93">
        <f>管理费收入总表!H11-管理费收入总表!G11</f>
        <v>0.26367399999999996</v>
      </c>
      <c r="I11" s="93">
        <f>管理费收入总表!I11-管理费收入总表!H11</f>
        <v>0.26565499999999997</v>
      </c>
      <c r="J11" s="93">
        <f>管理费收入总表!J11-管理费收入总表!I11</f>
        <v>0.27161799999999992</v>
      </c>
      <c r="K11" s="93">
        <f>管理费收入总表!K11-管理费收入总表!J11</f>
        <v>0.27645900000000001</v>
      </c>
      <c r="L11" s="93">
        <f>管理费收入总表!L11-管理费收入总表!K11</f>
        <v>0.27665600000000001</v>
      </c>
      <c r="M11" s="93">
        <f>管理费收入总表!M11-管理费收入总表!L11</f>
        <v>0.27835600000000005</v>
      </c>
      <c r="N11" s="93">
        <f>管理费收入总表!N11-管理费收入总表!M11</f>
        <v>0.28086999999999973</v>
      </c>
      <c r="O11" s="93">
        <f>管理费收入总表!O11-管理费收入总表!N11</f>
        <v>0.28356400000000015</v>
      </c>
      <c r="P11" s="93">
        <f>管理费收入总表!P11-管理费收入总表!O11</f>
        <v>-3.2408169999999998</v>
      </c>
      <c r="R11" s="61" t="s">
        <v>19</v>
      </c>
    </row>
    <row r="12" spans="1:23" s="59" customFormat="1" ht="14.4" x14ac:dyDescent="0.25">
      <c r="A12" s="123"/>
      <c r="B12" s="124"/>
      <c r="C12" s="57" t="s">
        <v>227</v>
      </c>
      <c r="D12" s="96">
        <f>管理费收入总表!D12</f>
        <v>7.8385019999999992</v>
      </c>
      <c r="E12" s="96">
        <f>管理费收入总表!E12-管理费收入总表!D12</f>
        <v>7.721015000000004</v>
      </c>
      <c r="F12" s="96">
        <f>管理费收入总表!F12-管理费收入总表!E12</f>
        <v>7.2065089999999934</v>
      </c>
      <c r="G12" s="96">
        <f>管理费收入总表!G12-管理费收入总表!F12</f>
        <v>7.9726100000000066</v>
      </c>
      <c r="H12" s="96">
        <f>管理费收入总表!H12-管理费收入总表!G12</f>
        <v>7.529047000000002</v>
      </c>
      <c r="I12" s="96">
        <f>管理费收入总表!I12-管理费收入总表!H12</f>
        <v>7.6464799999999897</v>
      </c>
      <c r="J12" s="96">
        <f>管理费收入总表!J12-管理费收入总表!I12</f>
        <v>7.6719630000000052</v>
      </c>
      <c r="K12" s="96">
        <f>管理费收入总表!K12-管理费收入总表!J12</f>
        <v>7.7910460000000015</v>
      </c>
      <c r="L12" s="96">
        <f>管理费收入总表!L12-管理费收入总表!K12</f>
        <v>6.9893269999999887</v>
      </c>
      <c r="M12" s="96">
        <f>管理费收入总表!M12-管理费收入总表!L12</f>
        <v>6.8289550000000077</v>
      </c>
      <c r="N12" s="96">
        <f>管理费收入总表!N12-管理费收入总表!M12</f>
        <v>6.5316469999999924</v>
      </c>
      <c r="O12" s="96">
        <f>管理费收入总表!O12-管理费收入总表!N12</f>
        <v>6.317711000000017</v>
      </c>
      <c r="P12" s="96">
        <f>管理费收入总表!P12-管理费收入总表!O12</f>
        <v>-88.044812000000007</v>
      </c>
      <c r="R12" s="61" t="s">
        <v>19</v>
      </c>
    </row>
    <row r="13" spans="1:23" s="59" customFormat="1" ht="14.4" x14ac:dyDescent="0.25">
      <c r="A13" s="123"/>
      <c r="B13" s="122" t="s">
        <v>228</v>
      </c>
      <c r="C13" s="55" t="s">
        <v>221</v>
      </c>
      <c r="D13" s="93">
        <f>管理费收入总表!D13</f>
        <v>3.0736400000000001</v>
      </c>
      <c r="E13" s="93">
        <f>管理费收入总表!E13-管理费收入总表!D13</f>
        <v>3.073639</v>
      </c>
      <c r="F13" s="93">
        <f>管理费收入总表!F13-管理费收入总表!E13</f>
        <v>2.7673449999999997</v>
      </c>
      <c r="G13" s="93">
        <f>管理费收入总表!G13-管理费收入总表!F13</f>
        <v>3.5147300000000001</v>
      </c>
      <c r="H13" s="93">
        <f>管理费收入总表!H13-管理费收入总表!G13</f>
        <v>2.8888380000000016</v>
      </c>
      <c r="I13" s="93">
        <f>管理费收入总表!I13-管理费收入总表!H13</f>
        <v>3.1573660000000014</v>
      </c>
      <c r="J13" s="93">
        <f>管理费收入总表!J13-管理费收入总表!I13</f>
        <v>3.7116849999999957</v>
      </c>
      <c r="K13" s="93">
        <f>管理费收入总表!K13-管理费收入总表!J13</f>
        <v>2.9570180000000015</v>
      </c>
      <c r="L13" s="93">
        <f>管理费收入总表!L13-管理费收入总表!K13</f>
        <v>3.0982239999999983</v>
      </c>
      <c r="M13" s="93">
        <f>管理费收入总表!M13-管理费收入总表!L13</f>
        <v>3.4781259999999996</v>
      </c>
      <c r="N13" s="93">
        <f>管理费收入总表!N13-管理费收入总表!M13</f>
        <v>3.0729459999999946</v>
      </c>
      <c r="O13" s="93">
        <f>管理费收入总表!O13-管理费收入总表!N13</f>
        <v>3.0664530000000028</v>
      </c>
      <c r="P13" s="93">
        <f>管理费收入总表!P13-管理费收入总表!O13</f>
        <v>-37.860009999999996</v>
      </c>
      <c r="R13" s="61" t="s">
        <v>76</v>
      </c>
    </row>
    <row r="14" spans="1:23" s="59" customFormat="1" ht="14.4" x14ac:dyDescent="0.25">
      <c r="A14" s="123"/>
      <c r="B14" s="123"/>
      <c r="C14" s="55" t="s">
        <v>226</v>
      </c>
      <c r="D14" s="93">
        <f>管理费收入总表!D14</f>
        <v>0</v>
      </c>
      <c r="E14" s="93">
        <f>管理费收入总表!E14-管理费收入总表!D14</f>
        <v>0</v>
      </c>
      <c r="F14" s="93">
        <f>管理费收入总表!F14-管理费收入总表!E14</f>
        <v>0</v>
      </c>
      <c r="G14" s="93">
        <f>管理费收入总表!G14-管理费收入总表!F14</f>
        <v>0</v>
      </c>
      <c r="H14" s="93">
        <f>管理费收入总表!H14-管理费收入总表!G14</f>
        <v>0</v>
      </c>
      <c r="I14" s="93">
        <f>管理费收入总表!I14-管理费收入总表!H14</f>
        <v>0</v>
      </c>
      <c r="J14" s="93">
        <f>管理费收入总表!J14-管理费收入总表!I14</f>
        <v>0</v>
      </c>
      <c r="K14" s="93">
        <f>管理费收入总表!K14-管理费收入总表!J14</f>
        <v>0</v>
      </c>
      <c r="L14" s="93">
        <f>管理费收入总表!L14-管理费收入总表!K14</f>
        <v>0</v>
      </c>
      <c r="M14" s="93">
        <f>管理费收入总表!M14-管理费收入总表!L14</f>
        <v>0</v>
      </c>
      <c r="N14" s="93">
        <f>管理费收入总表!N14-管理费收入总表!M14</f>
        <v>0</v>
      </c>
      <c r="O14" s="93">
        <f>管理费收入总表!O14-管理费收入总表!N14</f>
        <v>0</v>
      </c>
      <c r="P14" s="93">
        <f>管理费收入总表!P14-管理费收入总表!O14</f>
        <v>0</v>
      </c>
      <c r="R14" s="61" t="s">
        <v>76</v>
      </c>
    </row>
    <row r="15" spans="1:23" s="59" customFormat="1" ht="14.4" x14ac:dyDescent="0.25">
      <c r="A15" s="123"/>
      <c r="B15" s="124"/>
      <c r="C15" s="57" t="s">
        <v>227</v>
      </c>
      <c r="D15" s="96">
        <f>管理费收入总表!D15</f>
        <v>3.0736400000000001</v>
      </c>
      <c r="E15" s="96">
        <f>管理费收入总表!E15-管理费收入总表!D15</f>
        <v>3.073639</v>
      </c>
      <c r="F15" s="96">
        <f>管理费收入总表!F15-管理费收入总表!E15</f>
        <v>2.7673449999999997</v>
      </c>
      <c r="G15" s="96">
        <f>管理费收入总表!G15-管理费收入总表!F15</f>
        <v>3.5147300000000001</v>
      </c>
      <c r="H15" s="96">
        <f>管理费收入总表!H15-管理费收入总表!G15</f>
        <v>2.8888380000000016</v>
      </c>
      <c r="I15" s="96">
        <f>管理费收入总表!I15-管理费收入总表!H15</f>
        <v>3.1573660000000014</v>
      </c>
      <c r="J15" s="96">
        <f>管理费收入总表!J15-管理费收入总表!I15</f>
        <v>3.7116849999999957</v>
      </c>
      <c r="K15" s="96">
        <f>管理费收入总表!K15-管理费收入总表!J15</f>
        <v>2.9570180000000015</v>
      </c>
      <c r="L15" s="96">
        <f>管理费收入总表!L15-管理费收入总表!K15</f>
        <v>3.0982239999999983</v>
      </c>
      <c r="M15" s="96">
        <f>管理费收入总表!M15-管理费收入总表!L15</f>
        <v>3.4781259999999996</v>
      </c>
      <c r="N15" s="96">
        <f>管理费收入总表!N15-管理费收入总表!M15</f>
        <v>3.0729459999999946</v>
      </c>
      <c r="O15" s="96">
        <f>管理费收入总表!O15-管理费收入总表!N15</f>
        <v>3.0664530000000028</v>
      </c>
      <c r="P15" s="96">
        <f>管理费收入总表!P15-管理费收入总表!O15</f>
        <v>-37.860009999999996</v>
      </c>
      <c r="R15" s="61" t="s">
        <v>76</v>
      </c>
    </row>
    <row r="16" spans="1:23" s="59" customFormat="1" ht="14.4" x14ac:dyDescent="0.25">
      <c r="A16" s="123"/>
      <c r="B16" s="122" t="s">
        <v>229</v>
      </c>
      <c r="C16" s="55" t="s">
        <v>230</v>
      </c>
      <c r="D16" s="93">
        <f>管理费收入总表!D16</f>
        <v>5.5292200000000005</v>
      </c>
      <c r="E16" s="93">
        <f>管理费收入总表!E16-管理费收入总表!D16</f>
        <v>5.4510159999999992</v>
      </c>
      <c r="F16" s="93">
        <f>管理费收入总表!F16-管理费收入总表!E16</f>
        <v>4.6344129999999986</v>
      </c>
      <c r="G16" s="93">
        <f>管理费收入总表!G16-管理费收入总表!F16</f>
        <v>86.873585000000006</v>
      </c>
      <c r="H16" s="93">
        <f>管理费收入总表!H16-管理费收入总表!G16</f>
        <v>59.942647999999991</v>
      </c>
      <c r="I16" s="93">
        <f>管理费收入总表!I16-管理费收入总表!H16</f>
        <v>5.4846060000000136</v>
      </c>
      <c r="J16" s="93">
        <f>管理费收入总表!J16-管理费收入总表!I16</f>
        <v>-92.82014700000002</v>
      </c>
      <c r="K16" s="93">
        <f>管理费收入总表!K16-管理费收入总表!J16</f>
        <v>5.9522760000000119</v>
      </c>
      <c r="L16" s="93">
        <f>管理费收入总表!L16-管理费收入总表!K16</f>
        <v>-29.600493</v>
      </c>
      <c r="M16" s="93">
        <f>管理费收入总表!M16-管理费收入总表!L16</f>
        <v>6.8703869999999938</v>
      </c>
      <c r="N16" s="93">
        <f>管理费收入总表!N16-管理费收入总表!M16</f>
        <v>5.8382509999999996</v>
      </c>
      <c r="O16" s="93">
        <f>管理费收入总表!O16-管理费收入总表!N16</f>
        <v>5.764039000000011</v>
      </c>
      <c r="P16" s="93">
        <f>管理费收入总表!P16-管理费收入总表!O16</f>
        <v>-69.919801000000007</v>
      </c>
      <c r="R16" s="61" t="s">
        <v>25</v>
      </c>
    </row>
    <row r="17" spans="1:18" s="59" customFormat="1" ht="14.4" x14ac:dyDescent="0.25">
      <c r="A17" s="123"/>
      <c r="B17" s="123"/>
      <c r="C17" s="55" t="s">
        <v>226</v>
      </c>
      <c r="D17" s="93">
        <f>管理费收入总表!D17</f>
        <v>7.4305979999999998</v>
      </c>
      <c r="E17" s="93">
        <f>管理费收入总表!E17-管理费收入总表!D17</f>
        <v>7.5246980000000008</v>
      </c>
      <c r="F17" s="93">
        <f>管理费收入总表!F17-管理费收入总表!E17</f>
        <v>7.5612249999999968</v>
      </c>
      <c r="G17" s="93">
        <f>管理费收入总表!G17-管理费收入总表!F17</f>
        <v>7.6124120000000062</v>
      </c>
      <c r="H17" s="93">
        <f>管理费收入总表!H17-管理费收入总表!G17</f>
        <v>7.6939079999999933</v>
      </c>
      <c r="I17" s="93">
        <f>管理费收入总表!I17-管理费收入总表!H17</f>
        <v>7.7699080000000009</v>
      </c>
      <c r="J17" s="93">
        <f>管理费收入总表!J17-管理费收入总表!I17</f>
        <v>7.9219250000000017</v>
      </c>
      <c r="K17" s="93">
        <f>管理费收入总表!K17-管理费收入总表!J17</f>
        <v>8.0470450000000042</v>
      </c>
      <c r="L17" s="93">
        <f>管理费收入总表!L17-管理费收入总表!K17</f>
        <v>8.100242999999999</v>
      </c>
      <c r="M17" s="93">
        <f>管理费收入总表!M17-管理费收入总表!L17</f>
        <v>8.1832239999999956</v>
      </c>
      <c r="N17" s="93">
        <f>管理费收入总表!N17-管理费收入总表!M17</f>
        <v>8.253411000000014</v>
      </c>
      <c r="O17" s="93">
        <f>管理费收入总表!O17-管理费收入总表!N17</f>
        <v>8.3590369999999865</v>
      </c>
      <c r="P17" s="93">
        <f>管理费收入总表!P17-管理费收入总表!O17</f>
        <v>-94.457633999999999</v>
      </c>
      <c r="R17" s="61" t="s">
        <v>25</v>
      </c>
    </row>
    <row r="18" spans="1:18" s="59" customFormat="1" ht="14.4" x14ac:dyDescent="0.25">
      <c r="A18" s="123"/>
      <c r="B18" s="124"/>
      <c r="C18" s="57" t="s">
        <v>227</v>
      </c>
      <c r="D18" s="96">
        <f>管理费收入总表!D18</f>
        <v>12.959818</v>
      </c>
      <c r="E18" s="96">
        <f>管理费收入总表!E18-管理费收入总表!D18</f>
        <v>12.975714000000002</v>
      </c>
      <c r="F18" s="96">
        <f>管理费收入总表!F18-管理费收入总表!E18</f>
        <v>12.195637999999995</v>
      </c>
      <c r="G18" s="96">
        <f>管理费收入总表!G18-管理费收入总表!F18</f>
        <v>94.485996999999998</v>
      </c>
      <c r="H18" s="96">
        <f>管理费收入总表!H18-管理费收入总表!G18</f>
        <v>67.636555999999985</v>
      </c>
      <c r="I18" s="96">
        <f>管理费收入总表!I18-管理费收入总表!H18</f>
        <v>13.254514000000029</v>
      </c>
      <c r="J18" s="96">
        <f>管理费收入总表!J18-管理费收入总表!I18</f>
        <v>-84.898222000000032</v>
      </c>
      <c r="K18" s="96">
        <f>管理费收入总表!K18-管理费收入总表!J18</f>
        <v>13.999321000000037</v>
      </c>
      <c r="L18" s="96">
        <f>管理费收入总表!L18-管理费收入总表!K18</f>
        <v>-21.500250000000008</v>
      </c>
      <c r="M18" s="96">
        <f>管理费收入总表!M18-管理费收入总表!L18</f>
        <v>15.053610999999975</v>
      </c>
      <c r="N18" s="96">
        <f>管理费收入总表!N18-管理费收入总表!M18</f>
        <v>14.091662000000042</v>
      </c>
      <c r="O18" s="96">
        <f>管理费收入总表!O18-管理费收入总表!N18</f>
        <v>14.123075999999969</v>
      </c>
      <c r="P18" s="96">
        <f>管理费收入总表!P18-管理费收入总表!O18</f>
        <v>-164.37743499999999</v>
      </c>
      <c r="R18" s="61" t="s">
        <v>25</v>
      </c>
    </row>
    <row r="19" spans="1:18" s="59" customFormat="1" ht="14.4" x14ac:dyDescent="0.25">
      <c r="A19" s="123"/>
      <c r="B19" s="122" t="s">
        <v>231</v>
      </c>
      <c r="C19" s="55" t="s">
        <v>230</v>
      </c>
      <c r="D19" s="93">
        <f>管理费收入总表!D19</f>
        <v>5.5656270000000001</v>
      </c>
      <c r="E19" s="93">
        <f>管理费收入总表!E19-管理费收入总表!D19</f>
        <v>5.2634179999999988</v>
      </c>
      <c r="F19" s="93">
        <f>管理费收入总表!F19-管理费收入总表!E19</f>
        <v>5.6179060000000032</v>
      </c>
      <c r="G19" s="93">
        <f>管理费收入总表!G19-管理费收入总表!F19</f>
        <v>5.4644909999999989</v>
      </c>
      <c r="H19" s="93">
        <f>管理费收入总表!H19-管理费收入总表!G19</f>
        <v>5.7309920000000005</v>
      </c>
      <c r="I19" s="93">
        <f>管理费收入总表!I19-管理费收入总表!H19</f>
        <v>5.6060480000000013</v>
      </c>
      <c r="J19" s="93">
        <f>管理费收入总表!J19-管理费收入总表!I19</f>
        <v>5.9134379999999993</v>
      </c>
      <c r="K19" s="93">
        <f>管理费收入总表!K19-管理费收入总表!J19</f>
        <v>5.9740619999999964</v>
      </c>
      <c r="L19" s="93">
        <f>管理费收入总表!L19-管理费收入总表!K19</f>
        <v>5.7563200000000023</v>
      </c>
      <c r="M19" s="93">
        <f>管理费收入总表!M19-管理费收入总表!L19</f>
        <v>5.9660750000000036</v>
      </c>
      <c r="N19" s="93">
        <f>管理费收入总表!N19-管理费收入总表!M19</f>
        <v>5.8064499999999981</v>
      </c>
      <c r="O19" s="93">
        <f>管理费收入总表!O19-管理费收入总表!N19</f>
        <v>6.0546559999999943</v>
      </c>
      <c r="P19" s="93">
        <f>管理费收入总表!P19-管理费收入总表!O19</f>
        <v>-68.719482999999997</v>
      </c>
      <c r="R19" s="61" t="s">
        <v>49</v>
      </c>
    </row>
    <row r="20" spans="1:18" s="59" customFormat="1" ht="14.4" x14ac:dyDescent="0.25">
      <c r="A20" s="123"/>
      <c r="B20" s="123"/>
      <c r="C20" s="55" t="s">
        <v>226</v>
      </c>
      <c r="D20" s="93">
        <f>管理费收入总表!D20</f>
        <v>5.5616400000000006</v>
      </c>
      <c r="E20" s="93">
        <f>管理费收入总表!E20-管理费收入总表!D20</f>
        <v>5.6131969999999995</v>
      </c>
      <c r="F20" s="93">
        <f>管理费收入总表!F20-管理费收入总表!E20</f>
        <v>5.6266080000000009</v>
      </c>
      <c r="G20" s="93">
        <f>管理费收入总表!G20-管理费收入总表!F20</f>
        <v>5.6560999999999986</v>
      </c>
      <c r="H20" s="93">
        <f>管理费收入总表!H20-管理费收入总表!G20</f>
        <v>5.7234580000000044</v>
      </c>
      <c r="I20" s="93">
        <f>管理费收入总表!I20-管理费收入总表!H20</f>
        <v>5.7891399999999962</v>
      </c>
      <c r="J20" s="93">
        <f>管理费收入总表!J20-管理费收入总表!I20</f>
        <v>5.8783749999999984</v>
      </c>
      <c r="K20" s="93">
        <f>管理费收入总表!K20-管理费收入总表!J20</f>
        <v>5.9477800000000016</v>
      </c>
      <c r="L20" s="93">
        <f>管理费收入总表!L20-管理费收入总表!K20</f>
        <v>5.9391630000000006</v>
      </c>
      <c r="M20" s="93">
        <f>管理费收入总表!M20-管理费收入总表!L20</f>
        <v>5.9185599999999923</v>
      </c>
      <c r="N20" s="93">
        <f>管理费收入总表!N20-管理费收入总表!M20</f>
        <v>5.9517720000000125</v>
      </c>
      <c r="O20" s="93">
        <f>管理费收入总表!O20-管理费收入总表!N20</f>
        <v>6.0112289999999859</v>
      </c>
      <c r="P20" s="93">
        <f>管理费收入总表!P20-管理费收入总表!O20</f>
        <v>-69.617021999999992</v>
      </c>
      <c r="R20" s="61" t="s">
        <v>49</v>
      </c>
    </row>
    <row r="21" spans="1:18" s="59" customFormat="1" ht="14.4" x14ac:dyDescent="0.25">
      <c r="A21" s="123"/>
      <c r="B21" s="124"/>
      <c r="C21" s="57" t="s">
        <v>227</v>
      </c>
      <c r="D21" s="96">
        <f>管理费收入总表!D21</f>
        <v>11.127267</v>
      </c>
      <c r="E21" s="96">
        <f>管理费收入总表!E21-管理费收入总表!D21</f>
        <v>10.876614999999997</v>
      </c>
      <c r="F21" s="96">
        <f>管理费收入总表!F21-管理费收入总表!E21</f>
        <v>11.244514000000002</v>
      </c>
      <c r="G21" s="96">
        <f>管理费收入总表!G21-管理费收入总表!F21</f>
        <v>11.120591000000005</v>
      </c>
      <c r="H21" s="96">
        <f>管理费收入总表!H21-管理费收入总表!G21</f>
        <v>11.454450000000001</v>
      </c>
      <c r="I21" s="96">
        <f>管理费收入总表!I21-管理费收入总表!H21</f>
        <v>11.395187999999997</v>
      </c>
      <c r="J21" s="96">
        <f>管理费收入总表!J21-管理费收入总表!I21</f>
        <v>11.791812999999991</v>
      </c>
      <c r="K21" s="96">
        <f>管理费收入总表!K21-管理费收入总表!J21</f>
        <v>11.921841999999998</v>
      </c>
      <c r="L21" s="96">
        <f>管理费收入总表!L21-管理费收入总表!K21</f>
        <v>11.69548300000001</v>
      </c>
      <c r="M21" s="96">
        <f>管理费收入总表!M21-管理费收入总表!L21</f>
        <v>11.884634999999989</v>
      </c>
      <c r="N21" s="96">
        <f>管理费收入总表!N21-管理费收入总表!M21</f>
        <v>11.758222000000018</v>
      </c>
      <c r="O21" s="96">
        <f>管理费收入总表!O21-管理费收入总表!N21</f>
        <v>12.06588499999998</v>
      </c>
      <c r="P21" s="96">
        <f>管理费收入总表!P21-管理费收入总表!O21</f>
        <v>-138.33650499999999</v>
      </c>
      <c r="R21" s="61" t="s">
        <v>49</v>
      </c>
    </row>
    <row r="22" spans="1:18" s="59" customFormat="1" ht="14.4" x14ac:dyDescent="0.25">
      <c r="A22" s="123"/>
      <c r="B22" s="122" t="s">
        <v>232</v>
      </c>
      <c r="C22" s="55" t="s">
        <v>230</v>
      </c>
      <c r="D22" s="93">
        <f>管理费收入总表!D22</f>
        <v>23.848461999999998</v>
      </c>
      <c r="E22" s="93">
        <f>管理费收入总表!E22-管理费收入总表!D22</f>
        <v>23.848463000000002</v>
      </c>
      <c r="F22" s="93">
        <f>管理费收入总表!F22-管理费收入总表!E22</f>
        <v>19.290262000000006</v>
      </c>
      <c r="G22" s="93">
        <f>管理费收入总表!G22-管理费收入总表!F22</f>
        <v>29.378053999999992</v>
      </c>
      <c r="H22" s="93">
        <f>管理费收入总表!H22-管理费收入总表!G22</f>
        <v>18.937883999999997</v>
      </c>
      <c r="I22" s="93">
        <f>管理费收入总表!I22-管理费收入总表!H22</f>
        <v>22.295303000000018</v>
      </c>
      <c r="J22" s="93">
        <f>管理费收入总表!J22-管理费收入总表!I22</f>
        <v>31.192114999999973</v>
      </c>
      <c r="K22" s="93">
        <f>管理费收入总表!K22-管理费收入总表!J22</f>
        <v>20.452461000000028</v>
      </c>
      <c r="L22" s="93">
        <f>管理费收入总表!L22-管理费收入总表!K22</f>
        <v>23.475664999999992</v>
      </c>
      <c r="M22" s="93">
        <f>管理费收入总表!M22-管理费收入总表!L22</f>
        <v>32.040497000000016</v>
      </c>
      <c r="N22" s="93">
        <f>管理费收入总表!N22-管理费收入总表!M22</f>
        <v>22.50512999999998</v>
      </c>
      <c r="O22" s="93">
        <f>管理费收入总表!O22-管理费收入总表!N22</f>
        <v>23.566329999999994</v>
      </c>
      <c r="P22" s="93">
        <f>管理费收入总表!P22-管理费收入总表!O22</f>
        <v>-290.830626</v>
      </c>
      <c r="R22" s="61"/>
    </row>
    <row r="23" spans="1:18" s="59" customFormat="1" ht="14.4" x14ac:dyDescent="0.25">
      <c r="A23" s="123"/>
      <c r="B23" s="123"/>
      <c r="C23" s="55" t="s">
        <v>226</v>
      </c>
      <c r="D23" s="93">
        <f>管理费收入总表!D23</f>
        <v>0</v>
      </c>
      <c r="E23" s="93">
        <f>管理费收入总表!E23-管理费收入总表!D23</f>
        <v>0</v>
      </c>
      <c r="F23" s="93">
        <f>管理费收入总表!F23-管理费收入总表!E23</f>
        <v>0</v>
      </c>
      <c r="G23" s="93">
        <f>管理费收入总表!G23-管理费收入总表!F23</f>
        <v>0</v>
      </c>
      <c r="H23" s="93">
        <f>管理费收入总表!H23-管理费收入总表!G23</f>
        <v>0</v>
      </c>
      <c r="I23" s="93">
        <f>管理费收入总表!I23-管理费收入总表!H23</f>
        <v>0</v>
      </c>
      <c r="J23" s="93">
        <f>管理费收入总表!J23-管理费收入总表!I23</f>
        <v>0</v>
      </c>
      <c r="K23" s="93">
        <f>管理费收入总表!K23-管理费收入总表!J23</f>
        <v>0</v>
      </c>
      <c r="L23" s="93">
        <f>管理费收入总表!L23-管理费收入总表!K23</f>
        <v>0</v>
      </c>
      <c r="M23" s="93">
        <f>管理费收入总表!M23-管理费收入总表!L23</f>
        <v>0</v>
      </c>
      <c r="N23" s="93">
        <f>管理费收入总表!N23-管理费收入总表!M23</f>
        <v>0</v>
      </c>
      <c r="O23" s="93">
        <f>管理费收入总表!O23-管理费收入总表!N23</f>
        <v>0</v>
      </c>
      <c r="P23" s="93">
        <f>管理费收入总表!P23-管理费收入总表!O23</f>
        <v>0</v>
      </c>
      <c r="R23" s="61"/>
    </row>
    <row r="24" spans="1:18" s="59" customFormat="1" ht="14.4" x14ac:dyDescent="0.25">
      <c r="A24" s="123"/>
      <c r="B24" s="124"/>
      <c r="C24" s="57" t="s">
        <v>227</v>
      </c>
      <c r="D24" s="96">
        <f>管理费收入总表!D24</f>
        <v>23.848461999999998</v>
      </c>
      <c r="E24" s="96">
        <f>管理费收入总表!E24-管理费收入总表!D24</f>
        <v>23.848463000000002</v>
      </c>
      <c r="F24" s="96">
        <f>管理费收入总表!F24-管理费收入总表!E24</f>
        <v>19.290262000000006</v>
      </c>
      <c r="G24" s="96">
        <f>管理费收入总表!G24-管理费收入总表!F24</f>
        <v>29.378053999999992</v>
      </c>
      <c r="H24" s="96">
        <f>管理费收入总表!H24-管理费收入总表!G24</f>
        <v>18.937883999999997</v>
      </c>
      <c r="I24" s="96">
        <f>管理费收入总表!I24-管理费收入总表!H24</f>
        <v>22.295303000000018</v>
      </c>
      <c r="J24" s="96">
        <f>管理费收入总表!J24-管理费收入总表!I24</f>
        <v>31.192114999999973</v>
      </c>
      <c r="K24" s="96">
        <f>管理费收入总表!K24-管理费收入总表!J24</f>
        <v>20.452461000000028</v>
      </c>
      <c r="L24" s="96">
        <f>管理费收入总表!L24-管理费收入总表!K24</f>
        <v>23.475664999999992</v>
      </c>
      <c r="M24" s="96">
        <f>管理费收入总表!M24-管理费收入总表!L24</f>
        <v>32.040497000000016</v>
      </c>
      <c r="N24" s="96">
        <f>管理费收入总表!N24-管理费收入总表!M24</f>
        <v>22.50512999999998</v>
      </c>
      <c r="O24" s="96">
        <f>管理费收入总表!O24-管理费收入总表!N24</f>
        <v>23.566329999999994</v>
      </c>
      <c r="P24" s="96">
        <f>管理费收入总表!P24-管理费收入总表!O24</f>
        <v>-290.830626</v>
      </c>
      <c r="R24" s="61"/>
    </row>
    <row r="25" spans="1:18" s="59" customFormat="1" ht="14.4" x14ac:dyDescent="0.25">
      <c r="A25" s="123"/>
      <c r="B25" s="122" t="s">
        <v>272</v>
      </c>
      <c r="C25" s="55" t="s">
        <v>205</v>
      </c>
      <c r="D25" s="93">
        <f>管理费收入总表!D25</f>
        <v>6.9789900000000031</v>
      </c>
      <c r="E25" s="93">
        <f>管理费收入总表!E25-管理费收入总表!D25</f>
        <v>6.875631999999996</v>
      </c>
      <c r="F25" s="93">
        <f>管理费收入总表!F25-管理费收入总表!E25</f>
        <v>7.1529949999999829</v>
      </c>
      <c r="G25" s="93">
        <f>管理费收入总表!G25-管理费收入总表!F25</f>
        <v>8.0774179999999944</v>
      </c>
      <c r="H25" s="93">
        <f>管理费收入总表!H25-管理费收入总表!G25</f>
        <v>6.5040350000000444</v>
      </c>
      <c r="I25" s="93">
        <f>管理费收入总表!I25-管理费收入总表!H25</f>
        <v>6.8876620000001481</v>
      </c>
      <c r="J25" s="93">
        <f>管理费收入总表!J25-管理费收入总表!I25</f>
        <v>18.554463999999854</v>
      </c>
      <c r="K25" s="93">
        <f>管理费收入总表!K25-管理费收入总表!J25</f>
        <v>13.608390999999898</v>
      </c>
      <c r="L25" s="93">
        <f>管理费收入总表!L25-管理费收入总表!K25</f>
        <v>10.126267999999982</v>
      </c>
      <c r="M25" s="93">
        <f>管理费收入总表!M25-管理费收入总表!L25</f>
        <v>15.371807000000047</v>
      </c>
      <c r="N25" s="93">
        <f>管理费收入总表!N25-管理费收入总表!M25</f>
        <v>8.6630069999999648</v>
      </c>
      <c r="O25" s="93">
        <f>管理费收入总表!O25-管理费收入总表!N25</f>
        <v>302.66309700000011</v>
      </c>
      <c r="P25" s="93">
        <f>管理费收入总表!P25-管理费收入总表!O25</f>
        <v>-411.46376600000002</v>
      </c>
      <c r="R25" s="61"/>
    </row>
    <row r="26" spans="1:18" s="59" customFormat="1" ht="14.4" x14ac:dyDescent="0.25">
      <c r="A26" s="123"/>
      <c r="B26" s="123"/>
      <c r="C26" s="55" t="s">
        <v>190</v>
      </c>
      <c r="D26" s="93">
        <f>管理费收入总表!D26</f>
        <v>7.088949999999997</v>
      </c>
      <c r="E26" s="93">
        <f>管理费收入总表!E26-管理费收入总表!D26</f>
        <v>7.8948869999999971</v>
      </c>
      <c r="F26" s="93">
        <f>管理费收入总表!F26-管理费收入总表!E26</f>
        <v>8.4101379999999892</v>
      </c>
      <c r="G26" s="93">
        <f>管理费收入总表!G26-管理费收入总表!F26</f>
        <v>8.7742770000000263</v>
      </c>
      <c r="H26" s="93">
        <f>管理费收入总表!H26-管理费收入总表!G26</f>
        <v>9.0045669999999376</v>
      </c>
      <c r="I26" s="93">
        <f>管理费收入总表!I26-管理费收入总表!H26</f>
        <v>9.2610209999999427</v>
      </c>
      <c r="J26" s="93">
        <f>管理费收入总表!J26-管理费收入总表!I26</f>
        <v>9.6451670000001002</v>
      </c>
      <c r="K26" s="93">
        <f>管理费收入总表!K26-管理费收入总表!J26</f>
        <v>10.004488000000094</v>
      </c>
      <c r="L26" s="93">
        <f>管理费收入总表!L26-管理费收入总表!K26</f>
        <v>10.171826999999894</v>
      </c>
      <c r="M26" s="93">
        <f>管理费收入总表!M26-管理费收入总表!L26</f>
        <v>10.317417000000091</v>
      </c>
      <c r="N26" s="93">
        <f>管理费收入总表!N26-管理费收入总表!M26</f>
        <v>10.544794000000138</v>
      </c>
      <c r="O26" s="93">
        <f>管理费收入总表!O26-管理费收入总表!N26</f>
        <v>10.798494999999662</v>
      </c>
      <c r="P26" s="93">
        <f>管理费收入总表!P26-管理费收入总表!O26</f>
        <v>-111.91602799999987</v>
      </c>
      <c r="R26" s="61"/>
    </row>
    <row r="27" spans="1:18" s="59" customFormat="1" ht="14.4" x14ac:dyDescent="0.25">
      <c r="A27" s="123"/>
      <c r="B27" s="124"/>
      <c r="C27" s="57" t="s">
        <v>227</v>
      </c>
      <c r="D27" s="96">
        <f>管理费收入总表!D27</f>
        <v>14.06794</v>
      </c>
      <c r="E27" s="96">
        <f>管理费收入总表!E27-管理费收入总表!D27</f>
        <v>14.770518999999993</v>
      </c>
      <c r="F27" s="96">
        <f>管理费收入总表!F27-管理费收入总表!E27</f>
        <v>15.563132999999972</v>
      </c>
      <c r="G27" s="96">
        <f>管理费收入总表!G27-管理费收入总表!F27</f>
        <v>16.851695000000021</v>
      </c>
      <c r="H27" s="96">
        <f>管理费收入总表!H27-管理费收入总表!G27</f>
        <v>15.508601999999982</v>
      </c>
      <c r="I27" s="96">
        <f>管理费收入总表!I27-管理费收入总表!H27</f>
        <v>16.148683000000091</v>
      </c>
      <c r="J27" s="96">
        <f>管理费收入总表!J27-管理费收入总表!I27</f>
        <v>28.199630999999954</v>
      </c>
      <c r="K27" s="96">
        <f>管理费收入总表!K27-管理费收入总表!J27</f>
        <v>23.612878999999992</v>
      </c>
      <c r="L27" s="96">
        <f>管理费收入总表!L27-管理费收入总表!K27</f>
        <v>20.298094999999876</v>
      </c>
      <c r="M27" s="96">
        <f>管理费收入总表!M27-管理费收入总表!L27</f>
        <v>25.689224000000138</v>
      </c>
      <c r="N27" s="96">
        <f>管理费收入总表!N27-管理费收入总表!M27</f>
        <v>19.207801000000103</v>
      </c>
      <c r="O27" s="96">
        <f>管理费收入总表!O27-管理费收入总表!N27</f>
        <v>313.46159199999983</v>
      </c>
      <c r="P27" s="96">
        <f>管理费收入总表!P27-管理费收入总表!O27</f>
        <v>-523.37979399999995</v>
      </c>
      <c r="R27" s="61"/>
    </row>
    <row r="28" spans="1:18" s="59" customFormat="1" ht="14.4" x14ac:dyDescent="0.25">
      <c r="A28" s="123"/>
      <c r="B28" s="128" t="s">
        <v>233</v>
      </c>
      <c r="C28" s="55" t="s">
        <v>230</v>
      </c>
      <c r="D28" s="93">
        <f>管理费收入总表!D28</f>
        <v>63.420645999999998</v>
      </c>
      <c r="E28" s="93">
        <f>管理费收入总表!E28-管理费收入总表!D28</f>
        <v>62.816948000000004</v>
      </c>
      <c r="F28" s="93">
        <f>管理费收入总表!F28-管理费收入总表!E28</f>
        <v>56.247682999999995</v>
      </c>
      <c r="G28" s="93">
        <f>管理费收入总表!G28-管理费收入总表!F28</f>
        <v>340.801469</v>
      </c>
      <c r="H28" s="93">
        <f>管理费收入总表!H28-管理费收入总表!G28</f>
        <v>111.06559900000002</v>
      </c>
      <c r="I28" s="93">
        <f>管理费收入总表!I28-管理费收入总表!H28</f>
        <v>60.607639000000063</v>
      </c>
      <c r="J28" s="93">
        <f>管理费收入总表!J28-管理费收入总表!I28</f>
        <v>-392.25680900000009</v>
      </c>
      <c r="K28" s="93">
        <f>管理费收入总表!K28-管理费收入总表!J28</f>
        <v>67.483154000000013</v>
      </c>
      <c r="L28" s="93">
        <f>管理费收入总表!L28-管理费收入总表!K28</f>
        <v>30.59301499999998</v>
      </c>
      <c r="M28" s="93">
        <f>管理费收入总表!M28-管理费收入总表!L28</f>
        <v>82.312691000000086</v>
      </c>
      <c r="N28" s="93">
        <f>管理费收入总表!N28-管理费收入总表!M28</f>
        <v>63.621358999999927</v>
      </c>
      <c r="O28" s="93">
        <f>管理费收入总表!O28-管理费收入总表!N28</f>
        <v>45.38437399999998</v>
      </c>
      <c r="P28" s="93">
        <f>管理费收入总表!P28-管理费收入总表!O28</f>
        <v>-592.09776799999997</v>
      </c>
      <c r="R28" s="61"/>
    </row>
    <row r="29" spans="1:18" s="59" customFormat="1" ht="14.4" x14ac:dyDescent="0.25">
      <c r="A29" s="123"/>
      <c r="B29" s="129"/>
      <c r="C29" s="55" t="s">
        <v>226</v>
      </c>
      <c r="D29" s="93">
        <f>管理费收入总表!D29</f>
        <v>54.598900000000008</v>
      </c>
      <c r="E29" s="93">
        <f>管理费收入总表!E29-管理费收入总表!D29</f>
        <v>55.718977999999986</v>
      </c>
      <c r="F29" s="93">
        <f>管理费收入总表!F29-管理费收入总表!E29</f>
        <v>56.132822999999988</v>
      </c>
      <c r="G29" s="93">
        <f>管理费收入总表!G29-管理费收入总表!F29</f>
        <v>121.59593800000005</v>
      </c>
      <c r="H29" s="93">
        <f>管理费收入总表!H29-管理费收入总表!G29</f>
        <v>123.18401299999994</v>
      </c>
      <c r="I29" s="93">
        <f>管理费收入总表!I29-管理费收入总表!H29</f>
        <v>124.86624899999993</v>
      </c>
      <c r="J29" s="93">
        <f>管理费收入总表!J29-管理费收入总表!I29</f>
        <v>320.17474600000014</v>
      </c>
      <c r="K29" s="93">
        <f>管理费收入总表!K29-管理费收入总表!J29</f>
        <v>130.57344999999987</v>
      </c>
      <c r="L29" s="93">
        <f>管理费收入总表!L29-管理费收入总表!K29</f>
        <v>131.0486820000001</v>
      </c>
      <c r="M29" s="93">
        <f>管理费收入总表!M29-管理费收入总表!L29</f>
        <v>131.64692600000012</v>
      </c>
      <c r="N29" s="93">
        <f>管理费收入总表!N29-管理费收入总表!M29</f>
        <v>133.09864399999992</v>
      </c>
      <c r="O29" s="93">
        <f>管理费收入总表!O29-管理费收入总表!N29</f>
        <v>135.2011050000001</v>
      </c>
      <c r="P29" s="93">
        <f>管理费收入总表!P29-管理费收入总表!O29</f>
        <v>-1517.8404540000001</v>
      </c>
      <c r="R29" s="61"/>
    </row>
    <row r="30" spans="1:18" s="59" customFormat="1" ht="14.4" x14ac:dyDescent="0.25">
      <c r="A30" s="124"/>
      <c r="B30" s="130"/>
      <c r="C30" s="57" t="s">
        <v>227</v>
      </c>
      <c r="D30" s="96">
        <f>管理费收入总表!D30</f>
        <v>118.01954600000001</v>
      </c>
      <c r="E30" s="96">
        <f>管理费收入总表!E30-管理费收入总表!D30</f>
        <v>118.535926</v>
      </c>
      <c r="F30" s="96">
        <f>管理费收入总表!F30-管理费收入总表!E30</f>
        <v>112.38050599999997</v>
      </c>
      <c r="G30" s="96">
        <f>管理费收入总表!G30-管理费收入总表!F30</f>
        <v>462.39740700000004</v>
      </c>
      <c r="H30" s="96">
        <f>管理费收入总表!H30-管理费收入总表!G30</f>
        <v>234.24961199999996</v>
      </c>
      <c r="I30" s="96">
        <f>管理费收入总表!I30-管理费收入总表!H30</f>
        <v>185.47388799999999</v>
      </c>
      <c r="J30" s="96">
        <f>管理费收入总表!J30-管理费收入总表!I30</f>
        <v>-72.082062999999835</v>
      </c>
      <c r="K30" s="96">
        <f>管理费收入总表!K30-管理费收入总表!J30</f>
        <v>198.05660399999988</v>
      </c>
      <c r="L30" s="96">
        <f>管理费收入总表!L30-管理费收入总表!K30</f>
        <v>161.64169700000002</v>
      </c>
      <c r="M30" s="96">
        <f>管理费收入总表!M30-管理费收入总表!L30</f>
        <v>213.95961700000021</v>
      </c>
      <c r="N30" s="96">
        <f>管理费收入总表!N30-管理费收入总表!M30</f>
        <v>196.72000299999968</v>
      </c>
      <c r="O30" s="96">
        <f>管理费收入总表!O30-管理费收入总表!N30</f>
        <v>180.5854790000003</v>
      </c>
      <c r="P30" s="96">
        <f>管理费收入总表!P30-管理费收入总表!O30</f>
        <v>-2109.9382220000002</v>
      </c>
      <c r="R30" s="61"/>
    </row>
    <row r="31" spans="1:18" s="59" customFormat="1" ht="14.4" x14ac:dyDescent="0.25">
      <c r="A31" s="127" t="s">
        <v>234</v>
      </c>
      <c r="B31" s="126" t="s">
        <v>235</v>
      </c>
      <c r="C31" s="126"/>
      <c r="D31" s="93">
        <f>管理费收入总表!D31</f>
        <v>4.5225000000000001E-2</v>
      </c>
      <c r="E31" s="93">
        <f>管理费收入总表!E31-管理费收入总表!D31</f>
        <v>4.4306999999999999E-2</v>
      </c>
      <c r="F31" s="93">
        <f>管理费收入总表!F31-管理费收入总表!E31</f>
        <v>3.4839000000000009E-2</v>
      </c>
      <c r="G31" s="93">
        <f>管理费收入总表!G31-管理费收入总表!F31</f>
        <v>5.9105999999999992E-2</v>
      </c>
      <c r="H31" s="93">
        <f>管理费收入总表!H31-管理费收入总表!G31</f>
        <v>3.5944999999999977E-2</v>
      </c>
      <c r="I31" s="93">
        <f>管理费收入总表!I31-管理费收入总表!H31</f>
        <v>43.300573999999997</v>
      </c>
      <c r="J31" s="93">
        <f>管理费收入总表!J31-管理费收入总表!I31</f>
        <v>9.827071999999994</v>
      </c>
      <c r="K31" s="93">
        <f>管理费收入总表!K31-管理费收入总表!J31</f>
        <v>7.528497999999999</v>
      </c>
      <c r="L31" s="93">
        <f>管理费收入总表!L31-管理费收入总表!K31</f>
        <v>8.1163060000000087</v>
      </c>
      <c r="M31" s="93">
        <f>管理费收入总表!M31-管理费收入总表!L31</f>
        <v>11.64654800000001</v>
      </c>
      <c r="N31" s="93">
        <f>管理费收入总表!N31-管理费收入总表!M31</f>
        <v>7.4866329999999977</v>
      </c>
      <c r="O31" s="93">
        <f>管理费收入总表!O31-管理费收入总表!N31</f>
        <v>8.1042339999999911</v>
      </c>
      <c r="P31" s="94">
        <f t="shared" ref="P31:P36" si="0">SUM(C31:O31)</f>
        <v>96.229286999999999</v>
      </c>
      <c r="R31" s="61"/>
    </row>
    <row r="32" spans="1:18" s="59" customFormat="1" ht="14.4" x14ac:dyDescent="0.25">
      <c r="A32" s="127"/>
      <c r="B32" s="126" t="s">
        <v>236</v>
      </c>
      <c r="C32" s="126"/>
      <c r="D32" s="93">
        <f>管理费收入总表!D32</f>
        <v>36.062864000000005</v>
      </c>
      <c r="E32" s="93">
        <f>管理费收入总表!E32-管理费收入总表!D32</f>
        <v>36.374497999999988</v>
      </c>
      <c r="F32" s="93">
        <f>管理费收入总表!F32-管理费收入总表!E32</f>
        <v>39.315000000000012</v>
      </c>
      <c r="G32" s="93">
        <f>管理费收入总表!G32-管理费收入总表!F32</f>
        <v>3.208999999998241E-3</v>
      </c>
      <c r="H32" s="93">
        <f>管理费收入总表!H32-管理费收入总表!G32</f>
        <v>39.924463000000003</v>
      </c>
      <c r="I32" s="93">
        <f>管理费收入总表!I32-管理费收入总表!H32</f>
        <v>39.720156999999972</v>
      </c>
      <c r="J32" s="93">
        <f>管理费收入总表!J32-管理费收入总表!I32</f>
        <v>41.533913000000013</v>
      </c>
      <c r="K32" s="93">
        <f>管理费收入总表!K32-管理费收入总表!J32</f>
        <v>38.195219000000009</v>
      </c>
      <c r="L32" s="93">
        <f>管理费收入总表!L32-管理费收入总表!K32</f>
        <v>40.413905</v>
      </c>
      <c r="M32" s="93">
        <f>管理费收入总表!M32-管理费收入总表!L32</f>
        <v>41.220159000000024</v>
      </c>
      <c r="N32" s="93">
        <f>管理费收入总表!N32-管理费收入总表!M32</f>
        <v>40.911988999999949</v>
      </c>
      <c r="O32" s="93">
        <f>管理费收入总表!O32-管理费收入总表!N32</f>
        <v>42.794986999999992</v>
      </c>
      <c r="P32" s="94">
        <f t="shared" si="0"/>
        <v>436.47036299999996</v>
      </c>
      <c r="R32" s="61"/>
    </row>
    <row r="33" spans="1:18" s="59" customFormat="1" ht="14.4" x14ac:dyDescent="0.25">
      <c r="A33" s="127"/>
      <c r="B33" s="126" t="s">
        <v>237</v>
      </c>
      <c r="C33" s="126"/>
      <c r="D33" s="93">
        <f>管理费收入总表!D33-管理费收入总表!C33</f>
        <v>1.3966040000000002</v>
      </c>
      <c r="E33" s="93">
        <f>管理费收入总表!E33-管理费收入总表!D33</f>
        <v>1.3983959999999998</v>
      </c>
      <c r="F33" s="93">
        <f>管理费收入总表!F33-管理费收入总表!E33</f>
        <v>1.4110379999999996</v>
      </c>
      <c r="G33" s="93">
        <f>管理费收入总表!G33-管理费收入总表!F33</f>
        <v>1.4799050000000005</v>
      </c>
      <c r="H33" s="93">
        <f>管理费收入总表!H33-管理费收入总表!G33</f>
        <v>1.5137739999999997</v>
      </c>
      <c r="I33" s="93">
        <f>管理费收入总表!I33-管理费收入总表!H33</f>
        <v>1.5604720000000007</v>
      </c>
      <c r="J33" s="93">
        <f>管理费收入总表!J33-管理费收入总表!I33</f>
        <v>1.5631129999999995</v>
      </c>
      <c r="K33" s="93">
        <f>管理费收入总表!K33-管理费收入总表!J33</f>
        <v>1.5985849999999999</v>
      </c>
      <c r="L33" s="93">
        <f>管理费收入总表!L33-管理费收入总表!K33</f>
        <v>1.5554709999999989</v>
      </c>
      <c r="M33" s="93">
        <f>管理费收入总表!M33-管理费收入总表!L33</f>
        <v>1.5580189999999998</v>
      </c>
      <c r="N33" s="93">
        <f>管理费收入总表!N33-管理费收入总表!M33</f>
        <v>1.5448120000000021</v>
      </c>
      <c r="O33" s="93">
        <f>管理费收入总表!O33-管理费收入总表!N33</f>
        <v>1.5634900000000016</v>
      </c>
      <c r="P33" s="94">
        <f t="shared" si="0"/>
        <v>18.143679000000002</v>
      </c>
      <c r="R33" s="61"/>
    </row>
    <row r="34" spans="1:18" s="59" customFormat="1" ht="14.4" x14ac:dyDescent="0.25">
      <c r="A34" s="127"/>
      <c r="B34" s="126" t="s">
        <v>238</v>
      </c>
      <c r="C34" s="126"/>
      <c r="D34" s="93">
        <f>管理费收入总表!D34-管理费收入总表!C34</f>
        <v>37.50469300000001</v>
      </c>
      <c r="E34" s="93">
        <f>管理费收入总表!E34-管理费收入总表!D34</f>
        <v>37.81720099999999</v>
      </c>
      <c r="F34" s="93">
        <f>管理费收入总表!F34-管理费收入总表!E34</f>
        <v>40.760877000000008</v>
      </c>
      <c r="G34" s="93">
        <f>管理费收入总表!G34-管理费收入总表!F34</f>
        <v>1.5422199999999862</v>
      </c>
      <c r="H34" s="93">
        <f>管理费收入总表!H34-管理费收入总表!G34</f>
        <v>41.474182000000013</v>
      </c>
      <c r="I34" s="93">
        <f>管理费收入总表!I34-管理费收入总表!H34</f>
        <v>84.58120299999996</v>
      </c>
      <c r="J34" s="93">
        <f>管理费收入总表!J34-管理费收入总表!I34</f>
        <v>52.924098000000015</v>
      </c>
      <c r="K34" s="93">
        <f>管理费收入总表!K34-管理费收入总表!J34</f>
        <v>47.322302000000036</v>
      </c>
      <c r="L34" s="93">
        <f>管理费收入总表!L34-管理费收入总表!K34</f>
        <v>50.085681999999963</v>
      </c>
      <c r="M34" s="93">
        <f>管理费收入总表!M34-管理费收入总表!L34</f>
        <v>54.424726000000021</v>
      </c>
      <c r="N34" s="93">
        <f>管理费收入总表!N34-管理费收入总表!M34</f>
        <v>49.943434000000025</v>
      </c>
      <c r="O34" s="93">
        <f>管理费收入总表!O34-管理费收入总表!N34</f>
        <v>52.462711000000013</v>
      </c>
      <c r="P34" s="95">
        <f t="shared" si="0"/>
        <v>550.84332900000004</v>
      </c>
      <c r="R34" s="64"/>
    </row>
    <row r="35" spans="1:18" s="59" customFormat="1" ht="14.4" x14ac:dyDescent="0.25">
      <c r="A35" s="128" t="s">
        <v>663</v>
      </c>
      <c r="B35" s="131" t="s">
        <v>664</v>
      </c>
      <c r="C35" s="132"/>
      <c r="D35" s="93">
        <f>管理费收入总表!D35-管理费收入总表!C35</f>
        <v>29.549662999999999</v>
      </c>
      <c r="E35" s="93">
        <f>管理费收入总表!E35-管理费收入总表!D35</f>
        <v>29.910140000000002</v>
      </c>
      <c r="F35" s="93">
        <f>管理费收入总表!F35-管理费收入总表!E35</f>
        <v>30.085384999999995</v>
      </c>
      <c r="G35" s="93">
        <f>管理费收入总表!G35-管理费收入总表!F35</f>
        <v>-58.543357</v>
      </c>
      <c r="H35" s="93">
        <f>管理费收入总表!H35-管理费收入总表!G35</f>
        <v>123.22360200000001</v>
      </c>
      <c r="I35" s="93">
        <f>管理费收入总表!I35-管理费收入总表!H35</f>
        <v>34.380122</v>
      </c>
      <c r="J35" s="93">
        <f>管理费收入总表!J35-管理费收入总表!I35</f>
        <v>35.246722999999974</v>
      </c>
      <c r="K35" s="93">
        <f>管理费收入总表!K35-管理费收入总表!J35</f>
        <v>37.931673000000018</v>
      </c>
      <c r="L35" s="93">
        <f>管理费收入总表!L35-管理费收入总表!K35</f>
        <v>39.125184999999988</v>
      </c>
      <c r="M35" s="93">
        <f>管理费收入总表!M35-管理费收入总表!L35</f>
        <v>38.706426000000022</v>
      </c>
      <c r="N35" s="93">
        <f>管理费收入总表!N35-管理费收入总表!M35</f>
        <v>39.580711000000008</v>
      </c>
      <c r="O35" s="93">
        <f>管理费收入总表!O35-管理费收入总表!N35</f>
        <v>37.270093999999972</v>
      </c>
      <c r="P35" s="94">
        <f t="shared" si="0"/>
        <v>416.46636699999999</v>
      </c>
      <c r="R35" s="64"/>
    </row>
    <row r="36" spans="1:18" s="59" customFormat="1" ht="14.4" x14ac:dyDescent="0.25">
      <c r="A36" s="129"/>
      <c r="B36" s="131" t="s">
        <v>665</v>
      </c>
      <c r="C36" s="132"/>
      <c r="D36" s="93">
        <f>管理费收入总表!D36-管理费收入总表!C36</f>
        <v>20.067734999999999</v>
      </c>
      <c r="E36" s="93">
        <f>管理费收入总表!E36-管理费收入总表!D36</f>
        <v>21.128215000000004</v>
      </c>
      <c r="F36" s="93">
        <f>管理费收入总表!F36-管理费收入总表!E36</f>
        <v>22.979257999999994</v>
      </c>
      <c r="G36" s="93">
        <f>管理费收入总表!G36-管理费收入总表!F36</f>
        <v>23.926970999999995</v>
      </c>
      <c r="H36" s="93">
        <f>管理费收入总表!H36-管理费收入总表!G36</f>
        <v>25.317983000000012</v>
      </c>
      <c r="I36" s="93">
        <f>管理费收入总表!I36-管理费收入总表!H36</f>
        <v>26.54635399999998</v>
      </c>
      <c r="J36" s="93">
        <f>管理费收入总表!J36-管理费收入总表!I36</f>
        <v>29.583907000000011</v>
      </c>
      <c r="K36" s="93">
        <f>管理费收入总表!K36-管理费收入总表!J36</f>
        <v>31.486198000000002</v>
      </c>
      <c r="L36" s="93">
        <f>管理费收入总表!L36-管理费收入总表!K36</f>
        <v>32.923068999999998</v>
      </c>
      <c r="M36" s="93">
        <f>管理费收入总表!M36-管理费收入总表!L36</f>
        <v>33.671218000000039</v>
      </c>
      <c r="N36" s="93">
        <f>管理费收入总表!N36-管理费收入总表!M36</f>
        <v>33.56404299999997</v>
      </c>
      <c r="O36" s="93">
        <f>管理费收入总表!O36-管理费收入总表!N36</f>
        <v>34.969379999999944</v>
      </c>
      <c r="P36" s="94">
        <f t="shared" si="0"/>
        <v>336.16433099999995</v>
      </c>
      <c r="R36" s="64"/>
    </row>
    <row r="37" spans="1:18" ht="14.4" x14ac:dyDescent="0.25">
      <c r="A37" s="130"/>
      <c r="B37" s="131" t="s">
        <v>666</v>
      </c>
      <c r="C37" s="132"/>
      <c r="D37" s="93">
        <f>管理费收入总表!D37-管理费收入总表!C37</f>
        <v>49.617397999999994</v>
      </c>
      <c r="E37" s="93">
        <f>管理费收入总表!E37-管理费收入总表!D37</f>
        <v>51.03835500000001</v>
      </c>
      <c r="F37" s="93">
        <f>管理费收入总表!F37-管理费收入总表!E37</f>
        <v>53.06464299999999</v>
      </c>
      <c r="G37" s="93">
        <f>管理费收入总表!G37-管理费收入总表!F37</f>
        <v>-34.616386000000006</v>
      </c>
      <c r="H37" s="93">
        <f>管理费收入总表!H37-管理费收入总表!G37</f>
        <v>148.54158500000003</v>
      </c>
      <c r="I37" s="93">
        <f>管理费收入总表!I37-管理费收入总表!H37</f>
        <v>60.92647599999998</v>
      </c>
      <c r="J37" s="93">
        <f>管理费收入总表!J37-管理费收入总表!I37</f>
        <v>64.830629999999985</v>
      </c>
      <c r="K37" s="93">
        <f>管理费收入总表!K37-管理费收入总表!J37</f>
        <v>69.417870999999991</v>
      </c>
      <c r="L37" s="93">
        <f>管理费收入总表!L37-管理费收入总表!K37</f>
        <v>72.048254000000043</v>
      </c>
      <c r="M37" s="93">
        <f>管理费收入总表!M37-管理费收入总表!L37</f>
        <v>72.377644000000032</v>
      </c>
      <c r="N37" s="93">
        <f>管理费收入总表!N37-管理费收入总表!M37</f>
        <v>73.144753999999921</v>
      </c>
      <c r="O37" s="93">
        <f>管理费收入总表!O37-管理费收入总表!N37</f>
        <v>72.239473999999973</v>
      </c>
      <c r="P37" s="95">
        <f>SUM(P34:P36)+P30</f>
        <v>-806.46419500000025</v>
      </c>
    </row>
    <row r="38" spans="1:18" ht="14.4" x14ac:dyDescent="0.25">
      <c r="A38" s="112" t="s">
        <v>212</v>
      </c>
      <c r="B38" s="112"/>
      <c r="C38" s="112"/>
      <c r="D38" s="93">
        <f>管理费收入总表!D38-管理费收入总表!C38</f>
        <v>126.60303400000001</v>
      </c>
      <c r="E38" s="93">
        <f>管理费收入总表!E38-管理费收入总表!D38</f>
        <v>121.33883600000001</v>
      </c>
      <c r="F38" s="93">
        <f>管理费收入总表!F38-管理费收入总表!E38</f>
        <v>132.98848899999999</v>
      </c>
      <c r="G38" s="93">
        <f>管理费收入总表!G38-管理费收入总表!F38</f>
        <v>131.36739199999994</v>
      </c>
      <c r="H38" s="93">
        <f>管理费收入总表!H38-管理费收入总表!G38</f>
        <v>138.042146</v>
      </c>
      <c r="I38" s="93">
        <f>管理费收入总表!I38-管理费收入总表!H38</f>
        <v>144.38134500000001</v>
      </c>
      <c r="J38" s="93">
        <f>管理费收入总表!J38-管理费收入总表!I38</f>
        <v>146.92731800000001</v>
      </c>
      <c r="K38" s="93">
        <f>管理费收入总表!K38-管理费收入总表!J38</f>
        <v>151.29994500000009</v>
      </c>
      <c r="L38" s="93">
        <f>管理费收入总表!L38-管理费收入总表!K38</f>
        <v>157.04257499999994</v>
      </c>
      <c r="M38" s="93">
        <f>管理费收入总表!M38-管理费收入总表!L38</f>
        <v>163.55806600000005</v>
      </c>
      <c r="N38" s="93">
        <f>管理费收入总表!N38-管理费收入总表!M38</f>
        <v>156.32720199999994</v>
      </c>
      <c r="O38" s="93">
        <f>管理费收入总表!O38-管理费收入总表!N38</f>
        <v>160.65836600000011</v>
      </c>
      <c r="P38" s="95">
        <f t="shared" ref="P38:P40" si="1">SUM(P35:P37)+P31</f>
        <v>42.395789999999693</v>
      </c>
    </row>
    <row r="39" spans="1:18" ht="14.4" x14ac:dyDescent="0.25">
      <c r="A39" s="112" t="s">
        <v>213</v>
      </c>
      <c r="B39" s="112"/>
      <c r="C39" s="112"/>
      <c r="D39" s="93">
        <f>管理费收入总表!D39-管理费收入总表!C39</f>
        <v>22.36007</v>
      </c>
      <c r="E39" s="93">
        <f>管理费收入总表!E39-管理费收入总表!D39</f>
        <v>222.52437199999997</v>
      </c>
      <c r="F39" s="93">
        <f>管理费收入总表!F39-管理费收入总表!E39</f>
        <v>44.917532000000051</v>
      </c>
      <c r="G39" s="93">
        <f>管理费收入总表!G39-管理费收入总表!F39</f>
        <v>50.010408999999981</v>
      </c>
      <c r="H39" s="93">
        <f>管理费收入总表!H39-管理费收入总表!G39</f>
        <v>136.18535099999997</v>
      </c>
      <c r="I39" s="93">
        <f>管理费收入总表!I39-管理费收入总表!H39</f>
        <v>158.58100800000005</v>
      </c>
      <c r="J39" s="93">
        <f>管理费收入总表!J39-管理费收入总表!I39</f>
        <v>55.858028999999988</v>
      </c>
      <c r="K39" s="93">
        <f>管理费收入总表!K39-管理费收入总表!J39</f>
        <v>58.526512999999909</v>
      </c>
      <c r="L39" s="93">
        <f>管理费收入总表!L39-管理费收入总表!K39</f>
        <v>57.619192999999996</v>
      </c>
      <c r="M39" s="93">
        <f>管理费收入总表!M39-管理费收入总表!L39</f>
        <v>56.02588900000012</v>
      </c>
      <c r="N39" s="93">
        <f>管理费收入总表!N39-管理费收入总表!M39</f>
        <v>56.887878999999884</v>
      </c>
      <c r="O39" s="93">
        <f>管理费收入总表!O39-管理费收入总表!N39</f>
        <v>93.330368000000135</v>
      </c>
      <c r="P39" s="95">
        <f t="shared" si="1"/>
        <v>8.5662889999993581</v>
      </c>
    </row>
    <row r="40" spans="1:18" ht="14.4" x14ac:dyDescent="0.25">
      <c r="A40" s="126" t="s">
        <v>214</v>
      </c>
      <c r="B40" s="126"/>
      <c r="C40" s="126"/>
      <c r="D40" s="58">
        <f>D30++D34+SUM(D37:D39)</f>
        <v>354.10474100000005</v>
      </c>
      <c r="E40" s="58">
        <f t="shared" ref="E40:O40" si="2">E30++E34+SUM(E37:E39)</f>
        <v>551.25468999999998</v>
      </c>
      <c r="F40" s="58">
        <f t="shared" si="2"/>
        <v>384.11204699999996</v>
      </c>
      <c r="G40" s="58">
        <f t="shared" si="2"/>
        <v>610.70104199999992</v>
      </c>
      <c r="H40" s="58">
        <f t="shared" si="2"/>
        <v>698.49287600000002</v>
      </c>
      <c r="I40" s="58">
        <f t="shared" si="2"/>
        <v>633.94391999999993</v>
      </c>
      <c r="J40" s="58">
        <f t="shared" si="2"/>
        <v>248.45801200000017</v>
      </c>
      <c r="K40" s="58">
        <f t="shared" si="2"/>
        <v>524.62323499999991</v>
      </c>
      <c r="L40" s="58">
        <f t="shared" si="2"/>
        <v>498.43740099999997</v>
      </c>
      <c r="M40" s="58">
        <f t="shared" si="2"/>
        <v>560.34594200000038</v>
      </c>
      <c r="N40" s="58">
        <f t="shared" si="2"/>
        <v>533.02327199999945</v>
      </c>
      <c r="O40" s="58">
        <f t="shared" si="2"/>
        <v>559.27639800000054</v>
      </c>
      <c r="P40" s="95">
        <f t="shared" si="1"/>
        <v>-737.35843700000123</v>
      </c>
    </row>
  </sheetData>
  <mergeCells count="21">
    <mergeCell ref="B28:B30"/>
    <mergeCell ref="A31:A34"/>
    <mergeCell ref="B31:C31"/>
    <mergeCell ref="B32:C32"/>
    <mergeCell ref="B33:C33"/>
    <mergeCell ref="A40:C40"/>
    <mergeCell ref="B34:C34"/>
    <mergeCell ref="A1:P1"/>
    <mergeCell ref="A35:A37"/>
    <mergeCell ref="B35:C35"/>
    <mergeCell ref="B36:C36"/>
    <mergeCell ref="B37:C37"/>
    <mergeCell ref="B25:B27"/>
    <mergeCell ref="A4:A30"/>
    <mergeCell ref="B4:B6"/>
    <mergeCell ref="B7:B9"/>
    <mergeCell ref="B10:B12"/>
    <mergeCell ref="B13:B15"/>
    <mergeCell ref="B16:B18"/>
    <mergeCell ref="B19:B21"/>
    <mergeCell ref="B22:B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管理费收入总表</vt:lpstr>
      <vt:lpstr>管理费拆分汇总</vt:lpstr>
      <vt:lpstr>可提费用汇总</vt:lpstr>
      <vt:lpstr>单一受托</vt:lpstr>
      <vt:lpstr>单一投管</vt:lpstr>
      <vt:lpstr>单一账管</vt:lpstr>
      <vt:lpstr>集合计划</vt:lpstr>
      <vt:lpstr>养老金产品</vt:lpstr>
      <vt:lpstr>职业年金受托管理费</vt:lpstr>
      <vt:lpstr>职业年金投资管理费</vt:lpstr>
      <vt:lpstr>养老保障</vt:lpstr>
      <vt:lpstr>管理费收入分月表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2018-05-07T05:50:25Z</dcterms:created>
  <dcterms:modified xsi:type="dcterms:W3CDTF">2021-01-12T06:09:27Z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1e55378f-c6f0-4af9-8a23-d04005bd8bd8</vt:lpwstr>
  </property>
</Properties>
</file>