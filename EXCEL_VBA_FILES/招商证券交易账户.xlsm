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6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" sheetId="20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逐日资产统计!$A$1:$J$1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19" r:id="rId10"/>
  </pivotCaches>
</workbook>
</file>

<file path=xl/calcChain.xml><?xml version="1.0" encoding="utf-8"?>
<calcChain xmlns="http://schemas.openxmlformats.org/spreadsheetml/2006/main">
  <c r="G8" i="19" l="1"/>
  <c r="F8" i="19"/>
  <c r="I8" i="19"/>
  <c r="J8" i="19" s="1"/>
  <c r="H8" i="19" l="1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M4" i="21" l="1"/>
  <c r="M3" i="21"/>
  <c r="F3" i="21" l="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H5" i="21" l="1"/>
  <c r="K3" i="21"/>
  <c r="F4" i="21"/>
  <c r="G3" i="21"/>
  <c r="I3" i="21"/>
  <c r="Q3" i="21"/>
  <c r="S3" i="21" s="1"/>
  <c r="V3" i="21" s="1"/>
  <c r="F7" i="19"/>
  <c r="G7" i="19"/>
  <c r="H7" i="19" s="1"/>
  <c r="I7" i="19"/>
  <c r="K4" i="21" l="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7" i="21" l="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7" i="21" l="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H9" i="21" l="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Q9" i="21" l="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S9" i="21" l="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V9" i="21" l="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W10" i="21" l="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W11" i="21" l="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W12" i="21" l="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E49" i="20"/>
  <c r="M64" i="20" s="1"/>
  <c r="W13" i="21" l="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N64" i="20"/>
  <c r="N60" i="20"/>
  <c r="M60" i="20"/>
  <c r="N63" i="20"/>
  <c r="M63" i="20"/>
  <c r="N62" i="20"/>
  <c r="M62" i="20"/>
  <c r="N59" i="20"/>
  <c r="N61" i="20"/>
  <c r="M61" i="20"/>
  <c r="M59" i="20"/>
  <c r="W14" i="21" l="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M65" i="20"/>
  <c r="N65" i="20"/>
  <c r="M53" i="20"/>
  <c r="N53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W15" i="21" l="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M66" i="20"/>
  <c r="N66" i="20"/>
  <c r="M54" i="20"/>
  <c r="N54" i="20"/>
  <c r="M74" i="20" l="1"/>
  <c r="N74" i="20"/>
  <c r="V7" i="15"/>
  <c r="W7" i="15" s="1"/>
  <c r="X7" i="15" s="1"/>
  <c r="L7" i="15"/>
  <c r="AC7" i="15"/>
  <c r="AD7" i="15" s="1"/>
  <c r="P7" i="15"/>
  <c r="J7" i="15"/>
  <c r="AA6" i="15"/>
  <c r="AA7" i="15"/>
  <c r="Y6" i="15"/>
  <c r="M68" i="20"/>
  <c r="N68" i="20"/>
  <c r="M67" i="20"/>
  <c r="N67" i="20"/>
  <c r="M55" i="20"/>
  <c r="N55" i="20"/>
  <c r="M75" i="20" l="1"/>
  <c r="N75" i="20"/>
  <c r="AA5" i="15"/>
  <c r="Y7" i="15"/>
  <c r="M69" i="20"/>
  <c r="N69" i="20"/>
  <c r="N57" i="20"/>
  <c r="M57" i="20"/>
  <c r="M56" i="20"/>
  <c r="N56" i="20"/>
  <c r="N76" i="20" l="1"/>
  <c r="M76" i="20"/>
  <c r="N70" i="20"/>
  <c r="M70" i="20"/>
  <c r="M58" i="20"/>
  <c r="N58" i="20"/>
  <c r="J17" i="16"/>
  <c r="K17" i="16"/>
  <c r="L17" i="16"/>
  <c r="M17" i="16"/>
  <c r="J16" i="16"/>
  <c r="K16" i="16"/>
  <c r="L16" i="16"/>
  <c r="M16" i="16"/>
  <c r="M78" i="20" l="1"/>
  <c r="N78" i="20"/>
  <c r="M77" i="20"/>
  <c r="N77" i="20"/>
  <c r="M71" i="20"/>
  <c r="N71" i="20"/>
  <c r="J14" i="16"/>
  <c r="K14" i="16"/>
  <c r="L14" i="16"/>
  <c r="M14" i="16"/>
  <c r="J15" i="16"/>
  <c r="K15" i="16"/>
  <c r="L15" i="16"/>
  <c r="M15" i="16"/>
  <c r="E80" i="20" l="1"/>
  <c r="N79" i="20"/>
  <c r="M79" i="20"/>
  <c r="M72" i="20"/>
  <c r="N72" i="20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E81" i="20" l="1"/>
  <c r="N80" i="20"/>
  <c r="M80" i="20"/>
  <c r="N73" i="20"/>
  <c r="M73" i="20"/>
  <c r="J9" i="16"/>
  <c r="K9" i="16"/>
  <c r="L9" i="16"/>
  <c r="M9" i="16"/>
  <c r="E82" i="20" l="1"/>
  <c r="M81" i="20"/>
  <c r="N81" i="20"/>
  <c r="J3" i="18"/>
  <c r="J4" i="18"/>
  <c r="J5" i="18"/>
  <c r="J6" i="18"/>
  <c r="J7" i="18"/>
  <c r="J8" i="18"/>
  <c r="J9" i="18"/>
  <c r="J10" i="18"/>
  <c r="J2" i="18"/>
  <c r="E83" i="20" l="1"/>
  <c r="M82" i="20"/>
  <c r="N82" i="20"/>
  <c r="J8" i="16"/>
  <c r="K8" i="16"/>
  <c r="L8" i="16"/>
  <c r="M8" i="16"/>
  <c r="J7" i="16"/>
  <c r="K7" i="16"/>
  <c r="L7" i="16"/>
  <c r="M7" i="16"/>
  <c r="E84" i="20" l="1"/>
  <c r="N83" i="20"/>
  <c r="M83" i="20"/>
  <c r="J6" i="16"/>
  <c r="K6" i="16"/>
  <c r="L6" i="16"/>
  <c r="M6" i="16"/>
  <c r="E85" i="20" l="1"/>
  <c r="N84" i="20"/>
  <c r="M84" i="20"/>
  <c r="M12" i="20"/>
  <c r="N12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J5" i="16"/>
  <c r="K5" i="16"/>
  <c r="L5" i="16"/>
  <c r="M5" i="16"/>
  <c r="E86" i="20" l="1"/>
  <c r="M85" i="20"/>
  <c r="N85" i="20"/>
  <c r="M13" i="20"/>
  <c r="N13" i="20"/>
  <c r="E4" i="17"/>
  <c r="E87" i="20" l="1"/>
  <c r="M86" i="20"/>
  <c r="N86" i="20"/>
  <c r="N14" i="20"/>
  <c r="M14" i="20"/>
  <c r="N3" i="20"/>
  <c r="M3" i="20"/>
  <c r="F3" i="20"/>
  <c r="F4" i="20" s="1"/>
  <c r="K2" i="20"/>
  <c r="I2" i="20" s="1"/>
  <c r="AC2" i="20" s="1"/>
  <c r="AD2" i="20" s="1"/>
  <c r="J2" i="20"/>
  <c r="E88" i="20" l="1"/>
  <c r="M87" i="20"/>
  <c r="N87" i="20"/>
  <c r="H3" i="20"/>
  <c r="H4" i="20" s="1"/>
  <c r="Q4" i="20" s="1"/>
  <c r="M16" i="20"/>
  <c r="N16" i="20"/>
  <c r="M15" i="20"/>
  <c r="N15" i="20"/>
  <c r="K4" i="20"/>
  <c r="F5" i="20"/>
  <c r="K3" i="20"/>
  <c r="F4" i="15"/>
  <c r="K4" i="15" s="1"/>
  <c r="M4" i="15"/>
  <c r="N4" i="15"/>
  <c r="E89" i="20" l="1"/>
  <c r="N88" i="20"/>
  <c r="M88" i="20"/>
  <c r="I3" i="20"/>
  <c r="L3" i="20" s="1"/>
  <c r="G3" i="20"/>
  <c r="J3" i="20" s="1"/>
  <c r="G4" i="20"/>
  <c r="P4" i="20" s="1"/>
  <c r="Q3" i="20"/>
  <c r="S3" i="20" s="1"/>
  <c r="V3" i="20" s="1"/>
  <c r="H5" i="20"/>
  <c r="H6" i="20" s="1"/>
  <c r="I4" i="20"/>
  <c r="AC4" i="20" s="1"/>
  <c r="AD4" i="20" s="1"/>
  <c r="M20" i="20"/>
  <c r="N20" i="20"/>
  <c r="M18" i="20"/>
  <c r="N18" i="20"/>
  <c r="M17" i="20"/>
  <c r="N17" i="20"/>
  <c r="K5" i="20"/>
  <c r="F6" i="20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E90" i="20" l="1"/>
  <c r="M89" i="20"/>
  <c r="N89" i="20"/>
  <c r="P3" i="20"/>
  <c r="AC3" i="20"/>
  <c r="AD3" i="20" s="1"/>
  <c r="T3" i="20"/>
  <c r="U3" i="20" s="1"/>
  <c r="Z3" i="20" s="1"/>
  <c r="J4" i="20"/>
  <c r="S4" i="20"/>
  <c r="V4" i="20" s="1"/>
  <c r="G5" i="20"/>
  <c r="J5" i="20" s="1"/>
  <c r="Q5" i="20"/>
  <c r="L4" i="20"/>
  <c r="I5" i="20"/>
  <c r="M21" i="20"/>
  <c r="N21" i="20"/>
  <c r="N19" i="20"/>
  <c r="M19" i="20"/>
  <c r="Q6" i="20"/>
  <c r="G6" i="20"/>
  <c r="H7" i="20"/>
  <c r="F7" i="20"/>
  <c r="K6" i="20"/>
  <c r="I6" i="20" s="1"/>
  <c r="AC6" i="20" s="1"/>
  <c r="AD6" i="20" s="1"/>
  <c r="I4" i="15"/>
  <c r="AC4" i="15" s="1"/>
  <c r="AD4" i="15" s="1"/>
  <c r="Q4" i="15"/>
  <c r="J4" i="15"/>
  <c r="P4" i="15"/>
  <c r="E91" i="20" l="1"/>
  <c r="M90" i="20"/>
  <c r="N90" i="20"/>
  <c r="L5" i="20"/>
  <c r="AA4" i="20" s="1"/>
  <c r="AC5" i="20"/>
  <c r="AD5" i="20" s="1"/>
  <c r="L4" i="15"/>
  <c r="W3" i="20"/>
  <c r="X3" i="20" s="1"/>
  <c r="Y3" i="20" s="1"/>
  <c r="S5" i="20"/>
  <c r="T4" i="20"/>
  <c r="U4" i="20" s="1"/>
  <c r="Z4" i="20" s="1"/>
  <c r="P5" i="20"/>
  <c r="N23" i="20"/>
  <c r="M23" i="20"/>
  <c r="N22" i="20"/>
  <c r="M22" i="20"/>
  <c r="J6" i="20"/>
  <c r="P6" i="20"/>
  <c r="L6" i="20"/>
  <c r="K7" i="20"/>
  <c r="I7" i="20" s="1"/>
  <c r="AC7" i="20" s="1"/>
  <c r="AD7" i="20" s="1"/>
  <c r="F8" i="20"/>
  <c r="H8" i="20"/>
  <c r="G7" i="20"/>
  <c r="Q7" i="20"/>
  <c r="H2" i="17"/>
  <c r="E92" i="20" l="1"/>
  <c r="N91" i="20"/>
  <c r="M91" i="20"/>
  <c r="AA5" i="20"/>
  <c r="S6" i="20"/>
  <c r="V6" i="20" s="1"/>
  <c r="V5" i="20"/>
  <c r="W4" i="20"/>
  <c r="X4" i="20" s="1"/>
  <c r="Y4" i="20" s="1"/>
  <c r="T5" i="20"/>
  <c r="U5" i="20" s="1"/>
  <c r="Z5" i="20" s="1"/>
  <c r="M26" i="20"/>
  <c r="N26" i="20"/>
  <c r="M25" i="20"/>
  <c r="N25" i="20"/>
  <c r="M24" i="20"/>
  <c r="N24" i="20"/>
  <c r="P7" i="20"/>
  <c r="J7" i="20"/>
  <c r="H9" i="20"/>
  <c r="G8" i="20"/>
  <c r="Q8" i="20"/>
  <c r="L7" i="20"/>
  <c r="F9" i="20"/>
  <c r="K8" i="20"/>
  <c r="I8" i="20" s="1"/>
  <c r="AC8" i="20" s="1"/>
  <c r="AD8" i="20" s="1"/>
  <c r="N3" i="15"/>
  <c r="M3" i="15"/>
  <c r="F3" i="15"/>
  <c r="K2" i="15"/>
  <c r="I2" i="15" s="1"/>
  <c r="AC2" i="15" s="1"/>
  <c r="AD2" i="15" s="1"/>
  <c r="J2" i="15"/>
  <c r="E93" i="20" l="1"/>
  <c r="N92" i="20"/>
  <c r="M92" i="20"/>
  <c r="T6" i="20"/>
  <c r="U6" i="20" s="1"/>
  <c r="Z6" i="20" s="1"/>
  <c r="S7" i="20"/>
  <c r="V7" i="20" s="1"/>
  <c r="AA6" i="20"/>
  <c r="W5" i="20"/>
  <c r="X5" i="20" s="1"/>
  <c r="Y5" i="20" s="1"/>
  <c r="M27" i="20"/>
  <c r="N27" i="20"/>
  <c r="K9" i="20"/>
  <c r="I9" i="20" s="1"/>
  <c r="AC9" i="20" s="1"/>
  <c r="AD9" i="20" s="1"/>
  <c r="F10" i="20"/>
  <c r="J8" i="20"/>
  <c r="P8" i="20"/>
  <c r="Q9" i="20"/>
  <c r="H10" i="20"/>
  <c r="G9" i="20"/>
  <c r="L8" i="20"/>
  <c r="H3" i="15"/>
  <c r="K3" i="15"/>
  <c r="W6" i="20" l="1"/>
  <c r="X6" i="20" s="1"/>
  <c r="Y6" i="20" s="1"/>
  <c r="E94" i="20"/>
  <c r="M93" i="20"/>
  <c r="N93" i="20"/>
  <c r="T7" i="20"/>
  <c r="U7" i="20" s="1"/>
  <c r="Z7" i="20" s="1"/>
  <c r="S8" i="20"/>
  <c r="V8" i="20" s="1"/>
  <c r="AA7" i="20"/>
  <c r="W7" i="20"/>
  <c r="X7" i="20" s="1"/>
  <c r="Y7" i="20" s="1"/>
  <c r="M28" i="20"/>
  <c r="N28" i="20"/>
  <c r="P9" i="20"/>
  <c r="J9" i="20"/>
  <c r="H11" i="20"/>
  <c r="H12" i="20" s="1"/>
  <c r="G10" i="20"/>
  <c r="Q10" i="20"/>
  <c r="F11" i="20"/>
  <c r="F12" i="20" s="1"/>
  <c r="K10" i="20"/>
  <c r="I10" i="20" s="1"/>
  <c r="AC10" i="20" s="1"/>
  <c r="AD10" i="20" s="1"/>
  <c r="L9" i="20"/>
  <c r="G3" i="15"/>
  <c r="Q3" i="15"/>
  <c r="S3" i="15" s="1"/>
  <c r="I3" i="15"/>
  <c r="L3" i="15" s="1"/>
  <c r="P3" i="15"/>
  <c r="J3" i="15"/>
  <c r="E95" i="20" l="1"/>
  <c r="M94" i="20"/>
  <c r="N94" i="20"/>
  <c r="S9" i="20"/>
  <c r="T9" i="20" s="1"/>
  <c r="U9" i="20" s="1"/>
  <c r="Z9" i="20" s="1"/>
  <c r="T8" i="20"/>
  <c r="U8" i="20" s="1"/>
  <c r="Z8" i="20" s="1"/>
  <c r="AA8" i="20"/>
  <c r="T3" i="15"/>
  <c r="U3" i="15" s="1"/>
  <c r="Z3" i="15" s="1"/>
  <c r="S4" i="15"/>
  <c r="M30" i="20"/>
  <c r="N30" i="20"/>
  <c r="N29" i="20"/>
  <c r="M29" i="20"/>
  <c r="F13" i="20"/>
  <c r="K12" i="20"/>
  <c r="I12" i="20" s="1"/>
  <c r="AC12" i="20" s="1"/>
  <c r="AD12" i="20" s="1"/>
  <c r="Q12" i="20"/>
  <c r="G12" i="20"/>
  <c r="H13" i="20"/>
  <c r="K11" i="20"/>
  <c r="I11" i="20" s="1"/>
  <c r="AC11" i="20" s="1"/>
  <c r="AD11" i="20" s="1"/>
  <c r="G11" i="20"/>
  <c r="Q11" i="20"/>
  <c r="P10" i="20"/>
  <c r="J10" i="20"/>
  <c r="L10" i="20"/>
  <c r="V3" i="15"/>
  <c r="W3" i="15" s="1"/>
  <c r="X3" i="15" s="1"/>
  <c r="Y3" i="15" s="1"/>
  <c r="AC3" i="15"/>
  <c r="AD3" i="15" s="1"/>
  <c r="V9" i="20" l="1"/>
  <c r="S10" i="20"/>
  <c r="V10" i="20" s="1"/>
  <c r="E96" i="20"/>
  <c r="M95" i="20"/>
  <c r="N95" i="20"/>
  <c r="W8" i="20"/>
  <c r="X8" i="20" s="1"/>
  <c r="Y8" i="20" s="1"/>
  <c r="W9" i="20"/>
  <c r="X9" i="20" s="1"/>
  <c r="Y9" i="20" s="1"/>
  <c r="AA9" i="20"/>
  <c r="T4" i="15"/>
  <c r="U4" i="15" s="1"/>
  <c r="Z4" i="15" s="1"/>
  <c r="V4" i="15"/>
  <c r="T10" i="20"/>
  <c r="U10" i="20" s="1"/>
  <c r="Z10" i="20" s="1"/>
  <c r="F14" i="20"/>
  <c r="K13" i="20"/>
  <c r="I13" i="20" s="1"/>
  <c r="AC13" i="20" s="1"/>
  <c r="AD13" i="20" s="1"/>
  <c r="G13" i="20"/>
  <c r="Q13" i="20"/>
  <c r="H14" i="20"/>
  <c r="L12" i="20"/>
  <c r="P12" i="20"/>
  <c r="J12" i="20"/>
  <c r="L11" i="20"/>
  <c r="P11" i="20"/>
  <c r="J11" i="20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S11" i="20" l="1"/>
  <c r="E97" i="20"/>
  <c r="N96" i="20"/>
  <c r="M96" i="20"/>
  <c r="AA10" i="20"/>
  <c r="AA11" i="20"/>
  <c r="W10" i="20"/>
  <c r="X10" i="20" s="1"/>
  <c r="Y10" i="20" s="1"/>
  <c r="W4" i="15"/>
  <c r="X4" i="15" s="1"/>
  <c r="Y4" i="15" s="1"/>
  <c r="F15" i="20"/>
  <c r="K14" i="20"/>
  <c r="I14" i="20" s="1"/>
  <c r="AC14" i="20" s="1"/>
  <c r="AD14" i="20" s="1"/>
  <c r="J13" i="20"/>
  <c r="P13" i="20"/>
  <c r="Q14" i="20"/>
  <c r="G14" i="20"/>
  <c r="H15" i="20"/>
  <c r="H16" i="20" s="1"/>
  <c r="L13" i="20"/>
  <c r="AA12" i="20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T11" i="20" l="1"/>
  <c r="U11" i="20" s="1"/>
  <c r="Z11" i="20" s="1"/>
  <c r="V11" i="20"/>
  <c r="S12" i="20"/>
  <c r="E98" i="20"/>
  <c r="M97" i="20"/>
  <c r="N97" i="20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Q16" i="20"/>
  <c r="H17" i="20"/>
  <c r="H18" i="20" s="1"/>
  <c r="K15" i="20"/>
  <c r="I15" i="20" s="1"/>
  <c r="AC15" i="20" s="1"/>
  <c r="AD15" i="20" s="1"/>
  <c r="F16" i="20"/>
  <c r="G16" i="20" s="1"/>
  <c r="L14" i="20"/>
  <c r="AA13" i="20" s="1"/>
  <c r="G15" i="20"/>
  <c r="Q15" i="20"/>
  <c r="J14" i="20"/>
  <c r="P14" i="20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K25" i="9" s="1"/>
  <c r="H31" i="9"/>
  <c r="I31" i="9" s="1"/>
  <c r="K31" i="9" s="1"/>
  <c r="H27" i="9"/>
  <c r="I27" i="9" s="1"/>
  <c r="K27" i="9" s="1"/>
  <c r="H19" i="9"/>
  <c r="I19" i="9" s="1"/>
  <c r="K19" i="9" s="1"/>
  <c r="J3" i="9"/>
  <c r="G22" i="9"/>
  <c r="G21" i="9"/>
  <c r="G17" i="9"/>
  <c r="H17" i="9" s="1"/>
  <c r="G16" i="9"/>
  <c r="H16" i="9" s="1"/>
  <c r="G15" i="9"/>
  <c r="I38" i="9"/>
  <c r="K38" i="9" s="1"/>
  <c r="W11" i="20" l="1"/>
  <c r="X11" i="20" s="1"/>
  <c r="Y11" i="20" s="1"/>
  <c r="V12" i="20"/>
  <c r="T12" i="20"/>
  <c r="U12" i="20" s="1"/>
  <c r="Z12" i="20" s="1"/>
  <c r="S13" i="20"/>
  <c r="E99" i="20"/>
  <c r="M98" i="20"/>
  <c r="N98" i="20"/>
  <c r="K24" i="9"/>
  <c r="M24" i="9" s="1"/>
  <c r="K18" i="9"/>
  <c r="M18" i="9" s="1"/>
  <c r="K23" i="9"/>
  <c r="M23" i="9" s="1"/>
  <c r="K20" i="9"/>
  <c r="L20" i="9" s="1"/>
  <c r="H19" i="20"/>
  <c r="H20" i="20" s="1"/>
  <c r="F17" i="20"/>
  <c r="K16" i="20"/>
  <c r="I16" i="20" s="1"/>
  <c r="AC16" i="20" s="1"/>
  <c r="AD16" i="20" s="1"/>
  <c r="Q17" i="20"/>
  <c r="J16" i="20"/>
  <c r="P16" i="20"/>
  <c r="L15" i="20"/>
  <c r="AA14" i="20" s="1"/>
  <c r="P15" i="20"/>
  <c r="J15" i="20"/>
  <c r="K11" i="9"/>
  <c r="L12" i="9" s="1"/>
  <c r="K10" i="9"/>
  <c r="M10" i="9" s="1"/>
  <c r="K2" i="9"/>
  <c r="L2" i="9" s="1"/>
  <c r="L30" i="9"/>
  <c r="L25" i="9"/>
  <c r="M29" i="9"/>
  <c r="L27" i="9"/>
  <c r="M27" i="9"/>
  <c r="M31" i="9"/>
  <c r="L31" i="9"/>
  <c r="M25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V13" i="20" l="1"/>
  <c r="S14" i="20"/>
  <c r="T13" i="20"/>
  <c r="U13" i="20" s="1"/>
  <c r="Z13" i="20" s="1"/>
  <c r="W12" i="20"/>
  <c r="X12" i="20" s="1"/>
  <c r="Y12" i="20" s="1"/>
  <c r="N99" i="20"/>
  <c r="M99" i="20"/>
  <c r="L19" i="9"/>
  <c r="M11" i="9"/>
  <c r="L24" i="9"/>
  <c r="L18" i="9"/>
  <c r="M20" i="9"/>
  <c r="H21" i="20"/>
  <c r="G17" i="20"/>
  <c r="J17" i="20" s="1"/>
  <c r="F18" i="20"/>
  <c r="F19" i="20" s="1"/>
  <c r="F20" i="20" s="1"/>
  <c r="F21" i="20" s="1"/>
  <c r="L10" i="9"/>
  <c r="L16" i="20"/>
  <c r="AA15" i="20" s="1"/>
  <c r="L11" i="9"/>
  <c r="K17" i="20"/>
  <c r="I17" i="20" s="1"/>
  <c r="Q18" i="20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V14" i="20" l="1"/>
  <c r="T14" i="20"/>
  <c r="U14" i="20" s="1"/>
  <c r="Z14" i="20" s="1"/>
  <c r="S15" i="20"/>
  <c r="W13" i="20"/>
  <c r="X13" i="20" s="1"/>
  <c r="Y13" i="20" s="1"/>
  <c r="L17" i="20"/>
  <c r="AA16" i="20" s="1"/>
  <c r="AC17" i="20"/>
  <c r="AD17" i="20" s="1"/>
  <c r="P17" i="20"/>
  <c r="Q21" i="20"/>
  <c r="H22" i="20"/>
  <c r="H23" i="20" s="1"/>
  <c r="G21" i="20"/>
  <c r="K21" i="20"/>
  <c r="I21" i="20" s="1"/>
  <c r="AC21" i="20" s="1"/>
  <c r="AD21" i="20" s="1"/>
  <c r="F22" i="20"/>
  <c r="G20" i="20"/>
  <c r="G19" i="20"/>
  <c r="G18" i="20"/>
  <c r="J18" i="20" s="1"/>
  <c r="K18" i="20"/>
  <c r="I18" i="20" s="1"/>
  <c r="AC18" i="20" s="1"/>
  <c r="AD18" i="20" s="1"/>
  <c r="Q19" i="20"/>
  <c r="C4" i="17"/>
  <c r="M2" i="16"/>
  <c r="L2" i="16"/>
  <c r="J2" i="16"/>
  <c r="K2" i="16"/>
  <c r="V15" i="20" l="1"/>
  <c r="S16" i="20"/>
  <c r="T15" i="20"/>
  <c r="U15" i="20" s="1"/>
  <c r="Z15" i="20" s="1"/>
  <c r="W14" i="20"/>
  <c r="X14" i="20" s="1"/>
  <c r="Y14" i="20" s="1"/>
  <c r="Q23" i="20"/>
  <c r="H24" i="20"/>
  <c r="H25" i="20" s="1"/>
  <c r="H26" i="20" s="1"/>
  <c r="H100" i="20" s="1"/>
  <c r="K22" i="20"/>
  <c r="I22" i="20" s="1"/>
  <c r="AC22" i="20" s="1"/>
  <c r="AD22" i="20" s="1"/>
  <c r="F23" i="20"/>
  <c r="Q22" i="20"/>
  <c r="J21" i="20"/>
  <c r="P21" i="20"/>
  <c r="G22" i="20"/>
  <c r="P18" i="20"/>
  <c r="L18" i="20"/>
  <c r="AA17" i="20" s="1"/>
  <c r="K20" i="20"/>
  <c r="I20" i="20" s="1"/>
  <c r="K19" i="20"/>
  <c r="I19" i="20" s="1"/>
  <c r="AC19" i="20" s="1"/>
  <c r="AD19" i="20" s="1"/>
  <c r="Q20" i="20"/>
  <c r="P19" i="20"/>
  <c r="J19" i="20"/>
  <c r="C294" i="9"/>
  <c r="F294" i="9"/>
  <c r="G294" i="9"/>
  <c r="J294" i="9"/>
  <c r="N294" i="9"/>
  <c r="O294" i="9"/>
  <c r="V16" i="20" l="1"/>
  <c r="S17" i="20"/>
  <c r="T16" i="20"/>
  <c r="U16" i="20" s="1"/>
  <c r="Z16" i="20" s="1"/>
  <c r="W15" i="20"/>
  <c r="X15" i="20" s="1"/>
  <c r="Y15" i="20" s="1"/>
  <c r="L21" i="20"/>
  <c r="AC20" i="20"/>
  <c r="AD20" i="20" s="1"/>
  <c r="Q26" i="20"/>
  <c r="H27" i="20"/>
  <c r="Q25" i="20"/>
  <c r="Q24" i="20"/>
  <c r="K23" i="20"/>
  <c r="I23" i="20" s="1"/>
  <c r="AC23" i="20" s="1"/>
  <c r="AD23" i="20" s="1"/>
  <c r="F24" i="20"/>
  <c r="F25" i="20" s="1"/>
  <c r="G23" i="20"/>
  <c r="J22" i="20"/>
  <c r="P22" i="20"/>
  <c r="L22" i="20"/>
  <c r="L19" i="20"/>
  <c r="AA18" i="20" s="1"/>
  <c r="P20" i="20"/>
  <c r="J20" i="20"/>
  <c r="L20" i="20"/>
  <c r="H294" i="9"/>
  <c r="I294" i="9" s="1"/>
  <c r="T17" i="20" l="1"/>
  <c r="U17" i="20" s="1"/>
  <c r="Z17" i="20" s="1"/>
  <c r="V17" i="20"/>
  <c r="W17" i="20" s="1"/>
  <c r="X17" i="20" s="1"/>
  <c r="Y17" i="20" s="1"/>
  <c r="S18" i="20"/>
  <c r="W16" i="20"/>
  <c r="X16" i="20" s="1"/>
  <c r="Y16" i="20" s="1"/>
  <c r="AA19" i="20"/>
  <c r="AA21" i="20"/>
  <c r="AA20" i="20"/>
  <c r="Q27" i="20"/>
  <c r="K25" i="20"/>
  <c r="I25" i="20" s="1"/>
  <c r="AC25" i="20" s="1"/>
  <c r="AD25" i="20" s="1"/>
  <c r="F26" i="20"/>
  <c r="K26" i="20" s="1"/>
  <c r="I26" i="20" s="1"/>
  <c r="AC26" i="20" s="1"/>
  <c r="AD26" i="20" s="1"/>
  <c r="H28" i="20"/>
  <c r="G25" i="20"/>
  <c r="G24" i="20"/>
  <c r="J24" i="20" s="1"/>
  <c r="K24" i="20"/>
  <c r="I24" i="20" s="1"/>
  <c r="AC24" i="20" s="1"/>
  <c r="AD24" i="20" s="1"/>
  <c r="L23" i="20"/>
  <c r="AA22" i="20" s="1"/>
  <c r="J23" i="20"/>
  <c r="P23" i="20"/>
  <c r="K294" i="9"/>
  <c r="C293" i="9"/>
  <c r="F293" i="9"/>
  <c r="G293" i="9" s="1"/>
  <c r="V18" i="20" l="1"/>
  <c r="S19" i="20"/>
  <c r="T18" i="20"/>
  <c r="U18" i="20" s="1"/>
  <c r="Z18" i="20" s="1"/>
  <c r="L25" i="20"/>
  <c r="L26" i="20"/>
  <c r="Q28" i="20"/>
  <c r="H29" i="20"/>
  <c r="H30" i="20" s="1"/>
  <c r="H31" i="20" s="1"/>
  <c r="F27" i="20"/>
  <c r="K27" i="20" s="1"/>
  <c r="I27" i="20" s="1"/>
  <c r="AC27" i="20" s="1"/>
  <c r="AD27" i="20" s="1"/>
  <c r="G26" i="20"/>
  <c r="P24" i="20"/>
  <c r="J25" i="20"/>
  <c r="P25" i="20"/>
  <c r="L24" i="20"/>
  <c r="AA23" i="20" s="1"/>
  <c r="N293" i="9"/>
  <c r="O293" i="9"/>
  <c r="J293" i="9"/>
  <c r="M294" i="9"/>
  <c r="H293" i="9"/>
  <c r="I293" i="9" s="1"/>
  <c r="S20" i="20" l="1"/>
  <c r="T19" i="20"/>
  <c r="U19" i="20" s="1"/>
  <c r="Z19" i="20" s="1"/>
  <c r="V19" i="20"/>
  <c r="W18" i="20"/>
  <c r="X18" i="20" s="1"/>
  <c r="Y18" i="20" s="1"/>
  <c r="AA24" i="20"/>
  <c r="AA25" i="20"/>
  <c r="H32" i="20"/>
  <c r="Q31" i="20"/>
  <c r="Q30" i="20"/>
  <c r="L27" i="20"/>
  <c r="AA26" i="20" s="1"/>
  <c r="Q29" i="20"/>
  <c r="J26" i="20"/>
  <c r="P26" i="20"/>
  <c r="F28" i="20"/>
  <c r="K28" i="20" s="1"/>
  <c r="I28" i="20" s="1"/>
  <c r="G27" i="20"/>
  <c r="K293" i="9"/>
  <c r="L294" i="9" s="1"/>
  <c r="W19" i="20" l="1"/>
  <c r="X19" i="20" s="1"/>
  <c r="Y19" i="20" s="1"/>
  <c r="T20" i="20"/>
  <c r="U20" i="20" s="1"/>
  <c r="Z20" i="20" s="1"/>
  <c r="V20" i="20"/>
  <c r="S21" i="20"/>
  <c r="L28" i="20"/>
  <c r="AA27" i="20" s="1"/>
  <c r="AC28" i="20"/>
  <c r="AD28" i="20" s="1"/>
  <c r="Q32" i="20"/>
  <c r="H33" i="20"/>
  <c r="J27" i="20"/>
  <c r="P27" i="20"/>
  <c r="F29" i="20"/>
  <c r="F30" i="20" s="1"/>
  <c r="F31" i="20" s="1"/>
  <c r="G28" i="20"/>
  <c r="M293" i="9"/>
  <c r="W20" i="20" l="1"/>
  <c r="X20" i="20" s="1"/>
  <c r="Y20" i="20" s="1"/>
  <c r="V21" i="20"/>
  <c r="S22" i="20"/>
  <c r="T21" i="20"/>
  <c r="U21" i="20" s="1"/>
  <c r="Z21" i="20" s="1"/>
  <c r="F32" i="20"/>
  <c r="K31" i="20"/>
  <c r="I31" i="20" s="1"/>
  <c r="AC31" i="20" s="1"/>
  <c r="AD31" i="20" s="1"/>
  <c r="G31" i="20"/>
  <c r="Q33" i="20"/>
  <c r="H34" i="20"/>
  <c r="G30" i="20"/>
  <c r="J30" i="20" s="1"/>
  <c r="K30" i="20"/>
  <c r="I30" i="20" s="1"/>
  <c r="AC30" i="20" s="1"/>
  <c r="AD30" i="20" s="1"/>
  <c r="G29" i="20"/>
  <c r="P29" i="20" s="1"/>
  <c r="K29" i="20"/>
  <c r="I29" i="20" s="1"/>
  <c r="AC29" i="20" s="1"/>
  <c r="AD29" i="20" s="1"/>
  <c r="J28" i="20"/>
  <c r="P28" i="20"/>
  <c r="C291" i="9"/>
  <c r="C292" i="9"/>
  <c r="F292" i="9"/>
  <c r="G292" i="9" s="1"/>
  <c r="J292" i="9"/>
  <c r="V22" i="20" l="1"/>
  <c r="S23" i="20"/>
  <c r="T22" i="20"/>
  <c r="U22" i="20" s="1"/>
  <c r="Z22" i="20" s="1"/>
  <c r="W21" i="20"/>
  <c r="X21" i="20" s="1"/>
  <c r="Y21" i="20" s="1"/>
  <c r="L31" i="20"/>
  <c r="P31" i="20"/>
  <c r="J31" i="20"/>
  <c r="F33" i="20"/>
  <c r="K32" i="20"/>
  <c r="I32" i="20" s="1"/>
  <c r="AC32" i="20" s="1"/>
  <c r="AD32" i="20" s="1"/>
  <c r="G32" i="20"/>
  <c r="Q34" i="20"/>
  <c r="H35" i="20"/>
  <c r="P30" i="20"/>
  <c r="L30" i="20"/>
  <c r="J29" i="20"/>
  <c r="L29" i="20"/>
  <c r="AA28" i="20" s="1"/>
  <c r="O292" i="9"/>
  <c r="N292" i="9"/>
  <c r="H292" i="9"/>
  <c r="I292" i="9" s="1"/>
  <c r="K292" i="9" s="1"/>
  <c r="L293" i="9" s="1"/>
  <c r="W22" i="20" l="1"/>
  <c r="X22" i="20" s="1"/>
  <c r="Y22" i="20" s="1"/>
  <c r="V23" i="20"/>
  <c r="T23" i="20"/>
  <c r="U23" i="20" s="1"/>
  <c r="Z23" i="20" s="1"/>
  <c r="S24" i="20"/>
  <c r="AA29" i="20"/>
  <c r="AA30" i="20"/>
  <c r="Q35" i="20"/>
  <c r="H36" i="20"/>
  <c r="J32" i="20"/>
  <c r="P32" i="20"/>
  <c r="L32" i="20"/>
  <c r="AA31" i="20" s="1"/>
  <c r="F34" i="20"/>
  <c r="K33" i="20"/>
  <c r="I33" i="20" s="1"/>
  <c r="AC33" i="20" s="1"/>
  <c r="AD33" i="20" s="1"/>
  <c r="G33" i="20"/>
  <c r="M292" i="9"/>
  <c r="S25" i="20" l="1"/>
  <c r="T24" i="20"/>
  <c r="U24" i="20" s="1"/>
  <c r="Z24" i="20" s="1"/>
  <c r="V24" i="20"/>
  <c r="W23" i="20"/>
  <c r="X23" i="20" s="1"/>
  <c r="Y23" i="20" s="1"/>
  <c r="Q36" i="20"/>
  <c r="H37" i="20"/>
  <c r="L33" i="20"/>
  <c r="AA32" i="20" s="1"/>
  <c r="F35" i="20"/>
  <c r="K34" i="20"/>
  <c r="I34" i="20" s="1"/>
  <c r="AC34" i="20" s="1"/>
  <c r="AD34" i="20" s="1"/>
  <c r="G34" i="20"/>
  <c r="J33" i="20"/>
  <c r="P33" i="20"/>
  <c r="F291" i="9"/>
  <c r="G291" i="9" s="1"/>
  <c r="W24" i="20" l="1"/>
  <c r="X24" i="20" s="1"/>
  <c r="Y24" i="20" s="1"/>
  <c r="S26" i="20"/>
  <c r="V25" i="20"/>
  <c r="T25" i="20"/>
  <c r="U25" i="20" s="1"/>
  <c r="Z25" i="20" s="1"/>
  <c r="H38" i="20"/>
  <c r="Q37" i="20"/>
  <c r="K35" i="20"/>
  <c r="I35" i="20" s="1"/>
  <c r="AC35" i="20" s="1"/>
  <c r="AD35" i="20" s="1"/>
  <c r="F36" i="20"/>
  <c r="G35" i="20"/>
  <c r="P34" i="20"/>
  <c r="J34" i="20"/>
  <c r="L34" i="20"/>
  <c r="AA33" i="20" s="1"/>
  <c r="O291" i="9"/>
  <c r="N291" i="9"/>
  <c r="J291" i="9"/>
  <c r="H291" i="9"/>
  <c r="I291" i="9" s="1"/>
  <c r="C290" i="9"/>
  <c r="F290" i="9"/>
  <c r="G290" i="9" s="1"/>
  <c r="W25" i="20" l="1"/>
  <c r="X25" i="20" s="1"/>
  <c r="Y25" i="20" s="1"/>
  <c r="V26" i="20"/>
  <c r="S27" i="20"/>
  <c r="T26" i="20"/>
  <c r="U26" i="20" s="1"/>
  <c r="Z26" i="20" s="1"/>
  <c r="F37" i="20"/>
  <c r="K36" i="20"/>
  <c r="I36" i="20" s="1"/>
  <c r="AC36" i="20" s="1"/>
  <c r="AD36" i="20" s="1"/>
  <c r="G36" i="20"/>
  <c r="P35" i="20"/>
  <c r="J35" i="20"/>
  <c r="L35" i="20"/>
  <c r="AA34" i="20" s="1"/>
  <c r="H39" i="20"/>
  <c r="Q38" i="20"/>
  <c r="K291" i="9"/>
  <c r="L292" i="9" s="1"/>
  <c r="O290" i="9"/>
  <c r="N290" i="9"/>
  <c r="J290" i="9"/>
  <c r="H290" i="9"/>
  <c r="I290" i="9" s="1"/>
  <c r="C289" i="9"/>
  <c r="F289" i="9"/>
  <c r="G289" i="9" s="1"/>
  <c r="T27" i="20" l="1"/>
  <c r="U27" i="20" s="1"/>
  <c r="Z27" i="20" s="1"/>
  <c r="V27" i="20"/>
  <c r="S28" i="20"/>
  <c r="W26" i="20"/>
  <c r="X26" i="20" s="1"/>
  <c r="Y26" i="20" s="1"/>
  <c r="F38" i="20"/>
  <c r="K37" i="20"/>
  <c r="I37" i="20" s="1"/>
  <c r="AC37" i="20" s="1"/>
  <c r="AD37" i="20" s="1"/>
  <c r="G37" i="20"/>
  <c r="J36" i="20"/>
  <c r="P36" i="20"/>
  <c r="H40" i="20"/>
  <c r="Q39" i="20"/>
  <c r="L36" i="20"/>
  <c r="AA35" i="20" s="1"/>
  <c r="O289" i="9"/>
  <c r="K290" i="9"/>
  <c r="L291" i="9" s="1"/>
  <c r="N289" i="9"/>
  <c r="J289" i="9"/>
  <c r="M291" i="9"/>
  <c r="H289" i="9"/>
  <c r="I289" i="9" s="1"/>
  <c r="W27" i="20" l="1"/>
  <c r="X27" i="20" s="1"/>
  <c r="Y27" i="20" s="1"/>
  <c r="V28" i="20"/>
  <c r="T28" i="20"/>
  <c r="U28" i="20" s="1"/>
  <c r="Z28" i="20" s="1"/>
  <c r="S29" i="20"/>
  <c r="Q40" i="20"/>
  <c r="H41" i="20"/>
  <c r="P37" i="20"/>
  <c r="J37" i="20"/>
  <c r="L37" i="20"/>
  <c r="AA36" i="20" s="1"/>
  <c r="K38" i="20"/>
  <c r="I38" i="20" s="1"/>
  <c r="AC38" i="20" s="1"/>
  <c r="AD38" i="20" s="1"/>
  <c r="F39" i="20"/>
  <c r="G38" i="20"/>
  <c r="K289" i="9"/>
  <c r="L290" i="9" s="1"/>
  <c r="M290" i="9"/>
  <c r="C288" i="9"/>
  <c r="F288" i="9"/>
  <c r="G288" i="9" s="1"/>
  <c r="W28" i="20" l="1"/>
  <c r="X28" i="20" s="1"/>
  <c r="Y28" i="20" s="1"/>
  <c r="S30" i="20"/>
  <c r="V29" i="20"/>
  <c r="T29" i="20"/>
  <c r="U29" i="20" s="1"/>
  <c r="Z29" i="20" s="1"/>
  <c r="Q41" i="20"/>
  <c r="H42" i="20"/>
  <c r="K39" i="20"/>
  <c r="I39" i="20" s="1"/>
  <c r="AC39" i="20" s="1"/>
  <c r="AD39" i="20" s="1"/>
  <c r="F40" i="20"/>
  <c r="G39" i="20"/>
  <c r="J38" i="20"/>
  <c r="P38" i="20"/>
  <c r="L38" i="20"/>
  <c r="AA37" i="20" s="1"/>
  <c r="M289" i="9"/>
  <c r="N288" i="9"/>
  <c r="O288" i="9"/>
  <c r="J288" i="9"/>
  <c r="H288" i="9"/>
  <c r="I288" i="9" s="1"/>
  <c r="C287" i="9"/>
  <c r="F287" i="9"/>
  <c r="N287" i="9" s="1"/>
  <c r="W29" i="20" l="1"/>
  <c r="X29" i="20" s="1"/>
  <c r="Y29" i="20" s="1"/>
  <c r="S31" i="20"/>
  <c r="V30" i="20"/>
  <c r="T30" i="20"/>
  <c r="U30" i="20" s="1"/>
  <c r="Z30" i="20" s="1"/>
  <c r="Q42" i="20"/>
  <c r="H43" i="20"/>
  <c r="P39" i="20"/>
  <c r="J39" i="20"/>
  <c r="L39" i="20"/>
  <c r="AA38" i="20" s="1"/>
  <c r="K40" i="20"/>
  <c r="I40" i="20" s="1"/>
  <c r="AC40" i="20" s="1"/>
  <c r="AD40" i="20" s="1"/>
  <c r="F41" i="20"/>
  <c r="G40" i="20"/>
  <c r="K288" i="9"/>
  <c r="J287" i="9"/>
  <c r="G287" i="9"/>
  <c r="H287" i="9" s="1"/>
  <c r="I287" i="9" s="1"/>
  <c r="O287" i="9"/>
  <c r="W30" i="20" l="1"/>
  <c r="X30" i="20" s="1"/>
  <c r="Y30" i="20" s="1"/>
  <c r="S32" i="20"/>
  <c r="V31" i="20"/>
  <c r="T31" i="20"/>
  <c r="U31" i="20" s="1"/>
  <c r="Z31" i="20" s="1"/>
  <c r="L40" i="20"/>
  <c r="AA39" i="20" s="1"/>
  <c r="H44" i="20"/>
  <c r="Q43" i="20"/>
  <c r="P40" i="20"/>
  <c r="J40" i="20"/>
  <c r="K41" i="20"/>
  <c r="I41" i="20" s="1"/>
  <c r="AC41" i="20" s="1"/>
  <c r="AD41" i="20" s="1"/>
  <c r="F42" i="20"/>
  <c r="G41" i="20"/>
  <c r="K287" i="9"/>
  <c r="M287" i="9" s="1"/>
  <c r="C286" i="9"/>
  <c r="F286" i="9"/>
  <c r="J286" i="9" s="1"/>
  <c r="T32" i="20" l="1"/>
  <c r="U32" i="20" s="1"/>
  <c r="Z32" i="20" s="1"/>
  <c r="S33" i="20"/>
  <c r="V32" i="20"/>
  <c r="W32" i="20" s="1"/>
  <c r="X32" i="20" s="1"/>
  <c r="Y32" i="20" s="1"/>
  <c r="W31" i="20"/>
  <c r="X31" i="20" s="1"/>
  <c r="Y31" i="20" s="1"/>
  <c r="J41" i="20"/>
  <c r="P41" i="20"/>
  <c r="L41" i="20"/>
  <c r="AA40" i="20" s="1"/>
  <c r="K42" i="20"/>
  <c r="I42" i="20" s="1"/>
  <c r="AC42" i="20" s="1"/>
  <c r="AD42" i="20" s="1"/>
  <c r="F43" i="20"/>
  <c r="G42" i="20"/>
  <c r="Q44" i="20"/>
  <c r="H45" i="20"/>
  <c r="G286" i="9"/>
  <c r="H286" i="9" s="1"/>
  <c r="I286" i="9" s="1"/>
  <c r="K286" i="9" s="1"/>
  <c r="O286" i="9"/>
  <c r="N286" i="9"/>
  <c r="S34" i="20" l="1"/>
  <c r="V33" i="20"/>
  <c r="T33" i="20"/>
  <c r="U33" i="20" s="1"/>
  <c r="Z33" i="20" s="1"/>
  <c r="P42" i="20"/>
  <c r="J42" i="20"/>
  <c r="K43" i="20"/>
  <c r="I43" i="20" s="1"/>
  <c r="AC43" i="20" s="1"/>
  <c r="AD43" i="20" s="1"/>
  <c r="F44" i="20"/>
  <c r="G43" i="20"/>
  <c r="L42" i="20"/>
  <c r="AA41" i="20" s="1"/>
  <c r="Q45" i="20"/>
  <c r="H46" i="20"/>
  <c r="L287" i="9"/>
  <c r="W33" i="20" l="1"/>
  <c r="X33" i="20" s="1"/>
  <c r="Y33" i="20" s="1"/>
  <c r="V34" i="20"/>
  <c r="T34" i="20"/>
  <c r="U34" i="20" s="1"/>
  <c r="Z34" i="20" s="1"/>
  <c r="S35" i="20"/>
  <c r="L43" i="20"/>
  <c r="AA42" i="20" s="1"/>
  <c r="Q46" i="20"/>
  <c r="H47" i="20"/>
  <c r="P43" i="20"/>
  <c r="J43" i="20"/>
  <c r="K44" i="20"/>
  <c r="I44" i="20" s="1"/>
  <c r="AC44" i="20" s="1"/>
  <c r="AD44" i="20" s="1"/>
  <c r="F45" i="20"/>
  <c r="G44" i="20"/>
  <c r="M286" i="9"/>
  <c r="W34" i="20" l="1"/>
  <c r="X34" i="20" s="1"/>
  <c r="Y34" i="20" s="1"/>
  <c r="V35" i="20"/>
  <c r="T35" i="20"/>
  <c r="U35" i="20" s="1"/>
  <c r="Z35" i="20" s="1"/>
  <c r="S36" i="20"/>
  <c r="L44" i="20"/>
  <c r="AA43" i="20" s="1"/>
  <c r="K45" i="20"/>
  <c r="I45" i="20" s="1"/>
  <c r="AC45" i="20" s="1"/>
  <c r="AD45" i="20" s="1"/>
  <c r="F46" i="20"/>
  <c r="G45" i="20"/>
  <c r="J44" i="20"/>
  <c r="P44" i="20"/>
  <c r="H48" i="20"/>
  <c r="Q47" i="20"/>
  <c r="C285" i="9"/>
  <c r="F285" i="9"/>
  <c r="G285" i="9" s="1"/>
  <c r="H285" i="9" s="1"/>
  <c r="W35" i="20" l="1"/>
  <c r="X35" i="20" s="1"/>
  <c r="Y35" i="20" s="1"/>
  <c r="V36" i="20"/>
  <c r="S37" i="20"/>
  <c r="T36" i="20"/>
  <c r="U36" i="20" s="1"/>
  <c r="Z36" i="20" s="1"/>
  <c r="K46" i="20"/>
  <c r="I46" i="20" s="1"/>
  <c r="AC46" i="20" s="1"/>
  <c r="AD46" i="20" s="1"/>
  <c r="F47" i="20"/>
  <c r="G46" i="20"/>
  <c r="L45" i="20"/>
  <c r="AA44" i="20" s="1"/>
  <c r="H49" i="20"/>
  <c r="Q48" i="20"/>
  <c r="J45" i="20"/>
  <c r="P45" i="20"/>
  <c r="N285" i="9"/>
  <c r="J285" i="9"/>
  <c r="O285" i="9"/>
  <c r="I285" i="9"/>
  <c r="C284" i="9"/>
  <c r="F284" i="9"/>
  <c r="J284" i="9" s="1"/>
  <c r="T37" i="20" l="1"/>
  <c r="U37" i="20" s="1"/>
  <c r="Z37" i="20" s="1"/>
  <c r="V37" i="20"/>
  <c r="S38" i="20"/>
  <c r="W36" i="20"/>
  <c r="X36" i="20" s="1"/>
  <c r="Y36" i="20" s="1"/>
  <c r="J46" i="20"/>
  <c r="P46" i="20"/>
  <c r="F48" i="20"/>
  <c r="K47" i="20"/>
  <c r="I47" i="20" s="1"/>
  <c r="AC47" i="20" s="1"/>
  <c r="AD47" i="20" s="1"/>
  <c r="G47" i="20"/>
  <c r="H50" i="20"/>
  <c r="Q49" i="20"/>
  <c r="L46" i="20"/>
  <c r="AA45" i="20" s="1"/>
  <c r="K285" i="9"/>
  <c r="L286" i="9" s="1"/>
  <c r="G284" i="9"/>
  <c r="H284" i="9" s="1"/>
  <c r="O284" i="9"/>
  <c r="N284" i="9"/>
  <c r="C283" i="9"/>
  <c r="S39" i="20" l="1"/>
  <c r="V38" i="20"/>
  <c r="T38" i="20"/>
  <c r="U38" i="20" s="1"/>
  <c r="Z38" i="20" s="1"/>
  <c r="W37" i="20"/>
  <c r="X37" i="20" s="1"/>
  <c r="Y37" i="20" s="1"/>
  <c r="L47" i="20"/>
  <c r="AA46" i="20" s="1"/>
  <c r="K48" i="20"/>
  <c r="I48" i="20" s="1"/>
  <c r="AC48" i="20" s="1"/>
  <c r="AD48" i="20" s="1"/>
  <c r="F49" i="20"/>
  <c r="G48" i="20"/>
  <c r="J47" i="20"/>
  <c r="P47" i="20"/>
  <c r="Q50" i="20"/>
  <c r="H51" i="20"/>
  <c r="I284" i="9"/>
  <c r="M285" i="9"/>
  <c r="F283" i="9"/>
  <c r="G283" i="9" s="1"/>
  <c r="W38" i="20" l="1"/>
  <c r="X38" i="20" s="1"/>
  <c r="Y38" i="20" s="1"/>
  <c r="T39" i="20"/>
  <c r="U39" i="20" s="1"/>
  <c r="Z39" i="20" s="1"/>
  <c r="V39" i="20"/>
  <c r="W39" i="20" s="1"/>
  <c r="X39" i="20" s="1"/>
  <c r="Y39" i="20" s="1"/>
  <c r="S40" i="20"/>
  <c r="L48" i="20"/>
  <c r="AA47" i="20" s="1"/>
  <c r="J48" i="20"/>
  <c r="P48" i="20"/>
  <c r="Q51" i="20"/>
  <c r="H52" i="20"/>
  <c r="K49" i="20"/>
  <c r="I49" i="20" s="1"/>
  <c r="AC49" i="20" s="1"/>
  <c r="AD49" i="20" s="1"/>
  <c r="F50" i="20"/>
  <c r="G49" i="20"/>
  <c r="K284" i="9"/>
  <c r="L285" i="9" s="1"/>
  <c r="N283" i="9"/>
  <c r="J283" i="9"/>
  <c r="O283" i="9"/>
  <c r="H283" i="9"/>
  <c r="I283" i="9" s="1"/>
  <c r="V40" i="20" l="1"/>
  <c r="T40" i="20"/>
  <c r="U40" i="20" s="1"/>
  <c r="Z40" i="20" s="1"/>
  <c r="S41" i="20"/>
  <c r="K50" i="20"/>
  <c r="I50" i="20" s="1"/>
  <c r="AC50" i="20" s="1"/>
  <c r="AD50" i="20" s="1"/>
  <c r="F51" i="20"/>
  <c r="G50" i="20"/>
  <c r="P49" i="20"/>
  <c r="J49" i="20"/>
  <c r="L49" i="20"/>
  <c r="AA48" i="20" s="1"/>
  <c r="H53" i="20"/>
  <c r="Q52" i="20"/>
  <c r="K283" i="9"/>
  <c r="L284" i="9" s="1"/>
  <c r="M284" i="9"/>
  <c r="W40" i="20" l="1"/>
  <c r="X40" i="20" s="1"/>
  <c r="Y40" i="20" s="1"/>
  <c r="V41" i="20"/>
  <c r="S42" i="20"/>
  <c r="T41" i="20"/>
  <c r="U41" i="20" s="1"/>
  <c r="Z41" i="20" s="1"/>
  <c r="Q53" i="20"/>
  <c r="H54" i="20"/>
  <c r="J50" i="20"/>
  <c r="P50" i="20"/>
  <c r="K51" i="20"/>
  <c r="I51" i="20" s="1"/>
  <c r="AC51" i="20" s="1"/>
  <c r="AD51" i="20" s="1"/>
  <c r="F52" i="20"/>
  <c r="G51" i="20"/>
  <c r="L50" i="20"/>
  <c r="AA49" i="20" s="1"/>
  <c r="M283" i="9"/>
  <c r="C282" i="9"/>
  <c r="F282" i="9"/>
  <c r="G282" i="9" s="1"/>
  <c r="V42" i="20" l="1"/>
  <c r="T42" i="20"/>
  <c r="U42" i="20" s="1"/>
  <c r="Z42" i="20" s="1"/>
  <c r="S43" i="20"/>
  <c r="W41" i="20"/>
  <c r="X41" i="20" s="1"/>
  <c r="Y41" i="20" s="1"/>
  <c r="Q54" i="20"/>
  <c r="H55" i="20"/>
  <c r="F53" i="20"/>
  <c r="K53" i="20" s="1"/>
  <c r="I53" i="20" s="1"/>
  <c r="AC53" i="20" s="1"/>
  <c r="AD53" i="20" s="1"/>
  <c r="K52" i="20"/>
  <c r="I52" i="20" s="1"/>
  <c r="AC52" i="20" s="1"/>
  <c r="AD52" i="20" s="1"/>
  <c r="G52" i="20"/>
  <c r="L51" i="20"/>
  <c r="AA50" i="20" s="1"/>
  <c r="J51" i="20"/>
  <c r="P51" i="20"/>
  <c r="J282" i="9"/>
  <c r="O282" i="9"/>
  <c r="N282" i="9"/>
  <c r="H282" i="9"/>
  <c r="I282" i="9" s="1"/>
  <c r="C281" i="9"/>
  <c r="F281" i="9"/>
  <c r="G281" i="9" s="1"/>
  <c r="V43" i="20" l="1"/>
  <c r="T43" i="20"/>
  <c r="U43" i="20" s="1"/>
  <c r="Z43" i="20" s="1"/>
  <c r="S44" i="20"/>
  <c r="W42" i="20"/>
  <c r="X42" i="20" s="1"/>
  <c r="Y42" i="20" s="1"/>
  <c r="L53" i="20"/>
  <c r="Q55" i="20"/>
  <c r="F54" i="20"/>
  <c r="K54" i="20" s="1"/>
  <c r="I54" i="20" s="1"/>
  <c r="G53" i="20"/>
  <c r="H56" i="20"/>
  <c r="H57" i="20" s="1"/>
  <c r="L52" i="20"/>
  <c r="AA51" i="20" s="1"/>
  <c r="P52" i="20"/>
  <c r="J52" i="20"/>
  <c r="K282" i="9"/>
  <c r="L283" i="9" s="1"/>
  <c r="N281" i="9"/>
  <c r="J281" i="9"/>
  <c r="H281" i="9"/>
  <c r="I281" i="9" s="1"/>
  <c r="O281" i="9"/>
  <c r="S45" i="20" l="1"/>
  <c r="V44" i="20"/>
  <c r="T44" i="20"/>
  <c r="U44" i="20" s="1"/>
  <c r="Z44" i="20" s="1"/>
  <c r="W43" i="20"/>
  <c r="X43" i="20" s="1"/>
  <c r="Y43" i="20" s="1"/>
  <c r="AA52" i="20"/>
  <c r="L54" i="20"/>
  <c r="AA53" i="20" s="1"/>
  <c r="AC54" i="20"/>
  <c r="AD54" i="20" s="1"/>
  <c r="Q57" i="20"/>
  <c r="H58" i="20"/>
  <c r="J53" i="20"/>
  <c r="P53" i="20"/>
  <c r="Q56" i="20"/>
  <c r="F55" i="20"/>
  <c r="K55" i="20" s="1"/>
  <c r="I55" i="20" s="1"/>
  <c r="AC55" i="20" s="1"/>
  <c r="AD55" i="20" s="1"/>
  <c r="G54" i="20"/>
  <c r="K281" i="9"/>
  <c r="L282" i="9" s="1"/>
  <c r="M282" i="9"/>
  <c r="W44" i="20" l="1"/>
  <c r="X44" i="20" s="1"/>
  <c r="Y44" i="20" s="1"/>
  <c r="V45" i="20"/>
  <c r="S46" i="20"/>
  <c r="T45" i="20"/>
  <c r="U45" i="20" s="1"/>
  <c r="Z45" i="20" s="1"/>
  <c r="H59" i="20"/>
  <c r="Q59" i="20" s="1"/>
  <c r="Q58" i="20"/>
  <c r="L55" i="20"/>
  <c r="AA54" i="20" s="1"/>
  <c r="J54" i="20"/>
  <c r="P54" i="20"/>
  <c r="F56" i="20"/>
  <c r="F57" i="20" s="1"/>
  <c r="K57" i="20" s="1"/>
  <c r="I57" i="20" s="1"/>
  <c r="AC57" i="20" s="1"/>
  <c r="AD57" i="20" s="1"/>
  <c r="G55" i="20"/>
  <c r="M281" i="9"/>
  <c r="W45" i="20" l="1"/>
  <c r="X45" i="20" s="1"/>
  <c r="Y45" i="20" s="1"/>
  <c r="V46" i="20"/>
  <c r="T46" i="20"/>
  <c r="U46" i="20" s="1"/>
  <c r="Z46" i="20" s="1"/>
  <c r="S47" i="20"/>
  <c r="H60" i="20"/>
  <c r="Q60" i="20" s="1"/>
  <c r="F58" i="20"/>
  <c r="G57" i="20"/>
  <c r="G56" i="20"/>
  <c r="P56" i="20" s="1"/>
  <c r="K56" i="20"/>
  <c r="I56" i="20" s="1"/>
  <c r="J55" i="20"/>
  <c r="P55" i="20"/>
  <c r="C280" i="9"/>
  <c r="F280" i="9"/>
  <c r="G280" i="9" s="1"/>
  <c r="H280" i="9" s="1"/>
  <c r="V47" i="20" l="1"/>
  <c r="T47" i="20"/>
  <c r="U47" i="20" s="1"/>
  <c r="Z47" i="20" s="1"/>
  <c r="S48" i="20"/>
  <c r="W46" i="20"/>
  <c r="X46" i="20" s="1"/>
  <c r="Y46" i="20" s="1"/>
  <c r="L57" i="20"/>
  <c r="AC56" i="20"/>
  <c r="AD56" i="20" s="1"/>
  <c r="H61" i="20"/>
  <c r="Q61" i="20" s="1"/>
  <c r="K58" i="20"/>
  <c r="F59" i="20"/>
  <c r="K59" i="20" s="1"/>
  <c r="I59" i="20" s="1"/>
  <c r="AC59" i="20" s="1"/>
  <c r="AD59" i="20" s="1"/>
  <c r="P57" i="20"/>
  <c r="J57" i="20"/>
  <c r="G58" i="20"/>
  <c r="J56" i="20"/>
  <c r="L56" i="20"/>
  <c r="O280" i="9"/>
  <c r="N280" i="9"/>
  <c r="J280" i="9"/>
  <c r="I280" i="9"/>
  <c r="C279" i="9"/>
  <c r="F279" i="9"/>
  <c r="J279" i="9" s="1"/>
  <c r="W47" i="20" l="1"/>
  <c r="X47" i="20" s="1"/>
  <c r="Y47" i="20" s="1"/>
  <c r="S49" i="20"/>
  <c r="T48" i="20"/>
  <c r="U48" i="20" s="1"/>
  <c r="Z48" i="20" s="1"/>
  <c r="V48" i="20"/>
  <c r="AA55" i="20"/>
  <c r="AA56" i="20"/>
  <c r="H62" i="20"/>
  <c r="Q62" i="20" s="1"/>
  <c r="I58" i="20"/>
  <c r="F60" i="20"/>
  <c r="K60" i="20" s="1"/>
  <c r="I60" i="20" s="1"/>
  <c r="AC60" i="20" s="1"/>
  <c r="AD60" i="20" s="1"/>
  <c r="G59" i="20"/>
  <c r="J58" i="20"/>
  <c r="P58" i="20"/>
  <c r="K280" i="9"/>
  <c r="G279" i="9"/>
  <c r="H279" i="9" s="1"/>
  <c r="I279" i="9" s="1"/>
  <c r="K279" i="9" s="1"/>
  <c r="O279" i="9"/>
  <c r="N279" i="9"/>
  <c r="W48" i="20" l="1"/>
  <c r="X48" i="20" s="1"/>
  <c r="Y48" i="20" s="1"/>
  <c r="V49" i="20"/>
  <c r="S50" i="20"/>
  <c r="T49" i="20"/>
  <c r="U49" i="20" s="1"/>
  <c r="Z49" i="20" s="1"/>
  <c r="L59" i="20"/>
  <c r="AC58" i="20"/>
  <c r="AD58" i="20" s="1"/>
  <c r="H63" i="20"/>
  <c r="H64" i="20" s="1"/>
  <c r="L58" i="20"/>
  <c r="J59" i="20"/>
  <c r="P59" i="20"/>
  <c r="L60" i="20"/>
  <c r="F61" i="20"/>
  <c r="K61" i="20" s="1"/>
  <c r="I61" i="20" s="1"/>
  <c r="AC61" i="20" s="1"/>
  <c r="AD61" i="20" s="1"/>
  <c r="G60" i="20"/>
  <c r="M280" i="9"/>
  <c r="L281" i="9"/>
  <c r="W49" i="20" l="1"/>
  <c r="X49" i="20" s="1"/>
  <c r="Y49" i="20" s="1"/>
  <c r="V50" i="20"/>
  <c r="T50" i="20"/>
  <c r="U50" i="20" s="1"/>
  <c r="Z50" i="20" s="1"/>
  <c r="S51" i="20"/>
  <c r="AA58" i="20"/>
  <c r="AA57" i="20"/>
  <c r="AA59" i="20"/>
  <c r="Q63" i="20"/>
  <c r="Q64" i="20"/>
  <c r="H65" i="20"/>
  <c r="L61" i="20"/>
  <c r="J60" i="20"/>
  <c r="P60" i="20"/>
  <c r="F62" i="20"/>
  <c r="K62" i="20" s="1"/>
  <c r="I62" i="20" s="1"/>
  <c r="AC62" i="20" s="1"/>
  <c r="AD62" i="20" s="1"/>
  <c r="G61" i="20"/>
  <c r="M279" i="9"/>
  <c r="L280" i="9"/>
  <c r="C278" i="9"/>
  <c r="F278" i="9"/>
  <c r="G278" i="9" s="1"/>
  <c r="T51" i="20" l="1"/>
  <c r="U51" i="20" s="1"/>
  <c r="Z51" i="20" s="1"/>
  <c r="S52" i="20"/>
  <c r="V51" i="20"/>
  <c r="W50" i="20"/>
  <c r="X50" i="20" s="1"/>
  <c r="Y50" i="20" s="1"/>
  <c r="AA60" i="20"/>
  <c r="Q65" i="20"/>
  <c r="H66" i="20"/>
  <c r="L62" i="20"/>
  <c r="AA61" i="20" s="1"/>
  <c r="J61" i="20"/>
  <c r="P61" i="20"/>
  <c r="F63" i="20"/>
  <c r="F64" i="20" s="1"/>
  <c r="G62" i="20"/>
  <c r="O278" i="9"/>
  <c r="N278" i="9"/>
  <c r="J278" i="9"/>
  <c r="H278" i="9"/>
  <c r="I278" i="9" s="1"/>
  <c r="W51" i="20" l="1"/>
  <c r="X51" i="20" s="1"/>
  <c r="Y51" i="20" s="1"/>
  <c r="S53" i="20"/>
  <c r="V52" i="20"/>
  <c r="T52" i="20"/>
  <c r="U52" i="20" s="1"/>
  <c r="Z52" i="20" s="1"/>
  <c r="Q66" i="20"/>
  <c r="H67" i="20"/>
  <c r="H68" i="20" s="1"/>
  <c r="F65" i="20"/>
  <c r="K64" i="20"/>
  <c r="I64" i="20" s="1"/>
  <c r="AC64" i="20" s="1"/>
  <c r="AD64" i="20" s="1"/>
  <c r="G64" i="20"/>
  <c r="G63" i="20"/>
  <c r="P63" i="20" s="1"/>
  <c r="K63" i="20"/>
  <c r="I63" i="20" s="1"/>
  <c r="AC63" i="20" s="1"/>
  <c r="AD63" i="20" s="1"/>
  <c r="J62" i="20"/>
  <c r="P62" i="20"/>
  <c r="K278" i="9"/>
  <c r="L279" i="9" s="1"/>
  <c r="W52" i="20" l="1"/>
  <c r="X52" i="20" s="1"/>
  <c r="Y52" i="20" s="1"/>
  <c r="V53" i="20"/>
  <c r="T53" i="20"/>
  <c r="U53" i="20" s="1"/>
  <c r="Z53" i="20" s="1"/>
  <c r="S54" i="20"/>
  <c r="Q68" i="20"/>
  <c r="H69" i="20"/>
  <c r="J63" i="20"/>
  <c r="Q67" i="20"/>
  <c r="J64" i="20"/>
  <c r="P64" i="20"/>
  <c r="L64" i="20"/>
  <c r="K65" i="20"/>
  <c r="I65" i="20" s="1"/>
  <c r="AC65" i="20" s="1"/>
  <c r="AD65" i="20" s="1"/>
  <c r="F66" i="20"/>
  <c r="G65" i="20"/>
  <c r="L63" i="20"/>
  <c r="AA62" i="20" s="1"/>
  <c r="M278" i="9"/>
  <c r="T54" i="20" l="1"/>
  <c r="U54" i="20" s="1"/>
  <c r="Z54" i="20" s="1"/>
  <c r="V54" i="20"/>
  <c r="W54" i="20" s="1"/>
  <c r="X54" i="20" s="1"/>
  <c r="Y54" i="20" s="1"/>
  <c r="S55" i="20"/>
  <c r="W53" i="20"/>
  <c r="X53" i="20" s="1"/>
  <c r="Y53" i="20" s="1"/>
  <c r="AA63" i="20"/>
  <c r="Q69" i="20"/>
  <c r="H70" i="20"/>
  <c r="L65" i="20"/>
  <c r="AA64" i="20" s="1"/>
  <c r="J65" i="20"/>
  <c r="P65" i="20"/>
  <c r="K66" i="20"/>
  <c r="I66" i="20" s="1"/>
  <c r="AC66" i="20" s="1"/>
  <c r="AD66" i="20" s="1"/>
  <c r="F67" i="20"/>
  <c r="F68" i="20" s="1"/>
  <c r="G66" i="20"/>
  <c r="C277" i="9"/>
  <c r="F277" i="9"/>
  <c r="G277" i="9" s="1"/>
  <c r="H277" i="9" s="1"/>
  <c r="J277" i="9"/>
  <c r="S56" i="20" l="1"/>
  <c r="V55" i="20"/>
  <c r="T55" i="20"/>
  <c r="U55" i="20" s="1"/>
  <c r="Z55" i="20" s="1"/>
  <c r="K68" i="20"/>
  <c r="I68" i="20" s="1"/>
  <c r="AC68" i="20" s="1"/>
  <c r="AD68" i="20" s="1"/>
  <c r="F69" i="20"/>
  <c r="F70" i="20" s="1"/>
  <c r="F71" i="20" s="1"/>
  <c r="F72" i="20" s="1"/>
  <c r="F73" i="20" s="1"/>
  <c r="F74" i="20" s="1"/>
  <c r="K74" i="20" s="1"/>
  <c r="Q70" i="20"/>
  <c r="H71" i="20"/>
  <c r="G68" i="20"/>
  <c r="L66" i="20"/>
  <c r="AA65" i="20" s="1"/>
  <c r="J66" i="20"/>
  <c r="P66" i="20"/>
  <c r="K67" i="20"/>
  <c r="I67" i="20" s="1"/>
  <c r="G67" i="20"/>
  <c r="O277" i="9"/>
  <c r="N277" i="9"/>
  <c r="I277" i="9"/>
  <c r="K277" i="9" s="1"/>
  <c r="C276" i="9"/>
  <c r="F276" i="9"/>
  <c r="J276" i="9" s="1"/>
  <c r="W55" i="20" l="1"/>
  <c r="X55" i="20" s="1"/>
  <c r="Y55" i="20" s="1"/>
  <c r="T56" i="20"/>
  <c r="U56" i="20" s="1"/>
  <c r="Z56" i="20" s="1"/>
  <c r="V56" i="20"/>
  <c r="W56" i="20" s="1"/>
  <c r="X56" i="20" s="1"/>
  <c r="Y56" i="20" s="1"/>
  <c r="S57" i="20"/>
  <c r="K69" i="20"/>
  <c r="I69" i="20" s="1"/>
  <c r="AC69" i="20" s="1"/>
  <c r="AD69" i="20" s="1"/>
  <c r="L68" i="20"/>
  <c r="AC67" i="20"/>
  <c r="AD67" i="20" s="1"/>
  <c r="F75" i="20"/>
  <c r="K75" i="20" s="1"/>
  <c r="J68" i="20"/>
  <c r="P68" i="20"/>
  <c r="Q71" i="20"/>
  <c r="H72" i="20"/>
  <c r="G72" i="20" s="1"/>
  <c r="K70" i="20"/>
  <c r="I70" i="20" s="1"/>
  <c r="G69" i="20"/>
  <c r="L67" i="20"/>
  <c r="AA66" i="20" s="1"/>
  <c r="J67" i="20"/>
  <c r="P67" i="20"/>
  <c r="G276" i="9"/>
  <c r="H276" i="9" s="1"/>
  <c r="O276" i="9"/>
  <c r="N276" i="9"/>
  <c r="V57" i="20" l="1"/>
  <c r="T57" i="20"/>
  <c r="U57" i="20" s="1"/>
  <c r="Z57" i="20" s="1"/>
  <c r="S58" i="20"/>
  <c r="L69" i="20"/>
  <c r="AA68" i="20" s="1"/>
  <c r="L70" i="20"/>
  <c r="AC70" i="20"/>
  <c r="AD70" i="20" s="1"/>
  <c r="AA67" i="20"/>
  <c r="F76" i="20"/>
  <c r="K76" i="20" s="1"/>
  <c r="J69" i="20"/>
  <c r="P69" i="20"/>
  <c r="Q72" i="20"/>
  <c r="K71" i="20"/>
  <c r="I71" i="20" s="1"/>
  <c r="AC71" i="20" s="1"/>
  <c r="AD71" i="20" s="1"/>
  <c r="G70" i="20"/>
  <c r="H73" i="20"/>
  <c r="I276" i="9"/>
  <c r="M277" i="9"/>
  <c r="L278" i="9"/>
  <c r="W57" i="20" l="1"/>
  <c r="X57" i="20" s="1"/>
  <c r="Y57" i="20" s="1"/>
  <c r="S59" i="20"/>
  <c r="V58" i="20"/>
  <c r="T58" i="20"/>
  <c r="U58" i="20" s="1"/>
  <c r="Z58" i="20" s="1"/>
  <c r="AA69" i="20"/>
  <c r="G73" i="20"/>
  <c r="H74" i="20"/>
  <c r="F77" i="20"/>
  <c r="F78" i="20" s="1"/>
  <c r="L71" i="20"/>
  <c r="AA70" i="20" s="1"/>
  <c r="Q73" i="20"/>
  <c r="P70" i="20"/>
  <c r="J70" i="20"/>
  <c r="K72" i="20"/>
  <c r="I72" i="20" s="1"/>
  <c r="G71" i="20"/>
  <c r="K276" i="9"/>
  <c r="M276" i="9" s="1"/>
  <c r="C275" i="9"/>
  <c r="F275" i="9"/>
  <c r="G275" i="9" s="1"/>
  <c r="W58" i="20" l="1"/>
  <c r="X58" i="20" s="1"/>
  <c r="Y58" i="20" s="1"/>
  <c r="V59" i="20"/>
  <c r="T59" i="20"/>
  <c r="U59" i="20" s="1"/>
  <c r="Z59" i="20" s="1"/>
  <c r="S60" i="20"/>
  <c r="K78" i="20"/>
  <c r="F79" i="20"/>
  <c r="L72" i="20"/>
  <c r="AA71" i="20" s="1"/>
  <c r="AC72" i="20"/>
  <c r="AD72" i="20" s="1"/>
  <c r="K77" i="20"/>
  <c r="I74" i="20"/>
  <c r="AC74" i="20" s="1"/>
  <c r="AD74" i="20" s="1"/>
  <c r="Q74" i="20"/>
  <c r="H75" i="20"/>
  <c r="G74" i="20"/>
  <c r="P71" i="20"/>
  <c r="J71" i="20"/>
  <c r="L277" i="9"/>
  <c r="O275" i="9"/>
  <c r="J275" i="9"/>
  <c r="N275" i="9"/>
  <c r="H275" i="9"/>
  <c r="I275" i="9" s="1"/>
  <c r="S61" i="20" l="1"/>
  <c r="V60" i="20"/>
  <c r="T60" i="20"/>
  <c r="U60" i="20" s="1"/>
  <c r="Z60" i="20" s="1"/>
  <c r="W59" i="20"/>
  <c r="X59" i="20" s="1"/>
  <c r="Y59" i="20" s="1"/>
  <c r="K79" i="20"/>
  <c r="F80" i="20"/>
  <c r="Q75" i="20"/>
  <c r="H76" i="20"/>
  <c r="I75" i="20"/>
  <c r="AC75" i="20" s="1"/>
  <c r="AD75" i="20" s="1"/>
  <c r="G75" i="20"/>
  <c r="J74" i="20"/>
  <c r="P74" i="20"/>
  <c r="P73" i="20"/>
  <c r="K73" i="20"/>
  <c r="I73" i="20" s="1"/>
  <c r="J72" i="20"/>
  <c r="P72" i="20"/>
  <c r="K275" i="9"/>
  <c r="L276" i="9" s="1"/>
  <c r="W60" i="20" l="1"/>
  <c r="X60" i="20" s="1"/>
  <c r="Y60" i="20" s="1"/>
  <c r="V61" i="20"/>
  <c r="S62" i="20"/>
  <c r="T61" i="20"/>
  <c r="U61" i="20" s="1"/>
  <c r="Z61" i="20" s="1"/>
  <c r="K80" i="20"/>
  <c r="F81" i="20"/>
  <c r="L74" i="20"/>
  <c r="AC73" i="20"/>
  <c r="AD73" i="20" s="1"/>
  <c r="Q76" i="20"/>
  <c r="H77" i="20"/>
  <c r="H78" i="20" s="1"/>
  <c r="I76" i="20"/>
  <c r="AC76" i="20" s="1"/>
  <c r="AD76" i="20" s="1"/>
  <c r="G76" i="20"/>
  <c r="L75" i="20"/>
  <c r="J75" i="20"/>
  <c r="P75" i="20"/>
  <c r="J73" i="20"/>
  <c r="L73" i="20"/>
  <c r="AA72" i="20" s="1"/>
  <c r="M275" i="9"/>
  <c r="W61" i="20" l="1"/>
  <c r="X61" i="20" s="1"/>
  <c r="Y61" i="20" s="1"/>
  <c r="T62" i="20"/>
  <c r="U62" i="20" s="1"/>
  <c r="Z62" i="20" s="1"/>
  <c r="V62" i="20"/>
  <c r="W62" i="20" s="1"/>
  <c r="X62" i="20" s="1"/>
  <c r="Y62" i="20" s="1"/>
  <c r="S63" i="20"/>
  <c r="Q78" i="20"/>
  <c r="H79" i="20"/>
  <c r="G78" i="20"/>
  <c r="I78" i="20"/>
  <c r="K81" i="20"/>
  <c r="F82" i="20"/>
  <c r="AA73" i="20"/>
  <c r="AA74" i="20"/>
  <c r="L76" i="20"/>
  <c r="AA75" i="20" s="1"/>
  <c r="Q77" i="20"/>
  <c r="I77" i="20"/>
  <c r="AC77" i="20" s="1"/>
  <c r="AD77" i="20" s="1"/>
  <c r="G77" i="20"/>
  <c r="J76" i="20"/>
  <c r="P76" i="20"/>
  <c r="C274" i="9"/>
  <c r="F274" i="9"/>
  <c r="G274" i="9" s="1"/>
  <c r="T63" i="20" l="1"/>
  <c r="U63" i="20" s="1"/>
  <c r="Z63" i="20" s="1"/>
  <c r="V63" i="20"/>
  <c r="W63" i="20" s="1"/>
  <c r="X63" i="20" s="1"/>
  <c r="Y63" i="20" s="1"/>
  <c r="S64" i="20"/>
  <c r="AC78" i="20"/>
  <c r="AD78" i="20" s="1"/>
  <c r="L78" i="20"/>
  <c r="P78" i="20"/>
  <c r="J78" i="20"/>
  <c r="Q79" i="20"/>
  <c r="H80" i="20"/>
  <c r="G79" i="20"/>
  <c r="I79" i="20"/>
  <c r="K82" i="20"/>
  <c r="F83" i="20"/>
  <c r="L77" i="20"/>
  <c r="J77" i="20"/>
  <c r="P77" i="20"/>
  <c r="O274" i="9"/>
  <c r="N274" i="9"/>
  <c r="J274" i="9"/>
  <c r="H274" i="9"/>
  <c r="I274" i="9" s="1"/>
  <c r="S65" i="20" l="1"/>
  <c r="T64" i="20"/>
  <c r="U64" i="20" s="1"/>
  <c r="Z64" i="20" s="1"/>
  <c r="V64" i="20"/>
  <c r="W64" i="20" s="1"/>
  <c r="X64" i="20" s="1"/>
  <c r="Y64" i="20" s="1"/>
  <c r="J79" i="20"/>
  <c r="P79" i="20"/>
  <c r="Q80" i="20"/>
  <c r="H81" i="20"/>
  <c r="G80" i="20"/>
  <c r="I80" i="20"/>
  <c r="L79" i="20"/>
  <c r="AC79" i="20"/>
  <c r="AD79" i="20" s="1"/>
  <c r="K83" i="20"/>
  <c r="F84" i="20"/>
  <c r="K274" i="9"/>
  <c r="L275" i="9" s="1"/>
  <c r="V65" i="20" l="1"/>
  <c r="T65" i="20"/>
  <c r="U65" i="20" s="1"/>
  <c r="Z65" i="20" s="1"/>
  <c r="S66" i="20"/>
  <c r="L80" i="20"/>
  <c r="AC80" i="20"/>
  <c r="AD80" i="20" s="1"/>
  <c r="J80" i="20"/>
  <c r="P80" i="20"/>
  <c r="H82" i="20"/>
  <c r="Q81" i="20"/>
  <c r="G81" i="20"/>
  <c r="I81" i="20"/>
  <c r="K84" i="20"/>
  <c r="F85" i="20"/>
  <c r="M274" i="9"/>
  <c r="T66" i="20" l="1"/>
  <c r="U66" i="20" s="1"/>
  <c r="Z66" i="20" s="1"/>
  <c r="S67" i="20"/>
  <c r="V66" i="20"/>
  <c r="W65" i="20"/>
  <c r="X65" i="20" s="1"/>
  <c r="Y65" i="20" s="1"/>
  <c r="L81" i="20"/>
  <c r="AC81" i="20"/>
  <c r="AD81" i="20" s="1"/>
  <c r="Q82" i="20"/>
  <c r="H83" i="20"/>
  <c r="G82" i="20"/>
  <c r="I82" i="20"/>
  <c r="P81" i="20"/>
  <c r="J81" i="20"/>
  <c r="K85" i="20"/>
  <c r="F86" i="20"/>
  <c r="F273" i="9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T67" i="20" l="1"/>
  <c r="U67" i="20" s="1"/>
  <c r="Z67" i="20" s="1"/>
  <c r="S68" i="20"/>
  <c r="V67" i="20"/>
  <c r="W67" i="20" s="1"/>
  <c r="X67" i="20" s="1"/>
  <c r="Y67" i="20" s="1"/>
  <c r="W66" i="20"/>
  <c r="X66" i="20" s="1"/>
  <c r="Y66" i="20" s="1"/>
  <c r="P82" i="20"/>
  <c r="J82" i="20"/>
  <c r="Q83" i="20"/>
  <c r="H84" i="20"/>
  <c r="G83" i="20"/>
  <c r="I83" i="20"/>
  <c r="L82" i="20"/>
  <c r="AC82" i="20"/>
  <c r="AD82" i="20" s="1"/>
  <c r="K86" i="20"/>
  <c r="F87" i="20"/>
  <c r="K152" i="9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T68" i="20" l="1"/>
  <c r="U68" i="20" s="1"/>
  <c r="Z68" i="20" s="1"/>
  <c r="V68" i="20"/>
  <c r="S69" i="20"/>
  <c r="AC83" i="20"/>
  <c r="AD83" i="20" s="1"/>
  <c r="L83" i="20"/>
  <c r="J83" i="20"/>
  <c r="P83" i="20"/>
  <c r="Q84" i="20"/>
  <c r="H85" i="20"/>
  <c r="G84" i="20"/>
  <c r="I84" i="20"/>
  <c r="K87" i="20"/>
  <c r="F88" i="20"/>
  <c r="I219" i="9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W68" i="20" l="1"/>
  <c r="X68" i="20" s="1"/>
  <c r="Y68" i="20" s="1"/>
  <c r="S70" i="20"/>
  <c r="T69" i="20"/>
  <c r="U69" i="20" s="1"/>
  <c r="Z69" i="20" s="1"/>
  <c r="V69" i="20"/>
  <c r="W69" i="20" s="1"/>
  <c r="X69" i="20" s="1"/>
  <c r="Y69" i="20" s="1"/>
  <c r="H86" i="20"/>
  <c r="Q85" i="20"/>
  <c r="G85" i="20"/>
  <c r="I85" i="20"/>
  <c r="AC84" i="20"/>
  <c r="AD84" i="20" s="1"/>
  <c r="L84" i="20"/>
  <c r="P84" i="20"/>
  <c r="J84" i="20"/>
  <c r="K88" i="20"/>
  <c r="F89" i="20"/>
  <c r="M43" i="9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T70" i="20" l="1"/>
  <c r="U70" i="20" s="1"/>
  <c r="Z70" i="20" s="1"/>
  <c r="V70" i="20"/>
  <c r="S71" i="20"/>
  <c r="L85" i="20"/>
  <c r="AC85" i="20"/>
  <c r="AD85" i="20" s="1"/>
  <c r="Q86" i="20"/>
  <c r="H87" i="20"/>
  <c r="G86" i="20"/>
  <c r="I86" i="20"/>
  <c r="P85" i="20"/>
  <c r="J85" i="20"/>
  <c r="K89" i="20"/>
  <c r="F90" i="20"/>
  <c r="L148" i="9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W70" i="20" l="1"/>
  <c r="X70" i="20" s="1"/>
  <c r="Y70" i="20" s="1"/>
  <c r="S72" i="20"/>
  <c r="T71" i="20"/>
  <c r="U71" i="20" s="1"/>
  <c r="Z71" i="20" s="1"/>
  <c r="V71" i="20"/>
  <c r="J86" i="20"/>
  <c r="P86" i="20"/>
  <c r="H88" i="20"/>
  <c r="Q87" i="20"/>
  <c r="G87" i="20"/>
  <c r="I87" i="20"/>
  <c r="L86" i="20"/>
  <c r="AC86" i="20"/>
  <c r="AD86" i="20" s="1"/>
  <c r="K90" i="20"/>
  <c r="F91" i="20"/>
  <c r="M288" i="9"/>
  <c r="W71" i="20" l="1"/>
  <c r="X71" i="20" s="1"/>
  <c r="Y71" i="20" s="1"/>
  <c r="S73" i="20"/>
  <c r="T72" i="20"/>
  <c r="U72" i="20" s="1"/>
  <c r="Z72" i="20" s="1"/>
  <c r="V72" i="20"/>
  <c r="Q88" i="20"/>
  <c r="H89" i="20"/>
  <c r="G88" i="20"/>
  <c r="I88" i="20"/>
  <c r="L87" i="20"/>
  <c r="AC87" i="20"/>
  <c r="AD87" i="20" s="1"/>
  <c r="J87" i="20"/>
  <c r="P87" i="20"/>
  <c r="K91" i="20"/>
  <c r="F92" i="20"/>
  <c r="L288" i="9"/>
  <c r="L289" i="9"/>
  <c r="W72" i="20" l="1"/>
  <c r="X72" i="20" s="1"/>
  <c r="Y72" i="20" s="1"/>
  <c r="T73" i="20"/>
  <c r="U73" i="20" s="1"/>
  <c r="Z73" i="20" s="1"/>
  <c r="S74" i="20"/>
  <c r="V73" i="20"/>
  <c r="W73" i="20" s="1"/>
  <c r="X73" i="20" s="1"/>
  <c r="Y73" i="20" s="1"/>
  <c r="AC88" i="20"/>
  <c r="AD88" i="20" s="1"/>
  <c r="L88" i="20"/>
  <c r="H90" i="20"/>
  <c r="Q89" i="20"/>
  <c r="G89" i="20"/>
  <c r="I89" i="20"/>
  <c r="P88" i="20"/>
  <c r="J88" i="20"/>
  <c r="K92" i="20"/>
  <c r="F93" i="20"/>
  <c r="T74" i="20" l="1"/>
  <c r="U74" i="20" s="1"/>
  <c r="Z74" i="20" s="1"/>
  <c r="V74" i="20"/>
  <c r="S75" i="20"/>
  <c r="P89" i="20"/>
  <c r="J89" i="20"/>
  <c r="L89" i="20"/>
  <c r="AC89" i="20"/>
  <c r="AD89" i="20" s="1"/>
  <c r="H91" i="20"/>
  <c r="Q90" i="20"/>
  <c r="G90" i="20"/>
  <c r="I90" i="20"/>
  <c r="K93" i="20"/>
  <c r="F94" i="20"/>
  <c r="W74" i="20" l="1"/>
  <c r="X74" i="20" s="1"/>
  <c r="Y74" i="20" s="1"/>
  <c r="S76" i="20"/>
  <c r="T75" i="20"/>
  <c r="U75" i="20" s="1"/>
  <c r="Z75" i="20" s="1"/>
  <c r="V75" i="20"/>
  <c r="W75" i="20" s="1"/>
  <c r="X75" i="20" s="1"/>
  <c r="Y75" i="20" s="1"/>
  <c r="Q91" i="20"/>
  <c r="H92" i="20"/>
  <c r="G91" i="20"/>
  <c r="I91" i="20"/>
  <c r="L90" i="20"/>
  <c r="AC90" i="20"/>
  <c r="AD90" i="20" s="1"/>
  <c r="J90" i="20"/>
  <c r="P90" i="20"/>
  <c r="K94" i="20"/>
  <c r="F95" i="20"/>
  <c r="S77" i="20" l="1"/>
  <c r="T76" i="20"/>
  <c r="U76" i="20" s="1"/>
  <c r="Z76" i="20" s="1"/>
  <c r="V76" i="20"/>
  <c r="W76" i="20" s="1"/>
  <c r="X76" i="20" s="1"/>
  <c r="Y76" i="20" s="1"/>
  <c r="H93" i="20"/>
  <c r="Q92" i="20"/>
  <c r="G92" i="20"/>
  <c r="I92" i="20"/>
  <c r="L91" i="20"/>
  <c r="AC91" i="20"/>
  <c r="AD91" i="20" s="1"/>
  <c r="J91" i="20"/>
  <c r="P91" i="20"/>
  <c r="K95" i="20"/>
  <c r="F96" i="20"/>
  <c r="S78" i="20" l="1"/>
  <c r="T77" i="20"/>
  <c r="U77" i="20" s="1"/>
  <c r="Z77" i="20" s="1"/>
  <c r="V77" i="20"/>
  <c r="W77" i="20" s="1"/>
  <c r="X77" i="20" s="1"/>
  <c r="Y77" i="20" s="1"/>
  <c r="P92" i="20"/>
  <c r="J92" i="20"/>
  <c r="L92" i="20"/>
  <c r="AC92" i="20"/>
  <c r="AD92" i="20" s="1"/>
  <c r="H94" i="20"/>
  <c r="Q93" i="20"/>
  <c r="G93" i="20"/>
  <c r="I93" i="20"/>
  <c r="K96" i="20"/>
  <c r="F97" i="20"/>
  <c r="T78" i="20" l="1"/>
  <c r="U78" i="20" s="1"/>
  <c r="Z78" i="20" s="1"/>
  <c r="S79" i="20"/>
  <c r="V78" i="20"/>
  <c r="L93" i="20"/>
  <c r="AC93" i="20"/>
  <c r="AD93" i="20" s="1"/>
  <c r="P93" i="20"/>
  <c r="J93" i="20"/>
  <c r="Q94" i="20"/>
  <c r="H95" i="20"/>
  <c r="G94" i="20"/>
  <c r="I94" i="20"/>
  <c r="K97" i="20"/>
  <c r="F98" i="20"/>
  <c r="W78" i="20" l="1"/>
  <c r="X78" i="20" s="1"/>
  <c r="Y78" i="20" s="1"/>
  <c r="T79" i="20"/>
  <c r="U79" i="20" s="1"/>
  <c r="Z79" i="20" s="1"/>
  <c r="V79" i="20"/>
  <c r="S80" i="20"/>
  <c r="Q95" i="20"/>
  <c r="H96" i="20"/>
  <c r="G95" i="20"/>
  <c r="I95" i="20"/>
  <c r="AC94" i="20"/>
  <c r="AD94" i="20" s="1"/>
  <c r="L94" i="20"/>
  <c r="J94" i="20"/>
  <c r="P94" i="20"/>
  <c r="K98" i="20"/>
  <c r="F99" i="20"/>
  <c r="W79" i="20" l="1"/>
  <c r="X79" i="20" s="1"/>
  <c r="Y79" i="20" s="1"/>
  <c r="V80" i="20"/>
  <c r="S81" i="20"/>
  <c r="T80" i="20"/>
  <c r="U80" i="20" s="1"/>
  <c r="Z80" i="20" s="1"/>
  <c r="J95" i="20"/>
  <c r="P95" i="20"/>
  <c r="Q96" i="20"/>
  <c r="H97" i="20"/>
  <c r="G96" i="20"/>
  <c r="I96" i="20"/>
  <c r="AC95" i="20"/>
  <c r="AD95" i="20" s="1"/>
  <c r="L95" i="20"/>
  <c r="K99" i="20"/>
  <c r="T81" i="20" l="1"/>
  <c r="U81" i="20" s="1"/>
  <c r="Z81" i="20" s="1"/>
  <c r="V81" i="20"/>
  <c r="S82" i="20"/>
  <c r="W80" i="20"/>
  <c r="X80" i="20" s="1"/>
  <c r="Y80" i="20" s="1"/>
  <c r="H98" i="20"/>
  <c r="Q97" i="20"/>
  <c r="G97" i="20"/>
  <c r="I97" i="20"/>
  <c r="AC96" i="20"/>
  <c r="AD96" i="20" s="1"/>
  <c r="L96" i="20"/>
  <c r="P96" i="20"/>
  <c r="J96" i="20"/>
  <c r="W81" i="20" l="1"/>
  <c r="X81" i="20" s="1"/>
  <c r="Y81" i="20" s="1"/>
  <c r="V82" i="20"/>
  <c r="T82" i="20"/>
  <c r="U82" i="20" s="1"/>
  <c r="Z82" i="20" s="1"/>
  <c r="S83" i="20"/>
  <c r="P97" i="20"/>
  <c r="J97" i="20"/>
  <c r="L97" i="20"/>
  <c r="AC97" i="20"/>
  <c r="AD97" i="20" s="1"/>
  <c r="Q98" i="20"/>
  <c r="H99" i="20"/>
  <c r="G98" i="20"/>
  <c r="I98" i="20"/>
  <c r="T83" i="20" l="1"/>
  <c r="U83" i="20" s="1"/>
  <c r="Z83" i="20" s="1"/>
  <c r="V83" i="20"/>
  <c r="S84" i="20"/>
  <c r="W82" i="20"/>
  <c r="X82" i="20" s="1"/>
  <c r="Y82" i="20" s="1"/>
  <c r="J98" i="20"/>
  <c r="P98" i="20"/>
  <c r="Q99" i="20"/>
  <c r="G99" i="20"/>
  <c r="I99" i="20"/>
  <c r="AC98" i="20"/>
  <c r="AD98" i="20" s="1"/>
  <c r="L98" i="20"/>
  <c r="W83" i="20" l="1"/>
  <c r="X83" i="20" s="1"/>
  <c r="Y83" i="20" s="1"/>
  <c r="V84" i="20"/>
  <c r="S85" i="20"/>
  <c r="T84" i="20"/>
  <c r="U84" i="20" s="1"/>
  <c r="Z84" i="20" s="1"/>
  <c r="L99" i="20"/>
  <c r="AA84" i="20" s="1"/>
  <c r="AC99" i="20"/>
  <c r="AD99" i="20" s="1"/>
  <c r="AA81" i="20"/>
  <c r="J99" i="20"/>
  <c r="P99" i="20"/>
  <c r="AA97" i="20" l="1"/>
  <c r="AA94" i="20"/>
  <c r="AA90" i="20"/>
  <c r="AA77" i="20"/>
  <c r="AA80" i="20"/>
  <c r="AA98" i="20"/>
  <c r="AA78" i="20"/>
  <c r="AA88" i="20"/>
  <c r="AA76" i="20"/>
  <c r="AA83" i="20"/>
  <c r="AA95" i="20"/>
  <c r="S86" i="20"/>
  <c r="T85" i="20"/>
  <c r="U85" i="20" s="1"/>
  <c r="Z85" i="20" s="1"/>
  <c r="V85" i="20"/>
  <c r="AA82" i="20"/>
  <c r="AA86" i="20"/>
  <c r="AA93" i="20"/>
  <c r="AA87" i="20"/>
  <c r="AA92" i="20"/>
  <c r="AA89" i="20"/>
  <c r="AA79" i="20"/>
  <c r="W84" i="20"/>
  <c r="X84" i="20" s="1"/>
  <c r="Y84" i="20" s="1"/>
  <c r="AA99" i="20"/>
  <c r="AA85" i="20"/>
  <c r="AA96" i="20"/>
  <c r="AA3" i="20"/>
  <c r="AA91" i="20"/>
  <c r="W85" i="20" l="1"/>
  <c r="X85" i="20" s="1"/>
  <c r="Y85" i="20" s="1"/>
  <c r="T86" i="20"/>
  <c r="U86" i="20" s="1"/>
  <c r="Z86" i="20" s="1"/>
  <c r="V86" i="20"/>
  <c r="S87" i="20"/>
  <c r="W86" i="20" l="1"/>
  <c r="X86" i="20" s="1"/>
  <c r="Y86" i="20" s="1"/>
  <c r="S88" i="20"/>
  <c r="T87" i="20"/>
  <c r="U87" i="20" s="1"/>
  <c r="Z87" i="20" s="1"/>
  <c r="V87" i="20"/>
  <c r="W87" i="20" l="1"/>
  <c r="X87" i="20" s="1"/>
  <c r="Y87" i="20" s="1"/>
  <c r="T88" i="20"/>
  <c r="U88" i="20" s="1"/>
  <c r="Z88" i="20" s="1"/>
  <c r="V88" i="20"/>
  <c r="S89" i="20"/>
  <c r="W88" i="20" l="1"/>
  <c r="X88" i="20" s="1"/>
  <c r="Y88" i="20" s="1"/>
  <c r="T89" i="20"/>
  <c r="U89" i="20" s="1"/>
  <c r="Z89" i="20" s="1"/>
  <c r="V89" i="20"/>
  <c r="S90" i="20"/>
  <c r="W89" i="20" l="1"/>
  <c r="X89" i="20" s="1"/>
  <c r="Y89" i="20" s="1"/>
  <c r="V90" i="20"/>
  <c r="S91" i="20"/>
  <c r="T90" i="20"/>
  <c r="U90" i="20" s="1"/>
  <c r="Z90" i="20" s="1"/>
  <c r="T91" i="20" l="1"/>
  <c r="U91" i="20" s="1"/>
  <c r="Z91" i="20" s="1"/>
  <c r="S92" i="20"/>
  <c r="V91" i="20"/>
  <c r="W90" i="20"/>
  <c r="X90" i="20" s="1"/>
  <c r="Y90" i="20" s="1"/>
  <c r="W91" i="20" l="1"/>
  <c r="X91" i="20" s="1"/>
  <c r="Y91" i="20" s="1"/>
  <c r="V92" i="20"/>
  <c r="S93" i="20"/>
  <c r="T92" i="20"/>
  <c r="U92" i="20" s="1"/>
  <c r="Z92" i="20" s="1"/>
  <c r="T93" i="20" l="1"/>
  <c r="U93" i="20" s="1"/>
  <c r="Z93" i="20" s="1"/>
  <c r="V93" i="20"/>
  <c r="W93" i="20" s="1"/>
  <c r="X93" i="20" s="1"/>
  <c r="Y93" i="20" s="1"/>
  <c r="S94" i="20"/>
  <c r="W92" i="20"/>
  <c r="X92" i="20" s="1"/>
  <c r="Y92" i="20" s="1"/>
  <c r="T94" i="20" l="1"/>
  <c r="U94" i="20" s="1"/>
  <c r="Z94" i="20" s="1"/>
  <c r="V94" i="20"/>
  <c r="S95" i="20"/>
  <c r="W94" i="20" l="1"/>
  <c r="X94" i="20" s="1"/>
  <c r="Y94" i="20" s="1"/>
  <c r="V95" i="20"/>
  <c r="T95" i="20"/>
  <c r="U95" i="20" s="1"/>
  <c r="Z95" i="20" s="1"/>
  <c r="S96" i="20"/>
  <c r="W95" i="20" l="1"/>
  <c r="X95" i="20" s="1"/>
  <c r="Y95" i="20" s="1"/>
  <c r="V96" i="20"/>
  <c r="T96" i="20"/>
  <c r="U96" i="20" s="1"/>
  <c r="Z96" i="20" s="1"/>
  <c r="S97" i="20"/>
  <c r="V97" i="20" l="1"/>
  <c r="S98" i="20"/>
  <c r="T97" i="20"/>
  <c r="U97" i="20" s="1"/>
  <c r="Z97" i="20" s="1"/>
  <c r="W96" i="20"/>
  <c r="X96" i="20" s="1"/>
  <c r="Y96" i="20" s="1"/>
  <c r="T98" i="20" l="1"/>
  <c r="U98" i="20" s="1"/>
  <c r="Z98" i="20" s="1"/>
  <c r="V98" i="20"/>
  <c r="S99" i="20"/>
  <c r="W97" i="20"/>
  <c r="X97" i="20" s="1"/>
  <c r="Y97" i="20" s="1"/>
  <c r="W98" i="20" l="1"/>
  <c r="X98" i="20" s="1"/>
  <c r="Y98" i="20" s="1"/>
  <c r="V99" i="20"/>
  <c r="T99" i="20"/>
  <c r="U99" i="20" s="1"/>
  <c r="Z99" i="20" s="1"/>
  <c r="W99" i="20" l="1"/>
  <c r="X99" i="20" s="1"/>
  <c r="Y99" i="20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<sst xmlns="http://schemas.openxmlformats.org/spreadsheetml/2006/main" count="631" uniqueCount="351">
  <si>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</si>
  <si>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</si>
  <si>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</si>
  <si>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</si>
  <si>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</si>
  <si>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</si>
  <si>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</si>
  <si>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</si>
  <si>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</si>
  <si>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</si>
  <si>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</si>
  <si>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</si>
  <si>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</si>
  <si>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</si>
  <si>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</si>
  <si>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</si>
  <si>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</si>
  <si>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</si>
  <si>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</si>
  <si>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</si>
  <si>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</si>
  <si>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</si>
  <si>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</si>
  <si>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</si>
  <si>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</si>
  <si>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</si>
  <si>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</si>
  <si>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</si>
  <si>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</si>
  <si>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</si>
  <si>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</si>
  <si>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</si>
  <si>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</si>
  <si>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</si>
  <si>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</si>
  <si>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</si>
  <si>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</si>
  <si>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</si>
  <si>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</si>
  <si>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</si>
  <si>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</si>
  <si>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</si>
  <si>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</si>
  <si>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</si>
  <si>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</si>
  <si>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</si>
  <si>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</si>
  <si>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</si>
  <si>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</si>
  <si>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</si>
  <si>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</si>
  <si>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</si>
  <si>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</si>
  <si>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</si>
  <si>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</si>
  <si>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</si>
  <si>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</si>
  <si>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</si>
  <si>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</si>
  <si>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</si>
  <si>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</si>
  <si>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</si>
  <si>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</si>
  <si>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</si>
  <si>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</si>
  <si>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</si>
  <si>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</si>
  <si>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</si>
  <si>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</si>
  <si>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</si>
  <si>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</si>
  <si>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</si>
  <si>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</si>
  <si>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</si>
  <si>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</si>
  <si>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</si>
  <si>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</si>
  <si>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</si>
  <si>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</si>
  <si>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</si>
  <si>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</si>
  <si>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</si>
  <si>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</si>
  <si>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</si>
  <si>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</si>
  <si>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</si>
  <si>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</si>
  <si>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</si>
  <si>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</si>
  <si>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</si>
  <si>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</si>
  <si>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</si>
  <si>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</si>
  <si>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</si>
  <si>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</si>
  <si>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</si>
  <si>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</si>
  <si>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</si>
  <si>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</si>
  <si>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</si>
  <si>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</si>
  <si>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</si>
  <si>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</si>
  <si>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</si>
  <si>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</si>
  <si>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</si>
  <si>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</si>
  <si>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</si>
  <si>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</si>
  <si>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</si>
  <si>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</si>
  <si>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</si>
  <si>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</si>
  <si>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</si>
  <si>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</si>
  <si>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</si>
  <si>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</si>
  <si>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</si>
  <si>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</si>
  <si>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</si>
  <si>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</si>
  <si>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</si>
  <si>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</si>
  <si>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</si>
  <si>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</si>
  <si>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</si>
  <si>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</si>
  <si>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</si>
  <si>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</si>
  <si>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</si>
  <si>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</si>
  <si>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</si>
  <si>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</si>
  <si>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</si>
  <si>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</si>
  <si>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</si>
  <si>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</si>
  <si>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</si>
  <si>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</si>
  <si>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</si>
  <si>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</si>
  <si>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</si>
  <si>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</si>
  <si>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</si>
  <si>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</si>
  <si>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</si>
  <si>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</si>
  <si>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</si>
  <si>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</si>
  <si>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</si>
  <si>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</si>
  <si>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</si>
  <si>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</si>
  <si>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</si>
  <si>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</si>
  <si>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</si>
  <si>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</si>
  <si>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</si>
  <si>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</si>
  <si>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</si>
  <si>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</si>
  <si>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</si>
  <si>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</si>
  <si>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</si>
  <si>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</si>
  <si>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</si>
  <si>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</si>
  <si>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</si>
  <si>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</si>
  <si>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</si>
  <si>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</si>
  <si>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</si>
  <si>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</si>
  <si>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</si>
  <si>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</si>
  <si>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</si>
  <si>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</si>
  <si>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</si>
  <si>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</si>
  <si>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</si>
  <si>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</si>
  <si>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</si>
  <si>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</si>
  <si>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</si>
  <si>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</si>
  <si>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</si>
  <si>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</si>
  <si>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</si>
  <si>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</si>
  <si>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</si>
  <si>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</si>
  <si>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</si>
  <si>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</si>
  <si>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</si>
  <si>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</si>
  <si>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</si>
  <si>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</si>
  <si>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</si>
  <si>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</si>
  <si>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</si>
  <si>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</si>
  <si>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</si>
  <si>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</si>
  <si>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</si>
  <si>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</si>
  <si>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</si>
  <si>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</si>
  <si>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</si>
  <si>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</si>
  <si>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</si>
  <si>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</si>
  <si>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</si>
  <si>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</si>
  <si>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</si>
  <si>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</si>
  <si>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买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</si>
  <si>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</si>
  <si>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</si>
  <si>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</si>
  <si>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</si>
  <si>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</si>
  <si>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</si>
  <si>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</si>
  <si>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</si>
  <si>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</si>
  <si>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</si>
  <si>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</si>
  <si>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</si>
  <si>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对冲9</t>
    <phoneticPr fontId="10" type="noConversion"/>
  </si>
  <si>
    <t>净多100股</t>
    <phoneticPr fontId="10" type="noConversion"/>
  </si>
  <si>
    <t>买</t>
    <phoneticPr fontId="10" type="noConversion"/>
  </si>
  <si>
    <t>年度绩效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</si>
  <si>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</si>
  <si>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</si>
  <si>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</si>
  <si>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</si>
  <si>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</si>
  <si>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</si>
  <si>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</si>
  <si>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</si>
  <si>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</si>
  <si>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</si>
  <si>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</si>
  <si>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</si>
  <si>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</si>
  <si>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</si>
  <si>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</si>
  <si>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</si>
  <si>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</si>
  <si>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</si>
  <si>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</si>
  <si>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</si>
  <si>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</si>
  <si>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</si>
  <si>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</si>
  <si>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净多100股</t>
    <phoneticPr fontId="10" type="noConversion"/>
  </si>
  <si>
    <t>对冲14</t>
    <phoneticPr fontId="10" type="noConversion"/>
  </si>
  <si>
    <t>净多100股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</si>
  <si>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</si>
  <si>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</si>
  <si>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</si>
  <si>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</si>
  <si>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净多100股</t>
    <phoneticPr fontId="10" type="noConversion"/>
  </si>
  <si>
    <t>买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</si>
  <si>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</si>
  <si>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</si>
  <si>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</si>
  <si>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</si>
  <si>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</si>
  <si>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买</t>
    <phoneticPr fontId="10" type="noConversion"/>
  </si>
  <si>
    <t>买</t>
    <phoneticPr fontId="10" type="noConversion"/>
  </si>
  <si>
    <t>对冲4</t>
    <phoneticPr fontId="10" type="noConversion"/>
  </si>
  <si>
    <t>净多100股</t>
    <phoneticPr fontId="10" type="noConversion"/>
  </si>
  <si>
    <t>对冲5</t>
    <phoneticPr fontId="10" type="noConversion"/>
  </si>
  <si>
    <t>净多100股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</si>
  <si>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</si>
  <si>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</si>
  <si>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</si>
  <si>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净多100股</t>
    <phoneticPr fontId="10" type="noConversion"/>
  </si>
  <si>
    <t>对冲18</t>
    <phoneticPr fontId="10" type="noConversion"/>
  </si>
  <si>
    <t>买</t>
    <phoneticPr fontId="10" type="noConversion"/>
  </si>
  <si>
    <t>净多100股</t>
    <phoneticPr fontId="10" type="noConversion"/>
  </si>
  <si>
    <t>对冲10</t>
    <phoneticPr fontId="10" type="noConversion"/>
  </si>
  <si>
    <t>买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</si>
  <si>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</si>
  <si>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</si>
  <si>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</si>
  <si>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对冲21</t>
    <phoneticPr fontId="10" type="noConversion"/>
  </si>
  <si>
    <t>（净多100股）</t>
    <phoneticPr fontId="10" type="noConversion"/>
  </si>
  <si>
    <t>净多100股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</si>
  <si>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</si>
  <si>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</si>
  <si>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</si>
  <si>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</si>
  <si>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</si>
  <si>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</si>
  <si>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</si>
  <si>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</si>
  <si>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</si>
  <si>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</si>
  <si>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</si>
  <si>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</si>
  <si>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</si>
  <si>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</si>
  <si>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</si>
  <si>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</si>
  <si>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</si>
  <si>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</si>
  <si>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</si>
  <si>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</si>
  <si>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</si>
  <si>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</si>
  <si>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</si>
  <si>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</si>
  <si>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</si>
  <si>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</si>
  <si>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</si>
  <si>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</si>
  <si>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买</t>
    <phoneticPr fontId="10" type="noConversion"/>
  </si>
  <si>
    <t>对冲51</t>
    <phoneticPr fontId="10" type="noConversion"/>
  </si>
  <si>
    <t>733061</t>
  </si>
  <si>
    <t>国投发债</t>
  </si>
  <si>
    <t>买</t>
    <phoneticPr fontId="10" type="noConversion"/>
  </si>
  <si>
    <t>净卖</t>
    <phoneticPr fontId="10" type="noConversion"/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</si>
  <si>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</si>
  <si>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</si>
  <si>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</si>
  <si>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买</t>
    <phoneticPr fontId="10" type="noConversion"/>
  </si>
  <si>
    <t>601009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</si>
  <si>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</si>
  <si>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</si>
  <si>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</si>
  <si>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</si>
  <si>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</si>
  <si>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</si>
  <si>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</si>
  <si>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</si>
  <si>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</si>
  <si>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</si>
  <si>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对冲46</t>
    <phoneticPr fontId="10" type="noConversion"/>
  </si>
  <si>
    <t>002442</t>
  </si>
  <si>
    <t>龙星化工</t>
  </si>
  <si>
    <t>净卖</t>
    <phoneticPr fontId="10" type="noConversion"/>
  </si>
  <si>
    <t>卖</t>
    <phoneticPr fontId="10" type="noConversion"/>
  </si>
  <si>
    <t>净买</t>
    <phoneticPr fontId="10" type="noConversion"/>
  </si>
  <si>
    <t>买</t>
    <phoneticPr fontId="10" type="noConversion"/>
  </si>
  <si>
    <t>000725</t>
    <phoneticPr fontId="10" type="noConversion"/>
  </si>
  <si>
    <t>买</t>
    <phoneticPr fontId="10" type="noConversion"/>
  </si>
  <si>
    <t>对冲34</t>
    <phoneticPr fontId="10" type="noConversion"/>
  </si>
  <si>
    <t>对冲71</t>
    <phoneticPr fontId="10" type="noConversion"/>
  </si>
  <si>
    <t>对冲64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</si>
</sst>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190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84" fontId="0" fillId="0" borderId="12" xfId="2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78" fontId="16" fillId="0" borderId="14" xfId="2" applyNumberFormat="1" applyFont="1" applyFill="1" applyBorder="1" applyAlignment="1">
      <alignment horizontal="center" vertical="center"/>
    </xf>
    <xf numFmtId="184" fontId="16" fillId="0" borderId="14" xfId="2" applyNumberFormat="1" applyFont="1" applyFill="1" applyBorder="1" applyAlignment="1">
      <alignment horizontal="center" vertical="center"/>
    </xf>
    <xf numFmtId="178" fontId="16" fillId="0" borderId="0" xfId="0" applyNumberFormat="1" applyFon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78" fontId="16" fillId="0" borderId="12" xfId="2" applyNumberFormat="1" applyFont="1" applyFill="1" applyBorder="1" applyAlignment="1">
      <alignment horizontal="center" vertical="center"/>
    </xf>
    <xf numFmtId="184" fontId="16" fillId="0" borderId="12" xfId="2" applyNumberFormat="1" applyFont="1" applyFill="1" applyBorder="1" applyAlignment="1">
      <alignment horizontal="center" vertical="center"/>
    </xf>
    <xf numFmtId="178" fontId="16" fillId="0" borderId="13" xfId="0" applyNumberFormat="1" applyFont="1" applyFill="1" applyBorder="1" applyAlignment="1">
      <alignment horizontal="center" vertical="center"/>
    </xf>
    <xf numFmtId="0" fontId="0" fillId="3" borderId="0" xfId="0" applyNumberFormat="1" applyFill="1">
      <alignment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178" fontId="0" fillId="0" borderId="0" xfId="0" applyNumberFormat="1" applyFill="1">
      <alignment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10">
    <dxf>
      <fill>
        <patternFill patternType="none">
          <fgColor indexed="64"/>
          <bgColor indexed="65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9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7">
      <pivotArea dataOnly="0" labelOnly="1" outline="0" fieldPosition="0"/>
    </format>
    <format dxfId="96">
      <pivotArea field="0" type="button" dataOnly="0" labelOnly="1" outline="0" axis="axisRow" fieldPosition="0"/>
    </format>
    <format dxfId="95">
      <pivotArea dataOnly="0" labelOnly="1" outline="0" fieldPosition="0"/>
    </format>
    <format dxfId="94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9" dataDxfId="108" headerRowCellStyle="千位分隔" dataCellStyle="千位分隔">
  <autoFilter ref="A1:J1048576"/>
  <tableColumns count="10">
    <tableColumn id="1" name="日期"/>
    <tableColumn id="2" name="资产总额" dataDxfId="107" dataCellStyle="千位分隔"/>
    <tableColumn id="3" name="负债总额" dataDxfId="106" dataCellStyle="千位分隔"/>
    <tableColumn id="4" name="资本结晶" dataDxfId="105" dataCellStyle="千位分隔"/>
    <tableColumn id="5" name="累积盈亏" dataDxfId="104" dataCellStyle="千位分隔"/>
    <tableColumn id="6" name="累积利息" dataDxfId="103" dataCellStyle="千位分隔"/>
    <tableColumn id="7" name="清算盈亏" dataDxfId="102" dataCellStyle="千位分隔"/>
    <tableColumn id="8" name="资产负债率" dataDxfId="101" dataCellStyle="百分比"/>
    <tableColumn id="9" name="负债循环占比" dataDxfId="100" dataCellStyle="百分比"/>
    <tableColumn id="10" name="资本结晶-清算盈亏" dataDxfId="99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3_5" displayName="表3_5" ref="A1:AD99" totalsRowShown="0">
  <autoFilter ref="A1:AD99">
    <filterColumn colId="1">
      <colorFilter dxfId="0"/>
    </filterColumn>
  </autoFilter>
  <tableColumns count="30">
    <tableColumn id="1" name="日期" dataDxfId="92"/>
    <tableColumn id="2" name="备注" dataDxfId="91"/>
    <tableColumn id="3" name="方向" dataDxfId="90"/>
    <tableColumn id="4" name="买卖数量" dataDxfId="89"/>
    <tableColumn id="5" name="市价" dataDxfId="88"/>
    <tableColumn id="6" name="证券余额" dataDxfId="87">
      <calculatedColumnFormula>IF(C2="买",F1+D2,F1-D2)</calculatedColumnFormula>
    </tableColumn>
    <tableColumn id="7" name=" 持仓成本价" dataDxfId="86">
      <calculatedColumnFormula>H2/F2</calculatedColumnFormula>
    </tableColumn>
    <tableColumn id="8" name="资金占用" dataDxfId="85">
      <calculatedColumnFormula>IF(C2="买",H1+D2*E2+M2+N2,H1+-1*D2*E2+M2+N2)+O2</calculatedColumnFormula>
    </tableColumn>
    <tableColumn id="9" name="浮动盈亏" dataDxfId="84">
      <calculatedColumnFormula>-H2+K2</calculatedColumnFormula>
    </tableColumn>
    <tableColumn id="10" name="盈亏比例" dataDxfId="83">
      <calculatedColumnFormula>(E2-G2)/G2</calculatedColumnFormula>
    </tableColumn>
    <tableColumn id="11" name="市值" dataDxfId="82">
      <calculatedColumnFormula>F2*E2</calculatedColumnFormula>
    </tableColumn>
    <tableColumn id="12" name="Δ浮动盈亏" dataDxfId="81">
      <calculatedColumnFormula>I2-I1</calculatedColumnFormula>
    </tableColumn>
    <tableColumn id="13" name="佣金" dataDxfId="80">
      <calculatedColumnFormula>IF(D2*E2*5/10000&gt;5,D2*E2*5/10000,5)+(D2/1000)*0.6</calculatedColumnFormula>
    </tableColumn>
    <tableColumn id="14" name="印花税" dataDxfId="79">
      <calculatedColumnFormula>IF(C2="卖",D2*E2/1000,0)</calculatedColumnFormula>
    </tableColumn>
    <tableColumn id="15" name="资金占用修正" dataDxfId="78"/>
    <tableColumn id="16" name="市价-成本" dataDxfId="77">
      <calculatedColumnFormula>E2-G2</calculatedColumnFormula>
    </tableColumn>
    <tableColumn id="17" name="资金变动" dataDxfId="76">
      <calculatedColumnFormula>(H2-H1)*-1</calculatedColumnFormula>
    </tableColumn>
    <tableColumn id="18" name="场外资金修正" dataDxfId="75"/>
    <tableColumn id="19" name="场外资金" dataDxfId="74">
      <calculatedColumnFormula>S1+Q2+O2+R2</calculatedColumnFormula>
    </tableColumn>
    <tableColumn id="20" name="影子证券" dataDxfId="73">
      <calculatedColumnFormula>S2/E2</calculatedColumnFormula>
    </tableColumn>
    <tableColumn id="21" name="虚拟证券总额" dataDxfId="72">
      <calculatedColumnFormula>F2+T2</calculatedColumnFormula>
    </tableColumn>
    <tableColumn id="22" name="投入资金总额" dataDxfId="71">
      <calculatedColumnFormula>H2+S2</calculatedColumnFormula>
    </tableColumn>
    <tableColumn id="23" name="虚拟证券成本价格" dataDxfId="70">
      <calculatedColumnFormula>V2/U2</calculatedColumnFormula>
    </tableColumn>
    <tableColumn id="24" name="虚拟成本-持仓成本" dataDxfId="69">
      <calculatedColumnFormula>W2-G2</calculatedColumnFormula>
    </tableColumn>
    <tableColumn id="25" name="市价-虚拟成本" dataDxfId="68">
      <calculatedColumnFormula>(X2-P2)*-1</calculatedColumnFormula>
    </tableColumn>
    <tableColumn id="26" name="水位" dataDxfId="67">
      <calculatedColumnFormula>F2/U2</calculatedColumnFormula>
    </tableColumn>
    <tableColumn id="27" name="可分配利润" dataDxfId="66">
      <calculatedColumnFormula>SUM(L$2:L99)-SUM(AB$2:AB99)</calculatedColumnFormula>
    </tableColumn>
    <tableColumn id="28" name="提取利润" dataDxfId="65"/>
    <tableColumn id="29" name="零成本持股数" dataDxfId="64">
      <calculatedColumnFormula>I2/E2*(1-0.0005)</calculatedColumnFormula>
    </tableColumn>
    <tableColumn id="30" name="购买量控制线" dataDxfId="63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1"/>
    <tableColumn id="2" name="备注" dataDxfId="60"/>
    <tableColumn id="3" name="方向" dataDxfId="59"/>
    <tableColumn id="4" name="买卖数量" dataDxfId="58"/>
    <tableColumn id="5" name="市价" dataDxfId="57"/>
    <tableColumn id="6" name="证券余额" dataDxfId="56">
      <calculatedColumnFormula>IF(C2="买",F1+D2,F1-D2)</calculatedColumnFormula>
    </tableColumn>
    <tableColumn id="7" name=" 持仓成本价" dataDxfId="55">
      <calculatedColumnFormula>H2/F2</calculatedColumnFormula>
    </tableColumn>
    <tableColumn id="8" name="资金占用" dataDxfId="54">
      <calculatedColumnFormula>IF(C2="买",H1+D2*E2+M2+N2,H1+-1*D2*E2+M2+N2)+O2</calculatedColumnFormula>
    </tableColumn>
    <tableColumn id="9" name="浮动盈亏" dataDxfId="53">
      <calculatedColumnFormula>-H2+K2</calculatedColumnFormula>
    </tableColumn>
    <tableColumn id="10" name="盈亏比例" dataDxfId="52">
      <calculatedColumnFormula>(E2-G2)/G2</calculatedColumnFormula>
    </tableColumn>
    <tableColumn id="11" name="市值" dataDxfId="51">
      <calculatedColumnFormula>F2*E2</calculatedColumnFormula>
    </tableColumn>
    <tableColumn id="12" name="Δ浮动盈亏" dataDxfId="50">
      <calculatedColumnFormula>I2-I1</calculatedColumnFormula>
    </tableColumn>
    <tableColumn id="13" name="佣金" dataDxfId="49">
      <calculatedColumnFormula>IF(D2*E2*5/10000&gt;5,D2*E2*5/10000,5)+(D2/1000)*0.6</calculatedColumnFormula>
    </tableColumn>
    <tableColumn id="14" name="印花税" dataDxfId="48">
      <calculatedColumnFormula>IF(C2="卖",D2*E2/1000,0)</calculatedColumnFormula>
    </tableColumn>
    <tableColumn id="15" name="资金占用修正" dataDxfId="47"/>
    <tableColumn id="16" name="市价-成本" dataDxfId="46">
      <calculatedColumnFormula>E2-G2</calculatedColumnFormula>
    </tableColumn>
    <tableColumn id="17" name="资金变动" dataDxfId="45">
      <calculatedColumnFormula>(H2-H1)*-1</calculatedColumnFormula>
    </tableColumn>
    <tableColumn id="18" name="场外资金修正" dataDxfId="44"/>
    <tableColumn id="19" name="场外资金" dataDxfId="43">
      <calculatedColumnFormula>S1+Q2+O2+R2</calculatedColumnFormula>
    </tableColumn>
    <tableColumn id="20" name="影子证券" dataDxfId="42">
      <calculatedColumnFormula>S2/E2</calculatedColumnFormula>
    </tableColumn>
    <tableColumn id="21" name="虚拟证券总额" dataDxfId="41">
      <calculatedColumnFormula>F2+T2</calculatedColumnFormula>
    </tableColumn>
    <tableColumn id="22" name="投入资金总额" dataDxfId="40">
      <calculatedColumnFormula>H2+S2</calculatedColumnFormula>
    </tableColumn>
    <tableColumn id="23" name="虚拟证券成本价格" dataDxfId="39">
      <calculatedColumnFormula>V2/U2</calculatedColumnFormula>
    </tableColumn>
    <tableColumn id="24" name="虚拟成本-持仓成本" dataDxfId="38">
      <calculatedColumnFormula>W2-G2</calculatedColumnFormula>
    </tableColumn>
    <tableColumn id="25" name="市价-虚拟成本" dataDxfId="37">
      <calculatedColumnFormula>(X2-P2)*-1</calculatedColumnFormula>
    </tableColumn>
    <tableColumn id="26" name="水位" dataDxfId="36">
      <calculatedColumnFormula>F2/U2</calculatedColumnFormula>
    </tableColumn>
    <tableColumn id="27" name="可分配利润" dataDxfId="35">
      <calculatedColumnFormula>SUM(L$2:L8)-SUM(AB$2:AB8)</calculatedColumnFormula>
    </tableColumn>
    <tableColumn id="28" name="提取利润" dataDxfId="34"/>
    <tableColumn id="29" name="零成本持股数" dataDxfId="33">
      <calculatedColumnFormula>I2/E2*(1-0.0005)</calculatedColumnFormula>
    </tableColumn>
    <tableColumn id="30" name="购买量控制线" dataDxfId="32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30"/>
    <tableColumn id="2" name="备注" dataDxfId="29"/>
    <tableColumn id="3" name="方向" dataDxfId="28"/>
    <tableColumn id="4" name="买卖数量" dataDxfId="27"/>
    <tableColumn id="5" name="市价" dataDxfId="26"/>
    <tableColumn id="6" name="证券余额" dataDxfId="25">
      <calculatedColumnFormula>IF(C2="买",F1+D2,F1-D2)</calculatedColumnFormula>
    </tableColumn>
    <tableColumn id="7" name=" 持仓成本价" dataDxfId="24">
      <calculatedColumnFormula>H2/F2</calculatedColumnFormula>
    </tableColumn>
    <tableColumn id="8" name="资金占用" dataDxfId="23">
      <calculatedColumnFormula>IF(C2="买",H1+D2*E2+M2+N2,H1+-1*D2*E2+M2+N2)+O2</calculatedColumnFormula>
    </tableColumn>
    <tableColumn id="9" name="浮动盈亏" dataDxfId="22">
      <calculatedColumnFormula>-H2+K2</calculatedColumnFormula>
    </tableColumn>
    <tableColumn id="10" name="盈亏比例" dataDxfId="21">
      <calculatedColumnFormula>(E2-G2)/G2</calculatedColumnFormula>
    </tableColumn>
    <tableColumn id="11" name="市值" dataDxfId="20">
      <calculatedColumnFormula>F2*E2</calculatedColumnFormula>
    </tableColumn>
    <tableColumn id="12" name="Δ浮动盈亏" dataDxfId="19">
      <calculatedColumnFormula>I2-I1</calculatedColumnFormula>
    </tableColumn>
    <tableColumn id="13" name="佣金" dataDxfId="18">
      <calculatedColumnFormula>IF(D2*E2*5/10000&gt;5,D2*E2*5/10000,5)+(D2/1000)*0.6</calculatedColumnFormula>
    </tableColumn>
    <tableColumn id="14" name="印花税" dataDxfId="17">
      <calculatedColumnFormula>IF(C2="卖",D2*E2/1000,0)</calculatedColumnFormula>
    </tableColumn>
    <tableColumn id="15" name="资金占用修正" dataDxfId="16"/>
    <tableColumn id="16" name="市价-成本" dataDxfId="15">
      <calculatedColumnFormula>E2-G2</calculatedColumnFormula>
    </tableColumn>
    <tableColumn id="17" name="资金变动" dataDxfId="14">
      <calculatedColumnFormula>(H2-H1)*-1</calculatedColumnFormula>
    </tableColumn>
    <tableColumn id="18" name="场外资金修正" dataDxfId="13"/>
    <tableColumn id="19" name="场外资金" dataDxfId="12">
      <calculatedColumnFormula>S1+Q2+O2+R2</calculatedColumnFormula>
    </tableColumn>
    <tableColumn id="20" name="影子证券" dataDxfId="11">
      <calculatedColumnFormula>S2/E2</calculatedColumnFormula>
    </tableColumn>
    <tableColumn id="21" name="虚拟证券总额" dataDxfId="10">
      <calculatedColumnFormula>F2+T2</calculatedColumnFormula>
    </tableColumn>
    <tableColumn id="22" name="投入资金总额" dataDxfId="9">
      <calculatedColumnFormula>H2+S2</calculatedColumnFormula>
    </tableColumn>
    <tableColumn id="23" name="虚拟证券成本价格" dataDxfId="8">
      <calculatedColumnFormula>V2/U2</calculatedColumnFormula>
    </tableColumn>
    <tableColumn id="24" name="虚拟成本-持仓成本" dataDxfId="7">
      <calculatedColumnFormula>W2-G2</calculatedColumnFormula>
    </tableColumn>
    <tableColumn id="25" name="市价-虚拟成本" dataDxfId="6">
      <calculatedColumnFormula>(X2-P2)*-1</calculatedColumnFormula>
    </tableColumn>
    <tableColumn id="26" name="水位" dataDxfId="5">
      <calculatedColumnFormula>F2/U2</calculatedColumnFormula>
    </tableColumn>
    <tableColumn id="27" name="可分配利润" dataDxfId="4">
      <calculatedColumnFormula>SUM(L$2:L15)-SUM(AB$2:AB15)</calculatedColumnFormula>
    </tableColumn>
    <tableColumn id="28" name="提取利润" dataDxfId="3"/>
    <tableColumn id="29" name="零成本持股数" dataDxfId="2">
      <calculatedColumnFormula>I2/E2*(1-0.0005)</calculatedColumnFormula>
    </tableColumn>
    <tableColumn id="30" name="购买量控制线" dataDxfId="1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I13" sqref="I13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50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303</v>
      </c>
      <c r="B1" s="62" t="s">
        <v>304</v>
      </c>
      <c r="C1" s="62" t="s">
        <v>305</v>
      </c>
      <c r="D1" s="62" t="s">
        <v>306</v>
      </c>
      <c r="E1" s="62" t="s">
        <v>307</v>
      </c>
      <c r="F1" s="174" t="s">
        <v>308</v>
      </c>
      <c r="G1" s="62" t="s">
        <v>309</v>
      </c>
      <c r="H1" s="62" t="s">
        <v>310</v>
      </c>
      <c r="I1" s="63" t="s">
        <v>311</v>
      </c>
      <c r="J1" s="62" t="s">
        <v>312</v>
      </c>
      <c r="K1" s="62" t="s">
        <v>313</v>
      </c>
    </row>
    <row r="2" spans="1:26" x14ac:dyDescent="0.25">
      <c r="A2" s="18">
        <v>44029</v>
      </c>
      <c r="B2" s="175">
        <v>69849</v>
      </c>
      <c r="C2" s="175">
        <v>0</v>
      </c>
      <c r="D2" s="14">
        <v>5.26</v>
      </c>
      <c r="E2" s="176">
        <v>13841</v>
      </c>
      <c r="F2" s="177">
        <f>SUM(B2:D2)-E2</f>
        <v>56013.259999999995</v>
      </c>
      <c r="G2" s="176">
        <f>SUMIF(逐日资产统计!$A:$A,账户总览!$A2,逐日资产统计!$I:$I)</f>
        <v>49091.48</v>
      </c>
      <c r="H2" s="178">
        <f>G2-F2</f>
        <v>-6921.7799999999916</v>
      </c>
      <c r="I2" s="180">
        <f>SUMIF(逐日资产统计!$A:$A,账户总览!$A2,逐日资产统计!$G:$G)</f>
        <v>-8349.59</v>
      </c>
    </row>
    <row r="3" spans="1:26" x14ac:dyDescent="0.25">
      <c r="A3" s="18">
        <v>44040</v>
      </c>
      <c r="B3" s="175">
        <v>69849</v>
      </c>
      <c r="C3" s="175">
        <v>0</v>
      </c>
      <c r="D3" s="14">
        <v>5.26</v>
      </c>
      <c r="E3" s="176">
        <v>13841</v>
      </c>
      <c r="F3" s="177">
        <f>SUM(B3:D3)-E3</f>
        <v>56013.259999999995</v>
      </c>
      <c r="G3" s="176">
        <f>SUMIF(逐日资产统计!$A:$A,账户总览!$A3,逐日资产统计!$I:$I)</f>
        <v>49885.26</v>
      </c>
      <c r="H3" s="178">
        <f>G3-F3</f>
        <v>-6127.9999999999927</v>
      </c>
      <c r="I3" s="180">
        <f>SUMIF(逐日资产统计!$A:$A,账户总览!$A3,逐日资产统计!$G:$G)</f>
        <v>-7550.1</v>
      </c>
      <c r="J3" s="179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75">
        <v>69849</v>
      </c>
      <c r="C4" s="175">
        <v>0</v>
      </c>
      <c r="D4" s="14">
        <v>5.26</v>
      </c>
      <c r="E4" s="176">
        <v>18541.73</v>
      </c>
      <c r="F4" s="177">
        <f>SUM(B4:D4)-E4</f>
        <v>51312.53</v>
      </c>
      <c r="G4" s="176">
        <f>SUMIF(逐日资产统计!$A:$A,账户总览!$A4,逐日资产统计!$I:$I)</f>
        <v>45108.2</v>
      </c>
      <c r="H4" s="178">
        <f>G4-F4</f>
        <v>-6204.3300000000017</v>
      </c>
      <c r="I4" s="180">
        <f>SUMIF(逐日资产统计!$A:$A,账户总览!$A4,逐日资产统计!$G:$G)</f>
        <v>-7627.19</v>
      </c>
      <c r="J4" s="179">
        <f>I4-I3</f>
        <v>-77.089999999999236</v>
      </c>
      <c r="K4" s="83" t="s">
        <v>324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75">
        <v>69849</v>
      </c>
      <c r="C5" s="175">
        <v>0</v>
      </c>
      <c r="D5" s="14">
        <v>5.26</v>
      </c>
      <c r="E5" s="176">
        <v>18541.73</v>
      </c>
      <c r="F5" s="177">
        <f t="shared" ref="F5:F6" si="0">SUM(B5:D5)-E5</f>
        <v>51312.53</v>
      </c>
      <c r="G5" s="176">
        <f>SUMIF(逐日资产统计!$A:$A,账户总览!$A5,逐日资产统计!$I:$I)</f>
        <v>45272.58</v>
      </c>
      <c r="H5" s="178">
        <f t="shared" ref="H5:H6" si="1">G5-F5</f>
        <v>-6039.9499999999971</v>
      </c>
      <c r="I5" s="180">
        <f>SUMIF(逐日资产统计!$A:$A,账户总览!$A5,逐日资产统计!$G:$G)</f>
        <v>-7463.19</v>
      </c>
      <c r="J5" s="179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75">
        <v>69849</v>
      </c>
      <c r="C6" s="175">
        <v>0</v>
      </c>
      <c r="D6" s="14">
        <v>5.8</v>
      </c>
      <c r="E6" s="176">
        <v>20089.73</v>
      </c>
      <c r="F6" s="177">
        <f t="shared" si="0"/>
        <v>49765.070000000007</v>
      </c>
      <c r="G6" s="176">
        <f>SUMIF(逐日资产统计!$A:$A,账户总览!$A6,逐日资产统计!$I:$I)</f>
        <v>42772.72</v>
      </c>
      <c r="H6" s="178">
        <f t="shared" si="1"/>
        <v>-6992.3500000000058</v>
      </c>
      <c r="I6" s="180">
        <f>SUMIF(逐日资产统计!$A:$A,账户总览!$A6,逐日资产统计!$G:$G)</f>
        <v>-8602.34</v>
      </c>
      <c r="J6" s="179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75">
        <v>69849</v>
      </c>
      <c r="C7" s="175">
        <v>0</v>
      </c>
      <c r="D7" s="14">
        <v>5.8</v>
      </c>
      <c r="E7" s="176">
        <v>20089.73</v>
      </c>
      <c r="F7" s="177">
        <f t="shared" ref="F7" si="3">SUM(B7:D7)-E7</f>
        <v>49765.070000000007</v>
      </c>
      <c r="G7" s="176">
        <f>SUMIF(逐日资产统计!$A:$A,账户总览!$A7,逐日资产统计!$I:$I)</f>
        <v>42429.65</v>
      </c>
      <c r="H7" s="178">
        <f t="shared" ref="H7" si="4">G7-F7</f>
        <v>-7335.4200000000055</v>
      </c>
      <c r="I7" s="180">
        <f>SUMIF(逐日资产统计!$A:$A,账户总览!$A7,逐日资产统计!$G:$G)</f>
        <v>-9954.41</v>
      </c>
      <c r="J7" s="179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75">
        <v>78858</v>
      </c>
      <c r="C8" s="175">
        <v>0</v>
      </c>
      <c r="D8" s="14">
        <v>6.13</v>
      </c>
      <c r="E8" s="176">
        <v>20599.73</v>
      </c>
      <c r="F8" s="177">
        <f t="shared" ref="F8" si="6">SUM(B8:D8)-E8</f>
        <v>58264.400000000009</v>
      </c>
      <c r="G8" s="176">
        <f>SUMIF(逐日资产统计!$A:$A,账户总览!$A8,逐日资产统计!$I:$I)</f>
        <v>51464.55</v>
      </c>
      <c r="H8" s="178">
        <f t="shared" ref="H8" si="7">G8-F8</f>
        <v>-6799.8500000000058</v>
      </c>
      <c r="I8" s="180">
        <f>SUMIF(逐日资产统计!$A:$A,账户总览!$A8,逐日资产统计!$G:$G)</f>
        <v>-8626.48</v>
      </c>
      <c r="J8" s="179">
        <f t="shared" ref="J8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B9" s="175"/>
      <c r="C9" s="175"/>
      <c r="D9" s="14"/>
      <c r="E9" s="176"/>
      <c r="F9" s="177"/>
      <c r="G9" s="176"/>
      <c r="H9" s="178"/>
      <c r="I9" s="180"/>
      <c r="J9" s="179"/>
      <c r="P9" s="53"/>
      <c r="Q9" s="65"/>
      <c r="R9" s="14"/>
      <c r="S9" s="14"/>
      <c r="T9" s="14"/>
      <c r="U9" s="79"/>
      <c r="V9" s="17"/>
    </row>
    <row r="10" spans="1:26" x14ac:dyDescent="0.25"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P11" s="53"/>
      <c r="Q11" s="65"/>
      <c r="R11" s="14"/>
      <c r="S11" s="14"/>
      <c r="T11" s="14"/>
      <c r="U11" s="79"/>
      <c r="V11" s="81"/>
    </row>
    <row r="12" spans="1:26" x14ac:dyDescent="0.25"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188" t="s">
        <v>119</v>
      </c>
      <c r="B6" s="188"/>
      <c r="C6" s="188"/>
      <c r="D6" s="188"/>
      <c r="E6" s="188"/>
      <c r="F6" s="188"/>
      <c r="G6" s="188"/>
      <c r="H6" s="188"/>
      <c r="I6" s="188"/>
      <c r="J6" s="188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189" t="s">
        <v>85</v>
      </c>
      <c r="J7" s="189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265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219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220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C24" sqref="C24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>
        <v>601857</v>
      </c>
      <c r="AB2" s="112">
        <v>13</v>
      </c>
      <c r="AC2" s="112">
        <v>7300</v>
      </c>
      <c r="AD2" s="112">
        <v>4.46</v>
      </c>
      <c r="AE2" s="112">
        <v>0</v>
      </c>
      <c r="AF2" s="112">
        <v>0</v>
      </c>
      <c r="AG2" s="112">
        <v>0</v>
      </c>
      <c r="AH2" s="112" t="s">
        <v>160</v>
      </c>
      <c r="AI2" s="112">
        <v>7300</v>
      </c>
      <c r="AJ2" s="112">
        <v>4.46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343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345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314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323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343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343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328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342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343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204</v>
      </c>
      <c r="AB5">
        <v>14</v>
      </c>
      <c r="AC5">
        <v>7700</v>
      </c>
      <c r="AD5">
        <v>4.5140000000000002</v>
      </c>
      <c r="AE5">
        <v>0</v>
      </c>
      <c r="AF5">
        <v>0</v>
      </c>
      <c r="AG5">
        <v>0</v>
      </c>
      <c r="AH5" t="s">
        <v>344</v>
      </c>
      <c r="AI5">
        <v>7700</v>
      </c>
      <c r="AJ5">
        <v>4.5140000000000002</v>
      </c>
      <c r="AK5">
        <v>29</v>
      </c>
      <c r="AL5">
        <v>13300</v>
      </c>
      <c r="AM5">
        <v>73580.340000000011</v>
      </c>
      <c r="AN5">
        <v>5.532</v>
      </c>
      <c r="AO5">
        <v>28</v>
      </c>
      <c r="AP5">
        <v>11500</v>
      </c>
      <c r="AQ5">
        <v>59584.420000000013</v>
      </c>
      <c r="AR5">
        <v>5.181</v>
      </c>
      <c r="AS5" t="s">
        <v>159</v>
      </c>
      <c r="AT5">
        <v>1800</v>
      </c>
      <c r="AU5">
        <v>13995.92</v>
      </c>
      <c r="AV5">
        <v>7.7759999999999998</v>
      </c>
      <c r="AW5">
        <v>-4036.5</v>
      </c>
      <c r="AX5">
        <v>43</v>
      </c>
      <c r="AY5">
        <v>21000</v>
      </c>
      <c r="AZ5">
        <v>108408.95999999999</v>
      </c>
      <c r="BA5">
        <v>5.1619999999999999</v>
      </c>
      <c r="BB5">
        <v>28</v>
      </c>
      <c r="BC5">
        <v>11500</v>
      </c>
      <c r="BD5">
        <v>59584.420000000013</v>
      </c>
      <c r="BE5">
        <v>5.181</v>
      </c>
      <c r="BF5" t="s">
        <v>159</v>
      </c>
      <c r="BG5">
        <v>9500</v>
      </c>
      <c r="BH5">
        <v>48824.54</v>
      </c>
      <c r="BI5">
        <v>5.1390000000000002</v>
      </c>
      <c r="BJ5">
        <v>218.5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342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161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343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346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199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200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46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98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216</v>
      </c>
      <c r="E6" s="51" t="s">
        <v>217</v>
      </c>
      <c r="F6" s="51" t="s">
        <v>218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221</v>
      </c>
      <c r="D7" s="51" t="s">
        <v>222</v>
      </c>
      <c r="E7" s="51" t="s">
        <v>223</v>
      </c>
      <c r="F7" s="51" t="s">
        <v>225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224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231</v>
      </c>
      <c r="F9" s="51" t="s">
        <v>232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235</v>
      </c>
      <c r="D10" s="51" t="s">
        <v>236</v>
      </c>
      <c r="E10" s="51" t="s">
        <v>213</v>
      </c>
      <c r="F10" s="51" t="s">
        <v>237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238</v>
      </c>
      <c r="C11" s="51" t="s">
        <v>239</v>
      </c>
      <c r="E11" s="51" t="s">
        <v>248</v>
      </c>
      <c r="F11" s="51" t="s">
        <v>240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241</v>
      </c>
      <c r="D12" s="51" t="s">
        <v>244</v>
      </c>
      <c r="E12" s="14" t="s">
        <v>242</v>
      </c>
      <c r="F12" s="51" t="s">
        <v>243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245</v>
      </c>
      <c r="D13" s="51" t="s">
        <v>244</v>
      </c>
      <c r="F13" s="51" t="s">
        <v>246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247</v>
      </c>
      <c r="C14" s="51" t="s">
        <v>216</v>
      </c>
      <c r="E14" s="51" t="s">
        <v>249</v>
      </c>
      <c r="F14" s="51" t="s">
        <v>250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251</v>
      </c>
      <c r="D15" s="51" t="s">
        <v>252</v>
      </c>
      <c r="F15" s="51" t="s">
        <v>253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264</v>
      </c>
      <c r="C16" s="51" t="s">
        <v>267</v>
      </c>
      <c r="D16" s="51"/>
      <c r="F16" s="51" t="s">
        <v>266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268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38"/>
  <sheetViews>
    <sheetView workbookViewId="0">
      <pane xSplit="2" ySplit="1" topLeftCell="C23" activePane="bottomRight" state="frozen"/>
      <selection pane="topRight"/>
      <selection pane="bottomLeft"/>
      <selection pane="bottomRight" activeCell="I35" sqref="I35:I38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customWidth="1"/>
    <col min="15" max="15" width="12.77734375" style="16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9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301</v>
      </c>
      <c r="C3" s="14" t="s">
        <v>302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301</v>
      </c>
      <c r="C5" s="14" t="s">
        <v>302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301</v>
      </c>
      <c r="C7" s="14" t="s">
        <v>302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299</v>
      </c>
      <c r="C9" s="14">
        <v>127018</v>
      </c>
      <c r="D9" s="14" t="s">
        <v>300</v>
      </c>
      <c r="E9" s="14" t="s">
        <v>300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259</v>
      </c>
      <c r="C10" s="14" t="s">
        <v>260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301</v>
      </c>
      <c r="C11" s="14" t="s">
        <v>302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320</v>
      </c>
      <c r="C13" s="14" t="s">
        <v>321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299</v>
      </c>
      <c r="C14" s="14">
        <v>127018</v>
      </c>
      <c r="D14" s="14" t="s">
        <v>300</v>
      </c>
      <c r="E14" s="14" t="s">
        <v>300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259</v>
      </c>
      <c r="C15" s="14" t="s">
        <v>260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301</v>
      </c>
      <c r="C16" s="14" t="s">
        <v>302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320</v>
      </c>
      <c r="C18" s="14" t="s">
        <v>321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299</v>
      </c>
      <c r="C19" s="14">
        <v>127018</v>
      </c>
      <c r="D19" s="14" t="s">
        <v>300</v>
      </c>
      <c r="E19" s="14" t="s">
        <v>300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259</v>
      </c>
      <c r="C20" s="14" t="s">
        <v>260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301</v>
      </c>
      <c r="C21" s="14" t="s">
        <v>302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320</v>
      </c>
      <c r="C23" s="14" t="s">
        <v>321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299</v>
      </c>
      <c r="C24" s="14">
        <v>127018</v>
      </c>
      <c r="D24" s="14" t="s">
        <v>300</v>
      </c>
      <c r="E24" s="14" t="s">
        <v>300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259</v>
      </c>
      <c r="C25" s="14" t="s">
        <v>260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301</v>
      </c>
      <c r="C26" s="14" t="s">
        <v>302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259</v>
      </c>
      <c r="C28" s="14" t="s">
        <v>260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301</v>
      </c>
      <c r="C29" s="14" t="s">
        <v>302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301</v>
      </c>
      <c r="C31" s="14" t="s">
        <v>302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331</v>
      </c>
      <c r="C33" s="14" t="s">
        <v>332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301</v>
      </c>
      <c r="C34" s="14" t="s">
        <v>302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340</v>
      </c>
      <c r="C36" s="14" t="s">
        <v>341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259</v>
      </c>
      <c r="C37" s="14" t="s">
        <v>260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301</v>
      </c>
      <c r="C38" s="14" t="s">
        <v>302</v>
      </c>
      <c r="I38" s="79">
        <v>3666.55</v>
      </c>
      <c r="K38" s="115">
        <v>7.1244186532282899E-2</v>
      </c>
      <c r="L38" s="116">
        <v>0</v>
      </c>
      <c r="M38" s="115">
        <v>0</v>
      </c>
    </row>
  </sheetData>
  <autoFilter ref="A1:J1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00"/>
  <sheetViews>
    <sheetView tabSelected="1" zoomScaleNormal="100" workbookViewId="0">
      <selection activeCell="B79" sqref="B79"/>
    </sheetView>
  </sheetViews>
  <sheetFormatPr defaultRowHeight="14.4" x14ac:dyDescent="0.25"/>
  <cols>
    <col min="1" max="1" width="11.6640625" style="101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131" t="s">
        <v>139</v>
      </c>
      <c r="K1" s="131" t="s">
        <v>5</v>
      </c>
      <c r="L1" s="131" t="s">
        <v>140</v>
      </c>
      <c r="M1" s="131" t="s">
        <v>141</v>
      </c>
      <c r="N1" s="131" t="s">
        <v>142</v>
      </c>
      <c r="O1" s="131" t="s">
        <v>143</v>
      </c>
      <c r="P1" s="132" t="s">
        <v>144</v>
      </c>
      <c r="Q1" s="131" t="s">
        <v>145</v>
      </c>
      <c r="R1" s="131" t="s">
        <v>146</v>
      </c>
      <c r="S1" s="131" t="s">
        <v>147</v>
      </c>
      <c r="T1" s="131" t="s">
        <v>148</v>
      </c>
      <c r="U1" s="131" t="s">
        <v>149</v>
      </c>
      <c r="V1" s="131" t="s">
        <v>150</v>
      </c>
      <c r="W1" s="132" t="s">
        <v>151</v>
      </c>
      <c r="X1" s="132" t="s">
        <v>152</v>
      </c>
      <c r="Y1" s="132" t="s">
        <v>153</v>
      </c>
      <c r="Z1" s="132" t="s">
        <v>154</v>
      </c>
      <c r="AA1" s="131" t="s">
        <v>55</v>
      </c>
      <c r="AB1" s="133" t="s">
        <v>155</v>
      </c>
      <c r="AC1" s="134" t="s">
        <v>38</v>
      </c>
      <c r="AD1" s="134" t="s">
        <v>156</v>
      </c>
    </row>
    <row r="2" spans="1:30" ht="15" hidden="1" thickTop="1" x14ac:dyDescent="0.25">
      <c r="A2" s="101">
        <v>43650</v>
      </c>
      <c r="B2" s="146">
        <v>601857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84"/>
      <c r="R2" s="84"/>
      <c r="S2" s="84">
        <v>50000</v>
      </c>
      <c r="T2" s="84"/>
      <c r="U2" s="84"/>
      <c r="V2" s="84"/>
      <c r="W2" s="86"/>
      <c r="X2" s="86"/>
      <c r="Y2" s="86"/>
      <c r="Z2" s="135"/>
      <c r="AA2" s="84"/>
      <c r="AB2" s="88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ht="15" hidden="1" thickTop="1" x14ac:dyDescent="0.25">
      <c r="A3" s="101">
        <v>43650</v>
      </c>
      <c r="B3" s="172"/>
      <c r="C3" s="84" t="s">
        <v>46</v>
      </c>
      <c r="D3" s="85">
        <v>200</v>
      </c>
      <c r="E3" s="84">
        <v>6.87</v>
      </c>
      <c r="F3" s="85">
        <f t="shared" ref="F3" si="5">IF(C3="买",F2+D3,F2-D3)</f>
        <v>200</v>
      </c>
      <c r="G3" s="86">
        <f t="shared" ref="G3" si="6">H3/F3</f>
        <v>6.8955999999999991</v>
      </c>
      <c r="H3" s="84">
        <f t="shared" ref="H3" si="7">IF(C3="买",H2+D3*E3+M3+N3,H2+-1*D3*E3+M3+N3)+O2</f>
        <v>1379.12</v>
      </c>
      <c r="I3" s="84">
        <f t="shared" si="0"/>
        <v>-5.1199999999998909</v>
      </c>
      <c r="J3" s="87">
        <f t="shared" si="1"/>
        <v>-3.7125123267009339E-3</v>
      </c>
      <c r="K3" s="84">
        <f t="shared" si="2"/>
        <v>1374</v>
      </c>
      <c r="L3" s="84">
        <f t="shared" ref="L3" si="8">I3-I2</f>
        <v>-5.1199999999998909</v>
      </c>
      <c r="M3" s="84">
        <f t="shared" ref="M3" si="9">IF(D3*E3*5/10000&gt;5,D3*E3*5/10000,5)+(D3/1000)*0.6</f>
        <v>5.12</v>
      </c>
      <c r="N3" s="15">
        <f>IF(C3="卖",D3*E3/1000,0)</f>
        <v>0</v>
      </c>
      <c r="O3" s="7"/>
      <c r="P3" s="8">
        <f>E3-G3</f>
        <v>-2.5599999999998957E-2</v>
      </c>
      <c r="Q3" s="7">
        <f>(H3-H2)*-1</f>
        <v>-1379.12</v>
      </c>
      <c r="R3" s="9"/>
      <c r="S3" s="9">
        <f>S2+Q3+O3+R3</f>
        <v>48620.88</v>
      </c>
      <c r="T3" s="9">
        <f>S3/E3</f>
        <v>7077.2751091703049</v>
      </c>
      <c r="U3" s="9">
        <f>F3+T3</f>
        <v>7277.2751091703049</v>
      </c>
      <c r="V3" s="7">
        <f>H3+S3</f>
        <v>50000</v>
      </c>
      <c r="W3" s="8">
        <f>V3/U3</f>
        <v>6.8707035600445492</v>
      </c>
      <c r="X3" s="8">
        <f>W3-G3</f>
        <v>-2.4896439955449878E-2</v>
      </c>
      <c r="Y3" s="8">
        <f>(X3-P3)*-1</f>
        <v>-7.0356004454907861E-4</v>
      </c>
      <c r="Z3" s="12">
        <f>F3/U3</f>
        <v>2.7482814240178198E-2</v>
      </c>
      <c r="AA3" s="7">
        <f>SUM(L$2:L99)-SUM(AB$2:AB99)</f>
        <v>8325.708000000066</v>
      </c>
      <c r="AB3" s="88"/>
      <c r="AC3" s="13">
        <f t="shared" si="3"/>
        <v>-0.74489665211060996</v>
      </c>
      <c r="AD3" s="13">
        <f t="shared" si="4"/>
        <v>-200.74489665211061</v>
      </c>
    </row>
    <row r="4" spans="1:30" s="1" customFormat="1" ht="15" hidden="1" thickTop="1" x14ac:dyDescent="0.25">
      <c r="A4" s="101">
        <v>43651</v>
      </c>
      <c r="B4" s="148" t="s">
        <v>272</v>
      </c>
      <c r="C4" s="84" t="s">
        <v>46</v>
      </c>
      <c r="D4" s="85">
        <v>500</v>
      </c>
      <c r="E4" s="84">
        <v>6.85</v>
      </c>
      <c r="F4" s="85">
        <f t="shared" ref="F4:F11" si="10">IF(C4="买",F3+D4,F3-D4)</f>
        <v>700</v>
      </c>
      <c r="G4" s="86">
        <f t="shared" ref="G4:G11" si="11">H4/F4</f>
        <v>6.8706000000000005</v>
      </c>
      <c r="H4" s="84">
        <f t="shared" ref="H4:H11" si="12">IF(C4="买",H3+D4*E4+M4+N4,H3+-1*D4*E4+M4+N4)+O3</f>
        <v>4809.42</v>
      </c>
      <c r="I4" s="84">
        <f t="shared" ref="I4:I11" si="13">-H4+K4</f>
        <v>-14.420000000000073</v>
      </c>
      <c r="J4" s="87">
        <f t="shared" ref="J4:J11" si="14">(E4-G4)/G4</f>
        <v>-2.9982825371875584E-3</v>
      </c>
      <c r="K4" s="84">
        <f t="shared" ref="K4:K11" si="15">F4*E4</f>
        <v>4795</v>
      </c>
      <c r="L4" s="84">
        <f t="shared" ref="L4:L11" si="16">I4-I3</f>
        <v>-9.3000000000001819</v>
      </c>
      <c r="M4" s="84">
        <f t="shared" ref="M4:M11" si="17">IF(D4*E4*5/10000&gt;5,D4*E4*5/10000,5)+(D4/1000)*0.6</f>
        <v>5.3</v>
      </c>
      <c r="N4" s="15">
        <f t="shared" ref="N4:N11" si="18">IF(C4="卖",D4*E4/1000,0)</f>
        <v>0</v>
      </c>
      <c r="O4" s="7"/>
      <c r="P4" s="8">
        <f t="shared" ref="P4:P11" si="19">E4-G4</f>
        <v>-2.060000000000084E-2</v>
      </c>
      <c r="Q4" s="7">
        <f t="shared" ref="Q4:Q11" si="20">(H4-H3)*-1</f>
        <v>-3430.3</v>
      </c>
      <c r="R4" s="9"/>
      <c r="S4" s="9">
        <f t="shared" ref="S4:S11" si="21">S3+Q4+O4+R4</f>
        <v>45190.579999999994</v>
      </c>
      <c r="T4" s="9">
        <f t="shared" ref="T4:T11" si="22">S4/E4</f>
        <v>6597.1649635036492</v>
      </c>
      <c r="U4" s="9">
        <f t="shared" ref="U4:U11" si="23">F4+T4</f>
        <v>7297.1649635036492</v>
      </c>
      <c r="V4" s="7">
        <f t="shared" ref="V4:V11" si="24">H4+S4</f>
        <v>49999.999999999993</v>
      </c>
      <c r="W4" s="8">
        <f t="shared" ref="W4:W11" si="25">V4/U4</f>
        <v>6.8519761099100975</v>
      </c>
      <c r="X4" s="8">
        <f t="shared" ref="X4:X11" si="26">W4-G4</f>
        <v>-1.862389008990295E-2</v>
      </c>
      <c r="Y4" s="8">
        <f t="shared" ref="Y4:Y11" si="27">(X4-P4)*-1</f>
        <v>-1.9761099100978896E-3</v>
      </c>
      <c r="Z4" s="12">
        <f t="shared" ref="Z4:Z11" si="28">F4/U4</f>
        <v>9.592766553874138E-2</v>
      </c>
      <c r="AA4" s="7">
        <f>SUM(L$2:L5)-SUM(AB$2:AB5)</f>
        <v>-89.720000000000255</v>
      </c>
      <c r="AB4" s="88"/>
      <c r="AC4" s="13">
        <f t="shared" ref="AC4:AC11" si="29">I4/E4*(1-0.0005)</f>
        <v>-2.10405693430658</v>
      </c>
      <c r="AD4" s="13">
        <f t="shared" ref="AD4:AD11" si="30">AC4-F4</f>
        <v>-702.10405693430653</v>
      </c>
    </row>
    <row r="5" spans="1:30" s="1" customFormat="1" ht="15" hidden="1" thickTop="1" x14ac:dyDescent="0.25">
      <c r="A5" s="101">
        <v>43654</v>
      </c>
      <c r="B5" s="130" t="s">
        <v>274</v>
      </c>
      <c r="C5" s="127" t="s">
        <v>215</v>
      </c>
      <c r="D5" s="85">
        <v>500</v>
      </c>
      <c r="E5" s="84">
        <v>6.75</v>
      </c>
      <c r="F5" s="85">
        <f t="shared" si="10"/>
        <v>1200</v>
      </c>
      <c r="G5" s="86">
        <f t="shared" si="11"/>
        <v>6.8247666666666671</v>
      </c>
      <c r="H5" s="84">
        <f t="shared" si="12"/>
        <v>8189.72</v>
      </c>
      <c r="I5" s="84">
        <f t="shared" si="13"/>
        <v>-89.720000000000255</v>
      </c>
      <c r="J5" s="87">
        <f t="shared" si="14"/>
        <v>-1.0955197491489392E-2</v>
      </c>
      <c r="K5" s="84">
        <f t="shared" si="15"/>
        <v>8100</v>
      </c>
      <c r="L5" s="84">
        <f t="shared" si="16"/>
        <v>-75.300000000000182</v>
      </c>
      <c r="M5" s="84">
        <f t="shared" si="17"/>
        <v>5.3</v>
      </c>
      <c r="N5" s="15">
        <f t="shared" si="18"/>
        <v>0</v>
      </c>
      <c r="O5" s="7"/>
      <c r="P5" s="8">
        <f t="shared" si="19"/>
        <v>-7.4766666666667092E-2</v>
      </c>
      <c r="Q5" s="7">
        <f t="shared" si="20"/>
        <v>-3380.3</v>
      </c>
      <c r="R5" s="9"/>
      <c r="S5" s="9">
        <f t="shared" si="21"/>
        <v>41810.279999999992</v>
      </c>
      <c r="T5" s="9">
        <f t="shared" si="22"/>
        <v>6194.1155555555542</v>
      </c>
      <c r="U5" s="9">
        <f t="shared" si="23"/>
        <v>7394.1155555555542</v>
      </c>
      <c r="V5" s="7">
        <f t="shared" si="24"/>
        <v>49999.999999999993</v>
      </c>
      <c r="W5" s="8">
        <f t="shared" si="25"/>
        <v>6.7621339732015127</v>
      </c>
      <c r="X5" s="8">
        <f t="shared" si="26"/>
        <v>-6.2632693465154432E-2</v>
      </c>
      <c r="Y5" s="8">
        <f t="shared" si="27"/>
        <v>-1.213397320151266E-2</v>
      </c>
      <c r="Z5" s="12">
        <f t="shared" si="28"/>
        <v>0.16229121535683633</v>
      </c>
      <c r="AA5" s="7">
        <f>SUM(L$2:L6)-SUM(AB$2:AB6)</f>
        <v>-263.02000000000044</v>
      </c>
      <c r="AB5" s="88"/>
      <c r="AC5" s="13">
        <f t="shared" si="29"/>
        <v>-13.285205925925965</v>
      </c>
      <c r="AD5" s="13">
        <f t="shared" si="30"/>
        <v>-1213.285205925926</v>
      </c>
    </row>
    <row r="6" spans="1:30" s="1" customFormat="1" ht="15" hidden="1" thickTop="1" x14ac:dyDescent="0.25">
      <c r="A6" s="101">
        <v>43661</v>
      </c>
      <c r="B6" s="130" t="s">
        <v>262</v>
      </c>
      <c r="C6" s="84" t="s">
        <v>46</v>
      </c>
      <c r="D6" s="85">
        <v>500</v>
      </c>
      <c r="E6" s="84">
        <v>6.61</v>
      </c>
      <c r="F6" s="85">
        <f t="shared" si="10"/>
        <v>1700</v>
      </c>
      <c r="G6" s="86">
        <f t="shared" si="11"/>
        <v>6.7647176470588235</v>
      </c>
      <c r="H6" s="84">
        <f t="shared" si="12"/>
        <v>11500.02</v>
      </c>
      <c r="I6" s="84">
        <f t="shared" si="13"/>
        <v>-263.02000000000044</v>
      </c>
      <c r="J6" s="87">
        <f t="shared" si="14"/>
        <v>-2.2871264571713738E-2</v>
      </c>
      <c r="K6" s="84">
        <f t="shared" si="15"/>
        <v>11237</v>
      </c>
      <c r="L6" s="84">
        <f t="shared" si="16"/>
        <v>-173.30000000000018</v>
      </c>
      <c r="M6" s="84">
        <f t="shared" si="17"/>
        <v>5.3</v>
      </c>
      <c r="N6" s="15">
        <f t="shared" si="18"/>
        <v>0</v>
      </c>
      <c r="O6" s="7"/>
      <c r="P6" s="8">
        <f t="shared" si="19"/>
        <v>-0.15471764705882318</v>
      </c>
      <c r="Q6" s="7">
        <f t="shared" si="20"/>
        <v>-3310.3</v>
      </c>
      <c r="R6" s="9"/>
      <c r="S6" s="9">
        <f t="shared" si="21"/>
        <v>38499.979999999989</v>
      </c>
      <c r="T6" s="9">
        <f t="shared" si="22"/>
        <v>5824.5052950075624</v>
      </c>
      <c r="U6" s="9">
        <f t="shared" si="23"/>
        <v>7524.5052950075624</v>
      </c>
      <c r="V6" s="7">
        <f t="shared" si="24"/>
        <v>49999.999999999985</v>
      </c>
      <c r="W6" s="8">
        <f t="shared" si="25"/>
        <v>6.6449551219233651</v>
      </c>
      <c r="X6" s="8">
        <f t="shared" si="26"/>
        <v>-0.11976252513545838</v>
      </c>
      <c r="Y6" s="8">
        <f t="shared" si="27"/>
        <v>-3.4955121923364807E-2</v>
      </c>
      <c r="Z6" s="12">
        <f t="shared" si="28"/>
        <v>0.22592847414539449</v>
      </c>
      <c r="AA6" s="7">
        <f>SUM(L$2:L7)-SUM(AB$2:AB7)</f>
        <v>-540.31999999999971</v>
      </c>
      <c r="AB6" s="88"/>
      <c r="AC6" s="13">
        <f t="shared" si="29"/>
        <v>-39.771329803328356</v>
      </c>
      <c r="AD6" s="13">
        <f t="shared" si="30"/>
        <v>-1739.7713298033284</v>
      </c>
    </row>
    <row r="7" spans="1:30" s="1" customFormat="1" ht="15" hidden="1" thickTop="1" x14ac:dyDescent="0.25">
      <c r="A7" s="101">
        <v>43669</v>
      </c>
      <c r="B7" s="130" t="s">
        <v>229</v>
      </c>
      <c r="C7" s="127" t="s">
        <v>226</v>
      </c>
      <c r="D7" s="85">
        <v>500</v>
      </c>
      <c r="E7" s="84">
        <v>6.45</v>
      </c>
      <c r="F7" s="85">
        <f t="shared" si="10"/>
        <v>2200</v>
      </c>
      <c r="G7" s="86">
        <f t="shared" si="11"/>
        <v>6.6955999999999998</v>
      </c>
      <c r="H7" s="84">
        <f t="shared" si="12"/>
        <v>14730.32</v>
      </c>
      <c r="I7" s="84">
        <f t="shared" si="13"/>
        <v>-540.31999999999971</v>
      </c>
      <c r="J7" s="87">
        <f t="shared" si="14"/>
        <v>-3.6680805304976347E-2</v>
      </c>
      <c r="K7" s="84">
        <f t="shared" si="15"/>
        <v>14190</v>
      </c>
      <c r="L7" s="84">
        <f t="shared" si="16"/>
        <v>-277.29999999999927</v>
      </c>
      <c r="M7" s="84">
        <f t="shared" si="17"/>
        <v>5.3</v>
      </c>
      <c r="N7" s="15">
        <f t="shared" si="18"/>
        <v>0</v>
      </c>
      <c r="O7" s="7"/>
      <c r="P7" s="8">
        <f t="shared" si="19"/>
        <v>-0.2455999999999996</v>
      </c>
      <c r="Q7" s="7">
        <f t="shared" si="20"/>
        <v>-3230.2999999999993</v>
      </c>
      <c r="R7" s="9"/>
      <c r="S7" s="9">
        <f t="shared" si="21"/>
        <v>35269.679999999993</v>
      </c>
      <c r="T7" s="9">
        <f t="shared" si="22"/>
        <v>5468.1674418604634</v>
      </c>
      <c r="U7" s="9">
        <f t="shared" si="23"/>
        <v>7668.1674418604634</v>
      </c>
      <c r="V7" s="7">
        <f t="shared" si="24"/>
        <v>49999.999999999993</v>
      </c>
      <c r="W7" s="8">
        <f t="shared" si="25"/>
        <v>6.5204627284284902</v>
      </c>
      <c r="X7" s="8">
        <f t="shared" si="26"/>
        <v>-0.1751372715715096</v>
      </c>
      <c r="Y7" s="8">
        <f t="shared" si="27"/>
        <v>-7.0462728428489996E-2</v>
      </c>
      <c r="Z7" s="12">
        <f t="shared" si="28"/>
        <v>0.28690036005085362</v>
      </c>
      <c r="AA7" s="7">
        <f>SUM(L$2:L8)-SUM(AB$2:AB8)</f>
        <v>-350.17599999999948</v>
      </c>
      <c r="AB7" s="88"/>
      <c r="AC7" s="13">
        <f t="shared" si="29"/>
        <v>-83.728657364341046</v>
      </c>
      <c r="AD7" s="13">
        <f t="shared" si="30"/>
        <v>-2283.728657364341</v>
      </c>
    </row>
    <row r="8" spans="1:30" s="1" customFormat="1" ht="15" hidden="1" thickTop="1" x14ac:dyDescent="0.25">
      <c r="A8" s="101">
        <v>43672</v>
      </c>
      <c r="B8" s="130" t="s">
        <v>228</v>
      </c>
      <c r="C8" s="84" t="s">
        <v>200</v>
      </c>
      <c r="D8" s="85">
        <v>400</v>
      </c>
      <c r="E8" s="84">
        <v>6.54</v>
      </c>
      <c r="F8" s="85">
        <f t="shared" si="10"/>
        <v>1800</v>
      </c>
      <c r="G8" s="86">
        <f t="shared" si="11"/>
        <v>6.7345422222222222</v>
      </c>
      <c r="H8" s="84">
        <f t="shared" si="12"/>
        <v>12122.175999999999</v>
      </c>
      <c r="I8" s="84">
        <f t="shared" si="13"/>
        <v>-350.17599999999948</v>
      </c>
      <c r="J8" s="87">
        <f t="shared" si="14"/>
        <v>-2.8887222888035937E-2</v>
      </c>
      <c r="K8" s="84">
        <f t="shared" si="15"/>
        <v>11772</v>
      </c>
      <c r="L8" s="84">
        <f t="shared" si="16"/>
        <v>190.14400000000023</v>
      </c>
      <c r="M8" s="84">
        <f t="shared" si="17"/>
        <v>5.24</v>
      </c>
      <c r="N8" s="15">
        <f t="shared" si="18"/>
        <v>2.6160000000000001</v>
      </c>
      <c r="O8" s="7"/>
      <c r="P8" s="8">
        <f t="shared" si="19"/>
        <v>-0.19454222222222217</v>
      </c>
      <c r="Q8" s="7">
        <f t="shared" si="20"/>
        <v>2608.1440000000002</v>
      </c>
      <c r="R8" s="9"/>
      <c r="S8" s="9">
        <f t="shared" si="21"/>
        <v>37877.823999999993</v>
      </c>
      <c r="T8" s="9">
        <f t="shared" si="22"/>
        <v>5791.716207951069</v>
      </c>
      <c r="U8" s="9">
        <f t="shared" si="23"/>
        <v>7591.716207951069</v>
      </c>
      <c r="V8" s="7">
        <f t="shared" si="24"/>
        <v>49999.999999999993</v>
      </c>
      <c r="W8" s="8">
        <f t="shared" si="25"/>
        <v>6.5861260656231133</v>
      </c>
      <c r="X8" s="8">
        <f t="shared" si="26"/>
        <v>-0.14841615659910889</v>
      </c>
      <c r="Y8" s="8">
        <f t="shared" si="27"/>
        <v>-4.6126065623113277E-2</v>
      </c>
      <c r="Z8" s="12">
        <f t="shared" si="28"/>
        <v>0.23710053836243211</v>
      </c>
      <c r="AA8" s="7">
        <f>SUM(L$2:L9)-SUM(AB$2:AB9)</f>
        <v>-751.47599999999875</v>
      </c>
      <c r="AB8" s="88"/>
      <c r="AC8" s="13">
        <f t="shared" si="29"/>
        <v>-53.516959021406649</v>
      </c>
      <c r="AD8" s="13">
        <f t="shared" si="30"/>
        <v>-1853.5169590214066</v>
      </c>
    </row>
    <row r="9" spans="1:30" s="1" customFormat="1" ht="15" hidden="1" thickTop="1" x14ac:dyDescent="0.25">
      <c r="A9" s="101">
        <v>43679</v>
      </c>
      <c r="B9" s="130" t="s">
        <v>229</v>
      </c>
      <c r="C9" s="127" t="s">
        <v>227</v>
      </c>
      <c r="D9" s="85">
        <v>500</v>
      </c>
      <c r="E9" s="84">
        <v>6.32</v>
      </c>
      <c r="F9" s="85">
        <f t="shared" si="10"/>
        <v>2300</v>
      </c>
      <c r="G9" s="86">
        <f t="shared" si="11"/>
        <v>6.6467286956521736</v>
      </c>
      <c r="H9" s="84">
        <f t="shared" si="12"/>
        <v>15287.475999999999</v>
      </c>
      <c r="I9" s="84">
        <f t="shared" si="13"/>
        <v>-751.47599999999875</v>
      </c>
      <c r="J9" s="87">
        <f t="shared" si="14"/>
        <v>-4.9156315928149202E-2</v>
      </c>
      <c r="K9" s="84">
        <f t="shared" si="15"/>
        <v>14536</v>
      </c>
      <c r="L9" s="84">
        <f t="shared" si="16"/>
        <v>-401.29999999999927</v>
      </c>
      <c r="M9" s="84">
        <f t="shared" si="17"/>
        <v>5.3</v>
      </c>
      <c r="N9" s="15">
        <f t="shared" si="18"/>
        <v>0</v>
      </c>
      <c r="O9" s="7"/>
      <c r="P9" s="8">
        <f t="shared" si="19"/>
        <v>-0.32672869565217333</v>
      </c>
      <c r="Q9" s="7">
        <f t="shared" si="20"/>
        <v>-3165.2999999999993</v>
      </c>
      <c r="R9" s="9"/>
      <c r="S9" s="9">
        <f t="shared" si="21"/>
        <v>34712.52399999999</v>
      </c>
      <c r="T9" s="9">
        <f t="shared" si="22"/>
        <v>5492.4879746835422</v>
      </c>
      <c r="U9" s="9">
        <f t="shared" si="23"/>
        <v>7792.4879746835422</v>
      </c>
      <c r="V9" s="7">
        <f t="shared" si="24"/>
        <v>49999.999999999985</v>
      </c>
      <c r="W9" s="8">
        <f t="shared" si="25"/>
        <v>6.4164359524764638</v>
      </c>
      <c r="X9" s="8">
        <f t="shared" si="26"/>
        <v>-0.2302927431757098</v>
      </c>
      <c r="Y9" s="8">
        <f t="shared" si="27"/>
        <v>-9.6435952476463527E-2</v>
      </c>
      <c r="Z9" s="12">
        <f t="shared" si="28"/>
        <v>0.29515605381391741</v>
      </c>
      <c r="AA9" s="7">
        <f>SUM(L$2:L10)-SUM(AB$2:AB10)</f>
        <v>-1147.775999999998</v>
      </c>
      <c r="AB9" s="88"/>
      <c r="AC9" s="13">
        <f t="shared" si="29"/>
        <v>-118.84497816455676</v>
      </c>
      <c r="AD9" s="13">
        <f t="shared" si="30"/>
        <v>-2418.8449781645568</v>
      </c>
    </row>
    <row r="10" spans="1:30" s="1" customFormat="1" ht="15" hidden="1" thickTop="1" x14ac:dyDescent="0.25">
      <c r="A10" s="101">
        <v>43683</v>
      </c>
      <c r="B10" s="130" t="s">
        <v>281</v>
      </c>
      <c r="C10" s="127" t="s">
        <v>230</v>
      </c>
      <c r="D10" s="85">
        <v>500</v>
      </c>
      <c r="E10" s="84">
        <v>6.15</v>
      </c>
      <c r="F10" s="85">
        <f t="shared" si="10"/>
        <v>2800</v>
      </c>
      <c r="G10" s="86">
        <f t="shared" si="11"/>
        <v>6.5599199999999991</v>
      </c>
      <c r="H10" s="84">
        <f t="shared" si="12"/>
        <v>18367.775999999998</v>
      </c>
      <c r="I10" s="84">
        <f t="shared" si="13"/>
        <v>-1147.775999999998</v>
      </c>
      <c r="J10" s="87">
        <f t="shared" si="14"/>
        <v>-6.2488566933742912E-2</v>
      </c>
      <c r="K10" s="84">
        <f t="shared" si="15"/>
        <v>17220</v>
      </c>
      <c r="L10" s="84">
        <f t="shared" si="16"/>
        <v>-396.29999999999927</v>
      </c>
      <c r="M10" s="84">
        <f t="shared" si="17"/>
        <v>5.3</v>
      </c>
      <c r="N10" s="15">
        <f t="shared" si="18"/>
        <v>0</v>
      </c>
      <c r="O10" s="7"/>
      <c r="P10" s="8">
        <f t="shared" si="19"/>
        <v>-0.40991999999999873</v>
      </c>
      <c r="Q10" s="7">
        <f t="shared" si="20"/>
        <v>-3080.2999999999993</v>
      </c>
      <c r="R10" s="9"/>
      <c r="S10" s="9">
        <f t="shared" si="21"/>
        <v>31632.223999999991</v>
      </c>
      <c r="T10" s="9">
        <f t="shared" si="22"/>
        <v>5143.4510569105678</v>
      </c>
      <c r="U10" s="9">
        <f t="shared" si="23"/>
        <v>7943.4510569105678</v>
      </c>
      <c r="V10" s="7">
        <f t="shared" si="24"/>
        <v>49999.999999999985</v>
      </c>
      <c r="W10" s="8">
        <f t="shared" si="25"/>
        <v>6.2944933684083644</v>
      </c>
      <c r="X10" s="8">
        <f t="shared" si="26"/>
        <v>-0.26542663159163471</v>
      </c>
      <c r="Y10" s="8">
        <f t="shared" si="27"/>
        <v>-0.14449336840836402</v>
      </c>
      <c r="Z10" s="12">
        <f t="shared" si="28"/>
        <v>0.35249162863086853</v>
      </c>
      <c r="AA10" s="7">
        <f>SUM(L$2:L11)-SUM(AB$2:AB11)</f>
        <v>-1125.0759999999973</v>
      </c>
      <c r="AB10" s="88"/>
      <c r="AC10" s="13">
        <f t="shared" si="29"/>
        <v>-186.53692878048747</v>
      </c>
      <c r="AD10" s="13">
        <f t="shared" si="30"/>
        <v>-2986.5369287804874</v>
      </c>
    </row>
    <row r="11" spans="1:30" s="1" customFormat="1" ht="15" hidden="1" thickTop="1" x14ac:dyDescent="0.25">
      <c r="A11" s="101">
        <v>43690</v>
      </c>
      <c r="B11" s="148" t="s">
        <v>254</v>
      </c>
      <c r="C11" s="127" t="s">
        <v>233</v>
      </c>
      <c r="D11" s="85">
        <v>500</v>
      </c>
      <c r="E11" s="84">
        <v>6.16</v>
      </c>
      <c r="F11" s="85">
        <f t="shared" si="10"/>
        <v>3300</v>
      </c>
      <c r="G11" s="86">
        <f t="shared" si="11"/>
        <v>6.5009321212121201</v>
      </c>
      <c r="H11" s="84">
        <f t="shared" si="12"/>
        <v>21453.075999999997</v>
      </c>
      <c r="I11" s="84">
        <f t="shared" si="13"/>
        <v>-1125.0759999999973</v>
      </c>
      <c r="J11" s="87">
        <f t="shared" si="14"/>
        <v>-5.2443574991297093E-2</v>
      </c>
      <c r="K11" s="84">
        <f t="shared" si="15"/>
        <v>20328</v>
      </c>
      <c r="L11" s="84">
        <f t="shared" si="16"/>
        <v>22.700000000000728</v>
      </c>
      <c r="M11" s="84">
        <f t="shared" si="17"/>
        <v>5.3</v>
      </c>
      <c r="N11" s="15">
        <f t="shared" si="18"/>
        <v>0</v>
      </c>
      <c r="O11" s="7"/>
      <c r="P11" s="8">
        <f t="shared" si="19"/>
        <v>-0.34093212121211991</v>
      </c>
      <c r="Q11" s="7">
        <f t="shared" si="20"/>
        <v>-3085.2999999999993</v>
      </c>
      <c r="R11" s="9"/>
      <c r="S11" s="9">
        <f t="shared" si="21"/>
        <v>28546.923999999992</v>
      </c>
      <c r="T11" s="9">
        <f t="shared" si="22"/>
        <v>4634.2409090909077</v>
      </c>
      <c r="U11" s="9">
        <f t="shared" si="23"/>
        <v>7934.2409090909077</v>
      </c>
      <c r="V11" s="7">
        <f t="shared" si="24"/>
        <v>49999.999999999985</v>
      </c>
      <c r="W11" s="8">
        <f t="shared" si="25"/>
        <v>6.3018000805484622</v>
      </c>
      <c r="X11" s="8">
        <f t="shared" si="26"/>
        <v>-0.19913204066365786</v>
      </c>
      <c r="Y11" s="8">
        <f t="shared" si="27"/>
        <v>-0.14180008054846205</v>
      </c>
      <c r="Z11" s="12">
        <f t="shared" si="28"/>
        <v>0.41591880531619863</v>
      </c>
      <c r="AA11" s="7">
        <f>SUM(L$2:L12)-SUM(AB$2:AB12)</f>
        <v>-1460.3759999999966</v>
      </c>
      <c r="AB11" s="88"/>
      <c r="AC11" s="13">
        <f t="shared" si="29"/>
        <v>-182.55088668831127</v>
      </c>
      <c r="AD11" s="13">
        <f t="shared" si="30"/>
        <v>-3482.550886688311</v>
      </c>
    </row>
    <row r="12" spans="1:30" s="1" customFormat="1" ht="15" hidden="1" thickTop="1" x14ac:dyDescent="0.25">
      <c r="A12" s="101">
        <v>43692</v>
      </c>
      <c r="B12" s="130" t="s">
        <v>256</v>
      </c>
      <c r="C12" s="127" t="s">
        <v>234</v>
      </c>
      <c r="D12" s="85">
        <v>500</v>
      </c>
      <c r="E12" s="84">
        <v>6.06</v>
      </c>
      <c r="F12" s="85">
        <f t="shared" ref="F12:F15" si="31">IF(C12="买",F11+D12,F11-D12)</f>
        <v>3800</v>
      </c>
      <c r="G12" s="86">
        <f t="shared" ref="G12:G15" si="32">H12/F12</f>
        <v>6.4443094736842097</v>
      </c>
      <c r="H12" s="84">
        <f t="shared" ref="H12:H15" si="33">IF(C12="买",H11+D12*E12+M12+N12,H11+-1*D12*E12+M12+N12)+O11</f>
        <v>24488.375999999997</v>
      </c>
      <c r="I12" s="84">
        <f t="shared" ref="I12:I15" si="34">-H12+K12</f>
        <v>-1460.3759999999966</v>
      </c>
      <c r="J12" s="87">
        <f t="shared" ref="J12:J15" si="35">(E12-G12)/G12</f>
        <v>-5.9635477664994954E-2</v>
      </c>
      <c r="K12" s="84">
        <f t="shared" ref="K12:K15" si="36">F12*E12</f>
        <v>23028</v>
      </c>
      <c r="L12" s="84">
        <f t="shared" ref="L12:L15" si="37">I12-I11</f>
        <v>-335.29999999999927</v>
      </c>
      <c r="M12" s="84">
        <f t="shared" ref="M12:M15" si="38">IF(D12*E12*5/10000&gt;5,D12*E12*5/10000,5)+(D12/1000)*0.6</f>
        <v>5.3</v>
      </c>
      <c r="N12" s="15">
        <f t="shared" ref="N12:N15" si="39">IF(C12="卖",D12*E12/1000,0)</f>
        <v>0</v>
      </c>
      <c r="O12" s="7"/>
      <c r="P12" s="8">
        <f t="shared" ref="P12:P15" si="40">E12-G12</f>
        <v>-0.38430947368421009</v>
      </c>
      <c r="Q12" s="7">
        <f t="shared" ref="Q12:Q15" si="41">(H12-H11)*-1</f>
        <v>-3035.2999999999993</v>
      </c>
      <c r="R12" s="9"/>
      <c r="S12" s="9">
        <f t="shared" ref="S12:S15" si="42">S11+Q12+O12+R12</f>
        <v>25511.623999999993</v>
      </c>
      <c r="T12" s="9">
        <f t="shared" ref="T12:T15" si="43">S12/E12</f>
        <v>4209.8389438943886</v>
      </c>
      <c r="U12" s="9">
        <f t="shared" ref="U12:U15" si="44">F12+T12</f>
        <v>8009.8389438943886</v>
      </c>
      <c r="V12" s="7">
        <f t="shared" ref="V12:V15" si="45">H12+S12</f>
        <v>49999.999999999985</v>
      </c>
      <c r="W12" s="8">
        <f t="shared" ref="W12:W15" si="46">V12/U12</f>
        <v>6.2423227670655201</v>
      </c>
      <c r="X12" s="8">
        <f t="shared" ref="X12:X15" si="47">W12-G12</f>
        <v>-0.20198670661868956</v>
      </c>
      <c r="Y12" s="8">
        <f t="shared" ref="Y12:Y15" si="48">(X12-P12)*-1</f>
        <v>-0.18232276706552053</v>
      </c>
      <c r="Z12" s="12">
        <f t="shared" ref="Z12:Z15" si="49">F12/U12</f>
        <v>0.47441653029697967</v>
      </c>
      <c r="AA12" s="7">
        <f>SUM(L$2:L13)-SUM(AB$2:AB13)</f>
        <v>-1050.0839999999989</v>
      </c>
      <c r="AB12" s="88"/>
      <c r="AC12" s="13">
        <f t="shared" ref="AC12:AC15" si="50">I12/E12*(1-0.0005)</f>
        <v>-240.86564554455393</v>
      </c>
      <c r="AD12" s="13">
        <f t="shared" ref="AD12:AD15" si="51">AC12-F12</f>
        <v>-4040.8656455445539</v>
      </c>
    </row>
    <row r="13" spans="1:30" s="1" customFormat="1" ht="15" hidden="1" thickTop="1" x14ac:dyDescent="0.25">
      <c r="A13" s="129">
        <v>43696</v>
      </c>
      <c r="B13" s="130" t="s">
        <v>255</v>
      </c>
      <c r="C13" s="84" t="s">
        <v>200</v>
      </c>
      <c r="D13" s="85">
        <v>400</v>
      </c>
      <c r="E13" s="84">
        <v>6.17</v>
      </c>
      <c r="F13" s="85">
        <f t="shared" si="31"/>
        <v>3400</v>
      </c>
      <c r="G13" s="86">
        <f t="shared" si="32"/>
        <v>6.4788482352941177</v>
      </c>
      <c r="H13" s="84">
        <f t="shared" si="33"/>
        <v>22028.083999999999</v>
      </c>
      <c r="I13" s="84">
        <f t="shared" si="34"/>
        <v>-1050.0839999999989</v>
      </c>
      <c r="J13" s="87">
        <f t="shared" si="35"/>
        <v>-4.7670237683858495E-2</v>
      </c>
      <c r="K13" s="84">
        <f t="shared" si="36"/>
        <v>20978</v>
      </c>
      <c r="L13" s="84">
        <f t="shared" si="37"/>
        <v>410.29199999999764</v>
      </c>
      <c r="M13" s="84">
        <f t="shared" si="38"/>
        <v>5.24</v>
      </c>
      <c r="N13" s="15">
        <f t="shared" si="39"/>
        <v>2.468</v>
      </c>
      <c r="O13" s="7"/>
      <c r="P13" s="8">
        <f t="shared" si="40"/>
        <v>-0.30884823529411776</v>
      </c>
      <c r="Q13" s="7">
        <f t="shared" si="41"/>
        <v>2460.2919999999976</v>
      </c>
      <c r="R13" s="9"/>
      <c r="S13" s="9">
        <f t="shared" si="42"/>
        <v>27971.91599999999</v>
      </c>
      <c r="T13" s="9">
        <f t="shared" si="43"/>
        <v>4533.5358184764973</v>
      </c>
      <c r="U13" s="9">
        <f t="shared" si="44"/>
        <v>7933.5358184764973</v>
      </c>
      <c r="V13" s="7">
        <f t="shared" si="45"/>
        <v>49999.999999999985</v>
      </c>
      <c r="W13" s="8">
        <f t="shared" si="46"/>
        <v>6.3023601511389717</v>
      </c>
      <c r="X13" s="8">
        <f t="shared" si="47"/>
        <v>-0.17648808415514594</v>
      </c>
      <c r="Y13" s="8">
        <f t="shared" si="48"/>
        <v>-0.13236015113897182</v>
      </c>
      <c r="Z13" s="12">
        <f t="shared" si="49"/>
        <v>0.42856049027745025</v>
      </c>
      <c r="AA13" s="7">
        <f>SUM(L$2:L14)-SUM(AB$2:AB14)</f>
        <v>-751.82800000000134</v>
      </c>
      <c r="AB13" s="88"/>
      <c r="AC13" s="13">
        <f t="shared" si="50"/>
        <v>-170.10680032414894</v>
      </c>
      <c r="AD13" s="13">
        <f t="shared" si="51"/>
        <v>-3570.1068003241489</v>
      </c>
    </row>
    <row r="14" spans="1:30" s="1" customFormat="1" ht="15" hidden="1" thickTop="1" x14ac:dyDescent="0.25">
      <c r="A14" s="129">
        <v>43713</v>
      </c>
      <c r="B14" s="130" t="s">
        <v>257</v>
      </c>
      <c r="C14" s="84" t="s">
        <v>200</v>
      </c>
      <c r="D14" s="85">
        <v>400</v>
      </c>
      <c r="E14" s="84">
        <v>6.26</v>
      </c>
      <c r="F14" s="85">
        <f t="shared" si="31"/>
        <v>3000</v>
      </c>
      <c r="G14" s="86">
        <f t="shared" si="32"/>
        <v>6.5106093333333339</v>
      </c>
      <c r="H14" s="84">
        <f t="shared" si="33"/>
        <v>19531.828000000001</v>
      </c>
      <c r="I14" s="84">
        <f t="shared" si="34"/>
        <v>-751.82800000000134</v>
      </c>
      <c r="J14" s="87">
        <f t="shared" si="35"/>
        <v>-3.8492454469699525E-2</v>
      </c>
      <c r="K14" s="84">
        <f t="shared" si="36"/>
        <v>18780</v>
      </c>
      <c r="L14" s="84">
        <f t="shared" si="37"/>
        <v>298.25599999999758</v>
      </c>
      <c r="M14" s="84">
        <f t="shared" si="38"/>
        <v>5.24</v>
      </c>
      <c r="N14" s="15">
        <f t="shared" si="39"/>
        <v>2.504</v>
      </c>
      <c r="O14" s="7"/>
      <c r="P14" s="8">
        <f t="shared" si="40"/>
        <v>-0.25060933333333413</v>
      </c>
      <c r="Q14" s="7">
        <f t="shared" si="41"/>
        <v>2496.2559999999976</v>
      </c>
      <c r="R14" s="9"/>
      <c r="S14" s="9">
        <f t="shared" si="42"/>
        <v>30468.171999999988</v>
      </c>
      <c r="T14" s="9">
        <f t="shared" si="43"/>
        <v>4867.1201277955251</v>
      </c>
      <c r="U14" s="9">
        <f t="shared" si="44"/>
        <v>7867.1201277955251</v>
      </c>
      <c r="V14" s="7">
        <f t="shared" si="45"/>
        <v>49999.999999999985</v>
      </c>
      <c r="W14" s="8">
        <f t="shared" si="46"/>
        <v>6.3555658471953027</v>
      </c>
      <c r="X14" s="8">
        <f t="shared" si="47"/>
        <v>-0.15504348613803121</v>
      </c>
      <c r="Y14" s="8">
        <f t="shared" si="48"/>
        <v>-9.5565847195302922E-2</v>
      </c>
      <c r="Z14" s="12">
        <f t="shared" si="49"/>
        <v>0.38133395083171828</v>
      </c>
      <c r="AA14" s="7">
        <f>SUM(L$2:L15)-SUM(AB$2:AB15)</f>
        <v>80.315999999995256</v>
      </c>
      <c r="AB14" s="88"/>
      <c r="AC14" s="13">
        <f t="shared" si="50"/>
        <v>-120.04026932907371</v>
      </c>
      <c r="AD14" s="13">
        <f t="shared" si="51"/>
        <v>-3120.0402693290739</v>
      </c>
    </row>
    <row r="15" spans="1:30" s="1" customFormat="1" ht="15" hidden="1" thickTop="1" x14ac:dyDescent="0.25">
      <c r="A15" s="129">
        <v>43724</v>
      </c>
      <c r="B15" s="148" t="s">
        <v>258</v>
      </c>
      <c r="C15" s="84" t="s">
        <v>200</v>
      </c>
      <c r="D15" s="85">
        <v>400</v>
      </c>
      <c r="E15" s="84">
        <v>6.54</v>
      </c>
      <c r="F15" s="85">
        <f t="shared" si="31"/>
        <v>2600</v>
      </c>
      <c r="G15" s="86">
        <f t="shared" si="32"/>
        <v>6.5091092307692326</v>
      </c>
      <c r="H15" s="84">
        <f t="shared" si="33"/>
        <v>16923.684000000005</v>
      </c>
      <c r="I15" s="84">
        <f t="shared" si="34"/>
        <v>80.315999999995256</v>
      </c>
      <c r="J15" s="87">
        <f t="shared" si="35"/>
        <v>4.7457752106453413E-3</v>
      </c>
      <c r="K15" s="84">
        <f t="shared" si="36"/>
        <v>17004</v>
      </c>
      <c r="L15" s="84">
        <f t="shared" si="37"/>
        <v>832.14399999999659</v>
      </c>
      <c r="M15" s="84">
        <f t="shared" si="38"/>
        <v>5.24</v>
      </c>
      <c r="N15" s="15">
        <f t="shared" si="39"/>
        <v>2.6160000000000001</v>
      </c>
      <c r="O15" s="7"/>
      <c r="P15" s="8">
        <f t="shared" si="40"/>
        <v>3.089076923076739E-2</v>
      </c>
      <c r="Q15" s="7">
        <f t="shared" si="41"/>
        <v>2608.1439999999966</v>
      </c>
      <c r="R15" s="9"/>
      <c r="S15" s="9">
        <f t="shared" si="42"/>
        <v>33076.315999999984</v>
      </c>
      <c r="T15" s="9">
        <f t="shared" si="43"/>
        <v>5057.5406727828722</v>
      </c>
      <c r="U15" s="9">
        <f t="shared" si="44"/>
        <v>7657.5406727828722</v>
      </c>
      <c r="V15" s="7">
        <f t="shared" si="45"/>
        <v>49999.999999999985</v>
      </c>
      <c r="W15" s="8">
        <f t="shared" si="46"/>
        <v>6.529511515063124</v>
      </c>
      <c r="X15" s="8">
        <f t="shared" si="47"/>
        <v>2.0402284293891348E-2</v>
      </c>
      <c r="Y15" s="8">
        <f t="shared" si="48"/>
        <v>1.0488484936876041E-2</v>
      </c>
      <c r="Z15" s="12">
        <f t="shared" si="49"/>
        <v>0.33953459878328257</v>
      </c>
      <c r="AA15" s="7">
        <f>SUM(L$2:L16)-SUM(AB$2:AB16)</f>
        <v>150.44799999999486</v>
      </c>
      <c r="AB15" s="88"/>
      <c r="AC15" s="13">
        <f t="shared" si="50"/>
        <v>12.274593577980927</v>
      </c>
      <c r="AD15" s="13">
        <f t="shared" si="51"/>
        <v>-2587.7254064220192</v>
      </c>
    </row>
    <row r="16" spans="1:30" ht="15" hidden="1" thickTop="1" x14ac:dyDescent="0.25">
      <c r="A16" s="129">
        <v>43724</v>
      </c>
      <c r="B16" s="130" t="s">
        <v>261</v>
      </c>
      <c r="C16" s="84" t="s">
        <v>200</v>
      </c>
      <c r="D16" s="85">
        <v>400</v>
      </c>
      <c r="E16" s="84">
        <v>6.57</v>
      </c>
      <c r="F16" s="85">
        <f t="shared" ref="F16:F17" si="52">IF(C16="买",F15+D16,F15-D16)</f>
        <v>2200</v>
      </c>
      <c r="G16" s="86">
        <f t="shared" ref="G16:G17" si="53">H16/F16</f>
        <v>6.5016145454545482</v>
      </c>
      <c r="H16" s="84">
        <f t="shared" ref="H16:H17" si="54">IF(C16="买",H15+D16*E16+M16+N16,H15+-1*D16*E16+M16+N16)+O15</f>
        <v>14303.552000000005</v>
      </c>
      <c r="I16" s="84">
        <f t="shared" ref="I16:I20" si="55">-H16+K16</f>
        <v>150.44799999999486</v>
      </c>
      <c r="J16" s="136">
        <f t="shared" ref="J16:J20" si="56">(E16-G16)/G16</f>
        <v>1.0518226521635641E-2</v>
      </c>
      <c r="K16" s="137">
        <f t="shared" ref="K16:K20" si="57">F16*E16</f>
        <v>14454</v>
      </c>
      <c r="L16" s="137">
        <f t="shared" ref="L16:L20" si="58">I16-I15</f>
        <v>70.131999999999607</v>
      </c>
      <c r="M16" s="137">
        <f t="shared" ref="M16:M20" si="59">IF(D16*E16*5/10000&gt;5,D16*E16*5/10000,5)+(D16/1000)*0.6</f>
        <v>5.24</v>
      </c>
      <c r="N16" s="137">
        <f t="shared" ref="N16:N20" si="60">IF(C16="卖",D16*E16/1000,0)</f>
        <v>2.6280000000000001</v>
      </c>
      <c r="O16" s="137"/>
      <c r="P16" s="138">
        <f t="shared" ref="P16:P20" si="61">E16-G16</f>
        <v>6.8385454545452085E-2</v>
      </c>
      <c r="Q16" s="137">
        <f t="shared" ref="Q16:Q20" si="62">(H16-H15)*-1</f>
        <v>2620.1319999999996</v>
      </c>
      <c r="R16" s="139"/>
      <c r="S16" s="139">
        <f t="shared" ref="S16:S20" si="63">S15+Q16+O16+R16</f>
        <v>35696.447999999982</v>
      </c>
      <c r="T16" s="139">
        <f t="shared" ref="T16:T20" si="64">S16/E16</f>
        <v>5433.2493150684904</v>
      </c>
      <c r="U16" s="139">
        <f t="shared" ref="U16:U20" si="65">F16+T16</f>
        <v>7633.2493150684904</v>
      </c>
      <c r="V16" s="137">
        <f t="shared" ref="V16:V20" si="66">H16+S16</f>
        <v>49999.999999999985</v>
      </c>
      <c r="W16" s="138">
        <f t="shared" ref="W16:W20" si="67">V16/U16</f>
        <v>6.550290438083425</v>
      </c>
      <c r="X16" s="138">
        <f t="shared" ref="X16:X20" si="68">W16-G16</f>
        <v>4.8675892628876838E-2</v>
      </c>
      <c r="Y16" s="138">
        <f t="shared" ref="Y16:Y20" si="69">(X16-P16)*-1</f>
        <v>1.9709561916575247E-2</v>
      </c>
      <c r="Z16" s="140">
        <f t="shared" ref="Z16:Z20" si="70">F16/U16</f>
        <v>0.28821277927567079</v>
      </c>
      <c r="AA16" s="7">
        <f>SUM(L$2:L17)-SUM(AB$2:AB17)</f>
        <v>-360.79200000000492</v>
      </c>
      <c r="AB16" s="141"/>
      <c r="AC16" s="13">
        <f t="shared" ref="AC16:AC20" si="71">I16/E16*(1-0.0005)</f>
        <v>22.887789345509113</v>
      </c>
      <c r="AD16" s="13">
        <f t="shared" ref="AD16:AD20" si="72">AC16-F16</f>
        <v>-2177.1122106544908</v>
      </c>
    </row>
    <row r="17" spans="1:30" ht="15" hidden="1" thickTop="1" x14ac:dyDescent="0.25">
      <c r="A17" s="129">
        <v>43726</v>
      </c>
      <c r="B17" s="130"/>
      <c r="C17" s="84" t="s">
        <v>46</v>
      </c>
      <c r="D17" s="85">
        <v>400</v>
      </c>
      <c r="E17" s="84">
        <v>6.34</v>
      </c>
      <c r="F17" s="85">
        <f t="shared" si="52"/>
        <v>2600</v>
      </c>
      <c r="G17" s="86">
        <f t="shared" si="53"/>
        <v>6.4787661538461556</v>
      </c>
      <c r="H17" s="84">
        <f t="shared" si="54"/>
        <v>16844.792000000005</v>
      </c>
      <c r="I17" s="84">
        <f t="shared" si="55"/>
        <v>-360.79200000000492</v>
      </c>
      <c r="J17" s="136">
        <f t="shared" si="56"/>
        <v>-2.1418608196527737E-2</v>
      </c>
      <c r="K17" s="137">
        <f t="shared" si="57"/>
        <v>16484</v>
      </c>
      <c r="L17" s="137">
        <f t="shared" si="58"/>
        <v>-511.23999999999978</v>
      </c>
      <c r="M17" s="137">
        <f t="shared" si="59"/>
        <v>5.24</v>
      </c>
      <c r="N17" s="137">
        <f t="shared" si="60"/>
        <v>0</v>
      </c>
      <c r="O17" s="137">
        <v>-201.89</v>
      </c>
      <c r="P17" s="138">
        <f t="shared" si="61"/>
        <v>-0.13876615384615576</v>
      </c>
      <c r="Q17" s="137">
        <f t="shared" si="62"/>
        <v>-2541.2399999999998</v>
      </c>
      <c r="R17" s="139"/>
      <c r="S17" s="139">
        <f t="shared" si="63"/>
        <v>32953.317999999985</v>
      </c>
      <c r="T17" s="139">
        <f t="shared" si="64"/>
        <v>5197.6842271293353</v>
      </c>
      <c r="U17" s="139">
        <f t="shared" si="65"/>
        <v>7797.6842271293353</v>
      </c>
      <c r="V17" s="137">
        <f t="shared" si="66"/>
        <v>49798.109999999986</v>
      </c>
      <c r="W17" s="138">
        <f t="shared" si="67"/>
        <v>6.3862691216380307</v>
      </c>
      <c r="X17" s="138">
        <f t="shared" si="68"/>
        <v>-9.2497032208124885E-2</v>
      </c>
      <c r="Y17" s="138">
        <f t="shared" si="69"/>
        <v>-4.6269121638030875E-2</v>
      </c>
      <c r="Z17" s="140">
        <f t="shared" si="70"/>
        <v>0.33343232737665918</v>
      </c>
      <c r="AA17" s="7">
        <f>SUM(L$2:L18)-SUM(AB$2:AB18)</f>
        <v>-502.20200000000477</v>
      </c>
      <c r="AB17" s="141"/>
      <c r="AC17" s="13">
        <f t="shared" si="71"/>
        <v>-56.878801892745258</v>
      </c>
      <c r="AD17" s="13">
        <f t="shared" si="72"/>
        <v>-2656.8788018927453</v>
      </c>
    </row>
    <row r="18" spans="1:30" ht="15" hidden="1" thickTop="1" x14ac:dyDescent="0.25">
      <c r="A18" s="129">
        <v>43733</v>
      </c>
      <c r="B18" s="130" t="s">
        <v>278</v>
      </c>
      <c r="C18" s="127" t="s">
        <v>263</v>
      </c>
      <c r="D18" s="85">
        <v>500</v>
      </c>
      <c r="E18" s="84">
        <v>6.21</v>
      </c>
      <c r="F18" s="85">
        <f t="shared" ref="F18" si="73">IF(C18="买",F17+D18,F17-D18)</f>
        <v>3100</v>
      </c>
      <c r="G18" s="86">
        <f t="shared" ref="G18:G19" si="74">H18/F18</f>
        <v>6.3720006451612923</v>
      </c>
      <c r="H18" s="84">
        <f t="shared" ref="H18:H19" si="75">IF(C18="买",H17+D18*E18+M18+N18,H17+-1*D18*E18+M18+N18)+O17</f>
        <v>19753.202000000005</v>
      </c>
      <c r="I18" s="84">
        <f t="shared" si="55"/>
        <v>-502.20200000000477</v>
      </c>
      <c r="J18" s="136">
        <f t="shared" si="56"/>
        <v>-2.5423827488829709E-2</v>
      </c>
      <c r="K18" s="137">
        <f t="shared" si="57"/>
        <v>19251</v>
      </c>
      <c r="L18" s="137">
        <f t="shared" si="58"/>
        <v>-141.40999999999985</v>
      </c>
      <c r="M18" s="137">
        <f t="shared" si="59"/>
        <v>5.3</v>
      </c>
      <c r="N18" s="137">
        <f t="shared" si="60"/>
        <v>0</v>
      </c>
      <c r="O18" s="137"/>
      <c r="P18" s="138">
        <f t="shared" si="61"/>
        <v>-0.16200064516129231</v>
      </c>
      <c r="Q18" s="137">
        <f t="shared" si="62"/>
        <v>-2908.41</v>
      </c>
      <c r="R18" s="139"/>
      <c r="S18" s="139">
        <f t="shared" si="63"/>
        <v>30044.907999999985</v>
      </c>
      <c r="T18" s="139">
        <f t="shared" si="64"/>
        <v>4838.1494363929123</v>
      </c>
      <c r="U18" s="139">
        <f t="shared" si="65"/>
        <v>7938.1494363929123</v>
      </c>
      <c r="V18" s="137">
        <f t="shared" si="66"/>
        <v>49798.109999999986</v>
      </c>
      <c r="W18" s="138">
        <f t="shared" si="67"/>
        <v>6.2732643670951349</v>
      </c>
      <c r="X18" s="138">
        <f t="shared" si="68"/>
        <v>-9.8736278066157368E-2</v>
      </c>
      <c r="Y18" s="138">
        <f t="shared" si="69"/>
        <v>-6.3264367095134943E-2</v>
      </c>
      <c r="Z18" s="140">
        <f t="shared" si="70"/>
        <v>0.39051922930398208</v>
      </c>
      <c r="AA18" s="7">
        <f>SUM(L$2:L19)-SUM(AB$2:AB19)</f>
        <v>-1003.502000000004</v>
      </c>
      <c r="AB18" s="141"/>
      <c r="AC18" s="13">
        <f t="shared" si="71"/>
        <v>-80.82945233494442</v>
      </c>
      <c r="AD18" s="13">
        <f t="shared" si="72"/>
        <v>-3180.8294523349446</v>
      </c>
    </row>
    <row r="19" spans="1:30" ht="15" hidden="1" thickTop="1" x14ac:dyDescent="0.25">
      <c r="A19" s="129">
        <v>43759</v>
      </c>
      <c r="B19" s="130" t="s">
        <v>229</v>
      </c>
      <c r="C19" s="84" t="s">
        <v>46</v>
      </c>
      <c r="D19" s="85">
        <v>500</v>
      </c>
      <c r="E19" s="84">
        <v>6.05</v>
      </c>
      <c r="F19" s="85">
        <f t="shared" ref="F19" si="76">IF(C19="买",F18+D19,F18-D19)</f>
        <v>3600</v>
      </c>
      <c r="G19" s="86">
        <f t="shared" si="74"/>
        <v>6.3287505555555565</v>
      </c>
      <c r="H19" s="84">
        <f t="shared" si="75"/>
        <v>22783.502000000004</v>
      </c>
      <c r="I19" s="84">
        <f t="shared" si="55"/>
        <v>-1003.502000000004</v>
      </c>
      <c r="J19" s="136">
        <f t="shared" si="56"/>
        <v>-4.4045116505794589E-2</v>
      </c>
      <c r="K19" s="137">
        <f t="shared" si="57"/>
        <v>21780</v>
      </c>
      <c r="L19" s="137">
        <f t="shared" si="58"/>
        <v>-501.29999999999927</v>
      </c>
      <c r="M19" s="137">
        <f t="shared" si="59"/>
        <v>5.3</v>
      </c>
      <c r="N19" s="137">
        <f t="shared" si="60"/>
        <v>0</v>
      </c>
      <c r="O19" s="137"/>
      <c r="P19" s="138">
        <f t="shared" si="61"/>
        <v>-0.27875055555555672</v>
      </c>
      <c r="Q19" s="137">
        <f t="shared" si="62"/>
        <v>-3030.2999999999993</v>
      </c>
      <c r="R19" s="139"/>
      <c r="S19" s="139">
        <f t="shared" si="63"/>
        <v>27014.607999999986</v>
      </c>
      <c r="T19" s="139">
        <f t="shared" si="64"/>
        <v>4465.2244628099152</v>
      </c>
      <c r="U19" s="139">
        <f t="shared" si="65"/>
        <v>8065.2244628099152</v>
      </c>
      <c r="V19" s="137">
        <f t="shared" si="66"/>
        <v>49798.109999999986</v>
      </c>
      <c r="W19" s="138">
        <f t="shared" si="67"/>
        <v>6.1744233194782501</v>
      </c>
      <c r="X19" s="138">
        <f t="shared" si="68"/>
        <v>-0.15432723607730647</v>
      </c>
      <c r="Y19" s="138">
        <f t="shared" si="69"/>
        <v>-0.12442331947825025</v>
      </c>
      <c r="Z19" s="140">
        <f t="shared" si="70"/>
        <v>0.44636079461894657</v>
      </c>
      <c r="AA19" s="7">
        <f>SUM(L$2:L20)-SUM(AB$2:AB20)</f>
        <v>-1476.8020000000033</v>
      </c>
      <c r="AB19" s="141"/>
      <c r="AC19" s="13">
        <f t="shared" si="71"/>
        <v>-165.78516512396763</v>
      </c>
      <c r="AD19" s="13">
        <f t="shared" si="72"/>
        <v>-3765.7851651239675</v>
      </c>
    </row>
    <row r="20" spans="1:30" ht="15" hidden="1" thickTop="1" x14ac:dyDescent="0.25">
      <c r="A20" s="129">
        <v>43769</v>
      </c>
      <c r="B20" s="130" t="s">
        <v>289</v>
      </c>
      <c r="C20" s="127" t="s">
        <v>269</v>
      </c>
      <c r="D20" s="85">
        <v>500</v>
      </c>
      <c r="E20" s="84">
        <v>5.92</v>
      </c>
      <c r="F20" s="85">
        <f t="shared" ref="F20" si="77">IF(C20="买",F19+D20,F19-D20)</f>
        <v>4100</v>
      </c>
      <c r="G20" s="86">
        <f t="shared" ref="G20" si="78">H20/F20</f>
        <v>6.280195609756098</v>
      </c>
      <c r="H20" s="84">
        <f t="shared" ref="H20" si="79">IF(C20="买",H19+D20*E20+M20+N20,H19+-1*D20*E20+M20+N20)+O19</f>
        <v>25748.802000000003</v>
      </c>
      <c r="I20" s="84">
        <f t="shared" si="55"/>
        <v>-1476.8020000000033</v>
      </c>
      <c r="J20" s="142">
        <f t="shared" si="56"/>
        <v>-5.7354202343083846E-2</v>
      </c>
      <c r="K20" s="84">
        <f t="shared" si="57"/>
        <v>24272</v>
      </c>
      <c r="L20" s="84">
        <f t="shared" si="58"/>
        <v>-473.29999999999927</v>
      </c>
      <c r="M20" s="84">
        <f t="shared" si="59"/>
        <v>5.3</v>
      </c>
      <c r="N20" s="84">
        <f t="shared" si="60"/>
        <v>0</v>
      </c>
      <c r="O20" s="84"/>
      <c r="P20" s="86">
        <f t="shared" si="61"/>
        <v>-0.3601956097560981</v>
      </c>
      <c r="Q20" s="84">
        <f t="shared" si="62"/>
        <v>-2965.2999999999993</v>
      </c>
      <c r="R20" s="143"/>
      <c r="S20" s="143">
        <f t="shared" si="63"/>
        <v>24049.307999999986</v>
      </c>
      <c r="T20" s="143">
        <f t="shared" si="64"/>
        <v>4062.3831081081057</v>
      </c>
      <c r="U20" s="143">
        <f t="shared" si="65"/>
        <v>8162.3831081081062</v>
      </c>
      <c r="V20" s="84">
        <f t="shared" si="66"/>
        <v>49798.109999999986</v>
      </c>
      <c r="W20" s="86">
        <f t="shared" si="67"/>
        <v>6.1009277977326271</v>
      </c>
      <c r="X20" s="86">
        <f t="shared" si="68"/>
        <v>-0.17926781202347097</v>
      </c>
      <c r="Y20" s="86">
        <f t="shared" si="69"/>
        <v>-0.18092779773262713</v>
      </c>
      <c r="Z20" s="144">
        <f t="shared" si="70"/>
        <v>0.50230428365059998</v>
      </c>
      <c r="AA20" s="7">
        <f>SUM(L$2:L21)-SUM(AB$2:AB21)</f>
        <v>-2220.1020000000026</v>
      </c>
      <c r="AB20" s="145"/>
      <c r="AC20" s="13">
        <f t="shared" si="71"/>
        <v>-249.33506739864922</v>
      </c>
      <c r="AD20" s="13">
        <f t="shared" si="72"/>
        <v>-4349.3350673986488</v>
      </c>
    </row>
    <row r="21" spans="1:30" ht="15" hidden="1" thickTop="1" x14ac:dyDescent="0.25">
      <c r="A21" s="147">
        <v>43780</v>
      </c>
      <c r="B21" s="148" t="s">
        <v>288</v>
      </c>
      <c r="C21" s="127" t="s">
        <v>270</v>
      </c>
      <c r="D21" s="85">
        <v>500</v>
      </c>
      <c r="E21" s="84">
        <v>5.74</v>
      </c>
      <c r="F21" s="85">
        <f t="shared" ref="F21:F22" si="80">IF(C21="买",F20+D21,F20-D21)</f>
        <v>4600</v>
      </c>
      <c r="G21" s="86">
        <f t="shared" ref="G21:G22" si="81">H21/F21</f>
        <v>6.2226308695652177</v>
      </c>
      <c r="H21" s="84">
        <f t="shared" ref="H21:H22" si="82">IF(C21="买",H20+D21*E21+M21+N21,H20+-1*D21*E21+M21+N21)+O20</f>
        <v>28624.102000000003</v>
      </c>
      <c r="I21" s="84">
        <f t="shared" ref="I21:I22" si="83">-H21+K21</f>
        <v>-2220.1020000000026</v>
      </c>
      <c r="J21" s="142">
        <f t="shared" ref="J21:J22" si="84">(E21-G21)/G21</f>
        <v>-7.7560581638508708E-2</v>
      </c>
      <c r="K21" s="84">
        <f t="shared" ref="K21:K22" si="85">F21*E21</f>
        <v>26404</v>
      </c>
      <c r="L21" s="84">
        <f t="shared" ref="L21:L22" si="86">I21-I20</f>
        <v>-743.29999999999927</v>
      </c>
      <c r="M21" s="84">
        <f t="shared" ref="M21:M22" si="87">IF(D21*E21*5/10000&gt;5,D21*E21*5/10000,5)+(D21/1000)*0.6</f>
        <v>5.3</v>
      </c>
      <c r="N21" s="84">
        <f t="shared" ref="N21:N22" si="88">IF(C21="卖",D21*E21/1000,0)</f>
        <v>0</v>
      </c>
      <c r="O21" s="84"/>
      <c r="P21" s="86">
        <f t="shared" ref="P21:P22" si="89">E21-G21</f>
        <v>-0.4826308695652175</v>
      </c>
      <c r="Q21" s="84">
        <f t="shared" ref="Q21:Q22" si="90">(H21-H20)*-1</f>
        <v>-2875.2999999999993</v>
      </c>
      <c r="R21" s="143"/>
      <c r="S21" s="143">
        <f t="shared" ref="S21:S22" si="91">S20+Q21+O21+R21</f>
        <v>21174.007999999987</v>
      </c>
      <c r="T21" s="143">
        <f t="shared" ref="T21:T22" si="92">S21/E21</f>
        <v>3688.8515679442485</v>
      </c>
      <c r="U21" s="143">
        <f t="shared" ref="U21:U22" si="93">F21+T21</f>
        <v>8288.851567944248</v>
      </c>
      <c r="V21" s="84">
        <f t="shared" ref="V21:V22" si="94">H21+S21</f>
        <v>49798.109999999986</v>
      </c>
      <c r="W21" s="86">
        <f t="shared" ref="W21:W22" si="95">V21/U21</f>
        <v>6.0078419298260659</v>
      </c>
      <c r="X21" s="86">
        <f t="shared" ref="X21:X22" si="96">W21-G21</f>
        <v>-0.21478893973915181</v>
      </c>
      <c r="Y21" s="86">
        <f t="shared" ref="Y21:Y22" si="97">(X21-P21)*-1</f>
        <v>-0.26784192982606569</v>
      </c>
      <c r="Z21" s="144">
        <f t="shared" ref="Z21:Z22" si="98">F21/U21</f>
        <v>0.55496228425536454</v>
      </c>
      <c r="AA21" s="7">
        <f>SUM(L$2:L22)-SUM(AB$2:AB22)</f>
        <v>-2731.4020000000019</v>
      </c>
      <c r="AB21" s="145"/>
      <c r="AC21" s="13">
        <f t="shared" ref="AC21:AC22" si="99">I21/E21*(1-0.0005)</f>
        <v>-386.5839632404186</v>
      </c>
      <c r="AD21" s="13">
        <f t="shared" ref="AD21:AD22" si="100">AC21-F21</f>
        <v>-4986.5839632404186</v>
      </c>
    </row>
    <row r="22" spans="1:30" ht="15" hidden="1" thickTop="1" x14ac:dyDescent="0.25">
      <c r="A22" s="147">
        <v>43781</v>
      </c>
      <c r="B22" s="148"/>
      <c r="C22" s="127" t="s">
        <v>159</v>
      </c>
      <c r="D22" s="85">
        <v>500</v>
      </c>
      <c r="E22" s="84">
        <v>5.63</v>
      </c>
      <c r="F22" s="85">
        <f t="shared" si="80"/>
        <v>5100</v>
      </c>
      <c r="G22" s="86">
        <f t="shared" si="81"/>
        <v>6.1655690196078439</v>
      </c>
      <c r="H22" s="84">
        <f t="shared" si="82"/>
        <v>31444.402000000002</v>
      </c>
      <c r="I22" s="84">
        <f t="shared" si="83"/>
        <v>-2731.4020000000019</v>
      </c>
      <c r="J22" s="142">
        <f t="shared" si="84"/>
        <v>-8.6864491810020872E-2</v>
      </c>
      <c r="K22" s="84">
        <f t="shared" si="85"/>
        <v>28713</v>
      </c>
      <c r="L22" s="84">
        <f t="shared" si="86"/>
        <v>-511.29999999999927</v>
      </c>
      <c r="M22" s="84">
        <f t="shared" si="87"/>
        <v>5.3</v>
      </c>
      <c r="N22" s="84">
        <f t="shared" si="88"/>
        <v>0</v>
      </c>
      <c r="O22" s="84"/>
      <c r="P22" s="86">
        <f t="shared" si="89"/>
        <v>-0.53556901960784398</v>
      </c>
      <c r="Q22" s="84">
        <f t="shared" si="90"/>
        <v>-2820.2999999999993</v>
      </c>
      <c r="R22" s="143"/>
      <c r="S22" s="143">
        <f t="shared" si="91"/>
        <v>18353.707999999988</v>
      </c>
      <c r="T22" s="143">
        <f t="shared" si="92"/>
        <v>3259.9836589698025</v>
      </c>
      <c r="U22" s="143">
        <f t="shared" si="93"/>
        <v>8359.9836589698025</v>
      </c>
      <c r="V22" s="84">
        <f t="shared" si="94"/>
        <v>49798.109999999986</v>
      </c>
      <c r="W22" s="86">
        <f t="shared" si="95"/>
        <v>5.9567233659086583</v>
      </c>
      <c r="X22" s="86">
        <f t="shared" si="96"/>
        <v>-0.20884565369918562</v>
      </c>
      <c r="Y22" s="86">
        <f t="shared" si="97"/>
        <v>-0.32672336590865836</v>
      </c>
      <c r="Z22" s="144">
        <f t="shared" si="98"/>
        <v>0.61004903933370502</v>
      </c>
      <c r="AA22" s="7">
        <f>SUM(L$2:L23)-SUM(AB$2:AB23)</f>
        <v>-2177.9380000000019</v>
      </c>
      <c r="AB22" s="145"/>
      <c r="AC22" s="13">
        <f t="shared" si="99"/>
        <v>-484.90875648312647</v>
      </c>
      <c r="AD22" s="13">
        <f t="shared" si="100"/>
        <v>-5584.9087564831261</v>
      </c>
    </row>
    <row r="23" spans="1:30" ht="15" hidden="1" thickTop="1" x14ac:dyDescent="0.25">
      <c r="A23" s="147">
        <v>43815</v>
      </c>
      <c r="B23" s="148" t="s">
        <v>271</v>
      </c>
      <c r="C23" s="127" t="s">
        <v>200</v>
      </c>
      <c r="D23" s="85">
        <v>400</v>
      </c>
      <c r="E23" s="84">
        <v>5.74</v>
      </c>
      <c r="F23" s="85">
        <f t="shared" ref="F23:F24" si="101">IF(C23="买",F22+D23,F22-D23)</f>
        <v>4700</v>
      </c>
      <c r="G23" s="86">
        <f t="shared" ref="G23:G24" si="102">H23/F23</f>
        <v>6.2033910638297876</v>
      </c>
      <c r="H23" s="137">
        <f t="shared" ref="H23:H24" si="103">IF(C23="买",H22+D23*E23+M23+N23,H22+-1*D23*E23+M23+N23)+O23</f>
        <v>29155.938000000002</v>
      </c>
      <c r="I23" s="137">
        <f t="shared" ref="I23:I24" si="104">-H23+K23</f>
        <v>-2177.9380000000019</v>
      </c>
      <c r="J23" s="142">
        <f t="shared" ref="J23:J24" si="105">(E23-G23)/G23</f>
        <v>-7.4699637514663408E-2</v>
      </c>
      <c r="K23" s="84">
        <f t="shared" ref="K23:K24" si="106">F23*E23</f>
        <v>26978</v>
      </c>
      <c r="L23" s="84">
        <f t="shared" ref="L23:L24" si="107">I23-I22</f>
        <v>553.46399999999994</v>
      </c>
      <c r="M23" s="84">
        <f t="shared" ref="M23:M24" si="108">IF(D23*E23*5/10000&gt;5,D23*E23*5/10000,5)+(D23/1000)*0.6</f>
        <v>5.24</v>
      </c>
      <c r="N23" s="84">
        <f t="shared" ref="N23:N24" si="109">IF(C23="卖",D23*E23/1000,0)</f>
        <v>2.2959999999999998</v>
      </c>
      <c r="O23" s="84"/>
      <c r="P23" s="86">
        <f t="shared" ref="P23:P24" si="110">E23-G23</f>
        <v>-0.46339106382978734</v>
      </c>
      <c r="Q23" s="84">
        <f t="shared" ref="Q23:Q24" si="111">(H23-H22)*-1</f>
        <v>2288.4639999999999</v>
      </c>
      <c r="R23" s="143"/>
      <c r="S23" s="143">
        <f t="shared" ref="S23:S24" si="112">S22+Q23+O23+R23</f>
        <v>20642.171999999988</v>
      </c>
      <c r="T23" s="143">
        <f t="shared" ref="T23:T24" si="113">S23/E23</f>
        <v>3596.1972125435518</v>
      </c>
      <c r="U23" s="143">
        <f t="shared" ref="U23:U24" si="114">F23+T23</f>
        <v>8296.1972125435514</v>
      </c>
      <c r="V23" s="84">
        <f t="shared" ref="V23:V24" si="115">H23+S23</f>
        <v>49798.109999999986</v>
      </c>
      <c r="W23" s="86">
        <f t="shared" ref="W23:W24" si="116">V23/U23</f>
        <v>6.0025224478399615</v>
      </c>
      <c r="X23" s="86">
        <f t="shared" ref="X23:X24" si="117">W23-G23</f>
        <v>-0.20086861598982608</v>
      </c>
      <c r="Y23" s="86">
        <f t="shared" ref="Y23:Y24" si="118">(X23-P23)*-1</f>
        <v>-0.26252244783996126</v>
      </c>
      <c r="Z23" s="144">
        <f t="shared" ref="Z23:Z24" si="119">F23/U23</f>
        <v>0.56652462322059671</v>
      </c>
      <c r="AA23" s="7">
        <f>SUM(L$2:L24)-SUM(AB$2:AB24)</f>
        <v>-1715.5140000000029</v>
      </c>
      <c r="AB23" s="145"/>
      <c r="AC23" s="13">
        <f t="shared" ref="AC23:AC24" si="120">I23/E23*(1-0.0005)</f>
        <v>-379.24199146341499</v>
      </c>
      <c r="AD23" s="13">
        <f t="shared" ref="AD23:AD24" si="121">AC23-F23</f>
        <v>-5079.2419914634147</v>
      </c>
    </row>
    <row r="24" spans="1:30" ht="15" hidden="1" thickTop="1" x14ac:dyDescent="0.25">
      <c r="A24" s="147">
        <v>43816</v>
      </c>
      <c r="B24" s="148" t="s">
        <v>273</v>
      </c>
      <c r="C24" s="127" t="s">
        <v>200</v>
      </c>
      <c r="D24" s="85">
        <v>400</v>
      </c>
      <c r="E24" s="84">
        <v>5.84</v>
      </c>
      <c r="F24" s="85">
        <f t="shared" si="101"/>
        <v>4300</v>
      </c>
      <c r="G24" s="86">
        <f t="shared" si="102"/>
        <v>6.238956744186047</v>
      </c>
      <c r="H24" s="84">
        <f t="shared" si="103"/>
        <v>26827.514000000003</v>
      </c>
      <c r="I24" s="84">
        <f t="shared" si="104"/>
        <v>-1715.5140000000029</v>
      </c>
      <c r="J24" s="142">
        <f t="shared" si="105"/>
        <v>-6.3946066713449573E-2</v>
      </c>
      <c r="K24" s="84">
        <f t="shared" si="106"/>
        <v>25112</v>
      </c>
      <c r="L24" s="84">
        <f t="shared" si="107"/>
        <v>462.42399999999907</v>
      </c>
      <c r="M24" s="84">
        <f t="shared" si="108"/>
        <v>5.24</v>
      </c>
      <c r="N24" s="84">
        <f t="shared" si="109"/>
        <v>2.3359999999999999</v>
      </c>
      <c r="O24" s="84"/>
      <c r="P24" s="86">
        <f t="shared" si="110"/>
        <v>-0.3989567441860471</v>
      </c>
      <c r="Q24" s="84">
        <f t="shared" si="111"/>
        <v>2328.4239999999991</v>
      </c>
      <c r="R24" s="143"/>
      <c r="S24" s="143">
        <f t="shared" si="112"/>
        <v>22970.595999999987</v>
      </c>
      <c r="T24" s="143">
        <f t="shared" si="113"/>
        <v>3933.3212328767104</v>
      </c>
      <c r="U24" s="143">
        <f t="shared" si="114"/>
        <v>8233.3212328767113</v>
      </c>
      <c r="V24" s="84">
        <f t="shared" si="115"/>
        <v>49798.109999999986</v>
      </c>
      <c r="W24" s="86">
        <f t="shared" si="116"/>
        <v>6.0483623305197574</v>
      </c>
      <c r="X24" s="86">
        <f t="shared" si="117"/>
        <v>-0.1905944136662896</v>
      </c>
      <c r="Y24" s="86">
        <f t="shared" si="118"/>
        <v>-0.2083623305197575</v>
      </c>
      <c r="Z24" s="144">
        <f t="shared" si="119"/>
        <v>0.52226797405031966</v>
      </c>
      <c r="AA24" s="7">
        <f>SUM(L$2:L25)-SUM(AB$2:AB25)</f>
        <v>-2279.7540000000045</v>
      </c>
      <c r="AB24" s="145"/>
      <c r="AC24" s="13">
        <f t="shared" si="120"/>
        <v>-293.60552106164431</v>
      </c>
      <c r="AD24" s="13">
        <f t="shared" si="121"/>
        <v>-4593.6055210616441</v>
      </c>
    </row>
    <row r="25" spans="1:30" ht="15" hidden="1" thickTop="1" x14ac:dyDescent="0.25">
      <c r="A25" s="147">
        <v>43823</v>
      </c>
      <c r="B25" s="148"/>
      <c r="C25" s="127" t="s">
        <v>46</v>
      </c>
      <c r="D25" s="85">
        <v>400</v>
      </c>
      <c r="E25" s="84">
        <v>5.71</v>
      </c>
      <c r="F25" s="85">
        <f t="shared" ref="F25" si="122">IF(C25="买",F24+D25,F24-D25)</f>
        <v>4700</v>
      </c>
      <c r="G25" s="86">
        <f t="shared" ref="G25" si="123">H25/F25</f>
        <v>6.1950540425531928</v>
      </c>
      <c r="H25" s="84">
        <f t="shared" ref="H25" si="124">IF(C25="买",H24+D25*E25+M25+N25,H24+-1*D25*E25+M25+N25)+O25</f>
        <v>29116.754000000004</v>
      </c>
      <c r="I25" s="84">
        <f t="shared" ref="I25" si="125">-H25+K25</f>
        <v>-2279.7540000000045</v>
      </c>
      <c r="J25" s="142">
        <f t="shared" ref="J25" si="126">(E25-G25)/G25</f>
        <v>-7.8296983242019558E-2</v>
      </c>
      <c r="K25" s="84">
        <f t="shared" ref="K25" si="127">F25*E25</f>
        <v>26837</v>
      </c>
      <c r="L25" s="84">
        <f>I25-I24</f>
        <v>-564.2400000000016</v>
      </c>
      <c r="M25" s="84">
        <f>IF(D25*E25*5/10000&gt;5,D25*E25*5/10000,5)+(D25/1000)*0.6</f>
        <v>5.24</v>
      </c>
      <c r="N25" s="84">
        <f>IF(C25="卖",D25*E25/1000,0)</f>
        <v>0</v>
      </c>
      <c r="O25" s="84"/>
      <c r="P25" s="86">
        <f>E25-G25</f>
        <v>-0.48505404255319284</v>
      </c>
      <c r="Q25" s="84">
        <f>(H25-H24)*-1</f>
        <v>-2289.2400000000016</v>
      </c>
      <c r="R25" s="143"/>
      <c r="S25" s="143">
        <f>S24+Q25+O25+R25</f>
        <v>20681.355999999985</v>
      </c>
      <c r="T25" s="143">
        <f>S25/E25</f>
        <v>3621.9537653239904</v>
      </c>
      <c r="U25" s="143">
        <f>F25+T25</f>
        <v>8321.9537653239895</v>
      </c>
      <c r="V25" s="84">
        <f>H25+S25</f>
        <v>49798.109999999986</v>
      </c>
      <c r="W25" s="86">
        <f>V25/U25</f>
        <v>5.9839445644962979</v>
      </c>
      <c r="X25" s="86">
        <f>W25-G25</f>
        <v>-0.21110947805689495</v>
      </c>
      <c r="Y25" s="86">
        <f>(X25-P25)*-1</f>
        <v>-0.27394456449629789</v>
      </c>
      <c r="Z25" s="144">
        <f>F25/U25</f>
        <v>0.56477122230407151</v>
      </c>
      <c r="AA25" s="7">
        <f>SUM(L$2:L26)-SUM(AB$2:AB26)</f>
        <v>-1817.3180000000066</v>
      </c>
      <c r="AB25" s="145"/>
      <c r="AC25" s="13">
        <f>I25/E25*(1-0.0005)</f>
        <v>-399.05676409807432</v>
      </c>
      <c r="AD25" s="13">
        <f>AC25-F25</f>
        <v>-5099.0567640980744</v>
      </c>
    </row>
    <row r="26" spans="1:30" ht="15" hidden="1" thickTop="1" x14ac:dyDescent="0.25">
      <c r="A26" s="147">
        <v>43829</v>
      </c>
      <c r="B26" s="148" t="s">
        <v>275</v>
      </c>
      <c r="C26" s="127" t="s">
        <v>200</v>
      </c>
      <c r="D26" s="85">
        <v>400</v>
      </c>
      <c r="E26" s="84">
        <v>5.81</v>
      </c>
      <c r="F26" s="85">
        <f t="shared" ref="F26:F29" si="128">IF(C26="买",F25+D26,F25-D26)</f>
        <v>4300</v>
      </c>
      <c r="G26" s="86">
        <f t="shared" ref="G26:G29" si="129">H26/F26</f>
        <v>6.2326320930232573</v>
      </c>
      <c r="H26" s="84">
        <f t="shared" ref="H26:H29" si="130">IF(C26="买",H25+D26*E26+M26+N26,H25+-1*D26*E26+M26+N26)+O26</f>
        <v>26800.318000000007</v>
      </c>
      <c r="I26" s="84">
        <f t="shared" ref="I26:I29" si="131">-H26+K26</f>
        <v>-1817.3180000000066</v>
      </c>
      <c r="J26" s="142">
        <f t="shared" ref="J26:J29" si="132">(E26-G26)/G26</f>
        <v>-6.7809568528254316E-2</v>
      </c>
      <c r="K26" s="84">
        <f t="shared" ref="K26:K29" si="133">F26*E26</f>
        <v>24983</v>
      </c>
      <c r="L26" s="84">
        <f t="shared" ref="L26:L29" si="134">I26-I25</f>
        <v>462.43599999999788</v>
      </c>
      <c r="M26" s="84">
        <f t="shared" ref="M26:M29" si="135">IF(D26*E26*5/10000&gt;5,D26*E26*5/10000,5)+(D26/1000)*0.6</f>
        <v>5.24</v>
      </c>
      <c r="N26" s="84">
        <f t="shared" ref="N26:N29" si="136">IF(C26="卖",D26*E26/1000,0)</f>
        <v>2.3239999999999998</v>
      </c>
      <c r="O26" s="84"/>
      <c r="P26" s="86">
        <f t="shared" ref="P26:P29" si="137">E26-G26</f>
        <v>-0.42263209302325766</v>
      </c>
      <c r="Q26" s="84">
        <f t="shared" ref="Q26:Q29" si="138">(H26-H25)*-1</f>
        <v>2316.4359999999979</v>
      </c>
      <c r="R26" s="143"/>
      <c r="S26" s="143">
        <f t="shared" ref="S26:S29" si="139">S25+Q26+O26+R26</f>
        <v>22997.791999999983</v>
      </c>
      <c r="T26" s="143">
        <f t="shared" ref="T26:T29" si="140">S26/E26</f>
        <v>3958.3118760757288</v>
      </c>
      <c r="U26" s="143">
        <f t="shared" ref="U26:U29" si="141">F26+T26</f>
        <v>8258.3118760757279</v>
      </c>
      <c r="V26" s="84">
        <f t="shared" ref="V26:V29" si="142">H26+S26</f>
        <v>49798.109999999986</v>
      </c>
      <c r="W26" s="86">
        <f t="shared" ref="W26:W29" si="143">V26/U26</f>
        <v>6.0300592599638634</v>
      </c>
      <c r="X26" s="86">
        <f t="shared" ref="X26:X29" si="144">W26-G26</f>
        <v>-0.20257283305939389</v>
      </c>
      <c r="Y26" s="86">
        <f t="shared" ref="Y26:Y29" si="145">(X26-P26)*-1</f>
        <v>-0.22005925996386377</v>
      </c>
      <c r="Z26" s="144">
        <f t="shared" ref="Z26:Z29" si="146">F26/U26</f>
        <v>0.52068752845930533</v>
      </c>
      <c r="AA26" s="7">
        <f>SUM(L$2:L27)-SUM(AB$2:AB27)</f>
        <v>-1179.9420000000064</v>
      </c>
      <c r="AB26" s="145"/>
      <c r="AC26" s="13">
        <f t="shared" ref="AC26:AC29" si="147">I26/E26*(1-0.0005)</f>
        <v>-312.63499845094782</v>
      </c>
      <c r="AD26" s="13">
        <f t="shared" ref="AD26:AD29" si="148">AC26-F26</f>
        <v>-4612.6349984509479</v>
      </c>
    </row>
    <row r="27" spans="1:30" ht="15" hidden="1" thickTop="1" x14ac:dyDescent="0.25">
      <c r="A27" s="147">
        <v>43833</v>
      </c>
      <c r="B27" s="148" t="s">
        <v>276</v>
      </c>
      <c r="C27" s="127" t="s">
        <v>200</v>
      </c>
      <c r="D27" s="85">
        <v>400</v>
      </c>
      <c r="E27" s="84">
        <v>5.96</v>
      </c>
      <c r="F27" s="85">
        <f t="shared" si="128"/>
        <v>3900</v>
      </c>
      <c r="G27" s="86">
        <f t="shared" si="129"/>
        <v>6.2625492307692321</v>
      </c>
      <c r="H27" s="84">
        <f t="shared" si="130"/>
        <v>24423.942000000006</v>
      </c>
      <c r="I27" s="84">
        <f t="shared" si="131"/>
        <v>-1179.9420000000064</v>
      </c>
      <c r="J27" s="142">
        <f t="shared" si="132"/>
        <v>-4.8310874632768334E-2</v>
      </c>
      <c r="K27" s="84">
        <f t="shared" si="133"/>
        <v>23244</v>
      </c>
      <c r="L27" s="84">
        <f t="shared" si="134"/>
        <v>637.3760000000002</v>
      </c>
      <c r="M27" s="84">
        <f t="shared" si="135"/>
        <v>5.24</v>
      </c>
      <c r="N27" s="84">
        <f t="shared" si="136"/>
        <v>2.3839999999999999</v>
      </c>
      <c r="O27" s="84"/>
      <c r="P27" s="86">
        <f t="shared" si="137"/>
        <v>-0.30254923076923212</v>
      </c>
      <c r="Q27" s="84">
        <f t="shared" si="138"/>
        <v>2376.3760000000002</v>
      </c>
      <c r="R27" s="143"/>
      <c r="S27" s="143">
        <f t="shared" si="139"/>
        <v>25374.167999999983</v>
      </c>
      <c r="T27" s="143">
        <f t="shared" si="140"/>
        <v>4257.410738255031</v>
      </c>
      <c r="U27" s="143">
        <f t="shared" si="141"/>
        <v>8157.410738255031</v>
      </c>
      <c r="V27" s="84">
        <f t="shared" si="142"/>
        <v>49798.109999999986</v>
      </c>
      <c r="W27" s="86">
        <f t="shared" si="143"/>
        <v>6.1046466333326261</v>
      </c>
      <c r="X27" s="86">
        <f t="shared" si="144"/>
        <v>-0.15790259743660595</v>
      </c>
      <c r="Y27" s="86">
        <f t="shared" si="145"/>
        <v>-0.14464663333262617</v>
      </c>
      <c r="Z27" s="144">
        <f t="shared" si="146"/>
        <v>0.47809288083417723</v>
      </c>
      <c r="AA27" s="7">
        <f>SUM(L$2:L28)-SUM(AB$2:AB28)</f>
        <v>-680.61800000000949</v>
      </c>
      <c r="AB27" s="145"/>
      <c r="AC27" s="13">
        <f t="shared" si="147"/>
        <v>-197.87785721476618</v>
      </c>
      <c r="AD27" s="13">
        <f t="shared" si="148"/>
        <v>-4097.8778572147658</v>
      </c>
    </row>
    <row r="28" spans="1:30" ht="15" hidden="1" thickTop="1" x14ac:dyDescent="0.25">
      <c r="A28" s="147">
        <v>43836</v>
      </c>
      <c r="B28" s="148" t="s">
        <v>277</v>
      </c>
      <c r="C28" s="127" t="s">
        <v>200</v>
      </c>
      <c r="D28" s="85">
        <v>400</v>
      </c>
      <c r="E28" s="84">
        <v>6.09</v>
      </c>
      <c r="F28" s="85">
        <f t="shared" si="128"/>
        <v>3500</v>
      </c>
      <c r="G28" s="86">
        <f t="shared" si="129"/>
        <v>6.2844622857142882</v>
      </c>
      <c r="H28" s="84">
        <f t="shared" si="130"/>
        <v>21995.618000000009</v>
      </c>
      <c r="I28" s="84">
        <f t="shared" si="131"/>
        <v>-680.61800000000949</v>
      </c>
      <c r="J28" s="142">
        <f t="shared" si="132"/>
        <v>-3.0943345169933804E-2</v>
      </c>
      <c r="K28" s="84">
        <f t="shared" si="133"/>
        <v>21315</v>
      </c>
      <c r="L28" s="84">
        <f t="shared" si="134"/>
        <v>499.32399999999689</v>
      </c>
      <c r="M28" s="84">
        <f t="shared" si="135"/>
        <v>5.24</v>
      </c>
      <c r="N28" s="84">
        <f t="shared" si="136"/>
        <v>2.4359999999999999</v>
      </c>
      <c r="O28" s="84"/>
      <c r="P28" s="86">
        <f t="shared" si="137"/>
        <v>-0.19446228571428836</v>
      </c>
      <c r="Q28" s="84">
        <f t="shared" si="138"/>
        <v>2428.3239999999969</v>
      </c>
      <c r="R28" s="143"/>
      <c r="S28" s="143">
        <f t="shared" si="139"/>
        <v>27802.49199999998</v>
      </c>
      <c r="T28" s="143">
        <f t="shared" si="140"/>
        <v>4565.269622331688</v>
      </c>
      <c r="U28" s="143">
        <f t="shared" si="141"/>
        <v>8065.269622331688</v>
      </c>
      <c r="V28" s="84">
        <f t="shared" si="142"/>
        <v>49798.109999999986</v>
      </c>
      <c r="W28" s="86">
        <f t="shared" si="143"/>
        <v>6.1743887472919026</v>
      </c>
      <c r="X28" s="86">
        <f t="shared" si="144"/>
        <v>-0.11007353842238565</v>
      </c>
      <c r="Y28" s="86">
        <f t="shared" si="145"/>
        <v>-8.438874729190271E-2</v>
      </c>
      <c r="Z28" s="144">
        <f t="shared" si="146"/>
        <v>0.43395945379295853</v>
      </c>
      <c r="AA28" s="7">
        <f>SUM(L$2:L29)-SUM(AB$2:AB29)</f>
        <v>-233.34600000001228</v>
      </c>
      <c r="AB28" s="145"/>
      <c r="AC28" s="13">
        <f t="shared" si="147"/>
        <v>-111.7040543513973</v>
      </c>
      <c r="AD28" s="13">
        <f t="shared" si="148"/>
        <v>-3611.7040543513972</v>
      </c>
    </row>
    <row r="29" spans="1:30" ht="15" hidden="1" thickTop="1" x14ac:dyDescent="0.25">
      <c r="A29" s="147">
        <v>43836</v>
      </c>
      <c r="B29" s="148" t="s">
        <v>279</v>
      </c>
      <c r="C29" s="127" t="s">
        <v>200</v>
      </c>
      <c r="D29" s="85">
        <v>400</v>
      </c>
      <c r="E29" s="84">
        <v>6.22</v>
      </c>
      <c r="F29" s="85">
        <f t="shared" si="128"/>
        <v>3100</v>
      </c>
      <c r="G29" s="86">
        <f t="shared" si="129"/>
        <v>6.2952729032258103</v>
      </c>
      <c r="H29" s="84">
        <f t="shared" si="130"/>
        <v>19515.346000000012</v>
      </c>
      <c r="I29" s="84">
        <f t="shared" si="131"/>
        <v>-233.34600000001228</v>
      </c>
      <c r="J29" s="142">
        <f t="shared" si="132"/>
        <v>-1.195705164540832E-2</v>
      </c>
      <c r="K29" s="84">
        <f t="shared" si="133"/>
        <v>19282</v>
      </c>
      <c r="L29" s="84">
        <f t="shared" si="134"/>
        <v>447.27199999999721</v>
      </c>
      <c r="M29" s="84">
        <f t="shared" si="135"/>
        <v>5.24</v>
      </c>
      <c r="N29" s="84">
        <f t="shared" si="136"/>
        <v>2.488</v>
      </c>
      <c r="O29" s="84"/>
      <c r="P29" s="86">
        <f t="shared" si="137"/>
        <v>-7.5272903225810595E-2</v>
      </c>
      <c r="Q29" s="84">
        <f t="shared" si="138"/>
        <v>2480.2719999999972</v>
      </c>
      <c r="R29" s="143"/>
      <c r="S29" s="143">
        <f t="shared" si="139"/>
        <v>30282.763999999977</v>
      </c>
      <c r="T29" s="143">
        <f t="shared" si="140"/>
        <v>4868.6115755626979</v>
      </c>
      <c r="U29" s="143">
        <f t="shared" si="141"/>
        <v>7968.6115755626979</v>
      </c>
      <c r="V29" s="84">
        <f t="shared" si="142"/>
        <v>49798.109999999986</v>
      </c>
      <c r="W29" s="86">
        <f t="shared" si="143"/>
        <v>6.2492831439689702</v>
      </c>
      <c r="X29" s="86">
        <f t="shared" si="144"/>
        <v>-4.5989759256840124E-2</v>
      </c>
      <c r="Y29" s="86">
        <f t="shared" si="145"/>
        <v>-2.9283143968970471E-2</v>
      </c>
      <c r="Z29" s="144">
        <f t="shared" si="146"/>
        <v>0.38902636558503551</v>
      </c>
      <c r="AA29" s="7">
        <f>SUM(L$2:L30)-SUM(AB$2:AB30)</f>
        <v>-1044.5860000000139</v>
      </c>
      <c r="AB29" s="145"/>
      <c r="AC29" s="13">
        <f t="shared" si="147"/>
        <v>-37.496676366561459</v>
      </c>
      <c r="AD29" s="13">
        <f t="shared" si="148"/>
        <v>-3137.4966763665616</v>
      </c>
    </row>
    <row r="30" spans="1:30" ht="15" hidden="1" thickTop="1" x14ac:dyDescent="0.25">
      <c r="A30" s="147">
        <v>43840</v>
      </c>
      <c r="B30" s="148"/>
      <c r="C30" s="127" t="s">
        <v>46</v>
      </c>
      <c r="D30" s="85">
        <v>400</v>
      </c>
      <c r="E30" s="84">
        <v>5.96</v>
      </c>
      <c r="F30" s="85">
        <f t="shared" ref="F30" si="149">IF(C30="买",F29+D30,F29-D30)</f>
        <v>3500</v>
      </c>
      <c r="G30" s="86">
        <f t="shared" ref="G30" si="150">H30/F30</f>
        <v>6.2584531428571468</v>
      </c>
      <c r="H30" s="84">
        <f t="shared" ref="H30" si="151">IF(C30="买",H29+D30*E30+M30+N30,H29+-1*D30*E30+M30+N30)+O30</f>
        <v>21904.586000000014</v>
      </c>
      <c r="I30" s="84">
        <f>-H30+K30</f>
        <v>-1044.5860000000139</v>
      </c>
      <c r="J30" s="142">
        <f>(E30-G30)/G30</f>
        <v>-4.7688004694542659E-2</v>
      </c>
      <c r="K30" s="84">
        <f>F30*E30</f>
        <v>20860</v>
      </c>
      <c r="L30" s="84">
        <f>I30-I29</f>
        <v>-811.2400000000016</v>
      </c>
      <c r="M30" s="84">
        <f>IF(D30*E30*5/10000&gt;5,D30*E30*5/10000,5)+(D30/1000)*0.6</f>
        <v>5.24</v>
      </c>
      <c r="N30" s="84">
        <f>IF(C30="卖",D30*E30/1000,0)</f>
        <v>0</v>
      </c>
      <c r="O30" s="84"/>
      <c r="P30" s="86">
        <f>E30-G30</f>
        <v>-0.29845314285714686</v>
      </c>
      <c r="Q30" s="84">
        <f>(H30-H29)*-1</f>
        <v>-2389.2400000000016</v>
      </c>
      <c r="R30" s="143"/>
      <c r="S30" s="143">
        <f>S29+Q30+O30+R30</f>
        <v>27893.523999999976</v>
      </c>
      <c r="T30" s="143">
        <f>S30/E30</f>
        <v>4680.1214765100631</v>
      </c>
      <c r="U30" s="143">
        <f>F30+T30</f>
        <v>8180.1214765100631</v>
      </c>
      <c r="V30" s="84">
        <f>H30+S30</f>
        <v>49798.109999999986</v>
      </c>
      <c r="W30" s="86">
        <f>V30/U30</f>
        <v>6.0876981036283668</v>
      </c>
      <c r="X30" s="86">
        <f>W30-G30</f>
        <v>-0.17075503922877999</v>
      </c>
      <c r="Y30" s="86">
        <f>(X30-P30)*-1</f>
        <v>-0.12769810362836687</v>
      </c>
      <c r="Z30" s="144">
        <f>F30/U30</f>
        <v>0.42786650663447445</v>
      </c>
      <c r="AA30" s="7">
        <f>SUM(L$2:L31)-SUM(AB$2:AB31)</f>
        <v>-1609.8260000000155</v>
      </c>
      <c r="AB30" s="145"/>
      <c r="AC30" s="13">
        <f>I30/E30*(1-0.0005)</f>
        <v>-175.1784743288614</v>
      </c>
      <c r="AD30" s="13">
        <f>AC30-F30</f>
        <v>-3675.1784743288613</v>
      </c>
    </row>
    <row r="31" spans="1:30" ht="15" hidden="1" thickTop="1" x14ac:dyDescent="0.25">
      <c r="A31" s="147">
        <v>43850</v>
      </c>
      <c r="B31" s="148"/>
      <c r="C31" s="127" t="s">
        <v>46</v>
      </c>
      <c r="D31" s="85">
        <v>400</v>
      </c>
      <c r="E31" s="84">
        <v>5.8</v>
      </c>
      <c r="F31" s="152">
        <f t="shared" ref="F31:F52" si="152">IF(C31="买",F30+D31,F30-D31)</f>
        <v>3900</v>
      </c>
      <c r="G31" s="138">
        <f t="shared" ref="G31:G52" si="153">H31/F31</f>
        <v>6.2127758974359013</v>
      </c>
      <c r="H31" s="137">
        <f t="shared" ref="H31:H52" si="154">IF(C31="买",H30+D31*E31+M31+N31,H30+-1*D31*E31+M31+N31)+O31</f>
        <v>24229.826000000015</v>
      </c>
      <c r="I31" s="137">
        <f t="shared" ref="I31:I52" si="155">-H31+K31</f>
        <v>-1609.8260000000155</v>
      </c>
      <c r="J31" s="142">
        <f t="shared" ref="J31:J52" si="156">(E31-G31)/G31</f>
        <v>-6.6439849795042472E-2</v>
      </c>
      <c r="K31" s="84">
        <f t="shared" ref="K31:K52" si="157">F31*E31</f>
        <v>22620</v>
      </c>
      <c r="L31" s="84">
        <f t="shared" ref="L31:L52" si="158">I31-I30</f>
        <v>-565.2400000000016</v>
      </c>
      <c r="M31" s="84">
        <f t="shared" ref="M31:M52" si="159">IF(D31*E31*5/10000&gt;5,D31*E31*5/10000,5)+(D31/1000)*0.6</f>
        <v>5.24</v>
      </c>
      <c r="N31" s="84">
        <f t="shared" ref="N31:N52" si="160">IF(C31="卖",D31*E31/1000,0)</f>
        <v>0</v>
      </c>
      <c r="O31" s="84"/>
      <c r="P31" s="86">
        <f t="shared" ref="P31:P52" si="161">E31-G31</f>
        <v>-0.41277589743590148</v>
      </c>
      <c r="Q31" s="84">
        <f t="shared" ref="Q31:Q52" si="162">(H31-H30)*-1</f>
        <v>-2325.2400000000016</v>
      </c>
      <c r="R31" s="143"/>
      <c r="S31" s="143">
        <f t="shared" ref="S31:S52" si="163">S30+Q31+O31+R31</f>
        <v>25568.283999999974</v>
      </c>
      <c r="T31" s="143">
        <f t="shared" ref="T31:T52" si="164">S31/E31</f>
        <v>4408.3248275862024</v>
      </c>
      <c r="U31" s="143">
        <f t="shared" ref="U31:U52" si="165">F31+T31</f>
        <v>8308.3248275862024</v>
      </c>
      <c r="V31" s="84">
        <f t="shared" ref="V31:V52" si="166">H31+S31</f>
        <v>49798.109999999986</v>
      </c>
      <c r="W31" s="86">
        <f t="shared" ref="W31:W52" si="167">V31/U31</f>
        <v>5.9937605995681453</v>
      </c>
      <c r="X31" s="86">
        <f t="shared" ref="X31:X52" si="168">W31-G31</f>
        <v>-0.21901529786775598</v>
      </c>
      <c r="Y31" s="86">
        <f t="shared" ref="Y31:Y52" si="169">(X31-P31)*-1</f>
        <v>-0.19376059956814551</v>
      </c>
      <c r="Z31" s="144">
        <f t="shared" ref="Z31:Z52" si="170">F31/U31</f>
        <v>0.46940870523631867</v>
      </c>
      <c r="AA31" s="7">
        <f>SUM(L$2:L32)-SUM(AB$2:AB32)</f>
        <v>-1927.1260000000148</v>
      </c>
      <c r="AB31" s="145"/>
      <c r="AC31" s="13">
        <f t="shared" ref="AC31:AC52" si="171">I31/E31*(1-0.0005)</f>
        <v>-277.41742879310613</v>
      </c>
      <c r="AD31" s="13">
        <f t="shared" ref="AD31:AD52" si="172">AC31-F31</f>
        <v>-4177.4174287931064</v>
      </c>
    </row>
    <row r="32" spans="1:30" ht="15" hidden="1" thickTop="1" x14ac:dyDescent="0.25">
      <c r="A32" s="147">
        <v>43852</v>
      </c>
      <c r="B32" s="148"/>
      <c r="C32" s="127" t="s">
        <v>46</v>
      </c>
      <c r="D32" s="85">
        <v>500</v>
      </c>
      <c r="E32" s="84">
        <v>5.72</v>
      </c>
      <c r="F32" s="152">
        <f t="shared" si="152"/>
        <v>4400</v>
      </c>
      <c r="G32" s="138">
        <f t="shared" si="153"/>
        <v>6.1579831818181852</v>
      </c>
      <c r="H32" s="137">
        <f t="shared" si="154"/>
        <v>27095.126000000015</v>
      </c>
      <c r="I32" s="137">
        <f t="shared" si="155"/>
        <v>-1927.1260000000148</v>
      </c>
      <c r="J32" s="142">
        <f t="shared" si="156"/>
        <v>-7.1124452419967149E-2</v>
      </c>
      <c r="K32" s="84">
        <f t="shared" si="157"/>
        <v>25168</v>
      </c>
      <c r="L32" s="84">
        <f t="shared" si="158"/>
        <v>-317.29999999999927</v>
      </c>
      <c r="M32" s="84">
        <f t="shared" si="159"/>
        <v>5.3</v>
      </c>
      <c r="N32" s="84">
        <f t="shared" si="160"/>
        <v>0</v>
      </c>
      <c r="O32" s="84"/>
      <c r="P32" s="86">
        <f t="shared" si="161"/>
        <v>-0.43798318181818541</v>
      </c>
      <c r="Q32" s="84">
        <f t="shared" si="162"/>
        <v>-2865.2999999999993</v>
      </c>
      <c r="R32" s="143"/>
      <c r="S32" s="143">
        <f t="shared" si="163"/>
        <v>22702.983999999975</v>
      </c>
      <c r="T32" s="143">
        <f t="shared" si="164"/>
        <v>3969.0531468531426</v>
      </c>
      <c r="U32" s="143">
        <f t="shared" si="165"/>
        <v>8369.0531468531426</v>
      </c>
      <c r="V32" s="84">
        <f t="shared" si="166"/>
        <v>49798.109999999986</v>
      </c>
      <c r="W32" s="86">
        <f t="shared" si="167"/>
        <v>5.950268103952074</v>
      </c>
      <c r="X32" s="86">
        <f t="shared" si="168"/>
        <v>-0.20771507786611121</v>
      </c>
      <c r="Y32" s="86">
        <f t="shared" si="169"/>
        <v>-0.2302681039520742</v>
      </c>
      <c r="Z32" s="144">
        <f t="shared" si="170"/>
        <v>0.52574645217236426</v>
      </c>
      <c r="AA32" s="7">
        <f>SUM(L$2:L33)-SUM(AB$2:AB33)</f>
        <v>-2108.3660000000164</v>
      </c>
      <c r="AB32" s="145"/>
      <c r="AC32" s="13">
        <f t="shared" si="171"/>
        <v>-336.74168479021239</v>
      </c>
      <c r="AD32" s="13">
        <f t="shared" si="172"/>
        <v>-4736.7416847902123</v>
      </c>
    </row>
    <row r="33" spans="1:30" ht="15" hidden="1" thickTop="1" x14ac:dyDescent="0.25">
      <c r="A33" s="147">
        <v>43853</v>
      </c>
      <c r="B33" s="148"/>
      <c r="C33" s="127" t="s">
        <v>46</v>
      </c>
      <c r="D33" s="85">
        <v>400</v>
      </c>
      <c r="E33" s="84">
        <v>5.68</v>
      </c>
      <c r="F33" s="152">
        <f t="shared" si="152"/>
        <v>4800</v>
      </c>
      <c r="G33" s="138">
        <f t="shared" si="153"/>
        <v>6.1192429166666704</v>
      </c>
      <c r="H33" s="137">
        <f t="shared" si="154"/>
        <v>29372.366000000016</v>
      </c>
      <c r="I33" s="137">
        <f t="shared" si="155"/>
        <v>-2108.3660000000164</v>
      </c>
      <c r="J33" s="142">
        <f t="shared" si="156"/>
        <v>-7.1780598130910464E-2</v>
      </c>
      <c r="K33" s="84">
        <f t="shared" si="157"/>
        <v>27264</v>
      </c>
      <c r="L33" s="84">
        <f t="shared" si="158"/>
        <v>-181.2400000000016</v>
      </c>
      <c r="M33" s="84">
        <f t="shared" si="159"/>
        <v>5.24</v>
      </c>
      <c r="N33" s="84">
        <f t="shared" si="160"/>
        <v>0</v>
      </c>
      <c r="O33" s="84"/>
      <c r="P33" s="86">
        <f t="shared" si="161"/>
        <v>-0.4392429166666707</v>
      </c>
      <c r="Q33" s="84">
        <f t="shared" si="162"/>
        <v>-2277.2400000000016</v>
      </c>
      <c r="R33" s="143"/>
      <c r="S33" s="143">
        <f t="shared" si="163"/>
        <v>20425.743999999973</v>
      </c>
      <c r="T33" s="143">
        <f t="shared" si="164"/>
        <v>3596.0816901408407</v>
      </c>
      <c r="U33" s="143">
        <f t="shared" si="165"/>
        <v>8396.0816901408398</v>
      </c>
      <c r="V33" s="84">
        <f t="shared" si="166"/>
        <v>49798.109999999986</v>
      </c>
      <c r="W33" s="86">
        <f t="shared" si="167"/>
        <v>5.9311130879628982</v>
      </c>
      <c r="X33" s="86">
        <f t="shared" si="168"/>
        <v>-0.18812982870377226</v>
      </c>
      <c r="Y33" s="86">
        <f t="shared" si="169"/>
        <v>-0.25111308796289844</v>
      </c>
      <c r="Z33" s="144">
        <f t="shared" si="170"/>
        <v>0.5716952475148539</v>
      </c>
      <c r="AA33" s="7">
        <f>SUM(L$2:L34)-SUM(AB$2:AB34)</f>
        <v>-4705.606000000018</v>
      </c>
      <c r="AB33" s="145"/>
      <c r="AC33" s="13">
        <f t="shared" si="171"/>
        <v>-371.00560158450998</v>
      </c>
      <c r="AD33" s="13">
        <f t="shared" si="172"/>
        <v>-5171.0056015845103</v>
      </c>
    </row>
    <row r="34" spans="1:30" ht="15" hidden="1" thickTop="1" x14ac:dyDescent="0.25">
      <c r="A34" s="147">
        <v>43864</v>
      </c>
      <c r="B34" s="148"/>
      <c r="C34" s="127" t="s">
        <v>46</v>
      </c>
      <c r="D34" s="85">
        <v>400</v>
      </c>
      <c r="E34" s="84">
        <v>5.14</v>
      </c>
      <c r="F34" s="152">
        <f t="shared" si="152"/>
        <v>5200</v>
      </c>
      <c r="G34" s="138">
        <f t="shared" si="153"/>
        <v>6.0449242307692339</v>
      </c>
      <c r="H34" s="137">
        <f t="shared" si="154"/>
        <v>31433.606000000018</v>
      </c>
      <c r="I34" s="137">
        <f t="shared" si="155"/>
        <v>-4705.606000000018</v>
      </c>
      <c r="J34" s="142">
        <f t="shared" si="156"/>
        <v>-0.1496998467181912</v>
      </c>
      <c r="K34" s="84">
        <f t="shared" si="157"/>
        <v>26728</v>
      </c>
      <c r="L34" s="84">
        <f t="shared" si="158"/>
        <v>-2597.2400000000016</v>
      </c>
      <c r="M34" s="84">
        <f t="shared" si="159"/>
        <v>5.24</v>
      </c>
      <c r="N34" s="84">
        <f t="shared" si="160"/>
        <v>0</v>
      </c>
      <c r="O34" s="84"/>
      <c r="P34" s="86">
        <f t="shared" si="161"/>
        <v>-0.90492423076923423</v>
      </c>
      <c r="Q34" s="84">
        <f t="shared" si="162"/>
        <v>-2061.2400000000016</v>
      </c>
      <c r="R34" s="143"/>
      <c r="S34" s="143">
        <f t="shared" si="163"/>
        <v>18364.503999999972</v>
      </c>
      <c r="T34" s="143">
        <f t="shared" si="164"/>
        <v>3572.8607003890997</v>
      </c>
      <c r="U34" s="143">
        <f t="shared" si="165"/>
        <v>8772.8607003890993</v>
      </c>
      <c r="V34" s="84">
        <f t="shared" si="166"/>
        <v>49798.109999999986</v>
      </c>
      <c r="W34" s="86">
        <f t="shared" si="167"/>
        <v>5.6763821632083262</v>
      </c>
      <c r="X34" s="86">
        <f t="shared" si="168"/>
        <v>-0.36854206756090768</v>
      </c>
      <c r="Y34" s="86">
        <f t="shared" si="169"/>
        <v>-0.53638216320832655</v>
      </c>
      <c r="Z34" s="144">
        <f t="shared" si="170"/>
        <v>0.59273709883132719</v>
      </c>
      <c r="AA34" s="7">
        <f>SUM(L$2:L35)-SUM(AB$2:AB35)</f>
        <v>-4970.9060000000172</v>
      </c>
      <c r="AB34" s="145"/>
      <c r="AC34" s="13">
        <f t="shared" si="171"/>
        <v>-915.02980486381682</v>
      </c>
      <c r="AD34" s="13">
        <f t="shared" si="172"/>
        <v>-6115.0298048638169</v>
      </c>
    </row>
    <row r="35" spans="1:30" ht="15" thickTop="1" x14ac:dyDescent="0.25">
      <c r="A35" s="147">
        <v>43889</v>
      </c>
      <c r="B35" s="126"/>
      <c r="C35" s="151" t="s">
        <v>280</v>
      </c>
      <c r="D35" s="152">
        <v>500</v>
      </c>
      <c r="E35" s="137">
        <v>5.09</v>
      </c>
      <c r="F35" s="152">
        <f t="shared" si="152"/>
        <v>5700</v>
      </c>
      <c r="G35" s="138">
        <f t="shared" si="153"/>
        <v>5.9620887719298272</v>
      </c>
      <c r="H35" s="137">
        <f t="shared" si="154"/>
        <v>33983.906000000017</v>
      </c>
      <c r="I35" s="137">
        <f t="shared" si="155"/>
        <v>-4970.9060000000172</v>
      </c>
      <c r="J35" s="142">
        <f t="shared" si="156"/>
        <v>-0.14627235609703057</v>
      </c>
      <c r="K35" s="84">
        <f t="shared" si="157"/>
        <v>29013</v>
      </c>
      <c r="L35" s="84">
        <f t="shared" si="158"/>
        <v>-265.29999999999927</v>
      </c>
      <c r="M35" s="84">
        <f t="shared" si="159"/>
        <v>5.3</v>
      </c>
      <c r="N35" s="84">
        <f t="shared" si="160"/>
        <v>0</v>
      </c>
      <c r="O35" s="84"/>
      <c r="P35" s="86">
        <f t="shared" si="161"/>
        <v>-0.87208877192982737</v>
      </c>
      <c r="Q35" s="84">
        <f t="shared" si="162"/>
        <v>-2550.2999999999993</v>
      </c>
      <c r="R35" s="143"/>
      <c r="S35" s="143">
        <f t="shared" si="163"/>
        <v>15814.203999999972</v>
      </c>
      <c r="T35" s="143">
        <f t="shared" si="164"/>
        <v>3106.9163064832951</v>
      </c>
      <c r="U35" s="143">
        <f t="shared" si="165"/>
        <v>8806.9163064832956</v>
      </c>
      <c r="V35" s="84">
        <f t="shared" si="166"/>
        <v>49798.109999999986</v>
      </c>
      <c r="W35" s="86">
        <f t="shared" si="167"/>
        <v>5.6544320698654342</v>
      </c>
      <c r="X35" s="86">
        <f t="shared" si="168"/>
        <v>-0.307656702064393</v>
      </c>
      <c r="Y35" s="86">
        <f t="shared" si="169"/>
        <v>-0.56443206986543437</v>
      </c>
      <c r="Z35" s="144">
        <f t="shared" si="170"/>
        <v>0.64721859520839209</v>
      </c>
      <c r="AA35" s="7">
        <f>SUM(L$2:L36)-SUM(AB$2:AB36)</f>
        <v>-4123.2420000000202</v>
      </c>
      <c r="AB35" s="145"/>
      <c r="AC35" s="13">
        <f t="shared" si="171"/>
        <v>-976.11405638507222</v>
      </c>
      <c r="AD35" s="13">
        <f t="shared" si="172"/>
        <v>-6676.1140563850722</v>
      </c>
    </row>
    <row r="36" spans="1:30" hidden="1" x14ac:dyDescent="0.25">
      <c r="A36" s="147">
        <v>43893</v>
      </c>
      <c r="B36" s="148" t="s">
        <v>282</v>
      </c>
      <c r="C36" s="151" t="s">
        <v>200</v>
      </c>
      <c r="D36" s="152">
        <v>400</v>
      </c>
      <c r="E36" s="137">
        <v>5.24</v>
      </c>
      <c r="F36" s="152">
        <f t="shared" si="152"/>
        <v>5300</v>
      </c>
      <c r="G36" s="138">
        <f t="shared" si="153"/>
        <v>6.0179701886792492</v>
      </c>
      <c r="H36" s="137">
        <f t="shared" si="154"/>
        <v>31895.24200000002</v>
      </c>
      <c r="I36" s="137">
        <f t="shared" si="155"/>
        <v>-4123.2420000000202</v>
      </c>
      <c r="J36" s="142">
        <f t="shared" si="156"/>
        <v>-0.1292745168699462</v>
      </c>
      <c r="K36" s="84">
        <f t="shared" si="157"/>
        <v>27772</v>
      </c>
      <c r="L36" s="84">
        <f t="shared" si="158"/>
        <v>847.66399999999703</v>
      </c>
      <c r="M36" s="84">
        <f t="shared" si="159"/>
        <v>5.24</v>
      </c>
      <c r="N36" s="84">
        <f t="shared" si="160"/>
        <v>2.0960000000000001</v>
      </c>
      <c r="O36" s="84"/>
      <c r="P36" s="86">
        <f t="shared" si="161"/>
        <v>-0.77797018867924894</v>
      </c>
      <c r="Q36" s="84">
        <f t="shared" si="162"/>
        <v>2088.663999999997</v>
      </c>
      <c r="R36" s="143"/>
      <c r="S36" s="143">
        <f t="shared" si="163"/>
        <v>17902.867999999969</v>
      </c>
      <c r="T36" s="143">
        <f t="shared" si="164"/>
        <v>3416.577862595414</v>
      </c>
      <c r="U36" s="143">
        <f t="shared" si="165"/>
        <v>8716.5778625954135</v>
      </c>
      <c r="V36" s="84">
        <f t="shared" si="166"/>
        <v>49798.109999999986</v>
      </c>
      <c r="W36" s="86">
        <f t="shared" si="167"/>
        <v>5.7130344941555196</v>
      </c>
      <c r="X36" s="86">
        <f t="shared" si="168"/>
        <v>-0.30493569452372959</v>
      </c>
      <c r="Y36" s="86">
        <f t="shared" si="169"/>
        <v>-0.47303449415551935</v>
      </c>
      <c r="Z36" s="144">
        <f t="shared" si="170"/>
        <v>0.60803678732032729</v>
      </c>
      <c r="AA36" s="7">
        <f>SUM(L$2:L37)-SUM(AB$2:AB37)</f>
        <v>-5029.5420000000231</v>
      </c>
      <c r="AB36" s="145"/>
      <c r="AC36" s="13">
        <f t="shared" si="171"/>
        <v>-786.48480515267568</v>
      </c>
      <c r="AD36" s="13">
        <f t="shared" si="172"/>
        <v>-6086.484805152676</v>
      </c>
    </row>
    <row r="37" spans="1:30" x14ac:dyDescent="0.25">
      <c r="A37" s="147">
        <v>43899</v>
      </c>
      <c r="B37" s="126"/>
      <c r="C37" s="151" t="s">
        <v>283</v>
      </c>
      <c r="D37" s="152">
        <v>500</v>
      </c>
      <c r="E37" s="137">
        <v>5.07</v>
      </c>
      <c r="F37" s="152">
        <f t="shared" si="152"/>
        <v>5800</v>
      </c>
      <c r="G37" s="138">
        <f t="shared" si="153"/>
        <v>5.9371624137931072</v>
      </c>
      <c r="H37" s="137">
        <f t="shared" si="154"/>
        <v>34435.542000000023</v>
      </c>
      <c r="I37" s="137">
        <f t="shared" si="155"/>
        <v>-5029.5420000000231</v>
      </c>
      <c r="J37" s="142">
        <f t="shared" si="156"/>
        <v>-0.14605671082511251</v>
      </c>
      <c r="K37" s="84">
        <f t="shared" si="157"/>
        <v>29406</v>
      </c>
      <c r="L37" s="84">
        <f t="shared" si="158"/>
        <v>-906.30000000000291</v>
      </c>
      <c r="M37" s="84">
        <f t="shared" si="159"/>
        <v>5.3</v>
      </c>
      <c r="N37" s="84">
        <f t="shared" si="160"/>
        <v>0</v>
      </c>
      <c r="O37" s="84"/>
      <c r="P37" s="86">
        <f t="shared" si="161"/>
        <v>-0.86716241379310688</v>
      </c>
      <c r="Q37" s="84">
        <f t="shared" si="162"/>
        <v>-2540.3000000000029</v>
      </c>
      <c r="R37" s="143"/>
      <c r="S37" s="143">
        <f t="shared" si="163"/>
        <v>15362.567999999967</v>
      </c>
      <c r="T37" s="143">
        <f t="shared" si="164"/>
        <v>3030.0923076923009</v>
      </c>
      <c r="U37" s="143">
        <f t="shared" si="165"/>
        <v>8830.0923076923009</v>
      </c>
      <c r="V37" s="84">
        <f t="shared" si="166"/>
        <v>49798.109999999986</v>
      </c>
      <c r="W37" s="86">
        <f t="shared" si="167"/>
        <v>5.6395911010600139</v>
      </c>
      <c r="X37" s="86">
        <f t="shared" si="168"/>
        <v>-0.29757131273309323</v>
      </c>
      <c r="Y37" s="86">
        <f t="shared" si="169"/>
        <v>-0.56959110106001365</v>
      </c>
      <c r="Z37" s="144">
        <f t="shared" si="170"/>
        <v>0.65684477555770882</v>
      </c>
      <c r="AA37" s="7">
        <f>SUM(L$2:L38)-SUM(AB$2:AB38)</f>
        <v>-6368.842000000026</v>
      </c>
      <c r="AB37" s="145"/>
      <c r="AC37" s="13">
        <f t="shared" si="171"/>
        <v>-991.52410828402822</v>
      </c>
      <c r="AD37" s="13">
        <f t="shared" si="172"/>
        <v>-6791.5241082840284</v>
      </c>
    </row>
    <row r="38" spans="1:30" x14ac:dyDescent="0.25">
      <c r="A38" s="147">
        <v>43914</v>
      </c>
      <c r="B38" s="126"/>
      <c r="C38" s="151" t="s">
        <v>284</v>
      </c>
      <c r="D38" s="152">
        <v>500</v>
      </c>
      <c r="E38" s="137">
        <v>4.84</v>
      </c>
      <c r="F38" s="152">
        <f t="shared" si="152"/>
        <v>6300</v>
      </c>
      <c r="G38" s="138">
        <f t="shared" si="153"/>
        <v>5.8509273015873058</v>
      </c>
      <c r="H38" s="137">
        <f t="shared" si="154"/>
        <v>36860.842000000026</v>
      </c>
      <c r="I38" s="137">
        <f t="shared" si="155"/>
        <v>-6368.842000000026</v>
      </c>
      <c r="J38" s="142">
        <f t="shared" si="156"/>
        <v>-0.17278069773880972</v>
      </c>
      <c r="K38" s="84">
        <f t="shared" si="157"/>
        <v>30492</v>
      </c>
      <c r="L38" s="84">
        <f t="shared" si="158"/>
        <v>-1339.3000000000029</v>
      </c>
      <c r="M38" s="84">
        <f t="shared" si="159"/>
        <v>5.3</v>
      </c>
      <c r="N38" s="84">
        <f t="shared" si="160"/>
        <v>0</v>
      </c>
      <c r="O38" s="84"/>
      <c r="P38" s="86">
        <f t="shared" si="161"/>
        <v>-1.0109273015873059</v>
      </c>
      <c r="Q38" s="84">
        <f t="shared" si="162"/>
        <v>-2425.3000000000029</v>
      </c>
      <c r="R38" s="143"/>
      <c r="S38" s="143">
        <f t="shared" si="163"/>
        <v>12937.267999999964</v>
      </c>
      <c r="T38" s="143">
        <f t="shared" si="164"/>
        <v>2672.9892561983397</v>
      </c>
      <c r="U38" s="143">
        <f t="shared" si="165"/>
        <v>8972.9892561983397</v>
      </c>
      <c r="V38" s="84">
        <f t="shared" si="166"/>
        <v>49798.109999999986</v>
      </c>
      <c r="W38" s="86">
        <f t="shared" si="167"/>
        <v>5.5497792963031323</v>
      </c>
      <c r="X38" s="86">
        <f t="shared" si="168"/>
        <v>-0.30114800528417351</v>
      </c>
      <c r="Y38" s="86">
        <f t="shared" si="169"/>
        <v>-0.70977929630313241</v>
      </c>
      <c r="Z38" s="144">
        <f t="shared" si="170"/>
        <v>0.70210715962332193</v>
      </c>
      <c r="AA38" s="7">
        <f>SUM(L$2:L39)-SUM(AB$2:AB39)</f>
        <v>-8012.1420000000289</v>
      </c>
      <c r="AB38" s="145"/>
      <c r="AC38" s="13">
        <f t="shared" si="171"/>
        <v>-1315.2185080578568</v>
      </c>
      <c r="AD38" s="13">
        <f t="shared" si="172"/>
        <v>-7615.2185080578565</v>
      </c>
    </row>
    <row r="39" spans="1:30" hidden="1" x14ac:dyDescent="0.25">
      <c r="A39" s="147">
        <v>43922</v>
      </c>
      <c r="B39" s="148"/>
      <c r="C39" s="151" t="s">
        <v>215</v>
      </c>
      <c r="D39" s="152">
        <v>500</v>
      </c>
      <c r="E39" s="137">
        <v>4.58</v>
      </c>
      <c r="F39" s="152">
        <f t="shared" si="152"/>
        <v>6800</v>
      </c>
      <c r="G39" s="138">
        <f t="shared" si="153"/>
        <v>5.7582561764705922</v>
      </c>
      <c r="H39" s="137">
        <f t="shared" si="154"/>
        <v>39156.142000000029</v>
      </c>
      <c r="I39" s="137">
        <f t="shared" si="155"/>
        <v>-8012.1420000000289</v>
      </c>
      <c r="J39" s="142">
        <f t="shared" si="156"/>
        <v>-0.20462031218499568</v>
      </c>
      <c r="K39" s="84">
        <f t="shared" si="157"/>
        <v>31144</v>
      </c>
      <c r="L39" s="84">
        <f t="shared" si="158"/>
        <v>-1643.3000000000029</v>
      </c>
      <c r="M39" s="84">
        <f t="shared" si="159"/>
        <v>5.3</v>
      </c>
      <c r="N39" s="84">
        <f t="shared" si="160"/>
        <v>0</v>
      </c>
      <c r="O39" s="84"/>
      <c r="P39" s="86">
        <f t="shared" si="161"/>
        <v>-1.1782561764705921</v>
      </c>
      <c r="Q39" s="84">
        <f t="shared" si="162"/>
        <v>-2295.3000000000029</v>
      </c>
      <c r="R39" s="143"/>
      <c r="S39" s="143">
        <f t="shared" si="163"/>
        <v>10641.967999999961</v>
      </c>
      <c r="T39" s="143">
        <f t="shared" si="164"/>
        <v>2323.5737991266287</v>
      </c>
      <c r="U39" s="143">
        <f t="shared" si="165"/>
        <v>9123.5737991266287</v>
      </c>
      <c r="V39" s="84">
        <f t="shared" si="166"/>
        <v>49798.109999999986</v>
      </c>
      <c r="W39" s="86">
        <f t="shared" si="167"/>
        <v>5.4581802149468013</v>
      </c>
      <c r="X39" s="86">
        <f t="shared" si="168"/>
        <v>-0.3000759615237909</v>
      </c>
      <c r="Y39" s="86">
        <f t="shared" si="169"/>
        <v>-0.87818021494680121</v>
      </c>
      <c r="Z39" s="144">
        <f t="shared" si="170"/>
        <v>0.74532197028437941</v>
      </c>
      <c r="AA39" s="7">
        <f>SUM(L$2:L40)-SUM(AB$2:AB40)</f>
        <v>-8901.4420000000318</v>
      </c>
      <c r="AB39" s="145"/>
      <c r="AC39" s="13">
        <f t="shared" si="171"/>
        <v>-1748.5012945414912</v>
      </c>
      <c r="AD39" s="13">
        <f t="shared" si="172"/>
        <v>-8548.501294541491</v>
      </c>
    </row>
    <row r="40" spans="1:30" hidden="1" x14ac:dyDescent="0.25">
      <c r="A40" s="147">
        <v>43943</v>
      </c>
      <c r="B40" s="148"/>
      <c r="C40" s="151" t="s">
        <v>286</v>
      </c>
      <c r="D40" s="152">
        <v>500</v>
      </c>
      <c r="E40" s="137">
        <v>4.45</v>
      </c>
      <c r="F40" s="152">
        <f t="shared" si="152"/>
        <v>7300</v>
      </c>
      <c r="G40" s="138">
        <f t="shared" si="153"/>
        <v>5.6693756164383604</v>
      </c>
      <c r="H40" s="137">
        <f t="shared" si="154"/>
        <v>41386.442000000032</v>
      </c>
      <c r="I40" s="137">
        <f t="shared" si="155"/>
        <v>-8901.4420000000318</v>
      </c>
      <c r="J40" s="142">
        <f t="shared" si="156"/>
        <v>-0.21508111279534547</v>
      </c>
      <c r="K40" s="84">
        <f t="shared" si="157"/>
        <v>32485</v>
      </c>
      <c r="L40" s="84">
        <f t="shared" si="158"/>
        <v>-889.30000000000291</v>
      </c>
      <c r="M40" s="84">
        <f t="shared" si="159"/>
        <v>5.3</v>
      </c>
      <c r="N40" s="84">
        <f t="shared" si="160"/>
        <v>0</v>
      </c>
      <c r="O40" s="84"/>
      <c r="P40" s="86">
        <f t="shared" si="161"/>
        <v>-1.2193756164383602</v>
      </c>
      <c r="Q40" s="84">
        <f t="shared" si="162"/>
        <v>-2230.3000000000029</v>
      </c>
      <c r="R40" s="143"/>
      <c r="S40" s="143">
        <f t="shared" si="163"/>
        <v>8411.6679999999578</v>
      </c>
      <c r="T40" s="143">
        <f t="shared" si="164"/>
        <v>1890.2624719101027</v>
      </c>
      <c r="U40" s="143">
        <f t="shared" si="165"/>
        <v>9190.2624719101022</v>
      </c>
      <c r="V40" s="84">
        <f t="shared" si="166"/>
        <v>49798.109999999986</v>
      </c>
      <c r="W40" s="86">
        <f t="shared" si="167"/>
        <v>5.4185732074798905</v>
      </c>
      <c r="X40" s="86">
        <f t="shared" si="168"/>
        <v>-0.25080240895846995</v>
      </c>
      <c r="Y40" s="86">
        <f t="shared" si="169"/>
        <v>-0.96857320747989029</v>
      </c>
      <c r="Z40" s="144">
        <f t="shared" si="170"/>
        <v>0.79431898950789914</v>
      </c>
      <c r="AA40" s="7">
        <f>SUM(L$2:L41)-SUM(AB$2:AB41)</f>
        <v>-8032.5100000000275</v>
      </c>
      <c r="AB40" s="145"/>
      <c r="AC40" s="13">
        <f t="shared" si="171"/>
        <v>-1999.3238829213556</v>
      </c>
      <c r="AD40" s="13">
        <f t="shared" si="172"/>
        <v>-9299.3238829213551</v>
      </c>
    </row>
    <row r="41" spans="1:30" hidden="1" x14ac:dyDescent="0.25">
      <c r="A41" s="147">
        <v>43944</v>
      </c>
      <c r="B41" s="148" t="s">
        <v>287</v>
      </c>
      <c r="C41" s="151" t="s">
        <v>285</v>
      </c>
      <c r="D41" s="152">
        <v>400</v>
      </c>
      <c r="E41" s="137">
        <v>4.57</v>
      </c>
      <c r="F41" s="152">
        <f t="shared" si="152"/>
        <v>6900</v>
      </c>
      <c r="G41" s="138">
        <f t="shared" si="153"/>
        <v>5.7341318840579758</v>
      </c>
      <c r="H41" s="137">
        <f t="shared" si="154"/>
        <v>39565.510000000031</v>
      </c>
      <c r="I41" s="137">
        <f t="shared" si="155"/>
        <v>-8032.5100000000275</v>
      </c>
      <c r="J41" s="142">
        <f t="shared" si="156"/>
        <v>-0.20301798207580352</v>
      </c>
      <c r="K41" s="84">
        <f t="shared" si="157"/>
        <v>31533.000000000004</v>
      </c>
      <c r="L41" s="84">
        <f t="shared" si="158"/>
        <v>868.93200000000434</v>
      </c>
      <c r="M41" s="84">
        <f t="shared" si="159"/>
        <v>5.24</v>
      </c>
      <c r="N41" s="84">
        <f t="shared" si="160"/>
        <v>1.8280000000000001</v>
      </c>
      <c r="O41" s="84"/>
      <c r="P41" s="86">
        <f t="shared" si="161"/>
        <v>-1.1641318840579755</v>
      </c>
      <c r="Q41" s="84">
        <f t="shared" si="162"/>
        <v>1820.9320000000007</v>
      </c>
      <c r="R41" s="143"/>
      <c r="S41" s="143">
        <f t="shared" si="163"/>
        <v>10232.599999999959</v>
      </c>
      <c r="T41" s="143">
        <f t="shared" si="164"/>
        <v>2239.080962800866</v>
      </c>
      <c r="U41" s="143">
        <f t="shared" si="165"/>
        <v>9139.0809628008665</v>
      </c>
      <c r="V41" s="84">
        <f t="shared" si="166"/>
        <v>49798.109999999986</v>
      </c>
      <c r="W41" s="86">
        <f t="shared" si="167"/>
        <v>5.4489187920202307</v>
      </c>
      <c r="X41" s="86">
        <f t="shared" si="168"/>
        <v>-0.28521309203774514</v>
      </c>
      <c r="Y41" s="86">
        <f t="shared" si="169"/>
        <v>-0.87891879202023038</v>
      </c>
      <c r="Z41" s="144">
        <f t="shared" si="170"/>
        <v>0.75499932959181792</v>
      </c>
      <c r="AA41" s="7">
        <f>SUM(L$2:L42)-SUM(AB$2:AB42)</f>
        <v>-9003.8100000000341</v>
      </c>
      <c r="AB41" s="145"/>
      <c r="AC41" s="13">
        <f t="shared" si="171"/>
        <v>-1756.7820010940977</v>
      </c>
      <c r="AD41" s="13">
        <f t="shared" si="172"/>
        <v>-8656.7820010940977</v>
      </c>
    </row>
    <row r="42" spans="1:30" hidden="1" x14ac:dyDescent="0.25">
      <c r="A42" s="147">
        <v>43949</v>
      </c>
      <c r="B42" s="148"/>
      <c r="C42" s="151" t="s">
        <v>46</v>
      </c>
      <c r="D42" s="152">
        <v>500</v>
      </c>
      <c r="E42" s="137">
        <v>4.43</v>
      </c>
      <c r="F42" s="152">
        <f t="shared" si="152"/>
        <v>7400</v>
      </c>
      <c r="G42" s="138">
        <f t="shared" si="153"/>
        <v>5.6467310810810858</v>
      </c>
      <c r="H42" s="137">
        <f t="shared" si="154"/>
        <v>41785.810000000034</v>
      </c>
      <c r="I42" s="137">
        <f t="shared" si="155"/>
        <v>-9003.8100000000341</v>
      </c>
      <c r="J42" s="142">
        <f t="shared" si="156"/>
        <v>-0.21547530130443873</v>
      </c>
      <c r="K42" s="84">
        <f t="shared" si="157"/>
        <v>32782</v>
      </c>
      <c r="L42" s="84">
        <f t="shared" si="158"/>
        <v>-971.30000000000655</v>
      </c>
      <c r="M42" s="84">
        <f t="shared" si="159"/>
        <v>5.3</v>
      </c>
      <c r="N42" s="84">
        <f t="shared" si="160"/>
        <v>0</v>
      </c>
      <c r="O42" s="84"/>
      <c r="P42" s="86">
        <f t="shared" si="161"/>
        <v>-1.2167310810810861</v>
      </c>
      <c r="Q42" s="84">
        <f t="shared" si="162"/>
        <v>-2220.3000000000029</v>
      </c>
      <c r="R42" s="143"/>
      <c r="S42" s="143">
        <f t="shared" si="163"/>
        <v>8012.2999999999556</v>
      </c>
      <c r="T42" s="143">
        <f t="shared" si="164"/>
        <v>1808.645598194121</v>
      </c>
      <c r="U42" s="143">
        <f t="shared" si="165"/>
        <v>9208.6455981941217</v>
      </c>
      <c r="V42" s="84">
        <f t="shared" si="166"/>
        <v>49798.109999999986</v>
      </c>
      <c r="W42" s="86">
        <f t="shared" si="167"/>
        <v>5.407756164464157</v>
      </c>
      <c r="X42" s="86">
        <f t="shared" si="168"/>
        <v>-0.23897491661692882</v>
      </c>
      <c r="Y42" s="86">
        <f t="shared" si="169"/>
        <v>-0.97775616446415725</v>
      </c>
      <c r="Z42" s="144">
        <f t="shared" si="170"/>
        <v>0.80359265877831054</v>
      </c>
      <c r="AA42" s="7">
        <f>SUM(L$2:L43)-SUM(AB$2:AB43)</f>
        <v>-9675.4100000000326</v>
      </c>
      <c r="AB42" s="145"/>
      <c r="AC42" s="13">
        <f t="shared" si="171"/>
        <v>-2031.4465225733713</v>
      </c>
      <c r="AD42" s="13">
        <f t="shared" si="172"/>
        <v>-9431.4465225733711</v>
      </c>
    </row>
    <row r="43" spans="1:30" x14ac:dyDescent="0.25">
      <c r="A43" s="147">
        <v>43976</v>
      </c>
      <c r="B43" s="126"/>
      <c r="C43" s="151" t="s">
        <v>46</v>
      </c>
      <c r="D43" s="152">
        <v>1000</v>
      </c>
      <c r="E43" s="137">
        <v>4.34</v>
      </c>
      <c r="F43" s="152">
        <f t="shared" si="152"/>
        <v>8400</v>
      </c>
      <c r="G43" s="138">
        <f t="shared" si="153"/>
        <v>5.4918345238095281</v>
      </c>
      <c r="H43" s="137">
        <f t="shared" si="154"/>
        <v>46131.410000000033</v>
      </c>
      <c r="I43" s="137">
        <f t="shared" si="155"/>
        <v>-9675.4100000000326</v>
      </c>
      <c r="J43" s="142">
        <f t="shared" si="156"/>
        <v>-0.20973583942047358</v>
      </c>
      <c r="K43" s="84">
        <f t="shared" si="157"/>
        <v>36456</v>
      </c>
      <c r="L43" s="84">
        <f t="shared" si="158"/>
        <v>-671.59999999999854</v>
      </c>
      <c r="M43" s="84">
        <f t="shared" si="159"/>
        <v>5.6</v>
      </c>
      <c r="N43" s="84">
        <f t="shared" si="160"/>
        <v>0</v>
      </c>
      <c r="O43" s="84"/>
      <c r="P43" s="86">
        <f t="shared" si="161"/>
        <v>-1.1518345238095282</v>
      </c>
      <c r="Q43" s="84">
        <f t="shared" si="162"/>
        <v>-4345.5999999999985</v>
      </c>
      <c r="R43" s="143"/>
      <c r="S43" s="143">
        <f t="shared" si="163"/>
        <v>3666.6999999999571</v>
      </c>
      <c r="T43" s="143">
        <f t="shared" si="164"/>
        <v>844.8617511520639</v>
      </c>
      <c r="U43" s="143">
        <f t="shared" si="165"/>
        <v>9244.8617511520642</v>
      </c>
      <c r="V43" s="84">
        <f t="shared" si="166"/>
        <v>49798.109999999986</v>
      </c>
      <c r="W43" s="86">
        <f t="shared" si="167"/>
        <v>5.3865716265356056</v>
      </c>
      <c r="X43" s="86">
        <f t="shared" si="168"/>
        <v>-0.10526289727392246</v>
      </c>
      <c r="Y43" s="86">
        <f t="shared" si="169"/>
        <v>-1.0465716265356058</v>
      </c>
      <c r="Z43" s="144">
        <f t="shared" si="170"/>
        <v>0.90861283014353567</v>
      </c>
      <c r="AA43" s="7">
        <f>SUM(L$2:L44)-SUM(AB$2:AB44)</f>
        <v>-9933.0100000000384</v>
      </c>
      <c r="AB43" s="145"/>
      <c r="AC43" s="13">
        <f t="shared" si="171"/>
        <v>-2228.2424642857218</v>
      </c>
      <c r="AD43" s="13">
        <f t="shared" si="172"/>
        <v>-10628.242464285722</v>
      </c>
    </row>
    <row r="44" spans="1:30" x14ac:dyDescent="0.25">
      <c r="A44" s="147">
        <v>43978</v>
      </c>
      <c r="B44" s="126"/>
      <c r="C44" s="151" t="s">
        <v>46</v>
      </c>
      <c r="D44" s="152">
        <v>1000</v>
      </c>
      <c r="E44" s="137">
        <v>4.3099999999999996</v>
      </c>
      <c r="F44" s="152">
        <f t="shared" si="152"/>
        <v>9400</v>
      </c>
      <c r="G44" s="138">
        <f t="shared" si="153"/>
        <v>5.366703191489365</v>
      </c>
      <c r="H44" s="137">
        <f t="shared" si="154"/>
        <v>50447.010000000031</v>
      </c>
      <c r="I44" s="137">
        <f t="shared" si="155"/>
        <v>-9933.0100000000384</v>
      </c>
      <c r="J44" s="142">
        <f t="shared" si="156"/>
        <v>-0.19689987573099038</v>
      </c>
      <c r="K44" s="84">
        <f t="shared" si="157"/>
        <v>40513.999999999993</v>
      </c>
      <c r="L44" s="84">
        <f t="shared" si="158"/>
        <v>-257.60000000000582</v>
      </c>
      <c r="M44" s="84">
        <f t="shared" si="159"/>
        <v>5.6</v>
      </c>
      <c r="N44" s="84">
        <f t="shared" si="160"/>
        <v>0</v>
      </c>
      <c r="O44" s="84"/>
      <c r="P44" s="86">
        <f t="shared" si="161"/>
        <v>-1.0567031914893654</v>
      </c>
      <c r="Q44" s="84">
        <f t="shared" si="162"/>
        <v>-4315.5999999999985</v>
      </c>
      <c r="R44" s="143"/>
      <c r="S44" s="143">
        <f t="shared" si="163"/>
        <v>-648.90000000004147</v>
      </c>
      <c r="T44" s="143">
        <f t="shared" si="164"/>
        <v>-150.55684454757343</v>
      </c>
      <c r="U44" s="143">
        <f t="shared" si="165"/>
        <v>9249.4431554524272</v>
      </c>
      <c r="V44" s="84">
        <f t="shared" si="166"/>
        <v>49798.109999999986</v>
      </c>
      <c r="W44" s="86">
        <f t="shared" si="167"/>
        <v>5.3839035672806581</v>
      </c>
      <c r="X44" s="86">
        <f t="shared" si="168"/>
        <v>1.7200375791293077E-2</v>
      </c>
      <c r="Y44" s="86">
        <f t="shared" si="169"/>
        <v>-1.0739035672806585</v>
      </c>
      <c r="Z44" s="144">
        <f t="shared" si="170"/>
        <v>1.01627739551638</v>
      </c>
      <c r="AA44" s="7">
        <f>SUM(L$2:L45)-SUM(AB$2:AB45)</f>
        <v>-8850.0000000000364</v>
      </c>
      <c r="AB44" s="145"/>
      <c r="AC44" s="13">
        <f t="shared" si="171"/>
        <v>-2303.4903700696145</v>
      </c>
      <c r="AD44" s="13">
        <f t="shared" si="172"/>
        <v>-11703.490370069614</v>
      </c>
    </row>
    <row r="45" spans="1:30" hidden="1" x14ac:dyDescent="0.25">
      <c r="A45" s="147">
        <v>43985</v>
      </c>
      <c r="B45" s="148" t="s">
        <v>292</v>
      </c>
      <c r="C45" s="151" t="s">
        <v>285</v>
      </c>
      <c r="D45" s="152">
        <v>500</v>
      </c>
      <c r="E45" s="137">
        <v>4.3600000000000003</v>
      </c>
      <c r="F45" s="152">
        <f t="shared" si="152"/>
        <v>8900</v>
      </c>
      <c r="G45" s="138">
        <f t="shared" si="153"/>
        <v>5.3543820224719143</v>
      </c>
      <c r="H45" s="137">
        <f t="shared" si="154"/>
        <v>47654.000000000036</v>
      </c>
      <c r="I45" s="137">
        <f t="shared" si="155"/>
        <v>-8850.0000000000364</v>
      </c>
      <c r="J45" s="142">
        <f t="shared" si="156"/>
        <v>-0.18571368615436329</v>
      </c>
      <c r="K45" s="84">
        <f t="shared" si="157"/>
        <v>38804</v>
      </c>
      <c r="L45" s="84">
        <f t="shared" si="158"/>
        <v>1083.010000000002</v>
      </c>
      <c r="M45" s="84">
        <f t="shared" si="159"/>
        <v>5.3</v>
      </c>
      <c r="N45" s="84">
        <f t="shared" si="160"/>
        <v>2.1800000000000002</v>
      </c>
      <c r="O45" s="84">
        <v>-620.49</v>
      </c>
      <c r="P45" s="86">
        <f t="shared" si="161"/>
        <v>-0.99438202247191398</v>
      </c>
      <c r="Q45" s="84">
        <f t="shared" si="162"/>
        <v>2793.0099999999948</v>
      </c>
      <c r="R45" s="143"/>
      <c r="S45" s="143">
        <f t="shared" si="163"/>
        <v>1523.6199999999533</v>
      </c>
      <c r="T45" s="143">
        <f t="shared" si="164"/>
        <v>349.45412844035621</v>
      </c>
      <c r="U45" s="143">
        <f t="shared" si="165"/>
        <v>9249.4541284403567</v>
      </c>
      <c r="V45" s="84">
        <f t="shared" si="166"/>
        <v>49177.619999999988</v>
      </c>
      <c r="W45" s="86">
        <f t="shared" si="167"/>
        <v>5.3168132213108583</v>
      </c>
      <c r="X45" s="86">
        <f t="shared" si="168"/>
        <v>-3.7568801161055987E-2</v>
      </c>
      <c r="Y45" s="86">
        <f t="shared" si="169"/>
        <v>-0.956813221310858</v>
      </c>
      <c r="Z45" s="144">
        <f t="shared" si="170"/>
        <v>0.96221894572504019</v>
      </c>
      <c r="AA45" s="7">
        <f>SUM(L$2:L46)-SUM(AB$2:AB46)</f>
        <v>-9923.3000000000393</v>
      </c>
      <c r="AB45" s="145"/>
      <c r="AC45" s="13">
        <f t="shared" si="171"/>
        <v>-2028.8016055045955</v>
      </c>
      <c r="AD45" s="13">
        <f t="shared" si="172"/>
        <v>-10928.801605504595</v>
      </c>
    </row>
    <row r="46" spans="1:30" hidden="1" x14ac:dyDescent="0.25">
      <c r="A46" s="147">
        <v>43994</v>
      </c>
      <c r="B46" s="148"/>
      <c r="C46" s="151" t="s">
        <v>46</v>
      </c>
      <c r="D46" s="152">
        <v>500</v>
      </c>
      <c r="E46" s="137">
        <v>4.24</v>
      </c>
      <c r="F46" s="152">
        <f t="shared" si="152"/>
        <v>9400</v>
      </c>
      <c r="G46" s="138">
        <f t="shared" si="153"/>
        <v>5.2956702127659616</v>
      </c>
      <c r="H46" s="137">
        <f t="shared" si="154"/>
        <v>49779.300000000039</v>
      </c>
      <c r="I46" s="137">
        <f t="shared" si="155"/>
        <v>-9923.3000000000393</v>
      </c>
      <c r="J46" s="142">
        <f t="shared" si="156"/>
        <v>-0.19934591285936182</v>
      </c>
      <c r="K46" s="84">
        <f t="shared" si="157"/>
        <v>39856</v>
      </c>
      <c r="L46" s="84">
        <f t="shared" si="158"/>
        <v>-1073.3000000000029</v>
      </c>
      <c r="M46" s="84">
        <f t="shared" si="159"/>
        <v>5.3</v>
      </c>
      <c r="N46" s="84">
        <f t="shared" si="160"/>
        <v>0</v>
      </c>
      <c r="O46" s="84"/>
      <c r="P46" s="86">
        <f t="shared" si="161"/>
        <v>-1.0556702127659614</v>
      </c>
      <c r="Q46" s="84">
        <f t="shared" si="162"/>
        <v>-2125.3000000000029</v>
      </c>
      <c r="R46" s="143"/>
      <c r="S46" s="143">
        <f t="shared" si="163"/>
        <v>-601.68000000004963</v>
      </c>
      <c r="T46" s="143">
        <f t="shared" si="164"/>
        <v>-141.9056603773702</v>
      </c>
      <c r="U46" s="143">
        <f t="shared" si="165"/>
        <v>9258.0943396226303</v>
      </c>
      <c r="V46" s="84">
        <f t="shared" si="166"/>
        <v>49177.619999999988</v>
      </c>
      <c r="W46" s="86">
        <f t="shared" si="167"/>
        <v>5.3118512510215492</v>
      </c>
      <c r="X46" s="86">
        <f t="shared" si="168"/>
        <v>1.6181038255587588E-2</v>
      </c>
      <c r="Y46" s="86">
        <f t="shared" si="169"/>
        <v>-1.071851251021549</v>
      </c>
      <c r="Z46" s="144">
        <f t="shared" si="170"/>
        <v>1.0153277397239349</v>
      </c>
      <c r="AA46" s="7">
        <f>SUM(L$2:L47)-SUM(AB$2:AB47)</f>
        <v>-9366.2600000000384</v>
      </c>
      <c r="AB46" s="145"/>
      <c r="AC46" s="13">
        <f t="shared" si="171"/>
        <v>-2339.2307429245375</v>
      </c>
      <c r="AD46" s="13">
        <f t="shared" si="172"/>
        <v>-11739.230742924537</v>
      </c>
    </row>
    <row r="47" spans="1:30" hidden="1" x14ac:dyDescent="0.25">
      <c r="A47" s="147">
        <v>44014</v>
      </c>
      <c r="B47" s="148" t="s">
        <v>295</v>
      </c>
      <c r="C47" s="151" t="s">
        <v>200</v>
      </c>
      <c r="D47" s="152">
        <v>400</v>
      </c>
      <c r="E47" s="137">
        <v>4.3</v>
      </c>
      <c r="F47" s="152">
        <f t="shared" si="152"/>
        <v>9000</v>
      </c>
      <c r="G47" s="138">
        <f t="shared" si="153"/>
        <v>5.34069555555556</v>
      </c>
      <c r="H47" s="137">
        <f t="shared" si="154"/>
        <v>48066.260000000038</v>
      </c>
      <c r="I47" s="137">
        <f t="shared" si="155"/>
        <v>-9366.2600000000384</v>
      </c>
      <c r="J47" s="142">
        <f t="shared" si="156"/>
        <v>-0.19486142670555257</v>
      </c>
      <c r="K47" s="84">
        <f t="shared" si="157"/>
        <v>38700</v>
      </c>
      <c r="L47" s="84">
        <f t="shared" si="158"/>
        <v>557.04000000000087</v>
      </c>
      <c r="M47" s="84">
        <f t="shared" si="159"/>
        <v>5.24</v>
      </c>
      <c r="N47" s="84">
        <f t="shared" si="160"/>
        <v>1.72</v>
      </c>
      <c r="O47" s="84"/>
      <c r="P47" s="86">
        <f t="shared" si="161"/>
        <v>-1.0406955555555601</v>
      </c>
      <c r="Q47" s="84">
        <f t="shared" si="162"/>
        <v>1713.0400000000009</v>
      </c>
      <c r="R47" s="143"/>
      <c r="S47" s="143">
        <f t="shared" si="163"/>
        <v>1111.3599999999512</v>
      </c>
      <c r="T47" s="143">
        <f t="shared" si="164"/>
        <v>258.45581395347705</v>
      </c>
      <c r="U47" s="143">
        <f t="shared" si="165"/>
        <v>9258.4558139534765</v>
      </c>
      <c r="V47" s="84">
        <f t="shared" si="166"/>
        <v>49177.619999999988</v>
      </c>
      <c r="W47" s="86">
        <f t="shared" si="167"/>
        <v>5.3116438624553446</v>
      </c>
      <c r="X47" s="86">
        <f t="shared" si="168"/>
        <v>-2.9051693100215381E-2</v>
      </c>
      <c r="Y47" s="86">
        <f t="shared" si="169"/>
        <v>-1.0116438624553448</v>
      </c>
      <c r="Z47" s="144">
        <f t="shared" si="170"/>
        <v>0.97208434979362801</v>
      </c>
      <c r="AA47" s="7">
        <f>SUM(L$2:L48)-SUM(AB$2:AB48)</f>
        <v>-8113.2760000000344</v>
      </c>
      <c r="AB47" s="145"/>
      <c r="AC47" s="13">
        <f t="shared" si="171"/>
        <v>-2177.1109000000092</v>
      </c>
      <c r="AD47" s="13">
        <f t="shared" si="172"/>
        <v>-11177.110900000009</v>
      </c>
    </row>
    <row r="48" spans="1:30" hidden="1" x14ac:dyDescent="0.25">
      <c r="A48" s="147">
        <v>44018</v>
      </c>
      <c r="B48" s="148" t="s">
        <v>296</v>
      </c>
      <c r="C48" s="151" t="s">
        <v>200</v>
      </c>
      <c r="D48" s="152">
        <v>400</v>
      </c>
      <c r="E48" s="137">
        <v>4.4400000000000004</v>
      </c>
      <c r="F48" s="152">
        <f t="shared" si="152"/>
        <v>8600</v>
      </c>
      <c r="G48" s="138">
        <f t="shared" si="153"/>
        <v>5.3834041860465156</v>
      </c>
      <c r="H48" s="137">
        <f t="shared" si="154"/>
        <v>46297.276000000034</v>
      </c>
      <c r="I48" s="137">
        <f t="shared" si="155"/>
        <v>-8113.2760000000344</v>
      </c>
      <c r="J48" s="142">
        <f t="shared" si="156"/>
        <v>-0.17524305317660643</v>
      </c>
      <c r="K48" s="84">
        <f t="shared" si="157"/>
        <v>38184</v>
      </c>
      <c r="L48" s="84">
        <f t="shared" si="158"/>
        <v>1252.984000000004</v>
      </c>
      <c r="M48" s="84">
        <f t="shared" si="159"/>
        <v>5.24</v>
      </c>
      <c r="N48" s="84">
        <f t="shared" si="160"/>
        <v>1.7760000000000002</v>
      </c>
      <c r="O48" s="84"/>
      <c r="P48" s="86">
        <f t="shared" si="161"/>
        <v>-0.94340418604651521</v>
      </c>
      <c r="Q48" s="84">
        <f t="shared" si="162"/>
        <v>1768.984000000004</v>
      </c>
      <c r="R48" s="143"/>
      <c r="S48" s="143">
        <f t="shared" si="163"/>
        <v>2880.3439999999555</v>
      </c>
      <c r="T48" s="143">
        <f t="shared" si="164"/>
        <v>648.72612612611601</v>
      </c>
      <c r="U48" s="143">
        <f t="shared" si="165"/>
        <v>9248.7261261261156</v>
      </c>
      <c r="V48" s="84">
        <f t="shared" si="166"/>
        <v>49177.619999999988</v>
      </c>
      <c r="W48" s="86">
        <f t="shared" si="167"/>
        <v>5.3172317278464307</v>
      </c>
      <c r="X48" s="86">
        <f t="shared" si="168"/>
        <v>-6.6172458200084883E-2</v>
      </c>
      <c r="Y48" s="86">
        <f t="shared" si="169"/>
        <v>-0.87723172784643033</v>
      </c>
      <c r="Z48" s="144">
        <f t="shared" si="170"/>
        <v>0.9298577861124494</v>
      </c>
      <c r="AA48" s="7">
        <f>SUM(L$2:L49)-SUM(AB$2:AB49)</f>
        <v>-6831.3900000000285</v>
      </c>
      <c r="AB48" s="145"/>
      <c r="AC48" s="13">
        <f t="shared" si="171"/>
        <v>-1826.4007572072148</v>
      </c>
      <c r="AD48" s="13">
        <f t="shared" si="172"/>
        <v>-10426.400757207215</v>
      </c>
    </row>
    <row r="49" spans="1:30" hidden="1" x14ac:dyDescent="0.25">
      <c r="A49" s="147">
        <v>44018</v>
      </c>
      <c r="B49" s="148" t="s">
        <v>297</v>
      </c>
      <c r="C49" s="151" t="s">
        <v>200</v>
      </c>
      <c r="D49" s="152">
        <v>600</v>
      </c>
      <c r="E49" s="137">
        <f t="shared" ref="E49" si="173">E48+0.15</f>
        <v>4.5900000000000007</v>
      </c>
      <c r="F49" s="152">
        <f t="shared" si="152"/>
        <v>8000</v>
      </c>
      <c r="G49" s="138">
        <f t="shared" si="153"/>
        <v>5.4439237500000042</v>
      </c>
      <c r="H49" s="137">
        <f t="shared" si="154"/>
        <v>43551.390000000036</v>
      </c>
      <c r="I49" s="137">
        <f t="shared" si="155"/>
        <v>-6831.3900000000285</v>
      </c>
      <c r="J49" s="142">
        <f t="shared" si="156"/>
        <v>-0.15685813931541615</v>
      </c>
      <c r="K49" s="84">
        <f t="shared" si="157"/>
        <v>36720.000000000007</v>
      </c>
      <c r="L49" s="84">
        <f t="shared" si="158"/>
        <v>1281.8860000000059</v>
      </c>
      <c r="M49" s="84">
        <f t="shared" si="159"/>
        <v>5.36</v>
      </c>
      <c r="N49" s="84">
        <f t="shared" si="160"/>
        <v>2.7540000000000004</v>
      </c>
      <c r="O49" s="84"/>
      <c r="P49" s="86">
        <f t="shared" si="161"/>
        <v>-0.85392375000000342</v>
      </c>
      <c r="Q49" s="84">
        <f t="shared" si="162"/>
        <v>2745.8859999999986</v>
      </c>
      <c r="R49" s="143"/>
      <c r="S49" s="143">
        <f t="shared" si="163"/>
        <v>5626.2299999999541</v>
      </c>
      <c r="T49" s="143">
        <f t="shared" si="164"/>
        <v>1225.7581699346304</v>
      </c>
      <c r="U49" s="143">
        <f t="shared" si="165"/>
        <v>9225.7581699346301</v>
      </c>
      <c r="V49" s="84">
        <f t="shared" si="166"/>
        <v>49177.619999999988</v>
      </c>
      <c r="W49" s="86">
        <f t="shared" si="167"/>
        <v>5.3304692247692467</v>
      </c>
      <c r="X49" s="86">
        <f t="shared" si="168"/>
        <v>-0.1134545252307575</v>
      </c>
      <c r="Y49" s="86">
        <f t="shared" si="169"/>
        <v>-0.74046922476924593</v>
      </c>
      <c r="Z49" s="144">
        <f t="shared" si="170"/>
        <v>0.86713740514799176</v>
      </c>
      <c r="AA49" s="7">
        <f>SUM(L$2:L50)-SUM(AB$2:AB50)</f>
        <v>-5798.5180000000328</v>
      </c>
      <c r="AB49" s="145"/>
      <c r="AC49" s="13">
        <f t="shared" si="171"/>
        <v>-1487.5761013071956</v>
      </c>
      <c r="AD49" s="13">
        <f t="shared" si="172"/>
        <v>-9487.5761013071951</v>
      </c>
    </row>
    <row r="50" spans="1:30" hidden="1" x14ac:dyDescent="0.25">
      <c r="A50" s="147">
        <v>44018</v>
      </c>
      <c r="B50" s="148" t="s">
        <v>298</v>
      </c>
      <c r="C50" s="151" t="s">
        <v>200</v>
      </c>
      <c r="D50" s="152">
        <v>400</v>
      </c>
      <c r="E50" s="137">
        <v>4.72</v>
      </c>
      <c r="F50" s="152">
        <f t="shared" si="152"/>
        <v>7600</v>
      </c>
      <c r="G50" s="138">
        <f t="shared" si="153"/>
        <v>5.4829628947368461</v>
      </c>
      <c r="H50" s="137">
        <f t="shared" si="154"/>
        <v>41670.518000000033</v>
      </c>
      <c r="I50" s="137">
        <f t="shared" si="155"/>
        <v>-5798.5180000000328</v>
      </c>
      <c r="J50" s="142">
        <f t="shared" si="156"/>
        <v>-0.13915156994208777</v>
      </c>
      <c r="K50" s="84">
        <f t="shared" si="157"/>
        <v>35872</v>
      </c>
      <c r="L50" s="84">
        <f t="shared" si="158"/>
        <v>1032.8719999999958</v>
      </c>
      <c r="M50" s="84">
        <f t="shared" si="159"/>
        <v>5.24</v>
      </c>
      <c r="N50" s="84">
        <f t="shared" si="160"/>
        <v>1.8879999999999999</v>
      </c>
      <c r="O50" s="84"/>
      <c r="P50" s="86">
        <f t="shared" si="161"/>
        <v>-0.76296289473684631</v>
      </c>
      <c r="Q50" s="84">
        <f t="shared" si="162"/>
        <v>1880.872000000003</v>
      </c>
      <c r="R50" s="143"/>
      <c r="S50" s="143">
        <f t="shared" si="163"/>
        <v>7507.1019999999571</v>
      </c>
      <c r="T50" s="143">
        <f t="shared" si="164"/>
        <v>1590.4877118643979</v>
      </c>
      <c r="U50" s="143">
        <f t="shared" si="165"/>
        <v>9190.4877118643981</v>
      </c>
      <c r="V50" s="84">
        <f t="shared" si="166"/>
        <v>49177.619999999988</v>
      </c>
      <c r="W50" s="86">
        <f t="shared" si="167"/>
        <v>5.3509260380724379</v>
      </c>
      <c r="X50" s="86">
        <f t="shared" si="168"/>
        <v>-0.13203685666440812</v>
      </c>
      <c r="Y50" s="86">
        <f t="shared" si="169"/>
        <v>-0.63092603807243819</v>
      </c>
      <c r="Z50" s="144">
        <f t="shared" si="170"/>
        <v>0.82694196850824697</v>
      </c>
      <c r="AA50" s="7">
        <f>SUM(L$2:L51)-SUM(AB$2:AB51)</f>
        <v>-7627.7580000000307</v>
      </c>
      <c r="AB50" s="145"/>
      <c r="AC50" s="13">
        <f t="shared" si="171"/>
        <v>-1227.885326483058</v>
      </c>
      <c r="AD50" s="13">
        <f t="shared" si="172"/>
        <v>-8827.8853264830577</v>
      </c>
    </row>
    <row r="51" spans="1:30" hidden="1" x14ac:dyDescent="0.25">
      <c r="A51" s="147">
        <v>44028</v>
      </c>
      <c r="B51" s="148"/>
      <c r="C51" s="151" t="s">
        <v>46</v>
      </c>
      <c r="D51" s="152">
        <v>400</v>
      </c>
      <c r="E51" s="137">
        <v>4.4800000000000004</v>
      </c>
      <c r="F51" s="152">
        <f t="shared" si="152"/>
        <v>8000</v>
      </c>
      <c r="G51" s="138">
        <f t="shared" si="153"/>
        <v>5.433469750000004</v>
      </c>
      <c r="H51" s="137">
        <f t="shared" si="154"/>
        <v>43467.758000000031</v>
      </c>
      <c r="I51" s="137">
        <f t="shared" si="155"/>
        <v>-7627.7580000000307</v>
      </c>
      <c r="J51" s="142">
        <f t="shared" si="156"/>
        <v>-0.1754808242007794</v>
      </c>
      <c r="K51" s="84">
        <f t="shared" si="157"/>
        <v>35840</v>
      </c>
      <c r="L51" s="84">
        <f t="shared" si="158"/>
        <v>-1829.239999999998</v>
      </c>
      <c r="M51" s="84">
        <f t="shared" si="159"/>
        <v>5.24</v>
      </c>
      <c r="N51" s="84">
        <f t="shared" si="160"/>
        <v>0</v>
      </c>
      <c r="O51" s="84"/>
      <c r="P51" s="86">
        <f t="shared" si="161"/>
        <v>-0.95346975000000356</v>
      </c>
      <c r="Q51" s="84">
        <f t="shared" si="162"/>
        <v>-1797.239999999998</v>
      </c>
      <c r="R51" s="143"/>
      <c r="S51" s="143">
        <f t="shared" si="163"/>
        <v>5709.8619999999592</v>
      </c>
      <c r="T51" s="143">
        <f t="shared" si="164"/>
        <v>1274.5227678571337</v>
      </c>
      <c r="U51" s="143">
        <f t="shared" si="165"/>
        <v>9274.5227678571337</v>
      </c>
      <c r="V51" s="84">
        <f t="shared" si="166"/>
        <v>49177.619999999988</v>
      </c>
      <c r="W51" s="86">
        <f t="shared" si="167"/>
        <v>5.3024421019737726</v>
      </c>
      <c r="X51" s="86">
        <f t="shared" si="168"/>
        <v>-0.13102764802623135</v>
      </c>
      <c r="Y51" s="86">
        <f t="shared" si="169"/>
        <v>-0.82244210197377221</v>
      </c>
      <c r="Z51" s="144">
        <f t="shared" si="170"/>
        <v>0.86257807546990251</v>
      </c>
      <c r="AA51" s="7">
        <f>SUM(L$2:L52)-SUM(AB$2:AB52)</f>
        <v>-8192.9980000000287</v>
      </c>
      <c r="AB51" s="145"/>
      <c r="AC51" s="13">
        <f t="shared" si="171"/>
        <v>-1701.7732412946496</v>
      </c>
      <c r="AD51" s="13">
        <f t="shared" si="172"/>
        <v>-9701.7732412946498</v>
      </c>
    </row>
    <row r="52" spans="1:30" hidden="1" x14ac:dyDescent="0.25">
      <c r="A52" s="147">
        <v>44029</v>
      </c>
      <c r="B52" s="148"/>
      <c r="C52" s="151" t="s">
        <v>46</v>
      </c>
      <c r="D52" s="152">
        <v>400</v>
      </c>
      <c r="E52" s="137">
        <v>4.41</v>
      </c>
      <c r="F52" s="85">
        <f t="shared" si="152"/>
        <v>8400</v>
      </c>
      <c r="G52" s="86">
        <f t="shared" si="153"/>
        <v>5.3853569047619079</v>
      </c>
      <c r="H52" s="84">
        <f t="shared" si="154"/>
        <v>45236.998000000029</v>
      </c>
      <c r="I52" s="84">
        <f t="shared" si="155"/>
        <v>-8192.9980000000287</v>
      </c>
      <c r="J52" s="142">
        <f t="shared" si="156"/>
        <v>-0.18111276968467316</v>
      </c>
      <c r="K52" s="84">
        <f t="shared" si="157"/>
        <v>37044</v>
      </c>
      <c r="L52" s="84">
        <f t="shared" si="158"/>
        <v>-565.23999999999796</v>
      </c>
      <c r="M52" s="84">
        <f t="shared" si="159"/>
        <v>5.24</v>
      </c>
      <c r="N52" s="84">
        <f t="shared" si="160"/>
        <v>0</v>
      </c>
      <c r="O52" s="84"/>
      <c r="P52" s="86">
        <f t="shared" si="161"/>
        <v>-0.97535690476190773</v>
      </c>
      <c r="Q52" s="84">
        <f t="shared" si="162"/>
        <v>-1769.239999999998</v>
      </c>
      <c r="R52" s="143"/>
      <c r="S52" s="143">
        <f t="shared" si="163"/>
        <v>3940.6219999999612</v>
      </c>
      <c r="T52" s="143">
        <f t="shared" si="164"/>
        <v>893.56507936507057</v>
      </c>
      <c r="U52" s="143">
        <f t="shared" si="165"/>
        <v>9293.5650793650711</v>
      </c>
      <c r="V52" s="84">
        <f t="shared" si="166"/>
        <v>49177.619999999988</v>
      </c>
      <c r="W52" s="86">
        <f t="shared" si="167"/>
        <v>5.2915775141222516</v>
      </c>
      <c r="X52" s="86">
        <f t="shared" si="168"/>
        <v>-9.3779390639656235E-2</v>
      </c>
      <c r="Y52" s="86">
        <f t="shared" si="169"/>
        <v>-0.88157751412225149</v>
      </c>
      <c r="Z52" s="144">
        <f t="shared" si="170"/>
        <v>0.90385120545945341</v>
      </c>
      <c r="AA52" s="7">
        <f>SUM(L$2:L53)-SUM(AB$2:AB53)</f>
        <v>-7612.0300000000279</v>
      </c>
      <c r="AB52" s="145"/>
      <c r="AC52" s="13">
        <f t="shared" si="171"/>
        <v>-1856.8937643990996</v>
      </c>
      <c r="AD52" s="13">
        <f t="shared" si="172"/>
        <v>-10256.893764399099</v>
      </c>
    </row>
    <row r="53" spans="1:30" hidden="1" x14ac:dyDescent="0.25">
      <c r="A53" s="147">
        <v>44032</v>
      </c>
      <c r="B53" s="148" t="s">
        <v>315</v>
      </c>
      <c r="C53" s="151" t="s">
        <v>200</v>
      </c>
      <c r="D53" s="152">
        <v>400</v>
      </c>
      <c r="E53" s="137">
        <v>4.4800000000000004</v>
      </c>
      <c r="F53" s="85">
        <f t="shared" ref="F53:F56" si="174">IF(C53="买",F52+D53,F52-D53)</f>
        <v>8000</v>
      </c>
      <c r="G53" s="86">
        <f t="shared" ref="G53:G56" si="175">H53/F53</f>
        <v>5.4315037500000036</v>
      </c>
      <c r="H53" s="84">
        <f t="shared" ref="H53:H56" si="176">IF(C53="买",H52+D53*E53+M53+N53,H52+-1*D53*E53+M53+N53)+O53</f>
        <v>43452.030000000028</v>
      </c>
      <c r="I53" s="84">
        <f t="shared" ref="I53:I56" si="177">-H53+K53</f>
        <v>-7612.0300000000279</v>
      </c>
      <c r="J53" s="142">
        <f t="shared" ref="J53:J56" si="178">(E53-G53)/G53</f>
        <v>-0.17518237928124464</v>
      </c>
      <c r="K53" s="84">
        <f t="shared" ref="K53:K56" si="179">F53*E53</f>
        <v>35840</v>
      </c>
      <c r="L53" s="84">
        <f t="shared" ref="L53:L56" si="180">I53-I52</f>
        <v>580.96800000000076</v>
      </c>
      <c r="M53" s="84">
        <f t="shared" ref="M53:M56" si="181">IF(D53*E53*5/10000&gt;5,D53*E53*5/10000,5)+(D53/1000)*0.6</f>
        <v>5.24</v>
      </c>
      <c r="N53" s="84">
        <f t="shared" ref="N53:N56" si="182">IF(C53="卖",D53*E53/1000,0)</f>
        <v>1.7920000000000003</v>
      </c>
      <c r="O53" s="84"/>
      <c r="P53" s="86">
        <f t="shared" ref="P53:P56" si="183">E53-G53</f>
        <v>-0.9515037500000032</v>
      </c>
      <c r="Q53" s="84">
        <f t="shared" ref="Q53:Q56" si="184">(H53-H52)*-1</f>
        <v>1784.9680000000008</v>
      </c>
      <c r="R53" s="143"/>
      <c r="S53" s="143">
        <f t="shared" ref="S53:S56" si="185">S52+Q53+O53+R53</f>
        <v>5725.5899999999619</v>
      </c>
      <c r="T53" s="143">
        <f t="shared" ref="T53:T56" si="186">S53/E53</f>
        <v>1278.0334821428485</v>
      </c>
      <c r="U53" s="143">
        <f t="shared" ref="U53:U56" si="187">F53+T53</f>
        <v>9278.0334821428478</v>
      </c>
      <c r="V53" s="84">
        <f t="shared" ref="V53:V56" si="188">H53+S53</f>
        <v>49177.619999999988</v>
      </c>
      <c r="W53" s="86">
        <f t="shared" ref="W53:W56" si="189">V53/U53</f>
        <v>5.3004357113660641</v>
      </c>
      <c r="X53" s="86">
        <f t="shared" ref="X53:X56" si="190">W53-G53</f>
        <v>-0.13106803863393957</v>
      </c>
      <c r="Y53" s="86">
        <f t="shared" ref="Y53:Y56" si="191">(X53-P53)*-1</f>
        <v>-0.82043571136606364</v>
      </c>
      <c r="Z53" s="144">
        <f t="shared" ref="Z53:Z56" si="192">F53/U53</f>
        <v>0.86225168462663559</v>
      </c>
      <c r="AA53" s="7">
        <f>SUM(L$2:L54)-SUM(AB$2:AB54)</f>
        <v>-7139.0860000000248</v>
      </c>
      <c r="AB53" s="145"/>
      <c r="AC53" s="13">
        <f t="shared" ref="AC53:AC56" si="193">I53/E53*(1-0.0005)</f>
        <v>-1698.2642823660776</v>
      </c>
      <c r="AD53" s="13">
        <f t="shared" ref="AD53:AD56" si="194">AC53-F53</f>
        <v>-9698.2642823660772</v>
      </c>
    </row>
    <row r="54" spans="1:30" hidden="1" x14ac:dyDescent="0.25">
      <c r="A54" s="147">
        <v>44034</v>
      </c>
      <c r="B54" s="148" t="s">
        <v>316</v>
      </c>
      <c r="C54" s="151" t="s">
        <v>200</v>
      </c>
      <c r="D54" s="152">
        <v>400</v>
      </c>
      <c r="E54" s="137">
        <v>4.54</v>
      </c>
      <c r="F54" s="85">
        <f t="shared" si="174"/>
        <v>7600</v>
      </c>
      <c r="G54" s="86">
        <f t="shared" si="175"/>
        <v>5.4793534210526351</v>
      </c>
      <c r="H54" s="84">
        <f t="shared" si="176"/>
        <v>41643.086000000025</v>
      </c>
      <c r="I54" s="84">
        <f t="shared" si="177"/>
        <v>-7139.0860000000248</v>
      </c>
      <c r="J54" s="142">
        <f t="shared" si="178"/>
        <v>-0.17143508528642717</v>
      </c>
      <c r="K54" s="84">
        <f t="shared" si="179"/>
        <v>34504</v>
      </c>
      <c r="L54" s="84">
        <f t="shared" si="180"/>
        <v>472.94400000000314</v>
      </c>
      <c r="M54" s="84">
        <f t="shared" si="181"/>
        <v>5.24</v>
      </c>
      <c r="N54" s="84">
        <f t="shared" si="182"/>
        <v>1.8160000000000001</v>
      </c>
      <c r="O54" s="84"/>
      <c r="P54" s="86">
        <f t="shared" si="183"/>
        <v>-0.93935342105263508</v>
      </c>
      <c r="Q54" s="84">
        <f t="shared" si="184"/>
        <v>1808.9440000000031</v>
      </c>
      <c r="R54" s="143"/>
      <c r="S54" s="143">
        <f t="shared" si="185"/>
        <v>7534.5339999999651</v>
      </c>
      <c r="T54" s="143">
        <f t="shared" si="186"/>
        <v>1659.5889867841333</v>
      </c>
      <c r="U54" s="143">
        <f t="shared" si="187"/>
        <v>9259.5889867841324</v>
      </c>
      <c r="V54" s="84">
        <f t="shared" si="188"/>
        <v>49177.619999999988</v>
      </c>
      <c r="W54" s="86">
        <f t="shared" si="189"/>
        <v>5.3109938324680908</v>
      </c>
      <c r="X54" s="86">
        <f t="shared" si="190"/>
        <v>-0.16835958858454436</v>
      </c>
      <c r="Y54" s="86">
        <f t="shared" si="191"/>
        <v>-0.77099383246809072</v>
      </c>
      <c r="Z54" s="144">
        <f t="shared" si="192"/>
        <v>0.82077077188276903</v>
      </c>
      <c r="AA54" s="7">
        <f>SUM(L$2:L55)-SUM(AB$2:AB55)</f>
        <v>-6690.1660000000193</v>
      </c>
      <c r="AB54" s="145"/>
      <c r="AC54" s="13">
        <f t="shared" si="193"/>
        <v>-1571.6996601321641</v>
      </c>
      <c r="AD54" s="13">
        <f t="shared" si="194"/>
        <v>-9171.6996601321644</v>
      </c>
    </row>
    <row r="55" spans="1:30" hidden="1" x14ac:dyDescent="0.25">
      <c r="A55" s="147">
        <v>44034</v>
      </c>
      <c r="B55" s="148" t="s">
        <v>317</v>
      </c>
      <c r="C55" s="151" t="s">
        <v>200</v>
      </c>
      <c r="D55" s="152">
        <v>400</v>
      </c>
      <c r="E55" s="137">
        <v>4.5999999999999996</v>
      </c>
      <c r="F55" s="85">
        <f t="shared" si="174"/>
        <v>7200</v>
      </c>
      <c r="G55" s="86">
        <f t="shared" si="175"/>
        <v>5.5291897222222248</v>
      </c>
      <c r="H55" s="84">
        <f t="shared" si="176"/>
        <v>39810.166000000019</v>
      </c>
      <c r="I55" s="84">
        <f t="shared" si="177"/>
        <v>-6690.1660000000193</v>
      </c>
      <c r="J55" s="142">
        <f t="shared" si="178"/>
        <v>-0.16805169815167356</v>
      </c>
      <c r="K55" s="84">
        <f t="shared" si="179"/>
        <v>33120</v>
      </c>
      <c r="L55" s="84">
        <f t="shared" si="180"/>
        <v>448.92000000000553</v>
      </c>
      <c r="M55" s="84">
        <f t="shared" si="181"/>
        <v>5.24</v>
      </c>
      <c r="N55" s="84">
        <f t="shared" si="182"/>
        <v>1.8399999999999999</v>
      </c>
      <c r="O55" s="84"/>
      <c r="P55" s="86">
        <f t="shared" si="183"/>
        <v>-0.92918972222222518</v>
      </c>
      <c r="Q55" s="84">
        <f t="shared" si="184"/>
        <v>1832.9200000000055</v>
      </c>
      <c r="R55" s="143"/>
      <c r="S55" s="143">
        <f t="shared" si="185"/>
        <v>9367.4539999999706</v>
      </c>
      <c r="T55" s="143">
        <f t="shared" si="186"/>
        <v>2036.4030434782546</v>
      </c>
      <c r="U55" s="143">
        <f t="shared" si="187"/>
        <v>9236.4030434782544</v>
      </c>
      <c r="V55" s="84">
        <f t="shared" si="188"/>
        <v>49177.619999999988</v>
      </c>
      <c r="W55" s="86">
        <f t="shared" si="189"/>
        <v>5.324325905713251</v>
      </c>
      <c r="X55" s="86">
        <f t="shared" si="190"/>
        <v>-0.20486381650897378</v>
      </c>
      <c r="Y55" s="86">
        <f t="shared" si="191"/>
        <v>-0.72432590571325139</v>
      </c>
      <c r="Z55" s="144">
        <f t="shared" si="192"/>
        <v>0.77952423320070019</v>
      </c>
      <c r="AA55" s="7">
        <f>SUM(L$2:L56)-SUM(AB$2:AB56)</f>
        <v>-6337.2660000000142</v>
      </c>
      <c r="AB55" s="145"/>
      <c r="AC55" s="13">
        <f t="shared" si="193"/>
        <v>-1453.6567210869609</v>
      </c>
      <c r="AD55" s="13">
        <f t="shared" si="194"/>
        <v>-8653.6567210869616</v>
      </c>
    </row>
    <row r="56" spans="1:30" hidden="1" x14ac:dyDescent="0.25">
      <c r="A56" s="147">
        <v>44036</v>
      </c>
      <c r="B56" s="148" t="s">
        <v>319</v>
      </c>
      <c r="C56" s="151" t="s">
        <v>200</v>
      </c>
      <c r="D56" s="152">
        <v>400</v>
      </c>
      <c r="E56" s="137">
        <v>4.6500000000000004</v>
      </c>
      <c r="F56" s="85">
        <f t="shared" si="174"/>
        <v>6800</v>
      </c>
      <c r="G56" s="86">
        <f t="shared" si="175"/>
        <v>5.5819508823529436</v>
      </c>
      <c r="H56" s="84">
        <f t="shared" si="176"/>
        <v>37957.266000000018</v>
      </c>
      <c r="I56" s="84">
        <f t="shared" si="177"/>
        <v>-6337.2660000000142</v>
      </c>
      <c r="J56" s="142">
        <f t="shared" si="178"/>
        <v>-0.16695791525132531</v>
      </c>
      <c r="K56" s="84">
        <f t="shared" si="179"/>
        <v>31620.000000000004</v>
      </c>
      <c r="L56" s="84">
        <f t="shared" si="180"/>
        <v>352.90000000000509</v>
      </c>
      <c r="M56" s="84">
        <f t="shared" si="181"/>
        <v>5.24</v>
      </c>
      <c r="N56" s="84">
        <f t="shared" si="182"/>
        <v>1.8600000000000003</v>
      </c>
      <c r="O56" s="84"/>
      <c r="P56" s="86">
        <f t="shared" si="183"/>
        <v>-0.93195088235294321</v>
      </c>
      <c r="Q56" s="84">
        <f t="shared" si="184"/>
        <v>1852.9000000000015</v>
      </c>
      <c r="R56" s="143"/>
      <c r="S56" s="143">
        <f t="shared" si="185"/>
        <v>11220.353999999972</v>
      </c>
      <c r="T56" s="143">
        <f t="shared" si="186"/>
        <v>2412.9793548387033</v>
      </c>
      <c r="U56" s="143">
        <f t="shared" si="187"/>
        <v>9212.9793548387024</v>
      </c>
      <c r="V56" s="84">
        <f t="shared" si="188"/>
        <v>49177.619999999988</v>
      </c>
      <c r="W56" s="86">
        <f t="shared" si="189"/>
        <v>5.3378628243828263</v>
      </c>
      <c r="X56" s="86">
        <f t="shared" si="190"/>
        <v>-0.24408805797011723</v>
      </c>
      <c r="Y56" s="86">
        <f t="shared" si="191"/>
        <v>-0.68786282438282598</v>
      </c>
      <c r="Z56" s="144">
        <f t="shared" si="192"/>
        <v>0.73808913903932782</v>
      </c>
      <c r="AA56" s="7">
        <f>SUM(L$2:L57)-SUM(AB$2:AB57)</f>
        <v>-7634.5060000000158</v>
      </c>
      <c r="AB56" s="145"/>
      <c r="AC56" s="13">
        <f t="shared" si="193"/>
        <v>-1362.1714767741964</v>
      </c>
      <c r="AD56" s="13">
        <f t="shared" si="194"/>
        <v>-8162.171476774196</v>
      </c>
    </row>
    <row r="57" spans="1:30" s="1" customFormat="1" hidden="1" x14ac:dyDescent="0.25">
      <c r="A57" s="147">
        <v>44039</v>
      </c>
      <c r="B57" s="148"/>
      <c r="C57" s="151" t="s">
        <v>318</v>
      </c>
      <c r="D57" s="152">
        <v>400</v>
      </c>
      <c r="E57" s="137">
        <v>4.46</v>
      </c>
      <c r="F57" s="85">
        <f t="shared" ref="F57:F58" si="195">IF(C57="买",F56+D57,F56-D57)</f>
        <v>7200</v>
      </c>
      <c r="G57" s="86">
        <f t="shared" ref="G57:G58" si="196">H57/F57</f>
        <v>5.5203480555555577</v>
      </c>
      <c r="H57" s="84">
        <f t="shared" ref="H57:H58" si="197">IF(C57="买",H56+D57*E57+M57+N57,H56+-1*D57*E57+M57+N57)+O57</f>
        <v>39746.506000000016</v>
      </c>
      <c r="I57" s="137">
        <f t="shared" ref="I57:I63" si="198">-H57+K57</f>
        <v>-7634.5060000000158</v>
      </c>
      <c r="J57" s="142">
        <f t="shared" ref="J57:J59" si="199">(E57-G57)/G57</f>
        <v>-0.19207992773000004</v>
      </c>
      <c r="K57" s="84">
        <f t="shared" ref="K57:K59" si="200">F57*E57</f>
        <v>32112</v>
      </c>
      <c r="L57" s="84">
        <f t="shared" ref="L57:L59" si="201">I57-I56</f>
        <v>-1297.2400000000016</v>
      </c>
      <c r="M57" s="84">
        <f t="shared" ref="M57:M59" si="202">IF(D57*E57*5/10000&gt;5,D57*E57*5/10000,5)+(D57/1000)*0.6</f>
        <v>5.24</v>
      </c>
      <c r="N57" s="84">
        <f t="shared" ref="N57:N59" si="203">IF(C57="卖",D57*E57/1000,0)</f>
        <v>0</v>
      </c>
      <c r="O57" s="84"/>
      <c r="P57" s="86">
        <f t="shared" ref="P57:P59" si="204">E57-G57</f>
        <v>-1.0603480555555578</v>
      </c>
      <c r="Q57" s="84">
        <f t="shared" ref="Q57:Q59" si="205">(H57-H56)*-1</f>
        <v>-1789.239999999998</v>
      </c>
      <c r="R57" s="143"/>
      <c r="S57" s="143">
        <f t="shared" ref="S57:S59" si="206">S56+Q57+O57+R57</f>
        <v>9431.1139999999741</v>
      </c>
      <c r="T57" s="143">
        <f t="shared" ref="T57:T59" si="207">S57/E57</f>
        <v>2114.5995515695008</v>
      </c>
      <c r="U57" s="143">
        <f t="shared" ref="U57:U59" si="208">F57+T57</f>
        <v>9314.5995515695013</v>
      </c>
      <c r="V57" s="84">
        <f t="shared" ref="V57:V59" si="209">H57+S57</f>
        <v>49177.619999999988</v>
      </c>
      <c r="W57" s="86">
        <f t="shared" ref="W57:W59" si="210">V57/U57</f>
        <v>5.279627935450387</v>
      </c>
      <c r="X57" s="86">
        <f t="shared" ref="X57:X59" si="211">W57-G57</f>
        <v>-0.24072012010517074</v>
      </c>
      <c r="Y57" s="86">
        <f t="shared" ref="Y57:Y59" si="212">(X57-P57)*-1</f>
        <v>-0.81962793545038704</v>
      </c>
      <c r="Z57" s="144">
        <f t="shared" ref="Z57:Z59" si="213">F57/U57</f>
        <v>0.77298009003369417</v>
      </c>
      <c r="AA57" s="7">
        <f>SUM(L$2:L58)-SUM(AB$2:AB58)</f>
        <v>-7640.1060000000143</v>
      </c>
      <c r="AB57" s="145"/>
      <c r="AC57" s="13">
        <f t="shared" ref="AC57:AC59" si="214">I57/E57*(1-0.0005)</f>
        <v>-1710.9167594170442</v>
      </c>
      <c r="AD57" s="13">
        <f t="shared" ref="AD57:AD59" si="215">AC57-F57</f>
        <v>-8910.9167594170449</v>
      </c>
    </row>
    <row r="58" spans="1:30" s="1" customFormat="1" x14ac:dyDescent="0.25">
      <c r="A58" s="147">
        <v>44041</v>
      </c>
      <c r="B58" s="126"/>
      <c r="C58" s="151" t="s">
        <v>322</v>
      </c>
      <c r="D58" s="152">
        <v>1000</v>
      </c>
      <c r="E58" s="137">
        <v>4.46</v>
      </c>
      <c r="F58" s="85">
        <f t="shared" si="195"/>
        <v>8200</v>
      </c>
      <c r="G58" s="86">
        <f t="shared" si="196"/>
        <v>5.3917202439024408</v>
      </c>
      <c r="H58" s="84">
        <f t="shared" si="197"/>
        <v>44212.106000000014</v>
      </c>
      <c r="I58" s="137">
        <f t="shared" si="198"/>
        <v>-7640.1060000000143</v>
      </c>
      <c r="J58" s="142">
        <f t="shared" si="199"/>
        <v>-0.17280574691465753</v>
      </c>
      <c r="K58" s="84">
        <f t="shared" si="200"/>
        <v>36572</v>
      </c>
      <c r="L58" s="84">
        <f t="shared" si="201"/>
        <v>-5.5999999999985448</v>
      </c>
      <c r="M58" s="84">
        <f t="shared" si="202"/>
        <v>5.6</v>
      </c>
      <c r="N58" s="84">
        <f t="shared" si="203"/>
        <v>0</v>
      </c>
      <c r="O58" s="84"/>
      <c r="P58" s="86">
        <f t="shared" si="204"/>
        <v>-0.93172024390244079</v>
      </c>
      <c r="Q58" s="84">
        <f t="shared" si="205"/>
        <v>-4465.5999999999985</v>
      </c>
      <c r="R58" s="143"/>
      <c r="S58" s="143">
        <f t="shared" si="206"/>
        <v>4965.5139999999756</v>
      </c>
      <c r="T58" s="143">
        <f t="shared" si="207"/>
        <v>1113.3439461883354</v>
      </c>
      <c r="U58" s="143">
        <f t="shared" si="208"/>
        <v>9313.3439461883354</v>
      </c>
      <c r="V58" s="84">
        <f t="shared" si="209"/>
        <v>49177.619999999988</v>
      </c>
      <c r="W58" s="86">
        <f t="shared" si="210"/>
        <v>5.2803397237494778</v>
      </c>
      <c r="X58" s="86">
        <f t="shared" si="211"/>
        <v>-0.11138052015296296</v>
      </c>
      <c r="Y58" s="86">
        <f t="shared" si="212"/>
        <v>-0.82033972374947783</v>
      </c>
      <c r="Z58" s="144">
        <f t="shared" si="213"/>
        <v>0.88045712124225872</v>
      </c>
      <c r="AA58" s="7">
        <f>SUM(L$2:L59)-SUM(AB$2:AB59)</f>
        <v>-6991.1620000000112</v>
      </c>
      <c r="AB58" s="145"/>
      <c r="AC58" s="13">
        <f t="shared" si="214"/>
        <v>-1712.171736995519</v>
      </c>
      <c r="AD58" s="13">
        <f t="shared" si="215"/>
        <v>-9912.1717369955186</v>
      </c>
    </row>
    <row r="59" spans="1:30" s="1" customFormat="1" hidden="1" x14ac:dyDescent="0.25">
      <c r="A59" s="147">
        <v>44049</v>
      </c>
      <c r="B59" s="148" t="s">
        <v>325</v>
      </c>
      <c r="C59" s="151" t="s">
        <v>161</v>
      </c>
      <c r="D59" s="152">
        <v>400</v>
      </c>
      <c r="E59" s="137">
        <v>4.54</v>
      </c>
      <c r="F59" s="85">
        <f t="shared" ref="F59:F63" si="216">IF(C59="买",F58+D59,F58-D59)</f>
        <v>7800</v>
      </c>
      <c r="G59" s="86">
        <f t="shared" ref="G59:G63" si="217">H59/F59</f>
        <v>5.4363028205128217</v>
      </c>
      <c r="H59" s="84">
        <f t="shared" ref="H59:H63" si="218">IF(C59="买",H58+D59*E59+M59+N59,H58+-1*D59*E59+M59+N59)+O59</f>
        <v>42403.162000000011</v>
      </c>
      <c r="I59" s="137">
        <f t="shared" si="198"/>
        <v>-6991.1620000000112</v>
      </c>
      <c r="J59" s="142">
        <f t="shared" si="199"/>
        <v>-0.1648736006998725</v>
      </c>
      <c r="K59" s="84">
        <f t="shared" si="200"/>
        <v>35412</v>
      </c>
      <c r="L59" s="84">
        <f t="shared" si="201"/>
        <v>648.94400000000314</v>
      </c>
      <c r="M59" s="84">
        <f t="shared" si="202"/>
        <v>5.24</v>
      </c>
      <c r="N59" s="84">
        <f t="shared" si="203"/>
        <v>1.8160000000000001</v>
      </c>
      <c r="O59" s="84"/>
      <c r="P59" s="86">
        <f t="shared" si="204"/>
        <v>-0.89630282051282162</v>
      </c>
      <c r="Q59" s="84">
        <f t="shared" si="205"/>
        <v>1808.9440000000031</v>
      </c>
      <c r="R59" s="154"/>
      <c r="S59" s="154">
        <f t="shared" si="206"/>
        <v>6774.4579999999787</v>
      </c>
      <c r="T59" s="154">
        <f t="shared" si="207"/>
        <v>1492.1713656387619</v>
      </c>
      <c r="U59" s="154">
        <f t="shared" si="208"/>
        <v>9292.1713656387619</v>
      </c>
      <c r="V59" s="84">
        <f t="shared" si="209"/>
        <v>49177.619999999988</v>
      </c>
      <c r="W59" s="86">
        <f t="shared" si="210"/>
        <v>5.2923711869813781</v>
      </c>
      <c r="X59" s="86">
        <f t="shared" si="211"/>
        <v>-0.14393163353144356</v>
      </c>
      <c r="Y59" s="86">
        <f t="shared" si="212"/>
        <v>-0.75237118698137806</v>
      </c>
      <c r="Z59" s="155">
        <f t="shared" si="213"/>
        <v>0.83941628851609251</v>
      </c>
      <c r="AA59" s="7">
        <f>SUM(L$2:L60)-SUM(AB$2:AB60)</f>
        <v>-7776.4020000000091</v>
      </c>
      <c r="AB59" s="156"/>
      <c r="AC59" s="13">
        <f t="shared" si="214"/>
        <v>-1539.133572466963</v>
      </c>
      <c r="AD59" s="13">
        <f t="shared" si="215"/>
        <v>-9339.1335724669625</v>
      </c>
    </row>
    <row r="60" spans="1:30" s="1" customFormat="1" x14ac:dyDescent="0.25">
      <c r="A60" s="147">
        <v>44053</v>
      </c>
      <c r="B60" s="126"/>
      <c r="C60" s="151" t="s">
        <v>46</v>
      </c>
      <c r="D60" s="152">
        <v>400</v>
      </c>
      <c r="E60" s="137">
        <v>4.4400000000000004</v>
      </c>
      <c r="F60" s="85">
        <f t="shared" si="216"/>
        <v>8200</v>
      </c>
      <c r="G60" s="86">
        <f t="shared" si="217"/>
        <v>5.3883417073170738</v>
      </c>
      <c r="H60" s="84">
        <f t="shared" si="218"/>
        <v>44184.402000000009</v>
      </c>
      <c r="I60" s="137">
        <f t="shared" si="198"/>
        <v>-7776.4020000000091</v>
      </c>
      <c r="J60" s="142">
        <f t="shared" ref="J60:J63" si="219">(E60-G60)/G60</f>
        <v>-0.17599880609451274</v>
      </c>
      <c r="K60" s="84">
        <f t="shared" ref="K60:K63" si="220">F60*E60</f>
        <v>36408</v>
      </c>
      <c r="L60" s="84">
        <f t="shared" ref="L60:L63" si="221">I60-I59</f>
        <v>-785.23999999999796</v>
      </c>
      <c r="M60" s="84">
        <f t="shared" ref="M60:M63" si="222">IF(D60*E60*5/10000&gt;5,D60*E60*5/10000,5)+(D60/1000)*0.6</f>
        <v>5.24</v>
      </c>
      <c r="N60" s="84">
        <f t="shared" ref="N60:N63" si="223">IF(C60="卖",D60*E60/1000,0)</f>
        <v>0</v>
      </c>
      <c r="O60" s="84"/>
      <c r="P60" s="86">
        <f t="shared" ref="P60:P63" si="224">E60-G60</f>
        <v>-0.94834170731707346</v>
      </c>
      <c r="Q60" s="84">
        <f t="shared" ref="Q60:Q63" si="225">(H60-H59)*-1</f>
        <v>-1781.239999999998</v>
      </c>
      <c r="R60" s="154"/>
      <c r="S60" s="154">
        <f t="shared" ref="S60:S63" si="226">S59+Q60+O60+R60</f>
        <v>4993.2179999999807</v>
      </c>
      <c r="T60" s="154">
        <f t="shared" ref="T60:T63" si="227">S60/E60</f>
        <v>1124.5986486486443</v>
      </c>
      <c r="U60" s="154">
        <f t="shared" ref="U60:U63" si="228">F60+T60</f>
        <v>9324.5986486486436</v>
      </c>
      <c r="V60" s="84">
        <f t="shared" ref="V60:V63" si="229">H60+S60</f>
        <v>49177.619999999988</v>
      </c>
      <c r="W60" s="86">
        <f t="shared" ref="W60:W63" si="230">V60/U60</f>
        <v>5.2739664035971128</v>
      </c>
      <c r="X60" s="86">
        <f t="shared" ref="X60:X63" si="231">W60-G60</f>
        <v>-0.11437530371996107</v>
      </c>
      <c r="Y60" s="86">
        <f t="shared" ref="Y60:Y63" si="232">(X60-P60)*-1</f>
        <v>-0.83396640359711238</v>
      </c>
      <c r="Z60" s="155">
        <f t="shared" ref="Z60:Z63" si="233">F60/U60</f>
        <v>0.87939441781640382</v>
      </c>
      <c r="AA60" s="7">
        <f>SUM(L$2:L61)-SUM(AB$2:AB61)</f>
        <v>-6963.458000000006</v>
      </c>
      <c r="AB60" s="156"/>
      <c r="AC60" s="13">
        <f t="shared" ref="AC60:AC63" si="234">I60/E60*(1-0.0005)</f>
        <v>-1750.566170945948</v>
      </c>
      <c r="AD60" s="13">
        <f t="shared" ref="AD60:AD63" si="235">AC60-F60</f>
        <v>-9950.5661709459473</v>
      </c>
    </row>
    <row r="61" spans="1:30" s="1" customFormat="1" hidden="1" x14ac:dyDescent="0.25">
      <c r="A61" s="147">
        <v>44060</v>
      </c>
      <c r="B61" s="148" t="s">
        <v>326</v>
      </c>
      <c r="C61" s="151" t="s">
        <v>161</v>
      </c>
      <c r="D61" s="152">
        <v>400</v>
      </c>
      <c r="E61" s="137">
        <v>4.54</v>
      </c>
      <c r="F61" s="85">
        <f t="shared" si="216"/>
        <v>7800</v>
      </c>
      <c r="G61" s="86">
        <f t="shared" si="217"/>
        <v>5.4327510256410267</v>
      </c>
      <c r="H61" s="84">
        <f t="shared" si="218"/>
        <v>42375.458000000006</v>
      </c>
      <c r="I61" s="137">
        <f t="shared" si="198"/>
        <v>-6963.458000000006</v>
      </c>
      <c r="J61" s="142">
        <f t="shared" si="219"/>
        <v>-0.16432761623485007</v>
      </c>
      <c r="K61" s="84">
        <f t="shared" si="220"/>
        <v>35412</v>
      </c>
      <c r="L61" s="84">
        <f t="shared" si="221"/>
        <v>812.94400000000314</v>
      </c>
      <c r="M61" s="84">
        <f t="shared" si="222"/>
        <v>5.24</v>
      </c>
      <c r="N61" s="84">
        <f t="shared" si="223"/>
        <v>1.8160000000000001</v>
      </c>
      <c r="O61" s="84"/>
      <c r="P61" s="86">
        <f t="shared" si="224"/>
        <v>-0.89275102564102671</v>
      </c>
      <c r="Q61" s="84">
        <f t="shared" si="225"/>
        <v>1808.9440000000031</v>
      </c>
      <c r="R61" s="154"/>
      <c r="S61" s="154">
        <f t="shared" si="226"/>
        <v>6802.1619999999839</v>
      </c>
      <c r="T61" s="154">
        <f t="shared" si="227"/>
        <v>1498.2735682819348</v>
      </c>
      <c r="U61" s="154">
        <f t="shared" si="228"/>
        <v>9298.2735682819348</v>
      </c>
      <c r="V61" s="84">
        <f t="shared" si="229"/>
        <v>49177.619999999988</v>
      </c>
      <c r="W61" s="86">
        <f t="shared" si="230"/>
        <v>5.2888979485131085</v>
      </c>
      <c r="X61" s="86">
        <f t="shared" si="231"/>
        <v>-0.14385307712791828</v>
      </c>
      <c r="Y61" s="86">
        <f t="shared" si="232"/>
        <v>-0.74889794851310842</v>
      </c>
      <c r="Z61" s="155">
        <f t="shared" si="233"/>
        <v>0.83886540256324438</v>
      </c>
      <c r="AA61" s="7">
        <f>SUM(L$2:L62)-SUM(AB$2:AB62)</f>
        <v>-7592.698000000004</v>
      </c>
      <c r="AB61" s="156"/>
      <c r="AC61" s="13">
        <f t="shared" si="234"/>
        <v>-1533.0344209251116</v>
      </c>
      <c r="AD61" s="13">
        <f t="shared" si="235"/>
        <v>-9333.0344209251125</v>
      </c>
    </row>
    <row r="62" spans="1:30" s="1" customFormat="1" x14ac:dyDescent="0.25">
      <c r="A62" s="147">
        <v>44067</v>
      </c>
      <c r="B62" s="126"/>
      <c r="C62" s="151" t="s">
        <v>46</v>
      </c>
      <c r="D62" s="152">
        <v>400</v>
      </c>
      <c r="E62" s="137">
        <v>4.46</v>
      </c>
      <c r="F62" s="85">
        <f t="shared" si="216"/>
        <v>8200</v>
      </c>
      <c r="G62" s="86">
        <f t="shared" si="217"/>
        <v>5.3859387804878054</v>
      </c>
      <c r="H62" s="84">
        <f t="shared" si="218"/>
        <v>44164.698000000004</v>
      </c>
      <c r="I62" s="137">
        <f t="shared" si="198"/>
        <v>-7592.698000000004</v>
      </c>
      <c r="J62" s="142">
        <f t="shared" si="219"/>
        <v>-0.17191780638916637</v>
      </c>
      <c r="K62" s="84">
        <f t="shared" si="220"/>
        <v>36572</v>
      </c>
      <c r="L62" s="84">
        <f t="shared" si="221"/>
        <v>-629.23999999999796</v>
      </c>
      <c r="M62" s="84">
        <f t="shared" si="222"/>
        <v>5.24</v>
      </c>
      <c r="N62" s="84">
        <f t="shared" si="223"/>
        <v>0</v>
      </c>
      <c r="O62" s="84"/>
      <c r="P62" s="86">
        <f t="shared" si="224"/>
        <v>-0.92593878048780542</v>
      </c>
      <c r="Q62" s="84">
        <f t="shared" si="225"/>
        <v>-1789.239999999998</v>
      </c>
      <c r="R62" s="154"/>
      <c r="S62" s="154">
        <f t="shared" si="226"/>
        <v>5012.9219999999859</v>
      </c>
      <c r="T62" s="154">
        <f t="shared" si="227"/>
        <v>1123.9735426008938</v>
      </c>
      <c r="U62" s="154">
        <f t="shared" si="228"/>
        <v>9323.9735426008938</v>
      </c>
      <c r="V62" s="84">
        <f t="shared" si="229"/>
        <v>49177.619999999988</v>
      </c>
      <c r="W62" s="86">
        <f t="shared" si="230"/>
        <v>5.2743199854985905</v>
      </c>
      <c r="X62" s="86">
        <f t="shared" si="231"/>
        <v>-0.1116187949892149</v>
      </c>
      <c r="Y62" s="86">
        <f t="shared" si="232"/>
        <v>-0.81431998549859053</v>
      </c>
      <c r="Z62" s="155">
        <f t="shared" si="233"/>
        <v>0.87945337495162335</v>
      </c>
      <c r="AA62" s="7">
        <f>SUM(L$2:L63)-SUM(AB$2:AB63)</f>
        <v>-7843.9380000000019</v>
      </c>
      <c r="AB62" s="156"/>
      <c r="AC62" s="13">
        <f t="shared" si="234"/>
        <v>-1701.5474553811669</v>
      </c>
      <c r="AD62" s="13">
        <f t="shared" si="235"/>
        <v>-9901.5474553811673</v>
      </c>
    </row>
    <row r="63" spans="1:30" s="1" customFormat="1" x14ac:dyDescent="0.25">
      <c r="A63" s="147">
        <v>44070</v>
      </c>
      <c r="B63" s="126"/>
      <c r="C63" s="151" t="s">
        <v>159</v>
      </c>
      <c r="D63" s="152">
        <v>400</v>
      </c>
      <c r="E63" s="137">
        <v>4.43</v>
      </c>
      <c r="F63" s="85">
        <f t="shared" si="216"/>
        <v>8600</v>
      </c>
      <c r="G63" s="86">
        <f t="shared" si="217"/>
        <v>5.3420858139534886</v>
      </c>
      <c r="H63" s="84">
        <f t="shared" si="218"/>
        <v>45941.938000000002</v>
      </c>
      <c r="I63" s="137">
        <f t="shared" si="198"/>
        <v>-7843.9380000000019</v>
      </c>
      <c r="J63" s="142">
        <f t="shared" si="219"/>
        <v>-0.17073589712301654</v>
      </c>
      <c r="K63" s="84">
        <f t="shared" si="220"/>
        <v>38098</v>
      </c>
      <c r="L63" s="84">
        <f t="shared" si="221"/>
        <v>-251.23999999999796</v>
      </c>
      <c r="M63" s="84">
        <f t="shared" si="222"/>
        <v>5.24</v>
      </c>
      <c r="N63" s="84">
        <f t="shared" si="223"/>
        <v>0</v>
      </c>
      <c r="O63" s="84"/>
      <c r="P63" s="86">
        <f t="shared" si="224"/>
        <v>-0.91208581395348887</v>
      </c>
      <c r="Q63" s="84">
        <f t="shared" si="225"/>
        <v>-1777.239999999998</v>
      </c>
      <c r="R63" s="154"/>
      <c r="S63" s="154">
        <f t="shared" si="226"/>
        <v>3235.681999999988</v>
      </c>
      <c r="T63" s="154">
        <f t="shared" si="227"/>
        <v>730.40225733634043</v>
      </c>
      <c r="U63" s="154">
        <f t="shared" si="228"/>
        <v>9330.40225733634</v>
      </c>
      <c r="V63" s="84">
        <f t="shared" si="229"/>
        <v>49177.619999999988</v>
      </c>
      <c r="W63" s="86">
        <f t="shared" si="230"/>
        <v>5.2706859408266613</v>
      </c>
      <c r="X63" s="86">
        <f t="shared" si="231"/>
        <v>-7.1399873126827273E-2</v>
      </c>
      <c r="Y63" s="86">
        <f t="shared" si="232"/>
        <v>-0.84068594082666159</v>
      </c>
      <c r="Z63" s="155">
        <f t="shared" si="233"/>
        <v>0.92171803131402652</v>
      </c>
      <c r="AA63" s="7">
        <f>SUM(L$2:L64)-SUM(AB$2:AB64)</f>
        <v>-8537.1779999999999</v>
      </c>
      <c r="AB63" s="156"/>
      <c r="AC63" s="13">
        <f t="shared" si="234"/>
        <v>-1769.7553117381497</v>
      </c>
      <c r="AD63" s="13">
        <f t="shared" si="235"/>
        <v>-10369.75531173815</v>
      </c>
    </row>
    <row r="64" spans="1:30" s="1" customFormat="1" hidden="1" x14ac:dyDescent="0.25">
      <c r="A64" s="147">
        <v>44076</v>
      </c>
      <c r="B64" s="148"/>
      <c r="C64" s="151" t="s">
        <v>159</v>
      </c>
      <c r="D64" s="152">
        <v>400</v>
      </c>
      <c r="E64" s="137">
        <v>4.3499999999999996</v>
      </c>
      <c r="F64" s="85">
        <f t="shared" ref="F64:F67" si="236">IF(C64="买",F63+D64,F63-D64)</f>
        <v>9000</v>
      </c>
      <c r="G64" s="86">
        <f t="shared" ref="G64:G67" si="237">H64/F64</f>
        <v>5.298575333333333</v>
      </c>
      <c r="H64" s="84">
        <f t="shared" ref="H64:H67" si="238">IF(C64="买",H63+D64*E64+M64+N64,H63+-1*D64*E64+M64+N64)+O64</f>
        <v>47687.178</v>
      </c>
      <c r="I64" s="137">
        <f t="shared" ref="I64:I67" si="239">-H64+K64</f>
        <v>-8537.1779999999999</v>
      </c>
      <c r="J64" s="142">
        <f t="shared" ref="J64:J67" si="240">(E64-G64)/G64</f>
        <v>-0.1790246007008425</v>
      </c>
      <c r="K64" s="84">
        <f t="shared" ref="K64:K67" si="241">F64*E64</f>
        <v>39150</v>
      </c>
      <c r="L64" s="84">
        <f t="shared" ref="L64:L67" si="242">I64-I63</f>
        <v>-693.23999999999796</v>
      </c>
      <c r="M64" s="84">
        <f t="shared" ref="M64:M67" si="243">IF(D64*E64*5/10000&gt;5,D64*E64*5/10000,5)+(D64/1000)*0.6</f>
        <v>5.24</v>
      </c>
      <c r="N64" s="84">
        <f t="shared" ref="N64:N67" si="244">IF(C64="卖",D64*E64/1000,0)</f>
        <v>0</v>
      </c>
      <c r="O64" s="84"/>
      <c r="P64" s="86">
        <f t="shared" ref="P64:P67" si="245">E64-G64</f>
        <v>-0.94857533333333333</v>
      </c>
      <c r="Q64" s="84">
        <f t="shared" ref="Q64:Q67" si="246">(H64-H63)*-1</f>
        <v>-1745.239999999998</v>
      </c>
      <c r="R64" s="154"/>
      <c r="S64" s="154">
        <f t="shared" ref="S64:S67" si="247">S63+Q64+O64+R64</f>
        <v>1490.44199999999</v>
      </c>
      <c r="T64" s="154">
        <f t="shared" ref="T64:T67" si="248">S64/E64</f>
        <v>342.63034482758394</v>
      </c>
      <c r="U64" s="154">
        <f t="shared" ref="U64:U67" si="249">F64+T64</f>
        <v>9342.630344827583</v>
      </c>
      <c r="V64" s="84">
        <f t="shared" ref="V64:V67" si="250">H64+S64</f>
        <v>49177.619999999988</v>
      </c>
      <c r="W64" s="86">
        <f t="shared" ref="W64:W67" si="251">V64/U64</f>
        <v>5.2637874115640777</v>
      </c>
      <c r="X64" s="86">
        <f t="shared" ref="X64:X67" si="252">W64-G64</f>
        <v>-3.478792176925527E-2</v>
      </c>
      <c r="Y64" s="86">
        <f t="shared" ref="Y64:Y67" si="253">(X64-P64)*-1</f>
        <v>-0.91378741156407806</v>
      </c>
      <c r="Z64" s="155">
        <f t="shared" ref="Z64:Z67" si="254">F64/U64</f>
        <v>0.96332613705333259</v>
      </c>
      <c r="AA64" s="7">
        <f>SUM(L$2:L65)-SUM(AB$2:AB65)</f>
        <v>-9532.4179999999978</v>
      </c>
      <c r="AB64" s="156"/>
      <c r="AC64" s="13">
        <f t="shared" ref="AC64:AC67" si="255">I64/E64*(1-0.0005)</f>
        <v>-1961.5883703448278</v>
      </c>
      <c r="AD64" s="13">
        <f t="shared" ref="AD64:AD67" si="256">AC64-F64</f>
        <v>-10961.588370344827</v>
      </c>
    </row>
    <row r="65" spans="1:30" s="1" customFormat="1" hidden="1" x14ac:dyDescent="0.25">
      <c r="A65" s="147">
        <v>44085</v>
      </c>
      <c r="B65" s="148"/>
      <c r="C65" s="151" t="s">
        <v>159</v>
      </c>
      <c r="D65" s="152">
        <v>400</v>
      </c>
      <c r="E65" s="137">
        <v>4.24</v>
      </c>
      <c r="F65" s="85">
        <f t="shared" si="236"/>
        <v>9400</v>
      </c>
      <c r="G65" s="86">
        <f t="shared" si="237"/>
        <v>5.2540870212765958</v>
      </c>
      <c r="H65" s="84">
        <f t="shared" si="238"/>
        <v>49388.417999999998</v>
      </c>
      <c r="I65" s="137">
        <f t="shared" si="239"/>
        <v>-9532.4179999999978</v>
      </c>
      <c r="J65" s="142">
        <f t="shared" si="240"/>
        <v>-0.19300917879167537</v>
      </c>
      <c r="K65" s="84">
        <f t="shared" si="241"/>
        <v>39856</v>
      </c>
      <c r="L65" s="84">
        <f t="shared" si="242"/>
        <v>-995.23999999999796</v>
      </c>
      <c r="M65" s="84">
        <f t="shared" si="243"/>
        <v>5.24</v>
      </c>
      <c r="N65" s="84">
        <f t="shared" si="244"/>
        <v>0</v>
      </c>
      <c r="O65" s="84"/>
      <c r="P65" s="86">
        <f t="shared" si="245"/>
        <v>-1.0140870212765956</v>
      </c>
      <c r="Q65" s="84">
        <f t="shared" si="246"/>
        <v>-1701.239999999998</v>
      </c>
      <c r="R65" s="154"/>
      <c r="S65" s="154">
        <f t="shared" si="247"/>
        <v>-210.79800000000796</v>
      </c>
      <c r="T65" s="154">
        <f t="shared" si="248"/>
        <v>-49.716509433964141</v>
      </c>
      <c r="U65" s="154">
        <f t="shared" si="249"/>
        <v>9350.2834905660366</v>
      </c>
      <c r="V65" s="84">
        <f t="shared" si="250"/>
        <v>49177.619999999988</v>
      </c>
      <c r="W65" s="86">
        <f t="shared" si="251"/>
        <v>5.2594790360760424</v>
      </c>
      <c r="X65" s="86">
        <f t="shared" si="252"/>
        <v>5.3920147994466205E-3</v>
      </c>
      <c r="Y65" s="86">
        <f t="shared" si="253"/>
        <v>-1.0194790360760422</v>
      </c>
      <c r="Z65" s="155">
        <f t="shared" si="254"/>
        <v>1.0053171125222164</v>
      </c>
      <c r="AA65" s="7">
        <f>SUM(L$2:L66)-SUM(AB$2:AB66)</f>
        <v>-9373.9680000000008</v>
      </c>
      <c r="AB65" s="156"/>
      <c r="AC65" s="13">
        <f t="shared" si="255"/>
        <v>-2247.0876865566033</v>
      </c>
      <c r="AD65" s="13">
        <f t="shared" si="256"/>
        <v>-11647.087686556602</v>
      </c>
    </row>
    <row r="66" spans="1:30" s="1" customFormat="1" hidden="1" x14ac:dyDescent="0.25">
      <c r="A66" s="147">
        <v>44096</v>
      </c>
      <c r="B66" s="148"/>
      <c r="C66" s="151" t="s">
        <v>46</v>
      </c>
      <c r="D66" s="152">
        <v>500</v>
      </c>
      <c r="E66" s="137">
        <v>4.17</v>
      </c>
      <c r="F66" s="85">
        <f t="shared" si="236"/>
        <v>9900</v>
      </c>
      <c r="G66" s="86">
        <f t="shared" si="237"/>
        <v>5.1168654545454544</v>
      </c>
      <c r="H66" s="84">
        <f t="shared" si="238"/>
        <v>50656.968000000001</v>
      </c>
      <c r="I66" s="137">
        <f t="shared" si="239"/>
        <v>-9373.9680000000008</v>
      </c>
      <c r="J66" s="142">
        <f t="shared" si="240"/>
        <v>-0.18504794838885738</v>
      </c>
      <c r="K66" s="84">
        <f t="shared" si="241"/>
        <v>41283</v>
      </c>
      <c r="L66" s="84">
        <f t="shared" si="242"/>
        <v>158.44999999999709</v>
      </c>
      <c r="M66" s="84">
        <f t="shared" si="243"/>
        <v>5.3</v>
      </c>
      <c r="N66" s="84">
        <f t="shared" si="244"/>
        <v>0</v>
      </c>
      <c r="O66" s="84">
        <v>-821.75</v>
      </c>
      <c r="P66" s="86">
        <f t="shared" si="245"/>
        <v>-0.94686545454545445</v>
      </c>
      <c r="Q66" s="84">
        <f t="shared" si="246"/>
        <v>-1268.5500000000029</v>
      </c>
      <c r="R66" s="154"/>
      <c r="S66" s="154">
        <f t="shared" si="247"/>
        <v>-2301.0980000000109</v>
      </c>
      <c r="T66" s="154">
        <f t="shared" si="248"/>
        <v>-551.82206235012256</v>
      </c>
      <c r="U66" s="154">
        <f t="shared" si="249"/>
        <v>9348.177937649878</v>
      </c>
      <c r="V66" s="84">
        <f t="shared" si="250"/>
        <v>48355.869999999988</v>
      </c>
      <c r="W66" s="86">
        <f t="shared" si="251"/>
        <v>5.1727588330605316</v>
      </c>
      <c r="X66" s="86">
        <f t="shared" si="252"/>
        <v>5.5893378515077252E-2</v>
      </c>
      <c r="Y66" s="86">
        <f t="shared" si="253"/>
        <v>-1.0027588330605317</v>
      </c>
      <c r="Z66" s="155">
        <f t="shared" si="254"/>
        <v>1.0590299057239436</v>
      </c>
      <c r="AA66" s="7">
        <f>SUM(L$2:L67)-SUM(AB$2:AB67)</f>
        <v>-10072.208000000006</v>
      </c>
      <c r="AB66" s="156"/>
      <c r="AC66" s="13">
        <f t="shared" si="255"/>
        <v>-2246.8299798561156</v>
      </c>
      <c r="AD66" s="13">
        <f t="shared" si="256"/>
        <v>-12146.829979856117</v>
      </c>
    </row>
    <row r="67" spans="1:30" s="1" customFormat="1" x14ac:dyDescent="0.25">
      <c r="A67" s="147">
        <v>44102</v>
      </c>
      <c r="B67" s="126"/>
      <c r="C67" s="151" t="s">
        <v>327</v>
      </c>
      <c r="D67" s="152">
        <v>400</v>
      </c>
      <c r="E67" s="137">
        <v>4.0999999999999996</v>
      </c>
      <c r="F67" s="85">
        <f t="shared" si="236"/>
        <v>10300</v>
      </c>
      <c r="G67" s="86">
        <f t="shared" si="237"/>
        <v>5.0778842718446597</v>
      </c>
      <c r="H67" s="84">
        <f t="shared" si="238"/>
        <v>52302.207999999999</v>
      </c>
      <c r="I67" s="137">
        <f t="shared" si="239"/>
        <v>-10072.208000000006</v>
      </c>
      <c r="J67" s="142">
        <f t="shared" si="240"/>
        <v>-0.19257710879051224</v>
      </c>
      <c r="K67" s="84">
        <f t="shared" si="241"/>
        <v>42229.999999999993</v>
      </c>
      <c r="L67" s="84">
        <f t="shared" si="242"/>
        <v>-698.24000000000524</v>
      </c>
      <c r="M67" s="84">
        <f t="shared" si="243"/>
        <v>5.24</v>
      </c>
      <c r="N67" s="84">
        <f t="shared" si="244"/>
        <v>0</v>
      </c>
      <c r="O67" s="84"/>
      <c r="P67" s="86">
        <f t="shared" si="245"/>
        <v>-0.97788427184466009</v>
      </c>
      <c r="Q67" s="84">
        <f t="shared" si="246"/>
        <v>-1645.239999999998</v>
      </c>
      <c r="R67" s="154"/>
      <c r="S67" s="154">
        <f t="shared" si="247"/>
        <v>-3946.3380000000088</v>
      </c>
      <c r="T67" s="154">
        <f t="shared" si="248"/>
        <v>-962.5214634146364</v>
      </c>
      <c r="U67" s="154">
        <f t="shared" si="249"/>
        <v>9337.4785365853641</v>
      </c>
      <c r="V67" s="84">
        <f t="shared" si="250"/>
        <v>48355.869999999988</v>
      </c>
      <c r="W67" s="86">
        <f t="shared" si="251"/>
        <v>5.1786860671792576</v>
      </c>
      <c r="X67" s="86">
        <f t="shared" si="252"/>
        <v>0.10080179533459788</v>
      </c>
      <c r="Y67" s="86">
        <f t="shared" si="253"/>
        <v>-1.078686067179258</v>
      </c>
      <c r="Z67" s="155">
        <f t="shared" si="254"/>
        <v>1.1030815181682465</v>
      </c>
      <c r="AA67" s="7">
        <f>SUM(L$2:L68)-SUM(AB$2:AB68)</f>
        <v>-8431.1519999999946</v>
      </c>
      <c r="AB67" s="156"/>
      <c r="AC67" s="13">
        <f t="shared" si="255"/>
        <v>-2455.4077795121971</v>
      </c>
      <c r="AD67" s="13">
        <f t="shared" si="256"/>
        <v>-12755.407779512198</v>
      </c>
    </row>
    <row r="68" spans="1:30" hidden="1" x14ac:dyDescent="0.25">
      <c r="A68" s="147">
        <v>44145</v>
      </c>
      <c r="B68" s="148" t="s">
        <v>329</v>
      </c>
      <c r="C68" s="151" t="s">
        <v>161</v>
      </c>
      <c r="D68" s="152">
        <v>400</v>
      </c>
      <c r="E68" s="137">
        <v>4.26</v>
      </c>
      <c r="F68" s="85">
        <f t="shared" ref="F68" si="257">IF(C68="买",F67+D68,F67-D68)</f>
        <v>9900</v>
      </c>
      <c r="G68" s="86">
        <f t="shared" ref="G68:G71" si="258">H68/F68</f>
        <v>5.1116315151515144</v>
      </c>
      <c r="H68" s="84">
        <f t="shared" ref="H68:H73" si="259">IF(C68="买",H67+D68*E68+M68+N68,H67+-1*D68*E68+M68+N68)+O68</f>
        <v>50605.151999999995</v>
      </c>
      <c r="I68" s="137">
        <f t="shared" ref="I68:I73" si="260">-H68+K68</f>
        <v>-8431.1519999999946</v>
      </c>
      <c r="J68" s="142">
        <f t="shared" ref="J68:J73" si="261">(E68-G68)/G68</f>
        <v>-0.16660659373180017</v>
      </c>
      <c r="K68" s="84">
        <f t="shared" ref="K68:K73" si="262">F68*E68</f>
        <v>42174</v>
      </c>
      <c r="L68" s="84">
        <f t="shared" ref="L68:L73" si="263">I68-I67</f>
        <v>1641.0560000000114</v>
      </c>
      <c r="M68" s="84">
        <f t="shared" ref="M68:M73" si="264">IF(D68*E68*5/10000&gt;5,D68*E68*5/10000,5)+(D68/1000)*0.6</f>
        <v>5.24</v>
      </c>
      <c r="N68" s="84">
        <f t="shared" ref="N68:N73" si="265">IF(C68="卖",D68*E68/1000,0)</f>
        <v>1.704</v>
      </c>
      <c r="O68" s="84"/>
      <c r="P68" s="86">
        <f t="shared" ref="P68:P73" si="266">E68-G68</f>
        <v>-0.85163151515151458</v>
      </c>
      <c r="Q68" s="84">
        <f t="shared" ref="Q68:Q73" si="267">(H68-H67)*-1</f>
        <v>1697.0560000000041</v>
      </c>
      <c r="R68" s="154"/>
      <c r="S68" s="154">
        <f t="shared" ref="S68:S73" si="268">S67+Q68+O68+R68</f>
        <v>-2249.2820000000047</v>
      </c>
      <c r="T68" s="154">
        <f t="shared" ref="T68:T73" si="269">S68/E68</f>
        <v>-528.00046948356919</v>
      </c>
      <c r="U68" s="154">
        <f t="shared" ref="U68:U73" si="270">F68+T68</f>
        <v>9371.9995305164302</v>
      </c>
      <c r="V68" s="84">
        <f t="shared" ref="V68:V73" si="271">H68+S68</f>
        <v>48355.869999999988</v>
      </c>
      <c r="W68" s="86">
        <f t="shared" ref="W68:W73" si="272">V68/U68</f>
        <v>5.1596108005070942</v>
      </c>
      <c r="X68" s="86">
        <f t="shared" ref="X68:X73" si="273">W68-G68</f>
        <v>4.7979285355579826E-2</v>
      </c>
      <c r="Y68" s="86">
        <f t="shared" ref="Y68:Y73" si="274">(X68-P68)*-1</f>
        <v>-0.89961080050709441</v>
      </c>
      <c r="Z68" s="155">
        <f t="shared" ref="Z68:Z73" si="275">F68/U68</f>
        <v>1.0563380810855072</v>
      </c>
      <c r="AA68" s="7">
        <f>SUM(L$2:L69)-SUM(AB$2:AB69)</f>
        <v>-8042.1119999999937</v>
      </c>
      <c r="AB68" s="156"/>
      <c r="AC68" s="13">
        <f t="shared" ref="AC68:AC73" si="276">I68/E68*(1-0.0005)</f>
        <v>-1978.1540901408439</v>
      </c>
      <c r="AD68" s="13">
        <f t="shared" ref="AD68:AD73" si="277">AC68-F68</f>
        <v>-11878.154090140844</v>
      </c>
    </row>
    <row r="69" spans="1:30" hidden="1" x14ac:dyDescent="0.25">
      <c r="A69" s="147">
        <v>44152</v>
      </c>
      <c r="B69" s="148" t="s">
        <v>330</v>
      </c>
      <c r="C69" s="151" t="s">
        <v>200</v>
      </c>
      <c r="D69" s="152">
        <v>400</v>
      </c>
      <c r="E69" s="137">
        <v>4.3</v>
      </c>
      <c r="F69" s="85">
        <f t="shared" ref="F69:F71" si="278">IF(C69="买",F68+D69,F68-D69)</f>
        <v>9500</v>
      </c>
      <c r="G69" s="86">
        <f t="shared" si="258"/>
        <v>5.1465381052631569</v>
      </c>
      <c r="H69" s="84">
        <f t="shared" si="259"/>
        <v>48892.111999999994</v>
      </c>
      <c r="I69" s="137">
        <f t="shared" si="260"/>
        <v>-8042.1119999999937</v>
      </c>
      <c r="J69" s="142">
        <f t="shared" si="261"/>
        <v>-0.16448690128174445</v>
      </c>
      <c r="K69" s="84">
        <f t="shared" si="262"/>
        <v>40850</v>
      </c>
      <c r="L69" s="84">
        <f t="shared" si="263"/>
        <v>389.04000000000087</v>
      </c>
      <c r="M69" s="84">
        <f t="shared" si="264"/>
        <v>5.24</v>
      </c>
      <c r="N69" s="84">
        <f t="shared" si="265"/>
        <v>1.72</v>
      </c>
      <c r="O69" s="84"/>
      <c r="P69" s="86">
        <f t="shared" si="266"/>
        <v>-0.84653810526315709</v>
      </c>
      <c r="Q69" s="84">
        <f t="shared" si="267"/>
        <v>1713.0400000000009</v>
      </c>
      <c r="R69" s="154"/>
      <c r="S69" s="154">
        <f t="shared" si="268"/>
        <v>-536.24200000000383</v>
      </c>
      <c r="T69" s="154">
        <f t="shared" si="269"/>
        <v>-124.70744186046601</v>
      </c>
      <c r="U69" s="154">
        <f t="shared" si="270"/>
        <v>9375.2925581395339</v>
      </c>
      <c r="V69" s="84">
        <f t="shared" si="271"/>
        <v>48355.869999999988</v>
      </c>
      <c r="W69" s="86">
        <f t="shared" si="272"/>
        <v>5.1577985113667637</v>
      </c>
      <c r="X69" s="86">
        <f t="shared" si="273"/>
        <v>1.126040610360679E-2</v>
      </c>
      <c r="Y69" s="86">
        <f t="shared" si="274"/>
        <v>-0.85779851136676388</v>
      </c>
      <c r="Z69" s="155">
        <f t="shared" si="275"/>
        <v>1.0133017120358763</v>
      </c>
      <c r="AA69" s="7">
        <f>SUM(L$2:L70)-SUM(AB$2:AB70)</f>
        <v>-7004.1159999999945</v>
      </c>
      <c r="AB69" s="156"/>
      <c r="AC69" s="13">
        <f t="shared" si="276"/>
        <v>-1869.3234753488359</v>
      </c>
      <c r="AD69" s="13">
        <f t="shared" si="277"/>
        <v>-11369.323475348836</v>
      </c>
    </row>
    <row r="70" spans="1:30" hidden="1" x14ac:dyDescent="0.25">
      <c r="A70" s="147">
        <v>44160</v>
      </c>
      <c r="B70" s="148" t="s">
        <v>334</v>
      </c>
      <c r="C70" s="151" t="s">
        <v>161</v>
      </c>
      <c r="D70" s="152">
        <v>400</v>
      </c>
      <c r="E70" s="137">
        <v>4.41</v>
      </c>
      <c r="F70" s="85">
        <f t="shared" si="278"/>
        <v>9100</v>
      </c>
      <c r="G70" s="86">
        <f t="shared" si="258"/>
        <v>5.1796830769230766</v>
      </c>
      <c r="H70" s="84">
        <f t="shared" si="259"/>
        <v>47135.115999999995</v>
      </c>
      <c r="I70" s="137">
        <f t="shared" si="260"/>
        <v>-7004.1159999999945</v>
      </c>
      <c r="J70" s="142">
        <f t="shared" si="261"/>
        <v>-0.14859655803117142</v>
      </c>
      <c r="K70" s="84">
        <f t="shared" si="262"/>
        <v>40131</v>
      </c>
      <c r="L70" s="84">
        <f t="shared" si="263"/>
        <v>1037.9959999999992</v>
      </c>
      <c r="M70" s="84">
        <f t="shared" si="264"/>
        <v>5.24</v>
      </c>
      <c r="N70" s="84">
        <f t="shared" si="265"/>
        <v>1.764</v>
      </c>
      <c r="O70" s="84"/>
      <c r="P70" s="86">
        <f t="shared" si="266"/>
        <v>-0.76968307692307647</v>
      </c>
      <c r="Q70" s="84">
        <f t="shared" si="267"/>
        <v>1756.9959999999992</v>
      </c>
      <c r="R70" s="154"/>
      <c r="S70" s="154">
        <f t="shared" si="268"/>
        <v>1220.7539999999954</v>
      </c>
      <c r="T70" s="154">
        <f t="shared" si="269"/>
        <v>276.81496598639347</v>
      </c>
      <c r="U70" s="154">
        <f t="shared" si="270"/>
        <v>9376.8149659863939</v>
      </c>
      <c r="V70" s="84">
        <f t="shared" si="271"/>
        <v>48355.869999999988</v>
      </c>
      <c r="W70" s="86">
        <f t="shared" si="272"/>
        <v>5.1569610977082121</v>
      </c>
      <c r="X70" s="86">
        <f t="shared" si="273"/>
        <v>-2.2721979214864518E-2</v>
      </c>
      <c r="Y70" s="86">
        <f t="shared" si="274"/>
        <v>-0.74696109770821195</v>
      </c>
      <c r="Z70" s="155">
        <f t="shared" si="275"/>
        <v>0.97047878549480637</v>
      </c>
      <c r="AA70" s="7">
        <f>SUM(L$2:L71)-SUM(AB$2:AB71)</f>
        <v>-8101.3559999999925</v>
      </c>
      <c r="AB70" s="156"/>
      <c r="AC70" s="13">
        <f t="shared" si="276"/>
        <v>-1587.4408031746018</v>
      </c>
      <c r="AD70" s="13">
        <f t="shared" si="277"/>
        <v>-10687.440803174602</v>
      </c>
    </row>
    <row r="71" spans="1:30" hidden="1" x14ac:dyDescent="0.25">
      <c r="A71" s="147">
        <v>44166</v>
      </c>
      <c r="B71" s="148"/>
      <c r="C71" s="151" t="s">
        <v>46</v>
      </c>
      <c r="D71" s="152">
        <v>400</v>
      </c>
      <c r="E71" s="137">
        <v>4.29</v>
      </c>
      <c r="F71" s="85">
        <f t="shared" si="278"/>
        <v>9500</v>
      </c>
      <c r="G71" s="86">
        <f t="shared" si="258"/>
        <v>5.142774315789473</v>
      </c>
      <c r="H71" s="84">
        <f t="shared" si="259"/>
        <v>48856.355999999992</v>
      </c>
      <c r="I71" s="137">
        <f t="shared" si="260"/>
        <v>-8101.3559999999925</v>
      </c>
      <c r="J71" s="142">
        <f t="shared" si="261"/>
        <v>-0.16581989864327978</v>
      </c>
      <c r="K71" s="84">
        <f t="shared" si="262"/>
        <v>40755</v>
      </c>
      <c r="L71" s="84">
        <f t="shared" si="263"/>
        <v>-1097.239999999998</v>
      </c>
      <c r="M71" s="84">
        <f t="shared" si="264"/>
        <v>5.24</v>
      </c>
      <c r="N71" s="84">
        <f t="shared" si="265"/>
        <v>0</v>
      </c>
      <c r="O71" s="84"/>
      <c r="P71" s="86">
        <f t="shared" si="266"/>
        <v>-0.85277431578947294</v>
      </c>
      <c r="Q71" s="84">
        <f t="shared" si="267"/>
        <v>-1721.239999999998</v>
      </c>
      <c r="R71" s="154"/>
      <c r="S71" s="154">
        <f t="shared" si="268"/>
        <v>-500.4860000000026</v>
      </c>
      <c r="T71" s="154">
        <f t="shared" si="269"/>
        <v>-116.66340326340386</v>
      </c>
      <c r="U71" s="154">
        <f t="shared" si="270"/>
        <v>9383.3365967365953</v>
      </c>
      <c r="V71" s="84">
        <f t="shared" si="271"/>
        <v>48355.869999999988</v>
      </c>
      <c r="W71" s="86">
        <f t="shared" si="272"/>
        <v>5.1533768933342481</v>
      </c>
      <c r="X71" s="86">
        <f t="shared" si="273"/>
        <v>1.0602577544775116E-2</v>
      </c>
      <c r="Y71" s="86">
        <f t="shared" si="274"/>
        <v>-0.86337689333424805</v>
      </c>
      <c r="Z71" s="155">
        <f t="shared" si="275"/>
        <v>1.0124330404287083</v>
      </c>
      <c r="AA71" s="7">
        <f>SUM(L$2:L72)-SUM(AB$2:AB72)</f>
        <v>-9436.5959999999905</v>
      </c>
      <c r="AB71" s="156"/>
      <c r="AC71" s="13">
        <f t="shared" si="276"/>
        <v>-1887.4837580419564</v>
      </c>
      <c r="AD71" s="13">
        <f t="shared" si="277"/>
        <v>-11387.483758041957</v>
      </c>
    </row>
    <row r="72" spans="1:30" x14ac:dyDescent="0.25">
      <c r="A72" s="147">
        <v>44181</v>
      </c>
      <c r="B72" s="126"/>
      <c r="C72" s="151" t="s">
        <v>338</v>
      </c>
      <c r="D72" s="152">
        <v>400</v>
      </c>
      <c r="E72" s="137">
        <v>4.1500000000000004</v>
      </c>
      <c r="F72" s="85">
        <f t="shared" ref="F72:F77" si="279">IF(C72="买",F71+D72,F71-D72)</f>
        <v>9900</v>
      </c>
      <c r="G72" s="86">
        <f t="shared" ref="G72:G77" si="280">H72/F72</f>
        <v>5.1031915151515141</v>
      </c>
      <c r="H72" s="84">
        <f t="shared" si="259"/>
        <v>50521.59599999999</v>
      </c>
      <c r="I72" s="137">
        <f t="shared" si="260"/>
        <v>-9436.5959999999905</v>
      </c>
      <c r="J72" s="142">
        <f t="shared" si="261"/>
        <v>-0.18678341040532426</v>
      </c>
      <c r="K72" s="84">
        <f t="shared" si="262"/>
        <v>41085</v>
      </c>
      <c r="L72" s="84">
        <f t="shared" si="263"/>
        <v>-1335.239999999998</v>
      </c>
      <c r="M72" s="84">
        <f t="shared" si="264"/>
        <v>5.24</v>
      </c>
      <c r="N72" s="84">
        <f t="shared" si="265"/>
        <v>0</v>
      </c>
      <c r="O72" s="84"/>
      <c r="P72" s="86">
        <f t="shared" si="266"/>
        <v>-0.95319151515151379</v>
      </c>
      <c r="Q72" s="84">
        <f t="shared" si="267"/>
        <v>-1665.239999999998</v>
      </c>
      <c r="R72" s="154"/>
      <c r="S72" s="154">
        <f t="shared" si="268"/>
        <v>-2165.7260000000006</v>
      </c>
      <c r="T72" s="154">
        <f t="shared" si="269"/>
        <v>-521.86168674698808</v>
      </c>
      <c r="U72" s="154">
        <f t="shared" si="270"/>
        <v>9378.1383132530118</v>
      </c>
      <c r="V72" s="84">
        <f t="shared" si="271"/>
        <v>48355.869999999988</v>
      </c>
      <c r="W72" s="86">
        <f t="shared" si="272"/>
        <v>5.1562333999344379</v>
      </c>
      <c r="X72" s="86">
        <f t="shared" si="273"/>
        <v>5.3041884782923709E-2</v>
      </c>
      <c r="Y72" s="86">
        <f t="shared" si="274"/>
        <v>-1.0062333999344375</v>
      </c>
      <c r="Z72" s="155">
        <f t="shared" si="275"/>
        <v>1.0556466186907802</v>
      </c>
      <c r="AA72" s="7">
        <f>SUM(L$2:L73)-SUM(AB$2:AB73)</f>
        <v>-8354.5399999999863</v>
      </c>
      <c r="AB72" s="156"/>
      <c r="AC72" s="13">
        <f t="shared" si="276"/>
        <v>-2272.7416149397563</v>
      </c>
      <c r="AD72" s="13">
        <f t="shared" si="277"/>
        <v>-12172.741614939756</v>
      </c>
    </row>
    <row r="73" spans="1:30" hidden="1" x14ac:dyDescent="0.25">
      <c r="A73" s="147">
        <v>44183</v>
      </c>
      <c r="B73" s="148" t="s">
        <v>339</v>
      </c>
      <c r="C73" s="151" t="s">
        <v>161</v>
      </c>
      <c r="D73" s="152">
        <v>400</v>
      </c>
      <c r="E73" s="137">
        <v>4.26</v>
      </c>
      <c r="F73" s="85">
        <f t="shared" si="279"/>
        <v>9500</v>
      </c>
      <c r="G73" s="86">
        <f t="shared" si="280"/>
        <v>5.1394252631578929</v>
      </c>
      <c r="H73" s="84">
        <f t="shared" si="259"/>
        <v>48824.539999999986</v>
      </c>
      <c r="I73" s="137">
        <f t="shared" si="260"/>
        <v>-8354.5399999999863</v>
      </c>
      <c r="J73" s="142">
        <f t="shared" si="261"/>
        <v>-0.17111354249318045</v>
      </c>
      <c r="K73" s="84">
        <f t="shared" si="262"/>
        <v>40470</v>
      </c>
      <c r="L73" s="84">
        <f t="shared" si="263"/>
        <v>1082.0560000000041</v>
      </c>
      <c r="M73" s="84">
        <f t="shared" si="264"/>
        <v>5.24</v>
      </c>
      <c r="N73" s="84">
        <f t="shared" si="265"/>
        <v>1.704</v>
      </c>
      <c r="O73" s="84"/>
      <c r="P73" s="86">
        <f t="shared" si="266"/>
        <v>-0.87942526315789316</v>
      </c>
      <c r="Q73" s="84">
        <f t="shared" si="267"/>
        <v>1697.0560000000041</v>
      </c>
      <c r="R73" s="154"/>
      <c r="S73" s="154">
        <f t="shared" si="268"/>
        <v>-468.66999999999643</v>
      </c>
      <c r="T73" s="154">
        <f t="shared" si="269"/>
        <v>-110.0164319248818</v>
      </c>
      <c r="U73" s="154">
        <f t="shared" si="270"/>
        <v>9389.9835680751185</v>
      </c>
      <c r="V73" s="84">
        <f t="shared" si="271"/>
        <v>48355.869999999988</v>
      </c>
      <c r="W73" s="86">
        <f t="shared" si="272"/>
        <v>5.1497289265131911</v>
      </c>
      <c r="X73" s="86">
        <f t="shared" si="273"/>
        <v>1.0303663355298198E-2</v>
      </c>
      <c r="Y73" s="86">
        <f t="shared" si="274"/>
        <v>-0.88972892651319135</v>
      </c>
      <c r="Z73" s="155">
        <f t="shared" si="275"/>
        <v>1.0117163604310155</v>
      </c>
      <c r="AA73" s="7">
        <f>SUM(L$2:L74)-SUM(AB$2:AB74)</f>
        <v>-9594.7799999999843</v>
      </c>
      <c r="AB73" s="156"/>
      <c r="AC73" s="13">
        <f t="shared" si="276"/>
        <v>-1960.1790446009359</v>
      </c>
      <c r="AD73" s="13">
        <f t="shared" si="277"/>
        <v>-11460.179044600936</v>
      </c>
    </row>
    <row r="74" spans="1:30" x14ac:dyDescent="0.25">
      <c r="A74" s="147">
        <v>44195</v>
      </c>
      <c r="B74" s="126"/>
      <c r="C74" s="151" t="s">
        <v>347</v>
      </c>
      <c r="D74" s="152">
        <v>400</v>
      </c>
      <c r="E74" s="137">
        <v>4.13</v>
      </c>
      <c r="F74" s="85">
        <f t="shared" si="279"/>
        <v>9900</v>
      </c>
      <c r="G74" s="86">
        <f t="shared" si="280"/>
        <v>5.0991696969696951</v>
      </c>
      <c r="H74" s="137">
        <f t="shared" ref="H74:H77" si="281">IF(C74="买",H73+D74*E74+M74+N74,H73+-1*D74*E74+M74+N74)+O74</f>
        <v>50481.779999999984</v>
      </c>
      <c r="I74" s="137">
        <f t="shared" ref="I74:I77" si="282">-H74+K74</f>
        <v>-9594.7799999999843</v>
      </c>
      <c r="J74" s="142">
        <f t="shared" ref="J74:J77" si="283">(E74-G74)/G74</f>
        <v>-0.19006421722847305</v>
      </c>
      <c r="K74" s="84">
        <f t="shared" ref="K74:K77" si="284">F74*E74</f>
        <v>40887</v>
      </c>
      <c r="L74" s="84">
        <f t="shared" ref="L74:L77" si="285">I74-I73</f>
        <v>-1240.239999999998</v>
      </c>
      <c r="M74" s="84">
        <f t="shared" ref="M74:M77" si="286">IF(D74*E74*5/10000&gt;5,D74*E74*5/10000,5)+(D74/1000)*0.6</f>
        <v>5.24</v>
      </c>
      <c r="N74" s="84">
        <f t="shared" ref="N74:N77" si="287">IF(C74="卖",D74*E74/1000,0)</f>
        <v>0</v>
      </c>
      <c r="O74" s="84"/>
      <c r="P74" s="86">
        <f t="shared" ref="P74:P77" si="288">E74-G74</f>
        <v>-0.96916969696969524</v>
      </c>
      <c r="Q74" s="84">
        <f t="shared" ref="Q74:Q77" si="289">(H74-H73)*-1</f>
        <v>-1657.239999999998</v>
      </c>
      <c r="R74" s="154"/>
      <c r="S74" s="154">
        <f t="shared" ref="S74:S77" si="290">S73+Q74+O74+R74</f>
        <v>-2125.9099999999944</v>
      </c>
      <c r="T74" s="154">
        <f t="shared" ref="T74:T77" si="291">S74/E74</f>
        <v>-514.74818401936909</v>
      </c>
      <c r="U74" s="154">
        <f t="shared" ref="U74:U77" si="292">F74+T74</f>
        <v>9385.2518159806314</v>
      </c>
      <c r="V74" s="84">
        <f t="shared" ref="V74:V77" si="293">H74+S74</f>
        <v>48355.869999999988</v>
      </c>
      <c r="W74" s="86">
        <f t="shared" ref="W74:W77" si="294">V74/U74</f>
        <v>5.1523252596869673</v>
      </c>
      <c r="X74" s="86">
        <f t="shared" ref="X74:X77" si="295">W74-G74</f>
        <v>5.3155562717272176E-2</v>
      </c>
      <c r="Y74" s="86">
        <f t="shared" ref="Y74:Y77" si="296">(X74-P74)*-1</f>
        <v>-1.0223252596869674</v>
      </c>
      <c r="Z74" s="155">
        <f t="shared" ref="Z74:Z77" si="297">F74/U74</f>
        <v>1.0548464968348412</v>
      </c>
      <c r="AA74" s="7">
        <f>SUM(L$2:L75)-SUM(AB$2:AB75)</f>
        <v>-9303.0199999999822</v>
      </c>
      <c r="AB74" s="156"/>
      <c r="AC74" s="13">
        <f t="shared" ref="AC74:AC77" si="298">I74/E74*(1-0.0005)</f>
        <v>-2322.029687651328</v>
      </c>
      <c r="AD74" s="13">
        <f t="shared" ref="AD74:AD77" si="299">AC74-F74</f>
        <v>-12222.029687651328</v>
      </c>
    </row>
    <row r="75" spans="1:30" x14ac:dyDescent="0.25">
      <c r="A75" s="147">
        <v>44200</v>
      </c>
      <c r="B75" s="126"/>
      <c r="C75" s="151" t="s">
        <v>159</v>
      </c>
      <c r="D75" s="152">
        <v>400</v>
      </c>
      <c r="E75" s="137">
        <v>4.16</v>
      </c>
      <c r="F75" s="85">
        <f t="shared" si="279"/>
        <v>10300</v>
      </c>
      <c r="G75" s="86">
        <f t="shared" si="280"/>
        <v>5.0632058252427168</v>
      </c>
      <c r="H75" s="137">
        <f t="shared" si="281"/>
        <v>52151.019999999982</v>
      </c>
      <c r="I75" s="137">
        <f t="shared" si="282"/>
        <v>-9303.0199999999822</v>
      </c>
      <c r="J75" s="142">
        <f t="shared" si="283"/>
        <v>-0.17838615620557344</v>
      </c>
      <c r="K75" s="84">
        <f t="shared" si="284"/>
        <v>42848</v>
      </c>
      <c r="L75" s="84">
        <f t="shared" si="285"/>
        <v>291.76000000000204</v>
      </c>
      <c r="M75" s="84">
        <f t="shared" si="286"/>
        <v>5.24</v>
      </c>
      <c r="N75" s="84">
        <f t="shared" si="287"/>
        <v>0</v>
      </c>
      <c r="O75" s="84"/>
      <c r="P75" s="86">
        <f t="shared" si="288"/>
        <v>-0.90320582524271664</v>
      </c>
      <c r="Q75" s="84">
        <f t="shared" si="289"/>
        <v>-1669.239999999998</v>
      </c>
      <c r="R75" s="154"/>
      <c r="S75" s="154">
        <f t="shared" si="290"/>
        <v>-3795.1499999999924</v>
      </c>
      <c r="T75" s="154">
        <f t="shared" si="291"/>
        <v>-912.29567307692116</v>
      </c>
      <c r="U75" s="154">
        <f t="shared" si="292"/>
        <v>9387.704326923078</v>
      </c>
      <c r="V75" s="84">
        <f t="shared" si="293"/>
        <v>48355.869999999988</v>
      </c>
      <c r="W75" s="86">
        <f t="shared" si="294"/>
        <v>5.1509792294288363</v>
      </c>
      <c r="X75" s="86">
        <f t="shared" si="295"/>
        <v>8.7773404186119564E-2</v>
      </c>
      <c r="Y75" s="86">
        <f t="shared" si="296"/>
        <v>-0.99097922942883621</v>
      </c>
      <c r="Z75" s="155">
        <f t="shared" si="297"/>
        <v>1.0971798473094792</v>
      </c>
      <c r="AA75" s="7">
        <f>SUM(L$2:L76)-SUM(AB$2:AB76)</f>
        <v>-8485.9559999999838</v>
      </c>
      <c r="AB75" s="156"/>
      <c r="AC75" s="13">
        <f t="shared" si="298"/>
        <v>-2235.1847331730728</v>
      </c>
      <c r="AD75" s="13">
        <f t="shared" si="299"/>
        <v>-12535.184733173073</v>
      </c>
    </row>
    <row r="76" spans="1:30" hidden="1" x14ac:dyDescent="0.25">
      <c r="A76" s="147">
        <v>44202</v>
      </c>
      <c r="B76" s="148" t="s">
        <v>348</v>
      </c>
      <c r="C76" s="151" t="s">
        <v>161</v>
      </c>
      <c r="D76" s="152">
        <v>400</v>
      </c>
      <c r="E76" s="137">
        <v>4.24</v>
      </c>
      <c r="F76" s="85">
        <f t="shared" si="279"/>
        <v>9900</v>
      </c>
      <c r="G76" s="86">
        <f t="shared" si="280"/>
        <v>5.0971672727272708</v>
      </c>
      <c r="H76" s="137">
        <f t="shared" si="281"/>
        <v>50461.955999999984</v>
      </c>
      <c r="I76" s="137">
        <f t="shared" si="282"/>
        <v>-8485.9559999999838</v>
      </c>
      <c r="J76" s="142">
        <f t="shared" si="283"/>
        <v>-0.16816541950930283</v>
      </c>
      <c r="K76" s="84">
        <f t="shared" si="284"/>
        <v>41976</v>
      </c>
      <c r="L76" s="84">
        <f t="shared" si="285"/>
        <v>817.06399999999849</v>
      </c>
      <c r="M76" s="84">
        <f t="shared" si="286"/>
        <v>5.24</v>
      </c>
      <c r="N76" s="84">
        <f t="shared" si="287"/>
        <v>1.696</v>
      </c>
      <c r="O76" s="84"/>
      <c r="P76" s="86">
        <f t="shared" si="288"/>
        <v>-0.85716727272727056</v>
      </c>
      <c r="Q76" s="84">
        <f t="shared" si="289"/>
        <v>1689.0639999999985</v>
      </c>
      <c r="R76" s="154"/>
      <c r="S76" s="154">
        <f t="shared" si="290"/>
        <v>-2106.0859999999939</v>
      </c>
      <c r="T76" s="154">
        <f t="shared" si="291"/>
        <v>-496.71839622641363</v>
      </c>
      <c r="U76" s="154">
        <f t="shared" si="292"/>
        <v>9403.2816037735865</v>
      </c>
      <c r="V76" s="84">
        <f t="shared" si="293"/>
        <v>48355.869999999988</v>
      </c>
      <c r="W76" s="86">
        <f t="shared" si="294"/>
        <v>5.1424462264954949</v>
      </c>
      <c r="X76" s="86">
        <f t="shared" si="295"/>
        <v>4.5278953768224106E-2</v>
      </c>
      <c r="Y76" s="86">
        <f t="shared" si="296"/>
        <v>-0.90244622649549466</v>
      </c>
      <c r="Z76" s="155">
        <f t="shared" si="297"/>
        <v>1.0528239413809619</v>
      </c>
      <c r="AA76" s="7">
        <f>SUM(L$2:L99)-SUM(AB$2:AB99)</f>
        <v>8325.708000000066</v>
      </c>
      <c r="AB76" s="156"/>
      <c r="AC76" s="13">
        <f t="shared" si="298"/>
        <v>-2000.4040146226378</v>
      </c>
      <c r="AD76" s="13">
        <f t="shared" si="299"/>
        <v>-11900.404014622638</v>
      </c>
    </row>
    <row r="77" spans="1:30" s="1" customFormat="1" hidden="1" x14ac:dyDescent="0.25">
      <c r="A77" s="147">
        <v>44204</v>
      </c>
      <c r="B77" s="148" t="s">
        <v>349</v>
      </c>
      <c r="C77" s="151" t="s">
        <v>161</v>
      </c>
      <c r="D77" s="152">
        <v>400</v>
      </c>
      <c r="E77" s="137">
        <v>4.29</v>
      </c>
      <c r="F77" s="85">
        <f t="shared" si="279"/>
        <v>9500</v>
      </c>
      <c r="G77" s="86">
        <f t="shared" si="280"/>
        <v>5.1318854736842088</v>
      </c>
      <c r="H77" s="84">
        <f t="shared" si="281"/>
        <v>48752.911999999982</v>
      </c>
      <c r="I77" s="84">
        <f t="shared" si="282"/>
        <v>-7997.9119999999821</v>
      </c>
      <c r="J77" s="142">
        <f t="shared" si="283"/>
        <v>-0.16404993408393709</v>
      </c>
      <c r="K77" s="84">
        <f t="shared" si="284"/>
        <v>40755</v>
      </c>
      <c r="L77" s="84">
        <f t="shared" si="285"/>
        <v>488.04400000000169</v>
      </c>
      <c r="M77" s="84">
        <f t="shared" si="286"/>
        <v>5.24</v>
      </c>
      <c r="N77" s="84">
        <f t="shared" si="287"/>
        <v>1.716</v>
      </c>
      <c r="O77" s="84"/>
      <c r="P77" s="86">
        <f t="shared" si="288"/>
        <v>-0.84188547368420874</v>
      </c>
      <c r="Q77" s="84">
        <f t="shared" si="289"/>
        <v>1709.0440000000017</v>
      </c>
      <c r="R77" s="154"/>
      <c r="S77" s="154">
        <f t="shared" si="290"/>
        <v>-397.04199999999219</v>
      </c>
      <c r="T77" s="154">
        <f t="shared" si="291"/>
        <v>-92.550582750580929</v>
      </c>
      <c r="U77" s="154">
        <f t="shared" si="292"/>
        <v>9407.4494172494196</v>
      </c>
      <c r="V77" s="84">
        <f t="shared" si="293"/>
        <v>48355.869999999988</v>
      </c>
      <c r="W77" s="86">
        <f t="shared" si="294"/>
        <v>5.1401679515103291</v>
      </c>
      <c r="X77" s="86">
        <f t="shared" si="295"/>
        <v>8.2824778261203491E-3</v>
      </c>
      <c r="Y77" s="86">
        <f t="shared" si="296"/>
        <v>-0.85016795151032909</v>
      </c>
      <c r="Z77" s="155">
        <f t="shared" si="297"/>
        <v>1.0098380101391649</v>
      </c>
      <c r="AA77" s="7">
        <f>SUM(L$2:L100)-SUM(AB$2:AB100)</f>
        <v>8325.708000000066</v>
      </c>
      <c r="AB77" s="156"/>
      <c r="AC77" s="13">
        <f t="shared" si="298"/>
        <v>-1863.38299393939</v>
      </c>
      <c r="AD77" s="13">
        <f t="shared" si="299"/>
        <v>-11363.382993939391</v>
      </c>
    </row>
    <row r="78" spans="1:30" s="1" customFormat="1" hidden="1" x14ac:dyDescent="0.25">
      <c r="A78" s="147">
        <v>44209</v>
      </c>
      <c r="B78" s="148" t="s">
        <v>350</v>
      </c>
      <c r="C78" s="151" t="s">
        <v>161</v>
      </c>
      <c r="D78" s="152">
        <v>400</v>
      </c>
      <c r="E78" s="137">
        <v>4.3499999999999996</v>
      </c>
      <c r="F78" s="85">
        <f t="shared" ref="F78:F99" si="300">IF(C78="买",F77+D78,F77-D78)</f>
        <v>9100</v>
      </c>
      <c r="G78" s="86">
        <f t="shared" ref="G78:G99" si="301">H78/F78</f>
        <v>5.1670210989010963</v>
      </c>
      <c r="H78" s="137">
        <f t="shared" ref="H78:H99" si="302">IF(C78="买",H77+D78*E78+M78+N78,H77+-1*D78*E78+M78+N78)+O78</f>
        <v>47019.891999999978</v>
      </c>
      <c r="I78" s="137">
        <f t="shared" ref="I78:I99" si="303">-H78+K78</f>
        <v>-7434.891999999978</v>
      </c>
      <c r="J78" s="142">
        <f t="shared" ref="J78:J99" si="304">(E78-G78)/G78</f>
        <v>-0.15812226876233537</v>
      </c>
      <c r="K78" s="84">
        <f t="shared" ref="K78:K99" si="305">F78*E78</f>
        <v>39585</v>
      </c>
      <c r="L78" s="84">
        <f t="shared" ref="L78:L99" si="306">I78-I77</f>
        <v>563.02000000000407</v>
      </c>
      <c r="M78" s="84">
        <f t="shared" ref="M78:M99" si="307">IF(D78*E78*5/10000&gt;5,D78*E78*5/10000,5)+(D78/1000)*0.6</f>
        <v>5.24</v>
      </c>
      <c r="N78" s="84">
        <f t="shared" ref="N78:N99" si="308">IF(C78="卖",D78*E78/1000,0)</f>
        <v>1.7399999999999998</v>
      </c>
      <c r="O78" s="84"/>
      <c r="P78" s="86">
        <f t="shared" ref="P78:P99" si="309">E78-G78</f>
        <v>-0.81702109890109664</v>
      </c>
      <c r="Q78" s="84">
        <f t="shared" ref="Q78:Q99" si="310">(H78-H77)*-1</f>
        <v>1733.0200000000041</v>
      </c>
      <c r="R78" s="154"/>
      <c r="S78" s="154">
        <f t="shared" ref="S78:S99" si="311">S77+Q78+O78+R78</f>
        <v>1335.9780000000119</v>
      </c>
      <c r="T78" s="154">
        <f t="shared" ref="T78:T99" si="312">S78/E78</f>
        <v>307.12137931034761</v>
      </c>
      <c r="U78" s="154">
        <f t="shared" ref="U78:U99" si="313">F78+T78</f>
        <v>9407.121379310347</v>
      </c>
      <c r="V78" s="84">
        <f t="shared" ref="V78:V99" si="314">H78+S78</f>
        <v>48355.869999999988</v>
      </c>
      <c r="W78" s="86">
        <f t="shared" ref="W78:W99" si="315">V78/U78</f>
        <v>5.1403471955142397</v>
      </c>
      <c r="X78" s="86">
        <f t="shared" ref="X78:X99" si="316">W78-G78</f>
        <v>-2.6673903386856601E-2</v>
      </c>
      <c r="Y78" s="86">
        <f t="shared" ref="Y78:Y99" si="317">(X78-P78)*-1</f>
        <v>-0.79034719551424004</v>
      </c>
      <c r="Z78" s="155">
        <f t="shared" ref="Z78:Z99" si="318">F78/U78</f>
        <v>0.96735224656654073</v>
      </c>
      <c r="AA78" s="84">
        <f>SUM(L$2:L153)-SUM(AB$2:AB153)</f>
        <v>8325.708000000066</v>
      </c>
      <c r="AB78" s="156"/>
      <c r="AC78" s="13">
        <f t="shared" ref="AC78:AC99" si="319">I78/E78*(1-0.0005)</f>
        <v>-1708.3159894252824</v>
      </c>
      <c r="AD78" s="13">
        <f t="shared" ref="AD78:AD99" si="320">AC78-F78</f>
        <v>-10808.315989425282</v>
      </c>
    </row>
    <row r="79" spans="1:30" s="1" customFormat="1" x14ac:dyDescent="0.25">
      <c r="A79" s="153">
        <v>44218</v>
      </c>
      <c r="B79" s="126"/>
      <c r="C79" s="151" t="s">
        <v>46</v>
      </c>
      <c r="D79" s="152">
        <v>400</v>
      </c>
      <c r="E79" s="137">
        <v>4.22</v>
      </c>
      <c r="F79" s="85">
        <f t="shared" si="300"/>
        <v>9500</v>
      </c>
      <c r="G79" s="86">
        <f t="shared" si="301"/>
        <v>5.1276981052631552</v>
      </c>
      <c r="H79" s="137">
        <f t="shared" si="302"/>
        <v>48713.131999999976</v>
      </c>
      <c r="I79" s="137">
        <f t="shared" si="303"/>
        <v>-8623.131999999976</v>
      </c>
      <c r="J79" s="142">
        <f t="shared" si="304"/>
        <v>-0.17701863226531978</v>
      </c>
      <c r="K79" s="84">
        <f t="shared" si="305"/>
        <v>40090</v>
      </c>
      <c r="L79" s="84">
        <f t="shared" si="306"/>
        <v>-1188.239999999998</v>
      </c>
      <c r="M79" s="84">
        <f t="shared" si="307"/>
        <v>5.24</v>
      </c>
      <c r="N79" s="84">
        <f t="shared" si="308"/>
        <v>0</v>
      </c>
      <c r="O79" s="84"/>
      <c r="P79" s="86">
        <f t="shared" si="309"/>
        <v>-0.90769810526315542</v>
      </c>
      <c r="Q79" s="84">
        <f t="shared" si="310"/>
        <v>-1693.239999999998</v>
      </c>
      <c r="R79" s="154"/>
      <c r="S79" s="154">
        <f t="shared" si="311"/>
        <v>-357.26199999998607</v>
      </c>
      <c r="T79" s="154">
        <f t="shared" si="312"/>
        <v>-84.659241706157843</v>
      </c>
      <c r="U79" s="154">
        <f t="shared" si="313"/>
        <v>9415.3407582938416</v>
      </c>
      <c r="V79" s="84">
        <f t="shared" si="314"/>
        <v>48355.869999999988</v>
      </c>
      <c r="W79" s="86">
        <f t="shared" si="315"/>
        <v>5.1358597889730095</v>
      </c>
      <c r="X79" s="86">
        <f t="shared" si="316"/>
        <v>8.1616837098543726E-3</v>
      </c>
      <c r="Y79" s="86">
        <f t="shared" si="317"/>
        <v>-0.91585978897300979</v>
      </c>
      <c r="Z79" s="155">
        <f t="shared" si="318"/>
        <v>1.0089916280121443</v>
      </c>
      <c r="AA79" s="84">
        <f>SUM(L$2:L154)-SUM(AB$2:AB154)</f>
        <v>8325.708000000066</v>
      </c>
      <c r="AB79" s="156"/>
      <c r="AC79" s="13">
        <f t="shared" si="319"/>
        <v>-2042.3745104265347</v>
      </c>
      <c r="AD79" s="13">
        <f t="shared" si="320"/>
        <v>-11542.374510426534</v>
      </c>
    </row>
    <row r="80" spans="1:30" s="1" customFormat="1" x14ac:dyDescent="0.25">
      <c r="A80" s="153"/>
      <c r="B80" s="126"/>
      <c r="C80" s="151" t="s">
        <v>161</v>
      </c>
      <c r="D80" s="152">
        <v>400</v>
      </c>
      <c r="E80" s="137">
        <f t="shared" ref="E80:E99" si="321">E79+0.15</f>
        <v>4.37</v>
      </c>
      <c r="F80" s="85">
        <f t="shared" si="300"/>
        <v>9100</v>
      </c>
      <c r="G80" s="86">
        <f t="shared" si="301"/>
        <v>5.1617714285714253</v>
      </c>
      <c r="H80" s="137">
        <f t="shared" si="302"/>
        <v>46972.119999999974</v>
      </c>
      <c r="I80" s="137">
        <f t="shared" si="303"/>
        <v>-7205.1199999999735</v>
      </c>
      <c r="J80" s="142">
        <f t="shared" si="304"/>
        <v>-0.15339141601443526</v>
      </c>
      <c r="K80" s="84">
        <f t="shared" si="305"/>
        <v>39767</v>
      </c>
      <c r="L80" s="84">
        <f t="shared" si="306"/>
        <v>1418.0120000000024</v>
      </c>
      <c r="M80" s="84">
        <f t="shared" si="307"/>
        <v>5.24</v>
      </c>
      <c r="N80" s="84">
        <f t="shared" si="308"/>
        <v>1.748</v>
      </c>
      <c r="O80" s="84"/>
      <c r="P80" s="86">
        <f t="shared" si="309"/>
        <v>-0.79177142857142524</v>
      </c>
      <c r="Q80" s="84">
        <f t="shared" si="310"/>
        <v>1741.0120000000024</v>
      </c>
      <c r="R80" s="154"/>
      <c r="S80" s="154">
        <f t="shared" si="311"/>
        <v>1383.7500000000164</v>
      </c>
      <c r="T80" s="154">
        <f t="shared" si="312"/>
        <v>316.6475972540083</v>
      </c>
      <c r="U80" s="154">
        <f t="shared" si="313"/>
        <v>9416.6475972540084</v>
      </c>
      <c r="V80" s="84">
        <f t="shared" si="314"/>
        <v>48355.869999999988</v>
      </c>
      <c r="W80" s="86">
        <f t="shared" si="315"/>
        <v>5.1351470362022527</v>
      </c>
      <c r="X80" s="86">
        <f t="shared" si="316"/>
        <v>-2.6624392369172689E-2</v>
      </c>
      <c r="Y80" s="86">
        <f t="shared" si="317"/>
        <v>-0.76514703620225255</v>
      </c>
      <c r="Z80" s="155">
        <f t="shared" si="318"/>
        <v>0.96637363839055146</v>
      </c>
      <c r="AA80" s="84">
        <f>SUM(L$2:L155)-SUM(AB$2:AB155)</f>
        <v>8325.708000000066</v>
      </c>
      <c r="AB80" s="156"/>
      <c r="AC80" s="13">
        <f t="shared" si="319"/>
        <v>-1647.9444942791702</v>
      </c>
      <c r="AD80" s="13">
        <f t="shared" si="320"/>
        <v>-10747.944494279171</v>
      </c>
    </row>
    <row r="81" spans="1:30" s="1" customFormat="1" x14ac:dyDescent="0.25">
      <c r="A81" s="153"/>
      <c r="B81" s="126"/>
      <c r="C81" s="151" t="s">
        <v>161</v>
      </c>
      <c r="D81" s="152">
        <v>400</v>
      </c>
      <c r="E81" s="137">
        <f t="shared" si="321"/>
        <v>4.5200000000000005</v>
      </c>
      <c r="F81" s="85">
        <f t="shared" si="300"/>
        <v>8700</v>
      </c>
      <c r="G81" s="86">
        <f t="shared" si="301"/>
        <v>5.1920882758620657</v>
      </c>
      <c r="H81" s="137">
        <f t="shared" si="302"/>
        <v>45171.167999999969</v>
      </c>
      <c r="I81" s="137">
        <f t="shared" si="303"/>
        <v>-5847.1679999999615</v>
      </c>
      <c r="J81" s="142">
        <f t="shared" si="304"/>
        <v>-0.12944469357090724</v>
      </c>
      <c r="K81" s="84">
        <f t="shared" si="305"/>
        <v>39324.000000000007</v>
      </c>
      <c r="L81" s="84">
        <f t="shared" si="306"/>
        <v>1357.952000000012</v>
      </c>
      <c r="M81" s="84">
        <f t="shared" si="307"/>
        <v>5.24</v>
      </c>
      <c r="N81" s="84">
        <f t="shared" si="308"/>
        <v>1.8080000000000003</v>
      </c>
      <c r="O81" s="84"/>
      <c r="P81" s="86">
        <f t="shared" si="309"/>
        <v>-0.67208827586206521</v>
      </c>
      <c r="Q81" s="84">
        <f t="shared" si="310"/>
        <v>1800.9520000000048</v>
      </c>
      <c r="R81" s="154"/>
      <c r="S81" s="154">
        <f t="shared" si="311"/>
        <v>3184.7020000000211</v>
      </c>
      <c r="T81" s="154">
        <f t="shared" si="312"/>
        <v>704.58008849557984</v>
      </c>
      <c r="U81" s="154">
        <f t="shared" si="313"/>
        <v>9404.5800884955806</v>
      </c>
      <c r="V81" s="84">
        <f t="shared" si="314"/>
        <v>48355.869999999988</v>
      </c>
      <c r="W81" s="86">
        <f t="shared" si="315"/>
        <v>5.1417362120348873</v>
      </c>
      <c r="X81" s="86">
        <f t="shared" si="316"/>
        <v>-5.0352063827178384E-2</v>
      </c>
      <c r="Y81" s="86">
        <f t="shared" si="317"/>
        <v>-0.62173621203488683</v>
      </c>
      <c r="Z81" s="155">
        <f t="shared" si="318"/>
        <v>0.9250811751438559</v>
      </c>
      <c r="AA81" s="84">
        <f>SUM(L$2:L156)-SUM(AB$2:AB156)</f>
        <v>8325.708000000066</v>
      </c>
      <c r="AB81" s="156"/>
      <c r="AC81" s="13">
        <f t="shared" si="319"/>
        <v>-1292.9744283185755</v>
      </c>
      <c r="AD81" s="13">
        <f t="shared" si="320"/>
        <v>-9992.9744283185755</v>
      </c>
    </row>
    <row r="82" spans="1:30" s="1" customFormat="1" x14ac:dyDescent="0.25">
      <c r="A82" s="153"/>
      <c r="B82" s="126"/>
      <c r="C82" s="151" t="s">
        <v>161</v>
      </c>
      <c r="D82" s="152">
        <v>400</v>
      </c>
      <c r="E82" s="137">
        <f t="shared" si="321"/>
        <v>4.6700000000000008</v>
      </c>
      <c r="F82" s="85">
        <f t="shared" si="300"/>
        <v>8300</v>
      </c>
      <c r="G82" s="86">
        <f t="shared" si="301"/>
        <v>5.2181055421686713</v>
      </c>
      <c r="H82" s="137">
        <f t="shared" si="302"/>
        <v>43310.275999999969</v>
      </c>
      <c r="I82" s="137">
        <f t="shared" si="303"/>
        <v>-4549.2759999999616</v>
      </c>
      <c r="J82" s="142">
        <f t="shared" si="304"/>
        <v>-0.10503918284889174</v>
      </c>
      <c r="K82" s="84">
        <f t="shared" si="305"/>
        <v>38761.000000000007</v>
      </c>
      <c r="L82" s="84">
        <f t="shared" si="306"/>
        <v>1297.8919999999998</v>
      </c>
      <c r="M82" s="84">
        <f t="shared" si="307"/>
        <v>5.24</v>
      </c>
      <c r="N82" s="84">
        <f t="shared" si="308"/>
        <v>1.8680000000000003</v>
      </c>
      <c r="O82" s="84"/>
      <c r="P82" s="86">
        <f t="shared" si="309"/>
        <v>-0.54810554216867047</v>
      </c>
      <c r="Q82" s="84">
        <f t="shared" si="310"/>
        <v>1860.8919999999998</v>
      </c>
      <c r="R82" s="154"/>
      <c r="S82" s="154">
        <f t="shared" si="311"/>
        <v>5045.594000000021</v>
      </c>
      <c r="T82" s="154">
        <f t="shared" si="312"/>
        <v>1080.4269807280557</v>
      </c>
      <c r="U82" s="154">
        <f t="shared" si="313"/>
        <v>9380.4269807280562</v>
      </c>
      <c r="V82" s="84">
        <f t="shared" si="314"/>
        <v>48355.869999999988</v>
      </c>
      <c r="W82" s="86">
        <f t="shared" si="315"/>
        <v>5.1549753651242511</v>
      </c>
      <c r="X82" s="86">
        <f t="shared" si="316"/>
        <v>-6.3130177044420144E-2</v>
      </c>
      <c r="Y82" s="86">
        <f t="shared" si="317"/>
        <v>-0.48497536512425032</v>
      </c>
      <c r="Z82" s="155">
        <f t="shared" si="318"/>
        <v>0.88482112989656259</v>
      </c>
      <c r="AA82" s="84">
        <f>SUM(L$2:L157)-SUM(AB$2:AB157)</f>
        <v>8325.708000000066</v>
      </c>
      <c r="AB82" s="156"/>
      <c r="AC82" s="13">
        <f t="shared" si="319"/>
        <v>-973.66196188436004</v>
      </c>
      <c r="AD82" s="13">
        <f t="shared" si="320"/>
        <v>-9273.6619618843597</v>
      </c>
    </row>
    <row r="83" spans="1:30" s="1" customFormat="1" x14ac:dyDescent="0.25">
      <c r="A83" s="153"/>
      <c r="B83" s="126"/>
      <c r="C83" s="151" t="s">
        <v>161</v>
      </c>
      <c r="D83" s="152">
        <v>400</v>
      </c>
      <c r="E83" s="137">
        <f t="shared" si="321"/>
        <v>4.8200000000000012</v>
      </c>
      <c r="F83" s="85">
        <f t="shared" si="300"/>
        <v>7900</v>
      </c>
      <c r="G83" s="86">
        <f t="shared" si="301"/>
        <v>5.2391701265822741</v>
      </c>
      <c r="H83" s="137">
        <f t="shared" si="302"/>
        <v>41389.443999999967</v>
      </c>
      <c r="I83" s="137">
        <f t="shared" si="303"/>
        <v>-3311.4439999999595</v>
      </c>
      <c r="J83" s="142">
        <f t="shared" si="304"/>
        <v>-8.0006969893095414E-2</v>
      </c>
      <c r="K83" s="84">
        <f t="shared" si="305"/>
        <v>38078.000000000007</v>
      </c>
      <c r="L83" s="84">
        <f t="shared" si="306"/>
        <v>1237.8320000000022</v>
      </c>
      <c r="M83" s="84">
        <f t="shared" si="307"/>
        <v>5.24</v>
      </c>
      <c r="N83" s="84">
        <f t="shared" si="308"/>
        <v>1.9280000000000004</v>
      </c>
      <c r="O83" s="84"/>
      <c r="P83" s="86">
        <f t="shared" si="309"/>
        <v>-0.41917012658227293</v>
      </c>
      <c r="Q83" s="84">
        <f t="shared" si="310"/>
        <v>1920.8320000000022</v>
      </c>
      <c r="R83" s="154"/>
      <c r="S83" s="154">
        <f t="shared" si="311"/>
        <v>6966.4260000000231</v>
      </c>
      <c r="T83" s="154">
        <f t="shared" si="312"/>
        <v>1445.316597510378</v>
      </c>
      <c r="U83" s="154">
        <f t="shared" si="313"/>
        <v>9345.3165975103784</v>
      </c>
      <c r="V83" s="84">
        <f t="shared" si="314"/>
        <v>48355.869999999988</v>
      </c>
      <c r="W83" s="86">
        <f t="shared" si="315"/>
        <v>5.174342623435801</v>
      </c>
      <c r="X83" s="86">
        <f t="shared" si="316"/>
        <v>-6.482750314647312E-2</v>
      </c>
      <c r="Y83" s="86">
        <f t="shared" si="317"/>
        <v>-0.35434262343579981</v>
      </c>
      <c r="Z83" s="155">
        <f t="shared" si="318"/>
        <v>0.84534321738276741</v>
      </c>
      <c r="AA83" s="84">
        <f>SUM(L$2:L158)-SUM(AB$2:AB158)</f>
        <v>8325.708000000066</v>
      </c>
      <c r="AB83" s="156"/>
      <c r="AC83" s="13">
        <f t="shared" si="319"/>
        <v>-686.67806597509525</v>
      </c>
      <c r="AD83" s="13">
        <f t="shared" si="320"/>
        <v>-8586.6780659750948</v>
      </c>
    </row>
    <row r="84" spans="1:30" s="1" customFormat="1" x14ac:dyDescent="0.25">
      <c r="A84" s="153"/>
      <c r="B84" s="126"/>
      <c r="C84" s="151" t="s">
        <v>161</v>
      </c>
      <c r="D84" s="152">
        <v>400</v>
      </c>
      <c r="E84" s="137">
        <f t="shared" si="321"/>
        <v>4.9700000000000015</v>
      </c>
      <c r="F84" s="85">
        <f t="shared" si="300"/>
        <v>7500</v>
      </c>
      <c r="G84" s="86">
        <f t="shared" si="301"/>
        <v>5.254489599999995</v>
      </c>
      <c r="H84" s="137">
        <f t="shared" si="302"/>
        <v>39408.671999999962</v>
      </c>
      <c r="I84" s="137">
        <f t="shared" si="303"/>
        <v>-2133.6719999999477</v>
      </c>
      <c r="J84" s="142">
        <f t="shared" si="304"/>
        <v>-5.414219489557915E-2</v>
      </c>
      <c r="K84" s="84">
        <f t="shared" si="305"/>
        <v>37275.000000000015</v>
      </c>
      <c r="L84" s="84">
        <f t="shared" si="306"/>
        <v>1177.7720000000118</v>
      </c>
      <c r="M84" s="84">
        <f t="shared" si="307"/>
        <v>5.24</v>
      </c>
      <c r="N84" s="84">
        <f t="shared" si="308"/>
        <v>1.9880000000000007</v>
      </c>
      <c r="O84" s="84"/>
      <c r="P84" s="86">
        <f t="shared" si="309"/>
        <v>-0.28448959999999346</v>
      </c>
      <c r="Q84" s="84">
        <f t="shared" si="310"/>
        <v>1980.7720000000045</v>
      </c>
      <c r="R84" s="154"/>
      <c r="S84" s="154">
        <f t="shared" si="311"/>
        <v>8947.1980000000276</v>
      </c>
      <c r="T84" s="154">
        <f t="shared" si="312"/>
        <v>1800.2410462776711</v>
      </c>
      <c r="U84" s="154">
        <f t="shared" si="313"/>
        <v>9300.2410462776716</v>
      </c>
      <c r="V84" s="84">
        <f t="shared" si="314"/>
        <v>48355.869999999988</v>
      </c>
      <c r="W84" s="86">
        <f t="shared" si="315"/>
        <v>5.1994211504178098</v>
      </c>
      <c r="X84" s="86">
        <f t="shared" si="316"/>
        <v>-5.5068449582185153E-2</v>
      </c>
      <c r="Y84" s="86">
        <f t="shared" si="317"/>
        <v>-0.22942115041780831</v>
      </c>
      <c r="Z84" s="155">
        <f t="shared" si="318"/>
        <v>0.80643071106224717</v>
      </c>
      <c r="AA84" s="84">
        <f>SUM(L$2:L159)-SUM(AB$2:AB159)</f>
        <v>8325.708000000066</v>
      </c>
      <c r="AB84" s="156"/>
      <c r="AC84" s="13">
        <f t="shared" si="319"/>
        <v>-429.09560643862113</v>
      </c>
      <c r="AD84" s="13">
        <f t="shared" si="320"/>
        <v>-7929.095606438621</v>
      </c>
    </row>
    <row r="85" spans="1:30" s="1" customFormat="1" x14ac:dyDescent="0.25">
      <c r="A85" s="153"/>
      <c r="B85" s="126"/>
      <c r="C85" s="151" t="s">
        <v>161</v>
      </c>
      <c r="D85" s="152">
        <v>400</v>
      </c>
      <c r="E85" s="137">
        <f t="shared" si="321"/>
        <v>5.1200000000000019</v>
      </c>
      <c r="F85" s="85">
        <f t="shared" si="300"/>
        <v>7100</v>
      </c>
      <c r="G85" s="86">
        <f t="shared" si="301"/>
        <v>5.2630929577464736</v>
      </c>
      <c r="H85" s="137">
        <f t="shared" si="302"/>
        <v>37367.959999999963</v>
      </c>
      <c r="I85" s="137">
        <f t="shared" si="303"/>
        <v>-1015.9599999999482</v>
      </c>
      <c r="J85" s="142">
        <f t="shared" si="304"/>
        <v>-2.7187997418107651E-2</v>
      </c>
      <c r="K85" s="84">
        <f t="shared" si="305"/>
        <v>36352.000000000015</v>
      </c>
      <c r="L85" s="84">
        <f t="shared" si="306"/>
        <v>1117.7119999999995</v>
      </c>
      <c r="M85" s="84">
        <f t="shared" si="307"/>
        <v>5.24</v>
      </c>
      <c r="N85" s="84">
        <f t="shared" si="308"/>
        <v>2.0480000000000009</v>
      </c>
      <c r="O85" s="84"/>
      <c r="P85" s="86">
        <f t="shared" si="309"/>
        <v>-0.14309295774647168</v>
      </c>
      <c r="Q85" s="84">
        <f t="shared" si="310"/>
        <v>2040.7119999999995</v>
      </c>
      <c r="R85" s="154"/>
      <c r="S85" s="154">
        <f t="shared" si="311"/>
        <v>10987.910000000027</v>
      </c>
      <c r="T85" s="154">
        <f t="shared" si="312"/>
        <v>2146.0761718750045</v>
      </c>
      <c r="U85" s="154">
        <f t="shared" si="313"/>
        <v>9246.0761718750036</v>
      </c>
      <c r="V85" s="84">
        <f t="shared" si="314"/>
        <v>48355.869999999988</v>
      </c>
      <c r="W85" s="86">
        <f t="shared" si="315"/>
        <v>5.2298801244024302</v>
      </c>
      <c r="X85" s="86">
        <f t="shared" si="316"/>
        <v>-3.3212833344043347E-2</v>
      </c>
      <c r="Y85" s="86">
        <f t="shared" si="317"/>
        <v>-0.10988012440242834</v>
      </c>
      <c r="Z85" s="155">
        <f t="shared" si="318"/>
        <v>0.76789330609204764</v>
      </c>
      <c r="AA85" s="84">
        <f>SUM(L$2:L160)-SUM(AB$2:AB160)</f>
        <v>8325.708000000066</v>
      </c>
      <c r="AB85" s="156"/>
      <c r="AC85" s="13">
        <f t="shared" si="319"/>
        <v>-198.33047265623981</v>
      </c>
      <c r="AD85" s="13">
        <f t="shared" si="320"/>
        <v>-7298.3304726562401</v>
      </c>
    </row>
    <row r="86" spans="1:30" s="1" customFormat="1" x14ac:dyDescent="0.25">
      <c r="A86" s="153"/>
      <c r="B86" s="126"/>
      <c r="C86" s="151" t="s">
        <v>161</v>
      </c>
      <c r="D86" s="152">
        <v>400</v>
      </c>
      <c r="E86" s="137">
        <f t="shared" si="321"/>
        <v>5.2700000000000022</v>
      </c>
      <c r="F86" s="85">
        <f t="shared" si="300"/>
        <v>6700</v>
      </c>
      <c r="G86" s="86">
        <f t="shared" si="301"/>
        <v>5.2637773134328301</v>
      </c>
      <c r="H86" s="137">
        <f t="shared" si="302"/>
        <v>35267.307999999961</v>
      </c>
      <c r="I86" s="137">
        <f t="shared" si="303"/>
        <v>41.692000000053667</v>
      </c>
      <c r="J86" s="142">
        <f t="shared" si="304"/>
        <v>1.1821713185495649E-3</v>
      </c>
      <c r="K86" s="84">
        <f t="shared" si="305"/>
        <v>35309.000000000015</v>
      </c>
      <c r="L86" s="84">
        <f t="shared" si="306"/>
        <v>1057.6520000000019</v>
      </c>
      <c r="M86" s="84">
        <f t="shared" si="307"/>
        <v>5.24</v>
      </c>
      <c r="N86" s="84">
        <f t="shared" si="308"/>
        <v>2.108000000000001</v>
      </c>
      <c r="O86" s="84"/>
      <c r="P86" s="86">
        <f t="shared" si="309"/>
        <v>6.2226865671721754E-3</v>
      </c>
      <c r="Q86" s="84">
        <f t="shared" si="310"/>
        <v>2100.6520000000019</v>
      </c>
      <c r="R86" s="154"/>
      <c r="S86" s="154">
        <f t="shared" si="311"/>
        <v>13088.562000000029</v>
      </c>
      <c r="T86" s="154">
        <f t="shared" si="312"/>
        <v>2483.5981024667976</v>
      </c>
      <c r="U86" s="154">
        <f t="shared" si="313"/>
        <v>9183.5981024667981</v>
      </c>
      <c r="V86" s="84">
        <f t="shared" si="314"/>
        <v>48355.869999999988</v>
      </c>
      <c r="W86" s="86">
        <f t="shared" si="315"/>
        <v>5.2654601671877561</v>
      </c>
      <c r="X86" s="86">
        <f t="shared" si="316"/>
        <v>1.6828537549260503E-3</v>
      </c>
      <c r="Y86" s="86">
        <f t="shared" si="317"/>
        <v>4.5398328122461251E-3</v>
      </c>
      <c r="Z86" s="155">
        <f t="shared" si="318"/>
        <v>0.72956154279010954</v>
      </c>
      <c r="AA86" s="84">
        <f>SUM(L$2:L161)-SUM(AB$2:AB161)</f>
        <v>8325.708000000066</v>
      </c>
      <c r="AB86" s="156"/>
      <c r="AC86" s="13">
        <f t="shared" si="319"/>
        <v>7.907239848207519</v>
      </c>
      <c r="AD86" s="13">
        <f t="shared" si="320"/>
        <v>-6692.0927601517924</v>
      </c>
    </row>
    <row r="87" spans="1:30" s="1" customFormat="1" x14ac:dyDescent="0.25">
      <c r="A87" s="153"/>
      <c r="B87" s="126"/>
      <c r="C87" s="151" t="s">
        <v>161</v>
      </c>
      <c r="D87" s="152">
        <v>400</v>
      </c>
      <c r="E87" s="137">
        <f t="shared" si="321"/>
        <v>5.4200000000000026</v>
      </c>
      <c r="F87" s="85">
        <f t="shared" si="300"/>
        <v>6300</v>
      </c>
      <c r="G87" s="86">
        <f t="shared" si="301"/>
        <v>5.2550342857142791</v>
      </c>
      <c r="H87" s="137">
        <f t="shared" si="302"/>
        <v>33106.715999999957</v>
      </c>
      <c r="I87" s="137">
        <f t="shared" si="303"/>
        <v>1039.2840000000579</v>
      </c>
      <c r="J87" s="142">
        <f t="shared" si="304"/>
        <v>3.1391938723250572E-2</v>
      </c>
      <c r="K87" s="84">
        <f t="shared" si="305"/>
        <v>34146.000000000015</v>
      </c>
      <c r="L87" s="84">
        <f t="shared" si="306"/>
        <v>997.59200000000419</v>
      </c>
      <c r="M87" s="84">
        <f t="shared" si="307"/>
        <v>5.24</v>
      </c>
      <c r="N87" s="84">
        <f t="shared" si="308"/>
        <v>2.168000000000001</v>
      </c>
      <c r="O87" s="84"/>
      <c r="P87" s="86">
        <f t="shared" si="309"/>
        <v>0.16496571428572349</v>
      </c>
      <c r="Q87" s="84">
        <f t="shared" si="310"/>
        <v>2160.5920000000042</v>
      </c>
      <c r="R87" s="154"/>
      <c r="S87" s="154">
        <f t="shared" si="311"/>
        <v>15249.154000000033</v>
      </c>
      <c r="T87" s="154">
        <f t="shared" si="312"/>
        <v>2813.4970479704843</v>
      </c>
      <c r="U87" s="154">
        <f t="shared" si="313"/>
        <v>9113.4970479704843</v>
      </c>
      <c r="V87" s="84">
        <f t="shared" si="314"/>
        <v>48355.869999999988</v>
      </c>
      <c r="W87" s="86">
        <f t="shared" si="315"/>
        <v>5.3059621071330154</v>
      </c>
      <c r="X87" s="86">
        <f t="shared" si="316"/>
        <v>5.0927821418736308E-2</v>
      </c>
      <c r="Y87" s="86">
        <f t="shared" si="317"/>
        <v>0.11403789286698718</v>
      </c>
      <c r="Z87" s="155">
        <f t="shared" si="318"/>
        <v>0.69128238774192263</v>
      </c>
      <c r="AA87" s="84">
        <f>SUM(L$2:L162)-SUM(AB$2:AB162)</f>
        <v>8325.708000000066</v>
      </c>
      <c r="AB87" s="156"/>
      <c r="AC87" s="13">
        <f t="shared" si="319"/>
        <v>191.65394059041648</v>
      </c>
      <c r="AD87" s="13">
        <f t="shared" si="320"/>
        <v>-6108.3460594095832</v>
      </c>
    </row>
    <row r="88" spans="1:30" s="1" customFormat="1" x14ac:dyDescent="0.25">
      <c r="A88" s="153"/>
      <c r="B88" s="126"/>
      <c r="C88" s="151" t="s">
        <v>161</v>
      </c>
      <c r="D88" s="152">
        <v>400</v>
      </c>
      <c r="E88" s="137">
        <f t="shared" si="321"/>
        <v>5.5700000000000029</v>
      </c>
      <c r="F88" s="85">
        <f t="shared" si="300"/>
        <v>5900</v>
      </c>
      <c r="G88" s="86">
        <f t="shared" si="301"/>
        <v>5.2349464406779589</v>
      </c>
      <c r="H88" s="137">
        <f t="shared" si="302"/>
        <v>30886.183999999957</v>
      </c>
      <c r="I88" s="137">
        <f t="shared" si="303"/>
        <v>1976.8160000000571</v>
      </c>
      <c r="J88" s="142">
        <f t="shared" si="304"/>
        <v>6.4003244946027091E-2</v>
      </c>
      <c r="K88" s="84">
        <f t="shared" si="305"/>
        <v>32863.000000000015</v>
      </c>
      <c r="L88" s="84">
        <f t="shared" si="306"/>
        <v>937.53199999999924</v>
      </c>
      <c r="M88" s="84">
        <f t="shared" si="307"/>
        <v>5.24</v>
      </c>
      <c r="N88" s="84">
        <f t="shared" si="308"/>
        <v>2.2280000000000015</v>
      </c>
      <c r="O88" s="84"/>
      <c r="P88" s="86">
        <f t="shared" si="309"/>
        <v>0.33505355932204406</v>
      </c>
      <c r="Q88" s="84">
        <f t="shared" si="310"/>
        <v>2220.5319999999992</v>
      </c>
      <c r="R88" s="154"/>
      <c r="S88" s="154">
        <f t="shared" si="311"/>
        <v>17469.686000000031</v>
      </c>
      <c r="T88" s="154">
        <f t="shared" si="312"/>
        <v>3136.3888689407577</v>
      </c>
      <c r="U88" s="154">
        <f t="shared" si="313"/>
        <v>9036.3888689407577</v>
      </c>
      <c r="V88" s="84">
        <f t="shared" si="314"/>
        <v>48355.869999999988</v>
      </c>
      <c r="W88" s="86">
        <f t="shared" si="315"/>
        <v>5.3512382768525368</v>
      </c>
      <c r="X88" s="86">
        <f t="shared" si="316"/>
        <v>0.11629183617457794</v>
      </c>
      <c r="Y88" s="86">
        <f t="shared" si="317"/>
        <v>0.21876172314746611</v>
      </c>
      <c r="Z88" s="155">
        <f t="shared" si="318"/>
        <v>0.65291568186923277</v>
      </c>
      <c r="AA88" s="84">
        <f>SUM(L$2:L163)-SUM(AB$2:AB163)</f>
        <v>8325.708000000066</v>
      </c>
      <c r="AB88" s="156"/>
      <c r="AC88" s="13">
        <f t="shared" si="319"/>
        <v>354.72667719929194</v>
      </c>
      <c r="AD88" s="13">
        <f t="shared" si="320"/>
        <v>-5545.2733228007082</v>
      </c>
    </row>
    <row r="89" spans="1:30" s="1" customFormat="1" x14ac:dyDescent="0.25">
      <c r="A89" s="153"/>
      <c r="B89" s="126"/>
      <c r="C89" s="151" t="s">
        <v>161</v>
      </c>
      <c r="D89" s="152">
        <v>400</v>
      </c>
      <c r="E89" s="137">
        <f t="shared" si="321"/>
        <v>5.7200000000000033</v>
      </c>
      <c r="F89" s="85">
        <f t="shared" si="300"/>
        <v>5500</v>
      </c>
      <c r="G89" s="86">
        <f t="shared" si="301"/>
        <v>5.201038545454538</v>
      </c>
      <c r="H89" s="137">
        <f t="shared" si="302"/>
        <v>28605.71199999996</v>
      </c>
      <c r="I89" s="137">
        <f t="shared" si="303"/>
        <v>2854.2880000000587</v>
      </c>
      <c r="J89" s="142">
        <f t="shared" si="304"/>
        <v>9.9780351560557659E-2</v>
      </c>
      <c r="K89" s="84">
        <f t="shared" si="305"/>
        <v>31460.000000000018</v>
      </c>
      <c r="L89" s="84">
        <f t="shared" si="306"/>
        <v>877.47200000000157</v>
      </c>
      <c r="M89" s="84">
        <f t="shared" si="307"/>
        <v>5.24</v>
      </c>
      <c r="N89" s="84">
        <f t="shared" si="308"/>
        <v>2.2880000000000011</v>
      </c>
      <c r="O89" s="84"/>
      <c r="P89" s="86">
        <f t="shared" si="309"/>
        <v>0.51896145454546527</v>
      </c>
      <c r="Q89" s="84">
        <f t="shared" si="310"/>
        <v>2280.4719999999979</v>
      </c>
      <c r="R89" s="154"/>
      <c r="S89" s="154">
        <f t="shared" si="311"/>
        <v>19750.158000000029</v>
      </c>
      <c r="T89" s="154">
        <f t="shared" si="312"/>
        <v>3452.8248251748282</v>
      </c>
      <c r="U89" s="154">
        <f t="shared" si="313"/>
        <v>8952.8248251748282</v>
      </c>
      <c r="V89" s="84">
        <f t="shared" si="314"/>
        <v>48355.869999999988</v>
      </c>
      <c r="W89" s="86">
        <f t="shared" si="315"/>
        <v>5.4011857647461241</v>
      </c>
      <c r="X89" s="86">
        <f t="shared" si="316"/>
        <v>0.20014721929158608</v>
      </c>
      <c r="Y89" s="86">
        <f t="shared" si="317"/>
        <v>0.3188142352538792</v>
      </c>
      <c r="Z89" s="155">
        <f t="shared" si="318"/>
        <v>0.6143312426413523</v>
      </c>
      <c r="AA89" s="84">
        <f>SUM(L$2:L164)-SUM(AB$2:AB164)</f>
        <v>8325.708000000066</v>
      </c>
      <c r="AB89" s="156"/>
      <c r="AC89" s="13">
        <f t="shared" si="319"/>
        <v>498.75189790210794</v>
      </c>
      <c r="AD89" s="13">
        <f t="shared" si="320"/>
        <v>-5001.2481020978921</v>
      </c>
    </row>
    <row r="90" spans="1:30" s="1" customFormat="1" x14ac:dyDescent="0.25">
      <c r="A90" s="153"/>
      <c r="B90" s="126"/>
      <c r="C90" s="151" t="s">
        <v>161</v>
      </c>
      <c r="D90" s="152">
        <v>400</v>
      </c>
      <c r="E90" s="137">
        <f t="shared" si="321"/>
        <v>5.8700000000000037</v>
      </c>
      <c r="F90" s="85">
        <f t="shared" si="300"/>
        <v>5100</v>
      </c>
      <c r="G90" s="86">
        <f t="shared" si="301"/>
        <v>5.1500588235294043</v>
      </c>
      <c r="H90" s="137">
        <f t="shared" si="302"/>
        <v>26265.299999999963</v>
      </c>
      <c r="I90" s="137">
        <f t="shared" si="303"/>
        <v>3671.7000000000553</v>
      </c>
      <c r="J90" s="142">
        <f t="shared" si="304"/>
        <v>0.13979280647851205</v>
      </c>
      <c r="K90" s="84">
        <f t="shared" si="305"/>
        <v>29937.000000000018</v>
      </c>
      <c r="L90" s="84">
        <f t="shared" si="306"/>
        <v>817.41199999999662</v>
      </c>
      <c r="M90" s="84">
        <f t="shared" si="307"/>
        <v>5.24</v>
      </c>
      <c r="N90" s="84">
        <f t="shared" si="308"/>
        <v>2.3480000000000012</v>
      </c>
      <c r="O90" s="84"/>
      <c r="P90" s="86">
        <f t="shared" si="309"/>
        <v>0.71994117647059941</v>
      </c>
      <c r="Q90" s="84">
        <f t="shared" si="310"/>
        <v>2340.4119999999966</v>
      </c>
      <c r="R90" s="154"/>
      <c r="S90" s="154">
        <f t="shared" si="311"/>
        <v>22090.570000000025</v>
      </c>
      <c r="T90" s="154">
        <f t="shared" si="312"/>
        <v>3763.2998296422506</v>
      </c>
      <c r="U90" s="154">
        <f t="shared" si="313"/>
        <v>8863.2998296422502</v>
      </c>
      <c r="V90" s="84">
        <f t="shared" si="314"/>
        <v>48355.869999999988</v>
      </c>
      <c r="W90" s="86">
        <f t="shared" si="315"/>
        <v>5.4557411945243626</v>
      </c>
      <c r="X90" s="86">
        <f t="shared" si="316"/>
        <v>0.30568237099495832</v>
      </c>
      <c r="Y90" s="86">
        <f t="shared" si="317"/>
        <v>0.41425880547564109</v>
      </c>
      <c r="Z90" s="155">
        <f t="shared" si="318"/>
        <v>0.57540646238138726</v>
      </c>
      <c r="AA90" s="84">
        <f>SUM(L$2:L165)-SUM(AB$2:AB165)</f>
        <v>8325.708000000066</v>
      </c>
      <c r="AB90" s="156"/>
      <c r="AC90" s="13">
        <f t="shared" si="319"/>
        <v>625.18980408859511</v>
      </c>
      <c r="AD90" s="13">
        <f t="shared" si="320"/>
        <v>-4474.8101959114047</v>
      </c>
    </row>
    <row r="91" spans="1:30" s="1" customFormat="1" x14ac:dyDescent="0.25">
      <c r="A91" s="153"/>
      <c r="B91" s="126"/>
      <c r="C91" s="151" t="s">
        <v>161</v>
      </c>
      <c r="D91" s="152">
        <v>400</v>
      </c>
      <c r="E91" s="137">
        <f t="shared" si="321"/>
        <v>6.020000000000004</v>
      </c>
      <c r="F91" s="85">
        <f t="shared" si="300"/>
        <v>4700</v>
      </c>
      <c r="G91" s="86">
        <f t="shared" si="301"/>
        <v>5.0776485106382898</v>
      </c>
      <c r="H91" s="137">
        <f t="shared" si="302"/>
        <v>23864.94799999996</v>
      </c>
      <c r="I91" s="137">
        <f t="shared" si="303"/>
        <v>4429.0520000000579</v>
      </c>
      <c r="J91" s="142">
        <f t="shared" si="304"/>
        <v>0.1855881688910474</v>
      </c>
      <c r="K91" s="84">
        <f t="shared" si="305"/>
        <v>28294.000000000018</v>
      </c>
      <c r="L91" s="84">
        <f t="shared" si="306"/>
        <v>757.35200000000259</v>
      </c>
      <c r="M91" s="84">
        <f t="shared" si="307"/>
        <v>5.24</v>
      </c>
      <c r="N91" s="84">
        <f t="shared" si="308"/>
        <v>2.4080000000000017</v>
      </c>
      <c r="O91" s="84"/>
      <c r="P91" s="86">
        <f t="shared" si="309"/>
        <v>0.9423514893617142</v>
      </c>
      <c r="Q91" s="84">
        <f t="shared" si="310"/>
        <v>2400.3520000000026</v>
      </c>
      <c r="R91" s="154"/>
      <c r="S91" s="154">
        <f t="shared" si="311"/>
        <v>24490.922000000028</v>
      </c>
      <c r="T91" s="154">
        <f t="shared" si="312"/>
        <v>4068.2594684385399</v>
      </c>
      <c r="U91" s="154">
        <f t="shared" si="313"/>
        <v>8768.2594684385404</v>
      </c>
      <c r="V91" s="84">
        <f t="shared" si="314"/>
        <v>48355.869999999988</v>
      </c>
      <c r="W91" s="86">
        <f t="shared" si="315"/>
        <v>5.5148767180142819</v>
      </c>
      <c r="X91" s="86">
        <f t="shared" si="316"/>
        <v>0.43722820737599211</v>
      </c>
      <c r="Y91" s="86">
        <f t="shared" si="317"/>
        <v>0.50512328198572209</v>
      </c>
      <c r="Z91" s="155">
        <f t="shared" si="318"/>
        <v>0.5360242836012904</v>
      </c>
      <c r="AA91" s="84">
        <f>SUM(L$2:L166)-SUM(AB$2:AB166)</f>
        <v>8325.708000000066</v>
      </c>
      <c r="AB91" s="156"/>
      <c r="AC91" s="13">
        <f t="shared" si="319"/>
        <v>735.35506212625501</v>
      </c>
      <c r="AD91" s="13">
        <f t="shared" si="320"/>
        <v>-3964.6449378737452</v>
      </c>
    </row>
    <row r="92" spans="1:30" s="1" customFormat="1" x14ac:dyDescent="0.25">
      <c r="A92" s="153"/>
      <c r="B92" s="126"/>
      <c r="C92" s="151" t="s">
        <v>161</v>
      </c>
      <c r="D92" s="152">
        <v>400</v>
      </c>
      <c r="E92" s="137">
        <f t="shared" si="321"/>
        <v>6.1700000000000044</v>
      </c>
      <c r="F92" s="85">
        <f t="shared" si="300"/>
        <v>4300</v>
      </c>
      <c r="G92" s="86">
        <f t="shared" si="301"/>
        <v>4.9778269767441774</v>
      </c>
      <c r="H92" s="137">
        <f t="shared" si="302"/>
        <v>21404.655999999963</v>
      </c>
      <c r="I92" s="137">
        <f t="shared" si="303"/>
        <v>5126.3440000000555</v>
      </c>
      <c r="J92" s="142">
        <f t="shared" si="304"/>
        <v>0.23949667773217495</v>
      </c>
      <c r="K92" s="84">
        <f t="shared" si="305"/>
        <v>26531.000000000018</v>
      </c>
      <c r="L92" s="84">
        <f t="shared" si="306"/>
        <v>697.29199999999764</v>
      </c>
      <c r="M92" s="84">
        <f t="shared" si="307"/>
        <v>5.24</v>
      </c>
      <c r="N92" s="84">
        <f t="shared" si="308"/>
        <v>2.4680000000000017</v>
      </c>
      <c r="O92" s="84"/>
      <c r="P92" s="86">
        <f t="shared" si="309"/>
        <v>1.192173023255827</v>
      </c>
      <c r="Q92" s="84">
        <f t="shared" si="310"/>
        <v>2460.2919999999976</v>
      </c>
      <c r="R92" s="154"/>
      <c r="S92" s="154">
        <f t="shared" si="311"/>
        <v>26951.214000000025</v>
      </c>
      <c r="T92" s="154">
        <f t="shared" si="312"/>
        <v>4368.1059967585097</v>
      </c>
      <c r="U92" s="154">
        <f t="shared" si="313"/>
        <v>8668.1059967585097</v>
      </c>
      <c r="V92" s="84">
        <f t="shared" si="314"/>
        <v>48355.869999999988</v>
      </c>
      <c r="W92" s="86">
        <f t="shared" si="315"/>
        <v>5.5785969874022028</v>
      </c>
      <c r="X92" s="86">
        <f t="shared" si="316"/>
        <v>0.60077001065802538</v>
      </c>
      <c r="Y92" s="86">
        <f t="shared" si="317"/>
        <v>0.59140301259780159</v>
      </c>
      <c r="Z92" s="155">
        <f t="shared" si="318"/>
        <v>0.49607146031763005</v>
      </c>
      <c r="AA92" s="84">
        <f>SUM(L$2:L167)-SUM(AB$2:AB167)</f>
        <v>8325.708000000066</v>
      </c>
      <c r="AB92" s="156"/>
      <c r="AC92" s="13">
        <f t="shared" si="319"/>
        <v>830.43449400324994</v>
      </c>
      <c r="AD92" s="13">
        <f t="shared" si="320"/>
        <v>-3469.5655059967503</v>
      </c>
    </row>
    <row r="93" spans="1:30" s="1" customFormat="1" x14ac:dyDescent="0.25">
      <c r="A93" s="153"/>
      <c r="B93" s="126"/>
      <c r="C93" s="151" t="s">
        <v>161</v>
      </c>
      <c r="D93" s="152">
        <v>400</v>
      </c>
      <c r="E93" s="137">
        <f t="shared" si="321"/>
        <v>6.3200000000000047</v>
      </c>
      <c r="F93" s="85">
        <f t="shared" si="300"/>
        <v>3900</v>
      </c>
      <c r="G93" s="86">
        <f t="shared" si="301"/>
        <v>4.8421599999999891</v>
      </c>
      <c r="H93" s="137">
        <f t="shared" si="302"/>
        <v>18884.423999999959</v>
      </c>
      <c r="I93" s="137">
        <f t="shared" si="303"/>
        <v>5763.5760000000591</v>
      </c>
      <c r="J93" s="142">
        <f t="shared" si="304"/>
        <v>0.30520263683976134</v>
      </c>
      <c r="K93" s="84">
        <f t="shared" si="305"/>
        <v>24648.000000000018</v>
      </c>
      <c r="L93" s="84">
        <f t="shared" si="306"/>
        <v>637.23200000000361</v>
      </c>
      <c r="M93" s="84">
        <f t="shared" si="307"/>
        <v>5.24</v>
      </c>
      <c r="N93" s="84">
        <f t="shared" si="308"/>
        <v>2.5280000000000018</v>
      </c>
      <c r="O93" s="84"/>
      <c r="P93" s="86">
        <f t="shared" si="309"/>
        <v>1.4778400000000156</v>
      </c>
      <c r="Q93" s="84">
        <f t="shared" si="310"/>
        <v>2520.2320000000036</v>
      </c>
      <c r="R93" s="154"/>
      <c r="S93" s="154">
        <f t="shared" si="311"/>
        <v>29471.446000000029</v>
      </c>
      <c r="T93" s="154">
        <f t="shared" si="312"/>
        <v>4663.2034810126597</v>
      </c>
      <c r="U93" s="154">
        <f t="shared" si="313"/>
        <v>8563.2034810126606</v>
      </c>
      <c r="V93" s="84">
        <f t="shared" si="314"/>
        <v>48355.869999999988</v>
      </c>
      <c r="W93" s="86">
        <f t="shared" si="315"/>
        <v>5.6469369327986065</v>
      </c>
      <c r="X93" s="86">
        <f t="shared" si="316"/>
        <v>0.80477693279861739</v>
      </c>
      <c r="Y93" s="86">
        <f t="shared" si="317"/>
        <v>0.67306306720139819</v>
      </c>
      <c r="Z93" s="155">
        <f t="shared" si="318"/>
        <v>0.45543703459196522</v>
      </c>
      <c r="AA93" s="84">
        <f>SUM(L$2:L168)-SUM(AB$2:AB168)</f>
        <v>8325.708000000066</v>
      </c>
      <c r="AB93" s="156"/>
      <c r="AC93" s="13">
        <f t="shared" si="319"/>
        <v>911.50224873418586</v>
      </c>
      <c r="AD93" s="13">
        <f t="shared" si="320"/>
        <v>-2988.4977512658143</v>
      </c>
    </row>
    <row r="94" spans="1:30" s="1" customFormat="1" x14ac:dyDescent="0.25">
      <c r="A94" s="153"/>
      <c r="B94" s="126"/>
      <c r="C94" s="151" t="s">
        <v>161</v>
      </c>
      <c r="D94" s="152">
        <v>400</v>
      </c>
      <c r="E94" s="137">
        <f t="shared" si="321"/>
        <v>6.4700000000000051</v>
      </c>
      <c r="F94" s="85">
        <f t="shared" si="300"/>
        <v>3500</v>
      </c>
      <c r="G94" s="86">
        <f t="shared" si="301"/>
        <v>4.6583577142857022</v>
      </c>
      <c r="H94" s="137">
        <f t="shared" si="302"/>
        <v>16304.251999999957</v>
      </c>
      <c r="I94" s="137">
        <f t="shared" si="303"/>
        <v>6340.7480000000614</v>
      </c>
      <c r="J94" s="142">
        <f t="shared" si="304"/>
        <v>0.38890149637039934</v>
      </c>
      <c r="K94" s="84">
        <f t="shared" si="305"/>
        <v>22645.000000000018</v>
      </c>
      <c r="L94" s="84">
        <f t="shared" si="306"/>
        <v>577.1720000000023</v>
      </c>
      <c r="M94" s="84">
        <f t="shared" si="307"/>
        <v>5.24</v>
      </c>
      <c r="N94" s="84">
        <f t="shared" si="308"/>
        <v>2.5880000000000019</v>
      </c>
      <c r="O94" s="84"/>
      <c r="P94" s="86">
        <f t="shared" si="309"/>
        <v>1.8116422857143029</v>
      </c>
      <c r="Q94" s="84">
        <f t="shared" si="310"/>
        <v>2580.1720000000023</v>
      </c>
      <c r="R94" s="154"/>
      <c r="S94" s="154">
        <f t="shared" si="311"/>
        <v>32051.618000000031</v>
      </c>
      <c r="T94" s="154">
        <f t="shared" si="312"/>
        <v>4953.8822256568792</v>
      </c>
      <c r="U94" s="154">
        <f t="shared" si="313"/>
        <v>8453.8822256568783</v>
      </c>
      <c r="V94" s="84">
        <f t="shared" si="314"/>
        <v>48355.869999999988</v>
      </c>
      <c r="W94" s="86">
        <f t="shared" si="315"/>
        <v>5.719960215821752</v>
      </c>
      <c r="X94" s="86">
        <f t="shared" si="316"/>
        <v>1.0616025015360497</v>
      </c>
      <c r="Y94" s="86">
        <f t="shared" si="317"/>
        <v>0.75003978417825312</v>
      </c>
      <c r="Z94" s="155">
        <f t="shared" si="318"/>
        <v>0.41401097230545403</v>
      </c>
      <c r="AA94" s="84">
        <f>SUM(L$2:L169)-SUM(AB$2:AB169)</f>
        <v>8325.708000000066</v>
      </c>
      <c r="AB94" s="156"/>
      <c r="AC94" s="13">
        <f t="shared" si="319"/>
        <v>979.53286336940596</v>
      </c>
      <c r="AD94" s="13">
        <f t="shared" si="320"/>
        <v>-2520.4671366305938</v>
      </c>
    </row>
    <row r="95" spans="1:30" s="1" customFormat="1" x14ac:dyDescent="0.25">
      <c r="A95" s="153"/>
      <c r="B95" s="126"/>
      <c r="C95" s="151" t="s">
        <v>161</v>
      </c>
      <c r="D95" s="152">
        <v>400</v>
      </c>
      <c r="E95" s="137">
        <f t="shared" si="321"/>
        <v>6.6200000000000054</v>
      </c>
      <c r="F95" s="85">
        <f t="shared" si="300"/>
        <v>3100</v>
      </c>
      <c r="G95" s="86">
        <f t="shared" si="301"/>
        <v>4.4077870967741788</v>
      </c>
      <c r="H95" s="137">
        <f t="shared" si="302"/>
        <v>13664.139999999954</v>
      </c>
      <c r="I95" s="137">
        <f t="shared" si="303"/>
        <v>6857.8600000000642</v>
      </c>
      <c r="J95" s="142">
        <f t="shared" si="304"/>
        <v>0.50188742211365556</v>
      </c>
      <c r="K95" s="84">
        <f t="shared" si="305"/>
        <v>20522.000000000018</v>
      </c>
      <c r="L95" s="84">
        <f t="shared" si="306"/>
        <v>517.11200000000281</v>
      </c>
      <c r="M95" s="84">
        <f t="shared" si="307"/>
        <v>5.24</v>
      </c>
      <c r="N95" s="84">
        <f t="shared" si="308"/>
        <v>2.6480000000000024</v>
      </c>
      <c r="O95" s="84"/>
      <c r="P95" s="86">
        <f t="shared" si="309"/>
        <v>2.2122129032258266</v>
      </c>
      <c r="Q95" s="84">
        <f t="shared" si="310"/>
        <v>2640.1120000000028</v>
      </c>
      <c r="R95" s="154"/>
      <c r="S95" s="154">
        <f t="shared" si="311"/>
        <v>34691.730000000032</v>
      </c>
      <c r="T95" s="154">
        <f t="shared" si="312"/>
        <v>5240.4425981873119</v>
      </c>
      <c r="U95" s="154">
        <f t="shared" si="313"/>
        <v>8340.4425981873119</v>
      </c>
      <c r="V95" s="84">
        <f t="shared" si="314"/>
        <v>48355.869999999988</v>
      </c>
      <c r="W95" s="86">
        <f t="shared" si="315"/>
        <v>5.7977582641129279</v>
      </c>
      <c r="X95" s="86">
        <f t="shared" si="316"/>
        <v>1.3899711673387491</v>
      </c>
      <c r="Y95" s="86">
        <f t="shared" si="317"/>
        <v>0.8222417358870775</v>
      </c>
      <c r="Z95" s="155">
        <f t="shared" si="318"/>
        <v>0.37168291292763589</v>
      </c>
      <c r="AA95" s="84">
        <f>SUM(L$2:L170)-SUM(AB$2:AB170)</f>
        <v>8325.708000000066</v>
      </c>
      <c r="AB95" s="156"/>
      <c r="AC95" s="13">
        <f t="shared" si="319"/>
        <v>1035.4125483383775</v>
      </c>
      <c r="AD95" s="13">
        <f t="shared" si="320"/>
        <v>-2064.5874516616223</v>
      </c>
    </row>
    <row r="96" spans="1:30" s="1" customFormat="1" x14ac:dyDescent="0.25">
      <c r="A96" s="153"/>
      <c r="B96" s="126"/>
      <c r="C96" s="151" t="s">
        <v>161</v>
      </c>
      <c r="D96" s="152">
        <v>400</v>
      </c>
      <c r="E96" s="137">
        <f t="shared" si="321"/>
        <v>6.7700000000000058</v>
      </c>
      <c r="F96" s="85">
        <f t="shared" si="300"/>
        <v>2700</v>
      </c>
      <c r="G96" s="86">
        <f t="shared" si="301"/>
        <v>4.0607733333333158</v>
      </c>
      <c r="H96" s="137">
        <f t="shared" si="302"/>
        <v>10964.087999999952</v>
      </c>
      <c r="I96" s="137">
        <f t="shared" si="303"/>
        <v>7314.9120000000621</v>
      </c>
      <c r="J96" s="142">
        <f t="shared" si="304"/>
        <v>0.66717012851411761</v>
      </c>
      <c r="K96" s="84">
        <f t="shared" si="305"/>
        <v>18279.000000000015</v>
      </c>
      <c r="L96" s="84">
        <f t="shared" si="306"/>
        <v>457.05199999999786</v>
      </c>
      <c r="M96" s="84">
        <f t="shared" si="307"/>
        <v>5.24</v>
      </c>
      <c r="N96" s="84">
        <f t="shared" si="308"/>
        <v>2.7080000000000024</v>
      </c>
      <c r="O96" s="84"/>
      <c r="P96" s="86">
        <f t="shared" si="309"/>
        <v>2.70922666666669</v>
      </c>
      <c r="Q96" s="84">
        <f t="shared" si="310"/>
        <v>2700.0520000000015</v>
      </c>
      <c r="R96" s="154"/>
      <c r="S96" s="154">
        <f t="shared" si="311"/>
        <v>37391.782000000036</v>
      </c>
      <c r="T96" s="154">
        <f t="shared" si="312"/>
        <v>5523.1583456425415</v>
      </c>
      <c r="U96" s="154">
        <f t="shared" si="313"/>
        <v>8223.1583456425415</v>
      </c>
      <c r="V96" s="84">
        <f t="shared" si="314"/>
        <v>48355.869999999988</v>
      </c>
      <c r="W96" s="86">
        <f t="shared" si="315"/>
        <v>5.8804498183625276</v>
      </c>
      <c r="X96" s="86">
        <f t="shared" si="316"/>
        <v>1.8196764850292118</v>
      </c>
      <c r="Y96" s="86">
        <f t="shared" si="317"/>
        <v>0.88955018163747823</v>
      </c>
      <c r="Z96" s="155">
        <f t="shared" si="318"/>
        <v>0.32834099582075205</v>
      </c>
      <c r="AA96" s="84">
        <f>SUM(L$2:L171)-SUM(AB$2:AB171)</f>
        <v>8325.708000000066</v>
      </c>
      <c r="AB96" s="156"/>
      <c r="AC96" s="13">
        <f t="shared" si="319"/>
        <v>1079.9489725258575</v>
      </c>
      <c r="AD96" s="13">
        <f t="shared" si="320"/>
        <v>-1620.0510274741425</v>
      </c>
    </row>
    <row r="97" spans="1:30" s="1" customFormat="1" x14ac:dyDescent="0.25">
      <c r="A97" s="153"/>
      <c r="B97" s="126"/>
      <c r="C97" s="151" t="s">
        <v>161</v>
      </c>
      <c r="D97" s="152">
        <v>400</v>
      </c>
      <c r="E97" s="137">
        <f t="shared" si="321"/>
        <v>6.9200000000000061</v>
      </c>
      <c r="F97" s="85">
        <f t="shared" si="300"/>
        <v>2300</v>
      </c>
      <c r="G97" s="86">
        <f t="shared" si="301"/>
        <v>3.5669982608695436</v>
      </c>
      <c r="H97" s="137">
        <f t="shared" si="302"/>
        <v>8204.0959999999504</v>
      </c>
      <c r="I97" s="137">
        <f t="shared" si="303"/>
        <v>7711.9040000000641</v>
      </c>
      <c r="J97" s="142">
        <f t="shared" si="304"/>
        <v>0.94000655282435874</v>
      </c>
      <c r="K97" s="84">
        <f t="shared" si="305"/>
        <v>15916.000000000015</v>
      </c>
      <c r="L97" s="84">
        <f t="shared" si="306"/>
        <v>396.99200000000201</v>
      </c>
      <c r="M97" s="84">
        <f t="shared" si="307"/>
        <v>5.24</v>
      </c>
      <c r="N97" s="84">
        <f t="shared" si="308"/>
        <v>2.7680000000000025</v>
      </c>
      <c r="O97" s="84"/>
      <c r="P97" s="86">
        <f t="shared" si="309"/>
        <v>3.3530017391304625</v>
      </c>
      <c r="Q97" s="84">
        <f t="shared" si="310"/>
        <v>2759.992000000002</v>
      </c>
      <c r="R97" s="154"/>
      <c r="S97" s="154">
        <f t="shared" si="311"/>
        <v>40151.774000000034</v>
      </c>
      <c r="T97" s="154">
        <f t="shared" si="312"/>
        <v>5802.2794797687857</v>
      </c>
      <c r="U97" s="154">
        <f t="shared" si="313"/>
        <v>8102.2794797687857</v>
      </c>
      <c r="V97" s="84">
        <f t="shared" si="314"/>
        <v>48355.869999999981</v>
      </c>
      <c r="W97" s="86">
        <f t="shared" si="315"/>
        <v>5.9681809447259289</v>
      </c>
      <c r="X97" s="86">
        <f t="shared" si="316"/>
        <v>2.4011826838563852</v>
      </c>
      <c r="Y97" s="86">
        <f t="shared" si="317"/>
        <v>0.95181905527407729</v>
      </c>
      <c r="Z97" s="155">
        <f t="shared" si="318"/>
        <v>0.28387073116189704</v>
      </c>
      <c r="AA97" s="84">
        <f>SUM(L$2:L172)-SUM(AB$2:AB172)</f>
        <v>8325.708000000066</v>
      </c>
      <c r="AB97" s="156"/>
      <c r="AC97" s="13">
        <f t="shared" si="319"/>
        <v>1113.8797757225518</v>
      </c>
      <c r="AD97" s="13">
        <f t="shared" si="320"/>
        <v>-1186.1202242774482</v>
      </c>
    </row>
    <row r="98" spans="1:30" s="1" customFormat="1" x14ac:dyDescent="0.25">
      <c r="A98" s="153"/>
      <c r="B98" s="126"/>
      <c r="C98" s="151" t="s">
        <v>161</v>
      </c>
      <c r="D98" s="152">
        <v>400</v>
      </c>
      <c r="E98" s="137">
        <f t="shared" si="321"/>
        <v>7.0700000000000065</v>
      </c>
      <c r="F98" s="85">
        <f t="shared" si="300"/>
        <v>1900</v>
      </c>
      <c r="G98" s="86">
        <f t="shared" si="301"/>
        <v>2.833770526315762</v>
      </c>
      <c r="H98" s="137">
        <f t="shared" si="302"/>
        <v>5384.1639999999479</v>
      </c>
      <c r="I98" s="137">
        <f t="shared" si="303"/>
        <v>8048.8360000000648</v>
      </c>
      <c r="J98" s="142">
        <f t="shared" si="304"/>
        <v>1.4949091446694682</v>
      </c>
      <c r="K98" s="84">
        <f t="shared" si="305"/>
        <v>13433.000000000013</v>
      </c>
      <c r="L98" s="84">
        <f t="shared" si="306"/>
        <v>336.9320000000007</v>
      </c>
      <c r="M98" s="84">
        <f t="shared" si="307"/>
        <v>5.24</v>
      </c>
      <c r="N98" s="84">
        <f t="shared" si="308"/>
        <v>2.8280000000000025</v>
      </c>
      <c r="O98" s="84"/>
      <c r="P98" s="86">
        <f t="shared" si="309"/>
        <v>4.2362294736842445</v>
      </c>
      <c r="Q98" s="84">
        <f t="shared" si="310"/>
        <v>2819.9320000000025</v>
      </c>
      <c r="R98" s="154"/>
      <c r="S98" s="154">
        <f t="shared" si="311"/>
        <v>42971.706000000035</v>
      </c>
      <c r="T98" s="154">
        <f t="shared" si="312"/>
        <v>6078.0347949080615</v>
      </c>
      <c r="U98" s="154">
        <f t="shared" si="313"/>
        <v>7978.0347949080615</v>
      </c>
      <c r="V98" s="84">
        <f t="shared" si="314"/>
        <v>48355.869999999981</v>
      </c>
      <c r="W98" s="86">
        <f t="shared" si="315"/>
        <v>6.0611254830403674</v>
      </c>
      <c r="X98" s="86">
        <f t="shared" si="316"/>
        <v>3.2273549567246054</v>
      </c>
      <c r="Y98" s="86">
        <f t="shared" si="317"/>
        <v>1.0088745169596391</v>
      </c>
      <c r="Z98" s="155">
        <f t="shared" si="318"/>
        <v>0.23815388737244728</v>
      </c>
      <c r="AA98" s="84">
        <f>SUM(L$2:L173)-SUM(AB$2:AB173)</f>
        <v>8325.708000000066</v>
      </c>
      <c r="AB98" s="156"/>
      <c r="AC98" s="13">
        <f t="shared" si="319"/>
        <v>1137.8799974540393</v>
      </c>
      <c r="AD98" s="13">
        <f t="shared" si="320"/>
        <v>-762.12000254596069</v>
      </c>
    </row>
    <row r="99" spans="1:30" s="1" customFormat="1" x14ac:dyDescent="0.25">
      <c r="A99" s="153"/>
      <c r="B99" s="126"/>
      <c r="C99" s="151" t="s">
        <v>161</v>
      </c>
      <c r="D99" s="152">
        <v>400</v>
      </c>
      <c r="E99" s="137">
        <f t="shared" si="321"/>
        <v>7.2200000000000069</v>
      </c>
      <c r="F99" s="85">
        <f t="shared" si="300"/>
        <v>1500</v>
      </c>
      <c r="G99" s="86">
        <f t="shared" si="301"/>
        <v>1.6695279999999633</v>
      </c>
      <c r="H99" s="84">
        <f t="shared" si="302"/>
        <v>2504.2919999999449</v>
      </c>
      <c r="I99" s="84">
        <f t="shared" si="303"/>
        <v>8325.708000000066</v>
      </c>
      <c r="J99" s="142">
        <f t="shared" si="304"/>
        <v>3.3245755686638172</v>
      </c>
      <c r="K99" s="84">
        <f t="shared" si="305"/>
        <v>10830.000000000011</v>
      </c>
      <c r="L99" s="84">
        <f t="shared" si="306"/>
        <v>276.87200000000121</v>
      </c>
      <c r="M99" s="84">
        <f t="shared" si="307"/>
        <v>5.24</v>
      </c>
      <c r="N99" s="84">
        <f t="shared" si="308"/>
        <v>2.8880000000000026</v>
      </c>
      <c r="O99" s="84"/>
      <c r="P99" s="86">
        <f t="shared" si="309"/>
        <v>5.5504720000000436</v>
      </c>
      <c r="Q99" s="84">
        <f t="shared" si="310"/>
        <v>2879.872000000003</v>
      </c>
      <c r="R99" s="154"/>
      <c r="S99" s="154">
        <f t="shared" si="311"/>
        <v>45851.578000000038</v>
      </c>
      <c r="T99" s="154">
        <f t="shared" si="312"/>
        <v>6350.6340720221597</v>
      </c>
      <c r="U99" s="154">
        <f t="shared" si="313"/>
        <v>7850.6340720221597</v>
      </c>
      <c r="V99" s="84">
        <f t="shared" si="314"/>
        <v>48355.869999999981</v>
      </c>
      <c r="W99" s="86">
        <f t="shared" si="315"/>
        <v>6.1594859162177862</v>
      </c>
      <c r="X99" s="86">
        <f t="shared" si="316"/>
        <v>4.4899579162178229</v>
      </c>
      <c r="Y99" s="86">
        <f t="shared" si="317"/>
        <v>1.0605140837822207</v>
      </c>
      <c r="Z99" s="155">
        <f t="shared" si="318"/>
        <v>0.19106736936646332</v>
      </c>
      <c r="AA99" s="84">
        <f>SUM(L$2:L174)-SUM(AB$2:AB174)</f>
        <v>8325.708000000066</v>
      </c>
      <c r="AB99" s="156"/>
      <c r="AC99" s="13">
        <f t="shared" si="319"/>
        <v>1152.5685797784015</v>
      </c>
      <c r="AD99" s="13">
        <f t="shared" si="320"/>
        <v>-347.4314202215985</v>
      </c>
    </row>
    <row r="100" spans="1:30" s="1" customFormat="1" x14ac:dyDescent="0.25">
      <c r="A100" s="101"/>
      <c r="H100" s="187">
        <f>H26-H24</f>
        <v>-27.195999999996275</v>
      </c>
    </row>
  </sheetData>
  <phoneticPr fontId="10" type="noConversion"/>
  <conditionalFormatting sqref="Y1">
    <cfRule type="top10" dxfId="93" priority="1" bottom="1" rank="10"/>
  </conditionalFormatting>
  <dataValidations count="1">
    <dataValidation type="list" allowBlank="1" showInputMessage="1" showErrorMessage="1" sqref="C2:C99">
      <formula1>"买,卖"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42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54"/>
      <c r="S4" s="154">
        <f t="shared" si="13"/>
        <v>20019.022999999997</v>
      </c>
      <c r="T4" s="154">
        <f t="shared" si="14"/>
        <v>2335.9420070011665</v>
      </c>
      <c r="U4" s="154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55">
        <f t="shared" si="20"/>
        <v>0</v>
      </c>
      <c r="AA4" s="84">
        <f>SUM(L$2:L8)-SUM(AB$2:AB8)</f>
        <v>-124.84200000000013</v>
      </c>
      <c r="AB4" s="156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8"/>
      <c r="C5" s="151" t="s">
        <v>290</v>
      </c>
      <c r="D5" s="152">
        <v>500</v>
      </c>
      <c r="E5" s="137">
        <v>7.63</v>
      </c>
      <c r="F5" s="152">
        <f>IF(C5="买",F4+D5,F4-D5)</f>
        <v>500</v>
      </c>
      <c r="G5" s="138">
        <f>H5/F5</f>
        <v>7.6405940000000001</v>
      </c>
      <c r="H5" s="137">
        <f>IF(C5="买",H4+D5*E5+M5+N5,H4+-1*D5*E5+M5+N5)+O5</f>
        <v>3820.297</v>
      </c>
      <c r="I5" s="137">
        <f>-H5+K5</f>
        <v>-5.2970000000000255</v>
      </c>
      <c r="J5" s="136">
        <f>(E5-G5)/G5</f>
        <v>-1.3865414128797072E-3</v>
      </c>
      <c r="K5" s="137">
        <f>F5*E5</f>
        <v>3815</v>
      </c>
      <c r="L5" s="137">
        <f>I5-I4</f>
        <v>-5.3000000000000824</v>
      </c>
      <c r="M5" s="137">
        <f>IF(D5*E5*5/10000&gt;5,D5*E5*5/10000,5)+(D5/1000)*0.6</f>
        <v>5.3</v>
      </c>
      <c r="N5" s="137">
        <f t="shared" si="10"/>
        <v>0</v>
      </c>
      <c r="O5" s="137"/>
      <c r="P5" s="138">
        <f t="shared" si="11"/>
        <v>-1.0594000000000214E-2</v>
      </c>
      <c r="Q5" s="137">
        <f t="shared" si="12"/>
        <v>-3820.3</v>
      </c>
      <c r="R5" s="159"/>
      <c r="S5" s="159">
        <f t="shared" si="13"/>
        <v>16198.722999999998</v>
      </c>
      <c r="T5" s="159">
        <f t="shared" si="14"/>
        <v>2123.0305373525557</v>
      </c>
      <c r="U5" s="159">
        <f t="shared" si="15"/>
        <v>2623.0305373525557</v>
      </c>
      <c r="V5" s="137">
        <f t="shared" si="16"/>
        <v>20019.019999999997</v>
      </c>
      <c r="W5" s="138">
        <f t="shared" si="17"/>
        <v>7.6320194198750517</v>
      </c>
      <c r="X5" s="138">
        <f t="shared" si="18"/>
        <v>-8.5745801249483833E-3</v>
      </c>
      <c r="Y5" s="138">
        <f t="shared" si="19"/>
        <v>-2.0194198750518311E-3</v>
      </c>
      <c r="Z5" s="160">
        <f t="shared" si="20"/>
        <v>0.19061920663136989</v>
      </c>
      <c r="AA5" s="137">
        <f>SUM(L$2:L8)-SUM(AB$2:AB8)</f>
        <v>-124.84200000000013</v>
      </c>
      <c r="AB5" s="161"/>
      <c r="AC5" s="157">
        <f>I5/E5*(1-0.0005)</f>
        <v>-0.69388617300131405</v>
      </c>
      <c r="AD5" s="157">
        <f>AC5-F5</f>
        <v>-500.69388617300132</v>
      </c>
    </row>
    <row r="6" spans="1:30" s="1" customFormat="1" x14ac:dyDescent="0.25">
      <c r="A6" s="101">
        <v>43978</v>
      </c>
      <c r="B6" s="158"/>
      <c r="C6" s="151" t="s">
        <v>291</v>
      </c>
      <c r="D6" s="152">
        <v>500</v>
      </c>
      <c r="E6" s="137">
        <v>7.69</v>
      </c>
      <c r="F6" s="152">
        <f>IF(C6="买",F5+D6,F5-D6)</f>
        <v>0</v>
      </c>
      <c r="G6" s="138" t="e">
        <f>H6/F6</f>
        <v>#DIV/0!</v>
      </c>
      <c r="H6" s="137">
        <f>IF(C6="买",H5+D6*E6+M6+N6,H5+-1*D6*E6+M6+N6)+O6</f>
        <v>0.50200000000002554</v>
      </c>
      <c r="I6" s="137">
        <f>-H6+K6</f>
        <v>-0.50200000000002554</v>
      </c>
      <c r="J6" s="136" t="e">
        <f>(E6-G6)/G6</f>
        <v>#DIV/0!</v>
      </c>
      <c r="K6" s="137">
        <f>F6*E6</f>
        <v>0</v>
      </c>
      <c r="L6" s="137">
        <f>I6-I5</f>
        <v>4.7949999999999999</v>
      </c>
      <c r="M6" s="137">
        <f>IF(D6*E6*5/10000&gt;5,D6*E6*5/10000,5)+(D6/1000)*0.6</f>
        <v>5.3</v>
      </c>
      <c r="N6" s="137">
        <f t="shared" si="10"/>
        <v>3.8450000000000002</v>
      </c>
      <c r="O6" s="137">
        <v>16.059999999999999</v>
      </c>
      <c r="P6" s="138" t="e">
        <f t="shared" si="11"/>
        <v>#DIV/0!</v>
      </c>
      <c r="Q6" s="137">
        <f t="shared" si="12"/>
        <v>3819.7950000000001</v>
      </c>
      <c r="R6" s="159"/>
      <c r="S6" s="159">
        <f t="shared" si="13"/>
        <v>20034.577999999998</v>
      </c>
      <c r="T6" s="159">
        <f t="shared" si="14"/>
        <v>2605.2767230169047</v>
      </c>
      <c r="U6" s="159">
        <f t="shared" si="15"/>
        <v>2605.2767230169047</v>
      </c>
      <c r="V6" s="137">
        <f t="shared" si="16"/>
        <v>20035.079999999998</v>
      </c>
      <c r="W6" s="138">
        <f t="shared" si="17"/>
        <v>7.6901926858654077</v>
      </c>
      <c r="X6" s="138" t="e">
        <f t="shared" si="18"/>
        <v>#DIV/0!</v>
      </c>
      <c r="Y6" s="138" t="e">
        <f t="shared" si="19"/>
        <v>#DIV/0!</v>
      </c>
      <c r="Z6" s="160">
        <f t="shared" si="20"/>
        <v>0</v>
      </c>
      <c r="AA6" s="137">
        <f>SUM(L$2:L10)-SUM(AB$2:AB10)</f>
        <v>-124.84200000000013</v>
      </c>
      <c r="AB6" s="161"/>
      <c r="AC6" s="157">
        <f>I6/E6*(1-0.0005)</f>
        <v>-6.5246944083228287E-2</v>
      </c>
      <c r="AD6" s="157">
        <f>AC6-F6</f>
        <v>-6.5246944083228287E-2</v>
      </c>
    </row>
    <row r="7" spans="1:30" s="1" customFormat="1" x14ac:dyDescent="0.25">
      <c r="A7" s="101">
        <v>43993</v>
      </c>
      <c r="B7" s="162"/>
      <c r="C7" s="170" t="s">
        <v>293</v>
      </c>
      <c r="D7" s="164">
        <v>500</v>
      </c>
      <c r="E7" s="163">
        <v>7.7</v>
      </c>
      <c r="F7" s="164">
        <f>IF(C7="买",F6+D7,F6-D7)</f>
        <v>500</v>
      </c>
      <c r="G7" s="165">
        <f>H7/F7</f>
        <v>7.7116040000000003</v>
      </c>
      <c r="H7" s="163">
        <f>IF(C7="买",H6+D7*E7+M7+N7,H6+-1*D7*E7+M7+N7)+O7</f>
        <v>3855.8020000000001</v>
      </c>
      <c r="I7" s="163">
        <f>-H7+K7</f>
        <v>-5.8020000000001346</v>
      </c>
      <c r="J7" s="166">
        <f>(E7-G7)/G7</f>
        <v>-1.5047453162792292E-3</v>
      </c>
      <c r="K7" s="163">
        <f>F7*E7</f>
        <v>3850</v>
      </c>
      <c r="L7" s="163">
        <f>I7-I6</f>
        <v>-5.3000000000001091</v>
      </c>
      <c r="M7" s="163">
        <f>IF(D7*E7*5/10000&gt;5,D7*E7*5/10000,5)+(D7/1000)*0.6</f>
        <v>5.3</v>
      </c>
      <c r="N7" s="163">
        <f t="shared" si="10"/>
        <v>0</v>
      </c>
      <c r="O7" s="163"/>
      <c r="P7" s="165">
        <f t="shared" si="11"/>
        <v>-1.160400000000017E-2</v>
      </c>
      <c r="Q7" s="163">
        <f t="shared" si="12"/>
        <v>-3855.3</v>
      </c>
      <c r="R7" s="167"/>
      <c r="S7" s="167">
        <f t="shared" si="13"/>
        <v>16179.277999999998</v>
      </c>
      <c r="T7" s="167">
        <f t="shared" si="14"/>
        <v>2101.2049350649349</v>
      </c>
      <c r="U7" s="167">
        <f t="shared" si="15"/>
        <v>2601.2049350649349</v>
      </c>
      <c r="V7" s="163">
        <f t="shared" si="16"/>
        <v>20035.079999999998</v>
      </c>
      <c r="W7" s="165">
        <f t="shared" si="17"/>
        <v>7.7022305047640751</v>
      </c>
      <c r="X7" s="165">
        <f t="shared" si="18"/>
        <v>-9.3734952359252333E-3</v>
      </c>
      <c r="Y7" s="165">
        <f t="shared" si="19"/>
        <v>-2.2305047640749365E-3</v>
      </c>
      <c r="Z7" s="168">
        <f t="shared" si="20"/>
        <v>0.19221861117510078</v>
      </c>
      <c r="AA7" s="163">
        <f>SUM(L$2:L12)-SUM(AB$2:AB12)</f>
        <v>-124.84200000000013</v>
      </c>
      <c r="AB7" s="169"/>
      <c r="AC7" s="157">
        <f>I7/E7*(1-0.0005)</f>
        <v>-0.75312974025975776</v>
      </c>
      <c r="AD7" s="157">
        <f>AC7-F7</f>
        <v>-500.75312974025974</v>
      </c>
    </row>
    <row r="8" spans="1:30" s="1" customFormat="1" x14ac:dyDescent="0.25">
      <c r="A8" s="171">
        <v>44014</v>
      </c>
      <c r="B8" s="162"/>
      <c r="C8" s="170" t="s">
        <v>294</v>
      </c>
      <c r="D8" s="164">
        <v>500</v>
      </c>
      <c r="E8" s="163">
        <v>7.48</v>
      </c>
      <c r="F8" s="164">
        <f>IF(C8="买",F7+D8,F7-D8)</f>
        <v>0</v>
      </c>
      <c r="G8" s="165" t="e">
        <f>H8/F8</f>
        <v>#DIV/0!</v>
      </c>
      <c r="H8" s="163">
        <f>IF(C8="买",H7+D8*E8+M8+N8,H7+-1*D8*E8+M8+N8)+O8</f>
        <v>124.84200000000013</v>
      </c>
      <c r="I8" s="163">
        <f>-H8+K8</f>
        <v>-124.84200000000013</v>
      </c>
      <c r="J8" s="166" t="e">
        <f>(E8-G8)/G8</f>
        <v>#DIV/0!</v>
      </c>
      <c r="K8" s="163">
        <f>F8*E8</f>
        <v>0</v>
      </c>
      <c r="L8" s="163">
        <f>I8-I7</f>
        <v>-119.03999999999999</v>
      </c>
      <c r="M8" s="163">
        <f>IF(D8*E8*5/10000&gt;5,D8*E8*5/10000,5)+(D8/1000)*0.6</f>
        <v>5.3</v>
      </c>
      <c r="N8" s="163">
        <f t="shared" si="10"/>
        <v>3.74</v>
      </c>
      <c r="O8" s="163"/>
      <c r="P8" s="165" t="e">
        <f t="shared" si="11"/>
        <v>#DIV/0!</v>
      </c>
      <c r="Q8" s="163">
        <f t="shared" si="12"/>
        <v>3730.96</v>
      </c>
      <c r="R8" s="167"/>
      <c r="S8" s="167">
        <f t="shared" si="13"/>
        <v>19910.237999999998</v>
      </c>
      <c r="T8" s="167">
        <f t="shared" si="14"/>
        <v>2661.7965240641706</v>
      </c>
      <c r="U8" s="167">
        <f t="shared" si="15"/>
        <v>2661.7965240641706</v>
      </c>
      <c r="V8" s="163">
        <f t="shared" si="16"/>
        <v>20035.079999999998</v>
      </c>
      <c r="W8" s="165">
        <f t="shared" si="17"/>
        <v>7.5269014062011719</v>
      </c>
      <c r="X8" s="165" t="e">
        <f t="shared" si="18"/>
        <v>#DIV/0!</v>
      </c>
      <c r="Y8" s="165" t="e">
        <f t="shared" si="19"/>
        <v>#DIV/0!</v>
      </c>
      <c r="Z8" s="168">
        <f t="shared" si="20"/>
        <v>0</v>
      </c>
      <c r="AA8" s="163">
        <f>SUM(L$2:L14)-SUM(AB$2:AB14)</f>
        <v>-124.84200000000013</v>
      </c>
      <c r="AB8" s="169"/>
      <c r="AC8" s="157">
        <f>I8/E8*(1-0.0005)</f>
        <v>-16.681761898395738</v>
      </c>
      <c r="AD8" s="157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62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81" t="s">
        <v>333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335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54"/>
      <c r="S4" s="154">
        <f t="shared" si="12"/>
        <v>19491.199000000001</v>
      </c>
      <c r="T4" s="154">
        <f t="shared" si="13"/>
        <v>3589.5394106814001</v>
      </c>
      <c r="U4" s="154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55">
        <f t="shared" si="19"/>
        <v>2.7103654106660314E-2</v>
      </c>
      <c r="AA4" s="84">
        <f>SUM(L$2:L15)-SUM(AB$2:AB15)</f>
        <v>-493.95699999999994</v>
      </c>
      <c r="AB4" s="156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8"/>
      <c r="C5" s="151" t="s">
        <v>336</v>
      </c>
      <c r="D5" s="152">
        <v>400</v>
      </c>
      <c r="E5" s="137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7">
        <f t="shared" si="9"/>
        <v>0</v>
      </c>
      <c r="O5" s="137"/>
      <c r="P5" s="138">
        <f t="shared" si="10"/>
        <v>1.4397999999999911E-2</v>
      </c>
      <c r="Q5" s="137">
        <f t="shared" si="11"/>
        <v>-2089</v>
      </c>
      <c r="R5" s="159"/>
      <c r="S5" s="159">
        <f t="shared" si="12"/>
        <v>17402.199000000001</v>
      </c>
      <c r="T5" s="159">
        <f t="shared" si="13"/>
        <v>3340.1533589251439</v>
      </c>
      <c r="U5" s="159">
        <f t="shared" si="14"/>
        <v>3840.1533589251439</v>
      </c>
      <c r="V5" s="137">
        <f t="shared" si="15"/>
        <v>20000</v>
      </c>
      <c r="W5" s="138">
        <f t="shared" si="16"/>
        <v>5.2081253352855637</v>
      </c>
      <c r="X5" s="138">
        <f t="shared" si="17"/>
        <v>1.2523335285563597E-2</v>
      </c>
      <c r="Y5" s="138">
        <f t="shared" si="18"/>
        <v>1.8746647144363138E-3</v>
      </c>
      <c r="Z5" s="160">
        <f t="shared" si="19"/>
        <v>0.1302031333821391</v>
      </c>
      <c r="AA5" s="137">
        <f>SUM(L$2:L15)-SUM(AB$2:AB15)</f>
        <v>-493.95699999999994</v>
      </c>
      <c r="AB5" s="161"/>
      <c r="AC5" s="157">
        <f>I5/E5*(1-0.0005)</f>
        <v>1.3810749520153685</v>
      </c>
      <c r="AD5" s="157">
        <f>AC5-F5</f>
        <v>-498.61892504798465</v>
      </c>
    </row>
    <row r="6" spans="1:30" s="1" customFormat="1" x14ac:dyDescent="0.25">
      <c r="A6" s="101">
        <v>44165</v>
      </c>
      <c r="B6" s="158"/>
      <c r="C6" s="151" t="s">
        <v>337</v>
      </c>
      <c r="D6" s="152">
        <v>400</v>
      </c>
      <c r="E6" s="137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7">
        <f t="shared" si="9"/>
        <v>2.1560000000000001</v>
      </c>
      <c r="O6" s="137"/>
      <c r="P6" s="138">
        <f t="shared" si="10"/>
        <v>0.90043000000000006</v>
      </c>
      <c r="Q6" s="137">
        <f t="shared" si="11"/>
        <v>2148.8440000000001</v>
      </c>
      <c r="R6" s="159"/>
      <c r="S6" s="159">
        <f t="shared" si="12"/>
        <v>19551.043000000001</v>
      </c>
      <c r="T6" s="159">
        <f t="shared" si="13"/>
        <v>3627.280705009277</v>
      </c>
      <c r="U6" s="159">
        <f t="shared" si="14"/>
        <v>3727.280705009277</v>
      </c>
      <c r="V6" s="137">
        <f t="shared" si="15"/>
        <v>20000</v>
      </c>
      <c r="W6" s="138">
        <f t="shared" si="16"/>
        <v>5.3658421736578656</v>
      </c>
      <c r="X6" s="138">
        <f t="shared" si="17"/>
        <v>0.87627217365786603</v>
      </c>
      <c r="Y6" s="138">
        <f t="shared" si="18"/>
        <v>2.4157826342134037E-2</v>
      </c>
      <c r="Z6" s="160">
        <f t="shared" si="19"/>
        <v>2.6829210868289328E-2</v>
      </c>
      <c r="AA6" s="137">
        <f>SUM(L$2:L17)-SUM(AB$2:AB17)</f>
        <v>-493.95699999999994</v>
      </c>
      <c r="AB6" s="161"/>
      <c r="AC6" s="157">
        <f>I6/E6*(1-0.0005)</f>
        <v>16.697213079777377</v>
      </c>
      <c r="AD6" s="157">
        <f>AC6-F6</f>
        <v>-83.302786920222616</v>
      </c>
    </row>
    <row r="7" spans="1:30" s="1" customFormat="1" x14ac:dyDescent="0.25">
      <c r="A7" s="101"/>
      <c r="B7" s="158"/>
      <c r="C7" s="151"/>
      <c r="D7" s="152"/>
      <c r="E7" s="137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63">
        <f t="shared" si="9"/>
        <v>0</v>
      </c>
      <c r="O7" s="163"/>
      <c r="P7" s="165">
        <f t="shared" si="10"/>
        <v>-4.5395699999999994</v>
      </c>
      <c r="Q7" s="163">
        <f t="shared" si="11"/>
        <v>-5</v>
      </c>
      <c r="R7" s="167"/>
      <c r="S7" s="167">
        <f t="shared" si="12"/>
        <v>19546.043000000001</v>
      </c>
      <c r="T7" s="167" t="e">
        <f t="shared" si="13"/>
        <v>#DIV/0!</v>
      </c>
      <c r="U7" s="167" t="e">
        <f t="shared" si="14"/>
        <v>#DIV/0!</v>
      </c>
      <c r="V7" s="163">
        <f t="shared" si="15"/>
        <v>20000</v>
      </c>
      <c r="W7" s="165" t="e">
        <f t="shared" si="16"/>
        <v>#DIV/0!</v>
      </c>
      <c r="X7" s="165" t="e">
        <f t="shared" si="17"/>
        <v>#DIV/0!</v>
      </c>
      <c r="Y7" s="165" t="e">
        <f t="shared" si="18"/>
        <v>#DIV/0!</v>
      </c>
      <c r="Z7" s="168" t="e">
        <f t="shared" si="19"/>
        <v>#DIV/0!</v>
      </c>
      <c r="AA7" s="163">
        <f>SUM(L$2:L19)-SUM(AB$2:AB19)</f>
        <v>-493.95699999999994</v>
      </c>
      <c r="AB7" s="169"/>
      <c r="AC7" s="157" t="e">
        <f>I7/E7*(1-0.0005)</f>
        <v>#DIV/0!</v>
      </c>
      <c r="AD7" s="157" t="e">
        <f>AC7-F7</f>
        <v>#DIV/0!</v>
      </c>
    </row>
    <row r="8" spans="1:30" s="1" customFormat="1" x14ac:dyDescent="0.25">
      <c r="A8" s="186"/>
      <c r="B8" s="158"/>
      <c r="C8" s="151"/>
      <c r="D8" s="152"/>
      <c r="E8" s="137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63">
        <f t="shared" si="9"/>
        <v>0</v>
      </c>
      <c r="O8" s="163"/>
      <c r="P8" s="165">
        <f t="shared" si="10"/>
        <v>-4.5895699999999993</v>
      </c>
      <c r="Q8" s="163">
        <f t="shared" si="11"/>
        <v>-5</v>
      </c>
      <c r="R8" s="167"/>
      <c r="S8" s="167">
        <f t="shared" si="12"/>
        <v>19541.043000000001</v>
      </c>
      <c r="T8" s="167" t="e">
        <f t="shared" si="13"/>
        <v>#DIV/0!</v>
      </c>
      <c r="U8" s="167" t="e">
        <f t="shared" si="14"/>
        <v>#DIV/0!</v>
      </c>
      <c r="V8" s="163">
        <f t="shared" si="15"/>
        <v>20000</v>
      </c>
      <c r="W8" s="165" t="e">
        <f t="shared" si="16"/>
        <v>#DIV/0!</v>
      </c>
      <c r="X8" s="165" t="e">
        <f t="shared" si="17"/>
        <v>#DIV/0!</v>
      </c>
      <c r="Y8" s="165" t="e">
        <f t="shared" si="18"/>
        <v>#DIV/0!</v>
      </c>
      <c r="Z8" s="168" t="e">
        <f t="shared" si="19"/>
        <v>#DIV/0!</v>
      </c>
      <c r="AA8" s="163">
        <f>SUM(L$2:L21)-SUM(AB$2:AB21)</f>
        <v>-493.95699999999994</v>
      </c>
      <c r="AB8" s="169"/>
      <c r="AC8" s="157" t="e">
        <f>I8/E8*(1-0.0005)</f>
        <v>#DIV/0!</v>
      </c>
      <c r="AD8" s="157" t="e">
        <f>AC8-F8</f>
        <v>#DIV/0!</v>
      </c>
    </row>
    <row r="9" spans="1:30" s="1" customFormat="1" x14ac:dyDescent="0.25">
      <c r="A9" s="186"/>
      <c r="B9" s="158"/>
      <c r="C9" s="151"/>
      <c r="D9" s="152"/>
      <c r="E9" s="137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63">
        <f t="shared" ref="N9:N15" si="36">IF(C9="卖",D9*E9/1000,0)</f>
        <v>0</v>
      </c>
      <c r="O9" s="163"/>
      <c r="P9" s="165">
        <f t="shared" ref="P9:P15" si="37">E9-G9</f>
        <v>-4.6395699999999991</v>
      </c>
      <c r="Q9" s="163">
        <f t="shared" ref="Q9:Q15" si="38">(H9-H8)*-1</f>
        <v>-5</v>
      </c>
      <c r="R9" s="167"/>
      <c r="S9" s="167">
        <f t="shared" ref="S9:S15" si="39">S8+Q9+O9+R9</f>
        <v>19536.043000000001</v>
      </c>
      <c r="T9" s="167" t="e">
        <f t="shared" ref="T9:T15" si="40">S9/E9</f>
        <v>#DIV/0!</v>
      </c>
      <c r="U9" s="167" t="e">
        <f t="shared" ref="U9:U15" si="41">F9+T9</f>
        <v>#DIV/0!</v>
      </c>
      <c r="V9" s="163">
        <f t="shared" ref="V9:V15" si="42">H9+S9</f>
        <v>20000</v>
      </c>
      <c r="W9" s="165" t="e">
        <f t="shared" ref="W9:W15" si="43">V9/U9</f>
        <v>#DIV/0!</v>
      </c>
      <c r="X9" s="165" t="e">
        <f t="shared" ref="X9:X15" si="44">W9-G9</f>
        <v>#DIV/0!</v>
      </c>
      <c r="Y9" s="165" t="e">
        <f t="shared" ref="Y9:Y15" si="45">(X9-P9)*-1</f>
        <v>#DIV/0!</v>
      </c>
      <c r="Z9" s="168" t="e">
        <f t="shared" ref="Z9:Z15" si="46">F9/U9</f>
        <v>#DIV/0!</v>
      </c>
      <c r="AA9" s="163">
        <f>SUM(L$2:L15)-SUM(AB$2:AB15)</f>
        <v>-493.95699999999994</v>
      </c>
      <c r="AB9" s="169"/>
      <c r="AC9" s="157" t="e">
        <f t="shared" ref="AC9:AC15" si="47">I9/E9*(1-0.0005)</f>
        <v>#DIV/0!</v>
      </c>
      <c r="AD9" s="157" t="e">
        <f t="shared" ref="AD9:AD15" si="48">AC9-F9</f>
        <v>#DIV/0!</v>
      </c>
    </row>
    <row r="10" spans="1:30" s="1" customFormat="1" x14ac:dyDescent="0.25">
      <c r="A10" s="186"/>
      <c r="B10" s="158"/>
      <c r="C10" s="151"/>
      <c r="D10" s="152"/>
      <c r="E10" s="137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63">
        <f t="shared" si="36"/>
        <v>0</v>
      </c>
      <c r="O10" s="163"/>
      <c r="P10" s="165">
        <f t="shared" si="37"/>
        <v>-4.6895699999999998</v>
      </c>
      <c r="Q10" s="163">
        <f t="shared" si="38"/>
        <v>-5</v>
      </c>
      <c r="R10" s="167"/>
      <c r="S10" s="167">
        <f t="shared" si="39"/>
        <v>19531.043000000001</v>
      </c>
      <c r="T10" s="167" t="e">
        <f t="shared" si="40"/>
        <v>#DIV/0!</v>
      </c>
      <c r="U10" s="167" t="e">
        <f t="shared" si="41"/>
        <v>#DIV/0!</v>
      </c>
      <c r="V10" s="163">
        <f t="shared" si="42"/>
        <v>20000</v>
      </c>
      <c r="W10" s="165" t="e">
        <f t="shared" si="43"/>
        <v>#DIV/0!</v>
      </c>
      <c r="X10" s="165" t="e">
        <f t="shared" si="44"/>
        <v>#DIV/0!</v>
      </c>
      <c r="Y10" s="165" t="e">
        <f t="shared" si="45"/>
        <v>#DIV/0!</v>
      </c>
      <c r="Z10" s="168" t="e">
        <f t="shared" si="46"/>
        <v>#DIV/0!</v>
      </c>
      <c r="AA10" s="163">
        <f>SUM(L$2:L16)-SUM(AB$2:AB16)</f>
        <v>-493.95699999999994</v>
      </c>
      <c r="AB10" s="169"/>
      <c r="AC10" s="157" t="e">
        <f t="shared" si="47"/>
        <v>#DIV/0!</v>
      </c>
      <c r="AD10" s="157" t="e">
        <f t="shared" si="48"/>
        <v>#DIV/0!</v>
      </c>
    </row>
    <row r="11" spans="1:30" s="1" customFormat="1" x14ac:dyDescent="0.25">
      <c r="A11" s="186"/>
      <c r="B11" s="158"/>
      <c r="C11" s="151"/>
      <c r="D11" s="152"/>
      <c r="E11" s="137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63">
        <f t="shared" si="36"/>
        <v>0</v>
      </c>
      <c r="O11" s="163"/>
      <c r="P11" s="165">
        <f t="shared" si="37"/>
        <v>-4.7395699999999996</v>
      </c>
      <c r="Q11" s="163">
        <f t="shared" si="38"/>
        <v>-5</v>
      </c>
      <c r="R11" s="167"/>
      <c r="S11" s="167">
        <f t="shared" si="39"/>
        <v>19526.043000000001</v>
      </c>
      <c r="T11" s="167" t="e">
        <f t="shared" si="40"/>
        <v>#DIV/0!</v>
      </c>
      <c r="U11" s="167" t="e">
        <f t="shared" si="41"/>
        <v>#DIV/0!</v>
      </c>
      <c r="V11" s="163">
        <f t="shared" si="42"/>
        <v>20000</v>
      </c>
      <c r="W11" s="165" t="e">
        <f t="shared" si="43"/>
        <v>#DIV/0!</v>
      </c>
      <c r="X11" s="165" t="e">
        <f t="shared" si="44"/>
        <v>#DIV/0!</v>
      </c>
      <c r="Y11" s="165" t="e">
        <f t="shared" si="45"/>
        <v>#DIV/0!</v>
      </c>
      <c r="Z11" s="168" t="e">
        <f t="shared" si="46"/>
        <v>#DIV/0!</v>
      </c>
      <c r="AA11" s="163">
        <f>SUM(L$2:L17)-SUM(AB$2:AB17)</f>
        <v>-493.95699999999994</v>
      </c>
      <c r="AB11" s="169"/>
      <c r="AC11" s="157" t="e">
        <f t="shared" si="47"/>
        <v>#DIV/0!</v>
      </c>
      <c r="AD11" s="157" t="e">
        <f t="shared" si="48"/>
        <v>#DIV/0!</v>
      </c>
    </row>
    <row r="12" spans="1:30" x14ac:dyDescent="0.25">
      <c r="A12" s="186"/>
      <c r="B12" s="158"/>
      <c r="C12" s="151"/>
      <c r="D12" s="152"/>
      <c r="E12" s="137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63">
        <f t="shared" si="36"/>
        <v>0</v>
      </c>
      <c r="O12" s="163"/>
      <c r="P12" s="165">
        <f t="shared" si="37"/>
        <v>-4.7895699999999994</v>
      </c>
      <c r="Q12" s="163">
        <f t="shared" si="38"/>
        <v>-5</v>
      </c>
      <c r="R12" s="167"/>
      <c r="S12" s="167">
        <f t="shared" si="39"/>
        <v>19521.043000000001</v>
      </c>
      <c r="T12" s="167" t="e">
        <f t="shared" si="40"/>
        <v>#DIV/0!</v>
      </c>
      <c r="U12" s="167" t="e">
        <f t="shared" si="41"/>
        <v>#DIV/0!</v>
      </c>
      <c r="V12" s="163">
        <f t="shared" si="42"/>
        <v>20000</v>
      </c>
      <c r="W12" s="165" t="e">
        <f t="shared" si="43"/>
        <v>#DIV/0!</v>
      </c>
      <c r="X12" s="165" t="e">
        <f t="shared" si="44"/>
        <v>#DIV/0!</v>
      </c>
      <c r="Y12" s="165" t="e">
        <f t="shared" si="45"/>
        <v>#DIV/0!</v>
      </c>
      <c r="Z12" s="168" t="e">
        <f t="shared" si="46"/>
        <v>#DIV/0!</v>
      </c>
      <c r="AA12" s="163">
        <f>SUM(L$2:L18)-SUM(AB$2:AB18)</f>
        <v>-493.95699999999994</v>
      </c>
      <c r="AB12" s="169"/>
      <c r="AC12" s="157" t="e">
        <f t="shared" si="47"/>
        <v>#DIV/0!</v>
      </c>
      <c r="AD12" s="157" t="e">
        <f t="shared" si="48"/>
        <v>#DIV/0!</v>
      </c>
    </row>
    <row r="13" spans="1:30" x14ac:dyDescent="0.25">
      <c r="A13" s="186"/>
      <c r="B13" s="158"/>
      <c r="C13" s="151"/>
      <c r="D13" s="152"/>
      <c r="E13" s="137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63">
        <f t="shared" si="36"/>
        <v>0</v>
      </c>
      <c r="O13" s="163"/>
      <c r="P13" s="165">
        <f t="shared" si="37"/>
        <v>-4.8395699999999993</v>
      </c>
      <c r="Q13" s="163">
        <f t="shared" si="38"/>
        <v>-5</v>
      </c>
      <c r="R13" s="167"/>
      <c r="S13" s="167">
        <f t="shared" si="39"/>
        <v>19516.043000000001</v>
      </c>
      <c r="T13" s="167" t="e">
        <f t="shared" si="40"/>
        <v>#DIV/0!</v>
      </c>
      <c r="U13" s="167" t="e">
        <f t="shared" si="41"/>
        <v>#DIV/0!</v>
      </c>
      <c r="V13" s="163">
        <f t="shared" si="42"/>
        <v>20000</v>
      </c>
      <c r="W13" s="165" t="e">
        <f t="shared" si="43"/>
        <v>#DIV/0!</v>
      </c>
      <c r="X13" s="165" t="e">
        <f t="shared" si="44"/>
        <v>#DIV/0!</v>
      </c>
      <c r="Y13" s="165" t="e">
        <f t="shared" si="45"/>
        <v>#DIV/0!</v>
      </c>
      <c r="Z13" s="168" t="e">
        <f t="shared" si="46"/>
        <v>#DIV/0!</v>
      </c>
      <c r="AA13" s="163">
        <f>SUM(L$2:L19)-SUM(AB$2:AB19)</f>
        <v>-493.95699999999994</v>
      </c>
      <c r="AB13" s="169"/>
      <c r="AC13" s="157" t="e">
        <f t="shared" si="47"/>
        <v>#DIV/0!</v>
      </c>
      <c r="AD13" s="157" t="e">
        <f t="shared" si="48"/>
        <v>#DIV/0!</v>
      </c>
    </row>
    <row r="14" spans="1:30" x14ac:dyDescent="0.25">
      <c r="A14" s="186"/>
      <c r="B14" s="158"/>
      <c r="C14" s="151"/>
      <c r="D14" s="152"/>
      <c r="E14" s="137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63">
        <f t="shared" si="36"/>
        <v>0</v>
      </c>
      <c r="O14" s="163"/>
      <c r="P14" s="165">
        <f t="shared" si="37"/>
        <v>-4.8895699999999991</v>
      </c>
      <c r="Q14" s="163">
        <f t="shared" si="38"/>
        <v>-5</v>
      </c>
      <c r="R14" s="167"/>
      <c r="S14" s="167">
        <f t="shared" si="39"/>
        <v>19511.043000000001</v>
      </c>
      <c r="T14" s="167" t="e">
        <f t="shared" si="40"/>
        <v>#DIV/0!</v>
      </c>
      <c r="U14" s="167" t="e">
        <f t="shared" si="41"/>
        <v>#DIV/0!</v>
      </c>
      <c r="V14" s="163">
        <f t="shared" si="42"/>
        <v>20000</v>
      </c>
      <c r="W14" s="165" t="e">
        <f t="shared" si="43"/>
        <v>#DIV/0!</v>
      </c>
      <c r="X14" s="165" t="e">
        <f t="shared" si="44"/>
        <v>#DIV/0!</v>
      </c>
      <c r="Y14" s="165" t="e">
        <f t="shared" si="45"/>
        <v>#DIV/0!</v>
      </c>
      <c r="Z14" s="168" t="e">
        <f t="shared" si="46"/>
        <v>#DIV/0!</v>
      </c>
      <c r="AA14" s="163">
        <f>SUM(L$2:L20)-SUM(AB$2:AB20)</f>
        <v>-493.95699999999994</v>
      </c>
      <c r="AB14" s="169"/>
      <c r="AC14" s="157" t="e">
        <f t="shared" si="47"/>
        <v>#DIV/0!</v>
      </c>
      <c r="AD14" s="157" t="e">
        <f t="shared" si="48"/>
        <v>#DIV/0!</v>
      </c>
    </row>
    <row r="15" spans="1:30" x14ac:dyDescent="0.25">
      <c r="A15" s="153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73">
        <f t="shared" si="36"/>
        <v>0</v>
      </c>
      <c r="O15" s="173"/>
      <c r="P15" s="182">
        <f t="shared" si="37"/>
        <v>-4.9395699999999998</v>
      </c>
      <c r="Q15" s="173">
        <f t="shared" si="38"/>
        <v>-5</v>
      </c>
      <c r="R15" s="183"/>
      <c r="S15" s="183">
        <f t="shared" si="39"/>
        <v>19506.043000000001</v>
      </c>
      <c r="T15" s="183" t="e">
        <f t="shared" si="40"/>
        <v>#DIV/0!</v>
      </c>
      <c r="U15" s="183" t="e">
        <f t="shared" si="41"/>
        <v>#DIV/0!</v>
      </c>
      <c r="V15" s="173">
        <f t="shared" si="42"/>
        <v>20000</v>
      </c>
      <c r="W15" s="182" t="e">
        <f t="shared" si="43"/>
        <v>#DIV/0!</v>
      </c>
      <c r="X15" s="182" t="e">
        <f t="shared" si="44"/>
        <v>#DIV/0!</v>
      </c>
      <c r="Y15" s="182" t="e">
        <f t="shared" si="45"/>
        <v>#DIV/0!</v>
      </c>
      <c r="Z15" s="184" t="e">
        <f t="shared" si="46"/>
        <v>#DIV/0!</v>
      </c>
      <c r="AA15" s="173">
        <f>SUM(L$2:L21)-SUM(AB$2:AB21)</f>
        <v>-493.95699999999994</v>
      </c>
      <c r="AB15" s="185"/>
      <c r="AC15" s="157" t="e">
        <f t="shared" si="47"/>
        <v>#DIV/0!</v>
      </c>
      <c r="AD15" s="157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31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4.xml>�� 
</file>

<file path=customXml/item5.xml>�� 
</file>

<file path=customXml/item6.xml>�� 
</file>

<file path=customXml/item7.xml>�� 
</file>

<file path=customXml/item8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9.xml>�� 
</file>

<file path=customXml/item10.xml>�� h� h� 
</file>

<file path=customXml/item11.xml>�� h� 
</file>

<file path=customXml/item12.xml>�� h� 
</file>

<file path=customXml/item13.xml>�� h� 
</file>

<file path=customXml/item14.xml>�� 
</file>

<file path=customXml/item15.xml>�� 
</file>

<file path=customXml/item16.xml>�� 
</file>

<file path=customXml/item17.xml>�� 
</file>

<file path=customXml/item18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Props1.xml><?xml version="1.0" encoding="utf-8"?>
<ds:datastoreItem xmlns:ds="http://schemas.openxmlformats.org/officeDocument/2006/customXml" ds:itemID="{BDEEE8EE-281E-492B-8EFB-8FF5B7B0B4DF}">
  <ds:schemaRefs/>
</ds:datastoreItem>
</file>

<file path=customXml/itemProps2.xml><?xml version="1.0" encoding="utf-8"?>
<ds:datastoreItem xmlns:ds="http://schemas.openxmlformats.org/officeDocument/2006/customXml" ds:itemID="{E0225DE7-A706-4D72-9F53-96F0A16CCB53}">
  <ds:schemaRefs/>
</ds:datastoreItem>
</file>

<file path=customXml/itemProps3.xml><?xml version="1.0" encoding="utf-8"?>
<ds:datastoreItem xmlns:ds="http://schemas.openxmlformats.org/officeDocument/2006/customXml" ds:itemID="{A7FDCFF7-ECFE-4D71-AA78-B42233536650}">
  <ds:schemaRefs/>
</ds:datastoreItem>
</file>

<file path=customXml/itemProps4.xml><?xml version="1.0" encoding="utf-8"?>
<ds:datastoreItem xmlns:ds="http://schemas.openxmlformats.org/officeDocument/2006/customXml" ds:itemID="{4011D944-39BD-479E-B152-D25CD02FA33E}">
  <ds:schemaRefs/>
</ds:datastoreItem>
</file>

<file path=customXml/itemProps5.xml><?xml version="1.0" encoding="utf-8"?>
<ds:datastoreItem xmlns:ds="http://schemas.openxmlformats.org/officeDocument/2006/customXml" ds:itemID="{932919B5-8638-4DE0-AF39-49612B099223}">
  <ds:schemaRefs/>
</ds:datastoreItem>
</file>

<file path=customXml/itemProps6.xml><?xml version="1.0" encoding="utf-8"?>
<ds:datastoreItem xmlns:ds="http://schemas.openxmlformats.org/officeDocument/2006/customXml" ds:itemID="{434DBB52-1781-4A54-900C-D9EE23BD1731}">
  <ds:schemaRefs/>
</ds:datastoreItem>
</file>

<file path=customXml/itemProps7.xml><?xml version="1.0" encoding="utf-8"?>
<ds:datastoreItem xmlns:ds="http://schemas.openxmlformats.org/officeDocument/2006/customXml" ds:itemID="{67E3CBE1-2D54-4F5C-86F4-9662252567ED}">
  <ds:schemaRefs/>
</ds:datastoreItem>
</file>

<file path=customXml/itemProps8.xml><?xml version="1.0" encoding="utf-8"?>
<ds:datastoreItem xmlns:ds="http://schemas.openxmlformats.org/officeDocument/2006/customXml" ds:itemID="{9A0DCF82-8D57-40B9-96E7-7ECA9CB693FC}">
  <ds:schemaRefs/>
</ds:datastoreItem>
</file>

<file path=customXml/itemProps9.xml><?xml version="1.0" encoding="utf-8"?>
<ds:datastoreItem xmlns:ds="http://schemas.openxmlformats.org/officeDocument/2006/customXml" ds:itemID="{6E26BCB0-D2FC-4604-A11B-D4BB68DCDDBE}">
  <ds:schemaRefs/>
</ds:datastoreItem>
</file>

<file path=customXml/itemProps10.xml><?xml version="1.0" encoding="utf-8"?>
<ds:datastoreItem xmlns:ds="http://schemas.openxmlformats.org/officeDocument/2006/customXml" ds:itemID="{5480C463-6B32-4718-9314-C38E6E6878E5}">
  <ds:schemaRefs/>
</ds:datastoreItem>
</file>

<file path=customXml/itemProps11.xml><?xml version="1.0" encoding="utf-8"?>
<ds:datastoreItem xmlns:ds="http://schemas.openxmlformats.org/officeDocument/2006/customXml" ds:itemID="{98CD9F19-936D-4D96-A61C-536EFA49F191}">
  <ds:schemaRefs/>
</ds:datastoreItem>
</file>

<file path=customXml/itemProps12.xml><?xml version="1.0" encoding="utf-8"?>
<ds:datastoreItem xmlns:ds="http://schemas.openxmlformats.org/officeDocument/2006/customXml" ds:itemID="{8AAFC91B-EDB4-44B5-BD66-4F070C418923}">
  <ds:schemaRefs/>
</ds:datastoreItem>
</file>

<file path=customXml/itemProps13.xml><?xml version="1.0" encoding="utf-8"?>
<ds:datastoreItem xmlns:ds="http://schemas.openxmlformats.org/officeDocument/2006/customXml" ds:itemID="{D8406731-E3E4-4F72-8D6B-6680D048408C}">
  <ds:schemaRefs/>
</ds:datastoreItem>
</file>

<file path=customXml/itemProps14.xml><?xml version="1.0" encoding="utf-8"?>
<ds:datastoreItem xmlns:ds="http://schemas.openxmlformats.org/officeDocument/2006/customXml" ds:itemID="{134BD6DB-B964-44B9-8149-27203CC2185C}">
  <ds:schemaRefs/>
</ds:datastoreItem>
</file>

<file path=customXml/itemProps15.xml><?xml version="1.0" encoding="utf-8"?>
<ds:datastoreItem xmlns:ds="http://schemas.openxmlformats.org/officeDocument/2006/customXml" ds:itemID="{CA37A915-5A25-44CE-8A72-D738C8B94EE3}">
  <ds:schemaRefs/>
</ds:datastoreItem>
</file>

<file path=customXml/itemProps16.xml><?xml version="1.0" encoding="utf-8"?>
<ds:datastoreItem xmlns:ds="http://schemas.openxmlformats.org/officeDocument/2006/customXml" ds:itemID="{FDD43726-4BAC-4A33-955B-32D75ED685D0}">
  <ds:schemaRefs/>
</ds:datastoreItem>
</file>

<file path=customXml/itemProps17.xml><?xml version="1.0" encoding="utf-8"?>
<ds:datastoreItem xmlns:ds="http://schemas.openxmlformats.org/officeDocument/2006/customXml" ds:itemID="{F7C1776F-566E-4F53-A83E-B575E4FB1A6C}">
  <ds:schemaRefs/>
</ds:datastoreItem>
</file>

<file path=customXml/itemProps18.xml><?xml version="1.0" encoding="utf-8"?>
<ds:datastoreItem xmlns:ds="http://schemas.openxmlformats.org/officeDocument/2006/customXml" ds:itemID="{F80A71CA-132A-4426-BCF0-8BF43755752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2017-02-18T06:16:00Z</dcterms:created>
  <dcterms:modified xsi:type="dcterms:W3CDTF">2021-01-22T02:32:08Z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