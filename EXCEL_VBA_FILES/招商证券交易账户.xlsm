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0496" windowHeight="7332"/>
  </bookViews>
  <sheets>
    <sheet name="账户总览" sheetId="19" r:id="rId1"/>
    <sheet name="总账户流水单" sheetId="18" r:id="rId2"/>
    <sheet name="资产负债表" sheetId="17" r:id="rId3"/>
    <sheet name="资产端序时" sheetId="9" r:id="rId4"/>
    <sheet name="负债端序时" sheetId="16" r:id="rId5"/>
    <sheet name="逐日资产统计" sheetId="8" r:id="rId6"/>
    <sheet name="中国石油" sheetId="20" r:id="rId7"/>
    <sheet name="南京银行" sheetId="15" r:id="rId8"/>
    <sheet name="京东方" sheetId="21" r:id="rId9"/>
  </sheets>
  <functionGroups builtInGroupCount="18"/>
  <definedNames>
    <definedName name="_xlnm._FilterDatabase" localSheetId="4" hidden="1">负债端序时!$A$1:$N$1</definedName>
    <definedName name="_xlnm._FilterDatabase" localSheetId="5" hidden="1">逐日资产统计!$A$1:$J$1</definedName>
    <definedName name="_xlnm._FilterDatabase" localSheetId="3" hidden="1">资产端序时!$F$1:$N$272</definedName>
    <definedName name="_xlcn.LinkedTable_表41" hidden="1">#REF!</definedName>
  </definedNames>
  <calcPr calcId="162913"/>
  <pivotCaches>
    <pivotCache cacheId="0" r:id="rId10"/>
  </pivotCaches>
</workbook>
</file>

<file path=xl/calcChain.xml><?xml version="1.0" encoding="utf-8"?>
<calcChain xmlns="http://schemas.openxmlformats.org/spreadsheetml/2006/main">
  <c r="G8" i="19" l="1"/>
  <c r="F8" i="19"/>
  <c r="I8" i="19"/>
  <c r="J8" i="19" s="1"/>
  <c r="H8" i="19" l="1"/>
  <c r="N9" i="21"/>
  <c r="N10" i="21"/>
  <c r="N11" i="21"/>
  <c r="N12" i="21"/>
  <c r="N13" i="21"/>
  <c r="N14" i="21"/>
  <c r="N15" i="21"/>
  <c r="M5" i="21"/>
  <c r="M6" i="21"/>
  <c r="M7" i="21"/>
  <c r="M8" i="21"/>
  <c r="M9" i="21"/>
  <c r="M10" i="21"/>
  <c r="M11" i="21"/>
  <c r="M12" i="21"/>
  <c r="M13" i="21"/>
  <c r="M14" i="21"/>
  <c r="M15" i="21"/>
  <c r="M4" i="21" l="1"/>
  <c r="M3" i="21"/>
  <c r="F3" i="21" l="1"/>
  <c r="H3" i="21"/>
  <c r="H4" i="21" s="1"/>
  <c r="N3" i="21"/>
  <c r="N4" i="21"/>
  <c r="N5" i="21"/>
  <c r="N6" i="21"/>
  <c r="N7" i="21"/>
  <c r="N8" i="21"/>
  <c r="K2" i="21"/>
  <c r="I2" i="21" s="1"/>
  <c r="AC2" i="21" s="1"/>
  <c r="AD2" i="21" s="1"/>
  <c r="J2" i="21"/>
  <c r="H5" i="21" l="1"/>
  <c r="K3" i="21"/>
  <c r="F4" i="21"/>
  <c r="G3" i="21"/>
  <c r="I3" i="21"/>
  <c r="Q3" i="21"/>
  <c r="S3" i="21" s="1"/>
  <c r="V3" i="21" s="1"/>
  <c r="F7" i="19"/>
  <c r="G7" i="19"/>
  <c r="H7" i="19" s="1"/>
  <c r="I7" i="19"/>
  <c r="K4" i="21" l="1"/>
  <c r="I4" i="21" s="1"/>
  <c r="F5" i="21"/>
  <c r="G5" i="21" s="1"/>
  <c r="J5" i="21" s="1"/>
  <c r="H6" i="21"/>
  <c r="G4" i="21"/>
  <c r="J4" i="21" s="1"/>
  <c r="L4" i="21"/>
  <c r="J3" i="21"/>
  <c r="P3" i="21"/>
  <c r="Q4" i="21"/>
  <c r="S4" i="21" s="1"/>
  <c r="AC3" i="21"/>
  <c r="AD3" i="21" s="1"/>
  <c r="L3" i="21"/>
  <c r="T3" i="21"/>
  <c r="U3" i="21" s="1"/>
  <c r="Z3" i="21" s="1"/>
  <c r="F5" i="19"/>
  <c r="G5" i="19"/>
  <c r="H5" i="19" s="1"/>
  <c r="I5" i="19"/>
  <c r="F6" i="19"/>
  <c r="G6" i="19"/>
  <c r="I6" i="19"/>
  <c r="J7" i="19" s="1"/>
  <c r="H7" i="21" l="1"/>
  <c r="F6" i="21"/>
  <c r="G6" i="21" s="1"/>
  <c r="J6" i="21" s="1"/>
  <c r="K5" i="21"/>
  <c r="I5" i="21" s="1"/>
  <c r="L5" i="21" s="1"/>
  <c r="T4" i="21"/>
  <c r="U4" i="21" s="1"/>
  <c r="Z4" i="21" s="1"/>
  <c r="V4" i="21"/>
  <c r="Q5" i="21"/>
  <c r="S5" i="21" s="1"/>
  <c r="W3" i="21"/>
  <c r="X3" i="21" s="1"/>
  <c r="Y3" i="21" s="1"/>
  <c r="P4" i="21"/>
  <c r="AC4" i="21"/>
  <c r="AD4" i="21" s="1"/>
  <c r="H6" i="19"/>
  <c r="J6" i="19"/>
  <c r="F4" i="19"/>
  <c r="G4" i="19"/>
  <c r="I4" i="19"/>
  <c r="J5" i="19" s="1"/>
  <c r="F7" i="21" l="1"/>
  <c r="K6" i="21"/>
  <c r="I6" i="21" s="1"/>
  <c r="L6" i="21" s="1"/>
  <c r="G7" i="21"/>
  <c r="J7" i="21" s="1"/>
  <c r="H8" i="21"/>
  <c r="W4" i="21"/>
  <c r="X4" i="21" s="1"/>
  <c r="Y4" i="21" s="1"/>
  <c r="T5" i="21"/>
  <c r="U5" i="21" s="1"/>
  <c r="Z5" i="21" s="1"/>
  <c r="V5" i="21"/>
  <c r="Q6" i="21"/>
  <c r="S6" i="21" s="1"/>
  <c r="P5" i="21"/>
  <c r="AC5" i="21"/>
  <c r="AD5" i="21" s="1"/>
  <c r="H4" i="19"/>
  <c r="H9" i="21" l="1"/>
  <c r="F8" i="21"/>
  <c r="K7" i="21"/>
  <c r="I7" i="21" s="1"/>
  <c r="L7" i="21" s="1"/>
  <c r="T6" i="21"/>
  <c r="U6" i="21" s="1"/>
  <c r="Z6" i="21" s="1"/>
  <c r="V6" i="21"/>
  <c r="Q7" i="21"/>
  <c r="S7" i="21" s="1"/>
  <c r="AC6" i="21"/>
  <c r="AD6" i="21" s="1"/>
  <c r="W5" i="21"/>
  <c r="X5" i="21" s="1"/>
  <c r="Y5" i="21" s="1"/>
  <c r="P6" i="21"/>
  <c r="F3" i="19"/>
  <c r="G3" i="19"/>
  <c r="H3" i="19" s="1"/>
  <c r="I3" i="19"/>
  <c r="J4" i="19" s="1"/>
  <c r="Q9" i="21" l="1"/>
  <c r="K8" i="21"/>
  <c r="I8" i="21" s="1"/>
  <c r="L8" i="21" s="1"/>
  <c r="F9" i="21"/>
  <c r="G9" i="21" s="1"/>
  <c r="H10" i="21"/>
  <c r="G8" i="21"/>
  <c r="J8" i="21" s="1"/>
  <c r="W6" i="21"/>
  <c r="X6" i="21" s="1"/>
  <c r="Y6" i="21" s="1"/>
  <c r="T7" i="21"/>
  <c r="U7" i="21" s="1"/>
  <c r="Z7" i="21" s="1"/>
  <c r="V7" i="21"/>
  <c r="AC7" i="21"/>
  <c r="AD7" i="21" s="1"/>
  <c r="Q8" i="21"/>
  <c r="S8" i="21" s="1"/>
  <c r="P7" i="21"/>
  <c r="I2" i="19"/>
  <c r="J3" i="19" s="1"/>
  <c r="G2" i="19"/>
  <c r="H2" i="19" s="1"/>
  <c r="F2" i="19"/>
  <c r="S9" i="21" l="1"/>
  <c r="T9" i="21" s="1"/>
  <c r="U9" i="21" s="1"/>
  <c r="Z9" i="21" s="1"/>
  <c r="J9" i="21"/>
  <c r="P9" i="21"/>
  <c r="Q10" i="21"/>
  <c r="S10" i="21" s="1"/>
  <c r="H11" i="21"/>
  <c r="K9" i="21"/>
  <c r="I9" i="21" s="1"/>
  <c r="F10" i="21"/>
  <c r="W7" i="21"/>
  <c r="X7" i="21" s="1"/>
  <c r="Y7" i="21" s="1"/>
  <c r="T8" i="21"/>
  <c r="U8" i="21" s="1"/>
  <c r="Z8" i="21" s="1"/>
  <c r="V8" i="21"/>
  <c r="P8" i="21"/>
  <c r="AC8" i="21"/>
  <c r="AD8" i="21" s="1"/>
  <c r="F8" i="15"/>
  <c r="K8" i="15" s="1"/>
  <c r="M8" i="15"/>
  <c r="N8" i="15"/>
  <c r="V9" i="21" l="1"/>
  <c r="W9" i="21" s="1"/>
  <c r="X9" i="21" s="1"/>
  <c r="Y9" i="21" s="1"/>
  <c r="T10" i="21"/>
  <c r="U10" i="21" s="1"/>
  <c r="Z10" i="21" s="1"/>
  <c r="V10" i="21"/>
  <c r="Q11" i="21"/>
  <c r="S11" i="21" s="1"/>
  <c r="L9" i="21"/>
  <c r="AC9" i="21"/>
  <c r="AD9" i="21" s="1"/>
  <c r="H12" i="21"/>
  <c r="F11" i="21"/>
  <c r="G11" i="21" s="1"/>
  <c r="K10" i="21"/>
  <c r="I10" i="21" s="1"/>
  <c r="G10" i="21"/>
  <c r="W8" i="21"/>
  <c r="X8" i="21" s="1"/>
  <c r="Y8" i="21" s="1"/>
  <c r="H8" i="15"/>
  <c r="Q8" i="15" s="1"/>
  <c r="S8" i="15" s="1"/>
  <c r="T8" i="15" s="1"/>
  <c r="U8" i="15" s="1"/>
  <c r="Z8" i="15" s="1"/>
  <c r="F7" i="15"/>
  <c r="K7" i="15" s="1"/>
  <c r="M7" i="15"/>
  <c r="N7" i="15"/>
  <c r="W10" i="21" l="1"/>
  <c r="T11" i="21"/>
  <c r="U11" i="21" s="1"/>
  <c r="Z11" i="21" s="1"/>
  <c r="V11" i="21"/>
  <c r="J10" i="21"/>
  <c r="P10" i="21"/>
  <c r="J11" i="21"/>
  <c r="P11" i="21"/>
  <c r="L10" i="21"/>
  <c r="AC10" i="21"/>
  <c r="AD10" i="21" s="1"/>
  <c r="X10" i="21"/>
  <c r="Y10" i="21" s="1"/>
  <c r="Q12" i="21"/>
  <c r="S12" i="21" s="1"/>
  <c r="F12" i="21"/>
  <c r="G12" i="21" s="1"/>
  <c r="K11" i="21"/>
  <c r="I11" i="21" s="1"/>
  <c r="H13" i="21"/>
  <c r="G8" i="15"/>
  <c r="I8" i="15"/>
  <c r="L8" i="15"/>
  <c r="AC8" i="15"/>
  <c r="AD8" i="15" s="1"/>
  <c r="P8" i="15"/>
  <c r="J8" i="15"/>
  <c r="V8" i="15"/>
  <c r="W8" i="15" s="1"/>
  <c r="X8" i="15" s="1"/>
  <c r="F6" i="15"/>
  <c r="K6" i="15" s="1"/>
  <c r="M6" i="15"/>
  <c r="N6" i="15"/>
  <c r="W11" i="21" l="1"/>
  <c r="X11" i="21" s="1"/>
  <c r="Y11" i="21" s="1"/>
  <c r="T12" i="21"/>
  <c r="U12" i="21" s="1"/>
  <c r="Z12" i="21" s="1"/>
  <c r="V12" i="21"/>
  <c r="L11" i="21"/>
  <c r="AC11" i="21"/>
  <c r="AD11" i="21" s="1"/>
  <c r="Q13" i="21"/>
  <c r="S13" i="21" s="1"/>
  <c r="J12" i="21"/>
  <c r="P12" i="21"/>
  <c r="K12" i="21"/>
  <c r="I12" i="21" s="1"/>
  <c r="F13" i="21"/>
  <c r="G13" i="21" s="1"/>
  <c r="H14" i="21"/>
  <c r="Y8" i="15"/>
  <c r="AA4" i="15"/>
  <c r="AA3" i="15"/>
  <c r="AA8" i="15"/>
  <c r="F5" i="15"/>
  <c r="K5" i="15" s="1"/>
  <c r="M5" i="15"/>
  <c r="N5" i="15"/>
  <c r="W12" i="21" l="1"/>
  <c r="X12" i="21" s="1"/>
  <c r="Y12" i="21" s="1"/>
  <c r="T13" i="21"/>
  <c r="U13" i="21" s="1"/>
  <c r="Z13" i="21" s="1"/>
  <c r="V13" i="21"/>
  <c r="J13" i="21"/>
  <c r="P13" i="21"/>
  <c r="Q14" i="21"/>
  <c r="S14" i="21" s="1"/>
  <c r="L12" i="21"/>
  <c r="AC12" i="21"/>
  <c r="AD12" i="21" s="1"/>
  <c r="H15" i="21"/>
  <c r="F14" i="21"/>
  <c r="K13" i="21"/>
  <c r="I13" i="21" s="1"/>
  <c r="H5" i="15"/>
  <c r="E49" i="20"/>
  <c r="M64" i="20" s="1"/>
  <c r="W13" i="21" l="1"/>
  <c r="X13" i="21" s="1"/>
  <c r="Y13" i="21" s="1"/>
  <c r="T14" i="21"/>
  <c r="U14" i="21" s="1"/>
  <c r="Z14" i="21" s="1"/>
  <c r="V14" i="21"/>
  <c r="Q15" i="21"/>
  <c r="S15" i="21" s="1"/>
  <c r="L13" i="21"/>
  <c r="AC13" i="21"/>
  <c r="AD13" i="21" s="1"/>
  <c r="K14" i="21"/>
  <c r="I14" i="21" s="1"/>
  <c r="F15" i="21"/>
  <c r="K15" i="21" s="1"/>
  <c r="I15" i="21" s="1"/>
  <c r="G14" i="21"/>
  <c r="I5" i="15"/>
  <c r="H6" i="15"/>
  <c r="Q5" i="15"/>
  <c r="S5" i="15" s="1"/>
  <c r="T5" i="15" s="1"/>
  <c r="U5" i="15" s="1"/>
  <c r="Z5" i="15" s="1"/>
  <c r="G5" i="15"/>
  <c r="P5" i="15" s="1"/>
  <c r="J5" i="15"/>
  <c r="AC5" i="15"/>
  <c r="AD5" i="15" s="1"/>
  <c r="L5" i="15"/>
  <c r="N64" i="20"/>
  <c r="N60" i="20"/>
  <c r="M60" i="20"/>
  <c r="N63" i="20"/>
  <c r="M63" i="20"/>
  <c r="N62" i="20"/>
  <c r="M62" i="20"/>
  <c r="N59" i="20"/>
  <c r="N61" i="20"/>
  <c r="M61" i="20"/>
  <c r="M59" i="20"/>
  <c r="W14" i="21" l="1"/>
  <c r="T15" i="21"/>
  <c r="U15" i="21" s="1"/>
  <c r="Z15" i="21" s="1"/>
  <c r="V15" i="21"/>
  <c r="J14" i="21"/>
  <c r="P14" i="21"/>
  <c r="L15" i="21"/>
  <c r="AC15" i="21"/>
  <c r="AD15" i="21" s="1"/>
  <c r="AA11" i="21"/>
  <c r="X14" i="21"/>
  <c r="L14" i="21"/>
  <c r="AC14" i="21"/>
  <c r="AD14" i="21" s="1"/>
  <c r="AA15" i="21"/>
  <c r="AA7" i="21"/>
  <c r="G15" i="21"/>
  <c r="V5" i="15"/>
  <c r="Q6" i="15"/>
  <c r="S6" i="15" s="1"/>
  <c r="T6" i="15" s="1"/>
  <c r="U6" i="15" s="1"/>
  <c r="Z6" i="15" s="1"/>
  <c r="H7" i="15"/>
  <c r="I6" i="15"/>
  <c r="G6" i="15"/>
  <c r="V6" i="15"/>
  <c r="W6" i="15" s="1"/>
  <c r="W5" i="15"/>
  <c r="X5" i="15" s="1"/>
  <c r="Y5" i="15"/>
  <c r="M65" i="20"/>
  <c r="N65" i="20"/>
  <c r="M53" i="20"/>
  <c r="N53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W15" i="21" l="1"/>
  <c r="J15" i="21"/>
  <c r="P15" i="21"/>
  <c r="AA14" i="21"/>
  <c r="AA12" i="21"/>
  <c r="AA13" i="21"/>
  <c r="AA9" i="21"/>
  <c r="AA8" i="21"/>
  <c r="AA3" i="21"/>
  <c r="Y14" i="21"/>
  <c r="X15" i="21"/>
  <c r="Y15" i="21" s="1"/>
  <c r="AA6" i="21"/>
  <c r="AA5" i="21"/>
  <c r="AA4" i="21"/>
  <c r="AA10" i="21"/>
  <c r="AC6" i="15"/>
  <c r="AD6" i="15" s="1"/>
  <c r="L6" i="15"/>
  <c r="J6" i="15"/>
  <c r="P6" i="15"/>
  <c r="Q7" i="15"/>
  <c r="S7" i="15" s="1"/>
  <c r="T7" i="15" s="1"/>
  <c r="U7" i="15" s="1"/>
  <c r="Z7" i="15" s="1"/>
  <c r="G7" i="15"/>
  <c r="I7" i="15"/>
  <c r="X6" i="15"/>
  <c r="M66" i="20"/>
  <c r="N66" i="20"/>
  <c r="E74" i="20"/>
  <c r="M54" i="20"/>
  <c r="N54" i="20"/>
  <c r="E75" i="20" l="1"/>
  <c r="M74" i="20"/>
  <c r="N74" i="20"/>
  <c r="V7" i="15"/>
  <c r="W7" i="15" s="1"/>
  <c r="X7" i="15" s="1"/>
  <c r="L7" i="15"/>
  <c r="AC7" i="15"/>
  <c r="AD7" i="15" s="1"/>
  <c r="P7" i="15"/>
  <c r="J7" i="15"/>
  <c r="AA6" i="15"/>
  <c r="AA7" i="15"/>
  <c r="Y6" i="15"/>
  <c r="M68" i="20"/>
  <c r="N68" i="20"/>
  <c r="M67" i="20"/>
  <c r="N67" i="20"/>
  <c r="M55" i="20"/>
  <c r="N55" i="20"/>
  <c r="E76" i="20" l="1"/>
  <c r="M75" i="20"/>
  <c r="N75" i="20"/>
  <c r="AA5" i="15"/>
  <c r="Y7" i="15"/>
  <c r="M69" i="20"/>
  <c r="N69" i="20"/>
  <c r="N57" i="20"/>
  <c r="M57" i="20"/>
  <c r="M56" i="20"/>
  <c r="N56" i="20"/>
  <c r="E77" i="20" l="1"/>
  <c r="N76" i="20"/>
  <c r="M76" i="20"/>
  <c r="N70" i="20"/>
  <c r="M70" i="20"/>
  <c r="M58" i="20"/>
  <c r="N58" i="20"/>
  <c r="J17" i="16"/>
  <c r="K17" i="16"/>
  <c r="L17" i="16"/>
  <c r="M17" i="16"/>
  <c r="J16" i="16"/>
  <c r="K16" i="16"/>
  <c r="L16" i="16"/>
  <c r="M16" i="16"/>
  <c r="M77" i="20" l="1"/>
  <c r="N77" i="20"/>
  <c r="M71" i="20"/>
  <c r="N71" i="20"/>
  <c r="J14" i="16"/>
  <c r="K14" i="16"/>
  <c r="L14" i="16"/>
  <c r="M14" i="16"/>
  <c r="J15" i="16"/>
  <c r="K15" i="16"/>
  <c r="L15" i="16"/>
  <c r="M15" i="16"/>
  <c r="M72" i="20" l="1"/>
  <c r="N72" i="20"/>
  <c r="J13" i="16"/>
  <c r="K13" i="16"/>
  <c r="L13" i="16"/>
  <c r="M13" i="16"/>
  <c r="H12" i="16"/>
  <c r="H13" i="16"/>
  <c r="J12" i="16"/>
  <c r="K12" i="16"/>
  <c r="L12" i="16"/>
  <c r="M12" i="16"/>
  <c r="J11" i="16"/>
  <c r="K11" i="16"/>
  <c r="L11" i="16"/>
  <c r="M11" i="16"/>
  <c r="I11" i="16"/>
  <c r="J10" i="16"/>
  <c r="K10" i="16"/>
  <c r="L10" i="16"/>
  <c r="M10" i="16"/>
  <c r="N73" i="20" l="1"/>
  <c r="M73" i="20"/>
  <c r="J9" i="16"/>
  <c r="K9" i="16"/>
  <c r="L9" i="16"/>
  <c r="M9" i="16"/>
  <c r="J3" i="18" l="1"/>
  <c r="J4" i="18"/>
  <c r="J5" i="18"/>
  <c r="J6" i="18"/>
  <c r="J7" i="18"/>
  <c r="J8" i="18"/>
  <c r="J9" i="18"/>
  <c r="J10" i="18"/>
  <c r="J2" i="18"/>
  <c r="J8" i="16" l="1"/>
  <c r="K8" i="16"/>
  <c r="L8" i="16"/>
  <c r="M8" i="16"/>
  <c r="J7" i="16"/>
  <c r="K7" i="16"/>
  <c r="L7" i="16"/>
  <c r="M7" i="16"/>
  <c r="J6" i="16" l="1"/>
  <c r="K6" i="16"/>
  <c r="L6" i="16"/>
  <c r="M6" i="16"/>
  <c r="M12" i="20" l="1"/>
  <c r="N12" i="20"/>
  <c r="M4" i="20"/>
  <c r="N4" i="20"/>
  <c r="M5" i="20"/>
  <c r="N5" i="20"/>
  <c r="M6" i="20"/>
  <c r="N6" i="20"/>
  <c r="M7" i="20"/>
  <c r="N7" i="20"/>
  <c r="M8" i="20"/>
  <c r="N8" i="20"/>
  <c r="M9" i="20"/>
  <c r="N9" i="20"/>
  <c r="M10" i="20"/>
  <c r="N10" i="20"/>
  <c r="M11" i="20"/>
  <c r="N11" i="20"/>
  <c r="J5" i="16"/>
  <c r="K5" i="16"/>
  <c r="L5" i="16"/>
  <c r="M5" i="16"/>
  <c r="M13" i="20" l="1"/>
  <c r="N13" i="20"/>
  <c r="E4" i="17"/>
  <c r="N14" i="20" l="1"/>
  <c r="M14" i="20"/>
  <c r="N3" i="20"/>
  <c r="M3" i="20"/>
  <c r="F3" i="20"/>
  <c r="F4" i="20" s="1"/>
  <c r="K2" i="20"/>
  <c r="I2" i="20" s="1"/>
  <c r="AC2" i="20" s="1"/>
  <c r="AD2" i="20" s="1"/>
  <c r="J2" i="20"/>
  <c r="H3" i="20" l="1"/>
  <c r="H4" i="20" s="1"/>
  <c r="Q4" i="20" s="1"/>
  <c r="M16" i="20"/>
  <c r="N16" i="20"/>
  <c r="M15" i="20"/>
  <c r="N15" i="20"/>
  <c r="K4" i="20"/>
  <c r="F5" i="20"/>
  <c r="K3" i="20"/>
  <c r="F4" i="15"/>
  <c r="K4" i="15" s="1"/>
  <c r="M4" i="15"/>
  <c r="N4" i="15"/>
  <c r="I3" i="20" l="1"/>
  <c r="L3" i="20" s="1"/>
  <c r="G3" i="20"/>
  <c r="J3" i="20" s="1"/>
  <c r="G4" i="20"/>
  <c r="P4" i="20" s="1"/>
  <c r="Q3" i="20"/>
  <c r="S3" i="20" s="1"/>
  <c r="V3" i="20" s="1"/>
  <c r="H5" i="20"/>
  <c r="H6" i="20" s="1"/>
  <c r="I4" i="20"/>
  <c r="AC4" i="20" s="1"/>
  <c r="AD4" i="20" s="1"/>
  <c r="M20" i="20"/>
  <c r="N20" i="20"/>
  <c r="M18" i="20"/>
  <c r="N18" i="20"/>
  <c r="M17" i="20"/>
  <c r="N17" i="20"/>
  <c r="K5" i="20"/>
  <c r="F6" i="20"/>
  <c r="H4" i="15"/>
  <c r="G4" i="15" s="1"/>
  <c r="Y4" i="16"/>
  <c r="Y3" i="16"/>
  <c r="U3" i="16"/>
  <c r="U4" i="16"/>
  <c r="U5" i="16"/>
  <c r="U6" i="16"/>
  <c r="U7" i="16"/>
  <c r="U8" i="16"/>
  <c r="U9" i="16"/>
  <c r="U10" i="16"/>
  <c r="U11" i="16"/>
  <c r="U2" i="16"/>
  <c r="P3" i="20" l="1"/>
  <c r="AC3" i="20"/>
  <c r="AD3" i="20" s="1"/>
  <c r="T3" i="20"/>
  <c r="U3" i="20" s="1"/>
  <c r="Z3" i="20" s="1"/>
  <c r="J4" i="20"/>
  <c r="S4" i="20"/>
  <c r="V4" i="20" s="1"/>
  <c r="G5" i="20"/>
  <c r="J5" i="20" s="1"/>
  <c r="Q5" i="20"/>
  <c r="L4" i="20"/>
  <c r="I5" i="20"/>
  <c r="M21" i="20"/>
  <c r="N21" i="20"/>
  <c r="N19" i="20"/>
  <c r="M19" i="20"/>
  <c r="Q6" i="20"/>
  <c r="G6" i="20"/>
  <c r="H7" i="20"/>
  <c r="F7" i="20"/>
  <c r="K6" i="20"/>
  <c r="I6" i="20" s="1"/>
  <c r="AC6" i="20" s="1"/>
  <c r="AD6" i="20" s="1"/>
  <c r="I4" i="15"/>
  <c r="AC4" i="15" s="1"/>
  <c r="AD4" i="15" s="1"/>
  <c r="Q4" i="15"/>
  <c r="J4" i="15"/>
  <c r="P4" i="15"/>
  <c r="L5" i="20" l="1"/>
  <c r="AC5" i="20"/>
  <c r="AD5" i="20" s="1"/>
  <c r="AA4" i="20"/>
  <c r="L4" i="15"/>
  <c r="W3" i="20"/>
  <c r="X3" i="20" s="1"/>
  <c r="Y3" i="20" s="1"/>
  <c r="S5" i="20"/>
  <c r="T4" i="20"/>
  <c r="U4" i="20" s="1"/>
  <c r="Z4" i="20" s="1"/>
  <c r="P5" i="20"/>
  <c r="N23" i="20"/>
  <c r="M23" i="20"/>
  <c r="N22" i="20"/>
  <c r="M22" i="20"/>
  <c r="J6" i="20"/>
  <c r="P6" i="20"/>
  <c r="L6" i="20"/>
  <c r="K7" i="20"/>
  <c r="I7" i="20" s="1"/>
  <c r="AC7" i="20" s="1"/>
  <c r="AD7" i="20" s="1"/>
  <c r="F8" i="20"/>
  <c r="H8" i="20"/>
  <c r="G7" i="20"/>
  <c r="Q7" i="20"/>
  <c r="H2" i="17"/>
  <c r="AA5" i="20" l="1"/>
  <c r="S6" i="20"/>
  <c r="V6" i="20" s="1"/>
  <c r="V5" i="20"/>
  <c r="W4" i="20"/>
  <c r="X4" i="20" s="1"/>
  <c r="Y4" i="20" s="1"/>
  <c r="T5" i="20"/>
  <c r="U5" i="20" s="1"/>
  <c r="Z5" i="20" s="1"/>
  <c r="M26" i="20"/>
  <c r="N26" i="20"/>
  <c r="M25" i="20"/>
  <c r="N25" i="20"/>
  <c r="M24" i="20"/>
  <c r="N24" i="20"/>
  <c r="P7" i="20"/>
  <c r="J7" i="20"/>
  <c r="H9" i="20"/>
  <c r="G8" i="20"/>
  <c r="Q8" i="20"/>
  <c r="T6" i="20"/>
  <c r="U6" i="20" s="1"/>
  <c r="Z6" i="20" s="1"/>
  <c r="L7" i="20"/>
  <c r="F9" i="20"/>
  <c r="K8" i="20"/>
  <c r="I8" i="20" s="1"/>
  <c r="AC8" i="20" s="1"/>
  <c r="AD8" i="20" s="1"/>
  <c r="N3" i="15"/>
  <c r="M3" i="15"/>
  <c r="F3" i="15"/>
  <c r="K2" i="15"/>
  <c r="I2" i="15" s="1"/>
  <c r="AC2" i="15" s="1"/>
  <c r="AD2" i="15" s="1"/>
  <c r="J2" i="15"/>
  <c r="S7" i="20" l="1"/>
  <c r="V7" i="20" s="1"/>
  <c r="AA6" i="20"/>
  <c r="W5" i="20"/>
  <c r="X5" i="20" s="1"/>
  <c r="Y5" i="20" s="1"/>
  <c r="W6" i="20"/>
  <c r="X6" i="20" s="1"/>
  <c r="Y6" i="20" s="1"/>
  <c r="M27" i="20"/>
  <c r="N27" i="20"/>
  <c r="K9" i="20"/>
  <c r="I9" i="20" s="1"/>
  <c r="AC9" i="20" s="1"/>
  <c r="AD9" i="20" s="1"/>
  <c r="F10" i="20"/>
  <c r="J8" i="20"/>
  <c r="P8" i="20"/>
  <c r="Q9" i="20"/>
  <c r="H10" i="20"/>
  <c r="G9" i="20"/>
  <c r="L8" i="20"/>
  <c r="H3" i="15"/>
  <c r="K3" i="15"/>
  <c r="T7" i="20" l="1"/>
  <c r="U7" i="20" s="1"/>
  <c r="Z7" i="20" s="1"/>
  <c r="S8" i="20"/>
  <c r="V8" i="20" s="1"/>
  <c r="AA7" i="20"/>
  <c r="W7" i="20"/>
  <c r="X7" i="20" s="1"/>
  <c r="Y7" i="20" s="1"/>
  <c r="M28" i="20"/>
  <c r="N28" i="20"/>
  <c r="P9" i="20"/>
  <c r="J9" i="20"/>
  <c r="H11" i="20"/>
  <c r="H12" i="20" s="1"/>
  <c r="G10" i="20"/>
  <c r="Q10" i="20"/>
  <c r="F11" i="20"/>
  <c r="F12" i="20" s="1"/>
  <c r="K10" i="20"/>
  <c r="I10" i="20" s="1"/>
  <c r="AC10" i="20" s="1"/>
  <c r="AD10" i="20" s="1"/>
  <c r="L9" i="20"/>
  <c r="G3" i="15"/>
  <c r="Q3" i="15"/>
  <c r="S3" i="15" s="1"/>
  <c r="I3" i="15"/>
  <c r="L3" i="15" s="1"/>
  <c r="P3" i="15"/>
  <c r="J3" i="15"/>
  <c r="S9" i="20" l="1"/>
  <c r="T9" i="20" s="1"/>
  <c r="U9" i="20" s="1"/>
  <c r="Z9" i="20" s="1"/>
  <c r="T8" i="20"/>
  <c r="U8" i="20" s="1"/>
  <c r="Z8" i="20" s="1"/>
  <c r="AA8" i="20"/>
  <c r="V9" i="20"/>
  <c r="T3" i="15"/>
  <c r="U3" i="15" s="1"/>
  <c r="Z3" i="15" s="1"/>
  <c r="S4" i="15"/>
  <c r="S10" i="20"/>
  <c r="V10" i="20" s="1"/>
  <c r="M30" i="20"/>
  <c r="N30" i="20"/>
  <c r="N29" i="20"/>
  <c r="M29" i="20"/>
  <c r="F13" i="20"/>
  <c r="K12" i="20"/>
  <c r="I12" i="20" s="1"/>
  <c r="AC12" i="20" s="1"/>
  <c r="AD12" i="20" s="1"/>
  <c r="Q12" i="20"/>
  <c r="G12" i="20"/>
  <c r="H13" i="20"/>
  <c r="K11" i="20"/>
  <c r="I11" i="20" s="1"/>
  <c r="AC11" i="20" s="1"/>
  <c r="AD11" i="20" s="1"/>
  <c r="G11" i="20"/>
  <c r="Q11" i="20"/>
  <c r="S11" i="20" s="1"/>
  <c r="P10" i="20"/>
  <c r="J10" i="20"/>
  <c r="L10" i="20"/>
  <c r="V3" i="15"/>
  <c r="W3" i="15" s="1"/>
  <c r="X3" i="15" s="1"/>
  <c r="Y3" i="15" s="1"/>
  <c r="AC3" i="15"/>
  <c r="AD3" i="15" s="1"/>
  <c r="W8" i="20" l="1"/>
  <c r="X8" i="20" s="1"/>
  <c r="Y8" i="20" s="1"/>
  <c r="W9" i="20"/>
  <c r="X9" i="20" s="1"/>
  <c r="Y9" i="20" s="1"/>
  <c r="AA9" i="20"/>
  <c r="T11" i="20"/>
  <c r="U11" i="20" s="1"/>
  <c r="Z11" i="20" s="1"/>
  <c r="V11" i="20"/>
  <c r="T4" i="15"/>
  <c r="U4" i="15" s="1"/>
  <c r="Z4" i="15" s="1"/>
  <c r="V4" i="15"/>
  <c r="T10" i="20"/>
  <c r="U10" i="20" s="1"/>
  <c r="Z10" i="20" s="1"/>
  <c r="S12" i="20"/>
  <c r="F14" i="20"/>
  <c r="K13" i="20"/>
  <c r="I13" i="20" s="1"/>
  <c r="AC13" i="20" s="1"/>
  <c r="AD13" i="20" s="1"/>
  <c r="G13" i="20"/>
  <c r="Q13" i="20"/>
  <c r="H14" i="20"/>
  <c r="L12" i="20"/>
  <c r="P12" i="20"/>
  <c r="J12" i="20"/>
  <c r="L11" i="20"/>
  <c r="P11" i="20"/>
  <c r="J11" i="20"/>
  <c r="N26" i="9"/>
  <c r="O26" i="9"/>
  <c r="N27" i="9"/>
  <c r="O27" i="9"/>
  <c r="N28" i="9"/>
  <c r="O28" i="9"/>
  <c r="N29" i="9"/>
  <c r="O29" i="9"/>
  <c r="N30" i="9"/>
  <c r="O30" i="9"/>
  <c r="N31" i="9"/>
  <c r="O31" i="9"/>
  <c r="N32" i="9"/>
  <c r="O32" i="9"/>
  <c r="N33" i="9"/>
  <c r="O33" i="9"/>
  <c r="N34" i="9"/>
  <c r="O34" i="9"/>
  <c r="N35" i="9"/>
  <c r="O35" i="9"/>
  <c r="N36" i="9"/>
  <c r="O36" i="9"/>
  <c r="N37" i="9"/>
  <c r="O37" i="9"/>
  <c r="N38" i="9"/>
  <c r="O38" i="9"/>
  <c r="N39" i="9"/>
  <c r="O39" i="9"/>
  <c r="N40" i="9"/>
  <c r="O40" i="9"/>
  <c r="N41" i="9"/>
  <c r="O41" i="9"/>
  <c r="N42" i="9"/>
  <c r="O42" i="9"/>
  <c r="N43" i="9"/>
  <c r="O43" i="9"/>
  <c r="N44" i="9"/>
  <c r="O44" i="9"/>
  <c r="N45" i="9"/>
  <c r="O45" i="9"/>
  <c r="N46" i="9"/>
  <c r="O46" i="9"/>
  <c r="N47" i="9"/>
  <c r="O47" i="9"/>
  <c r="N48" i="9"/>
  <c r="O48" i="9"/>
  <c r="N49" i="9"/>
  <c r="O49" i="9"/>
  <c r="N50" i="9"/>
  <c r="O50" i="9"/>
  <c r="N51" i="9"/>
  <c r="O51" i="9"/>
  <c r="N52" i="9"/>
  <c r="O52" i="9"/>
  <c r="N53" i="9"/>
  <c r="O53" i="9"/>
  <c r="N54" i="9"/>
  <c r="O54" i="9"/>
  <c r="N55" i="9"/>
  <c r="O55" i="9"/>
  <c r="N56" i="9"/>
  <c r="O56" i="9"/>
  <c r="N57" i="9"/>
  <c r="O57" i="9"/>
  <c r="N58" i="9"/>
  <c r="O58" i="9"/>
  <c r="N59" i="9"/>
  <c r="O59" i="9"/>
  <c r="N60" i="9"/>
  <c r="O60" i="9"/>
  <c r="N61" i="9"/>
  <c r="O61" i="9"/>
  <c r="N62" i="9"/>
  <c r="O62" i="9"/>
  <c r="N63" i="9"/>
  <c r="O63" i="9"/>
  <c r="N64" i="9"/>
  <c r="O64" i="9"/>
  <c r="N65" i="9"/>
  <c r="O65" i="9"/>
  <c r="N66" i="9"/>
  <c r="O66" i="9"/>
  <c r="N67" i="9"/>
  <c r="O67" i="9"/>
  <c r="N68" i="9"/>
  <c r="O68" i="9"/>
  <c r="N69" i="9"/>
  <c r="O69" i="9"/>
  <c r="N70" i="9"/>
  <c r="O70" i="9"/>
  <c r="N71" i="9"/>
  <c r="O71" i="9"/>
  <c r="N72" i="9"/>
  <c r="O72" i="9"/>
  <c r="N73" i="9"/>
  <c r="O73" i="9"/>
  <c r="N74" i="9"/>
  <c r="O74" i="9"/>
  <c r="N75" i="9"/>
  <c r="O75" i="9"/>
  <c r="N76" i="9"/>
  <c r="O76" i="9"/>
  <c r="N77" i="9"/>
  <c r="O77" i="9"/>
  <c r="N78" i="9"/>
  <c r="O78" i="9"/>
  <c r="N79" i="9"/>
  <c r="O79" i="9"/>
  <c r="N80" i="9"/>
  <c r="O80" i="9"/>
  <c r="N81" i="9"/>
  <c r="O81" i="9"/>
  <c r="N82" i="9"/>
  <c r="O82" i="9"/>
  <c r="N83" i="9"/>
  <c r="O83" i="9"/>
  <c r="N84" i="9"/>
  <c r="O84" i="9"/>
  <c r="N85" i="9"/>
  <c r="O85" i="9"/>
  <c r="N86" i="9"/>
  <c r="O86" i="9"/>
  <c r="N87" i="9"/>
  <c r="O87" i="9"/>
  <c r="N88" i="9"/>
  <c r="O88" i="9"/>
  <c r="N89" i="9"/>
  <c r="O89" i="9"/>
  <c r="N90" i="9"/>
  <c r="O90" i="9"/>
  <c r="N91" i="9"/>
  <c r="O91" i="9"/>
  <c r="N92" i="9"/>
  <c r="O92" i="9"/>
  <c r="N93" i="9"/>
  <c r="O93" i="9"/>
  <c r="N94" i="9"/>
  <c r="O94" i="9"/>
  <c r="N95" i="9"/>
  <c r="O95" i="9"/>
  <c r="N96" i="9"/>
  <c r="O96" i="9"/>
  <c r="N97" i="9"/>
  <c r="O97" i="9"/>
  <c r="N98" i="9"/>
  <c r="O98" i="9"/>
  <c r="N99" i="9"/>
  <c r="O99" i="9"/>
  <c r="N100" i="9"/>
  <c r="O100" i="9"/>
  <c r="N101" i="9"/>
  <c r="O101" i="9"/>
  <c r="N102" i="9"/>
  <c r="O102" i="9"/>
  <c r="N103" i="9"/>
  <c r="O103" i="9"/>
  <c r="N104" i="9"/>
  <c r="O104" i="9"/>
  <c r="N105" i="9"/>
  <c r="O105" i="9"/>
  <c r="N106" i="9"/>
  <c r="O106" i="9"/>
  <c r="N107" i="9"/>
  <c r="O107" i="9"/>
  <c r="N108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G3" i="16"/>
  <c r="G4" i="16"/>
  <c r="G2" i="16"/>
  <c r="AA10" i="20" l="1"/>
  <c r="AA11" i="20"/>
  <c r="W11" i="20"/>
  <c r="X11" i="20" s="1"/>
  <c r="Y11" i="20" s="1"/>
  <c r="T12" i="20"/>
  <c r="U12" i="20" s="1"/>
  <c r="Z12" i="20" s="1"/>
  <c r="V12" i="20"/>
  <c r="W10" i="20"/>
  <c r="X10" i="20" s="1"/>
  <c r="Y10" i="20" s="1"/>
  <c r="W4" i="15"/>
  <c r="X4" i="15" s="1"/>
  <c r="Y4" i="15" s="1"/>
  <c r="S13" i="20"/>
  <c r="V13" i="20" s="1"/>
  <c r="F15" i="20"/>
  <c r="K14" i="20"/>
  <c r="I14" i="20" s="1"/>
  <c r="AC14" i="20" s="1"/>
  <c r="AD14" i="20" s="1"/>
  <c r="J13" i="20"/>
  <c r="P13" i="20"/>
  <c r="Q14" i="20"/>
  <c r="G14" i="20"/>
  <c r="H15" i="20"/>
  <c r="H16" i="20" s="1"/>
  <c r="L13" i="20"/>
  <c r="AA12" i="20" s="1"/>
  <c r="F2" i="9"/>
  <c r="F3" i="9"/>
  <c r="F4" i="9"/>
  <c r="J4" i="9" s="1"/>
  <c r="F5" i="9"/>
  <c r="J5" i="9" s="1"/>
  <c r="F6" i="9"/>
  <c r="J6" i="9" s="1"/>
  <c r="F7" i="9"/>
  <c r="J7" i="9"/>
  <c r="F8" i="9"/>
  <c r="J8" i="9" s="1"/>
  <c r="F9" i="9"/>
  <c r="J9" i="9" s="1"/>
  <c r="F10" i="9"/>
  <c r="F11" i="9"/>
  <c r="F12" i="9"/>
  <c r="J12" i="9" s="1"/>
  <c r="F13" i="9"/>
  <c r="J13" i="9" s="1"/>
  <c r="F14" i="9"/>
  <c r="J14" i="9"/>
  <c r="F15" i="9"/>
  <c r="F16" i="9"/>
  <c r="F17" i="9"/>
  <c r="F18" i="9"/>
  <c r="F19" i="9"/>
  <c r="J19" i="9" s="1"/>
  <c r="F20" i="9"/>
  <c r="F21" i="9"/>
  <c r="F22" i="9"/>
  <c r="F23" i="9"/>
  <c r="F24" i="9"/>
  <c r="F25" i="9"/>
  <c r="G25" i="9"/>
  <c r="F26" i="9"/>
  <c r="G26" i="9"/>
  <c r="J26" i="9"/>
  <c r="F27" i="9"/>
  <c r="G27" i="9"/>
  <c r="J27" i="9"/>
  <c r="F28" i="9"/>
  <c r="G28" i="9"/>
  <c r="J28" i="9"/>
  <c r="F29" i="9"/>
  <c r="G29" i="9"/>
  <c r="J29" i="9"/>
  <c r="F30" i="9"/>
  <c r="G30" i="9"/>
  <c r="J30" i="9"/>
  <c r="F31" i="9"/>
  <c r="G31" i="9"/>
  <c r="J31" i="9"/>
  <c r="G38" i="9"/>
  <c r="H38" i="9" s="1"/>
  <c r="J38" i="9"/>
  <c r="J4" i="16"/>
  <c r="K4" i="16"/>
  <c r="L4" i="16"/>
  <c r="M4" i="16"/>
  <c r="J3" i="16"/>
  <c r="K3" i="16"/>
  <c r="L3" i="16"/>
  <c r="M3" i="16"/>
  <c r="I2" i="16"/>
  <c r="H2" i="16"/>
  <c r="W12" i="20" l="1"/>
  <c r="X12" i="20" s="1"/>
  <c r="Y12" i="20" s="1"/>
  <c r="O24" i="9"/>
  <c r="N24" i="9"/>
  <c r="N25" i="9"/>
  <c r="O25" i="9"/>
  <c r="J24" i="9"/>
  <c r="J25" i="9"/>
  <c r="G24" i="9"/>
  <c r="H24" i="9" s="1"/>
  <c r="I24" i="9" s="1"/>
  <c r="N23" i="9"/>
  <c r="O23" i="9"/>
  <c r="J23" i="9"/>
  <c r="G23" i="9"/>
  <c r="H23" i="9" s="1"/>
  <c r="I23" i="9" s="1"/>
  <c r="J22" i="9"/>
  <c r="N22" i="9"/>
  <c r="O22" i="9"/>
  <c r="G20" i="9"/>
  <c r="H20" i="9" s="1"/>
  <c r="I20" i="9" s="1"/>
  <c r="N20" i="9"/>
  <c r="O20" i="9"/>
  <c r="J21" i="9"/>
  <c r="O21" i="9"/>
  <c r="N21" i="9"/>
  <c r="G19" i="9"/>
  <c r="O19" i="9"/>
  <c r="N19" i="9"/>
  <c r="G18" i="9"/>
  <c r="H18" i="9" s="1"/>
  <c r="I18" i="9" s="1"/>
  <c r="N18" i="9"/>
  <c r="O18" i="9"/>
  <c r="J20" i="9"/>
  <c r="J18" i="9"/>
  <c r="T13" i="20"/>
  <c r="U13" i="20" s="1"/>
  <c r="Z13" i="20" s="1"/>
  <c r="J17" i="9"/>
  <c r="N17" i="9"/>
  <c r="O17" i="9"/>
  <c r="S14" i="20"/>
  <c r="V14" i="20" s="1"/>
  <c r="J16" i="9"/>
  <c r="N16" i="9"/>
  <c r="O16" i="9"/>
  <c r="J15" i="9"/>
  <c r="O15" i="9"/>
  <c r="N15" i="9"/>
  <c r="G14" i="9"/>
  <c r="H14" i="9" s="1"/>
  <c r="I14" i="9" s="1"/>
  <c r="K14" i="9" s="1"/>
  <c r="O14" i="9"/>
  <c r="N14" i="9"/>
  <c r="G13" i="9"/>
  <c r="H13" i="9" s="1"/>
  <c r="I13" i="9" s="1"/>
  <c r="K13" i="9" s="1"/>
  <c r="O13" i="9"/>
  <c r="N13" i="9"/>
  <c r="Q16" i="20"/>
  <c r="H17" i="20"/>
  <c r="H18" i="20" s="1"/>
  <c r="K15" i="20"/>
  <c r="I15" i="20" s="1"/>
  <c r="AC15" i="20" s="1"/>
  <c r="AD15" i="20" s="1"/>
  <c r="F16" i="20"/>
  <c r="G16" i="20" s="1"/>
  <c r="L14" i="20"/>
  <c r="AA13" i="20" s="1"/>
  <c r="G15" i="20"/>
  <c r="Q15" i="20"/>
  <c r="J14" i="20"/>
  <c r="P14" i="20"/>
  <c r="G12" i="9"/>
  <c r="H12" i="9" s="1"/>
  <c r="I12" i="9" s="1"/>
  <c r="K12" i="9" s="1"/>
  <c r="N12" i="9"/>
  <c r="O12" i="9"/>
  <c r="G11" i="9"/>
  <c r="H11" i="9" s="1"/>
  <c r="I11" i="9" s="1"/>
  <c r="N11" i="9"/>
  <c r="O11" i="9"/>
  <c r="J11" i="9"/>
  <c r="G9" i="9"/>
  <c r="H9" i="9" s="1"/>
  <c r="I9" i="9" s="1"/>
  <c r="K9" i="9" s="1"/>
  <c r="N9" i="9"/>
  <c r="O9" i="9"/>
  <c r="G10" i="9"/>
  <c r="H10" i="9" s="1"/>
  <c r="I10" i="9" s="1"/>
  <c r="N10" i="9"/>
  <c r="O10" i="9"/>
  <c r="J10" i="9"/>
  <c r="G8" i="9"/>
  <c r="H8" i="9" s="1"/>
  <c r="I8" i="9" s="1"/>
  <c r="K8" i="9" s="1"/>
  <c r="N8" i="9"/>
  <c r="O8" i="9"/>
  <c r="G7" i="9"/>
  <c r="H7" i="9" s="1"/>
  <c r="I7" i="9" s="1"/>
  <c r="K7" i="9" s="1"/>
  <c r="N7" i="9"/>
  <c r="O7" i="9"/>
  <c r="G6" i="9"/>
  <c r="H6" i="9" s="1"/>
  <c r="I6" i="9" s="1"/>
  <c r="K6" i="9" s="1"/>
  <c r="N6" i="9"/>
  <c r="O6" i="9"/>
  <c r="G5" i="9"/>
  <c r="H5" i="9" s="1"/>
  <c r="I5" i="9" s="1"/>
  <c r="K5" i="9" s="1"/>
  <c r="N5" i="9"/>
  <c r="O5" i="9"/>
  <c r="G3" i="9"/>
  <c r="H3" i="9" s="1"/>
  <c r="I3" i="9" s="1"/>
  <c r="N3" i="9"/>
  <c r="O3" i="9"/>
  <c r="G2" i="9"/>
  <c r="H2" i="9" s="1"/>
  <c r="I2" i="9" s="1"/>
  <c r="O2" i="9"/>
  <c r="N2" i="9"/>
  <c r="G4" i="9"/>
  <c r="H4" i="9" s="1"/>
  <c r="I4" i="9" s="1"/>
  <c r="K4" i="9" s="1"/>
  <c r="N4" i="9"/>
  <c r="O4" i="9"/>
  <c r="J2" i="9"/>
  <c r="H28" i="9"/>
  <c r="I28" i="9" s="1"/>
  <c r="K28" i="9" s="1"/>
  <c r="H26" i="9"/>
  <c r="I26" i="9" s="1"/>
  <c r="K26" i="9" s="1"/>
  <c r="M26" i="9" s="1"/>
  <c r="H30" i="9"/>
  <c r="I30" i="9" s="1"/>
  <c r="K30" i="9" s="1"/>
  <c r="M30" i="9" s="1"/>
  <c r="H29" i="9"/>
  <c r="I29" i="9" s="1"/>
  <c r="K29" i="9" s="1"/>
  <c r="H25" i="9"/>
  <c r="I25" i="9" s="1"/>
  <c r="K25" i="9" s="1"/>
  <c r="H31" i="9"/>
  <c r="I31" i="9" s="1"/>
  <c r="K31" i="9" s="1"/>
  <c r="H27" i="9"/>
  <c r="I27" i="9" s="1"/>
  <c r="K27" i="9" s="1"/>
  <c r="H19" i="9"/>
  <c r="I19" i="9" s="1"/>
  <c r="K19" i="9" s="1"/>
  <c r="J3" i="9"/>
  <c r="G22" i="9"/>
  <c r="G21" i="9"/>
  <c r="G17" i="9"/>
  <c r="H17" i="9" s="1"/>
  <c r="G16" i="9"/>
  <c r="H16" i="9" s="1"/>
  <c r="G15" i="9"/>
  <c r="I38" i="9"/>
  <c r="K38" i="9" s="1"/>
  <c r="K24" i="9" l="1"/>
  <c r="M24" i="9" s="1"/>
  <c r="W13" i="20"/>
  <c r="X13" i="20" s="1"/>
  <c r="Y13" i="20" s="1"/>
  <c r="K18" i="9"/>
  <c r="M18" i="9" s="1"/>
  <c r="K23" i="9"/>
  <c r="M23" i="9" s="1"/>
  <c r="K20" i="9"/>
  <c r="L20" i="9" s="1"/>
  <c r="S15" i="20"/>
  <c r="V15" i="20" s="1"/>
  <c r="T14" i="20"/>
  <c r="U14" i="20" s="1"/>
  <c r="Z14" i="20" s="1"/>
  <c r="H19" i="20"/>
  <c r="H20" i="20" s="1"/>
  <c r="F17" i="20"/>
  <c r="K16" i="20"/>
  <c r="I16" i="20" s="1"/>
  <c r="AC16" i="20" s="1"/>
  <c r="AD16" i="20" s="1"/>
  <c r="Q17" i="20"/>
  <c r="J16" i="20"/>
  <c r="P16" i="20"/>
  <c r="L15" i="20"/>
  <c r="AA14" i="20" s="1"/>
  <c r="P15" i="20"/>
  <c r="J15" i="20"/>
  <c r="K11" i="9"/>
  <c r="L12" i="9" s="1"/>
  <c r="K10" i="9"/>
  <c r="M10" i="9" s="1"/>
  <c r="K2" i="9"/>
  <c r="L2" i="9" s="1"/>
  <c r="L30" i="9"/>
  <c r="L25" i="9"/>
  <c r="M29" i="9"/>
  <c r="L27" i="9"/>
  <c r="M27" i="9"/>
  <c r="M31" i="9"/>
  <c r="L31" i="9"/>
  <c r="M25" i="9"/>
  <c r="L28" i="9"/>
  <c r="K3" i="9"/>
  <c r="M4" i="9"/>
  <c r="M12" i="9"/>
  <c r="M19" i="9"/>
  <c r="L5" i="9"/>
  <c r="M5" i="9"/>
  <c r="L9" i="9"/>
  <c r="M9" i="9"/>
  <c r="L13" i="9"/>
  <c r="M13" i="9"/>
  <c r="L14" i="9"/>
  <c r="M14" i="9"/>
  <c r="L7" i="9"/>
  <c r="M7" i="9"/>
  <c r="L6" i="9"/>
  <c r="L8" i="9"/>
  <c r="I16" i="9"/>
  <c r="K16" i="9" s="1"/>
  <c r="H21" i="9"/>
  <c r="I21" i="9" s="1"/>
  <c r="K21" i="9" s="1"/>
  <c r="M6" i="9"/>
  <c r="H15" i="9"/>
  <c r="I15" i="9" s="1"/>
  <c r="K15" i="9" s="1"/>
  <c r="I17" i="9"/>
  <c r="K17" i="9" s="1"/>
  <c r="H22" i="9"/>
  <c r="I22" i="9" s="1"/>
  <c r="K22" i="9" s="1"/>
  <c r="M8" i="9"/>
  <c r="M28" i="9"/>
  <c r="L29" i="9"/>
  <c r="L26" i="9"/>
  <c r="M38" i="9"/>
  <c r="L19" i="9" l="1"/>
  <c r="M11" i="9"/>
  <c r="L24" i="9"/>
  <c r="W14" i="20"/>
  <c r="X14" i="20" s="1"/>
  <c r="Y14" i="20" s="1"/>
  <c r="L18" i="9"/>
  <c r="T15" i="20"/>
  <c r="U15" i="20" s="1"/>
  <c r="Z15" i="20" s="1"/>
  <c r="S16" i="20"/>
  <c r="V16" i="20" s="1"/>
  <c r="M20" i="9"/>
  <c r="H21" i="20"/>
  <c r="G17" i="20"/>
  <c r="J17" i="20" s="1"/>
  <c r="F18" i="20"/>
  <c r="F19" i="20" s="1"/>
  <c r="F20" i="20" s="1"/>
  <c r="F21" i="20" s="1"/>
  <c r="L10" i="9"/>
  <c r="L16" i="20"/>
  <c r="AA15" i="20" s="1"/>
  <c r="L11" i="9"/>
  <c r="K17" i="20"/>
  <c r="I17" i="20" s="1"/>
  <c r="Q18" i="20"/>
  <c r="M2" i="9"/>
  <c r="L3" i="9"/>
  <c r="M3" i="9"/>
  <c r="L4" i="9"/>
  <c r="L21" i="9"/>
  <c r="M21" i="9"/>
  <c r="L22" i="9"/>
  <c r="M22" i="9"/>
  <c r="L23" i="9"/>
  <c r="L15" i="9"/>
  <c r="M15" i="9"/>
  <c r="L16" i="9"/>
  <c r="M16" i="9"/>
  <c r="L17" i="9"/>
  <c r="M17" i="9"/>
  <c r="L17" i="20" l="1"/>
  <c r="AA16" i="20" s="1"/>
  <c r="AC17" i="20"/>
  <c r="AD17" i="20" s="1"/>
  <c r="T16" i="20"/>
  <c r="U16" i="20" s="1"/>
  <c r="Z16" i="20" s="1"/>
  <c r="W15" i="20"/>
  <c r="X15" i="20" s="1"/>
  <c r="Y15" i="20" s="1"/>
  <c r="S17" i="20"/>
  <c r="P17" i="20"/>
  <c r="Q21" i="20"/>
  <c r="H22" i="20"/>
  <c r="H23" i="20" s="1"/>
  <c r="G21" i="20"/>
  <c r="K21" i="20"/>
  <c r="I21" i="20" s="1"/>
  <c r="AC21" i="20" s="1"/>
  <c r="AD21" i="20" s="1"/>
  <c r="F22" i="20"/>
  <c r="G20" i="20"/>
  <c r="G19" i="20"/>
  <c r="G18" i="20"/>
  <c r="J18" i="20" s="1"/>
  <c r="K18" i="20"/>
  <c r="I18" i="20" s="1"/>
  <c r="AC18" i="20" s="1"/>
  <c r="AD18" i="20" s="1"/>
  <c r="Q19" i="20"/>
  <c r="C4" i="17"/>
  <c r="M2" i="16"/>
  <c r="L2" i="16"/>
  <c r="J2" i="16"/>
  <c r="K2" i="16"/>
  <c r="W16" i="20" l="1"/>
  <c r="X16" i="20" s="1"/>
  <c r="Y16" i="20" s="1"/>
  <c r="T17" i="20"/>
  <c r="U17" i="20" s="1"/>
  <c r="Z17" i="20" s="1"/>
  <c r="V17" i="20"/>
  <c r="S18" i="20"/>
  <c r="Q23" i="20"/>
  <c r="H24" i="20"/>
  <c r="H25" i="20" s="1"/>
  <c r="H26" i="20" s="1"/>
  <c r="H78" i="20" s="1"/>
  <c r="K22" i="20"/>
  <c r="I22" i="20" s="1"/>
  <c r="AC22" i="20" s="1"/>
  <c r="AD22" i="20" s="1"/>
  <c r="F23" i="20"/>
  <c r="Q22" i="20"/>
  <c r="J21" i="20"/>
  <c r="P21" i="20"/>
  <c r="G22" i="20"/>
  <c r="P18" i="20"/>
  <c r="L18" i="20"/>
  <c r="AA17" i="20" s="1"/>
  <c r="K20" i="20"/>
  <c r="I20" i="20" s="1"/>
  <c r="K19" i="20"/>
  <c r="I19" i="20" s="1"/>
  <c r="AC19" i="20" s="1"/>
  <c r="AD19" i="20" s="1"/>
  <c r="Q20" i="20"/>
  <c r="P19" i="20"/>
  <c r="J19" i="20"/>
  <c r="C294" i="9"/>
  <c r="F294" i="9"/>
  <c r="G294" i="9"/>
  <c r="J294" i="9"/>
  <c r="N294" i="9"/>
  <c r="O294" i="9"/>
  <c r="L21" i="20" l="1"/>
  <c r="AC20" i="20"/>
  <c r="AD20" i="20" s="1"/>
  <c r="W17" i="20"/>
  <c r="X17" i="20" s="1"/>
  <c r="Y17" i="20" s="1"/>
  <c r="T18" i="20"/>
  <c r="U18" i="20" s="1"/>
  <c r="Z18" i="20" s="1"/>
  <c r="V18" i="20"/>
  <c r="S19" i="20"/>
  <c r="S20" i="20" s="1"/>
  <c r="Q26" i="20"/>
  <c r="H27" i="20"/>
  <c r="Q25" i="20"/>
  <c r="Q24" i="20"/>
  <c r="K23" i="20"/>
  <c r="I23" i="20" s="1"/>
  <c r="AC23" i="20" s="1"/>
  <c r="AD23" i="20" s="1"/>
  <c r="F24" i="20"/>
  <c r="F25" i="20" s="1"/>
  <c r="G23" i="20"/>
  <c r="J22" i="20"/>
  <c r="P22" i="20"/>
  <c r="L22" i="20"/>
  <c r="L19" i="20"/>
  <c r="AA18" i="20" s="1"/>
  <c r="P20" i="20"/>
  <c r="J20" i="20"/>
  <c r="L20" i="20"/>
  <c r="H294" i="9"/>
  <c r="I294" i="9" s="1"/>
  <c r="AA19" i="20" l="1"/>
  <c r="AA21" i="20"/>
  <c r="W18" i="20"/>
  <c r="X18" i="20" s="1"/>
  <c r="Y18" i="20" s="1"/>
  <c r="AA20" i="20"/>
  <c r="T19" i="20"/>
  <c r="U19" i="20" s="1"/>
  <c r="Z19" i="20" s="1"/>
  <c r="V19" i="20"/>
  <c r="S21" i="20"/>
  <c r="V21" i="20" s="1"/>
  <c r="V20" i="20"/>
  <c r="Q27" i="20"/>
  <c r="K25" i="20"/>
  <c r="I25" i="20" s="1"/>
  <c r="AC25" i="20" s="1"/>
  <c r="AD25" i="20" s="1"/>
  <c r="F26" i="20"/>
  <c r="K26" i="20" s="1"/>
  <c r="I26" i="20" s="1"/>
  <c r="AC26" i="20" s="1"/>
  <c r="AD26" i="20" s="1"/>
  <c r="H28" i="20"/>
  <c r="G25" i="20"/>
  <c r="G24" i="20"/>
  <c r="J24" i="20" s="1"/>
  <c r="K24" i="20"/>
  <c r="I24" i="20" s="1"/>
  <c r="AC24" i="20" s="1"/>
  <c r="AD24" i="20" s="1"/>
  <c r="L23" i="20"/>
  <c r="AA22" i="20" s="1"/>
  <c r="J23" i="20"/>
  <c r="P23" i="20"/>
  <c r="T20" i="20"/>
  <c r="U20" i="20" s="1"/>
  <c r="Z20" i="20" s="1"/>
  <c r="K294" i="9"/>
  <c r="C293" i="9"/>
  <c r="F293" i="9"/>
  <c r="G293" i="9" s="1"/>
  <c r="S22" i="20" l="1"/>
  <c r="V22" i="20" s="1"/>
  <c r="W20" i="20"/>
  <c r="X20" i="20" s="1"/>
  <c r="Y20" i="20" s="1"/>
  <c r="W19" i="20"/>
  <c r="X19" i="20" s="1"/>
  <c r="Y19" i="20" s="1"/>
  <c r="T21" i="20"/>
  <c r="U21" i="20" s="1"/>
  <c r="Z21" i="20" s="1"/>
  <c r="L25" i="20"/>
  <c r="L26" i="20"/>
  <c r="Q28" i="20"/>
  <c r="H29" i="20"/>
  <c r="H30" i="20" s="1"/>
  <c r="H31" i="20" s="1"/>
  <c r="F27" i="20"/>
  <c r="K27" i="20" s="1"/>
  <c r="I27" i="20" s="1"/>
  <c r="AC27" i="20" s="1"/>
  <c r="AD27" i="20" s="1"/>
  <c r="G26" i="20"/>
  <c r="P24" i="20"/>
  <c r="J25" i="20"/>
  <c r="P25" i="20"/>
  <c r="S23" i="20"/>
  <c r="V23" i="20" s="1"/>
  <c r="L24" i="20"/>
  <c r="AA23" i="20" s="1"/>
  <c r="N293" i="9"/>
  <c r="O293" i="9"/>
  <c r="J293" i="9"/>
  <c r="M294" i="9"/>
  <c r="H293" i="9"/>
  <c r="I293" i="9" s="1"/>
  <c r="T22" i="20" l="1"/>
  <c r="U22" i="20" s="1"/>
  <c r="Z22" i="20" s="1"/>
  <c r="AA24" i="20"/>
  <c r="AA25" i="20"/>
  <c r="W21" i="20"/>
  <c r="X21" i="20" s="1"/>
  <c r="Y21" i="20" s="1"/>
  <c r="W22" i="20"/>
  <c r="X22" i="20" s="1"/>
  <c r="Y22" i="20" s="1"/>
  <c r="H32" i="20"/>
  <c r="Q31" i="20"/>
  <c r="Q30" i="20"/>
  <c r="L27" i="20"/>
  <c r="AA26" i="20" s="1"/>
  <c r="Q29" i="20"/>
  <c r="J26" i="20"/>
  <c r="P26" i="20"/>
  <c r="F28" i="20"/>
  <c r="K28" i="20" s="1"/>
  <c r="I28" i="20" s="1"/>
  <c r="G27" i="20"/>
  <c r="S24" i="20"/>
  <c r="T23" i="20"/>
  <c r="U23" i="20" s="1"/>
  <c r="Z23" i="20" s="1"/>
  <c r="K293" i="9"/>
  <c r="L294" i="9" s="1"/>
  <c r="L28" i="20" l="1"/>
  <c r="AA27" i="20" s="1"/>
  <c r="AC28" i="20"/>
  <c r="AD28" i="20" s="1"/>
  <c r="W23" i="20"/>
  <c r="X23" i="20" s="1"/>
  <c r="Y23" i="20" s="1"/>
  <c r="S25" i="20"/>
  <c r="V24" i="20"/>
  <c r="Q32" i="20"/>
  <c r="H33" i="20"/>
  <c r="J27" i="20"/>
  <c r="P27" i="20"/>
  <c r="F29" i="20"/>
  <c r="F30" i="20" s="1"/>
  <c r="F31" i="20" s="1"/>
  <c r="G28" i="20"/>
  <c r="T24" i="20"/>
  <c r="U24" i="20" s="1"/>
  <c r="Z24" i="20" s="1"/>
  <c r="M293" i="9"/>
  <c r="W24" i="20" l="1"/>
  <c r="X24" i="20" s="1"/>
  <c r="Y24" i="20" s="1"/>
  <c r="S26" i="20"/>
  <c r="V25" i="20"/>
  <c r="T25" i="20"/>
  <c r="U25" i="20" s="1"/>
  <c r="Z25" i="20" s="1"/>
  <c r="F32" i="20"/>
  <c r="K31" i="20"/>
  <c r="I31" i="20" s="1"/>
  <c r="AC31" i="20" s="1"/>
  <c r="AD31" i="20" s="1"/>
  <c r="G31" i="20"/>
  <c r="Q33" i="20"/>
  <c r="H34" i="20"/>
  <c r="G30" i="20"/>
  <c r="J30" i="20" s="1"/>
  <c r="K30" i="20"/>
  <c r="I30" i="20" s="1"/>
  <c r="AC30" i="20" s="1"/>
  <c r="AD30" i="20" s="1"/>
  <c r="G29" i="20"/>
  <c r="P29" i="20" s="1"/>
  <c r="K29" i="20"/>
  <c r="I29" i="20" s="1"/>
  <c r="AC29" i="20" s="1"/>
  <c r="AD29" i="20" s="1"/>
  <c r="J28" i="20"/>
  <c r="P28" i="20"/>
  <c r="C291" i="9"/>
  <c r="C292" i="9"/>
  <c r="F292" i="9"/>
  <c r="G292" i="9" s="1"/>
  <c r="J292" i="9"/>
  <c r="W25" i="20" l="1"/>
  <c r="X25" i="20" s="1"/>
  <c r="Y25" i="20" s="1"/>
  <c r="V26" i="20"/>
  <c r="T26" i="20"/>
  <c r="U26" i="20" s="1"/>
  <c r="Z26" i="20" s="1"/>
  <c r="S27" i="20"/>
  <c r="L31" i="20"/>
  <c r="P31" i="20"/>
  <c r="J31" i="20"/>
  <c r="F33" i="20"/>
  <c r="K32" i="20"/>
  <c r="I32" i="20" s="1"/>
  <c r="AC32" i="20" s="1"/>
  <c r="AD32" i="20" s="1"/>
  <c r="G32" i="20"/>
  <c r="Q34" i="20"/>
  <c r="H35" i="20"/>
  <c r="P30" i="20"/>
  <c r="L30" i="20"/>
  <c r="J29" i="20"/>
  <c r="L29" i="20"/>
  <c r="AA28" i="20" s="1"/>
  <c r="O292" i="9"/>
  <c r="N292" i="9"/>
  <c r="H292" i="9"/>
  <c r="I292" i="9" s="1"/>
  <c r="K292" i="9" s="1"/>
  <c r="L293" i="9" s="1"/>
  <c r="AA29" i="20" l="1"/>
  <c r="AA30" i="20"/>
  <c r="V27" i="20"/>
  <c r="T27" i="20"/>
  <c r="U27" i="20" s="1"/>
  <c r="Z27" i="20" s="1"/>
  <c r="S28" i="20"/>
  <c r="W26" i="20"/>
  <c r="X26" i="20" s="1"/>
  <c r="Y26" i="20" s="1"/>
  <c r="Q35" i="20"/>
  <c r="H36" i="20"/>
  <c r="J32" i="20"/>
  <c r="P32" i="20"/>
  <c r="L32" i="20"/>
  <c r="AA31" i="20" s="1"/>
  <c r="F34" i="20"/>
  <c r="K33" i="20"/>
  <c r="I33" i="20" s="1"/>
  <c r="AC33" i="20" s="1"/>
  <c r="AD33" i="20" s="1"/>
  <c r="G33" i="20"/>
  <c r="M292" i="9"/>
  <c r="V28" i="20" l="1"/>
  <c r="T28" i="20"/>
  <c r="U28" i="20" s="1"/>
  <c r="Z28" i="20" s="1"/>
  <c r="S29" i="20"/>
  <c r="W27" i="20"/>
  <c r="X27" i="20" s="1"/>
  <c r="Y27" i="20" s="1"/>
  <c r="Q36" i="20"/>
  <c r="H37" i="20"/>
  <c r="L33" i="20"/>
  <c r="AA32" i="20" s="1"/>
  <c r="F35" i="20"/>
  <c r="K34" i="20"/>
  <c r="I34" i="20" s="1"/>
  <c r="AC34" i="20" s="1"/>
  <c r="AD34" i="20" s="1"/>
  <c r="G34" i="20"/>
  <c r="J33" i="20"/>
  <c r="P33" i="20"/>
  <c r="F291" i="9"/>
  <c r="G291" i="9" s="1"/>
  <c r="S30" i="20" l="1"/>
  <c r="V29" i="20"/>
  <c r="T29" i="20"/>
  <c r="U29" i="20" s="1"/>
  <c r="Z29" i="20" s="1"/>
  <c r="W28" i="20"/>
  <c r="X28" i="20" s="1"/>
  <c r="Y28" i="20" s="1"/>
  <c r="H38" i="20"/>
  <c r="Q37" i="20"/>
  <c r="K35" i="20"/>
  <c r="I35" i="20" s="1"/>
  <c r="AC35" i="20" s="1"/>
  <c r="AD35" i="20" s="1"/>
  <c r="F36" i="20"/>
  <c r="G35" i="20"/>
  <c r="P34" i="20"/>
  <c r="J34" i="20"/>
  <c r="L34" i="20"/>
  <c r="AA33" i="20" s="1"/>
  <c r="O291" i="9"/>
  <c r="N291" i="9"/>
  <c r="J291" i="9"/>
  <c r="H291" i="9"/>
  <c r="I291" i="9" s="1"/>
  <c r="C290" i="9"/>
  <c r="F290" i="9"/>
  <c r="G290" i="9" s="1"/>
  <c r="W29" i="20" l="1"/>
  <c r="X29" i="20" s="1"/>
  <c r="Y29" i="20" s="1"/>
  <c r="S31" i="20"/>
  <c r="V30" i="20"/>
  <c r="T30" i="20"/>
  <c r="U30" i="20" s="1"/>
  <c r="Z30" i="20" s="1"/>
  <c r="F37" i="20"/>
  <c r="K36" i="20"/>
  <c r="I36" i="20" s="1"/>
  <c r="AC36" i="20" s="1"/>
  <c r="AD36" i="20" s="1"/>
  <c r="G36" i="20"/>
  <c r="P35" i="20"/>
  <c r="J35" i="20"/>
  <c r="L35" i="20"/>
  <c r="AA34" i="20" s="1"/>
  <c r="H39" i="20"/>
  <c r="Q38" i="20"/>
  <c r="K291" i="9"/>
  <c r="L292" i="9" s="1"/>
  <c r="O290" i="9"/>
  <c r="N290" i="9"/>
  <c r="J290" i="9"/>
  <c r="H290" i="9"/>
  <c r="I290" i="9" s="1"/>
  <c r="C289" i="9"/>
  <c r="F289" i="9"/>
  <c r="G289" i="9" s="1"/>
  <c r="W30" i="20" l="1"/>
  <c r="X30" i="20" s="1"/>
  <c r="Y30" i="20" s="1"/>
  <c r="V31" i="20"/>
  <c r="T31" i="20"/>
  <c r="U31" i="20" s="1"/>
  <c r="Z31" i="20" s="1"/>
  <c r="S32" i="20"/>
  <c r="F38" i="20"/>
  <c r="K37" i="20"/>
  <c r="I37" i="20" s="1"/>
  <c r="AC37" i="20" s="1"/>
  <c r="AD37" i="20" s="1"/>
  <c r="G37" i="20"/>
  <c r="J36" i="20"/>
  <c r="P36" i="20"/>
  <c r="H40" i="20"/>
  <c r="Q39" i="20"/>
  <c r="L36" i="20"/>
  <c r="AA35" i="20" s="1"/>
  <c r="O289" i="9"/>
  <c r="K290" i="9"/>
  <c r="L291" i="9" s="1"/>
  <c r="N289" i="9"/>
  <c r="J289" i="9"/>
  <c r="M291" i="9"/>
  <c r="H289" i="9"/>
  <c r="I289" i="9" s="1"/>
  <c r="W31" i="20" l="1"/>
  <c r="X31" i="20" s="1"/>
  <c r="Y31" i="20" s="1"/>
  <c r="V32" i="20"/>
  <c r="T32" i="20"/>
  <c r="U32" i="20" s="1"/>
  <c r="Z32" i="20" s="1"/>
  <c r="S33" i="20"/>
  <c r="Q40" i="20"/>
  <c r="H41" i="20"/>
  <c r="P37" i="20"/>
  <c r="J37" i="20"/>
  <c r="L37" i="20"/>
  <c r="AA36" i="20" s="1"/>
  <c r="K38" i="20"/>
  <c r="I38" i="20" s="1"/>
  <c r="AC38" i="20" s="1"/>
  <c r="AD38" i="20" s="1"/>
  <c r="F39" i="20"/>
  <c r="G38" i="20"/>
  <c r="K289" i="9"/>
  <c r="L290" i="9" s="1"/>
  <c r="M290" i="9"/>
  <c r="C288" i="9"/>
  <c r="F288" i="9"/>
  <c r="G288" i="9" s="1"/>
  <c r="V33" i="20" l="1"/>
  <c r="S34" i="20"/>
  <c r="T33" i="20"/>
  <c r="U33" i="20" s="1"/>
  <c r="Z33" i="20" s="1"/>
  <c r="W32" i="20"/>
  <c r="X32" i="20" s="1"/>
  <c r="Y32" i="20" s="1"/>
  <c r="Q41" i="20"/>
  <c r="H42" i="20"/>
  <c r="K39" i="20"/>
  <c r="I39" i="20" s="1"/>
  <c r="AC39" i="20" s="1"/>
  <c r="AD39" i="20" s="1"/>
  <c r="F40" i="20"/>
  <c r="G39" i="20"/>
  <c r="J38" i="20"/>
  <c r="P38" i="20"/>
  <c r="L38" i="20"/>
  <c r="AA37" i="20" s="1"/>
  <c r="M289" i="9"/>
  <c r="N288" i="9"/>
  <c r="O288" i="9"/>
  <c r="J288" i="9"/>
  <c r="H288" i="9"/>
  <c r="I288" i="9" s="1"/>
  <c r="C287" i="9"/>
  <c r="F287" i="9"/>
  <c r="N287" i="9" s="1"/>
  <c r="V34" i="20" l="1"/>
  <c r="T34" i="20"/>
  <c r="U34" i="20" s="1"/>
  <c r="Z34" i="20" s="1"/>
  <c r="S35" i="20"/>
  <c r="W33" i="20"/>
  <c r="X33" i="20" s="1"/>
  <c r="Y33" i="20" s="1"/>
  <c r="Q42" i="20"/>
  <c r="H43" i="20"/>
  <c r="P39" i="20"/>
  <c r="J39" i="20"/>
  <c r="L39" i="20"/>
  <c r="AA38" i="20" s="1"/>
  <c r="K40" i="20"/>
  <c r="I40" i="20" s="1"/>
  <c r="AC40" i="20" s="1"/>
  <c r="AD40" i="20" s="1"/>
  <c r="F41" i="20"/>
  <c r="G40" i="20"/>
  <c r="K288" i="9"/>
  <c r="J287" i="9"/>
  <c r="G287" i="9"/>
  <c r="H287" i="9" s="1"/>
  <c r="I287" i="9" s="1"/>
  <c r="O287" i="9"/>
  <c r="V35" i="20" l="1"/>
  <c r="T35" i="20"/>
  <c r="U35" i="20" s="1"/>
  <c r="Z35" i="20" s="1"/>
  <c r="S36" i="20"/>
  <c r="W34" i="20"/>
  <c r="X34" i="20" s="1"/>
  <c r="Y34" i="20" s="1"/>
  <c r="L40" i="20"/>
  <c r="AA39" i="20" s="1"/>
  <c r="H44" i="20"/>
  <c r="Q43" i="20"/>
  <c r="P40" i="20"/>
  <c r="J40" i="20"/>
  <c r="K41" i="20"/>
  <c r="I41" i="20" s="1"/>
  <c r="AC41" i="20" s="1"/>
  <c r="AD41" i="20" s="1"/>
  <c r="F42" i="20"/>
  <c r="G41" i="20"/>
  <c r="K287" i="9"/>
  <c r="M287" i="9" s="1"/>
  <c r="C286" i="9"/>
  <c r="F286" i="9"/>
  <c r="J286" i="9" s="1"/>
  <c r="V36" i="20" l="1"/>
  <c r="T36" i="20"/>
  <c r="U36" i="20" s="1"/>
  <c r="Z36" i="20" s="1"/>
  <c r="S37" i="20"/>
  <c r="W35" i="20"/>
  <c r="X35" i="20" s="1"/>
  <c r="Y35" i="20" s="1"/>
  <c r="J41" i="20"/>
  <c r="P41" i="20"/>
  <c r="L41" i="20"/>
  <c r="AA40" i="20" s="1"/>
  <c r="K42" i="20"/>
  <c r="I42" i="20" s="1"/>
  <c r="AC42" i="20" s="1"/>
  <c r="AD42" i="20" s="1"/>
  <c r="F43" i="20"/>
  <c r="G42" i="20"/>
  <c r="Q44" i="20"/>
  <c r="H45" i="20"/>
  <c r="G286" i="9"/>
  <c r="H286" i="9" s="1"/>
  <c r="I286" i="9" s="1"/>
  <c r="K286" i="9" s="1"/>
  <c r="O286" i="9"/>
  <c r="N286" i="9"/>
  <c r="V37" i="20" l="1"/>
  <c r="T37" i="20"/>
  <c r="U37" i="20" s="1"/>
  <c r="Z37" i="20" s="1"/>
  <c r="S38" i="20"/>
  <c r="W36" i="20"/>
  <c r="X36" i="20" s="1"/>
  <c r="Y36" i="20" s="1"/>
  <c r="P42" i="20"/>
  <c r="J42" i="20"/>
  <c r="K43" i="20"/>
  <c r="I43" i="20" s="1"/>
  <c r="AC43" i="20" s="1"/>
  <c r="AD43" i="20" s="1"/>
  <c r="F44" i="20"/>
  <c r="G43" i="20"/>
  <c r="L42" i="20"/>
  <c r="AA41" i="20" s="1"/>
  <c r="Q45" i="20"/>
  <c r="H46" i="20"/>
  <c r="L287" i="9"/>
  <c r="W37" i="20" l="1"/>
  <c r="X37" i="20" s="1"/>
  <c r="Y37" i="20" s="1"/>
  <c r="V38" i="20"/>
  <c r="T38" i="20"/>
  <c r="U38" i="20" s="1"/>
  <c r="Z38" i="20" s="1"/>
  <c r="S39" i="20"/>
  <c r="L43" i="20"/>
  <c r="AA42" i="20" s="1"/>
  <c r="Q46" i="20"/>
  <c r="H47" i="20"/>
  <c r="P43" i="20"/>
  <c r="J43" i="20"/>
  <c r="K44" i="20"/>
  <c r="I44" i="20" s="1"/>
  <c r="AC44" i="20" s="1"/>
  <c r="AD44" i="20" s="1"/>
  <c r="F45" i="20"/>
  <c r="G44" i="20"/>
  <c r="M286" i="9"/>
  <c r="W38" i="20" l="1"/>
  <c r="X38" i="20" s="1"/>
  <c r="Y38" i="20" s="1"/>
  <c r="V39" i="20"/>
  <c r="S40" i="20"/>
  <c r="T39" i="20"/>
  <c r="U39" i="20" s="1"/>
  <c r="Z39" i="20" s="1"/>
  <c r="L44" i="20"/>
  <c r="AA43" i="20" s="1"/>
  <c r="K45" i="20"/>
  <c r="I45" i="20" s="1"/>
  <c r="AC45" i="20" s="1"/>
  <c r="AD45" i="20" s="1"/>
  <c r="F46" i="20"/>
  <c r="G45" i="20"/>
  <c r="J44" i="20"/>
  <c r="P44" i="20"/>
  <c r="H48" i="20"/>
  <c r="Q47" i="20"/>
  <c r="C285" i="9"/>
  <c r="F285" i="9"/>
  <c r="G285" i="9" s="1"/>
  <c r="H285" i="9" s="1"/>
  <c r="V40" i="20" l="1"/>
  <c r="T40" i="20"/>
  <c r="U40" i="20" s="1"/>
  <c r="Z40" i="20" s="1"/>
  <c r="S41" i="20"/>
  <c r="W39" i="20"/>
  <c r="X39" i="20" s="1"/>
  <c r="Y39" i="20" s="1"/>
  <c r="K46" i="20"/>
  <c r="I46" i="20" s="1"/>
  <c r="AC46" i="20" s="1"/>
  <c r="AD46" i="20" s="1"/>
  <c r="F47" i="20"/>
  <c r="G46" i="20"/>
  <c r="L45" i="20"/>
  <c r="AA44" i="20" s="1"/>
  <c r="H49" i="20"/>
  <c r="Q48" i="20"/>
  <c r="J45" i="20"/>
  <c r="P45" i="20"/>
  <c r="N285" i="9"/>
  <c r="J285" i="9"/>
  <c r="O285" i="9"/>
  <c r="I285" i="9"/>
  <c r="C284" i="9"/>
  <c r="F284" i="9"/>
  <c r="J284" i="9" s="1"/>
  <c r="V41" i="20" l="1"/>
  <c r="T41" i="20"/>
  <c r="U41" i="20" s="1"/>
  <c r="Z41" i="20" s="1"/>
  <c r="S42" i="20"/>
  <c r="W40" i="20"/>
  <c r="X40" i="20" s="1"/>
  <c r="Y40" i="20" s="1"/>
  <c r="J46" i="20"/>
  <c r="P46" i="20"/>
  <c r="F48" i="20"/>
  <c r="K47" i="20"/>
  <c r="I47" i="20" s="1"/>
  <c r="AC47" i="20" s="1"/>
  <c r="AD47" i="20" s="1"/>
  <c r="G47" i="20"/>
  <c r="H50" i="20"/>
  <c r="Q49" i="20"/>
  <c r="L46" i="20"/>
  <c r="AA45" i="20" s="1"/>
  <c r="K285" i="9"/>
  <c r="L286" i="9" s="1"/>
  <c r="G284" i="9"/>
  <c r="H284" i="9" s="1"/>
  <c r="O284" i="9"/>
  <c r="N284" i="9"/>
  <c r="C283" i="9"/>
  <c r="V42" i="20" l="1"/>
  <c r="T42" i="20"/>
  <c r="U42" i="20" s="1"/>
  <c r="Z42" i="20" s="1"/>
  <c r="S43" i="20"/>
  <c r="W41" i="20"/>
  <c r="X41" i="20" s="1"/>
  <c r="Y41" i="20" s="1"/>
  <c r="L47" i="20"/>
  <c r="AA46" i="20" s="1"/>
  <c r="K48" i="20"/>
  <c r="I48" i="20" s="1"/>
  <c r="AC48" i="20" s="1"/>
  <c r="AD48" i="20" s="1"/>
  <c r="F49" i="20"/>
  <c r="G48" i="20"/>
  <c r="J47" i="20"/>
  <c r="P47" i="20"/>
  <c r="Q50" i="20"/>
  <c r="H51" i="20"/>
  <c r="I284" i="9"/>
  <c r="M285" i="9"/>
  <c r="F283" i="9"/>
  <c r="G283" i="9" s="1"/>
  <c r="V43" i="20" l="1"/>
  <c r="T43" i="20"/>
  <c r="U43" i="20" s="1"/>
  <c r="Z43" i="20" s="1"/>
  <c r="S44" i="20"/>
  <c r="W42" i="20"/>
  <c r="X42" i="20" s="1"/>
  <c r="Y42" i="20" s="1"/>
  <c r="L48" i="20"/>
  <c r="AA47" i="20" s="1"/>
  <c r="J48" i="20"/>
  <c r="P48" i="20"/>
  <c r="Q51" i="20"/>
  <c r="H52" i="20"/>
  <c r="K49" i="20"/>
  <c r="I49" i="20" s="1"/>
  <c r="AC49" i="20" s="1"/>
  <c r="AD49" i="20" s="1"/>
  <c r="F50" i="20"/>
  <c r="G49" i="20"/>
  <c r="K284" i="9"/>
  <c r="L285" i="9" s="1"/>
  <c r="N283" i="9"/>
  <c r="J283" i="9"/>
  <c r="O283" i="9"/>
  <c r="H283" i="9"/>
  <c r="I283" i="9" s="1"/>
  <c r="V44" i="20" l="1"/>
  <c r="T44" i="20"/>
  <c r="U44" i="20" s="1"/>
  <c r="Z44" i="20" s="1"/>
  <c r="S45" i="20"/>
  <c r="W43" i="20"/>
  <c r="X43" i="20" s="1"/>
  <c r="Y43" i="20" s="1"/>
  <c r="K50" i="20"/>
  <c r="I50" i="20" s="1"/>
  <c r="AC50" i="20" s="1"/>
  <c r="AD50" i="20" s="1"/>
  <c r="F51" i="20"/>
  <c r="G50" i="20"/>
  <c r="P49" i="20"/>
  <c r="J49" i="20"/>
  <c r="L49" i="20"/>
  <c r="AA48" i="20" s="1"/>
  <c r="H53" i="20"/>
  <c r="Q52" i="20"/>
  <c r="K283" i="9"/>
  <c r="L284" i="9" s="1"/>
  <c r="M284" i="9"/>
  <c r="W44" i="20" l="1"/>
  <c r="X44" i="20" s="1"/>
  <c r="Y44" i="20" s="1"/>
  <c r="V45" i="20"/>
  <c r="T45" i="20"/>
  <c r="U45" i="20" s="1"/>
  <c r="Z45" i="20" s="1"/>
  <c r="S46" i="20"/>
  <c r="Q53" i="20"/>
  <c r="H54" i="20"/>
  <c r="J50" i="20"/>
  <c r="P50" i="20"/>
  <c r="K51" i="20"/>
  <c r="I51" i="20" s="1"/>
  <c r="AC51" i="20" s="1"/>
  <c r="AD51" i="20" s="1"/>
  <c r="F52" i="20"/>
  <c r="G51" i="20"/>
  <c r="L50" i="20"/>
  <c r="AA49" i="20" s="1"/>
  <c r="M283" i="9"/>
  <c r="C282" i="9"/>
  <c r="F282" i="9"/>
  <c r="G282" i="9" s="1"/>
  <c r="V46" i="20" l="1"/>
  <c r="T46" i="20"/>
  <c r="U46" i="20" s="1"/>
  <c r="Z46" i="20" s="1"/>
  <c r="S47" i="20"/>
  <c r="W45" i="20"/>
  <c r="X45" i="20" s="1"/>
  <c r="Y45" i="20" s="1"/>
  <c r="Q54" i="20"/>
  <c r="H55" i="20"/>
  <c r="F53" i="20"/>
  <c r="K53" i="20" s="1"/>
  <c r="I53" i="20" s="1"/>
  <c r="AC53" i="20" s="1"/>
  <c r="AD53" i="20" s="1"/>
  <c r="K52" i="20"/>
  <c r="I52" i="20" s="1"/>
  <c r="AC52" i="20" s="1"/>
  <c r="AD52" i="20" s="1"/>
  <c r="G52" i="20"/>
  <c r="L51" i="20"/>
  <c r="AA50" i="20" s="1"/>
  <c r="J51" i="20"/>
  <c r="P51" i="20"/>
  <c r="J282" i="9"/>
  <c r="O282" i="9"/>
  <c r="N282" i="9"/>
  <c r="H282" i="9"/>
  <c r="I282" i="9" s="1"/>
  <c r="C281" i="9"/>
  <c r="F281" i="9"/>
  <c r="G281" i="9" s="1"/>
  <c r="W46" i="20" l="1"/>
  <c r="X46" i="20" s="1"/>
  <c r="Y46" i="20" s="1"/>
  <c r="V47" i="20"/>
  <c r="T47" i="20"/>
  <c r="U47" i="20" s="1"/>
  <c r="Z47" i="20" s="1"/>
  <c r="S48" i="20"/>
  <c r="L53" i="20"/>
  <c r="Q55" i="20"/>
  <c r="F54" i="20"/>
  <c r="K54" i="20" s="1"/>
  <c r="I54" i="20" s="1"/>
  <c r="G53" i="20"/>
  <c r="H56" i="20"/>
  <c r="H57" i="20" s="1"/>
  <c r="L52" i="20"/>
  <c r="AA51" i="20" s="1"/>
  <c r="P52" i="20"/>
  <c r="J52" i="20"/>
  <c r="K282" i="9"/>
  <c r="L283" i="9" s="1"/>
  <c r="N281" i="9"/>
  <c r="J281" i="9"/>
  <c r="H281" i="9"/>
  <c r="I281" i="9" s="1"/>
  <c r="O281" i="9"/>
  <c r="AA52" i="20" l="1"/>
  <c r="L54" i="20"/>
  <c r="AA53" i="20" s="1"/>
  <c r="AC54" i="20"/>
  <c r="AD54" i="20" s="1"/>
  <c r="V48" i="20"/>
  <c r="S49" i="20"/>
  <c r="T48" i="20"/>
  <c r="U48" i="20" s="1"/>
  <c r="Z48" i="20" s="1"/>
  <c r="W47" i="20"/>
  <c r="X47" i="20" s="1"/>
  <c r="Y47" i="20" s="1"/>
  <c r="Q57" i="20"/>
  <c r="H58" i="20"/>
  <c r="J53" i="20"/>
  <c r="P53" i="20"/>
  <c r="Q56" i="20"/>
  <c r="F55" i="20"/>
  <c r="K55" i="20" s="1"/>
  <c r="I55" i="20" s="1"/>
  <c r="AC55" i="20" s="1"/>
  <c r="AD55" i="20" s="1"/>
  <c r="G54" i="20"/>
  <c r="K281" i="9"/>
  <c r="L282" i="9" s="1"/>
  <c r="M282" i="9"/>
  <c r="V49" i="20" l="1"/>
  <c r="T49" i="20"/>
  <c r="U49" i="20" s="1"/>
  <c r="Z49" i="20" s="1"/>
  <c r="S50" i="20"/>
  <c r="W48" i="20"/>
  <c r="X48" i="20" s="1"/>
  <c r="Y48" i="20" s="1"/>
  <c r="H59" i="20"/>
  <c r="Q59" i="20" s="1"/>
  <c r="Q58" i="20"/>
  <c r="L55" i="20"/>
  <c r="AA54" i="20" s="1"/>
  <c r="J54" i="20"/>
  <c r="P54" i="20"/>
  <c r="F56" i="20"/>
  <c r="F57" i="20" s="1"/>
  <c r="K57" i="20" s="1"/>
  <c r="I57" i="20" s="1"/>
  <c r="AC57" i="20" s="1"/>
  <c r="AD57" i="20" s="1"/>
  <c r="G55" i="20"/>
  <c r="M281" i="9"/>
  <c r="V50" i="20" l="1"/>
  <c r="T50" i="20"/>
  <c r="U50" i="20" s="1"/>
  <c r="Z50" i="20" s="1"/>
  <c r="S51" i="20"/>
  <c r="W49" i="20"/>
  <c r="X49" i="20" s="1"/>
  <c r="Y49" i="20" s="1"/>
  <c r="H60" i="20"/>
  <c r="Q60" i="20" s="1"/>
  <c r="F58" i="20"/>
  <c r="G57" i="20"/>
  <c r="G56" i="20"/>
  <c r="P56" i="20" s="1"/>
  <c r="K56" i="20"/>
  <c r="I56" i="20" s="1"/>
  <c r="J55" i="20"/>
  <c r="P55" i="20"/>
  <c r="C280" i="9"/>
  <c r="F280" i="9"/>
  <c r="G280" i="9" s="1"/>
  <c r="H280" i="9" s="1"/>
  <c r="L57" i="20" l="1"/>
  <c r="AC56" i="20"/>
  <c r="AD56" i="20" s="1"/>
  <c r="V51" i="20"/>
  <c r="S52" i="20"/>
  <c r="T51" i="20"/>
  <c r="U51" i="20" s="1"/>
  <c r="Z51" i="20" s="1"/>
  <c r="W50" i="20"/>
  <c r="X50" i="20" s="1"/>
  <c r="Y50" i="20" s="1"/>
  <c r="H61" i="20"/>
  <c r="Q61" i="20" s="1"/>
  <c r="K58" i="20"/>
  <c r="F59" i="20"/>
  <c r="K59" i="20" s="1"/>
  <c r="I59" i="20" s="1"/>
  <c r="AC59" i="20" s="1"/>
  <c r="AD59" i="20" s="1"/>
  <c r="P57" i="20"/>
  <c r="J57" i="20"/>
  <c r="G58" i="20"/>
  <c r="J56" i="20"/>
  <c r="L56" i="20"/>
  <c r="O280" i="9"/>
  <c r="N280" i="9"/>
  <c r="J280" i="9"/>
  <c r="I280" i="9"/>
  <c r="C279" i="9"/>
  <c r="F279" i="9"/>
  <c r="J279" i="9" s="1"/>
  <c r="AA55" i="20" l="1"/>
  <c r="AA56" i="20"/>
  <c r="S53" i="20"/>
  <c r="V52" i="20"/>
  <c r="T52" i="20"/>
  <c r="U52" i="20" s="1"/>
  <c r="Z52" i="20" s="1"/>
  <c r="W51" i="20"/>
  <c r="X51" i="20" s="1"/>
  <c r="Y51" i="20" s="1"/>
  <c r="H62" i="20"/>
  <c r="Q62" i="20" s="1"/>
  <c r="I58" i="20"/>
  <c r="F60" i="20"/>
  <c r="K60" i="20" s="1"/>
  <c r="I60" i="20" s="1"/>
  <c r="AC60" i="20" s="1"/>
  <c r="AD60" i="20" s="1"/>
  <c r="G59" i="20"/>
  <c r="J58" i="20"/>
  <c r="P58" i="20"/>
  <c r="K280" i="9"/>
  <c r="G279" i="9"/>
  <c r="H279" i="9" s="1"/>
  <c r="I279" i="9" s="1"/>
  <c r="K279" i="9" s="1"/>
  <c r="O279" i="9"/>
  <c r="N279" i="9"/>
  <c r="L59" i="20" l="1"/>
  <c r="AC58" i="20"/>
  <c r="AD58" i="20" s="1"/>
  <c r="W52" i="20"/>
  <c r="X52" i="20" s="1"/>
  <c r="Y52" i="20" s="1"/>
  <c r="V53" i="20"/>
  <c r="T53" i="20"/>
  <c r="U53" i="20" s="1"/>
  <c r="Z53" i="20" s="1"/>
  <c r="S54" i="20"/>
  <c r="H63" i="20"/>
  <c r="H64" i="20" s="1"/>
  <c r="L58" i="20"/>
  <c r="J59" i="20"/>
  <c r="P59" i="20"/>
  <c r="L60" i="20"/>
  <c r="F61" i="20"/>
  <c r="K61" i="20" s="1"/>
  <c r="I61" i="20" s="1"/>
  <c r="AC61" i="20" s="1"/>
  <c r="AD61" i="20" s="1"/>
  <c r="G60" i="20"/>
  <c r="M280" i="9"/>
  <c r="L281" i="9"/>
  <c r="AA58" i="20" l="1"/>
  <c r="AA57" i="20"/>
  <c r="AA59" i="20"/>
  <c r="S55" i="20"/>
  <c r="V54" i="20"/>
  <c r="T54" i="20"/>
  <c r="U54" i="20" s="1"/>
  <c r="Z54" i="20" s="1"/>
  <c r="W53" i="20"/>
  <c r="X53" i="20" s="1"/>
  <c r="Y53" i="20" s="1"/>
  <c r="Q63" i="20"/>
  <c r="Q64" i="20"/>
  <c r="H65" i="20"/>
  <c r="L61" i="20"/>
  <c r="J60" i="20"/>
  <c r="P60" i="20"/>
  <c r="F62" i="20"/>
  <c r="K62" i="20" s="1"/>
  <c r="I62" i="20" s="1"/>
  <c r="AC62" i="20" s="1"/>
  <c r="AD62" i="20" s="1"/>
  <c r="G61" i="20"/>
  <c r="M279" i="9"/>
  <c r="L280" i="9"/>
  <c r="C278" i="9"/>
  <c r="F278" i="9"/>
  <c r="G278" i="9" s="1"/>
  <c r="AA60" i="20" l="1"/>
  <c r="W54" i="20"/>
  <c r="X54" i="20" s="1"/>
  <c r="Y54" i="20" s="1"/>
  <c r="V55" i="20"/>
  <c r="T55" i="20"/>
  <c r="U55" i="20" s="1"/>
  <c r="Z55" i="20" s="1"/>
  <c r="S56" i="20"/>
  <c r="Q65" i="20"/>
  <c r="H66" i="20"/>
  <c r="L62" i="20"/>
  <c r="AA61" i="20" s="1"/>
  <c r="J61" i="20"/>
  <c r="P61" i="20"/>
  <c r="F63" i="20"/>
  <c r="F64" i="20" s="1"/>
  <c r="G62" i="20"/>
  <c r="O278" i="9"/>
  <c r="N278" i="9"/>
  <c r="J278" i="9"/>
  <c r="H278" i="9"/>
  <c r="I278" i="9" s="1"/>
  <c r="W55" i="20" l="1"/>
  <c r="X55" i="20" s="1"/>
  <c r="Y55" i="20" s="1"/>
  <c r="T56" i="20"/>
  <c r="U56" i="20" s="1"/>
  <c r="Z56" i="20" s="1"/>
  <c r="V56" i="20"/>
  <c r="S57" i="20"/>
  <c r="Q66" i="20"/>
  <c r="H67" i="20"/>
  <c r="H68" i="20" s="1"/>
  <c r="F65" i="20"/>
  <c r="K64" i="20"/>
  <c r="I64" i="20" s="1"/>
  <c r="AC64" i="20" s="1"/>
  <c r="AD64" i="20" s="1"/>
  <c r="G64" i="20"/>
  <c r="G63" i="20"/>
  <c r="P63" i="20" s="1"/>
  <c r="K63" i="20"/>
  <c r="I63" i="20" s="1"/>
  <c r="AC63" i="20" s="1"/>
  <c r="AD63" i="20" s="1"/>
  <c r="J62" i="20"/>
  <c r="P62" i="20"/>
  <c r="K278" i="9"/>
  <c r="L279" i="9" s="1"/>
  <c r="W56" i="20" l="1"/>
  <c r="X56" i="20" s="1"/>
  <c r="Y56" i="20" s="1"/>
  <c r="V57" i="20"/>
  <c r="S58" i="20"/>
  <c r="T57" i="20"/>
  <c r="U57" i="20" s="1"/>
  <c r="Z57" i="20" s="1"/>
  <c r="Q68" i="20"/>
  <c r="H69" i="20"/>
  <c r="J63" i="20"/>
  <c r="Q67" i="20"/>
  <c r="J64" i="20"/>
  <c r="P64" i="20"/>
  <c r="L64" i="20"/>
  <c r="K65" i="20"/>
  <c r="I65" i="20" s="1"/>
  <c r="AC65" i="20" s="1"/>
  <c r="AD65" i="20" s="1"/>
  <c r="F66" i="20"/>
  <c r="G65" i="20"/>
  <c r="L63" i="20"/>
  <c r="AA62" i="20" s="1"/>
  <c r="M278" i="9"/>
  <c r="AA63" i="20" l="1"/>
  <c r="S59" i="20"/>
  <c r="V58" i="20"/>
  <c r="T58" i="20"/>
  <c r="U58" i="20" s="1"/>
  <c r="Z58" i="20" s="1"/>
  <c r="W57" i="20"/>
  <c r="X57" i="20" s="1"/>
  <c r="Y57" i="20" s="1"/>
  <c r="Q69" i="20"/>
  <c r="H70" i="20"/>
  <c r="L65" i="20"/>
  <c r="AA64" i="20" s="1"/>
  <c r="J65" i="20"/>
  <c r="P65" i="20"/>
  <c r="K66" i="20"/>
  <c r="I66" i="20" s="1"/>
  <c r="AC66" i="20" s="1"/>
  <c r="AD66" i="20" s="1"/>
  <c r="F67" i="20"/>
  <c r="F68" i="20" s="1"/>
  <c r="G66" i="20"/>
  <c r="C277" i="9"/>
  <c r="F277" i="9"/>
  <c r="G277" i="9" s="1"/>
  <c r="H277" i="9" s="1"/>
  <c r="J277" i="9"/>
  <c r="W58" i="20" l="1"/>
  <c r="X58" i="20" s="1"/>
  <c r="Y58" i="20" s="1"/>
  <c r="V59" i="20"/>
  <c r="T59" i="20"/>
  <c r="U59" i="20" s="1"/>
  <c r="Z59" i="20" s="1"/>
  <c r="S60" i="20"/>
  <c r="K68" i="20"/>
  <c r="I68" i="20" s="1"/>
  <c r="AC68" i="20" s="1"/>
  <c r="AD68" i="20" s="1"/>
  <c r="F69" i="20"/>
  <c r="F70" i="20" s="1"/>
  <c r="F71" i="20" s="1"/>
  <c r="F72" i="20" s="1"/>
  <c r="F73" i="20" s="1"/>
  <c r="F74" i="20" s="1"/>
  <c r="K74" i="20" s="1"/>
  <c r="Q70" i="20"/>
  <c r="H71" i="20"/>
  <c r="G68" i="20"/>
  <c r="L66" i="20"/>
  <c r="AA65" i="20" s="1"/>
  <c r="J66" i="20"/>
  <c r="P66" i="20"/>
  <c r="K67" i="20"/>
  <c r="I67" i="20" s="1"/>
  <c r="G67" i="20"/>
  <c r="O277" i="9"/>
  <c r="N277" i="9"/>
  <c r="I277" i="9"/>
  <c r="K277" i="9" s="1"/>
  <c r="C276" i="9"/>
  <c r="F276" i="9"/>
  <c r="J276" i="9" s="1"/>
  <c r="K69" i="20" l="1"/>
  <c r="I69" i="20" s="1"/>
  <c r="AC69" i="20" s="1"/>
  <c r="AD69" i="20" s="1"/>
  <c r="L68" i="20"/>
  <c r="AC67" i="20"/>
  <c r="AD67" i="20" s="1"/>
  <c r="W59" i="20"/>
  <c r="X59" i="20" s="1"/>
  <c r="Y59" i="20" s="1"/>
  <c r="S61" i="20"/>
  <c r="V60" i="20"/>
  <c r="T60" i="20"/>
  <c r="U60" i="20" s="1"/>
  <c r="Z60" i="20" s="1"/>
  <c r="F75" i="20"/>
  <c r="K75" i="20" s="1"/>
  <c r="J68" i="20"/>
  <c r="P68" i="20"/>
  <c r="Q71" i="20"/>
  <c r="H72" i="20"/>
  <c r="G72" i="20" s="1"/>
  <c r="K70" i="20"/>
  <c r="I70" i="20" s="1"/>
  <c r="G69" i="20"/>
  <c r="L67" i="20"/>
  <c r="AA66" i="20" s="1"/>
  <c r="J67" i="20"/>
  <c r="P67" i="20"/>
  <c r="G276" i="9"/>
  <c r="H276" i="9" s="1"/>
  <c r="O276" i="9"/>
  <c r="N276" i="9"/>
  <c r="L69" i="20" l="1"/>
  <c r="AA68" i="20" s="1"/>
  <c r="L70" i="20"/>
  <c r="AC70" i="20"/>
  <c r="AD70" i="20" s="1"/>
  <c r="AA67" i="20"/>
  <c r="W60" i="20"/>
  <c r="X60" i="20" s="1"/>
  <c r="Y60" i="20" s="1"/>
  <c r="V61" i="20"/>
  <c r="S62" i="20"/>
  <c r="T61" i="20"/>
  <c r="U61" i="20" s="1"/>
  <c r="Z61" i="20" s="1"/>
  <c r="F76" i="20"/>
  <c r="K76" i="20" s="1"/>
  <c r="J69" i="20"/>
  <c r="P69" i="20"/>
  <c r="Q72" i="20"/>
  <c r="K71" i="20"/>
  <c r="I71" i="20" s="1"/>
  <c r="AC71" i="20" s="1"/>
  <c r="AD71" i="20" s="1"/>
  <c r="G70" i="20"/>
  <c r="H73" i="20"/>
  <c r="I276" i="9"/>
  <c r="M277" i="9"/>
  <c r="L278" i="9"/>
  <c r="AA69" i="20" l="1"/>
  <c r="T62" i="20"/>
  <c r="U62" i="20" s="1"/>
  <c r="Z62" i="20" s="1"/>
  <c r="V62" i="20"/>
  <c r="S63" i="20"/>
  <c r="W61" i="20"/>
  <c r="X61" i="20" s="1"/>
  <c r="Y61" i="20" s="1"/>
  <c r="G73" i="20"/>
  <c r="H74" i="20"/>
  <c r="F77" i="20"/>
  <c r="L71" i="20"/>
  <c r="AA70" i="20" s="1"/>
  <c r="Q73" i="20"/>
  <c r="P70" i="20"/>
  <c r="J70" i="20"/>
  <c r="K72" i="20"/>
  <c r="I72" i="20" s="1"/>
  <c r="G71" i="20"/>
  <c r="K276" i="9"/>
  <c r="M276" i="9" s="1"/>
  <c r="C275" i="9"/>
  <c r="F275" i="9"/>
  <c r="G275" i="9" s="1"/>
  <c r="W62" i="20" l="1"/>
  <c r="X62" i="20" s="1"/>
  <c r="Y62" i="20" s="1"/>
  <c r="L72" i="20"/>
  <c r="AA71" i="20" s="1"/>
  <c r="AC72" i="20"/>
  <c r="AD72" i="20" s="1"/>
  <c r="T63" i="20"/>
  <c r="U63" i="20" s="1"/>
  <c r="Z63" i="20" s="1"/>
  <c r="V63" i="20"/>
  <c r="S64" i="20"/>
  <c r="K77" i="20"/>
  <c r="I74" i="20"/>
  <c r="AC74" i="20" s="1"/>
  <c r="AD74" i="20" s="1"/>
  <c r="Q74" i="20"/>
  <c r="H75" i="20"/>
  <c r="G74" i="20"/>
  <c r="P71" i="20"/>
  <c r="J71" i="20"/>
  <c r="L277" i="9"/>
  <c r="O275" i="9"/>
  <c r="J275" i="9"/>
  <c r="N275" i="9"/>
  <c r="H275" i="9"/>
  <c r="I275" i="9" s="1"/>
  <c r="W63" i="20" l="1"/>
  <c r="X63" i="20" s="1"/>
  <c r="Y63" i="20" s="1"/>
  <c r="V64" i="20"/>
  <c r="S65" i="20"/>
  <c r="T64" i="20"/>
  <c r="U64" i="20" s="1"/>
  <c r="Z64" i="20" s="1"/>
  <c r="Q75" i="20"/>
  <c r="H76" i="20"/>
  <c r="I75" i="20"/>
  <c r="AC75" i="20" s="1"/>
  <c r="AD75" i="20" s="1"/>
  <c r="G75" i="20"/>
  <c r="J74" i="20"/>
  <c r="P74" i="20"/>
  <c r="P73" i="20"/>
  <c r="K73" i="20"/>
  <c r="I73" i="20" s="1"/>
  <c r="J72" i="20"/>
  <c r="P72" i="20"/>
  <c r="K275" i="9"/>
  <c r="L276" i="9" s="1"/>
  <c r="L74" i="20" l="1"/>
  <c r="AC73" i="20"/>
  <c r="AD73" i="20" s="1"/>
  <c r="V65" i="20"/>
  <c r="T65" i="20"/>
  <c r="U65" i="20" s="1"/>
  <c r="Z65" i="20" s="1"/>
  <c r="S66" i="20"/>
  <c r="W64" i="20"/>
  <c r="X64" i="20" s="1"/>
  <c r="Y64" i="20" s="1"/>
  <c r="Q76" i="20"/>
  <c r="H77" i="20"/>
  <c r="I76" i="20"/>
  <c r="AC76" i="20" s="1"/>
  <c r="AD76" i="20" s="1"/>
  <c r="G76" i="20"/>
  <c r="L75" i="20"/>
  <c r="J75" i="20"/>
  <c r="P75" i="20"/>
  <c r="J73" i="20"/>
  <c r="L73" i="20"/>
  <c r="AA72" i="20" s="1"/>
  <c r="M275" i="9"/>
  <c r="AA73" i="20" l="1"/>
  <c r="AA74" i="20"/>
  <c r="T66" i="20"/>
  <c r="U66" i="20" s="1"/>
  <c r="Z66" i="20" s="1"/>
  <c r="V66" i="20"/>
  <c r="S67" i="20"/>
  <c r="W65" i="20"/>
  <c r="X65" i="20" s="1"/>
  <c r="Y65" i="20" s="1"/>
  <c r="L76" i="20"/>
  <c r="AA75" i="20" s="1"/>
  <c r="Q77" i="20"/>
  <c r="I77" i="20"/>
  <c r="AC77" i="20" s="1"/>
  <c r="AD77" i="20" s="1"/>
  <c r="G77" i="20"/>
  <c r="J76" i="20"/>
  <c r="P76" i="20"/>
  <c r="C274" i="9"/>
  <c r="F274" i="9"/>
  <c r="G274" i="9" s="1"/>
  <c r="W66" i="20" l="1"/>
  <c r="X66" i="20" s="1"/>
  <c r="Y66" i="20" s="1"/>
  <c r="S68" i="20"/>
  <c r="V67" i="20"/>
  <c r="T67" i="20"/>
  <c r="U67" i="20" s="1"/>
  <c r="Z67" i="20" s="1"/>
  <c r="L77" i="20"/>
  <c r="J77" i="20"/>
  <c r="P77" i="20"/>
  <c r="O274" i="9"/>
  <c r="N274" i="9"/>
  <c r="J274" i="9"/>
  <c r="H274" i="9"/>
  <c r="I274" i="9" s="1"/>
  <c r="AA77" i="20" l="1"/>
  <c r="AA76" i="20"/>
  <c r="W67" i="20"/>
  <c r="X67" i="20" s="1"/>
  <c r="Y67" i="20" s="1"/>
  <c r="V68" i="20"/>
  <c r="S69" i="20"/>
  <c r="T68" i="20"/>
  <c r="U68" i="20" s="1"/>
  <c r="Z68" i="20" s="1"/>
  <c r="AA3" i="20"/>
  <c r="K274" i="9"/>
  <c r="L275" i="9" s="1"/>
  <c r="W68" i="20" l="1"/>
  <c r="X68" i="20" s="1"/>
  <c r="Y68" i="20" s="1"/>
  <c r="T69" i="20"/>
  <c r="U69" i="20" s="1"/>
  <c r="Z69" i="20" s="1"/>
  <c r="V69" i="20"/>
  <c r="S70" i="20"/>
  <c r="M274" i="9"/>
  <c r="W69" i="20" l="1"/>
  <c r="X69" i="20" s="1"/>
  <c r="Y69" i="20" s="1"/>
  <c r="T70" i="20"/>
  <c r="U70" i="20" s="1"/>
  <c r="Z70" i="20" s="1"/>
  <c r="V70" i="20"/>
  <c r="S71" i="20"/>
  <c r="F273" i="9"/>
  <c r="G273" i="9" s="1"/>
  <c r="H273" i="9" s="1"/>
  <c r="C273" i="9"/>
  <c r="F272" i="9"/>
  <c r="O272" i="9" s="1"/>
  <c r="C272" i="9"/>
  <c r="F271" i="9"/>
  <c r="O271" i="9" s="1"/>
  <c r="C271" i="9"/>
  <c r="F270" i="9"/>
  <c r="O270" i="9" s="1"/>
  <c r="C270" i="9"/>
  <c r="F269" i="9"/>
  <c r="O269" i="9" s="1"/>
  <c r="C269" i="9"/>
  <c r="F268" i="9"/>
  <c r="O268" i="9" s="1"/>
  <c r="C268" i="9"/>
  <c r="F267" i="9"/>
  <c r="O267" i="9" s="1"/>
  <c r="C267" i="9"/>
  <c r="F266" i="9"/>
  <c r="O266" i="9" s="1"/>
  <c r="C266" i="9"/>
  <c r="F265" i="9"/>
  <c r="O265" i="9" s="1"/>
  <c r="C265" i="9"/>
  <c r="F264" i="9"/>
  <c r="O264" i="9" s="1"/>
  <c r="C264" i="9"/>
  <c r="F263" i="9"/>
  <c r="O263" i="9" s="1"/>
  <c r="C263" i="9"/>
  <c r="F262" i="9"/>
  <c r="O262" i="9" s="1"/>
  <c r="C262" i="9"/>
  <c r="F261" i="9"/>
  <c r="O261" i="9" s="1"/>
  <c r="C261" i="9"/>
  <c r="F260" i="9"/>
  <c r="O260" i="9" s="1"/>
  <c r="C260" i="9"/>
  <c r="F259" i="9"/>
  <c r="O259" i="9" s="1"/>
  <c r="C259" i="9"/>
  <c r="F258" i="9"/>
  <c r="O258" i="9" s="1"/>
  <c r="C258" i="9"/>
  <c r="F257" i="9"/>
  <c r="O257" i="9" s="1"/>
  <c r="C257" i="9"/>
  <c r="F256" i="9"/>
  <c r="O256" i="9" s="1"/>
  <c r="C256" i="9"/>
  <c r="F255" i="9"/>
  <c r="O255" i="9" s="1"/>
  <c r="C255" i="9"/>
  <c r="F254" i="9"/>
  <c r="O254" i="9" s="1"/>
  <c r="C254" i="9"/>
  <c r="F253" i="9"/>
  <c r="O253" i="9" s="1"/>
  <c r="C253" i="9"/>
  <c r="F252" i="9"/>
  <c r="O252" i="9" s="1"/>
  <c r="C252" i="9"/>
  <c r="F251" i="9"/>
  <c r="O251" i="9" s="1"/>
  <c r="C251" i="9"/>
  <c r="F250" i="9"/>
  <c r="O250" i="9" s="1"/>
  <c r="C250" i="9"/>
  <c r="F249" i="9"/>
  <c r="O249" i="9" s="1"/>
  <c r="C249" i="9"/>
  <c r="F248" i="9"/>
  <c r="O248" i="9" s="1"/>
  <c r="C248" i="9"/>
  <c r="F247" i="9"/>
  <c r="O247" i="9" s="1"/>
  <c r="C247" i="9"/>
  <c r="F246" i="9"/>
  <c r="O246" i="9" s="1"/>
  <c r="C246" i="9"/>
  <c r="F245" i="9"/>
  <c r="O245" i="9" s="1"/>
  <c r="C245" i="9"/>
  <c r="F244" i="9"/>
  <c r="O244" i="9" s="1"/>
  <c r="C244" i="9"/>
  <c r="F243" i="9"/>
  <c r="O243" i="9" s="1"/>
  <c r="C243" i="9"/>
  <c r="F242" i="9"/>
  <c r="O242" i="9" s="1"/>
  <c r="C242" i="9"/>
  <c r="F241" i="9"/>
  <c r="O241" i="9" s="1"/>
  <c r="C241" i="9"/>
  <c r="F240" i="9"/>
  <c r="O240" i="9" s="1"/>
  <c r="C240" i="9"/>
  <c r="F239" i="9"/>
  <c r="O239" i="9" s="1"/>
  <c r="C239" i="9"/>
  <c r="F238" i="9"/>
  <c r="O238" i="9" s="1"/>
  <c r="C238" i="9"/>
  <c r="F237" i="9"/>
  <c r="O237" i="9" s="1"/>
  <c r="C237" i="9"/>
  <c r="F236" i="9"/>
  <c r="O236" i="9" s="1"/>
  <c r="C236" i="9"/>
  <c r="F235" i="9"/>
  <c r="O235" i="9" s="1"/>
  <c r="C235" i="9"/>
  <c r="F234" i="9"/>
  <c r="O234" i="9" s="1"/>
  <c r="C234" i="9"/>
  <c r="F233" i="9"/>
  <c r="O233" i="9" s="1"/>
  <c r="C233" i="9"/>
  <c r="F232" i="9"/>
  <c r="O232" i="9" s="1"/>
  <c r="C232" i="9"/>
  <c r="F231" i="9"/>
  <c r="O231" i="9" s="1"/>
  <c r="C231" i="9"/>
  <c r="F230" i="9"/>
  <c r="O230" i="9" s="1"/>
  <c r="C230" i="9"/>
  <c r="F229" i="9"/>
  <c r="O229" i="9" s="1"/>
  <c r="C229" i="9"/>
  <c r="F228" i="9"/>
  <c r="O228" i="9" s="1"/>
  <c r="C228" i="9"/>
  <c r="F227" i="9"/>
  <c r="O227" i="9" s="1"/>
  <c r="C227" i="9"/>
  <c r="F226" i="9"/>
  <c r="O226" i="9" s="1"/>
  <c r="C226" i="9"/>
  <c r="F225" i="9"/>
  <c r="O225" i="9" s="1"/>
  <c r="C225" i="9"/>
  <c r="F224" i="9"/>
  <c r="O224" i="9" s="1"/>
  <c r="C224" i="9"/>
  <c r="F223" i="9"/>
  <c r="O223" i="9" s="1"/>
  <c r="C223" i="9"/>
  <c r="F222" i="9"/>
  <c r="O222" i="9" s="1"/>
  <c r="C222" i="9"/>
  <c r="F221" i="9"/>
  <c r="O221" i="9" s="1"/>
  <c r="C221" i="9"/>
  <c r="F220" i="9"/>
  <c r="O220" i="9" s="1"/>
  <c r="C220" i="9"/>
  <c r="F219" i="9"/>
  <c r="O219" i="9" s="1"/>
  <c r="C219" i="9"/>
  <c r="F218" i="9"/>
  <c r="O218" i="9" s="1"/>
  <c r="C218" i="9"/>
  <c r="F217" i="9"/>
  <c r="O217" i="9" s="1"/>
  <c r="C217" i="9"/>
  <c r="F216" i="9"/>
  <c r="J216" i="9" s="1"/>
  <c r="C216" i="9"/>
  <c r="F215" i="9"/>
  <c r="O215" i="9" s="1"/>
  <c r="C215" i="9"/>
  <c r="F214" i="9"/>
  <c r="O214" i="9" s="1"/>
  <c r="C214" i="9"/>
  <c r="F213" i="9"/>
  <c r="O213" i="9" s="1"/>
  <c r="C213" i="9"/>
  <c r="F212" i="9"/>
  <c r="J212" i="9" s="1"/>
  <c r="C212" i="9"/>
  <c r="F211" i="9"/>
  <c r="O211" i="9" s="1"/>
  <c r="C211" i="9"/>
  <c r="F210" i="9"/>
  <c r="O210" i="9" s="1"/>
  <c r="C210" i="9"/>
  <c r="F209" i="9"/>
  <c r="O209" i="9" s="1"/>
  <c r="C209" i="9"/>
  <c r="F208" i="9"/>
  <c r="J208" i="9" s="1"/>
  <c r="C208" i="9"/>
  <c r="F207" i="9"/>
  <c r="O207" i="9" s="1"/>
  <c r="C207" i="9"/>
  <c r="F206" i="9"/>
  <c r="O206" i="9" s="1"/>
  <c r="C206" i="9"/>
  <c r="F205" i="9"/>
  <c r="O205" i="9" s="1"/>
  <c r="C205" i="9"/>
  <c r="F204" i="9"/>
  <c r="J204" i="9" s="1"/>
  <c r="C204" i="9"/>
  <c r="F203" i="9"/>
  <c r="O203" i="9" s="1"/>
  <c r="C203" i="9"/>
  <c r="F202" i="9"/>
  <c r="O202" i="9" s="1"/>
  <c r="C202" i="9"/>
  <c r="F201" i="9"/>
  <c r="O201" i="9" s="1"/>
  <c r="C201" i="9"/>
  <c r="F200" i="9"/>
  <c r="J200" i="9" s="1"/>
  <c r="C200" i="9"/>
  <c r="F199" i="9"/>
  <c r="O199" i="9" s="1"/>
  <c r="C199" i="9"/>
  <c r="F198" i="9"/>
  <c r="O198" i="9" s="1"/>
  <c r="C198" i="9"/>
  <c r="F197" i="9"/>
  <c r="O197" i="9" s="1"/>
  <c r="C197" i="9"/>
  <c r="F196" i="9"/>
  <c r="J196" i="9" s="1"/>
  <c r="C196" i="9"/>
  <c r="F195" i="9"/>
  <c r="O195" i="9" s="1"/>
  <c r="C195" i="9"/>
  <c r="F194" i="9"/>
  <c r="O194" i="9" s="1"/>
  <c r="C194" i="9"/>
  <c r="F193" i="9"/>
  <c r="O193" i="9" s="1"/>
  <c r="C193" i="9"/>
  <c r="F192" i="9"/>
  <c r="J192" i="9" s="1"/>
  <c r="C192" i="9"/>
  <c r="F191" i="9"/>
  <c r="O191" i="9" s="1"/>
  <c r="C191" i="9"/>
  <c r="F190" i="9"/>
  <c r="O190" i="9" s="1"/>
  <c r="C190" i="9"/>
  <c r="F189" i="9"/>
  <c r="O189" i="9" s="1"/>
  <c r="C189" i="9"/>
  <c r="F188" i="9"/>
  <c r="J188" i="9" s="1"/>
  <c r="C188" i="9"/>
  <c r="F187" i="9"/>
  <c r="N187" i="9" s="1"/>
  <c r="C187" i="9"/>
  <c r="F186" i="9"/>
  <c r="O186" i="9" s="1"/>
  <c r="C186" i="9"/>
  <c r="F185" i="9"/>
  <c r="O185" i="9" s="1"/>
  <c r="C185" i="9"/>
  <c r="F184" i="9"/>
  <c r="J184" i="9" s="1"/>
  <c r="C184" i="9"/>
  <c r="F183" i="9"/>
  <c r="O183" i="9" s="1"/>
  <c r="C183" i="9"/>
  <c r="F182" i="9"/>
  <c r="O182" i="9" s="1"/>
  <c r="C182" i="9"/>
  <c r="F181" i="9"/>
  <c r="O181" i="9" s="1"/>
  <c r="C181" i="9"/>
  <c r="F180" i="9"/>
  <c r="J180" i="9" s="1"/>
  <c r="C180" i="9"/>
  <c r="F179" i="9"/>
  <c r="N179" i="9" s="1"/>
  <c r="C179" i="9"/>
  <c r="F178" i="9"/>
  <c r="N178" i="9" s="1"/>
  <c r="C178" i="9"/>
  <c r="F177" i="9"/>
  <c r="N177" i="9" s="1"/>
  <c r="C177" i="9"/>
  <c r="F176" i="9"/>
  <c r="N176" i="9" s="1"/>
  <c r="C176" i="9"/>
  <c r="F175" i="9"/>
  <c r="J175" i="9" s="1"/>
  <c r="C175" i="9"/>
  <c r="F174" i="9"/>
  <c r="N174" i="9" s="1"/>
  <c r="C174" i="9"/>
  <c r="F173" i="9"/>
  <c r="O173" i="9" s="1"/>
  <c r="C173" i="9"/>
  <c r="F172" i="9"/>
  <c r="N172" i="9" s="1"/>
  <c r="C172" i="9"/>
  <c r="F171" i="9"/>
  <c r="O171" i="9" s="1"/>
  <c r="C171" i="9"/>
  <c r="F170" i="9"/>
  <c r="G170" i="9" s="1"/>
  <c r="H170" i="9" s="1"/>
  <c r="C170" i="9"/>
  <c r="F169" i="9"/>
  <c r="N169" i="9" s="1"/>
  <c r="C169" i="9"/>
  <c r="F168" i="9"/>
  <c r="N168" i="9" s="1"/>
  <c r="C168" i="9"/>
  <c r="F167" i="9"/>
  <c r="O167" i="9" s="1"/>
  <c r="C167" i="9"/>
  <c r="F166" i="9"/>
  <c r="O166" i="9" s="1"/>
  <c r="C166" i="9"/>
  <c r="F165" i="9"/>
  <c r="O165" i="9" s="1"/>
  <c r="C165" i="9"/>
  <c r="F164" i="9"/>
  <c r="N164" i="9" s="1"/>
  <c r="C164" i="9"/>
  <c r="F163" i="9"/>
  <c r="N163" i="9" s="1"/>
  <c r="C163" i="9"/>
  <c r="F162" i="9"/>
  <c r="N162" i="9" s="1"/>
  <c r="C162" i="9"/>
  <c r="F161" i="9"/>
  <c r="N161" i="9" s="1"/>
  <c r="C161" i="9"/>
  <c r="F160" i="9"/>
  <c r="N160" i="9" s="1"/>
  <c r="C160" i="9"/>
  <c r="F159" i="9"/>
  <c r="O159" i="9" s="1"/>
  <c r="C159" i="9"/>
  <c r="F158" i="9"/>
  <c r="G158" i="9" s="1"/>
  <c r="H158" i="9" s="1"/>
  <c r="C158" i="9"/>
  <c r="F157" i="9"/>
  <c r="G157" i="9" s="1"/>
  <c r="H157" i="9" s="1"/>
  <c r="I157" i="9" s="1"/>
  <c r="C157" i="9"/>
  <c r="F156" i="9"/>
  <c r="O156" i="9" s="1"/>
  <c r="C156" i="9"/>
  <c r="F155" i="9"/>
  <c r="N155" i="9" s="1"/>
  <c r="C155" i="9"/>
  <c r="F154" i="9"/>
  <c r="N154" i="9" s="1"/>
  <c r="C154" i="9"/>
  <c r="F153" i="9"/>
  <c r="O153" i="9" s="1"/>
  <c r="C153" i="9"/>
  <c r="F152" i="9"/>
  <c r="J152" i="9" s="1"/>
  <c r="C152" i="9"/>
  <c r="F151" i="9"/>
  <c r="G151" i="9" s="1"/>
  <c r="C151" i="9"/>
  <c r="F150" i="9"/>
  <c r="C150" i="9"/>
  <c r="F149" i="9"/>
  <c r="O149" i="9" s="1"/>
  <c r="C149" i="9"/>
  <c r="F148" i="9"/>
  <c r="C148" i="9"/>
  <c r="F147" i="9"/>
  <c r="O147" i="9" s="1"/>
  <c r="C147" i="9"/>
  <c r="F146" i="9"/>
  <c r="N146" i="9" s="1"/>
  <c r="C146" i="9"/>
  <c r="F145" i="9"/>
  <c r="O145" i="9" s="1"/>
  <c r="C145" i="9"/>
  <c r="F144" i="9"/>
  <c r="N144" i="9" s="1"/>
  <c r="C144" i="9"/>
  <c r="F143" i="9"/>
  <c r="O143" i="9" s="1"/>
  <c r="C143" i="9"/>
  <c r="F142" i="9"/>
  <c r="J142" i="9" s="1"/>
  <c r="C142" i="9"/>
  <c r="F141" i="9"/>
  <c r="O141" i="9" s="1"/>
  <c r="C141" i="9"/>
  <c r="F140" i="9"/>
  <c r="N140" i="9" s="1"/>
  <c r="C140" i="9"/>
  <c r="F139" i="9"/>
  <c r="G139" i="9" s="1"/>
  <c r="H139" i="9" s="1"/>
  <c r="I139" i="9" s="1"/>
  <c r="C139" i="9"/>
  <c r="F138" i="9"/>
  <c r="C138" i="9"/>
  <c r="F137" i="9"/>
  <c r="N137" i="9" s="1"/>
  <c r="C137" i="9"/>
  <c r="F136" i="9"/>
  <c r="O136" i="9" s="1"/>
  <c r="C136" i="9"/>
  <c r="F135" i="9"/>
  <c r="G135" i="9" s="1"/>
  <c r="H135" i="9" s="1"/>
  <c r="I135" i="9" s="1"/>
  <c r="C135" i="9"/>
  <c r="F134" i="9"/>
  <c r="N134" i="9" s="1"/>
  <c r="C134" i="9"/>
  <c r="F133" i="9"/>
  <c r="J133" i="9" s="1"/>
  <c r="C133" i="9"/>
  <c r="F132" i="9"/>
  <c r="C132" i="9"/>
  <c r="F131" i="9"/>
  <c r="O131" i="9" s="1"/>
  <c r="C131" i="9"/>
  <c r="F130" i="9"/>
  <c r="C130" i="9"/>
  <c r="F129" i="9"/>
  <c r="N129" i="9" s="1"/>
  <c r="C129" i="9"/>
  <c r="F128" i="9"/>
  <c r="O128" i="9" s="1"/>
  <c r="C128" i="9"/>
  <c r="F127" i="9"/>
  <c r="J127" i="9" s="1"/>
  <c r="C127" i="9"/>
  <c r="F126" i="9"/>
  <c r="N126" i="9" s="1"/>
  <c r="C126" i="9"/>
  <c r="F125" i="9"/>
  <c r="C125" i="9"/>
  <c r="F124" i="9"/>
  <c r="J124" i="9" s="1"/>
  <c r="C124" i="9"/>
  <c r="F123" i="9"/>
  <c r="J123" i="9" s="1"/>
  <c r="C123" i="9"/>
  <c r="F122" i="9"/>
  <c r="N122" i="9" s="1"/>
  <c r="C122" i="9"/>
  <c r="F121" i="9"/>
  <c r="G121" i="9" s="1"/>
  <c r="H121" i="9" s="1"/>
  <c r="C121" i="9"/>
  <c r="F120" i="9"/>
  <c r="G120" i="9" s="1"/>
  <c r="H120" i="9" s="1"/>
  <c r="I120" i="9" s="1"/>
  <c r="C120" i="9"/>
  <c r="F119" i="9"/>
  <c r="J119" i="9" s="1"/>
  <c r="C119" i="9"/>
  <c r="F118" i="9"/>
  <c r="N118" i="9" s="1"/>
  <c r="C118" i="9"/>
  <c r="F117" i="9"/>
  <c r="C117" i="9"/>
  <c r="F116" i="9"/>
  <c r="J116" i="9" s="1"/>
  <c r="C116" i="9"/>
  <c r="F115" i="9"/>
  <c r="J115" i="9" s="1"/>
  <c r="C115" i="9"/>
  <c r="F114" i="9"/>
  <c r="N114" i="9" s="1"/>
  <c r="C114" i="9"/>
  <c r="F113" i="9"/>
  <c r="G113" i="9" s="1"/>
  <c r="H113" i="9" s="1"/>
  <c r="C113" i="9"/>
  <c r="F112" i="9"/>
  <c r="G112" i="9" s="1"/>
  <c r="H112" i="9" s="1"/>
  <c r="C112" i="9"/>
  <c r="F111" i="9"/>
  <c r="J111" i="9" s="1"/>
  <c r="C111" i="9"/>
  <c r="F110" i="9"/>
  <c r="N110" i="9" s="1"/>
  <c r="C110" i="9"/>
  <c r="F109" i="9"/>
  <c r="C109" i="9"/>
  <c r="F108" i="9"/>
  <c r="J108" i="9" s="1"/>
  <c r="C108" i="9"/>
  <c r="F107" i="9"/>
  <c r="J107" i="9" s="1"/>
  <c r="C107" i="9"/>
  <c r="F106" i="9"/>
  <c r="J106" i="9" s="1"/>
  <c r="C106" i="9"/>
  <c r="F105" i="9"/>
  <c r="J105" i="9" s="1"/>
  <c r="C105" i="9"/>
  <c r="F104" i="9"/>
  <c r="G104" i="9" s="1"/>
  <c r="H104" i="9" s="1"/>
  <c r="I104" i="9" s="1"/>
  <c r="C104" i="9"/>
  <c r="F103" i="9"/>
  <c r="G103" i="9" s="1"/>
  <c r="H103" i="9" s="1"/>
  <c r="I103" i="9" s="1"/>
  <c r="C103" i="9"/>
  <c r="F102" i="9"/>
  <c r="G102" i="9" s="1"/>
  <c r="H102" i="9" s="1"/>
  <c r="I102" i="9" s="1"/>
  <c r="C102" i="9"/>
  <c r="F101" i="9"/>
  <c r="C101" i="9"/>
  <c r="F100" i="9"/>
  <c r="G100" i="9" s="1"/>
  <c r="C100" i="9"/>
  <c r="F99" i="9"/>
  <c r="C99" i="9"/>
  <c r="F98" i="9"/>
  <c r="J98" i="9" s="1"/>
  <c r="C98" i="9"/>
  <c r="F97" i="9"/>
  <c r="J97" i="9" s="1"/>
  <c r="C97" i="9"/>
  <c r="F96" i="9"/>
  <c r="G96" i="9" s="1"/>
  <c r="H96" i="9" s="1"/>
  <c r="C96" i="9"/>
  <c r="F95" i="9"/>
  <c r="G95" i="9" s="1"/>
  <c r="C95" i="9"/>
  <c r="F94" i="9"/>
  <c r="J94" i="9" s="1"/>
  <c r="C94" i="9"/>
  <c r="F93" i="9"/>
  <c r="J93" i="9" s="1"/>
  <c r="C93" i="9"/>
  <c r="F92" i="9"/>
  <c r="G92" i="9" s="1"/>
  <c r="H92" i="9" s="1"/>
  <c r="I92" i="9" s="1"/>
  <c r="C92" i="9"/>
  <c r="F91" i="9"/>
  <c r="G91" i="9" s="1"/>
  <c r="H91" i="9" s="1"/>
  <c r="C91" i="9"/>
  <c r="F90" i="9"/>
  <c r="C90" i="9"/>
  <c r="F89" i="9"/>
  <c r="J89" i="9" s="1"/>
  <c r="C89" i="9"/>
  <c r="F88" i="9"/>
  <c r="J88" i="9" s="1"/>
  <c r="C88" i="9"/>
  <c r="F87" i="9"/>
  <c r="G87" i="9" s="1"/>
  <c r="H87" i="9" s="1"/>
  <c r="C87" i="9"/>
  <c r="F86" i="9"/>
  <c r="G86" i="9" s="1"/>
  <c r="H86" i="9" s="1"/>
  <c r="I86" i="9" s="1"/>
  <c r="C86" i="9"/>
  <c r="F85" i="9"/>
  <c r="G85" i="9" s="1"/>
  <c r="H85" i="9" s="1"/>
  <c r="I85" i="9" s="1"/>
  <c r="C85" i="9"/>
  <c r="F84" i="9"/>
  <c r="J84" i="9" s="1"/>
  <c r="C84" i="9"/>
  <c r="F83" i="9"/>
  <c r="G83" i="9" s="1"/>
  <c r="H83" i="9" s="1"/>
  <c r="I83" i="9" s="1"/>
  <c r="C83" i="9"/>
  <c r="F82" i="9"/>
  <c r="J82" i="9" s="1"/>
  <c r="C82" i="9"/>
  <c r="F81" i="9"/>
  <c r="C81" i="9"/>
  <c r="F80" i="9"/>
  <c r="C80" i="9"/>
  <c r="F79" i="9"/>
  <c r="J79" i="9" s="1"/>
  <c r="C79" i="9"/>
  <c r="F78" i="9"/>
  <c r="J78" i="9" s="1"/>
  <c r="C78" i="9"/>
  <c r="F77" i="9"/>
  <c r="G77" i="9" s="1"/>
  <c r="H77" i="9" s="1"/>
  <c r="I77" i="9" s="1"/>
  <c r="C77" i="9"/>
  <c r="F76" i="9"/>
  <c r="J76" i="9" s="1"/>
  <c r="C76" i="9"/>
  <c r="F75" i="9"/>
  <c r="G75" i="9" s="1"/>
  <c r="H75" i="9" s="1"/>
  <c r="C75" i="9"/>
  <c r="F74" i="9"/>
  <c r="J74" i="9" s="1"/>
  <c r="C74" i="9"/>
  <c r="F73" i="9"/>
  <c r="G73" i="9" s="1"/>
  <c r="C73" i="9"/>
  <c r="F72" i="9"/>
  <c r="G72" i="9" s="1"/>
  <c r="H72" i="9" s="1"/>
  <c r="C72" i="9"/>
  <c r="F71" i="9"/>
  <c r="G71" i="9" s="1"/>
  <c r="C71" i="9"/>
  <c r="F70" i="9"/>
  <c r="C70" i="9"/>
  <c r="F69" i="9"/>
  <c r="G69" i="9" s="1"/>
  <c r="H69" i="9" s="1"/>
  <c r="C69" i="9"/>
  <c r="F68" i="9"/>
  <c r="J68" i="9" s="1"/>
  <c r="C68" i="9"/>
  <c r="F67" i="9"/>
  <c r="G67" i="9" s="1"/>
  <c r="H67" i="9" s="1"/>
  <c r="C67" i="9"/>
  <c r="F66" i="9"/>
  <c r="C66" i="9"/>
  <c r="F65" i="9"/>
  <c r="G65" i="9" s="1"/>
  <c r="H65" i="9" s="1"/>
  <c r="I65" i="9" s="1"/>
  <c r="C65" i="9"/>
  <c r="F64" i="9"/>
  <c r="G64" i="9" s="1"/>
  <c r="H64" i="9" s="1"/>
  <c r="C64" i="9"/>
  <c r="F63" i="9"/>
  <c r="J63" i="9" s="1"/>
  <c r="C63" i="9"/>
  <c r="F62" i="9"/>
  <c r="G62" i="9" s="1"/>
  <c r="H62" i="9" s="1"/>
  <c r="I62" i="9" s="1"/>
  <c r="C62" i="9"/>
  <c r="F61" i="9"/>
  <c r="G61" i="9" s="1"/>
  <c r="H61" i="9" s="1"/>
  <c r="I61" i="9" s="1"/>
  <c r="C61" i="9"/>
  <c r="F60" i="9"/>
  <c r="G60" i="9" s="1"/>
  <c r="H60" i="9" s="1"/>
  <c r="I60" i="9" s="1"/>
  <c r="C60" i="9"/>
  <c r="F59" i="9"/>
  <c r="G59" i="9" s="1"/>
  <c r="H59" i="9" s="1"/>
  <c r="I59" i="9" s="1"/>
  <c r="C59" i="9"/>
  <c r="F58" i="9"/>
  <c r="G58" i="9" s="1"/>
  <c r="H58" i="9" s="1"/>
  <c r="I58" i="9" s="1"/>
  <c r="C58" i="9"/>
  <c r="F57" i="9"/>
  <c r="C57" i="9"/>
  <c r="F56" i="9"/>
  <c r="G56" i="9" s="1"/>
  <c r="H56" i="9" s="1"/>
  <c r="C56" i="9"/>
  <c r="F55" i="9"/>
  <c r="C55" i="9"/>
  <c r="F54" i="9"/>
  <c r="G54" i="9" s="1"/>
  <c r="C54" i="9"/>
  <c r="F53" i="9"/>
  <c r="G53" i="9" s="1"/>
  <c r="H53" i="9" s="1"/>
  <c r="I53" i="9" s="1"/>
  <c r="C53" i="9"/>
  <c r="F52" i="9"/>
  <c r="J52" i="9" s="1"/>
  <c r="C52" i="9"/>
  <c r="F51" i="9"/>
  <c r="G51" i="9" s="1"/>
  <c r="H51" i="9" s="1"/>
  <c r="I51" i="9" s="1"/>
  <c r="C51" i="9"/>
  <c r="F50" i="9"/>
  <c r="C50" i="9"/>
  <c r="F49" i="9"/>
  <c r="G49" i="9" s="1"/>
  <c r="H49" i="9" s="1"/>
  <c r="I49" i="9" s="1"/>
  <c r="C49" i="9"/>
  <c r="F48" i="9"/>
  <c r="J48" i="9" s="1"/>
  <c r="C48" i="9"/>
  <c r="F47" i="9"/>
  <c r="G47" i="9" s="1"/>
  <c r="H47" i="9" s="1"/>
  <c r="C47" i="9"/>
  <c r="F46" i="9"/>
  <c r="C46" i="9"/>
  <c r="F45" i="9"/>
  <c r="J45" i="9" s="1"/>
  <c r="C45" i="9"/>
  <c r="F44" i="9"/>
  <c r="G44" i="9" s="1"/>
  <c r="H44" i="9" s="1"/>
  <c r="I44" i="9" s="1"/>
  <c r="C44" i="9"/>
  <c r="F43" i="9"/>
  <c r="G43" i="9" s="1"/>
  <c r="H43" i="9" s="1"/>
  <c r="C43" i="9"/>
  <c r="F42" i="9"/>
  <c r="G42" i="9" s="1"/>
  <c r="H42" i="9" s="1"/>
  <c r="I42" i="9" s="1"/>
  <c r="C42" i="9"/>
  <c r="F41" i="9"/>
  <c r="J41" i="9" s="1"/>
  <c r="C41" i="9"/>
  <c r="F40" i="9"/>
  <c r="J40" i="9" s="1"/>
  <c r="C40" i="9"/>
  <c r="F39" i="9"/>
  <c r="C39" i="9"/>
  <c r="F38" i="9"/>
  <c r="C38" i="9"/>
  <c r="F37" i="9"/>
  <c r="J37" i="9" s="1"/>
  <c r="C37" i="9"/>
  <c r="F36" i="9"/>
  <c r="C36" i="9"/>
  <c r="F35" i="9"/>
  <c r="G35" i="9" s="1"/>
  <c r="C35" i="9"/>
  <c r="F34" i="9"/>
  <c r="J34" i="9" s="1"/>
  <c r="C34" i="9"/>
  <c r="F33" i="9"/>
  <c r="G33" i="9" s="1"/>
  <c r="H33" i="9" s="1"/>
  <c r="I33" i="9" s="1"/>
  <c r="C33" i="9"/>
  <c r="F32" i="9"/>
  <c r="G32" i="9" s="1"/>
  <c r="H32" i="9" s="1"/>
  <c r="I32" i="9" s="1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J131" i="9"/>
  <c r="N151" i="9"/>
  <c r="J86" i="9"/>
  <c r="J154" i="9"/>
  <c r="J137" i="9"/>
  <c r="J153" i="9"/>
  <c r="N233" i="9"/>
  <c r="J246" i="9"/>
  <c r="N250" i="9"/>
  <c r="J251" i="9"/>
  <c r="N251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1" i="9"/>
  <c r="H241" i="9" s="1"/>
  <c r="G243" i="9"/>
  <c r="H243" i="9" s="1"/>
  <c r="G245" i="9"/>
  <c r="H245" i="9" s="1"/>
  <c r="G248" i="9"/>
  <c r="H248" i="9" s="1"/>
  <c r="G249" i="9"/>
  <c r="H249" i="9" s="1"/>
  <c r="G251" i="9"/>
  <c r="H251" i="9" s="1"/>
  <c r="G252" i="9"/>
  <c r="H252" i="9" s="1"/>
  <c r="I252" i="9" s="1"/>
  <c r="G253" i="9"/>
  <c r="H253" i="9" s="1"/>
  <c r="G255" i="9"/>
  <c r="H255" i="9" s="1"/>
  <c r="G256" i="9"/>
  <c r="G257" i="9"/>
  <c r="H257" i="9" s="1"/>
  <c r="G259" i="9"/>
  <c r="H259" i="9" s="1"/>
  <c r="G260" i="9"/>
  <c r="H260" i="9" s="1"/>
  <c r="G261" i="9"/>
  <c r="H261" i="9" s="1"/>
  <c r="G262" i="9"/>
  <c r="H262" i="9" s="1"/>
  <c r="I262" i="9" s="1"/>
  <c r="G263" i="9"/>
  <c r="H263" i="9" s="1"/>
  <c r="G264" i="9"/>
  <c r="H264" i="9" s="1"/>
  <c r="I264" i="9" s="1"/>
  <c r="G265" i="9"/>
  <c r="H265" i="9" s="1"/>
  <c r="I265" i="9" s="1"/>
  <c r="G266" i="9"/>
  <c r="H266" i="9" s="1"/>
  <c r="I266" i="9" s="1"/>
  <c r="G267" i="9"/>
  <c r="H267" i="9" s="1"/>
  <c r="G268" i="9"/>
  <c r="H268" i="9" s="1"/>
  <c r="G269" i="9"/>
  <c r="H269" i="9" s="1"/>
  <c r="G270" i="9"/>
  <c r="G271" i="9"/>
  <c r="H271" i="9" s="1"/>
  <c r="I271" i="9" s="1"/>
  <c r="G272" i="9"/>
  <c r="N132" i="9"/>
  <c r="G152" i="9"/>
  <c r="H152" i="9" s="1"/>
  <c r="I152" i="9" s="1"/>
  <c r="G148" i="9"/>
  <c r="H148" i="9" s="1"/>
  <c r="G110" i="9"/>
  <c r="N112" i="9"/>
  <c r="G114" i="9"/>
  <c r="H114" i="9" s="1"/>
  <c r="I114" i="9" s="1"/>
  <c r="N116" i="9"/>
  <c r="G118" i="9"/>
  <c r="H118" i="9" s="1"/>
  <c r="I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I105" i="9" s="1"/>
  <c r="J143" i="9"/>
  <c r="W70" i="20" l="1"/>
  <c r="X70" i="20" s="1"/>
  <c r="Y70" i="20" s="1"/>
  <c r="V71" i="20"/>
  <c r="S72" i="20"/>
  <c r="T71" i="20"/>
  <c r="U71" i="20" s="1"/>
  <c r="Z71" i="20" s="1"/>
  <c r="K152" i="9"/>
  <c r="K122" i="9"/>
  <c r="M122" i="9" s="1"/>
  <c r="K262" i="9"/>
  <c r="M262" i="9" s="1"/>
  <c r="K264" i="9"/>
  <c r="K114" i="9"/>
  <c r="M114" i="9" s="1"/>
  <c r="K153" i="9"/>
  <c r="M153" i="9" s="1"/>
  <c r="K105" i="9"/>
  <c r="K271" i="9"/>
  <c r="M271" i="9" s="1"/>
  <c r="K266" i="9"/>
  <c r="M266" i="9" s="1"/>
  <c r="K86" i="9"/>
  <c r="M86" i="9" s="1"/>
  <c r="K118" i="9"/>
  <c r="M118" i="9" s="1"/>
  <c r="K265" i="9"/>
  <c r="J243" i="9"/>
  <c r="G234" i="9"/>
  <c r="H234" i="9" s="1"/>
  <c r="I234" i="9" s="1"/>
  <c r="O170" i="9"/>
  <c r="G258" i="9"/>
  <c r="H258" i="9" s="1"/>
  <c r="I258" i="9" s="1"/>
  <c r="G254" i="9"/>
  <c r="H254" i="9" s="1"/>
  <c r="I254" i="9" s="1"/>
  <c r="G250" i="9"/>
  <c r="H250" i="9" s="1"/>
  <c r="I250" i="9" s="1"/>
  <c r="G244" i="9"/>
  <c r="H244" i="9" s="1"/>
  <c r="N262" i="9"/>
  <c r="N260" i="9"/>
  <c r="J258" i="9"/>
  <c r="N252" i="9"/>
  <c r="J250" i="9"/>
  <c r="G219" i="9"/>
  <c r="H219" i="9" s="1"/>
  <c r="G240" i="9"/>
  <c r="H240" i="9" s="1"/>
  <c r="I240" i="9" s="1"/>
  <c r="J249" i="9"/>
  <c r="G238" i="9"/>
  <c r="H238" i="9" s="1"/>
  <c r="I238" i="9" s="1"/>
  <c r="G232" i="9"/>
  <c r="H232" i="9" s="1"/>
  <c r="I232" i="9" s="1"/>
  <c r="G246" i="9"/>
  <c r="H246" i="9" s="1"/>
  <c r="I246" i="9" s="1"/>
  <c r="G242" i="9"/>
  <c r="H242" i="9" s="1"/>
  <c r="G236" i="9"/>
  <c r="H236" i="9" s="1"/>
  <c r="N258" i="9"/>
  <c r="N256" i="9"/>
  <c r="J248" i="9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I226" i="9" s="1"/>
  <c r="G137" i="9"/>
  <c r="H137" i="9" s="1"/>
  <c r="I137" i="9" s="1"/>
  <c r="K137" i="9" s="1"/>
  <c r="N224" i="9"/>
  <c r="J100" i="9"/>
  <c r="G202" i="9"/>
  <c r="H202" i="9" s="1"/>
  <c r="G210" i="9"/>
  <c r="H210" i="9" s="1"/>
  <c r="I210" i="9" s="1"/>
  <c r="N235" i="9"/>
  <c r="N206" i="9"/>
  <c r="G156" i="9"/>
  <c r="H156" i="9" s="1"/>
  <c r="I156" i="9" s="1"/>
  <c r="J178" i="9"/>
  <c r="J168" i="9"/>
  <c r="G221" i="9"/>
  <c r="H221" i="9" s="1"/>
  <c r="G159" i="9"/>
  <c r="H159" i="9" s="1"/>
  <c r="I159" i="9" s="1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I228" i="9" s="1"/>
  <c r="G217" i="9"/>
  <c r="H217" i="9" s="1"/>
  <c r="G178" i="9"/>
  <c r="H178" i="9" s="1"/>
  <c r="N244" i="9"/>
  <c r="J238" i="9"/>
  <c r="N231" i="9"/>
  <c r="N222" i="9"/>
  <c r="J61" i="9"/>
  <c r="K61" i="9" s="1"/>
  <c r="G168" i="9"/>
  <c r="H168" i="9" s="1"/>
  <c r="I168" i="9" s="1"/>
  <c r="O174" i="9"/>
  <c r="J156" i="9"/>
  <c r="O172" i="9"/>
  <c r="J65" i="9"/>
  <c r="O160" i="9"/>
  <c r="G237" i="9"/>
  <c r="H237" i="9" s="1"/>
  <c r="G233" i="9"/>
  <c r="H233" i="9" s="1"/>
  <c r="G224" i="9"/>
  <c r="H224" i="9" s="1"/>
  <c r="G214" i="9"/>
  <c r="H214" i="9" s="1"/>
  <c r="I214" i="9" s="1"/>
  <c r="G196" i="9"/>
  <c r="H196" i="9" s="1"/>
  <c r="N242" i="9"/>
  <c r="N237" i="9"/>
  <c r="J232" i="9"/>
  <c r="J227" i="9"/>
  <c r="N189" i="9"/>
  <c r="G131" i="9"/>
  <c r="H131" i="9" s="1"/>
  <c r="J174" i="9"/>
  <c r="O158" i="9"/>
  <c r="J92" i="9"/>
  <c r="K92" i="9" s="1"/>
  <c r="J164" i="9"/>
  <c r="G37" i="9"/>
  <c r="H37" i="9" s="1"/>
  <c r="I37" i="9" s="1"/>
  <c r="K37" i="9" s="1"/>
  <c r="L38" i="9" s="1"/>
  <c r="J170" i="9"/>
  <c r="G76" i="9"/>
  <c r="H76" i="9" s="1"/>
  <c r="O168" i="9"/>
  <c r="J71" i="9"/>
  <c r="G230" i="9"/>
  <c r="H230" i="9" s="1"/>
  <c r="I230" i="9" s="1"/>
  <c r="G222" i="9"/>
  <c r="H222" i="9" s="1"/>
  <c r="I222" i="9" s="1"/>
  <c r="G218" i="9"/>
  <c r="H218" i="9" s="1"/>
  <c r="I218" i="9" s="1"/>
  <c r="G212" i="9"/>
  <c r="H212" i="9" s="1"/>
  <c r="I212" i="9" s="1"/>
  <c r="K212" i="9" s="1"/>
  <c r="M212" i="9" s="1"/>
  <c r="G203" i="9"/>
  <c r="H203" i="9" s="1"/>
  <c r="G187" i="9"/>
  <c r="H187" i="9" s="1"/>
  <c r="I187" i="9" s="1"/>
  <c r="G163" i="9"/>
  <c r="H163" i="9" s="1"/>
  <c r="I163" i="9" s="1"/>
  <c r="N248" i="9"/>
  <c r="J242" i="9"/>
  <c r="N238" i="9"/>
  <c r="N234" i="9"/>
  <c r="N226" i="9"/>
  <c r="N216" i="9"/>
  <c r="J179" i="9"/>
  <c r="O162" i="9"/>
  <c r="G220" i="9"/>
  <c r="H220" i="9" s="1"/>
  <c r="I220" i="9" s="1"/>
  <c r="G216" i="9"/>
  <c r="H216" i="9" s="1"/>
  <c r="G208" i="9"/>
  <c r="H208" i="9" s="1"/>
  <c r="I208" i="9" s="1"/>
  <c r="K208" i="9" s="1"/>
  <c r="M208" i="9" s="1"/>
  <c r="G200" i="9"/>
  <c r="H200" i="9" s="1"/>
  <c r="I200" i="9" s="1"/>
  <c r="G174" i="9"/>
  <c r="H174" i="9" s="1"/>
  <c r="I174" i="9" s="1"/>
  <c r="N240" i="9"/>
  <c r="J224" i="9"/>
  <c r="N197" i="9"/>
  <c r="J163" i="9"/>
  <c r="G74" i="9"/>
  <c r="H74" i="9" s="1"/>
  <c r="I74" i="9" s="1"/>
  <c r="J56" i="9"/>
  <c r="G68" i="9"/>
  <c r="H68" i="9" s="1"/>
  <c r="I68" i="9" s="1"/>
  <c r="K68" i="9" s="1"/>
  <c r="J162" i="9"/>
  <c r="J95" i="9"/>
  <c r="G48" i="9"/>
  <c r="H48" i="9" s="1"/>
  <c r="I48" i="9" s="1"/>
  <c r="K48" i="9" s="1"/>
  <c r="G204" i="9"/>
  <c r="H204" i="9" s="1"/>
  <c r="G198" i="9"/>
  <c r="H198" i="9" s="1"/>
  <c r="I198" i="9" s="1"/>
  <c r="G182" i="9"/>
  <c r="H182" i="9" s="1"/>
  <c r="G161" i="9"/>
  <c r="H161" i="9" s="1"/>
  <c r="I161" i="9" s="1"/>
  <c r="N232" i="9"/>
  <c r="J230" i="9"/>
  <c r="J226" i="9"/>
  <c r="J219" i="9"/>
  <c r="N202" i="9"/>
  <c r="N184" i="9"/>
  <c r="N167" i="9"/>
  <c r="J102" i="9"/>
  <c r="K102" i="9" s="1"/>
  <c r="M102" i="9" s="1"/>
  <c r="G79" i="9"/>
  <c r="H79" i="9" s="1"/>
  <c r="I79" i="9" s="1"/>
  <c r="K79" i="9" s="1"/>
  <c r="J32" i="9"/>
  <c r="K32" i="9" s="1"/>
  <c r="M32" i="9" s="1"/>
  <c r="J155" i="9"/>
  <c r="G40" i="9"/>
  <c r="H40" i="9" s="1"/>
  <c r="I40" i="9" s="1"/>
  <c r="K40" i="9" s="1"/>
  <c r="M40" i="9" s="1"/>
  <c r="G84" i="9"/>
  <c r="H84" i="9" s="1"/>
  <c r="G192" i="9"/>
  <c r="H192" i="9" s="1"/>
  <c r="I192" i="9" s="1"/>
  <c r="G176" i="9"/>
  <c r="H176" i="9" s="1"/>
  <c r="I176" i="9" s="1"/>
  <c r="G166" i="9"/>
  <c r="H166" i="9" s="1"/>
  <c r="I166" i="9" s="1"/>
  <c r="J157" i="9"/>
  <c r="K157" i="9" s="1"/>
  <c r="M157" i="9" s="1"/>
  <c r="J211" i="9"/>
  <c r="N193" i="9"/>
  <c r="N175" i="9"/>
  <c r="N158" i="9"/>
  <c r="G155" i="9"/>
  <c r="H155" i="9" s="1"/>
  <c r="J160" i="9"/>
  <c r="G205" i="9"/>
  <c r="H205" i="9" s="1"/>
  <c r="I205" i="9" s="1"/>
  <c r="G201" i="9"/>
  <c r="H201" i="9" s="1"/>
  <c r="I201" i="9" s="1"/>
  <c r="G194" i="9"/>
  <c r="H194" i="9" s="1"/>
  <c r="G185" i="9"/>
  <c r="H185" i="9" s="1"/>
  <c r="I185" i="9" s="1"/>
  <c r="G177" i="9"/>
  <c r="H177" i="9" s="1"/>
  <c r="I177" i="9" s="1"/>
  <c r="G172" i="9"/>
  <c r="H172" i="9" s="1"/>
  <c r="I172" i="9" s="1"/>
  <c r="G167" i="9"/>
  <c r="H167" i="9" s="1"/>
  <c r="I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K51" i="9" s="1"/>
  <c r="M51" i="9" s="1"/>
  <c r="G189" i="9"/>
  <c r="H189" i="9" s="1"/>
  <c r="G179" i="9"/>
  <c r="H179" i="9" s="1"/>
  <c r="G175" i="9"/>
  <c r="H175" i="9" s="1"/>
  <c r="I175" i="9" s="1"/>
  <c r="G169" i="9"/>
  <c r="H169" i="9" s="1"/>
  <c r="G165" i="9"/>
  <c r="H165" i="9" s="1"/>
  <c r="I165" i="9" s="1"/>
  <c r="G160" i="9"/>
  <c r="H160" i="9" s="1"/>
  <c r="I160" i="9" s="1"/>
  <c r="N217" i="9"/>
  <c r="N209" i="9"/>
  <c r="N200" i="9"/>
  <c r="N192" i="9"/>
  <c r="N181" i="9"/>
  <c r="J167" i="9"/>
  <c r="G94" i="9"/>
  <c r="H94" i="9" s="1"/>
  <c r="I94" i="9" s="1"/>
  <c r="J77" i="9"/>
  <c r="K77" i="9" s="1"/>
  <c r="I75" i="9"/>
  <c r="H35" i="9"/>
  <c r="I35" i="9" s="1"/>
  <c r="O140" i="9"/>
  <c r="G136" i="9"/>
  <c r="H136" i="9" s="1"/>
  <c r="I136" i="9" s="1"/>
  <c r="O152" i="9"/>
  <c r="N152" i="9"/>
  <c r="G227" i="9"/>
  <c r="H227" i="9" s="1"/>
  <c r="G213" i="9"/>
  <c r="H213" i="9" s="1"/>
  <c r="I213" i="9" s="1"/>
  <c r="G209" i="9"/>
  <c r="H209" i="9" s="1"/>
  <c r="G195" i="9"/>
  <c r="H195" i="9" s="1"/>
  <c r="I195" i="9" s="1"/>
  <c r="G190" i="9"/>
  <c r="H190" i="9" s="1"/>
  <c r="G186" i="9"/>
  <c r="H186" i="9" s="1"/>
  <c r="I186" i="9" s="1"/>
  <c r="G181" i="9"/>
  <c r="H181" i="9" s="1"/>
  <c r="J140" i="9"/>
  <c r="J128" i="9"/>
  <c r="J120" i="9"/>
  <c r="K120" i="9" s="1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N141" i="9"/>
  <c r="J54" i="9"/>
  <c r="J33" i="9"/>
  <c r="K33" i="9" s="1"/>
  <c r="J187" i="9"/>
  <c r="G128" i="9"/>
  <c r="H128" i="9" s="1"/>
  <c r="I128" i="9" s="1"/>
  <c r="K128" i="9" s="1"/>
  <c r="G124" i="9"/>
  <c r="H124" i="9" s="1"/>
  <c r="I124" i="9" s="1"/>
  <c r="K124" i="9" s="1"/>
  <c r="G116" i="9"/>
  <c r="H116" i="9" s="1"/>
  <c r="I116" i="9" s="1"/>
  <c r="K116" i="9" s="1"/>
  <c r="G107" i="9"/>
  <c r="H107" i="9" s="1"/>
  <c r="G229" i="9"/>
  <c r="H229" i="9" s="1"/>
  <c r="I229" i="9" s="1"/>
  <c r="G225" i="9"/>
  <c r="H225" i="9" s="1"/>
  <c r="G211" i="9"/>
  <c r="H211" i="9" s="1"/>
  <c r="G197" i="9"/>
  <c r="H197" i="9" s="1"/>
  <c r="I197" i="9" s="1"/>
  <c r="G193" i="9"/>
  <c r="H193" i="9" s="1"/>
  <c r="I193" i="9" s="1"/>
  <c r="G188" i="9"/>
  <c r="H188" i="9" s="1"/>
  <c r="G184" i="9"/>
  <c r="H184" i="9" s="1"/>
  <c r="I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N211" i="9"/>
  <c r="J209" i="9"/>
  <c r="J205" i="9"/>
  <c r="J161" i="9"/>
  <c r="G93" i="9"/>
  <c r="H93" i="9" s="1"/>
  <c r="I93" i="9" s="1"/>
  <c r="K93" i="9" s="1"/>
  <c r="G78" i="9"/>
  <c r="H78" i="9" s="1"/>
  <c r="I78" i="9" s="1"/>
  <c r="J49" i="9"/>
  <c r="K49" i="9" s="1"/>
  <c r="J72" i="9"/>
  <c r="H151" i="9"/>
  <c r="I151" i="9" s="1"/>
  <c r="J159" i="9"/>
  <c r="N153" i="9"/>
  <c r="J129" i="9"/>
  <c r="K129" i="9" s="1"/>
  <c r="J43" i="9"/>
  <c r="J104" i="9"/>
  <c r="K104" i="9" s="1"/>
  <c r="N156" i="9"/>
  <c r="J139" i="9"/>
  <c r="K139" i="9" s="1"/>
  <c r="G143" i="9"/>
  <c r="H143" i="9" s="1"/>
  <c r="I143" i="9" s="1"/>
  <c r="O151" i="9"/>
  <c r="O175" i="9"/>
  <c r="J67" i="9"/>
  <c r="J85" i="9"/>
  <c r="N201" i="9"/>
  <c r="N194" i="9"/>
  <c r="N166" i="9"/>
  <c r="O154" i="9"/>
  <c r="G134" i="9"/>
  <c r="H134" i="9" s="1"/>
  <c r="I134" i="9" s="1"/>
  <c r="J83" i="9"/>
  <c r="J59" i="9"/>
  <c r="K59" i="9" s="1"/>
  <c r="J134" i="9"/>
  <c r="G97" i="9"/>
  <c r="H97" i="9" s="1"/>
  <c r="I97" i="9" s="1"/>
  <c r="J151" i="9"/>
  <c r="O139" i="9"/>
  <c r="O157" i="9"/>
  <c r="G46" i="9"/>
  <c r="H46" i="9" s="1"/>
  <c r="I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I132" i="9" s="1"/>
  <c r="J138" i="9"/>
  <c r="G138" i="9"/>
  <c r="H138" i="9" s="1"/>
  <c r="I138" i="9" s="1"/>
  <c r="N138" i="9"/>
  <c r="O138" i="9"/>
  <c r="G39" i="9"/>
  <c r="H39" i="9" s="1"/>
  <c r="J39" i="9"/>
  <c r="H54" i="9"/>
  <c r="I54" i="9" s="1"/>
  <c r="J80" i="9"/>
  <c r="G80" i="9"/>
  <c r="H80" i="9" s="1"/>
  <c r="I80" i="9" s="1"/>
  <c r="G99" i="9"/>
  <c r="H99" i="9" s="1"/>
  <c r="J99" i="9"/>
  <c r="J101" i="9"/>
  <c r="G101" i="9"/>
  <c r="H101" i="9" s="1"/>
  <c r="I101" i="9" s="1"/>
  <c r="J66" i="9"/>
  <c r="G66" i="9"/>
  <c r="H66" i="9" s="1"/>
  <c r="I66" i="9" s="1"/>
  <c r="G70" i="9"/>
  <c r="H70" i="9" s="1"/>
  <c r="I70" i="9" s="1"/>
  <c r="J70" i="9"/>
  <c r="H73" i="9"/>
  <c r="I73" i="9" s="1"/>
  <c r="J90" i="9"/>
  <c r="G90" i="9"/>
  <c r="H90" i="9" s="1"/>
  <c r="I90" i="9" s="1"/>
  <c r="J109" i="9"/>
  <c r="G109" i="9"/>
  <c r="H109" i="9" s="1"/>
  <c r="I109" i="9" s="1"/>
  <c r="N109" i="9"/>
  <c r="N111" i="9"/>
  <c r="G111" i="9"/>
  <c r="H111" i="9" s="1"/>
  <c r="I111" i="9" s="1"/>
  <c r="J113" i="9"/>
  <c r="N113" i="9"/>
  <c r="N115" i="9"/>
  <c r="G115" i="9"/>
  <c r="H115" i="9" s="1"/>
  <c r="I115" i="9" s="1"/>
  <c r="J117" i="9"/>
  <c r="G117" i="9"/>
  <c r="H117" i="9" s="1"/>
  <c r="I117" i="9" s="1"/>
  <c r="N117" i="9"/>
  <c r="N119" i="9"/>
  <c r="G119" i="9"/>
  <c r="H119" i="9" s="1"/>
  <c r="I119" i="9" s="1"/>
  <c r="J121" i="9"/>
  <c r="N121" i="9"/>
  <c r="N123" i="9"/>
  <c r="G123" i="9"/>
  <c r="J125" i="9"/>
  <c r="G125" i="9"/>
  <c r="H125" i="9" s="1"/>
  <c r="I125" i="9" s="1"/>
  <c r="N125" i="9"/>
  <c r="N127" i="9"/>
  <c r="G127" i="9"/>
  <c r="H127" i="9" s="1"/>
  <c r="I127" i="9" s="1"/>
  <c r="O133" i="9"/>
  <c r="N133" i="9"/>
  <c r="G133" i="9"/>
  <c r="H133" i="9" s="1"/>
  <c r="O135" i="9"/>
  <c r="J135" i="9"/>
  <c r="N135" i="9"/>
  <c r="J36" i="9"/>
  <c r="G36" i="9"/>
  <c r="G55" i="9"/>
  <c r="J55" i="9"/>
  <c r="G57" i="9"/>
  <c r="H57" i="9" s="1"/>
  <c r="I57" i="9" s="1"/>
  <c r="J57" i="9"/>
  <c r="J81" i="9"/>
  <c r="G81" i="9"/>
  <c r="H81" i="9" s="1"/>
  <c r="I81" i="9" s="1"/>
  <c r="O144" i="9"/>
  <c r="J144" i="9"/>
  <c r="G144" i="9"/>
  <c r="H144" i="9" s="1"/>
  <c r="I144" i="9" s="1"/>
  <c r="G146" i="9"/>
  <c r="H146" i="9" s="1"/>
  <c r="O146" i="9"/>
  <c r="O148" i="9"/>
  <c r="N148" i="9"/>
  <c r="G150" i="9"/>
  <c r="H150" i="9" s="1"/>
  <c r="I150" i="9" s="1"/>
  <c r="O150" i="9"/>
  <c r="N150" i="9"/>
  <c r="G173" i="9"/>
  <c r="H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H63" i="9" s="1"/>
  <c r="J64" i="9"/>
  <c r="J103" i="9"/>
  <c r="K103" i="9" s="1"/>
  <c r="G106" i="9"/>
  <c r="H106" i="9" s="1"/>
  <c r="I106" i="9" s="1"/>
  <c r="O129" i="9"/>
  <c r="O137" i="9"/>
  <c r="O163" i="9"/>
  <c r="O179" i="9"/>
  <c r="O187" i="9"/>
  <c r="G180" i="9"/>
  <c r="H180" i="9" s="1"/>
  <c r="I180" i="9" s="1"/>
  <c r="G164" i="9"/>
  <c r="H164" i="9" s="1"/>
  <c r="I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G239" i="9"/>
  <c r="H239" i="9" s="1"/>
  <c r="I239" i="9" s="1"/>
  <c r="G231" i="9"/>
  <c r="H231" i="9" s="1"/>
  <c r="G223" i="9"/>
  <c r="H223" i="9" s="1"/>
  <c r="I223" i="9" s="1"/>
  <c r="G215" i="9"/>
  <c r="H215" i="9" s="1"/>
  <c r="I215" i="9" s="1"/>
  <c r="G207" i="9"/>
  <c r="H207" i="9" s="1"/>
  <c r="I207" i="9" s="1"/>
  <c r="G199" i="9"/>
  <c r="H199" i="9" s="1"/>
  <c r="G191" i="9"/>
  <c r="H191" i="9" s="1"/>
  <c r="I191" i="9" s="1"/>
  <c r="G183" i="9"/>
  <c r="H183" i="9" s="1"/>
  <c r="I183" i="9" s="1"/>
  <c r="G171" i="9"/>
  <c r="H171" i="9" s="1"/>
  <c r="I171" i="9" s="1"/>
  <c r="J252" i="9"/>
  <c r="K252" i="9" s="1"/>
  <c r="J244" i="9"/>
  <c r="J236" i="9"/>
  <c r="J228" i="9"/>
  <c r="J173" i="9"/>
  <c r="O142" i="9"/>
  <c r="N142" i="9"/>
  <c r="G108" i="9"/>
  <c r="H108" i="9" s="1"/>
  <c r="I108" i="9" s="1"/>
  <c r="J58" i="9"/>
  <c r="K58" i="9" s="1"/>
  <c r="J42" i="9"/>
  <c r="N139" i="9"/>
  <c r="O273" i="9"/>
  <c r="G149" i="9"/>
  <c r="H149" i="9" s="1"/>
  <c r="G141" i="9"/>
  <c r="H141" i="9" s="1"/>
  <c r="N173" i="9"/>
  <c r="N165" i="9"/>
  <c r="O155" i="9"/>
  <c r="J149" i="9"/>
  <c r="J145" i="9"/>
  <c r="J141" i="9"/>
  <c r="J91" i="9"/>
  <c r="G82" i="9"/>
  <c r="H82" i="9" s="1"/>
  <c r="I82" i="9" s="1"/>
  <c r="J47" i="9"/>
  <c r="J35" i="9"/>
  <c r="J73" i="9"/>
  <c r="J150" i="9"/>
  <c r="J53" i="9"/>
  <c r="K53" i="9" s="1"/>
  <c r="J146" i="9"/>
  <c r="J62" i="9"/>
  <c r="G41" i="9"/>
  <c r="H41" i="9" s="1"/>
  <c r="I41" i="9" s="1"/>
  <c r="K41" i="9" s="1"/>
  <c r="J147" i="9"/>
  <c r="J44" i="9"/>
  <c r="K44" i="9" s="1"/>
  <c r="G45" i="9"/>
  <c r="H45" i="9" s="1"/>
  <c r="I45" i="9" s="1"/>
  <c r="G52" i="9"/>
  <c r="H52" i="9" s="1"/>
  <c r="J60" i="9"/>
  <c r="K60" i="9" s="1"/>
  <c r="G88" i="9"/>
  <c r="H88" i="9" s="1"/>
  <c r="I88" i="9" s="1"/>
  <c r="J96" i="9"/>
  <c r="G147" i="9"/>
  <c r="H147" i="9" s="1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I145" i="9" s="1"/>
  <c r="J222" i="9"/>
  <c r="J218" i="9"/>
  <c r="J214" i="9"/>
  <c r="J210" i="9"/>
  <c r="J206" i="9"/>
  <c r="J202" i="9"/>
  <c r="J198" i="9"/>
  <c r="J194" i="9"/>
  <c r="J190" i="9"/>
  <c r="J186" i="9"/>
  <c r="J182" i="9"/>
  <c r="G142" i="9"/>
  <c r="H142" i="9" s="1"/>
  <c r="I142" i="9" s="1"/>
  <c r="G98" i="9"/>
  <c r="H98" i="9" s="1"/>
  <c r="I98" i="9" s="1"/>
  <c r="J75" i="9"/>
  <c r="G89" i="9"/>
  <c r="H89" i="9" s="1"/>
  <c r="I89" i="9" s="1"/>
  <c r="I121" i="9"/>
  <c r="I113" i="9"/>
  <c r="I260" i="9"/>
  <c r="I170" i="9"/>
  <c r="I251" i="9"/>
  <c r="K251" i="9" s="1"/>
  <c r="I242" i="9"/>
  <c r="I268" i="9"/>
  <c r="I241" i="9"/>
  <c r="I245" i="9"/>
  <c r="I269" i="9"/>
  <c r="I148" i="9"/>
  <c r="I87" i="9"/>
  <c r="I255" i="9"/>
  <c r="I253" i="9"/>
  <c r="I249" i="9"/>
  <c r="I56" i="9"/>
  <c r="I112" i="9"/>
  <c r="I140" i="9"/>
  <c r="H71" i="9"/>
  <c r="I71" i="9" s="1"/>
  <c r="H270" i="9"/>
  <c r="I270" i="9" s="1"/>
  <c r="K270" i="9" s="1"/>
  <c r="I47" i="9"/>
  <c r="I67" i="9"/>
  <c r="I158" i="9"/>
  <c r="I43" i="9"/>
  <c r="H110" i="9"/>
  <c r="I110" i="9" s="1"/>
  <c r="K110" i="9" s="1"/>
  <c r="H95" i="9"/>
  <c r="I95" i="9" s="1"/>
  <c r="I126" i="9"/>
  <c r="K126" i="9" s="1"/>
  <c r="H100" i="9"/>
  <c r="I100" i="9" s="1"/>
  <c r="I263" i="9"/>
  <c r="K263" i="9" s="1"/>
  <c r="I259" i="9"/>
  <c r="K259" i="9" s="1"/>
  <c r="I257" i="9"/>
  <c r="K257" i="9" s="1"/>
  <c r="H256" i="9"/>
  <c r="I256" i="9" s="1"/>
  <c r="K256" i="9" s="1"/>
  <c r="I248" i="9"/>
  <c r="I267" i="9"/>
  <c r="K267" i="9" s="1"/>
  <c r="I261" i="9"/>
  <c r="K261" i="9" s="1"/>
  <c r="H272" i="9"/>
  <c r="I272" i="9" s="1"/>
  <c r="K272" i="9" s="1"/>
  <c r="I243" i="9"/>
  <c r="I69" i="9"/>
  <c r="I64" i="9"/>
  <c r="I72" i="9"/>
  <c r="I91" i="9"/>
  <c r="I96" i="9"/>
  <c r="I273" i="9"/>
  <c r="I219" i="9" l="1"/>
  <c r="K219" i="9" s="1"/>
  <c r="V72" i="20"/>
  <c r="T72" i="20"/>
  <c r="U72" i="20" s="1"/>
  <c r="Z72" i="20" s="1"/>
  <c r="S73" i="20"/>
  <c r="W71" i="20"/>
  <c r="X71" i="20" s="1"/>
  <c r="Y71" i="20" s="1"/>
  <c r="K71" i="9"/>
  <c r="M71" i="9" s="1"/>
  <c r="I202" i="9"/>
  <c r="K202" i="9" s="1"/>
  <c r="M202" i="9" s="1"/>
  <c r="I244" i="9"/>
  <c r="K244" i="9" s="1"/>
  <c r="M244" i="9" s="1"/>
  <c r="I196" i="9"/>
  <c r="K196" i="9" s="1"/>
  <c r="M196" i="9" s="1"/>
  <c r="K43" i="9"/>
  <c r="L44" i="9" s="1"/>
  <c r="I194" i="9"/>
  <c r="K194" i="9" s="1"/>
  <c r="K95" i="9"/>
  <c r="M95" i="9" s="1"/>
  <c r="K248" i="9"/>
  <c r="K249" i="9"/>
  <c r="M249" i="9" s="1"/>
  <c r="I211" i="9"/>
  <c r="K211" i="9" s="1"/>
  <c r="K112" i="9"/>
  <c r="M112" i="9" s="1"/>
  <c r="K87" i="9"/>
  <c r="M87" i="9" s="1"/>
  <c r="I233" i="9"/>
  <c r="K233" i="9" s="1"/>
  <c r="M233" i="9" s="1"/>
  <c r="I236" i="9"/>
  <c r="K56" i="9"/>
  <c r="M56" i="9" s="1"/>
  <c r="I221" i="9"/>
  <c r="K221" i="9" s="1"/>
  <c r="M221" i="9" s="1"/>
  <c r="K100" i="9"/>
  <c r="M100" i="9" s="1"/>
  <c r="I76" i="9"/>
  <c r="K76" i="9" s="1"/>
  <c r="M76" i="9" s="1"/>
  <c r="I237" i="9"/>
  <c r="K237" i="9" s="1"/>
  <c r="M237" i="9" s="1"/>
  <c r="I235" i="9"/>
  <c r="K235" i="9" s="1"/>
  <c r="I179" i="9"/>
  <c r="K179" i="9" s="1"/>
  <c r="I178" i="9"/>
  <c r="K178" i="9" s="1"/>
  <c r="M178" i="9" s="1"/>
  <c r="K245" i="9"/>
  <c r="M245" i="9" s="1"/>
  <c r="I181" i="9"/>
  <c r="K181" i="9" s="1"/>
  <c r="M181" i="9" s="1"/>
  <c r="I182" i="9"/>
  <c r="K182" i="9" s="1"/>
  <c r="I203" i="9"/>
  <c r="K203" i="9" s="1"/>
  <c r="I216" i="9"/>
  <c r="K216" i="9" s="1"/>
  <c r="I188" i="9"/>
  <c r="K188" i="9" s="1"/>
  <c r="M188" i="9" s="1"/>
  <c r="K243" i="9"/>
  <c r="K121" i="9"/>
  <c r="M121" i="9" s="1"/>
  <c r="I227" i="9"/>
  <c r="K227" i="9" s="1"/>
  <c r="I190" i="9"/>
  <c r="K190" i="9" s="1"/>
  <c r="I155" i="9"/>
  <c r="K155" i="9" s="1"/>
  <c r="M155" i="9" s="1"/>
  <c r="I189" i="9"/>
  <c r="K189" i="9" s="1"/>
  <c r="M189" i="9" s="1"/>
  <c r="I217" i="9"/>
  <c r="K217" i="9" s="1"/>
  <c r="K205" i="9"/>
  <c r="K158" i="9"/>
  <c r="I225" i="9"/>
  <c r="K225" i="9" s="1"/>
  <c r="K54" i="9"/>
  <c r="M54" i="9" s="1"/>
  <c r="K72" i="9"/>
  <c r="M72" i="9" s="1"/>
  <c r="I84" i="9"/>
  <c r="K84" i="9" s="1"/>
  <c r="M84" i="9" s="1"/>
  <c r="K232" i="9"/>
  <c r="K67" i="9"/>
  <c r="L68" i="9" s="1"/>
  <c r="I107" i="9"/>
  <c r="K107" i="9" s="1"/>
  <c r="M107" i="9" s="1"/>
  <c r="I224" i="9"/>
  <c r="K224" i="9" s="1"/>
  <c r="I131" i="9"/>
  <c r="K131" i="9" s="1"/>
  <c r="M131" i="9" s="1"/>
  <c r="K69" i="9"/>
  <c r="M69" i="9" s="1"/>
  <c r="K47" i="9"/>
  <c r="M47" i="9" s="1"/>
  <c r="K195" i="9"/>
  <c r="K201" i="9"/>
  <c r="I154" i="9"/>
  <c r="K154" i="9" s="1"/>
  <c r="M154" i="9" s="1"/>
  <c r="I206" i="9"/>
  <c r="K206" i="9" s="1"/>
  <c r="M206" i="9" s="1"/>
  <c r="I169" i="9"/>
  <c r="K169" i="9" s="1"/>
  <c r="M169" i="9" s="1"/>
  <c r="I204" i="9"/>
  <c r="K204" i="9" s="1"/>
  <c r="M204" i="9" s="1"/>
  <c r="K64" i="9"/>
  <c r="M64" i="9" s="1"/>
  <c r="K57" i="9"/>
  <c r="M57" i="9" s="1"/>
  <c r="K46" i="9"/>
  <c r="M46" i="9" s="1"/>
  <c r="K236" i="9"/>
  <c r="M236" i="9" s="1"/>
  <c r="K273" i="9"/>
  <c r="L274" i="9" s="1"/>
  <c r="K81" i="9"/>
  <c r="M81" i="9" s="1"/>
  <c r="K101" i="9"/>
  <c r="M101" i="9" s="1"/>
  <c r="K80" i="9"/>
  <c r="L80" i="9" s="1"/>
  <c r="K50" i="9"/>
  <c r="L51" i="9" s="1"/>
  <c r="K151" i="9"/>
  <c r="M151" i="9" s="1"/>
  <c r="K96" i="9"/>
  <c r="K91" i="9"/>
  <c r="L92" i="9" s="1"/>
  <c r="K113" i="9"/>
  <c r="M113" i="9" s="1"/>
  <c r="K239" i="9"/>
  <c r="K144" i="9"/>
  <c r="M144" i="9" s="1"/>
  <c r="K125" i="9"/>
  <c r="M125" i="9" s="1"/>
  <c r="K90" i="9"/>
  <c r="M90" i="9" s="1"/>
  <c r="K250" i="9"/>
  <c r="L251" i="9" s="1"/>
  <c r="K255" i="9"/>
  <c r="M255" i="9" s="1"/>
  <c r="K223" i="9"/>
  <c r="M223" i="9" s="1"/>
  <c r="K253" i="9"/>
  <c r="M253" i="9" s="1"/>
  <c r="K241" i="9"/>
  <c r="M241" i="9" s="1"/>
  <c r="K170" i="9"/>
  <c r="K140" i="9"/>
  <c r="M140" i="9" s="1"/>
  <c r="K148" i="9"/>
  <c r="M148" i="9" s="1"/>
  <c r="K242" i="9"/>
  <c r="K142" i="9"/>
  <c r="M142" i="9" s="1"/>
  <c r="K145" i="9"/>
  <c r="M145" i="9" s="1"/>
  <c r="K45" i="9"/>
  <c r="M45" i="9" s="1"/>
  <c r="K183" i="9"/>
  <c r="M183" i="9" s="1"/>
  <c r="K215" i="9"/>
  <c r="M215" i="9" s="1"/>
  <c r="K180" i="9"/>
  <c r="M180" i="9" s="1"/>
  <c r="K127" i="9"/>
  <c r="M127" i="9" s="1"/>
  <c r="K117" i="9"/>
  <c r="M117" i="9" s="1"/>
  <c r="K66" i="9"/>
  <c r="K130" i="9"/>
  <c r="M130" i="9" s="1"/>
  <c r="K78" i="9"/>
  <c r="M78" i="9" s="1"/>
  <c r="K184" i="9"/>
  <c r="M184" i="9" s="1"/>
  <c r="K75" i="9"/>
  <c r="K175" i="9"/>
  <c r="M175" i="9" s="1"/>
  <c r="K177" i="9"/>
  <c r="K166" i="9"/>
  <c r="M166" i="9" s="1"/>
  <c r="K161" i="9"/>
  <c r="M161" i="9" s="1"/>
  <c r="K200" i="9"/>
  <c r="M200" i="9" s="1"/>
  <c r="K163" i="9"/>
  <c r="M163" i="9" s="1"/>
  <c r="K218" i="9"/>
  <c r="M218" i="9" s="1"/>
  <c r="K168" i="9"/>
  <c r="M168" i="9" s="1"/>
  <c r="K228" i="9"/>
  <c r="M228" i="9" s="1"/>
  <c r="K159" i="9"/>
  <c r="K156" i="9"/>
  <c r="L157" i="9" s="1"/>
  <c r="K240" i="9"/>
  <c r="M240" i="9" s="1"/>
  <c r="K234" i="9"/>
  <c r="M234" i="9" s="1"/>
  <c r="K65" i="9"/>
  <c r="M65" i="9" s="1"/>
  <c r="K98" i="9"/>
  <c r="M98" i="9" s="1"/>
  <c r="K269" i="9"/>
  <c r="M269" i="9" s="1"/>
  <c r="K268" i="9"/>
  <c r="M268" i="9" s="1"/>
  <c r="K260" i="9"/>
  <c r="M260" i="9" s="1"/>
  <c r="K89" i="9"/>
  <c r="M89" i="9" s="1"/>
  <c r="K88" i="9"/>
  <c r="M88" i="9" s="1"/>
  <c r="K191" i="9"/>
  <c r="M191" i="9" s="1"/>
  <c r="K119" i="9"/>
  <c r="M119" i="9" s="1"/>
  <c r="K109" i="9"/>
  <c r="L110" i="9" s="1"/>
  <c r="K73" i="9"/>
  <c r="M73" i="9" s="1"/>
  <c r="K138" i="9"/>
  <c r="M138" i="9" s="1"/>
  <c r="K97" i="9"/>
  <c r="M97" i="9" s="1"/>
  <c r="K134" i="9"/>
  <c r="M104" i="9"/>
  <c r="K34" i="9"/>
  <c r="M34" i="9" s="1"/>
  <c r="K186" i="9"/>
  <c r="M186" i="9" s="1"/>
  <c r="K213" i="9"/>
  <c r="M213" i="9" s="1"/>
  <c r="K136" i="9"/>
  <c r="M136" i="9" s="1"/>
  <c r="K160" i="9"/>
  <c r="M160" i="9" s="1"/>
  <c r="K162" i="9"/>
  <c r="M162" i="9" s="1"/>
  <c r="K185" i="9"/>
  <c r="M185" i="9" s="1"/>
  <c r="K176" i="9"/>
  <c r="M176" i="9" s="1"/>
  <c r="K187" i="9"/>
  <c r="M187" i="9" s="1"/>
  <c r="K222" i="9"/>
  <c r="M222" i="9" s="1"/>
  <c r="K254" i="9"/>
  <c r="M254" i="9" s="1"/>
  <c r="K62" i="9"/>
  <c r="M62" i="9" s="1"/>
  <c r="M60" i="9"/>
  <c r="M53" i="9"/>
  <c r="K106" i="9"/>
  <c r="M106" i="9" s="1"/>
  <c r="K150" i="9"/>
  <c r="M150" i="9" s="1"/>
  <c r="K115" i="9"/>
  <c r="M115" i="9" s="1"/>
  <c r="K111" i="9"/>
  <c r="M111" i="9" s="1"/>
  <c r="K143" i="9"/>
  <c r="M143" i="9" s="1"/>
  <c r="K193" i="9"/>
  <c r="M193" i="9" s="1"/>
  <c r="K229" i="9"/>
  <c r="M229" i="9" s="1"/>
  <c r="K94" i="9"/>
  <c r="M94" i="9" s="1"/>
  <c r="K165" i="9"/>
  <c r="M165" i="9" s="1"/>
  <c r="K167" i="9"/>
  <c r="M167" i="9" s="1"/>
  <c r="K192" i="9"/>
  <c r="M192" i="9" s="1"/>
  <c r="K198" i="9"/>
  <c r="M198" i="9" s="1"/>
  <c r="K74" i="9"/>
  <c r="M74" i="9" s="1"/>
  <c r="K230" i="9"/>
  <c r="M230" i="9" s="1"/>
  <c r="K238" i="9"/>
  <c r="M238" i="9" s="1"/>
  <c r="K258" i="9"/>
  <c r="L258" i="9" s="1"/>
  <c r="K85" i="9"/>
  <c r="M85" i="9" s="1"/>
  <c r="K82" i="9"/>
  <c r="M82" i="9" s="1"/>
  <c r="K108" i="9"/>
  <c r="M108" i="9" s="1"/>
  <c r="K171" i="9"/>
  <c r="K207" i="9"/>
  <c r="M207" i="9" s="1"/>
  <c r="K164" i="9"/>
  <c r="M164" i="9" s="1"/>
  <c r="K70" i="9"/>
  <c r="M70" i="9" s="1"/>
  <c r="K132" i="9"/>
  <c r="M59" i="9"/>
  <c r="M139" i="9"/>
  <c r="M129" i="9"/>
  <c r="M49" i="9"/>
  <c r="K197" i="9"/>
  <c r="M197" i="9" s="1"/>
  <c r="K35" i="9"/>
  <c r="M35" i="9" s="1"/>
  <c r="K172" i="9"/>
  <c r="M172" i="9" s="1"/>
  <c r="K174" i="9"/>
  <c r="M174" i="9" s="1"/>
  <c r="K220" i="9"/>
  <c r="M220" i="9" s="1"/>
  <c r="K214" i="9"/>
  <c r="M214" i="9" s="1"/>
  <c r="K210" i="9"/>
  <c r="K226" i="9"/>
  <c r="M226" i="9" s="1"/>
  <c r="K246" i="9"/>
  <c r="M246" i="9" s="1"/>
  <c r="K83" i="9"/>
  <c r="M83" i="9" s="1"/>
  <c r="K42" i="9"/>
  <c r="M42" i="9" s="1"/>
  <c r="K135" i="9"/>
  <c r="M135" i="9" s="1"/>
  <c r="I209" i="9"/>
  <c r="K209" i="9" s="1"/>
  <c r="I39" i="9"/>
  <c r="L105" i="9"/>
  <c r="M77" i="9"/>
  <c r="I146" i="9"/>
  <c r="K146" i="9" s="1"/>
  <c r="I149" i="9"/>
  <c r="K149" i="9" s="1"/>
  <c r="M33" i="9"/>
  <c r="I247" i="9"/>
  <c r="I99" i="9"/>
  <c r="I133" i="9"/>
  <c r="M93" i="9"/>
  <c r="L93" i="9"/>
  <c r="I173" i="9"/>
  <c r="I52" i="9"/>
  <c r="I199" i="9"/>
  <c r="I63" i="9"/>
  <c r="M252" i="9"/>
  <c r="I141" i="9"/>
  <c r="I147" i="9"/>
  <c r="I231" i="9"/>
  <c r="L252" i="9"/>
  <c r="M58" i="9"/>
  <c r="L59" i="9"/>
  <c r="H36" i="9"/>
  <c r="I36" i="9" s="1"/>
  <c r="K36" i="9" s="1"/>
  <c r="H55" i="9"/>
  <c r="I55" i="9" s="1"/>
  <c r="K55" i="9" s="1"/>
  <c r="H123" i="9"/>
  <c r="I123" i="9" s="1"/>
  <c r="K123" i="9" s="1"/>
  <c r="M44" i="9"/>
  <c r="L103" i="9"/>
  <c r="L153" i="9"/>
  <c r="M137" i="9"/>
  <c r="M120" i="9"/>
  <c r="M103" i="9"/>
  <c r="L104" i="9"/>
  <c r="M105" i="9"/>
  <c r="M92" i="9"/>
  <c r="L32" i="9"/>
  <c r="L41" i="9"/>
  <c r="M152" i="9"/>
  <c r="L33" i="9"/>
  <c r="L60" i="9"/>
  <c r="L61" i="9"/>
  <c r="M265" i="9"/>
  <c r="L266" i="9"/>
  <c r="M41" i="9"/>
  <c r="L129" i="9"/>
  <c r="M128" i="9"/>
  <c r="M61" i="9"/>
  <c r="M251" i="9"/>
  <c r="M37" i="9"/>
  <c r="L49" i="9"/>
  <c r="M48" i="9"/>
  <c r="M110" i="9"/>
  <c r="M79" i="9"/>
  <c r="M68" i="9"/>
  <c r="M124" i="9"/>
  <c r="M116" i="9"/>
  <c r="M126" i="9"/>
  <c r="L264" i="9"/>
  <c r="M264" i="9"/>
  <c r="L265" i="9"/>
  <c r="M43" i="9" l="1"/>
  <c r="V73" i="20"/>
  <c r="S74" i="20"/>
  <c r="T73" i="20"/>
  <c r="U73" i="20" s="1"/>
  <c r="Z73" i="20" s="1"/>
  <c r="W72" i="20"/>
  <c r="X72" i="20" s="1"/>
  <c r="Y72" i="20" s="1"/>
  <c r="L87" i="9"/>
  <c r="L121" i="9"/>
  <c r="L79" i="9"/>
  <c r="L67" i="9"/>
  <c r="L211" i="9"/>
  <c r="L132" i="9"/>
  <c r="L159" i="9"/>
  <c r="L86" i="9"/>
  <c r="L213" i="9"/>
  <c r="L119" i="9"/>
  <c r="L154" i="9"/>
  <c r="L89" i="9"/>
  <c r="L77" i="9"/>
  <c r="L95" i="9"/>
  <c r="L84" i="9"/>
  <c r="L83" i="9"/>
  <c r="L62" i="9"/>
  <c r="M210" i="9"/>
  <c r="M159" i="9"/>
  <c r="L210" i="9"/>
  <c r="L187" i="9"/>
  <c r="L128" i="9"/>
  <c r="L78" i="9"/>
  <c r="L111" i="9"/>
  <c r="L269" i="9"/>
  <c r="L172" i="9"/>
  <c r="L42" i="9"/>
  <c r="L193" i="9"/>
  <c r="L98" i="9"/>
  <c r="L43" i="9"/>
  <c r="L108" i="9"/>
  <c r="M250" i="9"/>
  <c r="L175" i="9"/>
  <c r="L45" i="9"/>
  <c r="M258" i="9"/>
  <c r="L120" i="9"/>
  <c r="L169" i="9"/>
  <c r="L198" i="9"/>
  <c r="L160" i="9"/>
  <c r="L170" i="9"/>
  <c r="L88" i="9"/>
  <c r="L176" i="9"/>
  <c r="L241" i="9"/>
  <c r="L155" i="9"/>
  <c r="L85" i="9"/>
  <c r="L194" i="9"/>
  <c r="L97" i="9"/>
  <c r="L127" i="9"/>
  <c r="L116" i="9"/>
  <c r="L185" i="9"/>
  <c r="L186" i="9"/>
  <c r="L238" i="9"/>
  <c r="L35" i="9"/>
  <c r="L221" i="9"/>
  <c r="L222" i="9"/>
  <c r="L115" i="9"/>
  <c r="L177" i="9"/>
  <c r="L75" i="9"/>
  <c r="L240" i="9"/>
  <c r="L214" i="9"/>
  <c r="L76" i="9"/>
  <c r="L140" i="9"/>
  <c r="L188" i="9"/>
  <c r="L246" i="9"/>
  <c r="L168" i="9"/>
  <c r="L167" i="9"/>
  <c r="L163" i="9"/>
  <c r="M156" i="9"/>
  <c r="M75" i="9"/>
  <c r="M177" i="9"/>
  <c r="L107" i="9"/>
  <c r="L156" i="9"/>
  <c r="L106" i="9"/>
  <c r="L143" i="9"/>
  <c r="L112" i="9"/>
  <c r="L34" i="9"/>
  <c r="L94" i="9"/>
  <c r="K141" i="9"/>
  <c r="M141" i="9" s="1"/>
  <c r="K247" i="9"/>
  <c r="L248" i="9" s="1"/>
  <c r="K63" i="9"/>
  <c r="M63" i="9" s="1"/>
  <c r="K133" i="9"/>
  <c r="M133" i="9" s="1"/>
  <c r="K231" i="9"/>
  <c r="M231" i="9" s="1"/>
  <c r="K52" i="9"/>
  <c r="L53" i="9" s="1"/>
  <c r="K173" i="9"/>
  <c r="L173" i="9" s="1"/>
  <c r="K99" i="9"/>
  <c r="M99" i="9" s="1"/>
  <c r="K39" i="9"/>
  <c r="M39" i="9" s="1"/>
  <c r="K147" i="9"/>
  <c r="M147" i="9" s="1"/>
  <c r="K199" i="9"/>
  <c r="M199" i="9" s="1"/>
  <c r="L234" i="9"/>
  <c r="L230" i="9"/>
  <c r="L229" i="9"/>
  <c r="L122" i="9"/>
  <c r="L161" i="9"/>
  <c r="L162" i="9"/>
  <c r="L72" i="9"/>
  <c r="M132" i="9"/>
  <c r="M67" i="9"/>
  <c r="L144" i="9"/>
  <c r="L65" i="9"/>
  <c r="L137" i="9"/>
  <c r="L136" i="9"/>
  <c r="L54" i="9"/>
  <c r="M80" i="9"/>
  <c r="L166" i="9"/>
  <c r="L181" i="9"/>
  <c r="L81" i="9"/>
  <c r="L114" i="9"/>
  <c r="L113" i="9"/>
  <c r="M149" i="9"/>
  <c r="L150" i="9"/>
  <c r="L146" i="9"/>
  <c r="L82" i="9"/>
  <c r="L145" i="9"/>
  <c r="M239" i="9"/>
  <c r="L215" i="9"/>
  <c r="L71" i="9"/>
  <c r="L223" i="9"/>
  <c r="M96" i="9"/>
  <c r="L70" i="9"/>
  <c r="L46" i="9"/>
  <c r="L184" i="9"/>
  <c r="L138" i="9"/>
  <c r="L139" i="9"/>
  <c r="L192" i="9"/>
  <c r="L91" i="9"/>
  <c r="M91" i="9"/>
  <c r="L149" i="9"/>
  <c r="L239" i="9"/>
  <c r="L96" i="9"/>
  <c r="L164" i="9"/>
  <c r="L152" i="9"/>
  <c r="L151" i="9"/>
  <c r="M171" i="9"/>
  <c r="L165" i="9"/>
  <c r="L101" i="9"/>
  <c r="L102" i="9"/>
  <c r="L69" i="9"/>
  <c r="L73" i="9"/>
  <c r="L47" i="9"/>
  <c r="L131" i="9"/>
  <c r="L48" i="9"/>
  <c r="L50" i="9"/>
  <c r="M50" i="9"/>
  <c r="L135" i="9"/>
  <c r="M134" i="9"/>
  <c r="L130" i="9"/>
  <c r="L74" i="9"/>
  <c r="L126" i="9"/>
  <c r="L245" i="9"/>
  <c r="L58" i="9"/>
  <c r="L118" i="9"/>
  <c r="L117" i="9"/>
  <c r="L90" i="9"/>
  <c r="L125" i="9"/>
  <c r="L57" i="9"/>
  <c r="L208" i="9"/>
  <c r="L237" i="9"/>
  <c r="L189" i="9"/>
  <c r="L197" i="9"/>
  <c r="M123" i="9"/>
  <c r="L123" i="9"/>
  <c r="L124" i="9"/>
  <c r="M36" i="9"/>
  <c r="L36" i="9"/>
  <c r="L37" i="9"/>
  <c r="M55" i="9"/>
  <c r="L55" i="9"/>
  <c r="L56" i="9"/>
  <c r="M66" i="9"/>
  <c r="L66" i="9"/>
  <c r="L109" i="9"/>
  <c r="M109" i="9"/>
  <c r="M146" i="9"/>
  <c r="L178" i="9"/>
  <c r="M194" i="9"/>
  <c r="L179" i="9"/>
  <c r="M170" i="9"/>
  <c r="L171" i="9"/>
  <c r="L207" i="9"/>
  <c r="L254" i="9"/>
  <c r="L253" i="9"/>
  <c r="M179" i="9"/>
  <c r="L180" i="9"/>
  <c r="M242" i="9"/>
  <c r="L242" i="9"/>
  <c r="L250" i="9"/>
  <c r="L255" i="9"/>
  <c r="M211" i="9"/>
  <c r="L212" i="9"/>
  <c r="L218" i="9"/>
  <c r="M217" i="9"/>
  <c r="M158" i="9"/>
  <c r="L158" i="9"/>
  <c r="L190" i="9"/>
  <c r="M190" i="9"/>
  <c r="L191" i="9"/>
  <c r="L271" i="9"/>
  <c r="L270" i="9"/>
  <c r="M270" i="9"/>
  <c r="M225" i="9"/>
  <c r="L226" i="9"/>
  <c r="M203" i="9"/>
  <c r="L204" i="9"/>
  <c r="L203" i="9"/>
  <c r="M209" i="9"/>
  <c r="L209" i="9"/>
  <c r="M216" i="9"/>
  <c r="L216" i="9"/>
  <c r="L217" i="9"/>
  <c r="M248" i="9"/>
  <c r="L249" i="9"/>
  <c r="M235" i="9"/>
  <c r="L235" i="9"/>
  <c r="L236" i="9"/>
  <c r="M259" i="9"/>
  <c r="L260" i="9"/>
  <c r="L259" i="9"/>
  <c r="M243" i="9"/>
  <c r="L243" i="9"/>
  <c r="L244" i="9"/>
  <c r="M272" i="9"/>
  <c r="L272" i="9"/>
  <c r="M256" i="9"/>
  <c r="L256" i="9"/>
  <c r="M263" i="9"/>
  <c r="L263" i="9"/>
  <c r="M224" i="9"/>
  <c r="L224" i="9"/>
  <c r="L225" i="9"/>
  <c r="M257" i="9"/>
  <c r="L257" i="9"/>
  <c r="M227" i="9"/>
  <c r="L227" i="9"/>
  <c r="L228" i="9"/>
  <c r="L182" i="9"/>
  <c r="M182" i="9"/>
  <c r="L183" i="9"/>
  <c r="L268" i="9"/>
  <c r="M267" i="9"/>
  <c r="L267" i="9"/>
  <c r="M232" i="9"/>
  <c r="L233" i="9"/>
  <c r="M205" i="9"/>
  <c r="L205" i="9"/>
  <c r="L206" i="9"/>
  <c r="M219" i="9"/>
  <c r="L220" i="9"/>
  <c r="L219" i="9"/>
  <c r="M261" i="9"/>
  <c r="L262" i="9"/>
  <c r="L261" i="9"/>
  <c r="M201" i="9"/>
  <c r="L201" i="9"/>
  <c r="L202" i="9"/>
  <c r="L273" i="9"/>
  <c r="M273" i="9"/>
  <c r="L195" i="9"/>
  <c r="M195" i="9"/>
  <c r="L196" i="9"/>
  <c r="L148" i="9" l="1"/>
  <c r="V74" i="20"/>
  <c r="S75" i="20"/>
  <c r="T74" i="20"/>
  <c r="U74" i="20" s="1"/>
  <c r="Z74" i="20" s="1"/>
  <c r="W73" i="20"/>
  <c r="X73" i="20" s="1"/>
  <c r="Y73" i="20" s="1"/>
  <c r="L52" i="9"/>
  <c r="L63" i="9"/>
  <c r="L99" i="9"/>
  <c r="L232" i="9"/>
  <c r="L147" i="9"/>
  <c r="L64" i="9"/>
  <c r="M52" i="9"/>
  <c r="L39" i="9"/>
  <c r="L231" i="9"/>
  <c r="L100" i="9"/>
  <c r="L40" i="9"/>
  <c r="L199" i="9"/>
  <c r="L133" i="9"/>
  <c r="L142" i="9"/>
  <c r="L134" i="9"/>
  <c r="L141" i="9"/>
  <c r="L200" i="9"/>
  <c r="L174" i="9"/>
  <c r="L247" i="9"/>
  <c r="M247" i="9"/>
  <c r="M173" i="9"/>
  <c r="W74" i="20" l="1"/>
  <c r="X74" i="20" s="1"/>
  <c r="Y74" i="20" s="1"/>
  <c r="T75" i="20"/>
  <c r="U75" i="20" s="1"/>
  <c r="Z75" i="20" s="1"/>
  <c r="V75" i="20"/>
  <c r="S76" i="20"/>
  <c r="M288" i="9"/>
  <c r="W75" i="20" l="1"/>
  <c r="X75" i="20" s="1"/>
  <c r="Y75" i="20" s="1"/>
  <c r="T76" i="20"/>
  <c r="U76" i="20" s="1"/>
  <c r="Z76" i="20" s="1"/>
  <c r="V76" i="20"/>
  <c r="S77" i="20"/>
  <c r="L288" i="9"/>
  <c r="L289" i="9"/>
  <c r="W76" i="20" l="1"/>
  <c r="X76" i="20" s="1"/>
  <c r="Y76" i="20" s="1"/>
  <c r="T77" i="20"/>
  <c r="U77" i="20" s="1"/>
  <c r="Z77" i="20" s="1"/>
  <c r="V77" i="20"/>
  <c r="W77" i="20" l="1"/>
  <c r="X77" i="20" s="1"/>
  <c r="Y77" i="20" s="1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<sst xmlns="http://schemas.openxmlformats.org/spreadsheetml/2006/main" count="607" uniqueCount="347">
  <si>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</si>
  <si>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</si>
  <si>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</si>
  <si>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</si>
  <si>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</si>
  <si>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</si>
  <si>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</si>
  <si>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</si>
  <si>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</si>
  <si>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</si>
  <si>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</si>
  <si>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</si>
  <si>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</si>
  <si>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证券代码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</si>
  <si>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</si>
  <si>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</si>
  <si>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</si>
  <si>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</si>
  <si>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</si>
  <si>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</si>
  <si>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</si>
  <si>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</si>
  <si>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</si>
  <si>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</si>
  <si>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</si>
  <si>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</si>
  <si>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</si>
  <si>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</si>
  <si>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</si>
  <si>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</si>
  <si>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</si>
  <si>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</si>
  <si>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</si>
  <si>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</si>
  <si>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</si>
  <si>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证券名称</t>
  </si>
  <si>
    <t>证券数量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</si>
  <si>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</si>
  <si>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</si>
  <si>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</si>
  <si>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</si>
  <si>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</si>
  <si>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</si>
  <si>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</si>
  <si>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</si>
  <si>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</si>
  <si>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买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</si>
  <si>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</si>
  <si>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</si>
  <si>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</si>
  <si>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</si>
  <si>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</si>
  <si>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</si>
  <si>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</si>
  <si>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</si>
  <si>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</si>
  <si>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</si>
  <si>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</si>
  <si>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</si>
  <si>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</si>
  <si>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</si>
  <si>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</si>
  <si>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</si>
  <si>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</si>
  <si>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</si>
  <si>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</si>
  <si>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</si>
  <si>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</si>
  <si>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</si>
  <si>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</si>
  <si>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</si>
  <si>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</si>
  <si>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人民币</t>
  </si>
  <si>
    <t>日期</t>
    <phoneticPr fontId="10" type="noConversion"/>
  </si>
  <si>
    <t>索引号</t>
  </si>
  <si>
    <t>摘要</t>
  </si>
  <si>
    <t>融资利率</t>
  </si>
  <si>
    <t>资金来源</t>
    <phoneticPr fontId="10" type="noConversion"/>
  </si>
  <si>
    <t>总体负债结余</t>
    <phoneticPr fontId="10" type="noConversion"/>
  </si>
  <si>
    <t>交行信用卡</t>
  </si>
  <si>
    <t>日期：</t>
    <phoneticPr fontId="10" type="noConversion"/>
  </si>
  <si>
    <t>资产总额：</t>
    <phoneticPr fontId="10" type="noConversion"/>
  </si>
  <si>
    <t>负债总额：</t>
    <phoneticPr fontId="10" type="noConversion"/>
  </si>
  <si>
    <t>资产负债率：</t>
    <phoneticPr fontId="10" type="noConversion"/>
  </si>
  <si>
    <t>负债循环占比</t>
    <phoneticPr fontId="10" type="noConversion"/>
  </si>
  <si>
    <t>单位：元</t>
    <phoneticPr fontId="10" type="noConversion"/>
  </si>
  <si>
    <t>日期</t>
    <phoneticPr fontId="10" type="noConversion"/>
  </si>
  <si>
    <t>资产总额</t>
    <phoneticPr fontId="10" type="noConversion"/>
  </si>
  <si>
    <t>负债总额</t>
    <phoneticPr fontId="10" type="noConversion"/>
  </si>
  <si>
    <t>累积盈亏</t>
    <phoneticPr fontId="10" type="noConversion"/>
  </si>
  <si>
    <t>累积利息</t>
    <phoneticPr fontId="10" type="noConversion"/>
  </si>
  <si>
    <t>资产负债率</t>
    <phoneticPr fontId="10" type="noConversion"/>
  </si>
  <si>
    <t>负债循环占比</t>
    <phoneticPr fontId="10" type="noConversion"/>
  </si>
  <si>
    <t>累积利息：</t>
    <phoneticPr fontId="10" type="noConversion"/>
  </si>
  <si>
    <t>该项来源负债结余</t>
    <phoneticPr fontId="10" type="noConversion"/>
  </si>
  <si>
    <t>清算利息</t>
    <phoneticPr fontId="10" type="noConversion"/>
  </si>
  <si>
    <t>该项来源累积利息</t>
    <phoneticPr fontId="10" type="noConversion"/>
  </si>
  <si>
    <t>累积利息</t>
    <phoneticPr fontId="10" type="noConversion"/>
  </si>
  <si>
    <t>累积盈亏：</t>
    <phoneticPr fontId="10" type="noConversion"/>
  </si>
  <si>
    <t>合计：</t>
  </si>
  <si>
    <t>资本结晶:</t>
    <phoneticPr fontId="10" type="noConversion"/>
  </si>
  <si>
    <t>资本结晶</t>
    <phoneticPr fontId="10" type="noConversion"/>
  </si>
  <si>
    <t>浮动盈亏</t>
    <phoneticPr fontId="10" type="noConversion"/>
  </si>
  <si>
    <t>序号</t>
    <phoneticPr fontId="10" type="noConversion"/>
  </si>
  <si>
    <t>市值</t>
    <phoneticPr fontId="10" type="noConversion"/>
  </si>
  <si>
    <t>成本</t>
    <phoneticPr fontId="10" type="noConversion"/>
  </si>
  <si>
    <t>序号</t>
    <phoneticPr fontId="10" type="noConversion"/>
  </si>
  <si>
    <t>负债项目</t>
    <phoneticPr fontId="10" type="noConversion"/>
  </si>
  <si>
    <t>债务本金</t>
    <phoneticPr fontId="10" type="noConversion"/>
  </si>
  <si>
    <t>铜陵客户拜访</t>
    <phoneticPr fontId="5" type="noConversion"/>
  </si>
  <si>
    <t>交行信用卡</t>
    <phoneticPr fontId="10" type="noConversion"/>
  </si>
  <si>
    <t>清算盈亏：</t>
    <phoneticPr fontId="10" type="noConversion"/>
  </si>
  <si>
    <t>清算盈亏</t>
    <phoneticPr fontId="10" type="noConversion"/>
  </si>
  <si>
    <t>负债本金变动</t>
    <phoneticPr fontId="10" type="noConversion"/>
  </si>
  <si>
    <t>农行网捷贷</t>
  </si>
  <si>
    <t>农行网捷贷</t>
    <phoneticPr fontId="10" type="noConversion"/>
  </si>
  <si>
    <t>农行网捷贷</t>
    <phoneticPr fontId="10" type="noConversion"/>
  </si>
  <si>
    <t>归还本金</t>
    <phoneticPr fontId="10" type="noConversion"/>
  </si>
  <si>
    <t>投入资金修正</t>
    <phoneticPr fontId="10" type="noConversion"/>
  </si>
  <si>
    <t>投融资资产负债表</t>
    <phoneticPr fontId="10" type="noConversion"/>
  </si>
  <si>
    <t>融资目的</t>
    <phoneticPr fontId="10" type="noConversion"/>
  </si>
  <si>
    <t>循环套现</t>
    <phoneticPr fontId="10" type="noConversion"/>
  </si>
  <si>
    <t>循环套现</t>
    <phoneticPr fontId="10" type="noConversion"/>
  </si>
  <si>
    <t>交行信用卡</t>
    <phoneticPr fontId="10" type="noConversion"/>
  </si>
  <si>
    <t>交行：招商、农行</t>
    <phoneticPr fontId="10" type="noConversion"/>
  </si>
  <si>
    <t>本金净额初始化</t>
    <phoneticPr fontId="10" type="noConversion"/>
  </si>
  <si>
    <t>资本结晶-清算盈亏</t>
    <phoneticPr fontId="10" type="noConversion"/>
  </si>
  <si>
    <t>投资资产</t>
    <phoneticPr fontId="10" type="noConversion"/>
  </si>
  <si>
    <t>负债来源</t>
    <phoneticPr fontId="10" type="noConversion"/>
  </si>
  <si>
    <t>备注</t>
  </si>
  <si>
    <t>备注</t>
    <phoneticPr fontId="10" type="noConversion"/>
  </si>
  <si>
    <r>
      <t>积分3</t>
    </r>
    <r>
      <rPr>
        <sz val="11"/>
        <color theme="1"/>
        <rFont val="宋体"/>
        <family val="3"/>
        <charset val="134"/>
        <scheme val="minor"/>
      </rPr>
      <t>0000</t>
    </r>
    <phoneticPr fontId="10" type="noConversion"/>
  </si>
  <si>
    <t>备注</t>
    <phoneticPr fontId="10" type="noConversion"/>
  </si>
  <si>
    <t>方向</t>
  </si>
  <si>
    <t>买卖数量</t>
  </si>
  <si>
    <t>市价</t>
  </si>
  <si>
    <t>证券余额</t>
  </si>
  <si>
    <t xml:space="preserve"> 持仓成本价</t>
  </si>
  <si>
    <t>资金占用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</si>
  <si>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</si>
  <si>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</si>
  <si>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</si>
  <si>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</si>
  <si>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</si>
  <si>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</si>
  <si>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</si>
  <si>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</si>
  <si>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</si>
  <si>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</si>
  <si>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</si>
  <si>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投入资金总额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</si>
  <si>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</si>
  <si>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</si>
  <si>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</si>
  <si>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</si>
  <si>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</si>
  <si>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</si>
  <si>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601009</t>
  </si>
  <si>
    <t>南京银行</t>
  </si>
  <si>
    <t>买</t>
    <phoneticPr fontId="10" type="noConversion"/>
  </si>
  <si>
    <t>净买</t>
    <phoneticPr fontId="10" type="noConversion"/>
  </si>
  <si>
    <t>卖</t>
    <phoneticPr fontId="10" type="noConversion"/>
  </si>
  <si>
    <t>多头笔数-敞口</t>
    <phoneticPr fontId="10" type="noConversion"/>
  </si>
  <si>
    <t>多头加权均价-敞口</t>
    <phoneticPr fontId="10" type="noConversion"/>
  </si>
  <si>
    <t>空头笔数-敞口</t>
    <phoneticPr fontId="10" type="noConversion"/>
  </si>
  <si>
    <t>空头数量-敞口</t>
    <phoneticPr fontId="10" type="noConversion"/>
  </si>
  <si>
    <t>空头加权均价-敞口</t>
    <phoneticPr fontId="10" type="noConversion"/>
  </si>
  <si>
    <t>净头寸方向-敞口</t>
    <phoneticPr fontId="10" type="noConversion"/>
  </si>
  <si>
    <t>净头寸数量-敞口</t>
    <phoneticPr fontId="10" type="noConversion"/>
  </si>
  <si>
    <t>净头寸加权均价-敞口</t>
    <phoneticPr fontId="10" type="noConversion"/>
  </si>
  <si>
    <t>多头笔数-已平</t>
    <phoneticPr fontId="10" type="noConversion"/>
  </si>
  <si>
    <t>多头数量-已平</t>
    <phoneticPr fontId="10" type="noConversion"/>
  </si>
  <si>
    <t>多头金额-已平</t>
    <phoneticPr fontId="10" type="noConversion"/>
  </si>
  <si>
    <t>多头数量-敞口</t>
    <phoneticPr fontId="10" type="noConversion"/>
  </si>
  <si>
    <t>多头加权均价-已平</t>
    <phoneticPr fontId="10" type="noConversion"/>
  </si>
  <si>
    <t>空头笔数-已平</t>
    <phoneticPr fontId="10" type="noConversion"/>
  </si>
  <si>
    <t>空头数量-已平</t>
    <phoneticPr fontId="10" type="noConversion"/>
  </si>
  <si>
    <t>空头金额-已平</t>
    <phoneticPr fontId="10" type="noConversion"/>
  </si>
  <si>
    <t>空头加权均价-已平</t>
    <phoneticPr fontId="10" type="noConversion"/>
  </si>
  <si>
    <t>多头笔数-总体</t>
    <phoneticPr fontId="10" type="noConversion"/>
  </si>
  <si>
    <t>多头数量-总体</t>
    <phoneticPr fontId="10" type="noConversion"/>
  </si>
  <si>
    <t>多头金额-总体</t>
    <phoneticPr fontId="10" type="noConversion"/>
  </si>
  <si>
    <t>多头加权均价-总体</t>
    <phoneticPr fontId="10" type="noConversion"/>
  </si>
  <si>
    <t>空头笔数-总体</t>
    <phoneticPr fontId="10" type="noConversion"/>
  </si>
  <si>
    <t>空头数量-总体</t>
    <phoneticPr fontId="10" type="noConversion"/>
  </si>
  <si>
    <t>空头金额-总体</t>
    <phoneticPr fontId="10" type="noConversion"/>
  </si>
  <si>
    <t>加权均价-总体</t>
    <phoneticPr fontId="10" type="noConversion"/>
  </si>
  <si>
    <t>已付利息</t>
    <phoneticPr fontId="10" type="noConversion"/>
  </si>
  <si>
    <t>信用卡发卡行</t>
    <phoneticPr fontId="10" type="noConversion"/>
  </si>
  <si>
    <t>序号</t>
    <phoneticPr fontId="10" type="noConversion"/>
  </si>
  <si>
    <t>积分兑换1元比例</t>
    <phoneticPr fontId="10" type="noConversion"/>
  </si>
  <si>
    <t>类型</t>
    <phoneticPr fontId="10" type="noConversion"/>
  </si>
  <si>
    <t>项目</t>
    <phoneticPr fontId="10" type="noConversion"/>
  </si>
  <si>
    <t>网上商城</t>
    <phoneticPr fontId="10" type="noConversion"/>
  </si>
  <si>
    <t>广发银行</t>
    <phoneticPr fontId="10" type="noConversion"/>
  </si>
  <si>
    <t>浦发银行</t>
    <phoneticPr fontId="10" type="noConversion"/>
  </si>
  <si>
    <t>电影票</t>
    <phoneticPr fontId="10" type="noConversion"/>
  </si>
  <si>
    <t>交通银行</t>
    <phoneticPr fontId="10" type="noConversion"/>
  </si>
  <si>
    <t>网上商城</t>
    <phoneticPr fontId="10" type="noConversion"/>
  </si>
  <si>
    <t>净买</t>
  </si>
  <si>
    <t>卖</t>
  </si>
  <si>
    <t>(空白)</t>
  </si>
  <si>
    <t>--</t>
  </si>
  <si>
    <t>卖</t>
    <phoneticPr fontId="10" type="noConversion"/>
  </si>
  <si>
    <t>601857</t>
  </si>
  <si>
    <t>中国石油</t>
  </si>
  <si>
    <t>已清仓证券</t>
    <phoneticPr fontId="10" type="noConversion"/>
  </si>
  <si>
    <t>实现盈利</t>
    <phoneticPr fontId="10" type="noConversion"/>
  </si>
  <si>
    <t>序号</t>
    <phoneticPr fontId="10" type="noConversion"/>
  </si>
  <si>
    <t>清仓日期</t>
    <phoneticPr fontId="10" type="noConversion"/>
  </si>
  <si>
    <t>南京证券</t>
    <phoneticPr fontId="10" type="noConversion"/>
  </si>
  <si>
    <t>初始套现</t>
    <phoneticPr fontId="10" type="noConversion"/>
  </si>
  <si>
    <t>工行信用卡</t>
    <phoneticPr fontId="10" type="noConversion"/>
  </si>
  <si>
    <r>
      <t>工2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</si>
  <si>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</t>
    <phoneticPr fontId="10" type="noConversion"/>
  </si>
  <si>
    <t>买</t>
    <phoneticPr fontId="10" type="noConversion"/>
  </si>
  <si>
    <t>招商信用卡</t>
    <phoneticPr fontId="10" type="noConversion"/>
  </si>
  <si>
    <r>
      <t>招2</t>
    </r>
    <r>
      <rPr>
        <sz val="11"/>
        <color theme="1"/>
        <rFont val="宋体"/>
        <family val="3"/>
        <charset val="134"/>
        <scheme val="minor"/>
      </rPr>
      <t>0190701</t>
    </r>
    <phoneticPr fontId="10" type="noConversion"/>
  </si>
  <si>
    <t>买中石油、还交行信用卡</t>
    <phoneticPr fontId="10" type="noConversion"/>
  </si>
  <si>
    <t>招商信用卡</t>
  </si>
  <si>
    <t>工行信用卡</t>
  </si>
  <si>
    <t>招商信用卡</t>
    <phoneticPr fontId="10" type="noConversion"/>
  </si>
  <si>
    <t>工资</t>
    <phoneticPr fontId="10" type="noConversion"/>
  </si>
  <si>
    <t>招20190701</t>
    <phoneticPr fontId="10" type="noConversion"/>
  </si>
  <si>
    <t>归还本金</t>
    <phoneticPr fontId="10" type="noConversion"/>
  </si>
  <si>
    <t>归还本金</t>
    <phoneticPr fontId="10" type="noConversion"/>
  </si>
  <si>
    <t>买</t>
    <phoneticPr fontId="10" type="noConversion"/>
  </si>
  <si>
    <t>买</t>
    <phoneticPr fontId="10" type="noConversion"/>
  </si>
  <si>
    <t>对冲9</t>
    <phoneticPr fontId="10" type="noConversion"/>
  </si>
  <si>
    <t>净多100股</t>
    <phoneticPr fontId="10" type="noConversion"/>
  </si>
  <si>
    <t>买</t>
    <phoneticPr fontId="10" type="noConversion"/>
  </si>
  <si>
    <t>年度绩效</t>
    <phoneticPr fontId="10" type="noConversion"/>
  </si>
  <si>
    <t>归还本金</t>
    <phoneticPr fontId="10" type="noConversion"/>
  </si>
  <si>
    <t>买</t>
    <phoneticPr fontId="10" type="noConversion"/>
  </si>
  <si>
    <t>买</t>
    <phoneticPr fontId="10" type="noConversion"/>
  </si>
  <si>
    <t>工行信用卡</t>
    <phoneticPr fontId="10" type="noConversion"/>
  </si>
  <si>
    <t>张慎怀账户</t>
    <phoneticPr fontId="10" type="noConversion"/>
  </si>
  <si>
    <t>归还本金</t>
    <phoneticPr fontId="10" type="noConversion"/>
  </si>
  <si>
    <t>循环套现</t>
    <phoneticPr fontId="10" type="noConversion"/>
  </si>
  <si>
    <t>招商信用卡</t>
    <phoneticPr fontId="10" type="noConversion"/>
  </si>
  <si>
    <t>还交行、工商信用卡</t>
    <phoneticPr fontId="10" type="noConversion"/>
  </si>
  <si>
    <t>工行信用卡</t>
    <phoneticPr fontId="10" type="noConversion"/>
  </si>
  <si>
    <t>工20190701</t>
  </si>
  <si>
    <t>归还本金</t>
    <phoneticPr fontId="10" type="noConversion"/>
  </si>
  <si>
    <t>招行信用卡</t>
    <phoneticPr fontId="10" type="noConversion"/>
  </si>
  <si>
    <t>交行信用卡</t>
    <phoneticPr fontId="10" type="noConversion"/>
  </si>
  <si>
    <t>归还本金</t>
    <phoneticPr fontId="10" type="noConversion"/>
  </si>
  <si>
    <t>循环套现</t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</si>
  <si>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</si>
  <si>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r>
      <t>招1</t>
    </r>
    <r>
      <rPr>
        <sz val="11"/>
        <color theme="1"/>
        <rFont val="宋体"/>
        <family val="3"/>
        <charset val="134"/>
        <scheme val="minor"/>
      </rPr>
      <t>908</t>
    </r>
    <phoneticPr fontId="10" type="noConversion"/>
  </si>
  <si>
    <t>还农行网捷贷</t>
    <phoneticPr fontId="10" type="noConversion"/>
  </si>
  <si>
    <t>农行网捷贷</t>
    <phoneticPr fontId="10" type="noConversion"/>
  </si>
  <si>
    <t>招行信用卡</t>
    <phoneticPr fontId="10" type="noConversion"/>
  </si>
  <si>
    <t>还清本金</t>
    <phoneticPr fontId="10" type="noConversion"/>
  </si>
  <si>
    <t>对冲13</t>
    <phoneticPr fontId="10" type="noConversion"/>
  </si>
  <si>
    <t>净多100股</t>
    <phoneticPr fontId="10" type="noConversion"/>
  </si>
  <si>
    <t>对冲14</t>
    <phoneticPr fontId="10" type="noConversion"/>
  </si>
  <si>
    <t>净多100股</t>
    <phoneticPr fontId="10" type="noConversion"/>
  </si>
  <si>
    <t>对冲7</t>
    <phoneticPr fontId="10" type="noConversion"/>
  </si>
  <si>
    <t>132007</t>
  </si>
  <si>
    <t>加鑫宝</t>
  </si>
  <si>
    <t>对冲6</t>
    <phoneticPr fontId="10" type="noConversion"/>
  </si>
  <si>
    <t>净多100股</t>
    <phoneticPr fontId="10" type="noConversion"/>
  </si>
  <si>
    <t>买</t>
    <phoneticPr fontId="10" type="noConversion"/>
  </si>
  <si>
    <t>循环套现</t>
    <phoneticPr fontId="10" type="noConversion"/>
  </si>
  <si>
    <t>交通信用卡</t>
  </si>
  <si>
    <t>还招商卡</t>
    <phoneticPr fontId="10" type="noConversion"/>
  </si>
  <si>
    <t>交通信用卡</t>
    <phoneticPr fontId="10" type="noConversion"/>
  </si>
  <si>
    <t>招商信用卡</t>
    <phoneticPr fontId="10" type="noConversion"/>
  </si>
  <si>
    <t>买</t>
    <phoneticPr fontId="10" type="noConversion"/>
  </si>
  <si>
    <t>买</t>
    <phoneticPr fontId="10" type="noConversion"/>
  </si>
  <si>
    <t>对冲4</t>
    <phoneticPr fontId="10" type="noConversion"/>
  </si>
  <si>
    <t>净多100股</t>
    <phoneticPr fontId="10" type="noConversion"/>
  </si>
  <si>
    <t>对冲5</t>
    <phoneticPr fontId="10" type="noConversion"/>
  </si>
  <si>
    <t>净多100股</t>
    <phoneticPr fontId="10" type="noConversion"/>
  </si>
  <si>
    <t>对冲17</t>
    <phoneticPr fontId="10" type="noConversion"/>
  </si>
  <si>
    <t>对冲20</t>
    <phoneticPr fontId="10" type="noConversion"/>
  </si>
  <si>
    <t>对冲19</t>
    <phoneticPr fontId="10" type="noConversion"/>
  </si>
  <si>
    <t>净多100股</t>
    <phoneticPr fontId="10" type="noConversion"/>
  </si>
  <si>
    <t>对冲18</t>
    <phoneticPr fontId="10" type="noConversion"/>
  </si>
  <si>
    <t>买</t>
    <phoneticPr fontId="10" type="noConversion"/>
  </si>
  <si>
    <t>净多100股</t>
    <phoneticPr fontId="10" type="noConversion"/>
  </si>
  <si>
    <t>对冲10</t>
    <phoneticPr fontId="10" type="noConversion"/>
  </si>
  <si>
    <t>买</t>
    <phoneticPr fontId="10" type="noConversion"/>
  </si>
  <si>
    <t>买</t>
    <phoneticPr fontId="10" type="noConversion"/>
  </si>
  <si>
    <t>卖</t>
    <phoneticPr fontId="10" type="noConversion"/>
  </si>
  <si>
    <t>买</t>
    <phoneticPr fontId="10" type="noConversion"/>
  </si>
  <si>
    <t>对冲21</t>
    <phoneticPr fontId="10" type="noConversion"/>
  </si>
  <si>
    <t>（净多100股）</t>
    <phoneticPr fontId="10" type="noConversion"/>
  </si>
  <si>
    <t>净多100股</t>
    <phoneticPr fontId="10" type="noConversion"/>
  </si>
  <si>
    <t>买</t>
    <phoneticPr fontId="10" type="noConversion"/>
  </si>
  <si>
    <t>卖</t>
    <phoneticPr fontId="10" type="noConversion"/>
  </si>
  <si>
    <t>对冲3/30</t>
    <phoneticPr fontId="10" type="noConversion"/>
  </si>
  <si>
    <t>买</t>
    <phoneticPr fontId="10" type="noConversion"/>
  </si>
  <si>
    <t>卖</t>
    <phoneticPr fontId="10" type="noConversion"/>
  </si>
  <si>
    <t>对冲31</t>
    <phoneticPr fontId="10" type="noConversion"/>
  </si>
  <si>
    <t>对冲42</t>
    <phoneticPr fontId="10" type="noConversion"/>
  </si>
  <si>
    <t>对冲3/22</t>
    <phoneticPr fontId="10" type="noConversion"/>
  </si>
  <si>
    <t>对冲39</t>
    <phoneticPr fontId="10" type="noConversion"/>
  </si>
  <si>
    <t>127018</t>
  </si>
  <si>
    <t>20张</t>
  </si>
  <si>
    <t>reserve</t>
  </si>
  <si>
    <t>备用金</t>
  </si>
  <si>
    <t>日期</t>
    <phoneticPr fontId="10" type="noConversion"/>
  </si>
  <si>
    <t>存入资金</t>
    <phoneticPr fontId="10" type="noConversion"/>
  </si>
  <si>
    <t>托管转入</t>
    <phoneticPr fontId="10" type="noConversion"/>
  </si>
  <si>
    <t>结息</t>
    <phoneticPr fontId="10" type="noConversion"/>
  </si>
  <si>
    <t>转出资金</t>
    <phoneticPr fontId="10" type="noConversion"/>
  </si>
  <si>
    <t>理论计算的场内价值</t>
    <phoneticPr fontId="10" type="noConversion"/>
  </si>
  <si>
    <t>实际的场内价值</t>
    <phoneticPr fontId="10" type="noConversion"/>
  </si>
  <si>
    <t>账户总体盈亏</t>
    <phoneticPr fontId="10" type="noConversion"/>
  </si>
  <si>
    <t>账户显示浮动盈亏</t>
    <phoneticPr fontId="10" type="noConversion"/>
  </si>
  <si>
    <t>逐日盈亏变动</t>
    <phoneticPr fontId="10" type="noConversion"/>
  </si>
  <si>
    <t>备注</t>
    <phoneticPr fontId="10" type="noConversion"/>
  </si>
  <si>
    <t>69849</t>
  </si>
  <si>
    <t>对冲25</t>
    <phoneticPr fontId="10" type="noConversion"/>
  </si>
  <si>
    <t>对冲32</t>
    <phoneticPr fontId="10" type="noConversion"/>
  </si>
  <si>
    <t>对冲33</t>
    <phoneticPr fontId="10" type="noConversion"/>
  </si>
  <si>
    <t>买</t>
    <phoneticPr fontId="10" type="noConversion"/>
  </si>
  <si>
    <t>对冲51</t>
    <phoneticPr fontId="10" type="noConversion"/>
  </si>
  <si>
    <t>733061</t>
  </si>
  <si>
    <t>国投发债</t>
  </si>
  <si>
    <t>买</t>
    <phoneticPr fontId="10" type="noConversion"/>
  </si>
  <si>
    <t>净卖</t>
    <phoneticPr fontId="10" type="noConversion"/>
  </si>
  <si>
    <t>还信用卡-招商</t>
    <phoneticPr fontId="10" type="noConversion"/>
  </si>
  <si>
    <t>对冲57</t>
    <phoneticPr fontId="10" type="noConversion"/>
  </si>
  <si>
    <t>对冲40</t>
    <phoneticPr fontId="10" type="noConversion"/>
  </si>
  <si>
    <t>买</t>
    <phoneticPr fontId="10" type="noConversion"/>
  </si>
  <si>
    <t>601009</t>
    <phoneticPr fontId="10" type="noConversion"/>
  </si>
  <si>
    <t>对冲65</t>
    <phoneticPr fontId="10" type="noConversion"/>
  </si>
  <si>
    <t>对冲66</t>
    <phoneticPr fontId="10" type="noConversion"/>
  </si>
  <si>
    <t>000725</t>
  </si>
  <si>
    <t>京东方Ａ</t>
  </si>
  <si>
    <t>000725</t>
    <phoneticPr fontId="10" type="noConversion"/>
  </si>
  <si>
    <t>对冲52</t>
    <phoneticPr fontId="10" type="noConversion"/>
  </si>
  <si>
    <t>卖</t>
    <phoneticPr fontId="10" type="noConversion"/>
  </si>
  <si>
    <t>买</t>
    <phoneticPr fontId="10" type="noConversion"/>
  </si>
  <si>
    <t>卖</t>
    <phoneticPr fontId="10" type="noConversion"/>
  </si>
  <si>
    <t>买</t>
    <phoneticPr fontId="10" type="noConversion"/>
  </si>
  <si>
    <t>对冲46</t>
    <phoneticPr fontId="10" type="noConversion"/>
  </si>
  <si>
    <t>002442</t>
  </si>
  <si>
    <t>龙星化工</t>
  </si>
  <si>
    <t>净卖</t>
    <phoneticPr fontId="10" type="noConversion"/>
  </si>
  <si>
    <t>卖</t>
    <phoneticPr fontId="10" type="noConversion"/>
  </si>
  <si>
    <t>净买</t>
    <phoneticPr fontId="10" type="noConversion"/>
  </si>
  <si>
    <t>买</t>
    <phoneticPr fontId="10" type="noConversion"/>
  </si>
  <si>
    <t>000725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</si>
</sst>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_ "/>
    <numFmt numFmtId="181" formatCode="0.000_);[Red]\(0.000\)"/>
    <numFmt numFmtId="182" formatCode="#,##0.00_);[Red]\(#,##0.00\)"/>
    <numFmt numFmtId="183" formatCode="0.00000_ "/>
    <numFmt numFmtId="184" formatCode="0.000%"/>
    <numFmt numFmtId="185" formatCode="m/d/yyyy"/>
    <numFmt numFmtId="186" formatCode="#,##0.00_ "/>
  </numFmts>
  <fonts count="17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方正姚体"/>
      <family val="3"/>
      <charset val="134"/>
    </font>
    <font>
      <sz val="11"/>
      <color rgb="FF000000"/>
      <name val="宋体"/>
      <family val="3"/>
      <charset val="134"/>
    </font>
    <font>
      <b/>
      <sz val="16"/>
      <color theme="1"/>
      <name val="微软雅黑"/>
      <family val="2"/>
      <charset val="134"/>
    </font>
    <font>
      <sz val="11"/>
      <color theme="0"/>
      <name val="宋体"/>
      <family val="3"/>
      <charset val="134"/>
    </font>
    <font>
      <sz val="11"/>
      <color theme="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4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</cellStyleXfs>
  <cellXfs count="189">
    <xf numFmtId="0" fontId="0" fillId="0" borderId="0" xfId="0">
      <alignment vertical="center"/>
    </xf>
    <xf numFmtId="0" fontId="0" fillId="0" borderId="0" xfId="0" applyFill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8" fontId="0" fillId="0" borderId="2" xfId="2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0" fontId="0" fillId="0" borderId="2" xfId="2" applyNumberFormat="1" applyFont="1" applyFill="1" applyBorder="1" applyAlignment="1">
      <alignment horizontal="center" vertical="center"/>
    </xf>
    <xf numFmtId="180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0" fontId="0" fillId="0" borderId="0" xfId="2" applyNumberFormat="1" applyFont="1">
      <alignment vertical="center"/>
    </xf>
    <xf numFmtId="14" fontId="0" fillId="0" borderId="0" xfId="0" applyNumberFormat="1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4" fillId="0" borderId="5" xfId="0" applyFont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5" xfId="0" applyNumberFormat="1" applyBorder="1">
      <alignment vertical="center"/>
    </xf>
    <xf numFmtId="180" fontId="0" fillId="0" borderId="5" xfId="0" applyNumberFormat="1" applyBorder="1">
      <alignment vertical="center"/>
    </xf>
    <xf numFmtId="180" fontId="0" fillId="0" borderId="6" xfId="0" applyNumberFormat="1" applyBorder="1">
      <alignment vertical="center"/>
    </xf>
    <xf numFmtId="0" fontId="5" fillId="7" borderId="5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10" fontId="4" fillId="7" borderId="7" xfId="2" applyNumberFormat="1" applyFont="1" applyFill="1" applyBorder="1" applyAlignment="1">
      <alignment horizontal="center" vertical="center" wrapText="1"/>
    </xf>
    <xf numFmtId="10" fontId="0" fillId="0" borderId="8" xfId="2" applyNumberFormat="1" applyFont="1" applyBorder="1" applyAlignment="1">
      <alignment vertical="center"/>
    </xf>
    <xf numFmtId="10" fontId="0" fillId="0" borderId="5" xfId="2" applyNumberFormat="1" applyFont="1" applyBorder="1" applyAlignment="1">
      <alignment vertical="center"/>
    </xf>
    <xf numFmtId="0" fontId="3" fillId="0" borderId="5" xfId="0" applyNumberFormat="1" applyFont="1" applyBorder="1" applyAlignment="1">
      <alignment horizontal="center" vertical="center"/>
    </xf>
    <xf numFmtId="180" fontId="0" fillId="0" borderId="5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4" fillId="6" borderId="5" xfId="0" applyFont="1" applyFill="1" applyBorder="1" applyAlignment="1">
      <alignment horizontal="center" vertical="center" wrapText="1"/>
    </xf>
    <xf numFmtId="0" fontId="0" fillId="6" borderId="0" xfId="0" applyFill="1" applyBorder="1">
      <alignment vertical="center"/>
    </xf>
    <xf numFmtId="180" fontId="0" fillId="6" borderId="0" xfId="0" applyNumberFormat="1" applyFill="1">
      <alignment vertical="center"/>
    </xf>
    <xf numFmtId="2" fontId="0" fillId="6" borderId="0" xfId="0" applyNumberFormat="1" applyFill="1">
      <alignment vertical="center"/>
    </xf>
    <xf numFmtId="0" fontId="3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2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82" fontId="0" fillId="0" borderId="0" xfId="3" applyNumberFormat="1" applyFont="1">
      <alignment vertical="center"/>
    </xf>
    <xf numFmtId="182" fontId="0" fillId="0" borderId="0" xfId="3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11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4" fillId="0" borderId="9" xfId="0" applyNumberFormat="1" applyFont="1" applyBorder="1" applyAlignment="1">
      <alignment horizontal="center" vertical="center"/>
    </xf>
    <xf numFmtId="182" fontId="4" fillId="0" borderId="6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78" fontId="4" fillId="0" borderId="0" xfId="0" applyNumberFormat="1" applyFont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14" fontId="4" fillId="9" borderId="0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76" fontId="4" fillId="0" borderId="0" xfId="3" applyFont="1" applyAlignment="1">
      <alignment horizontal="center" vertical="center" wrapText="1"/>
    </xf>
    <xf numFmtId="10" fontId="4" fillId="0" borderId="0" xfId="2" applyNumberFormat="1" applyFont="1" applyAlignment="1">
      <alignment horizontal="center" vertical="center" wrapText="1"/>
    </xf>
    <xf numFmtId="178" fontId="4" fillId="0" borderId="0" xfId="2" applyNumberFormat="1" applyFont="1" applyAlignment="1">
      <alignment horizontal="center" vertical="center" wrapText="1"/>
    </xf>
    <xf numFmtId="177" fontId="4" fillId="0" borderId="0" xfId="0" applyNumberFormat="1" applyFont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81" fontId="4" fillId="0" borderId="0" xfId="0" quotePrefix="1" applyNumberFormat="1" applyFont="1" applyFill="1" applyAlignment="1">
      <alignment horizontal="center" vertical="center" wrapText="1"/>
    </xf>
    <xf numFmtId="181" fontId="4" fillId="0" borderId="0" xfId="0" applyNumberFormat="1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10" fontId="4" fillId="5" borderId="0" xfId="2" applyNumberFormat="1" applyFont="1" applyFill="1" applyAlignment="1">
      <alignment horizontal="center" vertical="center" wrapText="1"/>
    </xf>
    <xf numFmtId="176" fontId="0" fillId="0" borderId="0" xfId="3" applyFont="1" applyAlignment="1">
      <alignment horizontal="center" vertical="center"/>
    </xf>
    <xf numFmtId="176" fontId="4" fillId="0" borderId="0" xfId="3" applyFont="1" applyAlignment="1">
      <alignment horizontal="center" vertical="center"/>
    </xf>
    <xf numFmtId="10" fontId="0" fillId="0" borderId="0" xfId="0" applyNumberFormat="1">
      <alignment vertical="center"/>
    </xf>
    <xf numFmtId="10" fontId="4" fillId="0" borderId="0" xfId="2" applyNumberFormat="1" applyFont="1">
      <alignment vertical="center"/>
    </xf>
    <xf numFmtId="0" fontId="3" fillId="0" borderId="0" xfId="0" applyFont="1">
      <alignment vertical="center"/>
    </xf>
    <xf numFmtId="178" fontId="0" fillId="0" borderId="12" xfId="0" applyNumberFormat="1" applyFill="1" applyBorder="1" applyAlignment="1">
      <alignment horizontal="center" vertical="center"/>
    </xf>
    <xf numFmtId="177" fontId="0" fillId="0" borderId="12" xfId="0" applyNumberFormat="1" applyFill="1" applyBorder="1" applyAlignment="1">
      <alignment horizontal="center" vertical="center"/>
    </xf>
    <xf numFmtId="179" fontId="0" fillId="0" borderId="12" xfId="0" applyNumberFormat="1" applyFill="1" applyBorder="1" applyAlignment="1">
      <alignment horizontal="center" vertical="center"/>
    </xf>
    <xf numFmtId="10" fontId="0" fillId="0" borderId="12" xfId="0" applyNumberFormat="1" applyFont="1" applyFill="1" applyBorder="1" applyAlignment="1">
      <alignment horizontal="center" vertical="center"/>
    </xf>
    <xf numFmtId="178" fontId="0" fillId="0" borderId="13" xfId="0" applyNumberFormat="1" applyFill="1" applyBorder="1" applyAlignment="1">
      <alignment horizontal="center" vertical="center"/>
    </xf>
    <xf numFmtId="178" fontId="2" fillId="2" borderId="14" xfId="0" applyNumberFormat="1" applyFont="1" applyFill="1" applyBorder="1" applyAlignment="1">
      <alignment horizontal="center" vertical="center"/>
    </xf>
    <xf numFmtId="177" fontId="2" fillId="2" borderId="14" xfId="0" applyNumberFormat="1" applyFont="1" applyFill="1" applyBorder="1" applyAlignment="1">
      <alignment horizontal="center" vertical="center"/>
    </xf>
    <xf numFmtId="179" fontId="2" fillId="2" borderId="14" xfId="0" applyNumberFormat="1" applyFont="1" applyFill="1" applyBorder="1" applyAlignment="1">
      <alignment horizontal="center" vertical="center"/>
    </xf>
    <xf numFmtId="14" fontId="0" fillId="10" borderId="12" xfId="0" applyNumberFormat="1" applyFont="1" applyFill="1" applyBorder="1" applyAlignment="1">
      <alignment horizontal="center" vertical="center"/>
    </xf>
    <xf numFmtId="178" fontId="0" fillId="10" borderId="12" xfId="0" applyNumberFormat="1" applyFill="1" applyBorder="1" applyAlignment="1">
      <alignment horizontal="center" vertical="center"/>
    </xf>
    <xf numFmtId="177" fontId="0" fillId="10" borderId="12" xfId="0" applyNumberFormat="1" applyFill="1" applyBorder="1" applyAlignment="1">
      <alignment horizontal="center" vertical="center"/>
    </xf>
    <xf numFmtId="0" fontId="0" fillId="10" borderId="2" xfId="0" applyFont="1" applyFill="1" applyBorder="1" applyAlignment="1">
      <alignment horizontal="center" vertical="center"/>
    </xf>
    <xf numFmtId="183" fontId="0" fillId="10" borderId="2" xfId="0" applyNumberFormat="1" applyFont="1" applyFill="1" applyBorder="1" applyAlignment="1">
      <alignment horizontal="center" vertical="center"/>
    </xf>
    <xf numFmtId="10" fontId="0" fillId="10" borderId="12" xfId="0" applyNumberFormat="1" applyFont="1" applyFill="1" applyBorder="1" applyAlignment="1">
      <alignment horizontal="center" vertical="center"/>
    </xf>
    <xf numFmtId="179" fontId="0" fillId="10" borderId="12" xfId="0" applyNumberFormat="1" applyFill="1" applyBorder="1" applyAlignment="1">
      <alignment horizontal="center" vertical="center"/>
    </xf>
    <xf numFmtId="184" fontId="0" fillId="10" borderId="12" xfId="2" applyNumberFormat="1" applyFont="1" applyFill="1" applyBorder="1" applyAlignment="1">
      <alignment horizontal="center" vertical="center"/>
    </xf>
    <xf numFmtId="178" fontId="0" fillId="10" borderId="13" xfId="0" applyNumberFormat="1" applyFill="1" applyBorder="1" applyAlignment="1">
      <alignment horizontal="center" vertical="center"/>
    </xf>
    <xf numFmtId="14" fontId="0" fillId="0" borderId="12" xfId="0" applyNumberFormat="1" applyFont="1" applyFill="1" applyBorder="1" applyAlignment="1">
      <alignment horizontal="center" vertical="center"/>
    </xf>
    <xf numFmtId="0" fontId="1" fillId="0" borderId="0" xfId="0" applyFont="1">
      <alignment vertical="center"/>
    </xf>
    <xf numFmtId="178" fontId="1" fillId="0" borderId="12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49" fontId="4" fillId="0" borderId="0" xfId="0" applyNumberFormat="1" applyFont="1" applyAlignment="1">
      <alignment vertical="center" wrapText="1"/>
    </xf>
    <xf numFmtId="0" fontId="4" fillId="6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10" fontId="0" fillId="5" borderId="0" xfId="2" applyNumberFormat="1" applyFont="1" applyFill="1" applyAlignment="1">
      <alignment vertical="center" wrapText="1"/>
    </xf>
    <xf numFmtId="0" fontId="0" fillId="11" borderId="0" xfId="0" applyFill="1" applyAlignment="1">
      <alignment vertical="center" wrapText="1"/>
    </xf>
    <xf numFmtId="10" fontId="0" fillId="11" borderId="0" xfId="2" applyNumberFormat="1" applyFont="1" applyFill="1" applyAlignment="1">
      <alignment vertical="center" wrapText="1"/>
    </xf>
    <xf numFmtId="0" fontId="0" fillId="9" borderId="0" xfId="0" applyFill="1">
      <alignment vertical="center"/>
    </xf>
    <xf numFmtId="49" fontId="3" fillId="0" borderId="0" xfId="0" applyNumberFormat="1" applyFont="1">
      <alignment vertical="center"/>
    </xf>
    <xf numFmtId="49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178" fontId="0" fillId="0" borderId="0" xfId="2" applyNumberFormat="1" applyFont="1" applyAlignment="1">
      <alignment horizontal="center" vertical="center"/>
    </xf>
    <xf numFmtId="49" fontId="0" fillId="9" borderId="0" xfId="0" quotePrefix="1" applyNumberFormat="1" applyFill="1">
      <alignment vertical="center"/>
    </xf>
    <xf numFmtId="0" fontId="0" fillId="0" borderId="0" xfId="0" pivotButton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3" fillId="5" borderId="0" xfId="0" applyFont="1" applyFill="1" applyAlignment="1">
      <alignment vertical="center" wrapText="1"/>
    </xf>
    <xf numFmtId="10" fontId="3" fillId="5" borderId="0" xfId="2" applyNumberFormat="1" applyFont="1" applyFill="1" applyAlignment="1">
      <alignment vertical="center" wrapText="1"/>
    </xf>
    <xf numFmtId="182" fontId="4" fillId="0" borderId="0" xfId="3" applyNumberFormat="1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2" fontId="0" fillId="0" borderId="0" xfId="0" applyNumberFormat="1">
      <alignment vertical="center"/>
    </xf>
    <xf numFmtId="9" fontId="0" fillId="0" borderId="0" xfId="0" applyNumberFormat="1">
      <alignment vertical="center"/>
    </xf>
    <xf numFmtId="177" fontId="15" fillId="0" borderId="12" xfId="0" applyNumberFormat="1" applyFont="1" applyFill="1" applyBorder="1" applyAlignment="1">
      <alignment horizontal="center" vertical="center"/>
    </xf>
    <xf numFmtId="178" fontId="3" fillId="0" borderId="12" xfId="0" applyNumberFormat="1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14" fontId="16" fillId="0" borderId="12" xfId="0" applyNumberFormat="1" applyFont="1" applyFill="1" applyBorder="1" applyAlignment="1">
      <alignment horizontal="center" vertical="center"/>
    </xf>
    <xf numFmtId="177" fontId="15" fillId="12" borderId="14" xfId="0" applyNumberFormat="1" applyFont="1" applyFill="1" applyBorder="1" applyAlignment="1">
      <alignment horizontal="center"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4" xfId="0" applyNumberFormat="1" applyFont="1" applyFill="1" applyBorder="1" applyAlignment="1">
      <alignment horizontal="center" vertical="center"/>
    </xf>
    <xf numFmtId="179" fontId="2" fillId="0" borderId="4" xfId="0" applyNumberFormat="1" applyFont="1" applyFill="1" applyBorder="1" applyAlignment="1">
      <alignment horizontal="center" vertical="center"/>
    </xf>
    <xf numFmtId="184" fontId="0" fillId="0" borderId="12" xfId="2" applyNumberFormat="1" applyFont="1" applyFill="1" applyBorder="1" applyAlignment="1">
      <alignment horizontal="center" vertical="center"/>
    </xf>
    <xf numFmtId="10" fontId="16" fillId="0" borderId="14" xfId="0" applyNumberFormat="1" applyFont="1" applyFill="1" applyBorder="1" applyAlignment="1">
      <alignment horizontal="center" vertical="center"/>
    </xf>
    <xf numFmtId="178" fontId="0" fillId="0" borderId="14" xfId="0" applyNumberFormat="1" applyFill="1" applyBorder="1" applyAlignment="1">
      <alignment horizontal="center" vertical="center"/>
    </xf>
    <xf numFmtId="179" fontId="0" fillId="0" borderId="14" xfId="0" applyNumberFormat="1" applyFill="1" applyBorder="1" applyAlignment="1">
      <alignment horizontal="center" vertical="center"/>
    </xf>
    <xf numFmtId="178" fontId="16" fillId="0" borderId="14" xfId="2" applyNumberFormat="1" applyFont="1" applyFill="1" applyBorder="1" applyAlignment="1">
      <alignment horizontal="center" vertical="center"/>
    </xf>
    <xf numFmtId="184" fontId="16" fillId="0" borderId="14" xfId="2" applyNumberFormat="1" applyFont="1" applyFill="1" applyBorder="1" applyAlignment="1">
      <alignment horizontal="center" vertical="center"/>
    </xf>
    <xf numFmtId="178" fontId="16" fillId="0" borderId="0" xfId="0" applyNumberFormat="1" applyFont="1" applyFill="1" applyBorder="1" applyAlignment="1">
      <alignment horizontal="center" vertical="center"/>
    </xf>
    <xf numFmtId="10" fontId="16" fillId="0" borderId="12" xfId="0" applyNumberFormat="1" applyFont="1" applyFill="1" applyBorder="1" applyAlignment="1">
      <alignment horizontal="center" vertical="center"/>
    </xf>
    <xf numFmtId="178" fontId="16" fillId="0" borderId="12" xfId="2" applyNumberFormat="1" applyFont="1" applyFill="1" applyBorder="1" applyAlignment="1">
      <alignment horizontal="center" vertical="center"/>
    </xf>
    <xf numFmtId="184" fontId="16" fillId="0" borderId="12" xfId="2" applyNumberFormat="1" applyFont="1" applyFill="1" applyBorder="1" applyAlignment="1">
      <alignment horizontal="center" vertical="center"/>
    </xf>
    <xf numFmtId="178" fontId="16" fillId="0" borderId="13" xfId="0" applyNumberFormat="1" applyFont="1" applyFill="1" applyBorder="1" applyAlignment="1">
      <alignment horizontal="center" vertical="center"/>
    </xf>
    <xf numFmtId="0" fontId="0" fillId="3" borderId="0" xfId="0" applyNumberFormat="1" applyFill="1">
      <alignment vertical="center"/>
    </xf>
    <xf numFmtId="14" fontId="16" fillId="0" borderId="13" xfId="0" applyNumberFormat="1" applyFont="1" applyFill="1" applyBorder="1" applyAlignment="1">
      <alignment horizontal="center" vertical="center"/>
    </xf>
    <xf numFmtId="177" fontId="15" fillId="12" borderId="12" xfId="0" applyNumberFormat="1" applyFont="1" applyFill="1" applyBorder="1" applyAlignment="1">
      <alignment horizontal="center" vertical="center"/>
    </xf>
    <xf numFmtId="0" fontId="4" fillId="13" borderId="0" xfId="0" applyFont="1" applyFill="1" applyAlignment="1">
      <alignment horizontal="center" vertical="center" wrapText="1"/>
    </xf>
    <xf numFmtId="178" fontId="0" fillId="0" borderId="0" xfId="0" applyNumberFormat="1">
      <alignment vertical="center"/>
    </xf>
    <xf numFmtId="178" fontId="3" fillId="0" borderId="14" xfId="0" applyNumberFormat="1" applyFont="1" applyFill="1" applyBorder="1" applyAlignment="1">
      <alignment horizontal="center" vertical="center"/>
    </xf>
    <xf numFmtId="177" fontId="0" fillId="0" borderId="14" xfId="0" applyNumberFormat="1" applyFill="1" applyBorder="1" applyAlignment="1">
      <alignment horizontal="center" vertical="center"/>
    </xf>
    <xf numFmtId="185" fontId="16" fillId="0" borderId="13" xfId="0" applyNumberFormat="1" applyFont="1" applyFill="1" applyBorder="1" applyAlignment="1">
      <alignment horizontal="center" vertical="center"/>
    </xf>
    <xf numFmtId="178" fontId="16" fillId="0" borderId="12" xfId="0" applyNumberFormat="1" applyFont="1" applyFill="1" applyBorder="1" applyAlignment="1">
      <alignment horizontal="center" vertical="center"/>
    </xf>
    <xf numFmtId="184" fontId="16" fillId="0" borderId="12" xfId="0" applyNumberFormat="1" applyFont="1" applyFill="1" applyBorder="1" applyAlignment="1">
      <alignment horizontal="center" vertical="center"/>
    </xf>
    <xf numFmtId="0" fontId="16" fillId="0" borderId="13" xfId="0" applyFont="1" applyFill="1" applyBorder="1">
      <alignment vertical="center"/>
    </xf>
    <xf numFmtId="180" fontId="0" fillId="0" borderId="0" xfId="0" applyNumberFormat="1" applyFill="1" applyBorder="1" applyAlignment="1">
      <alignment horizontal="center" vertical="center"/>
    </xf>
    <xf numFmtId="177" fontId="15" fillId="0" borderId="14" xfId="0" applyNumberFormat="1" applyFont="1" applyFill="1" applyBorder="1" applyAlignment="1">
      <alignment horizontal="center" vertical="center"/>
    </xf>
    <xf numFmtId="178" fontId="16" fillId="0" borderId="14" xfId="0" applyNumberFormat="1" applyFont="1" applyFill="1" applyBorder="1" applyAlignment="1">
      <alignment horizontal="center" vertical="center"/>
    </xf>
    <xf numFmtId="184" fontId="16" fillId="0" borderId="14" xfId="0" applyNumberFormat="1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177" fontId="15" fillId="14" borderId="14" xfId="0" applyNumberFormat="1" applyFont="1" applyFill="1" applyBorder="1" applyAlignment="1">
      <alignment horizontal="center" vertical="center"/>
    </xf>
    <xf numFmtId="178" fontId="0" fillId="14" borderId="14" xfId="0" applyNumberFormat="1" applyFill="1" applyBorder="1" applyAlignment="1">
      <alignment horizontal="center" vertical="center"/>
    </xf>
    <xf numFmtId="177" fontId="0" fillId="14" borderId="14" xfId="0" applyNumberFormat="1" applyFill="1" applyBorder="1" applyAlignment="1">
      <alignment horizontal="center" vertical="center"/>
    </xf>
    <xf numFmtId="179" fontId="0" fillId="14" borderId="14" xfId="0" applyNumberFormat="1" applyFill="1" applyBorder="1" applyAlignment="1">
      <alignment horizontal="center" vertical="center"/>
    </xf>
    <xf numFmtId="10" fontId="16" fillId="14" borderId="14" xfId="0" applyNumberFormat="1" applyFont="1" applyFill="1" applyBorder="1" applyAlignment="1">
      <alignment horizontal="center" vertical="center"/>
    </xf>
    <xf numFmtId="178" fontId="16" fillId="14" borderId="14" xfId="0" applyNumberFormat="1" applyFont="1" applyFill="1" applyBorder="1" applyAlignment="1">
      <alignment horizontal="center" vertical="center"/>
    </xf>
    <xf numFmtId="184" fontId="16" fillId="14" borderId="14" xfId="0" applyNumberFormat="1" applyFont="1" applyFill="1" applyBorder="1" applyAlignment="1">
      <alignment horizontal="center" vertical="center"/>
    </xf>
    <xf numFmtId="0" fontId="16" fillId="14" borderId="0" xfId="0" applyFont="1" applyFill="1" applyBorder="1">
      <alignment vertical="center"/>
    </xf>
    <xf numFmtId="178" fontId="3" fillId="14" borderId="14" xfId="0" applyNumberFormat="1" applyFont="1" applyFill="1" applyBorder="1" applyAlignment="1">
      <alignment horizontal="center" vertical="center"/>
    </xf>
    <xf numFmtId="185" fontId="16" fillId="14" borderId="0" xfId="0" applyNumberFormat="1" applyFont="1" applyFill="1" applyBorder="1" applyAlignment="1">
      <alignment horizontal="center" vertical="center"/>
    </xf>
    <xf numFmtId="178" fontId="1" fillId="12" borderId="12" xfId="0" applyNumberFormat="1" applyFont="1" applyFill="1" applyBorder="1" applyAlignment="1">
      <alignment horizontal="center" vertical="center"/>
    </xf>
    <xf numFmtId="178" fontId="0" fillId="14" borderId="12" xfId="0" applyNumberFormat="1" applyFill="1" applyBorder="1" applyAlignment="1">
      <alignment horizontal="center" vertical="center"/>
    </xf>
    <xf numFmtId="0" fontId="4" fillId="15" borderId="0" xfId="0" applyFont="1" applyFill="1" applyAlignment="1">
      <alignment horizontal="center" vertical="center" wrapText="1"/>
    </xf>
    <xf numFmtId="4" fontId="0" fillId="0" borderId="0" xfId="0" applyNumberFormat="1">
      <alignment vertical="center"/>
    </xf>
    <xf numFmtId="4" fontId="0" fillId="0" borderId="0" xfId="0" applyNumberFormat="1" applyAlignment="1">
      <alignment horizontal="center" vertical="center"/>
    </xf>
    <xf numFmtId="4" fontId="0" fillId="15" borderId="0" xfId="0" applyNumberFormat="1" applyFill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0" fillId="0" borderId="0" xfId="0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0" fontId="3" fillId="0" borderId="0" xfId="0" quotePrefix="1" applyNumberFormat="1" applyFont="1">
      <alignment vertical="center"/>
    </xf>
    <xf numFmtId="179" fontId="0" fillId="14" borderId="12" xfId="0" applyNumberFormat="1" applyFill="1" applyBorder="1" applyAlignment="1">
      <alignment horizontal="center" vertical="center"/>
    </xf>
    <xf numFmtId="178" fontId="16" fillId="14" borderId="12" xfId="0" applyNumberFormat="1" applyFont="1" applyFill="1" applyBorder="1" applyAlignment="1">
      <alignment horizontal="center" vertical="center"/>
    </xf>
    <xf numFmtId="184" fontId="16" fillId="14" borderId="12" xfId="0" applyNumberFormat="1" applyFont="1" applyFill="1" applyBorder="1" applyAlignment="1">
      <alignment horizontal="center" vertical="center"/>
    </xf>
    <xf numFmtId="0" fontId="16" fillId="14" borderId="13" xfId="0" applyFont="1" applyFill="1" applyBorder="1">
      <alignment vertical="center"/>
    </xf>
    <xf numFmtId="185" fontId="16" fillId="0" borderId="0" xfId="0" applyNumberFormat="1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right" vertical="center"/>
    </xf>
  </cellXfs>
  <cellStyles count="4">
    <cellStyle name="百分比" xfId="2" builtinId="5"/>
    <cellStyle name="标题 5" xfId="1"/>
    <cellStyle name="常规" xfId="0" builtinId="0"/>
    <cellStyle name="千位分隔" xfId="3" builtinId="3"/>
  </cellStyles>
  <dxfs count="109"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/>
      </fill>
      <alignment horizontal="center" vertical="center"/>
    </dxf>
    <dxf>
      <numFmt numFmtId="180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/>
    </dxf>
    <dxf>
      <numFmt numFmtId="180" formatCode="0.00_ "/>
      <fill>
        <patternFill patternType="none">
          <fgColor indexed="64"/>
          <bgColor auto="1"/>
        </patternFill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4" formatCode="0.000%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theme="4" tint="0.79995117038483843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#,##0.00_);[Red]\(#,##0.00\)"/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0</xdr:row>
          <xdr:rowOff>167640</xdr:rowOff>
        </xdr:from>
        <xdr:to>
          <xdr:col>9</xdr:col>
          <xdr:colOff>617220</xdr:colOff>
          <xdr:row>2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生成资产负债表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46.945439699077" createdVersion="3" refreshedVersion="6" minRefreshableVersion="3" recordCount="26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04T00:00:00" count="322">
        <d v="2019-06-28T00:00:00"/>
        <d v="2019-07-01T00:00:00"/>
        <d v="2019-07-02T00:00:00"/>
        <d v="2020-07-17T00:00:00"/>
        <d v="2020-07-28T00:00:00"/>
        <d v="2020-07-30T00:00:00"/>
        <d v="2020-08-03T00:00:00"/>
        <m/>
        <d v="2017-09-29T00:00:00" u="1"/>
        <d v="2017-10-25T00:00:00" u="1"/>
        <d v="2017-11-21T00:00:00" u="1"/>
        <d v="2019-12-17T00:00:00" u="1"/>
        <d v="2017-10-27T00:00:00" u="1"/>
        <d v="2017-11-23T00:00:00" u="1"/>
        <d v="2017-12-19T00:00:00" u="1"/>
        <d v="2017-12-21T00:00:00" u="1"/>
        <d v="2018-01-02T00:00:00" u="1"/>
        <d v="2017-10-31T00:00:00" u="1"/>
        <d v="2017-11-27T00:00:00" u="1"/>
        <d v="2018-01-04T00:00:00" u="1"/>
        <d v="2017-11-29T00:00:00" u="1"/>
        <d v="2017-12-25T00:00:00" u="1"/>
        <d v="2017-12-27T00:00:00" u="1"/>
        <d v="2018-01-08T00:00:00" u="1"/>
        <d v="2018-02-04T00:00:00" u="1"/>
        <d v="2017-12-29T00:00:00" u="1"/>
        <d v="2018-01-10T00:00:00" u="1"/>
        <d v="2018-02-06T00:00:00" u="1"/>
        <d v="2018-03-02T00:00:00" u="1"/>
        <d v="2018-01-12T00:00:00" u="1"/>
        <d v="2018-02-08T00:00:00" u="1"/>
        <d v="2017-02-10T00:00:00" u="1"/>
        <d v="2017-03-06T00:00:00" u="1"/>
        <d v="2018-03-06T00:00:00" u="1"/>
        <d v="2018-04-02T00:00:00" u="1"/>
        <d v="2019-04-02T00:00:00" u="1"/>
        <d v="2017-01-16T00:00:00" u="1"/>
        <d v="2018-01-16T00:00:00" u="1"/>
        <d v="2018-02-12T00:00:00" u="1"/>
        <d v="2017-03-08T00:00:00" u="1"/>
        <d v="2018-03-08T00:00:00" u="1"/>
        <d v="2018-04-04T00:00:00" u="1"/>
        <d v="2019-04-04T00:00:00" u="1"/>
        <d v="2018-01-18T00:00:00" u="1"/>
        <d v="2017-02-14T00:00:00" u="1"/>
        <d v="2018-02-14T00:00:00" u="1"/>
        <d v="2017-03-10T00:00:00" u="1"/>
        <d v="2017-05-02T00:00:00" u="1"/>
        <d v="2018-05-02T00:00:00" u="1"/>
        <d v="2017-01-20T00:00:00" u="1"/>
        <d v="2017-02-16T00:00:00" u="1"/>
        <d v="2018-03-12T00:00:00" u="1"/>
        <d v="2019-04-08T00:00:00" u="1"/>
        <d v="2018-05-04T00:00:00" u="1"/>
        <d v="2018-01-22T00:00:00" u="1"/>
        <d v="2018-03-14T00:00:00" u="1"/>
        <d v="2017-04-10T00:00:00" u="1"/>
        <d v="2018-04-10T00:00:00" u="1"/>
        <d v="2019-04-10T00:00:00" u="1"/>
        <d v="2017-06-02T00:00:00" u="1"/>
        <d v="2017-01-24T00:00:00" u="1"/>
        <d v="2018-01-24T00:00:00" u="1"/>
        <d v="2017-02-20T00:00:00" u="1"/>
        <d v="2018-03-16T00:00:00" u="1"/>
        <d v="2017-04-12T00:00:00" u="1"/>
        <d v="2018-04-12T00:00:00" u="1"/>
        <d v="2019-04-12T00:00:00" u="1"/>
        <d v="2018-05-08T00:00:00" u="1"/>
        <d v="2018-01-26T00:00:00" u="1"/>
        <d v="2017-02-22T00:00:00" u="1"/>
        <d v="2018-02-22T00:00:00" u="1"/>
        <d v="2018-05-10T00:00:00" u="1"/>
        <d v="2017-03-20T00:00:00" u="1"/>
        <d v="2018-03-20T00:00:00" u="1"/>
        <d v="2018-04-16T00:00:00" u="1"/>
        <d v="2017-05-12T00:00:00" u="1"/>
        <d v="2019-04-16T00:00:00" u="1"/>
        <d v="2017-06-08T00:00:00" u="1"/>
        <d v="2017-07-04T00:00:00" u="1"/>
        <d v="2018-07-04T00:00:00" u="1"/>
        <d v="2019-07-04T00:00:00" u="1"/>
        <d v="2018-01-30T00:00:00" u="1"/>
        <d v="2018-02-26T00:00:00" u="1"/>
        <d v="2017-03-22T00:00:00" u="1"/>
        <d v="2018-03-22T00:00:00" u="1"/>
        <d v="2018-04-18T00:00:00" u="1"/>
        <d v="2018-05-14T00:00:00" u="1"/>
        <d v="2017-07-06T00:00:00" u="1"/>
        <d v="2017-08-02T00:00:00" u="1"/>
        <d v="2018-02-28T00:00:00" u="1"/>
        <d v="2017-03-24T00:00:00" u="1"/>
        <d v="2017-04-20T00:00:00" u="1"/>
        <d v="2017-05-16T00:00:00" u="1"/>
        <d v="2017-06-12T00:00:00" u="1"/>
        <d v="2018-03-26T00:00:00" u="1"/>
        <d v="2019-03-26T00:00:00" u="1"/>
        <d v="2017-05-18T00:00:00" u="1"/>
        <d v="2019-04-22T00:00:00" u="1"/>
        <d v="2018-05-18T00:00:00" u="1"/>
        <d v="2017-06-14T00:00:00" u="1"/>
        <d v="2017-07-10T00:00:00" u="1"/>
        <d v="2019-08-06T00:00:00" u="1"/>
        <d v="2018-03-28T00:00:00" u="1"/>
        <d v="2017-04-24T00:00:00" u="1"/>
        <d v="2019-03-28T00:00:00" u="1"/>
        <d v="2018-04-24T00:00:00" u="1"/>
        <d v="2017-05-20T00:00:00" u="1"/>
        <d v="2019-04-24T00:00:00" u="1"/>
        <d v="2020-04-24T00:00:00" u="1"/>
        <d v="2017-07-12T00:00:00" u="1"/>
        <d v="2017-08-08T00:00:00" u="1"/>
        <d v="2017-03-30T00:00:00" u="1"/>
        <d v="2018-03-30T00:00:00" u="1"/>
        <d v="2017-04-26T00:00:00" u="1"/>
        <d v="2018-04-26T00:00:00" u="1"/>
        <d v="2019-04-26T00:00:00" u="1"/>
        <d v="2017-07-14T00:00:00" u="1"/>
        <d v="2017-08-10T00:00:00" u="1"/>
        <d v="2017-09-06T00:00:00" u="1"/>
        <d v="2017-04-28T00:00:00" u="1"/>
        <d v="2019-06-20T00:00:00" u="1"/>
        <d v="2017-05-26T00:00:00" u="1"/>
        <d v="2020-04-30T00:00:00" u="1"/>
        <d v="2017-07-18T00:00:00" u="1"/>
        <d v="2017-08-14T00:00:00" u="1"/>
        <d v="2017-07-20T00:00:00" u="1"/>
        <d v="2019-06-24T00:00:00" u="1"/>
        <d v="2017-08-16T00:00:00" u="1"/>
        <d v="2017-09-12T00:00:00" u="1"/>
        <d v="2018-05-30T00:00:00" u="1"/>
        <d v="2017-06-26T00:00:00" u="1"/>
        <d v="2017-08-18T00:00:00" u="1"/>
        <d v="2017-09-14T00:00:00" u="1"/>
        <d v="2017-10-10T00:00:00" u="1"/>
        <d v="2017-11-06T00:00:00" u="1"/>
        <d v="2017-06-28T00:00:00" u="1"/>
        <d v="2017-07-24T00:00:00" u="1"/>
        <d v="2018-07-24T00:00:00" u="1"/>
        <d v="2017-10-12T00:00:00" u="1"/>
        <d v="2019-09-16T00:00:00" u="1"/>
        <d v="2017-11-08T00:00:00" u="1"/>
        <d v="2017-12-04T00:00:00" u="1"/>
        <d v="2017-07-26T00:00:00" u="1"/>
        <d v="2017-09-18T00:00:00" u="1"/>
        <d v="2017-11-10T00:00:00" u="1"/>
        <d v="2017-12-06T00:00:00" u="1"/>
        <d v="2017-07-28T00:00:00" u="1"/>
        <d v="2017-08-24T00:00:00" u="1"/>
        <d v="2017-09-20T00:00:00" u="1"/>
        <d v="2017-10-16T00:00:00" u="1"/>
        <d v="2017-12-08T00:00:00" u="1"/>
        <d v="2017-09-22T00:00:00" u="1"/>
        <d v="2017-10-18T00:00:00" u="1"/>
        <d v="2017-11-14T00:00:00" u="1"/>
        <d v="2017-08-28T00:00:00" u="1"/>
        <d v="2017-10-20T00:00:00" u="1"/>
        <d v="2017-11-16T00:00:00" u="1"/>
        <d v="2017-12-12T00:00:00" u="1"/>
        <d v="2017-08-30T00:00:00" u="1"/>
        <d v="2017-09-26T00:00:00" u="1"/>
        <d v="2017-12-14T00:00:00" u="1"/>
        <d v="2017-10-24T00:00:00" u="1"/>
        <d v="2017-11-20T00:00:00" u="1"/>
        <d v="2019-12-16T00:00:00" u="1"/>
        <d v="2017-10-26T00:00:00" u="1"/>
        <d v="2019-09-30T00:00:00" u="1"/>
        <d v="2017-11-22T00:00:00" u="1"/>
        <d v="2018-11-22T00:00:00" u="1"/>
        <d v="2017-12-18T00:00:00" u="1"/>
        <d v="2017-11-24T00:00:00" u="1"/>
        <d v="2017-12-20T00:00:00" u="1"/>
        <d v="2017-10-30T00:00:00" u="1"/>
        <d v="2017-12-22T00:00:00" u="1"/>
        <d v="2018-01-03T00:00:00" u="1"/>
        <d v="2020-01-03T00:00:00" u="1"/>
        <d v="2017-11-28T00:00:00" u="1"/>
        <d v="2018-01-05T00:00:00" u="1"/>
        <d v="2018-02-01T00:00:00" u="1"/>
        <d v="2017-11-30T00:00:00" u="1"/>
        <d v="2017-12-26T00:00:00" u="1"/>
        <d v="2017-12-28T00:00:00" u="1"/>
        <d v="2018-01-09T00:00:00" u="1"/>
        <d v="2018-02-05T00:00:00" u="1"/>
        <d v="2018-03-01T00:00:00" u="1"/>
        <d v="2019-12-30T00:00:00" u="1"/>
        <d v="2018-01-11T00:00:00" u="1"/>
        <d v="2017-02-07T00:00:00" u="1"/>
        <d v="2018-02-07T00:00:00" u="1"/>
        <d v="2017-03-03T00:00:00" u="1"/>
        <d v="2020-03-03T00:00:00" u="1"/>
        <d v="2017-01-13T00:00:00" u="1"/>
        <d v="2017-02-09T00:00:00" u="1"/>
        <d v="2018-02-09T00:00:00" u="1"/>
        <d v="2018-03-05T00:00:00" u="1"/>
        <d v="2019-04-01T00:00:00" u="1"/>
        <d v="2018-01-15T00:00:00" u="1"/>
        <d v="2018-02-11T00:00:00" u="1"/>
        <d v="2018-03-07T00:00:00" u="1"/>
        <d v="2018-04-03T00:00:00" u="1"/>
        <d v="2019-04-03T00:00:00" u="1"/>
        <d v="2018-01-17T00:00:00" u="1"/>
        <d v="2018-02-13T00:00:00" u="1"/>
        <d v="2017-03-09T00:00:00" u="1"/>
        <d v="2018-03-09T00:00:00" u="1"/>
        <d v="2017-04-05T00:00:00" u="1"/>
        <d v="2018-01-19T00:00:00" u="1"/>
        <d v="2018-05-03T00:00:00" u="1"/>
        <d v="2018-03-13T00:00:00" u="1"/>
        <d v="2018-04-09T00:00:00" u="1"/>
        <d v="2017-05-05T00:00:00" u="1"/>
        <d v="2019-04-09T00:00:00" u="1"/>
        <d v="2018-01-23T00:00:00" u="1"/>
        <d v="2017-03-15T00:00:00" u="1"/>
        <d v="2018-03-15T00:00:00" u="1"/>
        <d v="2017-04-11T00:00:00" u="1"/>
        <d v="2018-04-11T00:00:00" u="1"/>
        <d v="2019-04-11T00:00:00" u="1"/>
        <d v="2018-05-07T00:00:00" u="1"/>
        <d v="2020-05-07T00:00:00" u="1"/>
        <d v="2018-01-25T00:00:00" u="1"/>
        <d v="2017-04-13T00:00:00" u="1"/>
        <d v="2018-04-13T00:00:00" u="1"/>
        <d v="2017-05-09T00:00:00" u="1"/>
        <d v="2017-06-05T00:00:00" u="1"/>
        <d v="2018-06-05T00:00:00" u="1"/>
        <d v="2018-02-23T00:00:00" u="1"/>
        <d v="2018-03-19T00:00:00" u="1"/>
        <d v="2019-04-15T00:00:00" u="1"/>
        <d v="2017-06-07T00:00:00" u="1"/>
        <d v="2018-06-07T00:00:00" u="1"/>
        <d v="2017-07-03T00:00:00" u="1"/>
        <d v="2019-07-03T00:00:00" u="1"/>
        <d v="2018-01-29T00:00:00" u="1"/>
        <d v="2019-02-25T00:00:00" u="1"/>
        <d v="2018-03-21T00:00:00" u="1"/>
        <d v="2017-04-17T00:00:00" u="1"/>
        <d v="2018-04-17T00:00:00" u="1"/>
        <d v="2017-07-05T00:00:00" u="1"/>
        <d v="2017-08-01T00:00:00" u="1"/>
        <d v="2018-01-31T00:00:00" u="1"/>
        <d v="2018-02-27T00:00:00" u="1"/>
        <d v="2018-03-23T00:00:00" u="1"/>
        <d v="2018-04-19T00:00:00" u="1"/>
        <d v="2017-05-15T00:00:00" u="1"/>
        <d v="2018-05-15T00:00:00" u="1"/>
        <d v="2018-06-11T00:00:00" u="1"/>
        <d v="2017-07-07T00:00:00" u="1"/>
        <d v="2017-08-03T00:00:00" u="1"/>
        <d v="2017-05-17T00:00:00" u="1"/>
        <d v="2018-05-17T00:00:00" u="1"/>
        <d v="2017-06-13T00:00:00" u="1"/>
        <d v="2018-06-13T00:00:00" u="1"/>
        <d v="2017-09-01T00:00:00" u="1"/>
        <d v="2018-03-27T00:00:00" u="1"/>
        <d v="2017-04-23T00:00:00" u="1"/>
        <d v="2018-04-23T00:00:00" u="1"/>
        <d v="2019-04-23T00:00:00" u="1"/>
        <d v="2018-06-15T00:00:00" u="1"/>
        <d v="2017-07-11T00:00:00" u="1"/>
        <d v="2017-08-07T00:00:00" u="1"/>
        <d v="2018-03-29T00:00:00" u="1"/>
        <d v="2019-03-29T00:00:00" u="1"/>
        <d v="2018-04-25T00:00:00" u="1"/>
        <d v="2019-04-25T00:00:00" u="1"/>
        <d v="2018-05-21T00:00:00" u="1"/>
        <d v="2017-07-13T00:00:00" u="1"/>
        <d v="2019-09-05T00:00:00" u="1"/>
        <d v="2017-04-27T00:00:00" u="1"/>
        <d v="2018-04-27T00:00:00" u="1"/>
        <d v="2017-05-23T00:00:00" u="1"/>
        <d v="2017-06-19T00:00:00" u="1"/>
        <d v="2018-06-19T00:00:00" u="1"/>
        <d v="2017-08-11T00:00:00" u="1"/>
        <d v="2019-07-15T00:00:00" u="1"/>
        <d v="2017-09-07T00:00:00" u="1"/>
        <d v="2017-05-25T00:00:00" u="1"/>
        <d v="2019-04-29T00:00:00" u="1"/>
        <d v="2018-05-25T00:00:00" u="1"/>
        <d v="2017-06-21T00:00:00" u="1"/>
        <d v="2018-06-21T00:00:00" u="1"/>
        <d v="2017-07-17T00:00:00" u="1"/>
        <d v="2019-07-17T00:00:00" u="1"/>
        <d v="2019-08-13T00:00:00" u="1"/>
        <d v="2017-11-01T00:00:00" u="1"/>
        <d v="2017-07-19T00:00:00" u="1"/>
        <d v="2017-09-11T00:00:00" u="1"/>
        <d v="2017-11-03T00:00:00" u="1"/>
        <d v="2017-07-21T00:00:00" u="1"/>
        <d v="2017-08-17T00:00:00" u="1"/>
        <d v="2017-09-13T00:00:00" u="1"/>
        <d v="2017-10-09T00:00:00" u="1"/>
        <d v="2017-12-01T00:00:00" u="1"/>
        <d v="2017-05-31T00:00:00" u="1"/>
        <d v="2018-05-31T00:00:00" u="1"/>
        <d v="2019-07-23T00:00:00" u="1"/>
        <d v="2017-09-15T00:00:00" u="1"/>
        <d v="2017-10-11T00:00:00" u="1"/>
        <d v="2017-11-07T00:00:00" u="1"/>
        <d v="2017-07-25T00:00:00" u="1"/>
        <d v="2017-08-21T00:00:00" u="1"/>
        <d v="2017-10-13T00:00:00" u="1"/>
        <d v="2017-11-09T00:00:00" u="1"/>
        <d v="2017-12-05T00:00:00" u="1"/>
        <d v="2017-07-27T00:00:00" u="1"/>
        <d v="2017-08-23T00:00:00" u="1"/>
        <d v="2017-09-19T00:00:00" u="1"/>
        <d v="2017-12-07T00:00:00" u="1"/>
        <d v="2017-08-25T00:00:00" u="1"/>
        <d v="2017-09-21T00:00:00" u="1"/>
        <d v="2017-10-17T00:00:00" u="1"/>
        <d v="2017-11-13T00:00:00" u="1"/>
        <d v="2017-07-31T00:00:00" u="1"/>
        <d v="2017-10-19T00:00:00" u="1"/>
        <d v="2017-11-15T00:00:00" u="1"/>
        <d v="2017-12-11T00:00:00" u="1"/>
        <d v="2017-09-25T00:00:00" u="1"/>
        <d v="2017-11-17T00:00:00" u="1"/>
        <d v="2017-12-13T00:00:00" u="1"/>
        <d v="2017-08-31T00:00:00" u="1"/>
        <d v="2017-09-27T00:00:00" u="1"/>
        <d v="2017-10-23T00:00:00" u="1"/>
        <d v="2017-12-15T00:00:00" u="1"/>
      </sharedItems>
    </cacheField>
    <cacheField name="证券代码" numFmtId="49">
      <sharedItems containsBlank="1"/>
    </cacheField>
    <cacheField name="证券名称" numFmtId="0">
      <sharedItems containsBlank="1" containsMixedTypes="1" containsNumber="1" containsInteger="1" minValue="127018" maxValue="127018"/>
    </cacheField>
    <cacheField name="证券数量" numFmtId="0">
      <sharedItems containsBlank="1" containsMixedTypes="1" containsNumber="1" containsInteger="1" minValue="0" maxValue="8400"/>
    </cacheField>
    <cacheField name="可卖数量" numFmtId="0">
      <sharedItems containsBlank="1" containsMixedTypes="1" containsNumber="1" containsInteger="1" minValue="0" maxValue="8400"/>
    </cacheField>
    <cacheField name="成本价" numFmtId="0">
      <sharedItems containsString="0" containsBlank="1" containsNumber="1" minValue="0" maxValue="100"/>
    </cacheField>
    <cacheField name="浮动盈亏" numFmtId="0">
      <sharedItems containsString="0" containsBlank="1" containsNumber="1" minValue="-8349.59" maxValue="14.98"/>
    </cacheField>
    <cacheField name="盈亏比例(%)" numFmtId="0">
      <sharedItems containsBlank="1" containsMixedTypes="1" containsNumber="1" minValue="-19.010000000000002" maxValue="1.8"/>
    </cacheField>
    <cacheField name="最新市值" numFmtId="176">
      <sharedItems containsString="0" containsBlank="1" containsNumber="1" minValue="0" maxValue="36876"/>
    </cacheField>
    <cacheField name="当前价" numFmtId="0">
      <sharedItems containsString="0" containsBlank="1" containsNumb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s v="601009"/>
    <s v="南京银行"/>
    <n v="100"/>
    <n v="100"/>
    <n v="8.32"/>
    <n v="-6.02"/>
    <n v="-0.72"/>
    <n v="826"/>
    <n v="8.26"/>
  </r>
  <r>
    <x v="0"/>
    <s v="reserve"/>
    <s v="备用金"/>
    <m/>
    <m/>
    <m/>
    <m/>
    <m/>
    <n v="68.98"/>
    <m/>
  </r>
  <r>
    <x v="1"/>
    <s v="601009"/>
    <s v="南京银行"/>
    <n v="100"/>
    <n v="100"/>
    <n v="8.32"/>
    <n v="6.98"/>
    <n v="0.84"/>
    <n v="839"/>
    <n v="8.39"/>
  </r>
  <r>
    <x v="1"/>
    <s v="reserve"/>
    <s v="备用金"/>
    <m/>
    <m/>
    <m/>
    <m/>
    <m/>
    <n v="68.98"/>
    <m/>
  </r>
  <r>
    <x v="2"/>
    <s v="601009"/>
    <s v="南京银行"/>
    <n v="100"/>
    <n v="100"/>
    <n v="8.32"/>
    <n v="14.98"/>
    <n v="1.8"/>
    <n v="847"/>
    <n v="8.4700000000000006"/>
  </r>
  <r>
    <x v="2"/>
    <s v="reserve"/>
    <s v="备用金"/>
    <m/>
    <m/>
    <m/>
    <m/>
    <m/>
    <n v="68.98"/>
    <m/>
  </r>
  <r>
    <x v="3"/>
    <s v="601857"/>
    <s v="中国石油"/>
    <n v="8400"/>
    <n v="8400"/>
    <n v="5.3840000000000003"/>
    <n v="-8349.59"/>
    <n v="-18.46"/>
    <n v="36876"/>
    <n v="4.3899999999999997"/>
  </r>
  <r>
    <x v="3"/>
    <s v="127018"/>
    <n v="127018"/>
    <s v="20张"/>
    <s v="20张"/>
    <n v="100"/>
    <n v="0"/>
    <n v="0"/>
    <n v="2000"/>
    <n v="100"/>
  </r>
  <r>
    <x v="3"/>
    <s v="132007"/>
    <s v="加鑫宝"/>
    <n v="0"/>
    <n v="0"/>
    <n v="0"/>
    <n v="0"/>
    <s v="--"/>
    <n v="10000"/>
    <n v="0"/>
  </r>
  <r>
    <x v="3"/>
    <s v="reserve"/>
    <s v="备用金"/>
    <m/>
    <m/>
    <m/>
    <m/>
    <m/>
    <n v="215.48"/>
    <m/>
  </r>
  <r>
    <x v="4"/>
    <s v="601857"/>
    <s v="中国石油"/>
    <n v="7200"/>
    <n v="7200"/>
    <n v="5.5190000000000001"/>
    <n v="-7550.1"/>
    <n v="-19.010000000000002"/>
    <n v="32184"/>
    <n v="4.47"/>
  </r>
  <r>
    <x v="4"/>
    <s v="733061"/>
    <s v="国投发债"/>
    <n v="1"/>
    <n v="1"/>
    <n v="100"/>
    <n v="0"/>
    <n v="0"/>
    <n v="1000"/>
    <n v="100"/>
  </r>
  <r>
    <x v="4"/>
    <s v="127018"/>
    <n v="127018"/>
    <s v="20张"/>
    <s v="20张"/>
    <n v="100"/>
    <n v="0"/>
    <n v="0"/>
    <n v="2000"/>
    <n v="100"/>
  </r>
  <r>
    <x v="4"/>
    <s v="132007"/>
    <s v="加鑫宝"/>
    <n v="0"/>
    <n v="0"/>
    <n v="0"/>
    <n v="0"/>
    <s v="--"/>
    <n v="0"/>
    <n v="0"/>
  </r>
  <r>
    <x v="4"/>
    <s v="reserve"/>
    <s v="备用金"/>
    <m/>
    <m/>
    <m/>
    <m/>
    <m/>
    <n v="14701.26"/>
    <m/>
  </r>
  <r>
    <x v="5"/>
    <s v="601857"/>
    <s v="中国石油"/>
    <n v="8200"/>
    <n v="8200"/>
    <n v="5.39"/>
    <n v="-7627.19"/>
    <n v="-17.25"/>
    <n v="36572"/>
    <n v="4.46"/>
  </r>
  <r>
    <x v="5"/>
    <s v="733061"/>
    <s v="国投发债"/>
    <n v="1"/>
    <n v="1"/>
    <n v="100"/>
    <n v="0"/>
    <n v="0"/>
    <n v="1000"/>
    <n v="100"/>
  </r>
  <r>
    <x v="5"/>
    <s v="127018"/>
    <n v="127018"/>
    <s v="20张"/>
    <s v="20张"/>
    <n v="100"/>
    <n v="0"/>
    <n v="0"/>
    <n v="2000"/>
    <n v="100"/>
  </r>
  <r>
    <x v="5"/>
    <s v="132007"/>
    <s v="加鑫宝"/>
    <n v="0"/>
    <n v="0"/>
    <n v="0"/>
    <n v="0"/>
    <s v="--"/>
    <n v="0"/>
    <n v="0"/>
  </r>
  <r>
    <x v="5"/>
    <s v="reserve"/>
    <s v="备用金"/>
    <m/>
    <m/>
    <m/>
    <m/>
    <m/>
    <n v="5536.2"/>
    <m/>
  </r>
  <r>
    <x v="6"/>
    <s v="601857"/>
    <s v="中国石油"/>
    <n v="8200"/>
    <n v="8200"/>
    <n v="5.39"/>
    <n v="-7463.19"/>
    <n v="-16.88"/>
    <n v="36736"/>
    <n v="4.4800000000000004"/>
  </r>
  <r>
    <x v="6"/>
    <s v="733061"/>
    <s v="国投发债"/>
    <n v="1"/>
    <n v="1"/>
    <n v="100"/>
    <n v="0"/>
    <n v="0"/>
    <n v="1000"/>
    <n v="100"/>
  </r>
  <r>
    <x v="6"/>
    <s v="127018"/>
    <n v="127018"/>
    <s v="20张"/>
    <s v="20张"/>
    <n v="100"/>
    <n v="0"/>
    <n v="0"/>
    <n v="2000"/>
    <n v="100"/>
  </r>
  <r>
    <x v="6"/>
    <s v="132007"/>
    <s v="加鑫宝"/>
    <n v="0"/>
    <n v="0"/>
    <n v="0"/>
    <n v="0"/>
    <s v="--"/>
    <n v="0"/>
    <n v="0"/>
  </r>
  <r>
    <x v="6"/>
    <s v="reserve"/>
    <s v="备用金"/>
    <m/>
    <m/>
    <m/>
    <m/>
    <m/>
    <n v="5536.58"/>
    <m/>
  </r>
  <r>
    <x v="7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10" firstHeaderRow="1" firstDataRow="1" firstDataCol="1"/>
  <pivotFields count="10">
    <pivotField axis="axisRow" showAll="0">
      <items count="323">
        <item m="1" x="190"/>
        <item m="1" x="36"/>
        <item m="1" x="49"/>
        <item m="1" x="60"/>
        <item m="1" x="186"/>
        <item m="1" x="191"/>
        <item m="1" x="31"/>
        <item m="1" x="44"/>
        <item m="1" x="50"/>
        <item x="7"/>
        <item m="1" x="62"/>
        <item m="1" x="69"/>
        <item m="1" x="188"/>
        <item m="1" x="32"/>
        <item m="1" x="39"/>
        <item m="1" x="202"/>
        <item m="1" x="46"/>
        <item m="1" x="212"/>
        <item m="1" x="72"/>
        <item m="1" x="83"/>
        <item m="1" x="90"/>
        <item m="1" x="111"/>
        <item m="1" x="204"/>
        <item m="1" x="56"/>
        <item m="1" x="214"/>
        <item m="1" x="64"/>
        <item m="1" x="220"/>
        <item m="1" x="235"/>
        <item m="1" x="91"/>
        <item m="1" x="254"/>
        <item m="1" x="103"/>
        <item m="1" x="113"/>
        <item m="1" x="267"/>
        <item m="1" x="119"/>
        <item m="1" x="47"/>
        <item m="1" x="209"/>
        <item m="1" x="222"/>
        <item m="1" x="75"/>
        <item m="1" x="243"/>
        <item m="1" x="92"/>
        <item m="1" x="248"/>
        <item m="1" x="96"/>
        <item m="1" x="106"/>
        <item m="1" x="269"/>
        <item m="1" x="275"/>
        <item m="1" x="121"/>
        <item m="1" x="292"/>
        <item m="1" x="59"/>
        <item m="1" x="223"/>
        <item m="1" x="228"/>
        <item m="1" x="77"/>
        <item m="1" x="93"/>
        <item m="1" x="250"/>
        <item m="1" x="99"/>
        <item m="1" x="270"/>
        <item m="1" x="278"/>
        <item m="1" x="130"/>
        <item m="1" x="135"/>
        <item m="1" x="230"/>
        <item m="1" x="78"/>
        <item m="1" x="237"/>
        <item m="1" x="87"/>
        <item m="1" x="246"/>
        <item m="1" x="100"/>
        <item m="1" x="258"/>
        <item m="1" x="109"/>
        <item m="1" x="265"/>
        <item m="1" x="116"/>
        <item m="1" x="280"/>
        <item m="1" x="123"/>
        <item m="1" x="284"/>
        <item m="1" x="125"/>
        <item m="1" x="287"/>
        <item m="1" x="136"/>
        <item m="1" x="298"/>
        <item m="1" x="142"/>
        <item m="1" x="303"/>
        <item m="1" x="146"/>
        <item m="1" x="311"/>
        <item m="1" x="238"/>
        <item m="1" x="88"/>
        <item m="1" x="247"/>
        <item m="1" x="259"/>
        <item m="1" x="110"/>
        <item m="1" x="117"/>
        <item m="1" x="272"/>
        <item m="1" x="124"/>
        <item m="1" x="127"/>
        <item m="1" x="288"/>
        <item m="1" x="131"/>
        <item m="1" x="299"/>
        <item m="1" x="304"/>
        <item m="1" x="147"/>
        <item m="1" x="307"/>
        <item m="1" x="154"/>
        <item m="1" x="158"/>
        <item m="1" x="318"/>
        <item m="1" x="252"/>
        <item m="1" x="118"/>
        <item m="1" x="274"/>
        <item m="1" x="285"/>
        <item m="1" x="128"/>
        <item m="1" x="289"/>
        <item m="1" x="132"/>
        <item m="1" x="295"/>
        <item m="1" x="143"/>
        <item m="1" x="305"/>
        <item m="1" x="148"/>
        <item m="1" x="308"/>
        <item m="1" x="151"/>
        <item m="1" x="315"/>
        <item m="1" x="159"/>
        <item m="1" x="319"/>
        <item m="1" x="8"/>
        <item m="1" x="290"/>
        <item m="1" x="133"/>
        <item m="1" x="296"/>
        <item m="1" x="138"/>
        <item m="1" x="300"/>
        <item m="1" x="149"/>
        <item m="1" x="309"/>
        <item m="1" x="152"/>
        <item m="1" x="312"/>
        <item m="1" x="155"/>
        <item m="1" x="320"/>
        <item m="1" x="161"/>
        <item m="1" x="9"/>
        <item m="1" x="164"/>
        <item m="1" x="12"/>
        <item m="1" x="171"/>
        <item m="1" x="17"/>
        <item m="1" x="283"/>
        <item m="1" x="286"/>
        <item m="1" x="134"/>
        <item m="1" x="297"/>
        <item m="1" x="140"/>
        <item m="1" x="301"/>
        <item m="1" x="144"/>
        <item m="1" x="310"/>
        <item m="1" x="153"/>
        <item m="1" x="313"/>
        <item m="1" x="156"/>
        <item m="1" x="316"/>
        <item m="1" x="162"/>
        <item m="1" x="10"/>
        <item m="1" x="166"/>
        <item m="1" x="13"/>
        <item m="1" x="169"/>
        <item m="1" x="18"/>
        <item m="1" x="175"/>
        <item m="1" x="20"/>
        <item m="1" x="178"/>
        <item m="1" x="291"/>
        <item m="1" x="141"/>
        <item m="1" x="302"/>
        <item m="1" x="145"/>
        <item m="1" x="306"/>
        <item m="1" x="150"/>
        <item m="1" x="314"/>
        <item m="1" x="157"/>
        <item m="1" x="317"/>
        <item m="1" x="160"/>
        <item m="1" x="321"/>
        <item m="1" x="168"/>
        <item m="1" x="14"/>
        <item m="1" x="170"/>
        <item m="1" x="15"/>
        <item m="1" x="172"/>
        <item m="1" x="21"/>
        <item m="1" x="179"/>
        <item m="1" x="22"/>
        <item m="1" x="180"/>
        <item m="1" x="25"/>
        <item m="1" x="16"/>
        <item m="1" x="173"/>
        <item m="1" x="19"/>
        <item m="1" x="176"/>
        <item m="1" x="23"/>
        <item m="1" x="181"/>
        <item m="1" x="26"/>
        <item m="1" x="185"/>
        <item m="1" x="29"/>
        <item m="1" x="195"/>
        <item m="1" x="37"/>
        <item m="1" x="200"/>
        <item m="1" x="43"/>
        <item m="1" x="205"/>
        <item m="1" x="54"/>
        <item m="1" x="211"/>
        <item m="1" x="61"/>
        <item m="1" x="219"/>
        <item m="1" x="68"/>
        <item m="1" x="232"/>
        <item m="1" x="81"/>
        <item m="1" x="239"/>
        <item m="1" x="177"/>
        <item m="1" x="24"/>
        <item m="1" x="182"/>
        <item m="1" x="27"/>
        <item m="1" x="187"/>
        <item m="1" x="30"/>
        <item m="1" x="192"/>
        <item m="1" x="196"/>
        <item m="1" x="38"/>
        <item m="1" x="201"/>
        <item m="1" x="45"/>
        <item m="1" x="70"/>
        <item m="1" x="225"/>
        <item m="1" x="82"/>
        <item m="1" x="240"/>
        <item m="1" x="89"/>
        <item m="1" x="183"/>
        <item m="1" x="28"/>
        <item m="1" x="193"/>
        <item m="1" x="33"/>
        <item m="1" x="197"/>
        <item m="1" x="40"/>
        <item m="1" x="203"/>
        <item m="1" x="51"/>
        <item m="1" x="207"/>
        <item m="1" x="55"/>
        <item m="1" x="213"/>
        <item m="1" x="63"/>
        <item m="1" x="226"/>
        <item m="1" x="73"/>
        <item m="1" x="234"/>
        <item m="1" x="84"/>
        <item m="1" x="241"/>
        <item m="1" x="94"/>
        <item m="1" x="253"/>
        <item m="1" x="102"/>
        <item m="1" x="260"/>
        <item m="1" x="112"/>
        <item m="1" x="34"/>
        <item m="1" x="198"/>
        <item m="1" x="41"/>
        <item m="1" x="208"/>
        <item m="1" x="57"/>
        <item m="1" x="215"/>
        <item m="1" x="65"/>
        <item m="1" x="221"/>
        <item m="1" x="74"/>
        <item m="1" x="236"/>
        <item m="1" x="85"/>
        <item m="1" x="242"/>
        <item m="1" x="255"/>
        <item m="1" x="105"/>
        <item m="1" x="262"/>
        <item m="1" x="114"/>
        <item m="1" x="268"/>
        <item m="1" x="48"/>
        <item m="1" x="206"/>
        <item m="1" x="53"/>
        <item m="1" x="217"/>
        <item m="1" x="67"/>
        <item m="1" x="71"/>
        <item m="1" x="86"/>
        <item m="1" x="244"/>
        <item m="1" x="249"/>
        <item m="1" x="98"/>
        <item m="1" x="264"/>
        <item m="1" x="277"/>
        <item m="1" x="129"/>
        <item m="1" x="293"/>
        <item m="1" x="224"/>
        <item m="1" x="229"/>
        <item m="1" x="245"/>
        <item m="1" x="251"/>
        <item m="1" x="257"/>
        <item m="1" x="271"/>
        <item m="1" x="279"/>
        <item m="1" x="79"/>
        <item m="1" x="137"/>
        <item m="1" x="167"/>
        <item m="1" x="233"/>
        <item m="1" x="95"/>
        <item m="1" x="104"/>
        <item m="1" x="261"/>
        <item m="1" x="194"/>
        <item m="1" x="35"/>
        <item m="1" x="199"/>
        <item m="1" x="42"/>
        <item m="1" x="52"/>
        <item m="1" x="210"/>
        <item m="1" x="58"/>
        <item m="1" x="216"/>
        <item m="1" x="66"/>
        <item m="1" x="227"/>
        <item m="1" x="76"/>
        <item m="1" x="97"/>
        <item m="1" x="256"/>
        <item m="1" x="107"/>
        <item m="1" x="263"/>
        <item m="1" x="115"/>
        <item m="1" x="276"/>
        <item m="1" x="120"/>
        <item m="1" x="126"/>
        <item x="0"/>
        <item x="1"/>
        <item x="2"/>
        <item m="1" x="231"/>
        <item m="1" x="80"/>
        <item m="1" x="273"/>
        <item m="1" x="281"/>
        <item m="1" x="294"/>
        <item m="1" x="101"/>
        <item m="1" x="282"/>
        <item m="1" x="266"/>
        <item m="1" x="139"/>
        <item m="1" x="165"/>
        <item m="1" x="163"/>
        <item m="1" x="11"/>
        <item m="1" x="184"/>
        <item m="1" x="174"/>
        <item m="1" x="189"/>
        <item m="1" x="108"/>
        <item m="1" x="122"/>
        <item m="1" x="2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9">
    <i>
      <x v="9"/>
    </i>
    <i>
      <x v="297"/>
    </i>
    <i>
      <x v="298"/>
    </i>
    <i>
      <x v="299"/>
    </i>
    <i>
      <x v="318"/>
    </i>
    <i>
      <x v="319"/>
    </i>
    <i>
      <x v="320"/>
    </i>
    <i>
      <x v="321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96">
      <pivotArea dataOnly="0" labelOnly="1" outline="0" fieldPosition="0"/>
    </format>
    <format dxfId="95">
      <pivotArea field="0" type="button" dataOnly="0" labelOnly="1" outline="0" axis="axisRow" fieldPosition="0"/>
    </format>
    <format dxfId="94">
      <pivotArea dataOnly="0" labelOnly="1" outline="0" fieldPosition="0"/>
    </format>
    <format dxfId="93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3" name="表_4" displayName="表_4" ref="A1:J1048576" totalsRowShown="0" headerRowDxfId="108" dataDxfId="107" headerRowCellStyle="千位分隔" dataCellStyle="千位分隔">
  <autoFilter ref="A1:J1048576"/>
  <tableColumns count="10">
    <tableColumn id="1" name="日期"/>
    <tableColumn id="2" name="资产总额" dataDxfId="106" dataCellStyle="千位分隔"/>
    <tableColumn id="3" name="负债总额" dataDxfId="105" dataCellStyle="千位分隔"/>
    <tableColumn id="4" name="资本结晶" dataDxfId="104" dataCellStyle="千位分隔"/>
    <tableColumn id="5" name="累积盈亏" dataDxfId="103" dataCellStyle="千位分隔"/>
    <tableColumn id="6" name="累积利息" dataDxfId="102" dataCellStyle="千位分隔"/>
    <tableColumn id="7" name="清算盈亏" dataDxfId="101" dataCellStyle="千位分隔"/>
    <tableColumn id="8" name="资产负债率" dataDxfId="100" dataCellStyle="百分比"/>
    <tableColumn id="9" name="负债循环占比" dataDxfId="99" dataCellStyle="百分比"/>
    <tableColumn id="10" name="资本结晶-清算盈亏" dataDxfId="98" dataCellStyle="千位分隔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表3_5" displayName="表3_5" ref="A1:AD77" totalsRowShown="0">
  <autoFilter ref="A1:AD77"/>
  <tableColumns count="30">
    <tableColumn id="1" name="日期" dataDxfId="91"/>
    <tableColumn id="2" name="备注" dataDxfId="90"/>
    <tableColumn id="3" name="方向" dataDxfId="89"/>
    <tableColumn id="4" name="买卖数量" dataDxfId="88"/>
    <tableColumn id="5" name="市价" dataDxfId="87"/>
    <tableColumn id="6" name="证券余额" dataDxfId="86">
      <calculatedColumnFormula>IF(C2="买",F1+D2,F1-D2)</calculatedColumnFormula>
    </tableColumn>
    <tableColumn id="7" name=" 持仓成本价" dataDxfId="85">
      <calculatedColumnFormula>H2/F2</calculatedColumnFormula>
    </tableColumn>
    <tableColumn id="8" name="资金占用" dataDxfId="84">
      <calculatedColumnFormula>IF(C2="买",H1+D2*E2+M2+N2,H1+-1*D2*E2+M2+N2)+O2</calculatedColumnFormula>
    </tableColumn>
    <tableColumn id="9" name="浮动盈亏" dataDxfId="83">
      <calculatedColumnFormula>-H2+K2</calculatedColumnFormula>
    </tableColumn>
    <tableColumn id="10" name="盈亏比例" dataDxfId="82">
      <calculatedColumnFormula>(E2-G2)/G2</calculatedColumnFormula>
    </tableColumn>
    <tableColumn id="11" name="市值" dataDxfId="81">
      <calculatedColumnFormula>F2*E2</calculatedColumnFormula>
    </tableColumn>
    <tableColumn id="12" name="Δ浮动盈亏" dataDxfId="80">
      <calculatedColumnFormula>I2-I1</calculatedColumnFormula>
    </tableColumn>
    <tableColumn id="13" name="佣金" dataDxfId="79">
      <calculatedColumnFormula>IF(D2*E2*5/10000&gt;5,D2*E2*5/10000,5)+(D2/1000)*0.6</calculatedColumnFormula>
    </tableColumn>
    <tableColumn id="14" name="印花税" dataDxfId="78">
      <calculatedColumnFormula>IF(C2="卖",D2*E2/1000,0)</calculatedColumnFormula>
    </tableColumn>
    <tableColumn id="15" name="资金占用修正" dataDxfId="77"/>
    <tableColumn id="16" name="市价-成本" dataDxfId="76">
      <calculatedColumnFormula>E2-G2</calculatedColumnFormula>
    </tableColumn>
    <tableColumn id="17" name="资金变动" dataDxfId="75">
      <calculatedColumnFormula>(H2-H1)*-1</calculatedColumnFormula>
    </tableColumn>
    <tableColumn id="18" name="场外资金修正" dataDxfId="74"/>
    <tableColumn id="19" name="场外资金" dataDxfId="73">
      <calculatedColumnFormula>S1+Q2+O2+R2</calculatedColumnFormula>
    </tableColumn>
    <tableColumn id="20" name="影子证券" dataDxfId="72">
      <calculatedColumnFormula>S2/E2</calculatedColumnFormula>
    </tableColumn>
    <tableColumn id="21" name="虚拟证券总额" dataDxfId="71">
      <calculatedColumnFormula>F2+T2</calculatedColumnFormula>
    </tableColumn>
    <tableColumn id="22" name="投入资金总额" dataDxfId="70">
      <calculatedColumnFormula>H2+S2</calculatedColumnFormula>
    </tableColumn>
    <tableColumn id="23" name="虚拟证券成本价格" dataDxfId="69">
      <calculatedColumnFormula>V2/U2</calculatedColumnFormula>
    </tableColumn>
    <tableColumn id="24" name="虚拟成本-持仓成本" dataDxfId="68">
      <calculatedColumnFormula>W2-G2</calculatedColumnFormula>
    </tableColumn>
    <tableColumn id="25" name="市价-虚拟成本" dataDxfId="67">
      <calculatedColumnFormula>(X2-P2)*-1</calculatedColumnFormula>
    </tableColumn>
    <tableColumn id="26" name="水位" dataDxfId="66">
      <calculatedColumnFormula>F2/U2</calculatedColumnFormula>
    </tableColumn>
    <tableColumn id="27" name="可分配利润" dataDxfId="65">
      <calculatedColumnFormula>SUM(L$2:L77)-SUM(AB$2:AB77)</calculatedColumnFormula>
    </tableColumn>
    <tableColumn id="28" name="提取利润" dataDxfId="64"/>
    <tableColumn id="29" name="零成本持股数" dataDxfId="63">
      <calculatedColumnFormula>I2/E2*(1-0.0005)</calculatedColumnFormula>
    </tableColumn>
    <tableColumn id="30" name="购买量控制线" dataDxfId="62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表3" displayName="表3" ref="A1:AD8" totalsRowShown="0">
  <autoFilter ref="A1:AD8"/>
  <tableColumns count="30">
    <tableColumn id="1" name="日期" dataDxfId="60"/>
    <tableColumn id="2" name="备注" dataDxfId="59"/>
    <tableColumn id="3" name="方向" dataDxfId="58"/>
    <tableColumn id="4" name="买卖数量" dataDxfId="57"/>
    <tableColumn id="5" name="市价" dataDxfId="56"/>
    <tableColumn id="6" name="证券余额" dataDxfId="55">
      <calculatedColumnFormula>IF(C2="买",F1+D2,F1-D2)</calculatedColumnFormula>
    </tableColumn>
    <tableColumn id="7" name=" 持仓成本价" dataDxfId="54">
      <calculatedColumnFormula>H2/F2</calculatedColumnFormula>
    </tableColumn>
    <tableColumn id="8" name="资金占用" dataDxfId="53">
      <calculatedColumnFormula>IF(C2="买",H1+D2*E2+M2+N2,H1+-1*D2*E2+M2+N2)+O2</calculatedColumnFormula>
    </tableColumn>
    <tableColumn id="9" name="浮动盈亏" dataDxfId="52">
      <calculatedColumnFormula>-H2+K2</calculatedColumnFormula>
    </tableColumn>
    <tableColumn id="10" name="盈亏比例" dataDxfId="51">
      <calculatedColumnFormula>(E2-G2)/G2</calculatedColumnFormula>
    </tableColumn>
    <tableColumn id="11" name="市值" dataDxfId="50">
      <calculatedColumnFormula>F2*E2</calculatedColumnFormula>
    </tableColumn>
    <tableColumn id="12" name="Δ浮动盈亏" dataDxfId="49">
      <calculatedColumnFormula>I2-I1</calculatedColumnFormula>
    </tableColumn>
    <tableColumn id="13" name="佣金" dataDxfId="48">
      <calculatedColumnFormula>IF(D2*E2*5/10000&gt;5,D2*E2*5/10000,5)+(D2/1000)*0.6</calculatedColumnFormula>
    </tableColumn>
    <tableColumn id="14" name="印花税" dataDxfId="47">
      <calculatedColumnFormula>IF(C2="卖",D2*E2/1000,0)</calculatedColumnFormula>
    </tableColumn>
    <tableColumn id="15" name="资金占用修正" dataDxfId="46"/>
    <tableColumn id="16" name="市价-成本" dataDxfId="45">
      <calculatedColumnFormula>E2-G2</calculatedColumnFormula>
    </tableColumn>
    <tableColumn id="17" name="资金变动" dataDxfId="44">
      <calculatedColumnFormula>(H2-H1)*-1</calculatedColumnFormula>
    </tableColumn>
    <tableColumn id="18" name="场外资金修正" dataDxfId="43"/>
    <tableColumn id="19" name="场外资金" dataDxfId="42">
      <calculatedColumnFormula>S1+Q2+O2+R2</calculatedColumnFormula>
    </tableColumn>
    <tableColumn id="20" name="影子证券" dataDxfId="41">
      <calculatedColumnFormula>S2/E2</calculatedColumnFormula>
    </tableColumn>
    <tableColumn id="21" name="虚拟证券总额" dataDxfId="40">
      <calculatedColumnFormula>F2+T2</calculatedColumnFormula>
    </tableColumn>
    <tableColumn id="22" name="投入资金总额" dataDxfId="39">
      <calculatedColumnFormula>H2+S2</calculatedColumnFormula>
    </tableColumn>
    <tableColumn id="23" name="虚拟证券成本价格" dataDxfId="38">
      <calculatedColumnFormula>V2/U2</calculatedColumnFormula>
    </tableColumn>
    <tableColumn id="24" name="虚拟成本-持仓成本" dataDxfId="37">
      <calculatedColumnFormula>W2-G2</calculatedColumnFormula>
    </tableColumn>
    <tableColumn id="25" name="市价-虚拟成本" dataDxfId="36">
      <calculatedColumnFormula>(X2-P2)*-1</calculatedColumnFormula>
    </tableColumn>
    <tableColumn id="26" name="水位" dataDxfId="35">
      <calculatedColumnFormula>F2/U2</calculatedColumnFormula>
    </tableColumn>
    <tableColumn id="27" name="可分配利润" dataDxfId="34">
      <calculatedColumnFormula>SUM(L$2:L8)-SUM(AB$2:AB8)</calculatedColumnFormula>
    </tableColumn>
    <tableColumn id="28" name="提取利润" dataDxfId="33"/>
    <tableColumn id="29" name="零成本持股数" dataDxfId="32">
      <calculatedColumnFormula>I2/E2*(1-0.0005)</calculatedColumnFormula>
    </tableColumn>
    <tableColumn id="30" name="购买量控制线" dataDxfId="31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" name="表3_3" displayName="表3_3" ref="A1:AD15" totalsRowShown="0">
  <autoFilter ref="A1:AD15"/>
  <tableColumns count="30">
    <tableColumn id="1" name="日期" dataDxfId="29"/>
    <tableColumn id="2" name="备注" dataDxfId="28"/>
    <tableColumn id="3" name="方向" dataDxfId="27"/>
    <tableColumn id="4" name="买卖数量" dataDxfId="26"/>
    <tableColumn id="5" name="市价" dataDxfId="25"/>
    <tableColumn id="6" name="证券余额" dataDxfId="24">
      <calculatedColumnFormula>IF(C2="买",F1+D2,F1-D2)</calculatedColumnFormula>
    </tableColumn>
    <tableColumn id="7" name=" 持仓成本价" dataDxfId="23">
      <calculatedColumnFormula>H2/F2</calculatedColumnFormula>
    </tableColumn>
    <tableColumn id="8" name="资金占用" dataDxfId="22">
      <calculatedColumnFormula>IF(C2="买",H1+D2*E2+M2+N2,H1+-1*D2*E2+M2+N2)+O2</calculatedColumnFormula>
    </tableColumn>
    <tableColumn id="9" name="浮动盈亏" dataDxfId="21">
      <calculatedColumnFormula>-H2+K2</calculatedColumnFormula>
    </tableColumn>
    <tableColumn id="10" name="盈亏比例" dataDxfId="20">
      <calculatedColumnFormula>(E2-G2)/G2</calculatedColumnFormula>
    </tableColumn>
    <tableColumn id="11" name="市值" dataDxfId="19">
      <calculatedColumnFormula>F2*E2</calculatedColumnFormula>
    </tableColumn>
    <tableColumn id="12" name="Δ浮动盈亏" dataDxfId="18">
      <calculatedColumnFormula>I2-I1</calculatedColumnFormula>
    </tableColumn>
    <tableColumn id="13" name="佣金" dataDxfId="17">
      <calculatedColumnFormula>IF(D2*E2*5/10000&gt;5,D2*E2*5/10000,5)+(D2/1000)*0.6</calculatedColumnFormula>
    </tableColumn>
    <tableColumn id="14" name="印花税" dataDxfId="16">
      <calculatedColumnFormula>IF(C2="卖",D2*E2/1000,0)</calculatedColumnFormula>
    </tableColumn>
    <tableColumn id="15" name="资金占用修正" dataDxfId="15"/>
    <tableColumn id="16" name="市价-成本" dataDxfId="14">
      <calculatedColumnFormula>E2-G2</calculatedColumnFormula>
    </tableColumn>
    <tableColumn id="17" name="资金变动" dataDxfId="13">
      <calculatedColumnFormula>(H2-H1)*-1</calculatedColumnFormula>
    </tableColumn>
    <tableColumn id="18" name="场外资金修正" dataDxfId="12"/>
    <tableColumn id="19" name="场外资金" dataDxfId="11">
      <calculatedColumnFormula>S1+Q2+O2+R2</calculatedColumnFormula>
    </tableColumn>
    <tableColumn id="20" name="影子证券" dataDxfId="10">
      <calculatedColumnFormula>S2/E2</calculatedColumnFormula>
    </tableColumn>
    <tableColumn id="21" name="虚拟证券总额" dataDxfId="9">
      <calculatedColumnFormula>F2+T2</calculatedColumnFormula>
    </tableColumn>
    <tableColumn id="22" name="投入资金总额" dataDxfId="8">
      <calculatedColumnFormula>H2+S2</calculatedColumnFormula>
    </tableColumn>
    <tableColumn id="23" name="虚拟证券成本价格" dataDxfId="7">
      <calculatedColumnFormula>V2/U2</calculatedColumnFormula>
    </tableColumn>
    <tableColumn id="24" name="虚拟成本-持仓成本" dataDxfId="6">
      <calculatedColumnFormula>W2-G2</calculatedColumnFormula>
    </tableColumn>
    <tableColumn id="25" name="市价-虚拟成本" dataDxfId="5">
      <calculatedColumnFormula>(X2-P2)*-1</calculatedColumnFormula>
    </tableColumn>
    <tableColumn id="26" name="水位" dataDxfId="4">
      <calculatedColumnFormula>F2/U2</calculatedColumnFormula>
    </tableColumn>
    <tableColumn id="27" name="可分配利润" dataDxfId="3">
      <calculatedColumnFormula>SUM(L$2:L15)-SUM(AB$2:AB15)</calculatedColumnFormula>
    </tableColumn>
    <tableColumn id="28" name="提取利润" dataDxfId="2"/>
    <tableColumn id="29" name="零成本持股数" dataDxfId="1">
      <calculatedColumnFormula>I2/E2*(1-0.0005)</calculatedColumnFormula>
    </tableColumn>
    <tableColumn id="30" name="购买量控制线" dataDxfId="0">
      <calculatedColumnFormula>AC2-F2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F0"/>
  </sheetPr>
  <dimension ref="A1:Z13"/>
  <sheetViews>
    <sheetView tabSelected="1" workbookViewId="0">
      <selection activeCell="I13" sqref="I13"/>
    </sheetView>
  </sheetViews>
  <sheetFormatPr defaultRowHeight="14.4" x14ac:dyDescent="0.25"/>
  <cols>
    <col min="1" max="1" width="11.6640625" bestFit="1" customWidth="1"/>
    <col min="2" max="2" width="13.88671875" bestFit="1" customWidth="1"/>
    <col min="3" max="3" width="11.6640625" bestFit="1" customWidth="1"/>
    <col min="4" max="4" width="7.5546875" bestFit="1" customWidth="1"/>
    <col min="5" max="5" width="13.88671875" bestFit="1" customWidth="1"/>
    <col min="6" max="6" width="11.6640625" bestFit="1" customWidth="1"/>
    <col min="7" max="7" width="10.5546875" bestFit="1" customWidth="1"/>
    <col min="8" max="8" width="17.6640625" customWidth="1"/>
    <col min="9" max="9" width="12.33203125" style="150" customWidth="1"/>
    <col min="10" max="10" width="11.6640625" bestFit="1" customWidth="1"/>
    <col min="11" max="11" width="19.33203125" bestFit="1" customWidth="1"/>
    <col min="16" max="16" width="5.77734375" bestFit="1" customWidth="1"/>
    <col min="17" max="17" width="11.6640625" bestFit="1" customWidth="1"/>
    <col min="18" max="20" width="7.88671875" bestFit="1" customWidth="1"/>
    <col min="21" max="21" width="15.33203125" bestFit="1" customWidth="1"/>
    <col min="22" max="22" width="9.77734375" customWidth="1"/>
    <col min="23" max="23" width="9" customWidth="1"/>
    <col min="24" max="24" width="10" customWidth="1"/>
  </cols>
  <sheetData>
    <row r="1" spans="1:26" ht="28.8" x14ac:dyDescent="0.25">
      <c r="A1" s="62" t="s">
        <v>303</v>
      </c>
      <c r="B1" s="62" t="s">
        <v>304</v>
      </c>
      <c r="C1" s="62" t="s">
        <v>305</v>
      </c>
      <c r="D1" s="62" t="s">
        <v>306</v>
      </c>
      <c r="E1" s="62" t="s">
        <v>307</v>
      </c>
      <c r="F1" s="174" t="s">
        <v>308</v>
      </c>
      <c r="G1" s="62" t="s">
        <v>309</v>
      </c>
      <c r="H1" s="62" t="s">
        <v>310</v>
      </c>
      <c r="I1" s="63" t="s">
        <v>311</v>
      </c>
      <c r="J1" s="62" t="s">
        <v>312</v>
      </c>
      <c r="K1" s="62" t="s">
        <v>313</v>
      </c>
    </row>
    <row r="2" spans="1:26" x14ac:dyDescent="0.25">
      <c r="A2" s="18">
        <v>44029</v>
      </c>
      <c r="B2" s="175">
        <v>69849</v>
      </c>
      <c r="C2" s="175">
        <v>0</v>
      </c>
      <c r="D2" s="14">
        <v>5.26</v>
      </c>
      <c r="E2" s="176">
        <v>13841</v>
      </c>
      <c r="F2" s="177">
        <f>SUM(B2:D2)-E2</f>
        <v>56013.259999999995</v>
      </c>
      <c r="G2" s="176">
        <f>SUMIF(逐日资产统计!$A:$A,账户总览!$A2,逐日资产统计!$I:$I)</f>
        <v>49091.48</v>
      </c>
      <c r="H2" s="178">
        <f>G2-F2</f>
        <v>-6921.7799999999916</v>
      </c>
      <c r="I2" s="180">
        <f>SUMIF(逐日资产统计!$A:$A,账户总览!$A2,逐日资产统计!$G:$G)</f>
        <v>-8349.59</v>
      </c>
    </row>
    <row r="3" spans="1:26" x14ac:dyDescent="0.25">
      <c r="A3" s="18">
        <v>44040</v>
      </c>
      <c r="B3" s="175">
        <v>69849</v>
      </c>
      <c r="C3" s="175">
        <v>0</v>
      </c>
      <c r="D3" s="14">
        <v>5.26</v>
      </c>
      <c r="E3" s="176">
        <v>13841</v>
      </c>
      <c r="F3" s="177">
        <f>SUM(B3:D3)-E3</f>
        <v>56013.259999999995</v>
      </c>
      <c r="G3" s="176">
        <f>SUMIF(逐日资产统计!$A:$A,账户总览!$A3,逐日资产统计!$I:$I)</f>
        <v>49885.26</v>
      </c>
      <c r="H3" s="178">
        <f>G3-F3</f>
        <v>-6127.9999999999927</v>
      </c>
      <c r="I3" s="180">
        <f>SUMIF(逐日资产统计!$A:$A,账户总览!$A3,逐日资产统计!$G:$G)</f>
        <v>-7550.1</v>
      </c>
      <c r="J3" s="179">
        <f>I3-I2</f>
        <v>799.48999999999978</v>
      </c>
      <c r="K3" s="83"/>
      <c r="P3" s="53"/>
      <c r="Q3" s="53"/>
      <c r="R3" s="53"/>
      <c r="S3" s="62"/>
      <c r="T3" s="53"/>
      <c r="U3" s="53"/>
      <c r="V3" s="53"/>
      <c r="W3" s="62"/>
      <c r="X3" s="62"/>
      <c r="Y3" s="53"/>
      <c r="Z3" s="53"/>
    </row>
    <row r="4" spans="1:26" x14ac:dyDescent="0.25">
      <c r="A4" s="18">
        <v>44042</v>
      </c>
      <c r="B4" s="175">
        <v>69849</v>
      </c>
      <c r="C4" s="175">
        <v>0</v>
      </c>
      <c r="D4" s="14">
        <v>5.26</v>
      </c>
      <c r="E4" s="176">
        <v>18541.73</v>
      </c>
      <c r="F4" s="177">
        <f>SUM(B4:D4)-E4</f>
        <v>51312.53</v>
      </c>
      <c r="G4" s="176">
        <f>SUMIF(逐日资产统计!$A:$A,账户总览!$A4,逐日资产统计!$I:$I)</f>
        <v>45108.2</v>
      </c>
      <c r="H4" s="178">
        <f>G4-F4</f>
        <v>-6204.3300000000017</v>
      </c>
      <c r="I4" s="180">
        <f>SUMIF(逐日资产统计!$A:$A,账户总览!$A4,逐日资产统计!$G:$G)</f>
        <v>-7627.19</v>
      </c>
      <c r="J4" s="179">
        <f>I4-I3</f>
        <v>-77.089999999999236</v>
      </c>
      <c r="K4" s="83" t="s">
        <v>324</v>
      </c>
      <c r="P4" s="53"/>
      <c r="Q4" s="65"/>
      <c r="R4" s="14"/>
      <c r="S4" s="14"/>
      <c r="T4" s="14"/>
      <c r="U4" s="79"/>
      <c r="V4" s="17"/>
      <c r="W4" s="14"/>
      <c r="Y4" s="17"/>
    </row>
    <row r="5" spans="1:26" x14ac:dyDescent="0.25">
      <c r="A5" s="65">
        <v>44046</v>
      </c>
      <c r="B5" s="175">
        <v>69849</v>
      </c>
      <c r="C5" s="175">
        <v>0</v>
      </c>
      <c r="D5" s="14">
        <v>5.26</v>
      </c>
      <c r="E5" s="176">
        <v>18541.73</v>
      </c>
      <c r="F5" s="177">
        <f t="shared" ref="F5:F6" si="0">SUM(B5:D5)-E5</f>
        <v>51312.53</v>
      </c>
      <c r="G5" s="176">
        <f>SUMIF(逐日资产统计!$A:$A,账户总览!$A5,逐日资产统计!$I:$I)</f>
        <v>45272.58</v>
      </c>
      <c r="H5" s="178">
        <f t="shared" ref="H5:H6" si="1">G5-F5</f>
        <v>-6039.9499999999971</v>
      </c>
      <c r="I5" s="180">
        <f>SUMIF(逐日资产统计!$A:$A,账户总览!$A5,逐日资产统计!$G:$G)</f>
        <v>-7463.19</v>
      </c>
      <c r="J5" s="179">
        <f t="shared" ref="J5:J6" si="2">I5-I4</f>
        <v>164</v>
      </c>
      <c r="P5" s="53"/>
      <c r="Q5" s="65"/>
      <c r="R5" s="14"/>
      <c r="S5" s="14"/>
      <c r="T5" s="14"/>
      <c r="U5" s="79"/>
      <c r="V5" s="17"/>
      <c r="W5" s="14"/>
      <c r="X5" s="14"/>
      <c r="Y5" s="17"/>
    </row>
    <row r="6" spans="1:26" x14ac:dyDescent="0.25">
      <c r="A6" s="65">
        <v>44095</v>
      </c>
      <c r="B6" s="175">
        <v>69849</v>
      </c>
      <c r="C6" s="175">
        <v>0</v>
      </c>
      <c r="D6" s="14">
        <v>5.8</v>
      </c>
      <c r="E6" s="176">
        <v>20089.73</v>
      </c>
      <c r="F6" s="177">
        <f t="shared" si="0"/>
        <v>49765.070000000007</v>
      </c>
      <c r="G6" s="176">
        <f>SUMIF(逐日资产统计!$A:$A,账户总览!$A6,逐日资产统计!$I:$I)</f>
        <v>42772.72</v>
      </c>
      <c r="H6" s="178">
        <f t="shared" si="1"/>
        <v>-6992.3500000000058</v>
      </c>
      <c r="I6" s="180">
        <f>SUMIF(逐日资产统计!$A:$A,账户总览!$A6,逐日资产统计!$G:$G)</f>
        <v>-8602.34</v>
      </c>
      <c r="J6" s="179">
        <f t="shared" si="2"/>
        <v>-1139.1500000000005</v>
      </c>
      <c r="P6" s="53"/>
      <c r="Q6" s="65"/>
      <c r="R6" s="14"/>
      <c r="S6" s="14"/>
      <c r="T6" s="14"/>
      <c r="U6" s="79"/>
      <c r="V6" s="17"/>
      <c r="W6" s="14"/>
      <c r="X6" s="14"/>
      <c r="Y6" s="17"/>
    </row>
    <row r="7" spans="1:26" x14ac:dyDescent="0.25">
      <c r="A7" s="18">
        <v>44118</v>
      </c>
      <c r="B7" s="175">
        <v>69849</v>
      </c>
      <c r="C7" s="175">
        <v>0</v>
      </c>
      <c r="D7" s="14">
        <v>5.8</v>
      </c>
      <c r="E7" s="176">
        <v>20089.73</v>
      </c>
      <c r="F7" s="177">
        <f t="shared" ref="F7" si="3">SUM(B7:D7)-E7</f>
        <v>49765.070000000007</v>
      </c>
      <c r="G7" s="176">
        <f>SUMIF(逐日资产统计!$A:$A,账户总览!$A7,逐日资产统计!$I:$I)</f>
        <v>42429.65</v>
      </c>
      <c r="H7" s="178">
        <f t="shared" ref="H7" si="4">G7-F7</f>
        <v>-7335.4200000000055</v>
      </c>
      <c r="I7" s="180">
        <f>SUMIF(逐日资产统计!$A:$A,账户总览!$A7,逐日资产统计!$G:$G)</f>
        <v>-9954.41</v>
      </c>
      <c r="J7" s="179">
        <f t="shared" ref="J7" si="5">I7-I6</f>
        <v>-1352.0699999999997</v>
      </c>
      <c r="P7" s="53"/>
      <c r="Q7" s="65"/>
      <c r="R7" s="14"/>
      <c r="S7" s="14"/>
      <c r="T7" s="14"/>
      <c r="U7" s="79"/>
      <c r="V7" s="17"/>
      <c r="W7" s="14"/>
      <c r="X7" s="14"/>
      <c r="Y7" s="17"/>
    </row>
    <row r="8" spans="1:26" x14ac:dyDescent="0.25">
      <c r="A8" s="18">
        <v>44185</v>
      </c>
      <c r="B8" s="175">
        <v>78858</v>
      </c>
      <c r="C8" s="175">
        <v>0</v>
      </c>
      <c r="D8" s="14">
        <v>6.13</v>
      </c>
      <c r="E8" s="176">
        <v>20599.73</v>
      </c>
      <c r="F8" s="177">
        <f t="shared" ref="F8:F9" si="6">SUM(B8:D8)-E8</f>
        <v>58264.400000000009</v>
      </c>
      <c r="G8" s="176">
        <f>SUMIF(逐日资产统计!$A:$A,账户总览!$A8,逐日资产统计!$I:$I)</f>
        <v>51464.55</v>
      </c>
      <c r="H8" s="178">
        <f t="shared" ref="H8:H9" si="7">G8-F8</f>
        <v>-6799.8500000000058</v>
      </c>
      <c r="I8" s="180">
        <f>SUMIF(逐日资产统计!$A:$A,账户总览!$A8,逐日资产统计!$G:$G)</f>
        <v>-8626.48</v>
      </c>
      <c r="J8" s="179">
        <f t="shared" ref="J8:J9" si="8">I8-I7</f>
        <v>1327.9300000000003</v>
      </c>
      <c r="P8" s="53"/>
      <c r="Q8" s="65"/>
      <c r="R8" s="14"/>
      <c r="S8" s="14"/>
      <c r="T8" s="14"/>
      <c r="U8" s="79"/>
      <c r="V8" s="17"/>
      <c r="W8" s="14"/>
    </row>
    <row r="9" spans="1:26" x14ac:dyDescent="0.25">
      <c r="B9" s="175"/>
      <c r="C9" s="175"/>
      <c r="D9" s="14"/>
      <c r="E9" s="176"/>
      <c r="F9" s="177"/>
      <c r="G9" s="176"/>
      <c r="H9" s="178"/>
      <c r="I9" s="180"/>
      <c r="J9" s="179"/>
      <c r="P9" s="53"/>
      <c r="Q9" s="65"/>
      <c r="R9" s="14"/>
      <c r="S9" s="14"/>
      <c r="T9" s="14"/>
      <c r="U9" s="79"/>
      <c r="V9" s="17"/>
    </row>
    <row r="10" spans="1:26" x14ac:dyDescent="0.25">
      <c r="P10" s="53"/>
      <c r="Q10" s="65"/>
      <c r="R10" s="14"/>
      <c r="S10" s="14"/>
      <c r="T10" s="14"/>
      <c r="U10" s="79"/>
      <c r="V10" s="17"/>
      <c r="W10" s="14"/>
    </row>
    <row r="11" spans="1:26" x14ac:dyDescent="0.25">
      <c r="P11" s="53"/>
      <c r="Q11" s="65"/>
      <c r="R11" s="14"/>
      <c r="S11" s="14"/>
      <c r="T11" s="14"/>
      <c r="U11" s="79"/>
      <c r="V11" s="81"/>
    </row>
    <row r="12" spans="1:26" x14ac:dyDescent="0.25">
      <c r="P12" s="53"/>
      <c r="Q12" s="65"/>
      <c r="R12" s="14"/>
      <c r="S12" s="14"/>
      <c r="T12" s="14"/>
      <c r="U12" s="79"/>
      <c r="V12" s="81"/>
    </row>
    <row r="13" spans="1:26" x14ac:dyDescent="0.25">
      <c r="P13" s="53"/>
      <c r="Q13" s="53"/>
      <c r="R13" s="53"/>
      <c r="S13" s="53"/>
      <c r="T13" s="53"/>
      <c r="U13" s="80"/>
      <c r="V13" s="8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J15"/>
  <sheetViews>
    <sheetView workbookViewId="0">
      <selection activeCell="B12" sqref="B12"/>
    </sheetView>
  </sheetViews>
  <sheetFormatPr defaultRowHeight="14.4" x14ac:dyDescent="0.25"/>
  <cols>
    <col min="1" max="1" width="12.88671875" customWidth="1"/>
    <col min="2" max="2" width="13.88671875" style="54" bestFit="1" customWidth="1"/>
    <col min="3" max="3" width="13.5546875" style="54" customWidth="1"/>
    <col min="4" max="5" width="13.88671875" style="54" bestFit="1" customWidth="1"/>
    <col min="6" max="6" width="11.33203125" style="54" customWidth="1"/>
    <col min="7" max="7" width="13.88671875" style="54" bestFit="1" customWidth="1"/>
    <col min="8" max="8" width="13.44140625" style="17" customWidth="1"/>
    <col min="9" max="9" width="14.5546875" style="17" customWidth="1"/>
    <col min="10" max="10" width="14.6640625" style="54" customWidth="1"/>
  </cols>
  <sheetData>
    <row r="1" spans="1:10" s="62" customFormat="1" ht="28.8" x14ac:dyDescent="0.25">
      <c r="A1" s="62" t="s">
        <v>86</v>
      </c>
      <c r="B1" s="122" t="s">
        <v>87</v>
      </c>
      <c r="C1" s="122" t="s">
        <v>88</v>
      </c>
      <c r="D1" s="122" t="s">
        <v>101</v>
      </c>
      <c r="E1" s="122" t="s">
        <v>89</v>
      </c>
      <c r="F1" s="122" t="s">
        <v>90</v>
      </c>
      <c r="G1" s="122" t="s">
        <v>112</v>
      </c>
      <c r="H1" s="70" t="s">
        <v>91</v>
      </c>
      <c r="I1" s="70" t="s">
        <v>92</v>
      </c>
      <c r="J1" s="122" t="s">
        <v>126</v>
      </c>
    </row>
    <row r="2" spans="1:10" x14ac:dyDescent="0.25">
      <c r="A2" s="18">
        <v>43643</v>
      </c>
      <c r="B2" s="54">
        <v>0</v>
      </c>
      <c r="C2" s="54">
        <v>43895</v>
      </c>
      <c r="D2" s="54">
        <v>-43895</v>
      </c>
      <c r="E2" s="54">
        <v>0</v>
      </c>
      <c r="F2" s="54">
        <v>131</v>
      </c>
      <c r="G2" s="54">
        <v>-131</v>
      </c>
      <c r="H2" s="17">
        <v>0</v>
      </c>
      <c r="I2" s="17">
        <v>5.9009721029813E-2</v>
      </c>
      <c r="J2" s="54">
        <f>D2+表_4[[#This Row],[清算盈亏]]</f>
        <v>-44026</v>
      </c>
    </row>
    <row r="3" spans="1:10" x14ac:dyDescent="0.25">
      <c r="A3" s="18">
        <v>43644</v>
      </c>
      <c r="B3" s="54">
        <v>894.98</v>
      </c>
      <c r="C3" s="54">
        <v>43895</v>
      </c>
      <c r="D3" s="54">
        <v>-43000.02</v>
      </c>
      <c r="E3" s="54">
        <v>-6.02</v>
      </c>
      <c r="F3" s="54">
        <v>131</v>
      </c>
      <c r="G3" s="54">
        <v>-137.02000000000001</v>
      </c>
      <c r="H3" s="17">
        <v>2.0389110377036109E-2</v>
      </c>
      <c r="I3" s="17">
        <v>5.9009721029813E-2</v>
      </c>
      <c r="J3" s="54">
        <f>D3+表_4[[#This Row],[清算盈亏]]</f>
        <v>-43137.039999999994</v>
      </c>
    </row>
    <row r="4" spans="1:10" x14ac:dyDescent="0.25">
      <c r="A4" s="18">
        <v>43647</v>
      </c>
      <c r="B4" s="54">
        <v>907.98</v>
      </c>
      <c r="C4" s="54">
        <v>43895</v>
      </c>
      <c r="D4" s="54">
        <v>-42987.02</v>
      </c>
      <c r="E4" s="54">
        <v>6.98</v>
      </c>
      <c r="F4" s="54">
        <v>131</v>
      </c>
      <c r="G4" s="54">
        <v>-124.02</v>
      </c>
      <c r="H4" s="17">
        <v>2.0685271671033147E-2</v>
      </c>
      <c r="I4" s="17">
        <v>5.9009721029813E-2</v>
      </c>
      <c r="J4" s="54">
        <f>D4+表_4[[#This Row],[清算盈亏]]</f>
        <v>-43111.039999999994</v>
      </c>
    </row>
    <row r="5" spans="1:10" x14ac:dyDescent="0.25">
      <c r="A5" s="18">
        <v>43648</v>
      </c>
      <c r="B5" s="54">
        <v>915.98</v>
      </c>
      <c r="C5" s="54">
        <v>43895</v>
      </c>
      <c r="D5" s="54">
        <v>-42979.02</v>
      </c>
      <c r="E5" s="54">
        <v>14.98</v>
      </c>
      <c r="F5" s="54">
        <v>131</v>
      </c>
      <c r="G5" s="54">
        <v>-116.02</v>
      </c>
      <c r="H5" s="17">
        <v>2.0867524775031326E-2</v>
      </c>
      <c r="I5" s="17">
        <v>5.9009721029813E-2</v>
      </c>
      <c r="J5" s="54">
        <f>D5+表_4[[#This Row],[清算盈亏]]</f>
        <v>-43095.039999999994</v>
      </c>
    </row>
    <row r="6" spans="1:10" x14ac:dyDescent="0.25">
      <c r="A6" s="18">
        <v>43649</v>
      </c>
      <c r="B6" s="54">
        <v>920.1</v>
      </c>
      <c r="C6" s="54">
        <v>43895</v>
      </c>
      <c r="D6" s="54">
        <v>-42974.9</v>
      </c>
      <c r="E6" s="54">
        <v>19.100000000000001</v>
      </c>
      <c r="F6" s="54">
        <v>131</v>
      </c>
      <c r="G6" s="54">
        <v>-111.9</v>
      </c>
      <c r="H6" s="17">
        <v>2.0961385123590387E-2</v>
      </c>
      <c r="I6" s="17">
        <v>5.9009721029813E-2</v>
      </c>
      <c r="J6" s="54">
        <f>D6+表_4[[#This Row],[清算盈亏]]</f>
        <v>-43086.8</v>
      </c>
    </row>
    <row r="7" spans="1:10" x14ac:dyDescent="0.25">
      <c r="A7" s="18">
        <v>43650</v>
      </c>
      <c r="B7" s="54">
        <v>1771.07</v>
      </c>
      <c r="C7" s="54">
        <v>43895</v>
      </c>
      <c r="D7" s="54">
        <v>-42123.93</v>
      </c>
      <c r="E7" s="54">
        <v>0.97</v>
      </c>
      <c r="F7" s="54">
        <v>131</v>
      </c>
      <c r="G7" s="54">
        <v>-110.93</v>
      </c>
      <c r="H7" s="17">
        <v>4.0347875612256522E-2</v>
      </c>
      <c r="I7" s="17">
        <v>5.9009721029813E-2</v>
      </c>
      <c r="J7" s="54">
        <f>D7+表_4[[#This Row],[清算盈亏]]</f>
        <v>-42234.86</v>
      </c>
    </row>
    <row r="8" spans="1:10" x14ac:dyDescent="0.25">
      <c r="A8" s="18">
        <v>43661</v>
      </c>
      <c r="B8" s="54">
        <v>14217.86</v>
      </c>
      <c r="C8" s="54">
        <v>63813</v>
      </c>
      <c r="D8" s="54">
        <v>-49595.14</v>
      </c>
      <c r="E8" s="54">
        <v>-211.24</v>
      </c>
      <c r="F8" s="54">
        <v>213</v>
      </c>
      <c r="G8" s="54">
        <v>-424.24</v>
      </c>
      <c r="H8" s="17">
        <v>0.22280507106702396</v>
      </c>
      <c r="I8" s="17">
        <v>8.9057637805086576E-2</v>
      </c>
      <c r="J8" s="54">
        <f>D8+表_4[[#This Row],[清算盈亏]]</f>
        <v>-50019.38</v>
      </c>
    </row>
    <row r="9" spans="1:10" x14ac:dyDescent="0.25">
      <c r="A9" s="18">
        <v>43663</v>
      </c>
      <c r="B9" s="54">
        <v>38351.410000000003</v>
      </c>
      <c r="C9" s="54">
        <v>55447.64</v>
      </c>
      <c r="D9" s="54">
        <v>-17096.229999999996</v>
      </c>
      <c r="E9" s="54">
        <v>-279.24</v>
      </c>
      <c r="F9" s="54">
        <v>257.43</v>
      </c>
      <c r="G9" s="54">
        <v>-536.67000000000007</v>
      </c>
      <c r="H9" s="17">
        <v>0.69166893306910815</v>
      </c>
      <c r="I9" s="17">
        <v>7.5916403733033488E-2</v>
      </c>
      <c r="J9" s="54">
        <f>D9+表_4[[#This Row],[清算盈亏]]</f>
        <v>-17632.899999999994</v>
      </c>
    </row>
    <row r="10" spans="1:10" x14ac:dyDescent="0.25">
      <c r="A10" s="18">
        <v>43669</v>
      </c>
      <c r="B10" s="54">
        <v>38091.35</v>
      </c>
      <c r="C10" s="54">
        <v>55447.64</v>
      </c>
      <c r="D10" s="54">
        <v>-17356.29</v>
      </c>
      <c r="E10" s="54">
        <v>-539.29999999999995</v>
      </c>
      <c r="F10" s="54">
        <v>257.43</v>
      </c>
      <c r="G10" s="54">
        <v>-796.73</v>
      </c>
      <c r="H10" s="17">
        <v>0.68697874246766855</v>
      </c>
      <c r="I10" s="17">
        <v>7.5916403733033488E-2</v>
      </c>
      <c r="J10" s="54">
        <f>D10+表_4[[#This Row],[清算盈亏]]</f>
        <v>-18153.02</v>
      </c>
    </row>
    <row r="11" spans="1:10" x14ac:dyDescent="0.25">
      <c r="A11" s="18">
        <v>43683</v>
      </c>
      <c r="B11" s="54">
        <v>19311.010000000002</v>
      </c>
      <c r="C11" s="54">
        <v>55447.64</v>
      </c>
      <c r="D11" s="54">
        <v>-36136.629999999997</v>
      </c>
      <c r="E11" s="54">
        <v>-1118.0899999999999</v>
      </c>
      <c r="F11" s="54">
        <v>257.43</v>
      </c>
      <c r="G11" s="54">
        <v>-1375.52</v>
      </c>
      <c r="H11" s="17">
        <v>0.34827469663271515</v>
      </c>
      <c r="I11" s="17">
        <v>7.5916403733033488E-2</v>
      </c>
      <c r="J11" s="54">
        <v>-34761.11</v>
      </c>
    </row>
    <row r="12" spans="1:10" x14ac:dyDescent="0.25">
      <c r="A12" s="18">
        <v>43690</v>
      </c>
      <c r="B12" s="54">
        <v>21176.94</v>
      </c>
      <c r="C12" s="54">
        <v>36593.979999999996</v>
      </c>
      <c r="D12" s="54">
        <v>-15417.039999999997</v>
      </c>
      <c r="E12" s="54">
        <v>-1189.1500000000001</v>
      </c>
      <c r="F12" s="54">
        <v>257.43</v>
      </c>
      <c r="G12" s="54">
        <v>-1446.5800000000002</v>
      </c>
      <c r="H12" s="17">
        <v>0.57870010313171727</v>
      </c>
      <c r="I12" s="17">
        <v>4.9377785454632832E-2</v>
      </c>
      <c r="J12" s="54">
        <v>-13970.459999999997</v>
      </c>
    </row>
    <row r="13" spans="1:10" x14ac:dyDescent="0.25">
      <c r="A13" s="18">
        <v>43713</v>
      </c>
      <c r="B13" s="54">
        <v>24026.81</v>
      </c>
      <c r="C13" s="54">
        <v>63633.64</v>
      </c>
      <c r="D13" s="54">
        <v>-39606.83</v>
      </c>
      <c r="E13" s="54">
        <v>-839.28</v>
      </c>
      <c r="F13" s="54">
        <v>520.86</v>
      </c>
      <c r="G13" s="54">
        <v>-1360.1399999999999</v>
      </c>
      <c r="H13" s="17">
        <v>0.37758031758044963</v>
      </c>
      <c r="I13" s="17">
        <v>8.5635829241023573E-2</v>
      </c>
      <c r="J13" s="54">
        <v>-38246.69</v>
      </c>
    </row>
    <row r="14" spans="1:10" x14ac:dyDescent="0.25">
      <c r="A14" s="18">
        <v>43724</v>
      </c>
      <c r="B14" s="54">
        <v>24868.739999999998</v>
      </c>
      <c r="C14" s="54">
        <v>63633.64</v>
      </c>
      <c r="D14" s="54">
        <v>-38764.9</v>
      </c>
      <c r="E14" s="54">
        <v>-0.63</v>
      </c>
      <c r="F14" s="54">
        <v>520.86</v>
      </c>
      <c r="G14" s="54">
        <v>-521.49</v>
      </c>
      <c r="H14" s="17">
        <v>0.39081121243417788</v>
      </c>
      <c r="I14" s="17">
        <v>8.5446625434056914E-2</v>
      </c>
      <c r="J14" s="54">
        <v>-38243.410000000003</v>
      </c>
    </row>
    <row r="15" spans="1:10" x14ac:dyDescent="0.25">
      <c r="A15" s="18">
        <v>43738</v>
      </c>
      <c r="B15" s="54">
        <v>19189</v>
      </c>
      <c r="C15" s="54">
        <v>27917.279999999999</v>
      </c>
      <c r="D15" s="54">
        <v>-8728.2799999999988</v>
      </c>
      <c r="E15" s="54">
        <v>-560.85</v>
      </c>
      <c r="F15" s="54">
        <v>660.86</v>
      </c>
      <c r="G15" s="54">
        <v>-1221.71</v>
      </c>
      <c r="H15" s="17">
        <v>0.6873520629516916</v>
      </c>
      <c r="I15" s="17">
        <v>3.7487048788937556E-2</v>
      </c>
      <c r="J15" s="54">
        <v>-7506.5699999999988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R24"/>
  <sheetViews>
    <sheetView workbookViewId="0">
      <selection activeCell="E29" sqref="E29"/>
    </sheetView>
  </sheetViews>
  <sheetFormatPr defaultRowHeight="14.4" x14ac:dyDescent="0.25"/>
  <cols>
    <col min="1" max="1" width="6" style="14" customWidth="1"/>
    <col min="2" max="2" width="11.6640625" style="14" bestFit="1" customWidth="1"/>
    <col min="3" max="4" width="15.33203125" style="14" bestFit="1" customWidth="1"/>
    <col min="5" max="5" width="13.88671875" style="49" bestFit="1" customWidth="1"/>
    <col min="6" max="6" width="5.77734375" style="14" bestFit="1" customWidth="1"/>
    <col min="7" max="7" width="13.88671875" style="14" bestFit="1" customWidth="1"/>
    <col min="8" max="8" width="14.109375" style="14" bestFit="1" customWidth="1"/>
    <col min="9" max="9" width="8.88671875" style="14"/>
    <col min="10" max="10" width="10" style="14" bestFit="1" customWidth="1"/>
    <col min="11" max="15" width="8.88671875" style="14"/>
    <col min="16" max="16" width="9.5546875" style="14" bestFit="1" customWidth="1"/>
    <col min="17" max="17" width="11.6640625" style="14" bestFit="1" customWidth="1"/>
    <col min="18" max="16384" width="8.88671875" style="14"/>
  </cols>
  <sheetData>
    <row r="1" spans="1:18" x14ac:dyDescent="0.25">
      <c r="A1" s="48" t="s">
        <v>80</v>
      </c>
      <c r="B1" s="67">
        <v>43738</v>
      </c>
      <c r="C1" s="49"/>
      <c r="D1" s="49"/>
      <c r="F1" s="49"/>
      <c r="G1" s="49"/>
      <c r="H1" s="49"/>
      <c r="I1" s="49"/>
      <c r="J1" s="49"/>
      <c r="O1" s="51" t="s">
        <v>208</v>
      </c>
      <c r="P1" s="51" t="s">
        <v>209</v>
      </c>
      <c r="Q1" s="51" t="s">
        <v>206</v>
      </c>
      <c r="R1" s="51" t="s">
        <v>207</v>
      </c>
    </row>
    <row r="2" spans="1:18" x14ac:dyDescent="0.25">
      <c r="B2" s="48" t="s">
        <v>81</v>
      </c>
      <c r="C2" s="55">
        <v>19189</v>
      </c>
      <c r="D2" s="48" t="s">
        <v>98</v>
      </c>
      <c r="E2" s="55">
        <v>-560.85</v>
      </c>
      <c r="G2" s="66" t="s">
        <v>83</v>
      </c>
      <c r="H2" s="50">
        <f>C2/C3</f>
        <v>0.6873520629516916</v>
      </c>
      <c r="I2" s="49"/>
      <c r="J2" s="49"/>
      <c r="O2" s="14">
        <v>1</v>
      </c>
      <c r="P2" s="65">
        <v>43649</v>
      </c>
      <c r="Q2" s="51" t="s">
        <v>210</v>
      </c>
      <c r="R2" s="14">
        <v>19.100000000000001</v>
      </c>
    </row>
    <row r="3" spans="1:18" x14ac:dyDescent="0.25">
      <c r="B3" s="48" t="s">
        <v>82</v>
      </c>
      <c r="C3" s="55">
        <v>27917.279999999999</v>
      </c>
      <c r="D3" s="48" t="s">
        <v>93</v>
      </c>
      <c r="E3" s="55">
        <v>660.86</v>
      </c>
      <c r="G3" s="66" t="s">
        <v>84</v>
      </c>
      <c r="H3" s="50">
        <v>3.7487048788937556E-2</v>
      </c>
      <c r="I3" s="49"/>
      <c r="J3" s="49"/>
    </row>
    <row r="4" spans="1:18" x14ac:dyDescent="0.25">
      <c r="B4" s="66" t="s">
        <v>100</v>
      </c>
      <c r="C4" s="55">
        <f>C2-C3</f>
        <v>-8728.2799999999988</v>
      </c>
      <c r="D4" s="128" t="s">
        <v>111</v>
      </c>
      <c r="E4" s="55">
        <f>E2-E3+SUM(R:R)</f>
        <v>-1202.6100000000001</v>
      </c>
      <c r="F4" s="49"/>
      <c r="G4" s="49"/>
      <c r="H4" s="49"/>
      <c r="I4" s="49"/>
      <c r="J4" s="49"/>
    </row>
    <row r="5" spans="1:18" x14ac:dyDescent="0.25">
      <c r="A5" s="46"/>
      <c r="B5" s="49"/>
      <c r="C5" s="49"/>
      <c r="D5" s="49"/>
      <c r="F5" s="49"/>
      <c r="G5" s="49"/>
      <c r="H5" s="49"/>
      <c r="I5" s="49"/>
      <c r="J5" s="49"/>
    </row>
    <row r="6" spans="1:18" ht="23.4" x14ac:dyDescent="0.25">
      <c r="A6" s="187" t="s">
        <v>119</v>
      </c>
      <c r="B6" s="187"/>
      <c r="C6" s="187"/>
      <c r="D6" s="187"/>
      <c r="E6" s="187"/>
      <c r="F6" s="187"/>
      <c r="G6" s="187"/>
      <c r="H6" s="187"/>
      <c r="I6" s="187"/>
      <c r="J6" s="187"/>
    </row>
    <row r="7" spans="1:18" x14ac:dyDescent="0.25">
      <c r="A7" s="46"/>
      <c r="B7" s="46"/>
      <c r="C7" s="46"/>
      <c r="D7" s="46"/>
      <c r="E7" s="46"/>
      <c r="F7" s="46"/>
      <c r="G7" s="46"/>
      <c r="H7" s="46"/>
      <c r="I7" s="188" t="s">
        <v>85</v>
      </c>
      <c r="J7" s="188"/>
    </row>
    <row r="8" spans="1:18" s="51" customFormat="1" x14ac:dyDescent="0.25">
      <c r="A8" s="52" t="s">
        <v>103</v>
      </c>
      <c r="B8" s="52" t="s">
        <v>127</v>
      </c>
      <c r="C8" s="52" t="s">
        <v>104</v>
      </c>
      <c r="D8" s="52" t="s">
        <v>105</v>
      </c>
      <c r="E8" s="56" t="s">
        <v>102</v>
      </c>
      <c r="F8" s="52" t="s">
        <v>106</v>
      </c>
      <c r="G8" s="52" t="s">
        <v>128</v>
      </c>
      <c r="H8" s="52" t="s">
        <v>108</v>
      </c>
      <c r="I8" s="52" t="s">
        <v>187</v>
      </c>
      <c r="J8" s="52"/>
    </row>
    <row r="9" spans="1:18" x14ac:dyDescent="0.25">
      <c r="A9" s="14">
        <v>1</v>
      </c>
      <c r="B9" s="14" t="s">
        <v>72</v>
      </c>
      <c r="C9" s="57">
        <v>0</v>
      </c>
      <c r="D9" s="57">
        <v>0</v>
      </c>
      <c r="E9" s="58">
        <v>0</v>
      </c>
      <c r="F9" s="14">
        <v>1</v>
      </c>
      <c r="G9" s="14" t="s">
        <v>265</v>
      </c>
      <c r="H9" s="57">
        <v>25000</v>
      </c>
      <c r="I9" s="57">
        <v>140</v>
      </c>
    </row>
    <row r="10" spans="1:18" x14ac:dyDescent="0.25">
      <c r="A10" s="14">
        <v>2</v>
      </c>
      <c r="B10" s="14" t="s">
        <v>205</v>
      </c>
      <c r="C10" s="57">
        <v>19189</v>
      </c>
      <c r="D10" s="57">
        <v>19749.849999999999</v>
      </c>
      <c r="E10" s="59">
        <v>-560.85</v>
      </c>
      <c r="F10" s="14">
        <v>2</v>
      </c>
      <c r="G10" s="14" t="s">
        <v>219</v>
      </c>
      <c r="H10" s="57">
        <v>2917.2799999999988</v>
      </c>
      <c r="I10" s="57">
        <v>205</v>
      </c>
    </row>
    <row r="11" spans="1:18" x14ac:dyDescent="0.25">
      <c r="C11" s="57"/>
      <c r="D11" s="57"/>
      <c r="E11" s="59"/>
      <c r="F11" s="14">
        <v>3</v>
      </c>
      <c r="G11" s="14" t="s">
        <v>114</v>
      </c>
      <c r="H11" s="57">
        <v>0</v>
      </c>
      <c r="I11" s="57">
        <v>151.86000000000001</v>
      </c>
    </row>
    <row r="12" spans="1:18" x14ac:dyDescent="0.25">
      <c r="C12" s="57"/>
      <c r="D12" s="57"/>
      <c r="E12" s="59"/>
      <c r="F12" s="14">
        <v>4</v>
      </c>
      <c r="G12" s="14" t="s">
        <v>79</v>
      </c>
      <c r="H12" s="57">
        <v>0</v>
      </c>
      <c r="I12" s="57">
        <v>123</v>
      </c>
    </row>
    <row r="13" spans="1:18" x14ac:dyDescent="0.25">
      <c r="C13" s="57"/>
      <c r="D13" s="57"/>
      <c r="E13" s="59"/>
      <c r="F13" s="14">
        <v>5</v>
      </c>
      <c r="G13" s="14" t="s">
        <v>220</v>
      </c>
      <c r="H13" s="57">
        <v>0</v>
      </c>
      <c r="I13" s="57">
        <v>41</v>
      </c>
    </row>
    <row r="14" spans="1:18" x14ac:dyDescent="0.25">
      <c r="A14" s="52"/>
      <c r="B14" s="52" t="s">
        <v>99</v>
      </c>
      <c r="C14" s="60">
        <v>19189</v>
      </c>
      <c r="D14" s="60">
        <v>19749.849999999999</v>
      </c>
      <c r="E14" s="61">
        <v>-560.85</v>
      </c>
      <c r="F14" s="52"/>
      <c r="G14" s="52" t="s">
        <v>99</v>
      </c>
      <c r="H14" s="60">
        <v>27917.279999999999</v>
      </c>
      <c r="I14" s="60">
        <v>660.86</v>
      </c>
      <c r="J14" s="52"/>
    </row>
    <row r="15" spans="1:18" x14ac:dyDescent="0.25">
      <c r="E15" s="14"/>
    </row>
    <row r="16" spans="1:18" x14ac:dyDescent="0.25">
      <c r="E16" s="14"/>
    </row>
    <row r="17" spans="5:5" x14ac:dyDescent="0.25">
      <c r="E17" s="14"/>
    </row>
    <row r="18" spans="5:5" x14ac:dyDescent="0.25">
      <c r="E18" s="14"/>
    </row>
    <row r="19" spans="5:5" x14ac:dyDescent="0.25">
      <c r="E19" s="14"/>
    </row>
    <row r="20" spans="5:5" x14ac:dyDescent="0.25">
      <c r="E20" s="14"/>
    </row>
    <row r="21" spans="5:5" x14ac:dyDescent="0.25">
      <c r="E21" s="14"/>
    </row>
    <row r="22" spans="5:5" x14ac:dyDescent="0.25">
      <c r="E22" s="14"/>
    </row>
    <row r="23" spans="5:5" x14ac:dyDescent="0.25">
      <c r="E23" s="14"/>
    </row>
    <row r="24" spans="5:5" x14ac:dyDescent="0.25">
      <c r="E24" s="14"/>
    </row>
  </sheetData>
  <mergeCells count="2">
    <mergeCell ref="A6:J6"/>
    <mergeCell ref="I7:J7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一键登账">
                <anchor moveWithCells="1" sizeWithCells="1">
                  <from>
                    <xdr:col>8</xdr:col>
                    <xdr:colOff>15240</xdr:colOff>
                    <xdr:row>0</xdr:row>
                    <xdr:rowOff>167640</xdr:rowOff>
                  </from>
                  <to>
                    <xdr:col>9</xdr:col>
                    <xdr:colOff>617220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92D050"/>
  </sheetPr>
  <dimension ref="A1:DB297"/>
  <sheetViews>
    <sheetView workbookViewId="0">
      <pane ySplit="1" topLeftCell="A2" activePane="bottomLeft" state="frozen"/>
      <selection pane="bottomLeft" activeCell="C24" sqref="C24"/>
    </sheetView>
  </sheetViews>
  <sheetFormatPr defaultColWidth="9" defaultRowHeight="14.4" x14ac:dyDescent="0.25"/>
  <cols>
    <col min="1" max="1" width="10.554687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22" customWidth="1"/>
    <col min="14" max="14" width="10.44140625" style="22" customWidth="1"/>
    <col min="15" max="15" width="9.44140625" style="23" customWidth="1"/>
    <col min="16" max="16" width="10.44140625" style="22" customWidth="1"/>
    <col min="17" max="17" width="11.6640625" style="24" customWidth="1"/>
    <col min="27" max="27" width="9" style="25"/>
  </cols>
  <sheetData>
    <row r="1" spans="1:106" s="21" customFormat="1" ht="43.2" x14ac:dyDescent="0.25">
      <c r="A1" s="118" t="s">
        <v>0</v>
      </c>
      <c r="B1" t="s">
        <v>1</v>
      </c>
      <c r="C1" s="26" t="s">
        <v>2</v>
      </c>
      <c r="F1" s="27" t="s">
        <v>3</v>
      </c>
      <c r="G1" s="28" t="s">
        <v>4</v>
      </c>
      <c r="H1" s="28" t="s">
        <v>5</v>
      </c>
      <c r="I1" s="28" t="s">
        <v>6</v>
      </c>
      <c r="J1" s="34" t="s">
        <v>7</v>
      </c>
      <c r="K1" s="28" t="s">
        <v>8</v>
      </c>
      <c r="L1" s="28" t="s">
        <v>9</v>
      </c>
      <c r="M1" s="35" t="s">
        <v>10</v>
      </c>
      <c r="N1" s="35" t="s">
        <v>11</v>
      </c>
      <c r="O1" s="36" t="s">
        <v>12</v>
      </c>
      <c r="P1" s="28" t="s">
        <v>118</v>
      </c>
      <c r="Q1" s="42" t="s">
        <v>132</v>
      </c>
      <c r="AA1" s="105" t="s">
        <v>13</v>
      </c>
      <c r="AB1" s="106" t="s">
        <v>162</v>
      </c>
      <c r="AC1" s="106" t="s">
        <v>173</v>
      </c>
      <c r="AD1" s="106" t="s">
        <v>163</v>
      </c>
      <c r="AE1" s="106" t="s">
        <v>164</v>
      </c>
      <c r="AF1" s="106" t="s">
        <v>165</v>
      </c>
      <c r="AG1" s="106" t="s">
        <v>166</v>
      </c>
      <c r="AH1" s="106" t="s">
        <v>167</v>
      </c>
      <c r="AI1" s="106" t="s">
        <v>168</v>
      </c>
      <c r="AJ1" s="106" t="s">
        <v>169</v>
      </c>
      <c r="AK1" s="119" t="s">
        <v>170</v>
      </c>
      <c r="AL1" s="119" t="s">
        <v>171</v>
      </c>
      <c r="AM1" s="119" t="s">
        <v>172</v>
      </c>
      <c r="AN1" s="119" t="s">
        <v>174</v>
      </c>
      <c r="AO1" s="119" t="s">
        <v>175</v>
      </c>
      <c r="AP1" s="119" t="s">
        <v>176</v>
      </c>
      <c r="AQ1" s="119" t="s">
        <v>177</v>
      </c>
      <c r="AR1" s="119" t="s">
        <v>178</v>
      </c>
      <c r="AS1" s="107" t="s">
        <v>15</v>
      </c>
      <c r="AT1" s="107" t="s">
        <v>16</v>
      </c>
      <c r="AU1" s="107" t="s">
        <v>26</v>
      </c>
      <c r="AV1" s="107" t="s">
        <v>17</v>
      </c>
      <c r="AW1" s="107" t="s">
        <v>27</v>
      </c>
      <c r="AX1" s="120" t="s">
        <v>179</v>
      </c>
      <c r="AY1" s="121" t="s">
        <v>180</v>
      </c>
      <c r="AZ1" s="121" t="s">
        <v>181</v>
      </c>
      <c r="BA1" s="120" t="s">
        <v>182</v>
      </c>
      <c r="BB1" s="120" t="s">
        <v>183</v>
      </c>
      <c r="BC1" s="120" t="s">
        <v>184</v>
      </c>
      <c r="BD1" s="121" t="s">
        <v>185</v>
      </c>
      <c r="BE1" s="120" t="s">
        <v>186</v>
      </c>
      <c r="BF1" s="108" t="s">
        <v>15</v>
      </c>
      <c r="BG1" s="108" t="s">
        <v>16</v>
      </c>
      <c r="BH1" s="109" t="s">
        <v>26</v>
      </c>
      <c r="BI1" s="108" t="s">
        <v>17</v>
      </c>
      <c r="BJ1" s="108" t="s">
        <v>27</v>
      </c>
      <c r="BK1" s="110"/>
      <c r="BL1" s="111"/>
      <c r="BM1" s="111"/>
      <c r="BN1" s="110"/>
      <c r="BO1" s="110"/>
      <c r="BP1" s="110"/>
      <c r="BQ1" s="111"/>
      <c r="BR1" s="110"/>
      <c r="BS1" s="110"/>
      <c r="BT1" s="110"/>
      <c r="BU1" s="111"/>
      <c r="BV1" s="110"/>
      <c r="BW1" s="110"/>
      <c r="BY1" s="26"/>
      <c r="CA1" s="62"/>
      <c r="CB1" s="62"/>
      <c r="CC1" s="62"/>
      <c r="CD1" s="62"/>
      <c r="CE1" s="62"/>
      <c r="CF1" s="62"/>
      <c r="CG1" s="70"/>
      <c r="CH1" s="63"/>
      <c r="CI1" s="62"/>
      <c r="CJ1" s="62"/>
      <c r="CK1" s="62"/>
      <c r="CL1" s="62"/>
      <c r="CM1" s="62"/>
      <c r="CN1" s="62"/>
      <c r="CO1" s="62"/>
      <c r="CP1" s="62"/>
      <c r="CQ1" s="62"/>
      <c r="CR1" s="74"/>
      <c r="CS1" s="74"/>
      <c r="CT1" s="75"/>
      <c r="CU1" s="75"/>
      <c r="CV1" s="75"/>
      <c r="CW1" s="75"/>
      <c r="CX1" s="75"/>
      <c r="CZ1" s="62"/>
      <c r="DA1" s="62"/>
      <c r="DB1" s="62"/>
    </row>
    <row r="2" spans="1:106" x14ac:dyDescent="0.25">
      <c r="A2" s="30" t="s">
        <v>201</v>
      </c>
      <c r="B2" s="20"/>
      <c r="C2">
        <f>SUM($B$2:B2)</f>
        <v>0</v>
      </c>
      <c r="F2" s="31" t="str">
        <f t="shared" ref="F2:F22" si="0">A2</f>
        <v>(空白)</v>
      </c>
      <c r="G2" s="32">
        <f>SUMIFS(逐日资产统计!$I:$I,逐日资产统计!$A:$A,F2,逐日资产统计!$C:$C,"人民币")</f>
        <v>0</v>
      </c>
      <c r="H2" s="32">
        <f>SUMIF(逐日资产统计!$A:$A,资产端序时!$F2,逐日资产统计!$I:$I)-G2</f>
        <v>0</v>
      </c>
      <c r="I2" s="29">
        <f t="shared" ref="I2:I22" si="1">G2+H2</f>
        <v>0</v>
      </c>
      <c r="J2" s="32">
        <f>SUMIF(逐日资产统计!$A:$A,资产端序时!$F2,逐日资产统计!$G:$G)</f>
        <v>0</v>
      </c>
      <c r="K2" s="40">
        <f t="shared" ref="K2:K22" si="2">I2-J2</f>
        <v>0</v>
      </c>
      <c r="L2" s="39" t="e">
        <f t="shared" ref="L2" si="3">K2-K1</f>
        <v>#VALUE!</v>
      </c>
      <c r="M2" s="37" t="e">
        <f t="shared" ref="M2" si="4">J2/K2</f>
        <v>#DIV/0!</v>
      </c>
      <c r="N2" s="38">
        <f>SUMIFS(逐日资产统计!L:L,逐日资产统计!A:A,资产端序时!F2,逐日资产统计!C:C,"人民币")</f>
        <v>0</v>
      </c>
      <c r="O2" s="38">
        <f>SUMIF(逐日资产统计!A:A,资产端序时!F2,逐日资产统计!M:M)-SUMIFS(逐日资产统计!M:M,逐日资产统计!A:A,资产端序时!F2,逐日资产统计!C:C,"人民币")</f>
        <v>0</v>
      </c>
      <c r="AA2" s="117" t="s">
        <v>331</v>
      </c>
      <c r="AB2" s="112">
        <v>2</v>
      </c>
      <c r="AC2" s="112">
        <v>1200</v>
      </c>
      <c r="AD2" s="112">
        <v>5.3170000000000002</v>
      </c>
      <c r="AE2" s="112">
        <v>2</v>
      </c>
      <c r="AF2" s="112">
        <v>1100</v>
      </c>
      <c r="AG2" s="112">
        <v>5.415</v>
      </c>
      <c r="AH2" s="112" t="s">
        <v>344</v>
      </c>
      <c r="AI2" s="112">
        <v>100</v>
      </c>
      <c r="AJ2" s="112">
        <v>4.2389999999999999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 t="s">
        <v>343</v>
      </c>
      <c r="AT2" s="112">
        <v>0</v>
      </c>
      <c r="AU2" s="112">
        <v>0</v>
      </c>
      <c r="AV2" s="112">
        <v>0</v>
      </c>
      <c r="AW2" s="112">
        <v>0</v>
      </c>
      <c r="AX2" s="112">
        <v>2</v>
      </c>
      <c r="AY2" s="112">
        <v>1200</v>
      </c>
      <c r="AZ2" s="112">
        <v>6390</v>
      </c>
      <c r="BA2" s="112">
        <v>5.3250000000000002</v>
      </c>
      <c r="BB2" s="112">
        <v>2</v>
      </c>
      <c r="BC2" s="112">
        <v>1100</v>
      </c>
      <c r="BD2" s="112">
        <v>5941.0429999999997</v>
      </c>
      <c r="BE2" s="112">
        <v>5.4009999999999998</v>
      </c>
      <c r="BF2" s="112" t="s">
        <v>345</v>
      </c>
      <c r="BG2" s="112">
        <v>100</v>
      </c>
      <c r="BH2" s="112">
        <v>448.95699999999999</v>
      </c>
      <c r="BI2" s="112">
        <v>4.49</v>
      </c>
      <c r="BJ2" s="112">
        <v>83.6</v>
      </c>
    </row>
    <row r="3" spans="1:106" x14ac:dyDescent="0.25">
      <c r="A3" s="104">
        <v>43644</v>
      </c>
      <c r="B3" s="20">
        <v>-6.02</v>
      </c>
      <c r="C3">
        <f>SUM($B$2:B3)</f>
        <v>-6.02</v>
      </c>
      <c r="F3" s="31">
        <f t="shared" si="0"/>
        <v>43644</v>
      </c>
      <c r="G3" s="32">
        <f>SUMIFS(逐日资产统计!$I:$I,逐日资产统计!$A:$A,F3,逐日资产统计!$C:$C,"人民币")</f>
        <v>0</v>
      </c>
      <c r="H3" s="32">
        <f>SUMIF(逐日资产统计!$A:$A,资产端序时!$F3,逐日资产统计!$I:$I)-G3</f>
        <v>894.98</v>
      </c>
      <c r="I3" s="29">
        <f t="shared" si="1"/>
        <v>894.98</v>
      </c>
      <c r="J3" s="32">
        <f>SUMIF(逐日资产统计!$A:$A,资产端序时!$F3,逐日资产统计!$G:$G)</f>
        <v>-6.02</v>
      </c>
      <c r="K3" s="40">
        <f t="shared" si="2"/>
        <v>901</v>
      </c>
      <c r="L3" s="39">
        <f t="shared" ref="L3:L22" si="5">K3-K2</f>
        <v>901</v>
      </c>
      <c r="M3" s="37">
        <f t="shared" ref="M3:M22" si="6">J3/K3</f>
        <v>-6.6814650388457263E-3</v>
      </c>
      <c r="N3" s="38">
        <f>SUMIFS(逐日资产统计!L:L,逐日资产统计!A:A,资产端序时!F3,逐日资产统计!C:C,"人民币")</f>
        <v>0</v>
      </c>
      <c r="O3" s="38">
        <f>SUMIF(逐日资产统计!A:A,资产端序时!F3,逐日资产统计!M:M)-SUMIFS(逐日资产统计!M:M,逐日资产统计!A:A,资产端序时!F3,逐日资产统计!C:C,"人民币")</f>
        <v>1.0067264072940176</v>
      </c>
      <c r="AA3" s="113" t="s">
        <v>314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t="s">
        <v>323</v>
      </c>
      <c r="AI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 t="s">
        <v>343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 t="s">
        <v>343</v>
      </c>
      <c r="BG3">
        <v>0</v>
      </c>
      <c r="BH3">
        <v>0</v>
      </c>
      <c r="BI3">
        <v>0</v>
      </c>
      <c r="BJ3">
        <v>0</v>
      </c>
    </row>
    <row r="4" spans="1:106" x14ac:dyDescent="0.25">
      <c r="A4" s="104">
        <v>43647</v>
      </c>
      <c r="B4" s="20">
        <v>13</v>
      </c>
      <c r="C4">
        <f>SUM($B$2:B4)</f>
        <v>6.98</v>
      </c>
      <c r="F4" s="31">
        <f t="shared" si="0"/>
        <v>43647</v>
      </c>
      <c r="G4" s="32">
        <f>SUMIFS(逐日资产统计!$I:$I,逐日资产统计!$A:$A,F4,逐日资产统计!$C:$C,"人民币")</f>
        <v>0</v>
      </c>
      <c r="H4" s="32">
        <f>SUMIF(逐日资产统计!$A:$A,资产端序时!$F4,逐日资产统计!$I:$I)-G4</f>
        <v>907.98</v>
      </c>
      <c r="I4" s="29">
        <f t="shared" si="1"/>
        <v>907.98</v>
      </c>
      <c r="J4" s="32">
        <f>SUMIF(逐日资产统计!$A:$A,资产端序时!$F4,逐日资产统计!$G:$G)</f>
        <v>6.98</v>
      </c>
      <c r="K4" s="40">
        <f t="shared" si="2"/>
        <v>901</v>
      </c>
      <c r="L4" s="39">
        <f t="shared" si="5"/>
        <v>0</v>
      </c>
      <c r="M4" s="37">
        <f t="shared" si="6"/>
        <v>7.7469478357380696E-3</v>
      </c>
      <c r="N4" s="38">
        <f>SUMIFS(逐日资产统计!L:L,逐日资产统计!A:A,资产端序时!F4,逐日资产统计!C:C,"人民币")</f>
        <v>0</v>
      </c>
      <c r="O4" s="38">
        <f>SUMIF(逐日资产统计!A:A,资产端序时!F4,逐日资产统计!M:M)-SUMIFS(逐日资产统计!M:M,逐日资产统计!A:A,资产端序时!F4,逐日资产统计!C:C,"人民币")</f>
        <v>0.99231260600453752</v>
      </c>
      <c r="AA4" s="25" t="s">
        <v>328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t="s">
        <v>342</v>
      </c>
      <c r="AI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 t="s">
        <v>161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 t="s">
        <v>343</v>
      </c>
      <c r="BG4">
        <v>0</v>
      </c>
      <c r="BH4">
        <v>0</v>
      </c>
      <c r="BI4">
        <v>0</v>
      </c>
      <c r="BJ4">
        <v>0</v>
      </c>
    </row>
    <row r="5" spans="1:106" x14ac:dyDescent="0.25">
      <c r="A5" s="104">
        <v>43648</v>
      </c>
      <c r="B5" s="20">
        <v>8</v>
      </c>
      <c r="C5">
        <f>SUM($B$2:B5)</f>
        <v>14.98</v>
      </c>
      <c r="F5" s="31">
        <f t="shared" si="0"/>
        <v>43648</v>
      </c>
      <c r="G5" s="32">
        <f>SUMIFS(逐日资产统计!$I:$I,逐日资产统计!$A:$A,F5,逐日资产统计!$C:$C,"人民币")</f>
        <v>0</v>
      </c>
      <c r="H5" s="32">
        <f>SUMIF(逐日资产统计!$A:$A,资产端序时!$F5,逐日资产统计!$I:$I)-G5</f>
        <v>915.98</v>
      </c>
      <c r="I5" s="29">
        <f t="shared" si="1"/>
        <v>915.98</v>
      </c>
      <c r="J5" s="32">
        <f>SUMIF(逐日资产统计!$A:$A,资产端序时!$F5,逐日资产统计!$G:$G)</f>
        <v>14.98</v>
      </c>
      <c r="K5" s="40">
        <f t="shared" si="2"/>
        <v>901</v>
      </c>
      <c r="L5" s="39">
        <f t="shared" si="5"/>
        <v>0</v>
      </c>
      <c r="M5" s="37">
        <f t="shared" si="6"/>
        <v>1.662597114317425E-2</v>
      </c>
      <c r="N5" s="38">
        <f>SUMIFS(逐日资产统计!L:L,逐日资产统计!A:A,资产端序时!F5,逐日资产统计!C:C,"人民币")</f>
        <v>0</v>
      </c>
      <c r="O5" s="38">
        <f>SUMIF(逐日资产统计!A:A,资产端序时!F5,逐日资产统计!M:M)-SUMIFS(逐日资产统计!M:M,逐日资产统计!A:A,资产端序时!F5,逐日资产统计!C:C,"人民币")</f>
        <v>0</v>
      </c>
      <c r="AA5" s="113" t="s">
        <v>204</v>
      </c>
      <c r="AB5">
        <v>14</v>
      </c>
      <c r="AC5">
        <v>7700</v>
      </c>
      <c r="AD5">
        <v>4.5140000000000002</v>
      </c>
      <c r="AE5">
        <v>0</v>
      </c>
      <c r="AF5">
        <v>0</v>
      </c>
      <c r="AG5">
        <v>0</v>
      </c>
      <c r="AH5" t="s">
        <v>344</v>
      </c>
      <c r="AI5">
        <v>7700</v>
      </c>
      <c r="AJ5">
        <v>4.5140000000000002</v>
      </c>
      <c r="AK5">
        <v>29</v>
      </c>
      <c r="AL5">
        <v>13300</v>
      </c>
      <c r="AM5">
        <v>73580.340000000011</v>
      </c>
      <c r="AN5">
        <v>5.532</v>
      </c>
      <c r="AO5">
        <v>28</v>
      </c>
      <c r="AP5">
        <v>11500</v>
      </c>
      <c r="AQ5">
        <v>59584.420000000013</v>
      </c>
      <c r="AR5">
        <v>5.181</v>
      </c>
      <c r="AS5" t="s">
        <v>159</v>
      </c>
      <c r="AT5">
        <v>1800</v>
      </c>
      <c r="AU5">
        <v>13995.92</v>
      </c>
      <c r="AV5">
        <v>7.7759999999999998</v>
      </c>
      <c r="AW5">
        <v>-4036.5</v>
      </c>
      <c r="AX5">
        <v>43</v>
      </c>
      <c r="AY5">
        <v>21000</v>
      </c>
      <c r="AZ5">
        <v>108408.95999999999</v>
      </c>
      <c r="BA5">
        <v>5.1619999999999999</v>
      </c>
      <c r="BB5">
        <v>28</v>
      </c>
      <c r="BC5">
        <v>11500</v>
      </c>
      <c r="BD5">
        <v>59584.420000000013</v>
      </c>
      <c r="BE5">
        <v>5.181</v>
      </c>
      <c r="BF5" t="s">
        <v>159</v>
      </c>
      <c r="BG5">
        <v>9500</v>
      </c>
      <c r="BH5">
        <v>48824.54</v>
      </c>
      <c r="BI5">
        <v>5.1390000000000002</v>
      </c>
      <c r="BJ5">
        <v>218.5</v>
      </c>
    </row>
    <row r="6" spans="1:106" x14ac:dyDescent="0.25">
      <c r="A6" s="104">
        <v>44029</v>
      </c>
      <c r="B6" s="20">
        <v>-8364.57</v>
      </c>
      <c r="C6">
        <f>SUM($B$2:B6)</f>
        <v>-8349.59</v>
      </c>
      <c r="F6" s="31">
        <f t="shared" si="0"/>
        <v>44029</v>
      </c>
      <c r="G6" s="32">
        <f>SUMIFS(逐日资产统计!$I:$I,逐日资产统计!$A:$A,F6,逐日资产统计!$C:$C,"人民币")</f>
        <v>0</v>
      </c>
      <c r="H6" s="32">
        <f>SUMIF(逐日资产统计!$A:$A,资产端序时!$F6,逐日资产统计!$I:$I)-G6</f>
        <v>49091.48</v>
      </c>
      <c r="I6" s="29">
        <f t="shared" si="1"/>
        <v>49091.48</v>
      </c>
      <c r="J6" s="32">
        <f>SUMIF(逐日资产统计!$A:$A,资产端序时!$F6,逐日资产统计!$G:$G)</f>
        <v>-8349.59</v>
      </c>
      <c r="K6" s="40">
        <f t="shared" si="2"/>
        <v>57441.070000000007</v>
      </c>
      <c r="L6" s="39">
        <f t="shared" si="5"/>
        <v>56540.070000000007</v>
      </c>
      <c r="M6" s="37">
        <f t="shared" si="6"/>
        <v>-0.14535923512566878</v>
      </c>
      <c r="N6" s="38">
        <f>SUMIFS(逐日资产统计!L:L,逐日资产统计!A:A,资产端序时!F6,逐日资产统计!C:C,"人民币")</f>
        <v>0</v>
      </c>
      <c r="O6" s="38">
        <f>SUMIF(逐日资产统计!A:A,资产端序时!F6,逐日资产统计!M:M)-SUMIFS(逐日资产统计!M:M,逐日资产统计!A:A,资产端序时!F6,逐日资产统计!C:C,"人民币")</f>
        <v>1.1656929063861996</v>
      </c>
      <c r="AA6" s="25" t="s">
        <v>157</v>
      </c>
      <c r="AB6">
        <v>2</v>
      </c>
      <c r="AC6">
        <v>600</v>
      </c>
      <c r="AD6">
        <v>7.7370000000000001</v>
      </c>
      <c r="AE6">
        <v>2</v>
      </c>
      <c r="AF6">
        <v>600</v>
      </c>
      <c r="AG6">
        <v>7.8369999999999997</v>
      </c>
      <c r="AH6" t="s">
        <v>342</v>
      </c>
      <c r="AI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 t="s">
        <v>161</v>
      </c>
      <c r="AT6">
        <v>0</v>
      </c>
      <c r="AU6">
        <v>0</v>
      </c>
      <c r="AV6">
        <v>0</v>
      </c>
      <c r="AW6">
        <v>0</v>
      </c>
      <c r="AX6">
        <v>3</v>
      </c>
      <c r="AY6">
        <v>1100</v>
      </c>
      <c r="AZ6">
        <v>8507.66</v>
      </c>
      <c r="BA6">
        <v>7.734</v>
      </c>
      <c r="BB6">
        <v>3</v>
      </c>
      <c r="BC6">
        <v>1100</v>
      </c>
      <c r="BD6">
        <v>8382.8179999999993</v>
      </c>
      <c r="BE6">
        <v>7.6210000000000004</v>
      </c>
      <c r="BF6" t="s">
        <v>343</v>
      </c>
      <c r="BG6">
        <v>0</v>
      </c>
      <c r="BH6">
        <v>124.842</v>
      </c>
      <c r="BI6">
        <v>0</v>
      </c>
      <c r="BJ6">
        <v>-124.3</v>
      </c>
    </row>
    <row r="7" spans="1:106" x14ac:dyDescent="0.25">
      <c r="A7" s="104">
        <v>44040</v>
      </c>
      <c r="B7" s="20">
        <v>799.48999999999978</v>
      </c>
      <c r="C7">
        <f>SUM($B$2:B7)</f>
        <v>-7550.1</v>
      </c>
      <c r="F7" s="31">
        <f t="shared" si="0"/>
        <v>44040</v>
      </c>
      <c r="G7" s="32">
        <f>SUMIFS(逐日资产统计!$I:$I,逐日资产统计!$A:$A,F7,逐日资产统计!$C:$C,"人民币")</f>
        <v>0</v>
      </c>
      <c r="H7" s="32">
        <f>SUMIF(逐日资产统计!$A:$A,资产端序时!$F7,逐日资产统计!$I:$I)-G7</f>
        <v>49885.26</v>
      </c>
      <c r="I7" s="29">
        <f t="shared" si="1"/>
        <v>49885.26</v>
      </c>
      <c r="J7" s="32">
        <f>SUMIF(逐日资产统计!$A:$A,资产端序时!$F7,逐日资产统计!$G:$G)</f>
        <v>-7550.1</v>
      </c>
      <c r="K7" s="40">
        <f t="shared" si="2"/>
        <v>57435.360000000001</v>
      </c>
      <c r="L7" s="39">
        <f t="shared" si="5"/>
        <v>-5.7100000000064028</v>
      </c>
      <c r="M7" s="37">
        <f t="shared" si="6"/>
        <v>-0.13145386396115563</v>
      </c>
      <c r="N7" s="38">
        <f>SUMIFS(逐日资产统计!L:L,逐日资产统计!A:A,资产端序时!F7,逐日资产统计!C:C,"人民币")</f>
        <v>0</v>
      </c>
      <c r="O7" s="38">
        <f>SUMIF(逐日资产统计!A:A,资产端序时!F7,逐日资产统计!M:M)-SUMIFS(逐日资产统计!M:M,逐日资产统计!A:A,资产端序时!F7,逐日资产统计!C:C,"人民币")</f>
        <v>0.85664783545279699</v>
      </c>
      <c r="AA7" s="25" t="s">
        <v>346</v>
      </c>
      <c r="AB7">
        <v>2</v>
      </c>
      <c r="AC7">
        <v>1200</v>
      </c>
      <c r="AD7">
        <v>5.3170000000000002</v>
      </c>
      <c r="AE7">
        <v>2</v>
      </c>
      <c r="AF7">
        <v>1100</v>
      </c>
      <c r="AG7">
        <v>5.415</v>
      </c>
      <c r="AH7" t="s">
        <v>199</v>
      </c>
      <c r="AI7">
        <v>100</v>
      </c>
      <c r="AJ7">
        <v>4.2389999999999999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 t="s">
        <v>200</v>
      </c>
      <c r="AT7">
        <v>0</v>
      </c>
      <c r="AU7">
        <v>0</v>
      </c>
      <c r="AV7">
        <v>0</v>
      </c>
      <c r="AW7">
        <v>0</v>
      </c>
      <c r="AX7">
        <v>2</v>
      </c>
      <c r="AY7">
        <v>1200</v>
      </c>
      <c r="AZ7">
        <v>6390</v>
      </c>
      <c r="BA7">
        <v>5.3250000000000002</v>
      </c>
      <c r="BB7">
        <v>2</v>
      </c>
      <c r="BC7">
        <v>1100</v>
      </c>
      <c r="BD7">
        <v>5941.0429999999997</v>
      </c>
      <c r="BE7">
        <v>5.4009999999999998</v>
      </c>
      <c r="BF7" t="s">
        <v>46</v>
      </c>
      <c r="BG7">
        <v>100</v>
      </c>
      <c r="BH7">
        <v>448.95699999999999</v>
      </c>
      <c r="BI7">
        <v>4.49</v>
      </c>
      <c r="BJ7">
        <v>83.6</v>
      </c>
    </row>
    <row r="8" spans="1:106" x14ac:dyDescent="0.25">
      <c r="A8" s="104">
        <v>44042</v>
      </c>
      <c r="B8" s="20">
        <v>-77.089999999999236</v>
      </c>
      <c r="C8">
        <f>SUM($B$2:B8)</f>
        <v>-7627.19</v>
      </c>
      <c r="F8" s="31">
        <f t="shared" si="0"/>
        <v>44042</v>
      </c>
      <c r="G8" s="32">
        <f>SUMIFS(逐日资产统计!$I:$I,逐日资产统计!$A:$A,F8,逐日资产统计!$C:$C,"人民币")</f>
        <v>0</v>
      </c>
      <c r="H8" s="32">
        <f>SUMIF(逐日资产统计!$A:$A,资产端序时!$F8,逐日资产统计!$I:$I)-G8</f>
        <v>45108.2</v>
      </c>
      <c r="I8" s="29">
        <f t="shared" si="1"/>
        <v>45108.2</v>
      </c>
      <c r="J8" s="32">
        <f>SUMIF(逐日资产统计!$A:$A,资产端序时!$F8,逐日资产统计!$G:$G)</f>
        <v>-7627.19</v>
      </c>
      <c r="K8" s="40">
        <f t="shared" si="2"/>
        <v>52735.39</v>
      </c>
      <c r="L8" s="39">
        <f t="shared" si="5"/>
        <v>-4699.9700000000012</v>
      </c>
      <c r="M8" s="37">
        <f t="shared" si="6"/>
        <v>-0.14463133770320083</v>
      </c>
      <c r="N8" s="38">
        <f>SUMIFS(逐日资产统计!L:L,逐日资产统计!A:A,资产端序时!F8,逐日资产统计!C:C,"人民币")</f>
        <v>0</v>
      </c>
      <c r="O8" s="38">
        <f>SUMIF(逐日资产统计!A:A,资产端序时!F8,逐日资产统计!M:M)-SUMIFS(逐日资产统计!M:M,逐日资产统计!A:A,资产端序时!F8,逐日资产统计!C:C,"人民币")</f>
        <v>1.046354986454791</v>
      </c>
    </row>
    <row r="9" spans="1:106" x14ac:dyDescent="0.25">
      <c r="A9" s="104">
        <v>44046</v>
      </c>
      <c r="B9" s="20">
        <v>164</v>
      </c>
      <c r="C9">
        <f>SUM($B$2:B9)</f>
        <v>-7463.19</v>
      </c>
      <c r="F9" s="31">
        <f t="shared" si="0"/>
        <v>44046</v>
      </c>
      <c r="G9" s="32">
        <f>SUMIFS(逐日资产统计!$I:$I,逐日资产统计!$A:$A,F9,逐日资产统计!$C:$C,"人民币")</f>
        <v>0</v>
      </c>
      <c r="H9" s="32">
        <f>SUMIF(逐日资产统计!$A:$A,资产端序时!$F9,逐日资产统计!$I:$I)-G9</f>
        <v>45272.58</v>
      </c>
      <c r="I9" s="29">
        <f t="shared" si="1"/>
        <v>45272.58</v>
      </c>
      <c r="J9" s="32">
        <f>SUMIF(逐日资产统计!$A:$A,资产端序时!$F9,逐日资产统计!$G:$G)</f>
        <v>-7463.19</v>
      </c>
      <c r="K9" s="40">
        <f t="shared" si="2"/>
        <v>52735.770000000004</v>
      </c>
      <c r="L9" s="39">
        <f t="shared" si="5"/>
        <v>0.38000000000465661</v>
      </c>
      <c r="M9" s="37">
        <f t="shared" si="6"/>
        <v>-0.1415204518678688</v>
      </c>
      <c r="N9" s="38">
        <f>SUMIFS(逐日资产统计!L:L,逐日资产统计!A:A,资产端序时!F9,逐日资产统计!C:C,"人民币")</f>
        <v>0</v>
      </c>
      <c r="O9" s="38">
        <f>SUMIF(逐日资产统计!A:A,资产端序时!F9,逐日资产统计!M:M)-SUMIFS(逐日资产统计!M:M,逐日资产统计!A:A,资产端序时!F9,逐日资产统计!C:C,"人民币")</f>
        <v>1.0425557810047494</v>
      </c>
    </row>
    <row r="10" spans="1:106" x14ac:dyDescent="0.25">
      <c r="A10" s="30" t="s">
        <v>47</v>
      </c>
      <c r="B10" s="20"/>
      <c r="C10">
        <f>SUM($B$2:B10)</f>
        <v>-7463.19</v>
      </c>
      <c r="F10" s="31" t="str">
        <f t="shared" si="0"/>
        <v>总计</v>
      </c>
      <c r="G10" s="32">
        <f>SUMIFS(逐日资产统计!$I:$I,逐日资产统计!$A:$A,F10,逐日资产统计!$C:$C,"人民币")</f>
        <v>0</v>
      </c>
      <c r="H10" s="32">
        <f>SUMIF(逐日资产统计!$A:$A,资产端序时!$F10,逐日资产统计!$I:$I)-G10</f>
        <v>0</v>
      </c>
      <c r="I10" s="29">
        <f t="shared" si="1"/>
        <v>0</v>
      </c>
      <c r="J10" s="32">
        <f>SUMIF(逐日资产统计!$A:$A,资产端序时!$F10,逐日资产统计!$G:$G)</f>
        <v>0</v>
      </c>
      <c r="K10" s="40">
        <f t="shared" si="2"/>
        <v>0</v>
      </c>
      <c r="L10" s="39">
        <f t="shared" si="5"/>
        <v>-52735.770000000004</v>
      </c>
      <c r="M10" s="37" t="e">
        <f t="shared" si="6"/>
        <v>#DIV/0!</v>
      </c>
      <c r="N10" s="38">
        <f>SUMIFS(逐日资产统计!L:L,逐日资产统计!A:A,资产端序时!F10,逐日资产统计!C:C,"人民币")</f>
        <v>0</v>
      </c>
      <c r="O10" s="38">
        <f>SUMIF(逐日资产统计!A:A,资产端序时!F10,逐日资产统计!M:M)-SUMIFS(逐日资产统计!M:M,逐日资产统计!A:A,资产端序时!F10,逐日资产统计!C:C,"人民币")</f>
        <v>0</v>
      </c>
    </row>
    <row r="11" spans="1:106" x14ac:dyDescent="0.25">
      <c r="C11">
        <f>SUM($B$2:B11)</f>
        <v>-7463.19</v>
      </c>
      <c r="F11" s="31">
        <f t="shared" si="0"/>
        <v>0</v>
      </c>
      <c r="G11" s="32">
        <f>SUMIFS(逐日资产统计!$I:$I,逐日资产统计!$A:$A,F11,逐日资产统计!$C:$C,"人民币")</f>
        <v>0</v>
      </c>
      <c r="H11" s="32">
        <f>SUMIF(逐日资产统计!$A:$A,资产端序时!$F11,逐日资产统计!$I:$I)-G11</f>
        <v>0</v>
      </c>
      <c r="I11" s="29">
        <f t="shared" si="1"/>
        <v>0</v>
      </c>
      <c r="J11" s="32">
        <f>SUMIF(逐日资产统计!$A:$A,资产端序时!$F11,逐日资产统计!$G:$G)</f>
        <v>0</v>
      </c>
      <c r="K11" s="40">
        <f t="shared" si="2"/>
        <v>0</v>
      </c>
      <c r="L11" s="39">
        <f t="shared" si="5"/>
        <v>0</v>
      </c>
      <c r="M11" s="37" t="e">
        <f t="shared" si="6"/>
        <v>#DIV/0!</v>
      </c>
      <c r="N11" s="38">
        <f>SUMIFS(逐日资产统计!L:L,逐日资产统计!A:A,资产端序时!F11,逐日资产统计!C:C,"人民币")</f>
        <v>0</v>
      </c>
      <c r="O11" s="38">
        <f>SUMIF(逐日资产统计!A:A,资产端序时!F11,逐日资产统计!M:M)-SUMIFS(逐日资产统计!M:M,逐日资产统计!A:A,资产端序时!F11,逐日资产统计!C:C,"人民币")</f>
        <v>0</v>
      </c>
    </row>
    <row r="12" spans="1:106" x14ac:dyDescent="0.25">
      <c r="C12">
        <f>SUM($B$2:B12)</f>
        <v>-7463.19</v>
      </c>
      <c r="F12" s="31">
        <f t="shared" si="0"/>
        <v>0</v>
      </c>
      <c r="G12" s="32">
        <f>SUMIFS(逐日资产统计!$I:$I,逐日资产统计!$A:$A,F12,逐日资产统计!$C:$C,"人民币")</f>
        <v>0</v>
      </c>
      <c r="H12" s="32">
        <f>SUMIF(逐日资产统计!$A:$A,资产端序时!$F12,逐日资产统计!$I:$I)-G12</f>
        <v>0</v>
      </c>
      <c r="I12" s="29">
        <f t="shared" si="1"/>
        <v>0</v>
      </c>
      <c r="J12" s="32">
        <f>SUMIF(逐日资产统计!$A:$A,资产端序时!$F12,逐日资产统计!$G:$G)</f>
        <v>0</v>
      </c>
      <c r="K12" s="40">
        <f t="shared" si="2"/>
        <v>0</v>
      </c>
      <c r="L12" s="39">
        <f t="shared" si="5"/>
        <v>0</v>
      </c>
      <c r="M12" s="37" t="e">
        <f t="shared" si="6"/>
        <v>#DIV/0!</v>
      </c>
      <c r="N12" s="38">
        <f>SUMIFS(逐日资产统计!L:L,逐日资产统计!A:A,资产端序时!F12,逐日资产统计!C:C,"人民币")</f>
        <v>0</v>
      </c>
      <c r="O12" s="38">
        <f>SUMIF(逐日资产统计!A:A,资产端序时!F12,逐日资产统计!M:M)-SUMIFS(逐日资产统计!M:M,逐日资产统计!A:A,资产端序时!F12,逐日资产统计!C:C,"人民币")</f>
        <v>0</v>
      </c>
    </row>
    <row r="13" spans="1:106" x14ac:dyDescent="0.25">
      <c r="C13">
        <f>SUM($B$2:B13)</f>
        <v>-7463.19</v>
      </c>
      <c r="F13" s="31">
        <f t="shared" si="0"/>
        <v>0</v>
      </c>
      <c r="G13" s="32">
        <f>SUMIFS(逐日资产统计!$I:$I,逐日资产统计!$A:$A,F13,逐日资产统计!$C:$C,"人民币")</f>
        <v>0</v>
      </c>
      <c r="H13" s="32">
        <f>SUMIF(逐日资产统计!$A:$A,资产端序时!$F13,逐日资产统计!$I:$I)-G13</f>
        <v>0</v>
      </c>
      <c r="I13" s="29">
        <f t="shared" si="1"/>
        <v>0</v>
      </c>
      <c r="J13" s="32">
        <f>SUMIF(逐日资产统计!$A:$A,资产端序时!$F13,逐日资产统计!$G:$G)</f>
        <v>0</v>
      </c>
      <c r="K13" s="40">
        <f t="shared" si="2"/>
        <v>0</v>
      </c>
      <c r="L13" s="39">
        <f t="shared" si="5"/>
        <v>0</v>
      </c>
      <c r="M13" s="37" t="e">
        <f t="shared" si="6"/>
        <v>#DIV/0!</v>
      </c>
      <c r="N13" s="38">
        <f>SUMIFS(逐日资产统计!L:L,逐日资产统计!A:A,资产端序时!F13,逐日资产统计!C:C,"人民币")</f>
        <v>0</v>
      </c>
      <c r="O13" s="38">
        <f>SUMIF(逐日资产统计!A:A,资产端序时!F13,逐日资产统计!M:M)-SUMIFS(逐日资产统计!M:M,逐日资产统计!A:A,资产端序时!F13,逐日资产统计!C:C,"人民币")</f>
        <v>0</v>
      </c>
    </row>
    <row r="14" spans="1:106" x14ac:dyDescent="0.25">
      <c r="C14">
        <f>SUM($B$2:B14)</f>
        <v>-7463.19</v>
      </c>
      <c r="F14" s="31">
        <f t="shared" si="0"/>
        <v>0</v>
      </c>
      <c r="G14" s="32">
        <f>SUMIFS(逐日资产统计!$I:$I,逐日资产统计!$A:$A,F14,逐日资产统计!$C:$C,"人民币")</f>
        <v>0</v>
      </c>
      <c r="H14" s="32">
        <f>SUMIF(逐日资产统计!$A:$A,资产端序时!$F14,逐日资产统计!$I:$I)-G14</f>
        <v>0</v>
      </c>
      <c r="I14" s="29">
        <f t="shared" si="1"/>
        <v>0</v>
      </c>
      <c r="J14" s="32">
        <f>SUMIF(逐日资产统计!$A:$A,资产端序时!$F14,逐日资产统计!$G:$G)</f>
        <v>0</v>
      </c>
      <c r="K14" s="40">
        <f t="shared" si="2"/>
        <v>0</v>
      </c>
      <c r="L14" s="39">
        <f t="shared" si="5"/>
        <v>0</v>
      </c>
      <c r="M14" s="37" t="e">
        <f t="shared" si="6"/>
        <v>#DIV/0!</v>
      </c>
      <c r="N14" s="38">
        <f>SUMIFS(逐日资产统计!L:L,逐日资产统计!A:A,资产端序时!F14,逐日资产统计!C:C,"人民币")</f>
        <v>0</v>
      </c>
      <c r="O14" s="38">
        <f>SUMIF(逐日资产统计!A:A,资产端序时!F14,逐日资产统计!M:M)-SUMIFS(逐日资产统计!M:M,逐日资产统计!A:A,资产端序时!F14,逐日资产统计!C:C,"人民币")</f>
        <v>0</v>
      </c>
    </row>
    <row r="15" spans="1:106" x14ac:dyDescent="0.25">
      <c r="C15">
        <f>SUM($B$2:B15)</f>
        <v>-7463.19</v>
      </c>
      <c r="F15" s="31">
        <f t="shared" si="0"/>
        <v>0</v>
      </c>
      <c r="G15" s="32">
        <f>SUMIFS(逐日资产统计!$I:$I,逐日资产统计!$A:$A,F15,逐日资产统计!$C:$C,"人民币")</f>
        <v>0</v>
      </c>
      <c r="H15" s="32">
        <f>SUMIF(逐日资产统计!$A:$A,资产端序时!$F15,逐日资产统计!$I:$I)-G15</f>
        <v>0</v>
      </c>
      <c r="I15" s="29">
        <f t="shared" si="1"/>
        <v>0</v>
      </c>
      <c r="J15" s="32">
        <f>SUMIF(逐日资产统计!$A:$A,资产端序时!$F15,逐日资产统计!$G:$G)</f>
        <v>0</v>
      </c>
      <c r="K15" s="40">
        <f t="shared" si="2"/>
        <v>0</v>
      </c>
      <c r="L15" s="39">
        <f t="shared" si="5"/>
        <v>0</v>
      </c>
      <c r="M15" s="37" t="e">
        <f t="shared" si="6"/>
        <v>#DIV/0!</v>
      </c>
      <c r="N15" s="38">
        <f>SUMIFS(逐日资产统计!L:L,逐日资产统计!A:A,资产端序时!F15,逐日资产统计!C:C,"人民币")</f>
        <v>0</v>
      </c>
      <c r="O15" s="38">
        <f>SUMIF(逐日资产统计!A:A,资产端序时!F15,逐日资产统计!M:M)-SUMIFS(逐日资产统计!M:M,逐日资产统计!A:A,资产端序时!F15,逐日资产统计!C:C,"人民币")</f>
        <v>0</v>
      </c>
    </row>
    <row r="16" spans="1:106" x14ac:dyDescent="0.25">
      <c r="C16">
        <f>SUM($B$2:B16)</f>
        <v>-7463.19</v>
      </c>
      <c r="F16" s="31">
        <f t="shared" si="0"/>
        <v>0</v>
      </c>
      <c r="G16" s="32">
        <f>SUMIFS(逐日资产统计!$I:$I,逐日资产统计!$A:$A,F16,逐日资产统计!$C:$C,"人民币")</f>
        <v>0</v>
      </c>
      <c r="H16" s="32">
        <f>SUMIF(逐日资产统计!$A:$A,资产端序时!$F16,逐日资产统计!$I:$I)-G16</f>
        <v>0</v>
      </c>
      <c r="I16" s="29">
        <f t="shared" si="1"/>
        <v>0</v>
      </c>
      <c r="J16" s="32">
        <f>SUMIF(逐日资产统计!$A:$A,资产端序时!$F16,逐日资产统计!$G:$G)</f>
        <v>0</v>
      </c>
      <c r="K16" s="40">
        <f t="shared" si="2"/>
        <v>0</v>
      </c>
      <c r="L16" s="39">
        <f t="shared" si="5"/>
        <v>0</v>
      </c>
      <c r="M16" s="37" t="e">
        <f t="shared" si="6"/>
        <v>#DIV/0!</v>
      </c>
      <c r="N16" s="38">
        <f>SUMIFS(逐日资产统计!L:L,逐日资产统计!A:A,资产端序时!F16,逐日资产统计!C:C,"人民币")</f>
        <v>0</v>
      </c>
      <c r="O16" s="38">
        <f>SUMIF(逐日资产统计!A:A,资产端序时!F16,逐日资产统计!M:M)-SUMIFS(逐日资产统计!M:M,逐日资产统计!A:A,资产端序时!F16,逐日资产统计!C:C,"人民币")</f>
        <v>0</v>
      </c>
    </row>
    <row r="17" spans="3:17" x14ac:dyDescent="0.25">
      <c r="C17">
        <f>SUM($B$2:B17)</f>
        <v>-7463.19</v>
      </c>
      <c r="F17" s="31">
        <f t="shared" si="0"/>
        <v>0</v>
      </c>
      <c r="G17" s="32">
        <f>SUMIFS(逐日资产统计!$I:$I,逐日资产统计!$A:$A,F17,逐日资产统计!$C:$C,"人民币")</f>
        <v>0</v>
      </c>
      <c r="H17" s="32">
        <f>SUMIF(逐日资产统计!$A:$A,资产端序时!$F17,逐日资产统计!$I:$I)-G17</f>
        <v>0</v>
      </c>
      <c r="I17" s="29">
        <f t="shared" si="1"/>
        <v>0</v>
      </c>
      <c r="J17" s="32">
        <f>SUMIF(逐日资产统计!$A:$A,资产端序时!$F17,逐日资产统计!$G:$G)</f>
        <v>0</v>
      </c>
      <c r="K17" s="40">
        <f t="shared" si="2"/>
        <v>0</v>
      </c>
      <c r="L17" s="39">
        <f t="shared" si="5"/>
        <v>0</v>
      </c>
      <c r="M17" s="37" t="e">
        <f t="shared" si="6"/>
        <v>#DIV/0!</v>
      </c>
      <c r="N17" s="38">
        <f>SUMIFS(逐日资产统计!L:L,逐日资产统计!A:A,资产端序时!F17,逐日资产统计!C:C,"人民币")</f>
        <v>0</v>
      </c>
      <c r="O17" s="38">
        <f>SUMIF(逐日资产统计!A:A,资产端序时!F17,逐日资产统计!M:M)-SUMIFS(逐日资产统计!M:M,逐日资产统计!A:A,资产端序时!F17,逐日资产统计!C:C,"人民币")</f>
        <v>0</v>
      </c>
    </row>
    <row r="18" spans="3:17" x14ac:dyDescent="0.25">
      <c r="C18">
        <f>SUM($B$2:B18)</f>
        <v>-7463.19</v>
      </c>
      <c r="F18" s="31">
        <f t="shared" si="0"/>
        <v>0</v>
      </c>
      <c r="G18" s="32">
        <f>SUMIFS(逐日资产统计!$I:$I,逐日资产统计!$A:$A,F18,逐日资产统计!$C:$C,"人民币")</f>
        <v>0</v>
      </c>
      <c r="H18" s="32">
        <f>SUMIF(逐日资产统计!$A:$A,资产端序时!$F18,逐日资产统计!$I:$I)-G18</f>
        <v>0</v>
      </c>
      <c r="I18" s="29">
        <f t="shared" si="1"/>
        <v>0</v>
      </c>
      <c r="J18" s="32">
        <f>SUMIF(逐日资产统计!$A:$A,资产端序时!$F18,逐日资产统计!$G:$G)</f>
        <v>0</v>
      </c>
      <c r="K18" s="40">
        <f t="shared" si="2"/>
        <v>0</v>
      </c>
      <c r="L18" s="39">
        <f t="shared" si="5"/>
        <v>0</v>
      </c>
      <c r="M18" s="37" t="e">
        <f t="shared" si="6"/>
        <v>#DIV/0!</v>
      </c>
      <c r="N18" s="38">
        <f>SUMIFS(逐日资产统计!L:L,逐日资产统计!A:A,资产端序时!F18,逐日资产统计!C:C,"人民币")</f>
        <v>0</v>
      </c>
      <c r="O18" s="38">
        <f>SUMIF(逐日资产统计!A:A,资产端序时!F18,逐日资产统计!M:M)-SUMIFS(逐日资产统计!M:M,逐日资产统计!A:A,资产端序时!F18,逐日资产统计!C:C,"人民币")</f>
        <v>0</v>
      </c>
    </row>
    <row r="19" spans="3:17" x14ac:dyDescent="0.25">
      <c r="C19">
        <f>SUM($B$2:B19)</f>
        <v>-7463.19</v>
      </c>
      <c r="F19" s="31">
        <f t="shared" si="0"/>
        <v>0</v>
      </c>
      <c r="G19" s="32">
        <f>SUMIFS(逐日资产统计!$I:$I,逐日资产统计!$A:$A,F19,逐日资产统计!$C:$C,"人民币")</f>
        <v>0</v>
      </c>
      <c r="H19" s="32">
        <f>SUMIF(逐日资产统计!$A:$A,资产端序时!$F19,逐日资产统计!$I:$I)-G19</f>
        <v>0</v>
      </c>
      <c r="I19" s="29">
        <f t="shared" si="1"/>
        <v>0</v>
      </c>
      <c r="J19" s="32">
        <f>SUMIF(逐日资产统计!$A:$A,资产端序时!$F19,逐日资产统计!$G:$G)</f>
        <v>0</v>
      </c>
      <c r="K19" s="40">
        <f t="shared" si="2"/>
        <v>0</v>
      </c>
      <c r="L19" s="39">
        <f t="shared" si="5"/>
        <v>0</v>
      </c>
      <c r="M19" s="37" t="e">
        <f t="shared" si="6"/>
        <v>#DIV/0!</v>
      </c>
      <c r="N19" s="38">
        <f>SUMIFS(逐日资产统计!L:L,逐日资产统计!A:A,资产端序时!F19,逐日资产统计!C:C,"人民币")</f>
        <v>0</v>
      </c>
      <c r="O19" s="38">
        <f>SUMIF(逐日资产统计!A:A,资产端序时!F19,逐日资产统计!M:M)-SUMIFS(逐日资产统计!M:M,逐日资产统计!A:A,资产端序时!F19,逐日资产统计!C:C,"人民币")</f>
        <v>0</v>
      </c>
    </row>
    <row r="20" spans="3:17" x14ac:dyDescent="0.25">
      <c r="C20">
        <f>SUM($B$2:B20)</f>
        <v>-7463.19</v>
      </c>
      <c r="F20" s="31">
        <f t="shared" si="0"/>
        <v>0</v>
      </c>
      <c r="G20" s="32">
        <f>SUMIFS(逐日资产统计!$I:$I,逐日资产统计!$A:$A,F20,逐日资产统计!$C:$C,"人民币")</f>
        <v>0</v>
      </c>
      <c r="H20" s="32">
        <f>SUMIF(逐日资产统计!$A:$A,资产端序时!$F20,逐日资产统计!$I:$I)-G20</f>
        <v>0</v>
      </c>
      <c r="I20" s="29">
        <f t="shared" si="1"/>
        <v>0</v>
      </c>
      <c r="J20" s="32">
        <f>SUMIF(逐日资产统计!$A:$A,资产端序时!$F20,逐日资产统计!$G:$G)</f>
        <v>0</v>
      </c>
      <c r="K20" s="40">
        <f t="shared" si="2"/>
        <v>0</v>
      </c>
      <c r="L20" s="39">
        <f t="shared" si="5"/>
        <v>0</v>
      </c>
      <c r="M20" s="37" t="e">
        <f t="shared" si="6"/>
        <v>#DIV/0!</v>
      </c>
      <c r="N20" s="38">
        <f>SUMIFS(逐日资产统计!L:L,逐日资产统计!A:A,资产端序时!F20,逐日资产统计!C:C,"人民币")</f>
        <v>0</v>
      </c>
      <c r="O20" s="38">
        <f>SUMIF(逐日资产统计!A:A,资产端序时!F20,逐日资产统计!M:M)-SUMIFS(逐日资产统计!M:M,逐日资产统计!A:A,资产端序时!F20,逐日资产统计!C:C,"人民币")</f>
        <v>0</v>
      </c>
    </row>
    <row r="21" spans="3:17" x14ac:dyDescent="0.25">
      <c r="C21">
        <f>SUM($B$2:B21)</f>
        <v>-7463.19</v>
      </c>
      <c r="F21" s="31">
        <f t="shared" si="0"/>
        <v>0</v>
      </c>
      <c r="G21" s="32">
        <f>SUMIFS(逐日资产统计!$I:$I,逐日资产统计!$A:$A,F21,逐日资产统计!$C:$C,"人民币")</f>
        <v>0</v>
      </c>
      <c r="H21" s="32">
        <f>SUMIF(逐日资产统计!$A:$A,资产端序时!$F21,逐日资产统计!$I:$I)-G21</f>
        <v>0</v>
      </c>
      <c r="I21" s="29">
        <f t="shared" si="1"/>
        <v>0</v>
      </c>
      <c r="J21" s="32">
        <f>SUMIF(逐日资产统计!$A:$A,资产端序时!$F21,逐日资产统计!$G:$G)</f>
        <v>0</v>
      </c>
      <c r="K21" s="40">
        <f t="shared" si="2"/>
        <v>0</v>
      </c>
      <c r="L21" s="39">
        <f t="shared" si="5"/>
        <v>0</v>
      </c>
      <c r="M21" s="37" t="e">
        <f t="shared" si="6"/>
        <v>#DIV/0!</v>
      </c>
      <c r="N21" s="38">
        <f>SUMIFS(逐日资产统计!L:L,逐日资产统计!A:A,资产端序时!F21,逐日资产统计!C:C,"人民币")</f>
        <v>0</v>
      </c>
      <c r="O21" s="38">
        <f>SUMIF(逐日资产统计!A:A,资产端序时!F21,逐日资产统计!M:M)-SUMIFS(逐日资产统计!M:M,逐日资产统计!A:A,资产端序时!F21,逐日资产统计!C:C,"人民币")</f>
        <v>0</v>
      </c>
    </row>
    <row r="22" spans="3:17" x14ac:dyDescent="0.25">
      <c r="C22">
        <f>SUM($B$2:B22)</f>
        <v>-7463.19</v>
      </c>
      <c r="F22" s="31">
        <f t="shared" si="0"/>
        <v>0</v>
      </c>
      <c r="G22" s="32">
        <f>SUMIFS(逐日资产统计!$I:$I,逐日资产统计!$A:$A,F22,逐日资产统计!$C:$C,"人民币")</f>
        <v>0</v>
      </c>
      <c r="H22" s="32">
        <f>SUMIF(逐日资产统计!$A:$A,资产端序时!$F22,逐日资产统计!$I:$I)-G22</f>
        <v>0</v>
      </c>
      <c r="I22" s="29">
        <f t="shared" si="1"/>
        <v>0</v>
      </c>
      <c r="J22" s="32">
        <f>SUMIF(逐日资产统计!$A:$A,资产端序时!$F22,逐日资产统计!$G:$G)</f>
        <v>0</v>
      </c>
      <c r="K22" s="40">
        <f t="shared" si="2"/>
        <v>0</v>
      </c>
      <c r="L22" s="39">
        <f t="shared" si="5"/>
        <v>0</v>
      </c>
      <c r="M22" s="37" t="e">
        <f t="shared" si="6"/>
        <v>#DIV/0!</v>
      </c>
      <c r="N22" s="38">
        <f>SUMIFS(逐日资产统计!L:L,逐日资产统计!A:A,资产端序时!F22,逐日资产统计!C:C,"人民币")</f>
        <v>0</v>
      </c>
      <c r="O22" s="38">
        <f>SUMIF(逐日资产统计!A:A,资产端序时!F22,逐日资产统计!M:M)-SUMIFS(逐日资产统计!M:M,逐日资产统计!A:A,资产端序时!F22,逐日资产统计!C:C,"人民币")</f>
        <v>0</v>
      </c>
    </row>
    <row r="23" spans="3:17" x14ac:dyDescent="0.25">
      <c r="C23">
        <f>SUM($B$2:B23)</f>
        <v>-7463.19</v>
      </c>
      <c r="F23" s="31">
        <f t="shared" ref="F23:F31" si="7">A23</f>
        <v>0</v>
      </c>
      <c r="G23" s="32">
        <f>SUMIFS(逐日资产统计!$I:$I,逐日资产统计!$A:$A,F23,逐日资产统计!$C:$C,"人民币")</f>
        <v>0</v>
      </c>
      <c r="H23" s="32">
        <f>SUMIF(逐日资产统计!$A:$A,资产端序时!$F23,逐日资产统计!$I:$I)-G23</f>
        <v>0</v>
      </c>
      <c r="I23" s="29">
        <f t="shared" ref="I23:I31" si="8">G23+H23</f>
        <v>0</v>
      </c>
      <c r="J23" s="32">
        <f>SUMIF(逐日资产统计!$A:$A,资产端序时!$F23,逐日资产统计!$G:$G)</f>
        <v>0</v>
      </c>
      <c r="K23" s="40">
        <f t="shared" ref="K23:K31" si="9">I23-J23</f>
        <v>0</v>
      </c>
      <c r="L23" s="39">
        <f t="shared" ref="L23:L31" si="10">K23-K22</f>
        <v>0</v>
      </c>
      <c r="M23" s="37" t="e">
        <f t="shared" ref="M23:M31" si="11">J23/K23</f>
        <v>#DIV/0!</v>
      </c>
      <c r="N23" s="38">
        <f>SUMIFS(逐日资产统计!L:L,逐日资产统计!A:A,资产端序时!F23,逐日资产统计!C:C,"人民币")</f>
        <v>0</v>
      </c>
      <c r="O23" s="38">
        <f>SUMIF(逐日资产统计!A:A,资产端序时!F23,逐日资产统计!M:M)-SUMIFS(逐日资产统计!M:M,逐日资产统计!A:A,资产端序时!F23,逐日资产统计!C:C,"人民币")</f>
        <v>0</v>
      </c>
    </row>
    <row r="24" spans="3:17" x14ac:dyDescent="0.25">
      <c r="C24">
        <f>SUM($B$2:B24)</f>
        <v>-7463.19</v>
      </c>
      <c r="F24" s="31">
        <f t="shared" si="7"/>
        <v>0</v>
      </c>
      <c r="G24" s="32">
        <f>SUMIFS(逐日资产统计!$I:$I,逐日资产统计!$A:$A,F24,逐日资产统计!$C:$C,"人民币")</f>
        <v>0</v>
      </c>
      <c r="H24" s="32">
        <f>SUMIF(逐日资产统计!$A:$A,资产端序时!$F24,逐日资产统计!$I:$I)-G24</f>
        <v>0</v>
      </c>
      <c r="I24" s="29">
        <f t="shared" si="8"/>
        <v>0</v>
      </c>
      <c r="J24" s="32">
        <f>SUMIF(逐日资产统计!$A:$A,资产端序时!$F24,逐日资产统计!$G:$G)</f>
        <v>0</v>
      </c>
      <c r="K24" s="40">
        <f t="shared" si="9"/>
        <v>0</v>
      </c>
      <c r="L24" s="39">
        <f t="shared" si="10"/>
        <v>0</v>
      </c>
      <c r="M24" s="37" t="e">
        <f t="shared" si="11"/>
        <v>#DIV/0!</v>
      </c>
      <c r="N24" s="38">
        <f>SUMIFS(逐日资产统计!L:L,逐日资产统计!A:A,资产端序时!F24,逐日资产统计!C:C,"人民币")</f>
        <v>0</v>
      </c>
      <c r="O24" s="38">
        <f>SUMIF(逐日资产统计!A:A,资产端序时!F24,逐日资产统计!M:M)-SUMIFS(逐日资产统计!M:M,逐日资产统计!A:A,资产端序时!F24,逐日资产统计!C:C,"人民币")</f>
        <v>0</v>
      </c>
    </row>
    <row r="25" spans="3:17" x14ac:dyDescent="0.25">
      <c r="C25">
        <f>SUM($B$2:B25)</f>
        <v>-7463.19</v>
      </c>
      <c r="F25" s="31">
        <f t="shared" si="7"/>
        <v>0</v>
      </c>
      <c r="G25" s="32">
        <f>SUMIFS(逐日资产统计!$I:$I,逐日资产统计!$A:$A,F25,逐日资产统计!$C:$C,"人民币")</f>
        <v>0</v>
      </c>
      <c r="H25" s="32">
        <f>SUMIF(逐日资产统计!$A:$A,资产端序时!$F25,逐日资产统计!$I:$I)-G25</f>
        <v>0</v>
      </c>
      <c r="I25" s="29">
        <f t="shared" si="8"/>
        <v>0</v>
      </c>
      <c r="J25" s="32">
        <f>SUMIF(逐日资产统计!$A:$A,资产端序时!$F25,逐日资产统计!$G:$G)</f>
        <v>0</v>
      </c>
      <c r="K25" s="40">
        <f t="shared" si="9"/>
        <v>0</v>
      </c>
      <c r="L25" s="39">
        <f t="shared" si="10"/>
        <v>0</v>
      </c>
      <c r="M25" s="37" t="e">
        <f t="shared" si="11"/>
        <v>#DIV/0!</v>
      </c>
      <c r="N25" s="38">
        <f>SUMIFS(逐日资产统计!L:L,逐日资产统计!A:A,资产端序时!F25,逐日资产统计!C:C,"人民币")</f>
        <v>0</v>
      </c>
      <c r="O25" s="38">
        <f>SUMIF(逐日资产统计!A:A,资产端序时!F25,逐日资产统计!M:M)-SUMIFS(逐日资产统计!M:M,逐日资产统计!A:A,资产端序时!F25,逐日资产统计!C:C,"人民币")</f>
        <v>0</v>
      </c>
      <c r="P25" s="41"/>
      <c r="Q25" s="43"/>
    </row>
    <row r="26" spans="3:17" x14ac:dyDescent="0.25">
      <c r="C26">
        <f>SUM($B$2:B26)</f>
        <v>-7463.19</v>
      </c>
      <c r="F26" s="31">
        <f t="shared" si="7"/>
        <v>0</v>
      </c>
      <c r="G26" s="32">
        <f>SUMIFS(逐日资产统计!$I:$I,逐日资产统计!$A:$A,F26,逐日资产统计!$C:$C,"人民币")</f>
        <v>0</v>
      </c>
      <c r="H26" s="32">
        <f>SUMIF(逐日资产统计!$A:$A,资产端序时!$F26,逐日资产统计!$I:$I)-G26</f>
        <v>0</v>
      </c>
      <c r="I26" s="29">
        <f t="shared" si="8"/>
        <v>0</v>
      </c>
      <c r="J26" s="32">
        <f>SUMIF(逐日资产统计!$A:$A,资产端序时!$F26,逐日资产统计!$G:$G)</f>
        <v>0</v>
      </c>
      <c r="K26" s="40">
        <f t="shared" si="9"/>
        <v>0</v>
      </c>
      <c r="L26" s="39">
        <f t="shared" si="10"/>
        <v>0</v>
      </c>
      <c r="M26" s="37" t="e">
        <f t="shared" si="11"/>
        <v>#DIV/0!</v>
      </c>
      <c r="N26" s="38">
        <f>SUMIFS(逐日资产统计!L:L,逐日资产统计!A:A,资产端序时!F26,逐日资产统计!C:C,"人民币")</f>
        <v>0</v>
      </c>
      <c r="O26" s="38">
        <f>SUMIF(逐日资产统计!A:A,资产端序时!F26,逐日资产统计!M:M)-SUMIFS(逐日资产统计!M:M,逐日资产统计!A:A,资产端序时!F26,逐日资产统计!C:C,"人民币")</f>
        <v>0</v>
      </c>
      <c r="P26" s="41"/>
      <c r="Q26" s="43"/>
    </row>
    <row r="27" spans="3:17" x14ac:dyDescent="0.25">
      <c r="C27">
        <f>SUM($B$2:B27)</f>
        <v>-7463.19</v>
      </c>
      <c r="F27" s="31">
        <f t="shared" si="7"/>
        <v>0</v>
      </c>
      <c r="G27" s="32">
        <f>SUMIFS(逐日资产统计!$I:$I,逐日资产统计!$A:$A,F27,逐日资产统计!$C:$C,"人民币")</f>
        <v>0</v>
      </c>
      <c r="H27" s="32">
        <f>SUMIF(逐日资产统计!$A:$A,资产端序时!$F27,逐日资产统计!$I:$I)-G27</f>
        <v>0</v>
      </c>
      <c r="I27" s="29">
        <f t="shared" si="8"/>
        <v>0</v>
      </c>
      <c r="J27" s="32">
        <f>SUMIF(逐日资产统计!$A:$A,资产端序时!$F27,逐日资产统计!$G:$G)</f>
        <v>0</v>
      </c>
      <c r="K27" s="40">
        <f t="shared" si="9"/>
        <v>0</v>
      </c>
      <c r="L27" s="39">
        <f t="shared" si="10"/>
        <v>0</v>
      </c>
      <c r="M27" s="37" t="e">
        <f t="shared" si="11"/>
        <v>#DIV/0!</v>
      </c>
      <c r="N27" s="38">
        <f>SUMIFS(逐日资产统计!L:L,逐日资产统计!A:A,资产端序时!F27,逐日资产统计!C:C,"人民币")</f>
        <v>0</v>
      </c>
      <c r="O27" s="38">
        <f>SUMIF(逐日资产统计!A:A,资产端序时!F27,逐日资产统计!M:M)-SUMIFS(逐日资产统计!M:M,逐日资产统计!A:A,资产端序时!F27,逐日资产统计!C:C,"人民币")</f>
        <v>0</v>
      </c>
      <c r="P27" s="41"/>
      <c r="Q27" s="43"/>
    </row>
    <row r="28" spans="3:17" x14ac:dyDescent="0.25">
      <c r="C28">
        <f>SUM($B$2:B28)</f>
        <v>-7463.19</v>
      </c>
      <c r="F28" s="31">
        <f t="shared" si="7"/>
        <v>0</v>
      </c>
      <c r="G28" s="32">
        <f>SUMIFS(逐日资产统计!$I:$I,逐日资产统计!$A:$A,F28,逐日资产统计!$C:$C,"人民币")</f>
        <v>0</v>
      </c>
      <c r="H28" s="32">
        <f>SUMIF(逐日资产统计!$A:$A,资产端序时!$F28,逐日资产统计!$I:$I)-G28</f>
        <v>0</v>
      </c>
      <c r="I28" s="29">
        <f t="shared" si="8"/>
        <v>0</v>
      </c>
      <c r="J28" s="32">
        <f>SUMIF(逐日资产统计!$A:$A,资产端序时!$F28,逐日资产统计!$G:$G)</f>
        <v>0</v>
      </c>
      <c r="K28" s="40">
        <f t="shared" si="9"/>
        <v>0</v>
      </c>
      <c r="L28" s="39">
        <f t="shared" si="10"/>
        <v>0</v>
      </c>
      <c r="M28" s="37" t="e">
        <f t="shared" si="11"/>
        <v>#DIV/0!</v>
      </c>
      <c r="N28" s="38">
        <f>SUMIFS(逐日资产统计!L:L,逐日资产统计!A:A,资产端序时!F28,逐日资产统计!C:C,"人民币")</f>
        <v>0</v>
      </c>
      <c r="O28" s="38">
        <f>SUMIF(逐日资产统计!A:A,资产端序时!F28,逐日资产统计!M:M)-SUMIFS(逐日资产统计!M:M,逐日资产统计!A:A,资产端序时!F28,逐日资产统计!C:C,"人民币")</f>
        <v>0</v>
      </c>
      <c r="P28" s="41"/>
      <c r="Q28" s="43"/>
    </row>
    <row r="29" spans="3:17" x14ac:dyDescent="0.25">
      <c r="C29">
        <f>SUM($B$2:B29)</f>
        <v>-7463.19</v>
      </c>
      <c r="F29" s="31">
        <f t="shared" si="7"/>
        <v>0</v>
      </c>
      <c r="G29" s="32">
        <f>SUMIFS(逐日资产统计!$I:$I,逐日资产统计!$A:$A,F29,逐日资产统计!$C:$C,"人民币")</f>
        <v>0</v>
      </c>
      <c r="H29" s="32">
        <f>SUMIF(逐日资产统计!$A:$A,资产端序时!$F29,逐日资产统计!$I:$I)-G29</f>
        <v>0</v>
      </c>
      <c r="I29" s="29">
        <f t="shared" si="8"/>
        <v>0</v>
      </c>
      <c r="J29" s="32">
        <f>SUMIF(逐日资产统计!$A:$A,资产端序时!$F29,逐日资产统计!$G:$G)</f>
        <v>0</v>
      </c>
      <c r="K29" s="40">
        <f t="shared" si="9"/>
        <v>0</v>
      </c>
      <c r="L29" s="39">
        <f t="shared" si="10"/>
        <v>0</v>
      </c>
      <c r="M29" s="37" t="e">
        <f t="shared" si="11"/>
        <v>#DIV/0!</v>
      </c>
      <c r="N29" s="38">
        <f>SUMIFS(逐日资产统计!L:L,逐日资产统计!A:A,资产端序时!F29,逐日资产统计!C:C,"人民币")</f>
        <v>0</v>
      </c>
      <c r="O29" s="38">
        <f>SUMIF(逐日资产统计!A:A,资产端序时!F29,逐日资产统计!M:M)-SUMIFS(逐日资产统计!M:M,逐日资产统计!A:A,资产端序时!F29,逐日资产统计!C:C,"人民币")</f>
        <v>0</v>
      </c>
    </row>
    <row r="30" spans="3:17" x14ac:dyDescent="0.25">
      <c r="C30">
        <f>SUM($B$2:B30)</f>
        <v>-7463.19</v>
      </c>
      <c r="F30" s="31">
        <f t="shared" si="7"/>
        <v>0</v>
      </c>
      <c r="G30" s="32">
        <f>SUMIFS(逐日资产统计!$I:$I,逐日资产统计!$A:$A,F30,逐日资产统计!$C:$C,"人民币")</f>
        <v>0</v>
      </c>
      <c r="H30" s="32">
        <f>SUMIF(逐日资产统计!$A:$A,资产端序时!$F30,逐日资产统计!$I:$I)-G30</f>
        <v>0</v>
      </c>
      <c r="I30" s="29">
        <f t="shared" si="8"/>
        <v>0</v>
      </c>
      <c r="J30" s="32">
        <f>SUMIF(逐日资产统计!$A:$A,资产端序时!$F30,逐日资产统计!$G:$G)</f>
        <v>0</v>
      </c>
      <c r="K30" s="40">
        <f t="shared" si="9"/>
        <v>0</v>
      </c>
      <c r="L30" s="39">
        <f t="shared" si="10"/>
        <v>0</v>
      </c>
      <c r="M30" s="37" t="e">
        <f t="shared" si="11"/>
        <v>#DIV/0!</v>
      </c>
      <c r="N30" s="38">
        <f>SUMIFS(逐日资产统计!L:L,逐日资产统计!A:A,资产端序时!F30,逐日资产统计!C:C,"人民币")</f>
        <v>0</v>
      </c>
      <c r="O30" s="38">
        <f>SUMIF(逐日资产统计!A:A,资产端序时!F30,逐日资产统计!M:M)-SUMIFS(逐日资产统计!M:M,逐日资产统计!A:A,资产端序时!F30,逐日资产统计!C:C,"人民币")</f>
        <v>0</v>
      </c>
    </row>
    <row r="31" spans="3:17" x14ac:dyDescent="0.25">
      <c r="C31">
        <f>SUM($B$2:B31)</f>
        <v>-7463.19</v>
      </c>
      <c r="F31" s="31">
        <f t="shared" si="7"/>
        <v>0</v>
      </c>
      <c r="G31" s="32">
        <f>SUMIFS(逐日资产统计!$I:$I,逐日资产统计!$A:$A,F31,逐日资产统计!$C:$C,"人民币")</f>
        <v>0</v>
      </c>
      <c r="H31" s="32">
        <f>SUMIF(逐日资产统计!$A:$A,资产端序时!$F31,逐日资产统计!$I:$I)-G31</f>
        <v>0</v>
      </c>
      <c r="I31" s="29">
        <f t="shared" si="8"/>
        <v>0</v>
      </c>
      <c r="J31" s="32">
        <f>SUMIF(逐日资产统计!$A:$A,资产端序时!$F31,逐日资产统计!$G:$G)</f>
        <v>0</v>
      </c>
      <c r="K31" s="40">
        <f t="shared" si="9"/>
        <v>0</v>
      </c>
      <c r="L31" s="39">
        <f t="shared" si="10"/>
        <v>0</v>
      </c>
      <c r="M31" s="37" t="e">
        <f t="shared" si="11"/>
        <v>#DIV/0!</v>
      </c>
      <c r="N31" s="38">
        <f>SUMIFS(逐日资产统计!L:L,逐日资产统计!A:A,资产端序时!F31,逐日资产统计!C:C,"人民币")</f>
        <v>0</v>
      </c>
      <c r="O31" s="38">
        <f>SUMIF(逐日资产统计!A:A,资产端序时!F31,逐日资产统计!M:M)-SUMIFS(逐日资产统计!M:M,逐日资产统计!A:A,资产端序时!F31,逐日资产统计!C:C,"人民币")</f>
        <v>0</v>
      </c>
    </row>
    <row r="32" spans="3:17" x14ac:dyDescent="0.25">
      <c r="C32">
        <f>SUM($B$2:B32)</f>
        <v>-7463.19</v>
      </c>
      <c r="F32" s="31">
        <f>A32</f>
        <v>0</v>
      </c>
      <c r="G32" s="32">
        <f>SUMIFS(逐日资产统计!$I:$I,逐日资产统计!$A:$A,F32,逐日资产统计!$C:$C,"人民币")</f>
        <v>0</v>
      </c>
      <c r="H32" s="32">
        <f>SUMIF(逐日资产统计!$A:$A,资产端序时!$F32,逐日资产统计!$I:$I)-G32</f>
        <v>0</v>
      </c>
      <c r="I32" s="29">
        <f t="shared" ref="I32:I34" si="12">G32+H32</f>
        <v>0</v>
      </c>
      <c r="J32" s="32">
        <f>SUMIF(逐日资产统计!$A:$A,资产端序时!$F32,逐日资产统计!$G:$G)</f>
        <v>0</v>
      </c>
      <c r="K32" s="40">
        <f t="shared" ref="K32:K33" si="13">I32-J32</f>
        <v>0</v>
      </c>
      <c r="L32" s="39">
        <f t="shared" ref="L32:L36" si="14">K32-K31</f>
        <v>0</v>
      </c>
      <c r="M32" s="37" t="e">
        <f t="shared" ref="M32:M34" si="15">J32/K32</f>
        <v>#DIV/0!</v>
      </c>
      <c r="N32" s="38">
        <f>SUMIFS(逐日资产统计!L:L,逐日资产统计!A:A,资产端序时!F32,逐日资产统计!C:C,"人民币")</f>
        <v>0</v>
      </c>
      <c r="O32" s="38">
        <f>SUMIF(逐日资产统计!A:A,资产端序时!F32,逐日资产统计!M:M)-SUMIFS(逐日资产统计!M:M,逐日资产统计!A:A,资产端序时!F32,逐日资产统计!C:C,"人民币")</f>
        <v>0</v>
      </c>
    </row>
    <row r="33" spans="3:15" x14ac:dyDescent="0.25">
      <c r="C33">
        <f>SUM($B$2:B33)</f>
        <v>-7463.19</v>
      </c>
      <c r="F33" s="31">
        <f>A33</f>
        <v>0</v>
      </c>
      <c r="G33" s="32">
        <f>SUMIFS(逐日资产统计!$I:$I,逐日资产统计!$A:$A,F33,逐日资产统计!$C:$C,"人民币")</f>
        <v>0</v>
      </c>
      <c r="H33" s="32">
        <f>SUMIF(逐日资产统计!$A:$A,资产端序时!$F33,逐日资产统计!$I:$I)-G33</f>
        <v>0</v>
      </c>
      <c r="I33" s="29">
        <f t="shared" si="12"/>
        <v>0</v>
      </c>
      <c r="J33" s="32">
        <f>SUMIF(逐日资产统计!$A:$A,资产端序时!$F33,逐日资产统计!$G:$G)</f>
        <v>0</v>
      </c>
      <c r="K33" s="40">
        <f t="shared" si="13"/>
        <v>0</v>
      </c>
      <c r="L33" s="39">
        <f t="shared" si="14"/>
        <v>0</v>
      </c>
      <c r="M33" s="37" t="e">
        <f t="shared" si="15"/>
        <v>#DIV/0!</v>
      </c>
      <c r="N33" s="38">
        <f>SUMIFS(逐日资产统计!L:L,逐日资产统计!A:A,资产端序时!F33,逐日资产统计!C:C,"人民币")</f>
        <v>0</v>
      </c>
      <c r="O33" s="38">
        <f>SUMIF(逐日资产统计!A:A,资产端序时!F33,逐日资产统计!M:M)-SUMIFS(逐日资产统计!M:M,逐日资产统计!A:A,资产端序时!F33,逐日资产统计!C:C,"人民币")</f>
        <v>0</v>
      </c>
    </row>
    <row r="34" spans="3:15" x14ac:dyDescent="0.25">
      <c r="C34">
        <f>SUM($B$2:B34)</f>
        <v>-7463.19</v>
      </c>
      <c r="F34" s="31">
        <f>A34</f>
        <v>0</v>
      </c>
      <c r="G34" s="32">
        <f>SUMIFS(逐日资产统计!$I:$I,逐日资产统计!$A:$A,F34,逐日资产统计!$C:$C,"人民币")</f>
        <v>0</v>
      </c>
      <c r="H34" s="32">
        <f>SUMIF(逐日资产统计!$A:$A,资产端序时!$F34,逐日资产统计!$I:$I)-G34</f>
        <v>0</v>
      </c>
      <c r="I34" s="29">
        <f t="shared" si="12"/>
        <v>0</v>
      </c>
      <c r="J34" s="32">
        <f>SUMIF(逐日资产统计!$A:$A,资产端序时!$F34,逐日资产统计!$G:$G)</f>
        <v>0</v>
      </c>
      <c r="K34" s="40">
        <f t="shared" ref="K34:K43" si="16">I34-J34</f>
        <v>0</v>
      </c>
      <c r="L34" s="39">
        <f t="shared" si="14"/>
        <v>0</v>
      </c>
      <c r="M34" s="37" t="e">
        <f t="shared" si="15"/>
        <v>#DIV/0!</v>
      </c>
      <c r="N34" s="38">
        <f>SUMIFS(逐日资产统计!L:L,逐日资产统计!A:A,资产端序时!F34,逐日资产统计!C:C,"人民币")</f>
        <v>0</v>
      </c>
      <c r="O34" s="38">
        <f>SUMIF(逐日资产统计!A:A,资产端序时!F34,逐日资产统计!M:M)-SUMIFS(逐日资产统计!M:M,逐日资产统计!A:A,资产端序时!F34,逐日资产统计!C:C,"人民币")</f>
        <v>0</v>
      </c>
    </row>
    <row r="35" spans="3:15" x14ac:dyDescent="0.25">
      <c r="C35">
        <f>SUM($B$2:B35)</f>
        <v>-7463.19</v>
      </c>
      <c r="F35" s="31">
        <f t="shared" ref="F35:F41" si="17">A35</f>
        <v>0</v>
      </c>
      <c r="G35" s="32">
        <f>SUMIFS(逐日资产统计!$I:$I,逐日资产统计!$A:$A,F35,逐日资产统计!$C:$C,"人民币")</f>
        <v>0</v>
      </c>
      <c r="H35" s="32">
        <f>SUMIF(逐日资产统计!$A:$A,资产端序时!$F35,逐日资产统计!$I:$I)-G35</f>
        <v>0</v>
      </c>
      <c r="I35" s="29">
        <f t="shared" ref="I35:I43" si="18">G35+H35</f>
        <v>0</v>
      </c>
      <c r="J35" s="32">
        <f>SUMIF(逐日资产统计!$A:$A,资产端序时!$F35,逐日资产统计!$G:$G)</f>
        <v>0</v>
      </c>
      <c r="K35" s="40">
        <f t="shared" si="16"/>
        <v>0</v>
      </c>
      <c r="L35" s="39">
        <f t="shared" si="14"/>
        <v>0</v>
      </c>
      <c r="M35" s="37" t="e">
        <f t="shared" ref="M35:M48" si="19">J35/K35</f>
        <v>#DIV/0!</v>
      </c>
      <c r="N35" s="38">
        <f>SUMIFS(逐日资产统计!L:L,逐日资产统计!A:A,资产端序时!F35,逐日资产统计!C:C,"人民币")</f>
        <v>0</v>
      </c>
      <c r="O35" s="38">
        <f>SUMIF(逐日资产统计!A:A,资产端序时!F35,逐日资产统计!M:M)-SUMIFS(逐日资产统计!M:M,逐日资产统计!A:A,资产端序时!F35,逐日资产统计!C:C,"人民币")</f>
        <v>0</v>
      </c>
    </row>
    <row r="36" spans="3:15" x14ac:dyDescent="0.25">
      <c r="C36">
        <f>SUM($B$2:B36)</f>
        <v>-7463.19</v>
      </c>
      <c r="F36" s="31">
        <f t="shared" si="17"/>
        <v>0</v>
      </c>
      <c r="G36" s="33">
        <f>SUMIFS(逐日资产统计!$I:$I,逐日资产统计!$A:$A,F36,逐日资产统计!$C:$C,"人民币")</f>
        <v>0</v>
      </c>
      <c r="H36" s="32">
        <f>SUMIF(逐日资产统计!$A:$A,资产端序时!$F36,逐日资产统计!$I:$I)-G36</f>
        <v>0</v>
      </c>
      <c r="I36" s="29">
        <f t="shared" si="18"/>
        <v>0</v>
      </c>
      <c r="J36" s="32">
        <f>SUMIF(逐日资产统计!$A:$A,资产端序时!$F36,逐日资产统计!$G:$G)</f>
        <v>0</v>
      </c>
      <c r="K36" s="40">
        <f t="shared" si="16"/>
        <v>0</v>
      </c>
      <c r="L36" s="39">
        <f t="shared" si="14"/>
        <v>0</v>
      </c>
      <c r="M36" s="37" t="e">
        <f t="shared" si="19"/>
        <v>#DIV/0!</v>
      </c>
      <c r="N36" s="38">
        <f>SUMIFS(逐日资产统计!L:L,逐日资产统计!A:A,资产端序时!F36,逐日资产统计!C:C,"人民币")</f>
        <v>0</v>
      </c>
      <c r="O36" s="38">
        <f>SUMIF(逐日资产统计!A:A,资产端序时!F36,逐日资产统计!M:M)-SUMIFS(逐日资产统计!M:M,逐日资产统计!A:A,资产端序时!F36,逐日资产统计!C:C,"人民币")</f>
        <v>0</v>
      </c>
    </row>
    <row r="37" spans="3:15" x14ac:dyDescent="0.25">
      <c r="C37">
        <f>SUM($B$2:B37)</f>
        <v>-7463.19</v>
      </c>
      <c r="F37" s="31">
        <f t="shared" si="17"/>
        <v>0</v>
      </c>
      <c r="G37" s="33">
        <f>SUMIFS(逐日资产统计!$I:$I,逐日资产统计!$A:$A,F37,逐日资产统计!$C:$C,"人民币")</f>
        <v>0</v>
      </c>
      <c r="H37" s="32">
        <f>SUMIF(逐日资产统计!$A:$A,资产端序时!$F37,逐日资产统计!$I:$I)-G37</f>
        <v>0</v>
      </c>
      <c r="I37" s="29">
        <f t="shared" si="18"/>
        <v>0</v>
      </c>
      <c r="J37" s="32">
        <f>SUMIF(逐日资产统计!$A:$A,资产端序时!$F37,逐日资产统计!$G:$G)</f>
        <v>0</v>
      </c>
      <c r="K37" s="40">
        <f t="shared" si="16"/>
        <v>0</v>
      </c>
      <c r="L37" s="39">
        <f t="shared" ref="L37:L43" si="20">K37-K36</f>
        <v>0</v>
      </c>
      <c r="M37" s="37" t="e">
        <f t="shared" si="19"/>
        <v>#DIV/0!</v>
      </c>
      <c r="N37" s="38">
        <f>SUMIFS(逐日资产统计!L:L,逐日资产统计!A:A,资产端序时!F37,逐日资产统计!C:C,"人民币")</f>
        <v>0</v>
      </c>
      <c r="O37" s="38">
        <f>SUMIF(逐日资产统计!A:A,资产端序时!F37,逐日资产统计!M:M)-SUMIFS(逐日资产统计!M:M,逐日资产统计!A:A,资产端序时!F37,逐日资产统计!C:C,"人民币")</f>
        <v>0</v>
      </c>
    </row>
    <row r="38" spans="3:15" x14ac:dyDescent="0.25">
      <c r="C38">
        <f>SUM($B$2:B38)</f>
        <v>-7463.19</v>
      </c>
      <c r="F38" s="31">
        <f t="shared" si="17"/>
        <v>0</v>
      </c>
      <c r="G38" s="33">
        <f>SUMIFS(逐日资产统计!$I:$I,逐日资产统计!$A:$A,F38,逐日资产统计!$C:$C,"人民币")</f>
        <v>0</v>
      </c>
      <c r="H38" s="32">
        <f>SUMIF(逐日资产统计!$A:$A,资产端序时!$F38,逐日资产统计!$I:$I)-G38</f>
        <v>0</v>
      </c>
      <c r="I38" s="29">
        <f t="shared" si="18"/>
        <v>0</v>
      </c>
      <c r="J38" s="32">
        <f>SUMIF(逐日资产统计!$A:$A,资产端序时!$F38,逐日资产统计!$G:$G)</f>
        <v>0</v>
      </c>
      <c r="K38" s="40">
        <f t="shared" si="16"/>
        <v>0</v>
      </c>
      <c r="L38" s="39">
        <f t="shared" si="20"/>
        <v>0</v>
      </c>
      <c r="M38" s="37" t="e">
        <f t="shared" si="19"/>
        <v>#DIV/0!</v>
      </c>
      <c r="N38" s="38">
        <f>SUMIFS(逐日资产统计!L:L,逐日资产统计!A:A,资产端序时!F38,逐日资产统计!C:C,"人民币")</f>
        <v>0</v>
      </c>
      <c r="O38" s="38">
        <f>SUMIF(逐日资产统计!A:A,资产端序时!F38,逐日资产统计!M:M)-SUMIFS(逐日资产统计!M:M,逐日资产统计!A:A,资产端序时!F38,逐日资产统计!C:C,"人民币")</f>
        <v>0</v>
      </c>
    </row>
    <row r="39" spans="3:15" x14ac:dyDescent="0.25">
      <c r="C39">
        <f>SUM($B$2:B39)</f>
        <v>-7463.19</v>
      </c>
      <c r="F39" s="31">
        <f t="shared" si="17"/>
        <v>0</v>
      </c>
      <c r="G39" s="33">
        <f>SUMIFS(逐日资产统计!$I:$I,逐日资产统计!$A:$A,F39,逐日资产统计!$C:$C,"人民币")</f>
        <v>0</v>
      </c>
      <c r="H39" s="32">
        <f>SUMIF(逐日资产统计!$A:$A,资产端序时!$F39,逐日资产统计!$I:$I)-G39</f>
        <v>0</v>
      </c>
      <c r="I39" s="29">
        <f t="shared" si="18"/>
        <v>0</v>
      </c>
      <c r="J39" s="32">
        <f>SUMIF(逐日资产统计!$A:$A,资产端序时!$F39,逐日资产统计!$G:$G)</f>
        <v>0</v>
      </c>
      <c r="K39" s="40">
        <f t="shared" si="16"/>
        <v>0</v>
      </c>
      <c r="L39" s="39">
        <f t="shared" si="20"/>
        <v>0</v>
      </c>
      <c r="M39" s="37" t="e">
        <f t="shared" si="19"/>
        <v>#DIV/0!</v>
      </c>
      <c r="N39" s="38">
        <f>SUMIFS(逐日资产统计!L:L,逐日资产统计!A:A,资产端序时!F39,逐日资产统计!C:C,"人民币")</f>
        <v>0</v>
      </c>
      <c r="O39" s="38">
        <f>SUMIF(逐日资产统计!A:A,资产端序时!F39,逐日资产统计!M:M)-SUMIFS(逐日资产统计!M:M,逐日资产统计!A:A,资产端序时!F39,逐日资产统计!C:C,"人民币")</f>
        <v>0</v>
      </c>
    </row>
    <row r="40" spans="3:15" x14ac:dyDescent="0.25">
      <c r="C40">
        <f>SUM($B$2:B40)</f>
        <v>-7463.19</v>
      </c>
      <c r="F40" s="31">
        <f t="shared" si="17"/>
        <v>0</v>
      </c>
      <c r="G40" s="33">
        <f>SUMIFS(逐日资产统计!$I:$I,逐日资产统计!$A:$A,F40,逐日资产统计!$C:$C,"人民币")</f>
        <v>0</v>
      </c>
      <c r="H40" s="32">
        <f>SUMIF(逐日资产统计!$A:$A,资产端序时!$F40,逐日资产统计!$I:$I)-G40</f>
        <v>0</v>
      </c>
      <c r="I40" s="29">
        <f t="shared" si="18"/>
        <v>0</v>
      </c>
      <c r="J40" s="32">
        <f>SUMIF(逐日资产统计!$A:$A,资产端序时!$F40,逐日资产统计!$G:$G)</f>
        <v>0</v>
      </c>
      <c r="K40" s="40">
        <f t="shared" si="16"/>
        <v>0</v>
      </c>
      <c r="L40" s="39">
        <f t="shared" si="20"/>
        <v>0</v>
      </c>
      <c r="M40" s="37" t="e">
        <f t="shared" si="19"/>
        <v>#DIV/0!</v>
      </c>
      <c r="N40" s="38">
        <f>SUMIFS(逐日资产统计!L:L,逐日资产统计!A:A,资产端序时!F40,逐日资产统计!C:C,"人民币")</f>
        <v>0</v>
      </c>
      <c r="O40" s="38">
        <f>SUMIF(逐日资产统计!A:A,资产端序时!F40,逐日资产统计!M:M)-SUMIFS(逐日资产统计!M:M,逐日资产统计!A:A,资产端序时!F40,逐日资产统计!C:C,"人民币")</f>
        <v>0</v>
      </c>
    </row>
    <row r="41" spans="3:15" x14ac:dyDescent="0.25">
      <c r="C41">
        <f>SUM($B$2:B41)</f>
        <v>-7463.19</v>
      </c>
      <c r="F41" s="31">
        <f t="shared" si="17"/>
        <v>0</v>
      </c>
      <c r="G41" s="33">
        <f>SUMIFS(逐日资产统计!$I:$I,逐日资产统计!$A:$A,F41,逐日资产统计!$C:$C,"人民币")</f>
        <v>0</v>
      </c>
      <c r="H41" s="32">
        <f>SUMIF(逐日资产统计!$A:$A,资产端序时!$F41,逐日资产统计!$I:$I)-G41</f>
        <v>0</v>
      </c>
      <c r="I41" s="29">
        <f t="shared" si="18"/>
        <v>0</v>
      </c>
      <c r="J41" s="32">
        <f>SUMIF(逐日资产统计!$A:$A,资产端序时!$F41,逐日资产统计!$G:$G)</f>
        <v>0</v>
      </c>
      <c r="K41" s="40">
        <f t="shared" si="16"/>
        <v>0</v>
      </c>
      <c r="L41" s="39">
        <f t="shared" si="20"/>
        <v>0</v>
      </c>
      <c r="M41" s="37" t="e">
        <f t="shared" si="19"/>
        <v>#DIV/0!</v>
      </c>
      <c r="N41" s="38">
        <f>SUMIFS(逐日资产统计!L:L,逐日资产统计!A:A,资产端序时!F41,逐日资产统计!C:C,"人民币")</f>
        <v>0</v>
      </c>
      <c r="O41" s="38">
        <f>SUMIF(逐日资产统计!A:A,资产端序时!F41,逐日资产统计!M:M)-SUMIFS(逐日资产统计!M:M,逐日资产统计!A:A,资产端序时!F41,逐日资产统计!C:C,"人民币")</f>
        <v>0</v>
      </c>
    </row>
    <row r="42" spans="3:15" x14ac:dyDescent="0.25">
      <c r="C42">
        <f>SUM($B$2:B42)</f>
        <v>-7463.19</v>
      </c>
      <c r="F42" s="31">
        <f t="shared" ref="F42:F47" si="21">A42</f>
        <v>0</v>
      </c>
      <c r="G42" s="33">
        <f>SUMIFS(逐日资产统计!$I:$I,逐日资产统计!$A:$A,F42,逐日资产统计!$C:$C,"人民币")</f>
        <v>0</v>
      </c>
      <c r="H42" s="32">
        <f>SUMIF(逐日资产统计!$A:$A,资产端序时!$F42,逐日资产统计!$I:$I)-G42</f>
        <v>0</v>
      </c>
      <c r="I42" s="29">
        <f t="shared" si="18"/>
        <v>0</v>
      </c>
      <c r="J42" s="32">
        <f>SUMIF(逐日资产统计!$A:$A,资产端序时!$F42,逐日资产统计!$G:$G)</f>
        <v>0</v>
      </c>
      <c r="K42" s="40">
        <f t="shared" si="16"/>
        <v>0</v>
      </c>
      <c r="L42" s="39">
        <f t="shared" si="20"/>
        <v>0</v>
      </c>
      <c r="M42" s="37" t="e">
        <f t="shared" si="19"/>
        <v>#DIV/0!</v>
      </c>
      <c r="N42" s="38">
        <f>SUMIFS(逐日资产统计!L:L,逐日资产统计!A:A,资产端序时!F42,逐日资产统计!C:C,"人民币")</f>
        <v>0</v>
      </c>
      <c r="O42" s="38">
        <f>SUMIF(逐日资产统计!A:A,资产端序时!F42,逐日资产统计!M:M)-SUMIFS(逐日资产统计!M:M,逐日资产统计!A:A,资产端序时!F42,逐日资产统计!C:C,"人民币")</f>
        <v>0</v>
      </c>
    </row>
    <row r="43" spans="3:15" x14ac:dyDescent="0.25">
      <c r="C43">
        <f>SUM($B$2:B43)</f>
        <v>-7463.19</v>
      </c>
      <c r="F43" s="31">
        <f t="shared" si="21"/>
        <v>0</v>
      </c>
      <c r="G43" s="33">
        <f>SUMIFS(逐日资产统计!$I:$I,逐日资产统计!$A:$A,F43,逐日资产统计!$C:$C,"人民币")</f>
        <v>0</v>
      </c>
      <c r="H43" s="32">
        <f>SUMIF(逐日资产统计!$A:$A,资产端序时!$F43,逐日资产统计!$I:$I)-G43</f>
        <v>0</v>
      </c>
      <c r="I43" s="29">
        <f t="shared" si="18"/>
        <v>0</v>
      </c>
      <c r="J43" s="32">
        <f>SUMIF(逐日资产统计!$A:$A,资产端序时!$F43,逐日资产统计!$G:$G)</f>
        <v>0</v>
      </c>
      <c r="K43" s="40">
        <f t="shared" si="16"/>
        <v>0</v>
      </c>
      <c r="L43" s="39">
        <f t="shared" si="20"/>
        <v>0</v>
      </c>
      <c r="M43" s="37" t="e">
        <f t="shared" si="19"/>
        <v>#DIV/0!</v>
      </c>
      <c r="N43" s="38">
        <f>SUMIFS(逐日资产统计!L:L,逐日资产统计!A:A,资产端序时!F43,逐日资产统计!C:C,"人民币")</f>
        <v>0</v>
      </c>
      <c r="O43" s="38">
        <f>SUMIF(逐日资产统计!A:A,资产端序时!F43,逐日资产统计!M:M)-SUMIFS(逐日资产统计!M:M,逐日资产统计!A:A,资产端序时!F43,逐日资产统计!C:C,"人民币")</f>
        <v>0</v>
      </c>
    </row>
    <row r="44" spans="3:15" x14ac:dyDescent="0.25">
      <c r="C44">
        <f>SUM($B$2:B44)</f>
        <v>-7463.19</v>
      </c>
      <c r="F44" s="31">
        <f t="shared" si="21"/>
        <v>0</v>
      </c>
      <c r="G44" s="33">
        <f>SUMIFS(逐日资产统计!$I:$I,逐日资产统计!$A:$A,F44,逐日资产统计!$C:$C,"人民币")</f>
        <v>0</v>
      </c>
      <c r="H44" s="32">
        <f>SUMIF(逐日资产统计!$A:$A,资产端序时!$F44,逐日资产统计!$I:$I)-G44</f>
        <v>0</v>
      </c>
      <c r="I44" s="29">
        <f t="shared" ref="I44:I55" si="22">G44+H44</f>
        <v>0</v>
      </c>
      <c r="J44" s="32">
        <f>SUMIF(逐日资产统计!$A:$A,资产端序时!$F44,逐日资产统计!$G:$G)</f>
        <v>0</v>
      </c>
      <c r="K44" s="40">
        <f t="shared" ref="K44:K55" si="23">I44-J44</f>
        <v>0</v>
      </c>
      <c r="L44" s="39">
        <f t="shared" ref="L44:L55" si="24">K44-K43</f>
        <v>0</v>
      </c>
      <c r="M44" s="37" t="e">
        <f t="shared" si="19"/>
        <v>#DIV/0!</v>
      </c>
      <c r="N44" s="38">
        <f>SUMIFS(逐日资产统计!L:L,逐日资产统计!A:A,资产端序时!F44,逐日资产统计!C:C,"人民币")</f>
        <v>0</v>
      </c>
      <c r="O44" s="38">
        <f>SUMIF(逐日资产统计!A:A,资产端序时!F44,逐日资产统计!M:M)-SUMIFS(逐日资产统计!M:M,逐日资产统计!A:A,资产端序时!F44,逐日资产统计!C:C,"人民币")</f>
        <v>0</v>
      </c>
    </row>
    <row r="45" spans="3:15" x14ac:dyDescent="0.25">
      <c r="C45">
        <f>SUM($B$2:B45)</f>
        <v>-7463.19</v>
      </c>
      <c r="F45" s="31">
        <f t="shared" si="21"/>
        <v>0</v>
      </c>
      <c r="G45" s="33">
        <f>SUMIFS(逐日资产统计!$I:$I,逐日资产统计!$A:$A,F45,逐日资产统计!$C:$C,"人民币")</f>
        <v>0</v>
      </c>
      <c r="H45" s="32">
        <f>SUMIF(逐日资产统计!$A:$A,资产端序时!$F45,逐日资产统计!$I:$I)-G45</f>
        <v>0</v>
      </c>
      <c r="I45" s="29">
        <f t="shared" si="22"/>
        <v>0</v>
      </c>
      <c r="J45" s="32">
        <f>SUMIF(逐日资产统计!$A:$A,资产端序时!$F45,逐日资产统计!$G:$G)</f>
        <v>0</v>
      </c>
      <c r="K45" s="40">
        <f t="shared" si="23"/>
        <v>0</v>
      </c>
      <c r="L45" s="39">
        <f t="shared" si="24"/>
        <v>0</v>
      </c>
      <c r="M45" s="37" t="e">
        <f t="shared" si="19"/>
        <v>#DIV/0!</v>
      </c>
      <c r="N45" s="38">
        <f>SUMIFS(逐日资产统计!L:L,逐日资产统计!A:A,资产端序时!F45,逐日资产统计!C:C,"人民币")</f>
        <v>0</v>
      </c>
      <c r="O45" s="38">
        <f>SUMIF(逐日资产统计!A:A,资产端序时!F45,逐日资产统计!M:M)-SUMIFS(逐日资产统计!M:M,逐日资产统计!A:A,资产端序时!F45,逐日资产统计!C:C,"人民币")</f>
        <v>0</v>
      </c>
    </row>
    <row r="46" spans="3:15" x14ac:dyDescent="0.25">
      <c r="C46">
        <f>SUM($B$2:B46)</f>
        <v>-7463.19</v>
      </c>
      <c r="F46" s="31">
        <f t="shared" si="21"/>
        <v>0</v>
      </c>
      <c r="G46" s="33">
        <f>SUMIFS(逐日资产统计!$I:$I,逐日资产统计!$A:$A,F46,逐日资产统计!$C:$C,"人民币")</f>
        <v>0</v>
      </c>
      <c r="H46" s="32">
        <f>SUMIF(逐日资产统计!$A:$A,资产端序时!$F46,逐日资产统计!$I:$I)-G46</f>
        <v>0</v>
      </c>
      <c r="I46" s="29">
        <f t="shared" si="22"/>
        <v>0</v>
      </c>
      <c r="J46" s="32">
        <f>SUMIF(逐日资产统计!$A:$A,资产端序时!$F46,逐日资产统计!$G:$G)</f>
        <v>0</v>
      </c>
      <c r="K46" s="40">
        <f t="shared" si="23"/>
        <v>0</v>
      </c>
      <c r="L46" s="39">
        <f t="shared" si="24"/>
        <v>0</v>
      </c>
      <c r="M46" s="37" t="e">
        <f t="shared" si="19"/>
        <v>#DIV/0!</v>
      </c>
      <c r="N46" s="38">
        <f>SUMIFS(逐日资产统计!L:L,逐日资产统计!A:A,资产端序时!F46,逐日资产统计!C:C,"人民币")</f>
        <v>0</v>
      </c>
      <c r="O46" s="38">
        <f>SUMIF(逐日资产统计!A:A,资产端序时!F46,逐日资产统计!M:M)-SUMIFS(逐日资产统计!M:M,逐日资产统计!A:A,资产端序时!F46,逐日资产统计!C:C,"人民币")</f>
        <v>0</v>
      </c>
    </row>
    <row r="47" spans="3:15" x14ac:dyDescent="0.25">
      <c r="C47">
        <f>SUM($B$2:B47)</f>
        <v>-7463.19</v>
      </c>
      <c r="F47" s="31">
        <f t="shared" si="21"/>
        <v>0</v>
      </c>
      <c r="G47" s="33">
        <f>SUMIFS(逐日资产统计!$I:$I,逐日资产统计!$A:$A,F47,逐日资产统计!$C:$C,"人民币")</f>
        <v>0</v>
      </c>
      <c r="H47" s="32">
        <f>SUMIF(逐日资产统计!$A:$A,资产端序时!$F47,逐日资产统计!$I:$I)-G47</f>
        <v>0</v>
      </c>
      <c r="I47" s="29">
        <f t="shared" si="22"/>
        <v>0</v>
      </c>
      <c r="J47" s="32">
        <f>SUMIF(逐日资产统计!$A:$A,资产端序时!$F47,逐日资产统计!$G:$G)</f>
        <v>0</v>
      </c>
      <c r="K47" s="40">
        <f t="shared" si="23"/>
        <v>0</v>
      </c>
      <c r="L47" s="39">
        <f t="shared" si="24"/>
        <v>0</v>
      </c>
      <c r="M47" s="37" t="e">
        <f t="shared" si="19"/>
        <v>#DIV/0!</v>
      </c>
      <c r="N47" s="38">
        <f>SUMIFS(逐日资产统计!L:L,逐日资产统计!A:A,资产端序时!F47,逐日资产统计!C:C,"人民币")</f>
        <v>0</v>
      </c>
      <c r="O47" s="38">
        <f>SUMIF(逐日资产统计!A:A,资产端序时!F47,逐日资产统计!M:M)-SUMIFS(逐日资产统计!M:M,逐日资产统计!A:A,资产端序时!F47,逐日资产统计!C:C,"人民币")</f>
        <v>0</v>
      </c>
    </row>
    <row r="48" spans="3:15" x14ac:dyDescent="0.25">
      <c r="C48">
        <f>SUM($B$2:B48)</f>
        <v>-7463.19</v>
      </c>
      <c r="F48" s="31">
        <f t="shared" ref="F48:F55" si="25">A48</f>
        <v>0</v>
      </c>
      <c r="G48" s="33">
        <f>SUMIFS(逐日资产统计!$I:$I,逐日资产统计!$A:$A,F48,逐日资产统计!$C:$C,"人民币")</f>
        <v>0</v>
      </c>
      <c r="H48" s="32">
        <f>SUMIF(逐日资产统计!$A:$A,资产端序时!$F48,逐日资产统计!$I:$I)-G48</f>
        <v>0</v>
      </c>
      <c r="I48" s="29">
        <f t="shared" si="22"/>
        <v>0</v>
      </c>
      <c r="J48" s="32">
        <f>SUMIF(逐日资产统计!$A:$A,资产端序时!$F48,逐日资产统计!$G:$G)</f>
        <v>0</v>
      </c>
      <c r="K48" s="40">
        <f t="shared" si="23"/>
        <v>0</v>
      </c>
      <c r="L48" s="39">
        <f t="shared" si="24"/>
        <v>0</v>
      </c>
      <c r="M48" s="37" t="e">
        <f t="shared" si="19"/>
        <v>#DIV/0!</v>
      </c>
      <c r="N48" s="38">
        <f>SUMIFS(逐日资产统计!L:L,逐日资产统计!A:A,资产端序时!F48,逐日资产统计!C:C,"人民币")</f>
        <v>0</v>
      </c>
      <c r="O48" s="38">
        <f>SUMIF(逐日资产统计!A:A,资产端序时!F48,逐日资产统计!M:M)-SUMIFS(逐日资产统计!M:M,逐日资产统计!A:A,资产端序时!F48,逐日资产统计!C:C,"人民币")</f>
        <v>0</v>
      </c>
    </row>
    <row r="49" spans="3:15" x14ac:dyDescent="0.25">
      <c r="C49">
        <f>SUM($B$2:B49)</f>
        <v>-7463.19</v>
      </c>
      <c r="F49" s="31">
        <f t="shared" si="25"/>
        <v>0</v>
      </c>
      <c r="G49" s="33">
        <f>SUMIFS(逐日资产统计!$I:$I,逐日资产统计!$A:$A,F49,逐日资产统计!$C:$C,"人民币")</f>
        <v>0</v>
      </c>
      <c r="H49" s="32">
        <f>SUMIF(逐日资产统计!$A:$A,资产端序时!$F49,逐日资产统计!$I:$I)-G49</f>
        <v>0</v>
      </c>
      <c r="I49" s="29">
        <f t="shared" si="22"/>
        <v>0</v>
      </c>
      <c r="J49" s="32">
        <f>SUMIF(逐日资产统计!$A:$A,资产端序时!$F49,逐日资产统计!$G:$G)</f>
        <v>0</v>
      </c>
      <c r="K49" s="40">
        <f t="shared" si="23"/>
        <v>0</v>
      </c>
      <c r="L49" s="39">
        <f t="shared" si="24"/>
        <v>0</v>
      </c>
      <c r="M49" s="37" t="e">
        <f t="shared" ref="M49:M55" si="26">J49/K49</f>
        <v>#DIV/0!</v>
      </c>
      <c r="N49" s="38">
        <f>SUMIFS(逐日资产统计!L:L,逐日资产统计!A:A,资产端序时!F49,逐日资产统计!C:C,"人民币")</f>
        <v>0</v>
      </c>
      <c r="O49" s="38">
        <f>SUMIF(逐日资产统计!A:A,资产端序时!F49,逐日资产统计!M:M)-SUMIFS(逐日资产统计!M:M,逐日资产统计!A:A,资产端序时!F49,逐日资产统计!C:C,"人民币")</f>
        <v>0</v>
      </c>
    </row>
    <row r="50" spans="3:15" x14ac:dyDescent="0.25">
      <c r="C50">
        <f>SUM($B$2:B50)</f>
        <v>-7463.19</v>
      </c>
      <c r="F50" s="31">
        <f t="shared" si="25"/>
        <v>0</v>
      </c>
      <c r="G50" s="33">
        <f>SUMIFS(逐日资产统计!$I:$I,逐日资产统计!$A:$A,F50,逐日资产统计!$C:$C,"人民币")</f>
        <v>0</v>
      </c>
      <c r="H50" s="32">
        <f>SUMIF(逐日资产统计!$A:$A,资产端序时!$F50,逐日资产统计!$I:$I)-G50</f>
        <v>0</v>
      </c>
      <c r="I50" s="29">
        <f t="shared" si="22"/>
        <v>0</v>
      </c>
      <c r="J50" s="32">
        <f>SUMIF(逐日资产统计!$A:$A,资产端序时!$F50,逐日资产统计!$G:$G)</f>
        <v>0</v>
      </c>
      <c r="K50" s="40">
        <f t="shared" si="23"/>
        <v>0</v>
      </c>
      <c r="L50" s="39">
        <f t="shared" si="24"/>
        <v>0</v>
      </c>
      <c r="M50" s="37" t="e">
        <f t="shared" si="26"/>
        <v>#DIV/0!</v>
      </c>
      <c r="N50" s="38">
        <f>SUMIFS(逐日资产统计!L:L,逐日资产统计!A:A,资产端序时!F50,逐日资产统计!C:C,"人民币")</f>
        <v>0</v>
      </c>
      <c r="O50" s="38">
        <f>SUMIF(逐日资产统计!A:A,资产端序时!F50,逐日资产统计!M:M)-SUMIFS(逐日资产统计!M:M,逐日资产统计!A:A,资产端序时!F50,逐日资产统计!C:C,"人民币")</f>
        <v>0</v>
      </c>
    </row>
    <row r="51" spans="3:15" x14ac:dyDescent="0.25">
      <c r="C51">
        <f>SUM($B$2:B51)</f>
        <v>-7463.19</v>
      </c>
      <c r="F51" s="31">
        <f t="shared" si="25"/>
        <v>0</v>
      </c>
      <c r="G51" s="33">
        <f>SUMIFS(逐日资产统计!$I:$I,逐日资产统计!$A:$A,F51,逐日资产统计!$C:$C,"人民币")</f>
        <v>0</v>
      </c>
      <c r="H51" s="32">
        <f>SUMIF(逐日资产统计!$A:$A,资产端序时!$F51,逐日资产统计!$I:$I)-G51</f>
        <v>0</v>
      </c>
      <c r="I51" s="29">
        <f t="shared" si="22"/>
        <v>0</v>
      </c>
      <c r="J51" s="32">
        <f>SUMIF(逐日资产统计!$A:$A,资产端序时!$F51,逐日资产统计!$G:$G)</f>
        <v>0</v>
      </c>
      <c r="K51" s="40">
        <f t="shared" si="23"/>
        <v>0</v>
      </c>
      <c r="L51" s="39">
        <f t="shared" si="24"/>
        <v>0</v>
      </c>
      <c r="M51" s="37" t="e">
        <f t="shared" si="26"/>
        <v>#DIV/0!</v>
      </c>
      <c r="N51" s="38">
        <f>SUMIFS(逐日资产统计!L:L,逐日资产统计!A:A,资产端序时!F51,逐日资产统计!C:C,"人民币")</f>
        <v>0</v>
      </c>
      <c r="O51" s="38">
        <f>SUMIF(逐日资产统计!A:A,资产端序时!F51,逐日资产统计!M:M)-SUMIFS(逐日资产统计!M:M,逐日资产统计!A:A,资产端序时!F51,逐日资产统计!C:C,"人民币")</f>
        <v>0</v>
      </c>
    </row>
    <row r="52" spans="3:15" x14ac:dyDescent="0.25">
      <c r="C52">
        <f>SUM($B$2:B52)</f>
        <v>-7463.19</v>
      </c>
      <c r="F52" s="31">
        <f t="shared" si="25"/>
        <v>0</v>
      </c>
      <c r="G52" s="33">
        <f>SUMIFS(逐日资产统计!$I:$I,逐日资产统计!$A:$A,F52,逐日资产统计!$C:$C,"人民币")</f>
        <v>0</v>
      </c>
      <c r="H52" s="32">
        <f>SUMIF(逐日资产统计!$A:$A,资产端序时!$F52,逐日资产统计!$I:$I)-G52</f>
        <v>0</v>
      </c>
      <c r="I52" s="29">
        <f t="shared" si="22"/>
        <v>0</v>
      </c>
      <c r="J52" s="32">
        <f>SUMIF(逐日资产统计!$A:$A,资产端序时!$F52,逐日资产统计!$G:$G)</f>
        <v>0</v>
      </c>
      <c r="K52" s="40">
        <f t="shared" si="23"/>
        <v>0</v>
      </c>
      <c r="L52" s="39">
        <f t="shared" si="24"/>
        <v>0</v>
      </c>
      <c r="M52" s="37" t="e">
        <f t="shared" si="26"/>
        <v>#DIV/0!</v>
      </c>
      <c r="N52" s="38">
        <f>SUMIFS(逐日资产统计!L:L,逐日资产统计!A:A,资产端序时!F52,逐日资产统计!C:C,"人民币")</f>
        <v>0</v>
      </c>
      <c r="O52" s="38">
        <f>SUMIF(逐日资产统计!A:A,资产端序时!F52,逐日资产统计!M:M)-SUMIFS(逐日资产统计!M:M,逐日资产统计!A:A,资产端序时!F52,逐日资产统计!C:C,"人民币")</f>
        <v>0</v>
      </c>
    </row>
    <row r="53" spans="3:15" x14ac:dyDescent="0.25">
      <c r="C53">
        <f>SUM($B$2:B53)</f>
        <v>-7463.19</v>
      </c>
      <c r="F53" s="31">
        <f t="shared" si="25"/>
        <v>0</v>
      </c>
      <c r="G53" s="33">
        <f>SUMIFS(逐日资产统计!$I:$I,逐日资产统计!$A:$A,F53,逐日资产统计!$C:$C,"人民币")</f>
        <v>0</v>
      </c>
      <c r="H53" s="32">
        <f>SUMIF(逐日资产统计!$A:$A,资产端序时!$F53,逐日资产统计!$I:$I)-G53</f>
        <v>0</v>
      </c>
      <c r="I53" s="29">
        <f t="shared" si="22"/>
        <v>0</v>
      </c>
      <c r="J53" s="32">
        <f>SUMIF(逐日资产统计!$A:$A,资产端序时!$F53,逐日资产统计!$G:$G)</f>
        <v>0</v>
      </c>
      <c r="K53" s="40">
        <f t="shared" si="23"/>
        <v>0</v>
      </c>
      <c r="L53" s="39">
        <f t="shared" si="24"/>
        <v>0</v>
      </c>
      <c r="M53" s="37" t="e">
        <f t="shared" si="26"/>
        <v>#DIV/0!</v>
      </c>
      <c r="N53" s="38">
        <f>SUMIFS(逐日资产统计!L:L,逐日资产统计!A:A,资产端序时!F53,逐日资产统计!C:C,"人民币")</f>
        <v>0</v>
      </c>
      <c r="O53" s="38">
        <f>SUMIF(逐日资产统计!A:A,资产端序时!F53,逐日资产统计!M:M)-SUMIFS(逐日资产统计!M:M,逐日资产统计!A:A,资产端序时!F53,逐日资产统计!C:C,"人民币")</f>
        <v>0</v>
      </c>
    </row>
    <row r="54" spans="3:15" x14ac:dyDescent="0.25">
      <c r="C54">
        <f>SUM($B$2:B54)</f>
        <v>-7463.19</v>
      </c>
      <c r="F54" s="31">
        <f t="shared" si="25"/>
        <v>0</v>
      </c>
      <c r="G54" s="33">
        <f>SUMIFS(逐日资产统计!$I:$I,逐日资产统计!$A:$A,F54,逐日资产统计!$C:$C,"人民币")</f>
        <v>0</v>
      </c>
      <c r="H54" s="32">
        <f>SUMIF(逐日资产统计!$A:$A,资产端序时!$F54,逐日资产统计!$I:$I)-G54</f>
        <v>0</v>
      </c>
      <c r="I54" s="29">
        <f t="shared" si="22"/>
        <v>0</v>
      </c>
      <c r="J54" s="32">
        <f>SUMIF(逐日资产统计!$A:$A,资产端序时!$F54,逐日资产统计!$G:$G)</f>
        <v>0</v>
      </c>
      <c r="K54" s="40">
        <f t="shared" si="23"/>
        <v>0</v>
      </c>
      <c r="L54" s="39">
        <f t="shared" si="24"/>
        <v>0</v>
      </c>
      <c r="M54" s="37" t="e">
        <f t="shared" si="26"/>
        <v>#DIV/0!</v>
      </c>
      <c r="N54" s="38">
        <f>SUMIFS(逐日资产统计!L:L,逐日资产统计!A:A,资产端序时!F54,逐日资产统计!C:C,"人民币")</f>
        <v>0</v>
      </c>
      <c r="O54" s="38">
        <f>SUMIF(逐日资产统计!A:A,资产端序时!F54,逐日资产统计!M:M)-SUMIFS(逐日资产统计!M:M,逐日资产统计!A:A,资产端序时!F54,逐日资产统计!C:C,"人民币")</f>
        <v>0</v>
      </c>
    </row>
    <row r="55" spans="3:15" x14ac:dyDescent="0.25">
      <c r="C55">
        <f>SUM($B$2:B55)</f>
        <v>-7463.19</v>
      </c>
      <c r="F55" s="31">
        <f t="shared" si="25"/>
        <v>0</v>
      </c>
      <c r="G55" s="33">
        <f>SUMIFS(逐日资产统计!$I:$I,逐日资产统计!$A:$A,F55,逐日资产统计!$C:$C,"人民币")</f>
        <v>0</v>
      </c>
      <c r="H55" s="32">
        <f>SUMIF(逐日资产统计!$A:$A,资产端序时!$F55,逐日资产统计!$I:$I)-G55</f>
        <v>0</v>
      </c>
      <c r="I55" s="29">
        <f t="shared" si="22"/>
        <v>0</v>
      </c>
      <c r="J55" s="32">
        <f>SUMIF(逐日资产统计!$A:$A,资产端序时!$F55,逐日资产统计!$G:$G)</f>
        <v>0</v>
      </c>
      <c r="K55" s="40">
        <f t="shared" si="23"/>
        <v>0</v>
      </c>
      <c r="L55" s="39">
        <f t="shared" si="24"/>
        <v>0</v>
      </c>
      <c r="M55" s="37" t="e">
        <f t="shared" si="26"/>
        <v>#DIV/0!</v>
      </c>
      <c r="N55" s="38">
        <f>SUMIFS(逐日资产统计!L:L,逐日资产统计!A:A,资产端序时!F55,逐日资产统计!C:C,"人民币")</f>
        <v>0</v>
      </c>
      <c r="O55" s="38">
        <f>SUMIF(逐日资产统计!A:A,资产端序时!F55,逐日资产统计!M:M)-SUMIFS(逐日资产统计!M:M,逐日资产统计!A:A,资产端序时!F55,逐日资产统计!C:C,"人民币")</f>
        <v>0</v>
      </c>
    </row>
    <row r="56" spans="3:15" x14ac:dyDescent="0.25">
      <c r="C56">
        <f>SUM($B$2:B56)</f>
        <v>-7463.19</v>
      </c>
      <c r="F56" s="31">
        <f t="shared" ref="F56:F62" si="27">A56</f>
        <v>0</v>
      </c>
      <c r="G56" s="33">
        <f>SUMIFS(逐日资产统计!$I:$I,逐日资产统计!$A:$A,F56,逐日资产统计!$C:$C,"人民币")</f>
        <v>0</v>
      </c>
      <c r="H56" s="32">
        <f>SUMIF(逐日资产统计!$A:$A,资产端序时!$F56,逐日资产统计!$I:$I)-G56</f>
        <v>0</v>
      </c>
      <c r="I56" s="29">
        <f t="shared" ref="I56:I62" si="28">G56+H56</f>
        <v>0</v>
      </c>
      <c r="J56" s="32">
        <f>SUMIF(逐日资产统计!$A:$A,资产端序时!$F56,逐日资产统计!$G:$G)</f>
        <v>0</v>
      </c>
      <c r="K56" s="40">
        <f t="shared" ref="K56:K62" si="29">I56-J56</f>
        <v>0</v>
      </c>
      <c r="L56" s="39">
        <f t="shared" ref="L56:L62" si="30">K56-K55</f>
        <v>0</v>
      </c>
      <c r="M56" s="37" t="e">
        <f t="shared" ref="M56:M62" si="31">J56/K56</f>
        <v>#DIV/0!</v>
      </c>
      <c r="N56" s="38">
        <f>SUMIFS(逐日资产统计!L:L,逐日资产统计!A:A,资产端序时!F56,逐日资产统计!C:C,"人民币")</f>
        <v>0</v>
      </c>
      <c r="O56" s="38">
        <f>SUMIF(逐日资产统计!A:A,资产端序时!F56,逐日资产统计!M:M)-SUMIFS(逐日资产统计!M:M,逐日资产统计!A:A,资产端序时!F56,逐日资产统计!C:C,"人民币")</f>
        <v>0</v>
      </c>
    </row>
    <row r="57" spans="3:15" x14ac:dyDescent="0.25">
      <c r="C57">
        <f>SUM($B$2:B57)</f>
        <v>-7463.19</v>
      </c>
      <c r="F57" s="31">
        <f t="shared" si="27"/>
        <v>0</v>
      </c>
      <c r="G57" s="33">
        <f>SUMIFS(逐日资产统计!$I:$I,逐日资产统计!$A:$A,F57,逐日资产统计!$C:$C,"人民币")</f>
        <v>0</v>
      </c>
      <c r="H57" s="32">
        <f>SUMIF(逐日资产统计!$A:$A,资产端序时!$F57,逐日资产统计!$I:$I)-G57</f>
        <v>0</v>
      </c>
      <c r="I57" s="29">
        <f t="shared" si="28"/>
        <v>0</v>
      </c>
      <c r="J57" s="32">
        <f>SUMIF(逐日资产统计!$A:$A,资产端序时!$F57,逐日资产统计!$G:$G)</f>
        <v>0</v>
      </c>
      <c r="K57" s="40">
        <f t="shared" si="29"/>
        <v>0</v>
      </c>
      <c r="L57" s="39">
        <f t="shared" si="30"/>
        <v>0</v>
      </c>
      <c r="M57" s="37" t="e">
        <f t="shared" si="31"/>
        <v>#DIV/0!</v>
      </c>
      <c r="N57" s="38">
        <f>SUMIFS(逐日资产统计!L:L,逐日资产统计!A:A,资产端序时!F57,逐日资产统计!C:C,"人民币")</f>
        <v>0</v>
      </c>
      <c r="O57" s="38">
        <f>SUMIF(逐日资产统计!A:A,资产端序时!F57,逐日资产统计!M:M)-SUMIFS(逐日资产统计!M:M,逐日资产统计!A:A,资产端序时!F57,逐日资产统计!C:C,"人民币")</f>
        <v>0</v>
      </c>
    </row>
    <row r="58" spans="3:15" x14ac:dyDescent="0.25">
      <c r="C58">
        <f>SUM($B$2:B58)</f>
        <v>-7463.19</v>
      </c>
      <c r="F58" s="31">
        <f t="shared" si="27"/>
        <v>0</v>
      </c>
      <c r="G58" s="33">
        <f>SUMIFS(逐日资产统计!$I:$I,逐日资产统计!$A:$A,F58,逐日资产统计!$C:$C,"人民币")</f>
        <v>0</v>
      </c>
      <c r="H58" s="32">
        <f>SUMIF(逐日资产统计!$A:$A,资产端序时!$F58,逐日资产统计!$I:$I)-G58</f>
        <v>0</v>
      </c>
      <c r="I58" s="29">
        <f t="shared" si="28"/>
        <v>0</v>
      </c>
      <c r="J58" s="32">
        <f>SUMIF(逐日资产统计!$A:$A,资产端序时!$F58,逐日资产统计!$G:$G)</f>
        <v>0</v>
      </c>
      <c r="K58" s="40">
        <f t="shared" si="29"/>
        <v>0</v>
      </c>
      <c r="L58" s="39">
        <f t="shared" si="30"/>
        <v>0</v>
      </c>
      <c r="M58" s="37" t="e">
        <f t="shared" si="31"/>
        <v>#DIV/0!</v>
      </c>
      <c r="N58" s="38">
        <f>SUMIFS(逐日资产统计!L:L,逐日资产统计!A:A,资产端序时!F58,逐日资产统计!C:C,"人民币")</f>
        <v>0</v>
      </c>
      <c r="O58" s="38">
        <f>SUMIF(逐日资产统计!A:A,资产端序时!F58,逐日资产统计!M:M)-SUMIFS(逐日资产统计!M:M,逐日资产统计!A:A,资产端序时!F58,逐日资产统计!C:C,"人民币")</f>
        <v>0</v>
      </c>
    </row>
    <row r="59" spans="3:15" x14ac:dyDescent="0.25">
      <c r="C59">
        <f>SUM($B$2:B59)</f>
        <v>-7463.19</v>
      </c>
      <c r="F59" s="31">
        <f t="shared" si="27"/>
        <v>0</v>
      </c>
      <c r="G59" s="33">
        <f>SUMIFS(逐日资产统计!$I:$I,逐日资产统计!$A:$A,F59,逐日资产统计!$C:$C,"人民币")</f>
        <v>0</v>
      </c>
      <c r="H59" s="32">
        <f>SUMIF(逐日资产统计!$A:$A,资产端序时!$F59,逐日资产统计!$I:$I)-G59</f>
        <v>0</v>
      </c>
      <c r="I59" s="29">
        <f t="shared" si="28"/>
        <v>0</v>
      </c>
      <c r="J59" s="32">
        <f>SUMIF(逐日资产统计!$A:$A,资产端序时!$F59,逐日资产统计!$G:$G)</f>
        <v>0</v>
      </c>
      <c r="K59" s="40">
        <f t="shared" si="29"/>
        <v>0</v>
      </c>
      <c r="L59" s="39">
        <f t="shared" si="30"/>
        <v>0</v>
      </c>
      <c r="M59" s="37" t="e">
        <f t="shared" si="31"/>
        <v>#DIV/0!</v>
      </c>
      <c r="N59" s="38">
        <f>SUMIFS(逐日资产统计!L:L,逐日资产统计!A:A,资产端序时!F59,逐日资产统计!C:C,"人民币")</f>
        <v>0</v>
      </c>
      <c r="O59" s="38">
        <f>SUMIF(逐日资产统计!A:A,资产端序时!F59,逐日资产统计!M:M)-SUMIFS(逐日资产统计!M:M,逐日资产统计!A:A,资产端序时!F59,逐日资产统计!C:C,"人民币")</f>
        <v>0</v>
      </c>
    </row>
    <row r="60" spans="3:15" x14ac:dyDescent="0.25">
      <c r="C60">
        <f>SUM($B$2:B60)</f>
        <v>-7463.19</v>
      </c>
      <c r="F60" s="31">
        <f t="shared" si="27"/>
        <v>0</v>
      </c>
      <c r="G60" s="33">
        <f>SUMIFS(逐日资产统计!$I:$I,逐日资产统计!$A:$A,F60,逐日资产统计!$C:$C,"人民币")</f>
        <v>0</v>
      </c>
      <c r="H60" s="32">
        <f>SUMIF(逐日资产统计!$A:$A,资产端序时!$F60,逐日资产统计!$I:$I)-G60</f>
        <v>0</v>
      </c>
      <c r="I60" s="29">
        <f t="shared" si="28"/>
        <v>0</v>
      </c>
      <c r="J60" s="32">
        <f>SUMIF(逐日资产统计!$A:$A,资产端序时!$F60,逐日资产统计!$G:$G)</f>
        <v>0</v>
      </c>
      <c r="K60" s="40">
        <f t="shared" si="29"/>
        <v>0</v>
      </c>
      <c r="L60" s="39">
        <f t="shared" si="30"/>
        <v>0</v>
      </c>
      <c r="M60" s="37" t="e">
        <f t="shared" si="31"/>
        <v>#DIV/0!</v>
      </c>
      <c r="N60" s="38">
        <f>SUMIFS(逐日资产统计!L:L,逐日资产统计!A:A,资产端序时!F60,逐日资产统计!C:C,"人民币")</f>
        <v>0</v>
      </c>
      <c r="O60" s="38">
        <f>SUMIF(逐日资产统计!A:A,资产端序时!F60,逐日资产统计!M:M)-SUMIFS(逐日资产统计!M:M,逐日资产统计!A:A,资产端序时!F60,逐日资产统计!C:C,"人民币")</f>
        <v>0</v>
      </c>
    </row>
    <row r="61" spans="3:15" x14ac:dyDescent="0.25">
      <c r="C61">
        <f>SUM($B$2:B61)</f>
        <v>-7463.19</v>
      </c>
      <c r="F61" s="31">
        <f t="shared" si="27"/>
        <v>0</v>
      </c>
      <c r="G61" s="33">
        <f>SUMIFS(逐日资产统计!$I:$I,逐日资产统计!$A:$A,F61,逐日资产统计!$C:$C,"人民币")</f>
        <v>0</v>
      </c>
      <c r="H61" s="32">
        <f>SUMIF(逐日资产统计!$A:$A,资产端序时!$F61,逐日资产统计!$I:$I)-G61</f>
        <v>0</v>
      </c>
      <c r="I61" s="29">
        <f t="shared" si="28"/>
        <v>0</v>
      </c>
      <c r="J61" s="32">
        <f>SUMIF(逐日资产统计!$A:$A,资产端序时!$F61,逐日资产统计!$G:$G)</f>
        <v>0</v>
      </c>
      <c r="K61" s="40">
        <f t="shared" si="29"/>
        <v>0</v>
      </c>
      <c r="L61" s="39">
        <f t="shared" si="30"/>
        <v>0</v>
      </c>
      <c r="M61" s="37" t="e">
        <f t="shared" si="31"/>
        <v>#DIV/0!</v>
      </c>
      <c r="N61" s="38">
        <f>SUMIFS(逐日资产统计!L:L,逐日资产统计!A:A,资产端序时!F61,逐日资产统计!C:C,"人民币")</f>
        <v>0</v>
      </c>
      <c r="O61" s="38">
        <f>SUMIF(逐日资产统计!A:A,资产端序时!F61,逐日资产统计!M:M)-SUMIFS(逐日资产统计!M:M,逐日资产统计!A:A,资产端序时!F61,逐日资产统计!C:C,"人民币")</f>
        <v>0</v>
      </c>
    </row>
    <row r="62" spans="3:15" x14ac:dyDescent="0.25">
      <c r="C62">
        <f>SUM($B$2:B62)</f>
        <v>-7463.19</v>
      </c>
      <c r="F62" s="31">
        <f t="shared" si="27"/>
        <v>0</v>
      </c>
      <c r="G62" s="33">
        <f>SUMIFS(逐日资产统计!$I:$I,逐日资产统计!$A:$A,F62,逐日资产统计!$C:$C,"人民币")</f>
        <v>0</v>
      </c>
      <c r="H62" s="32">
        <f>SUMIF(逐日资产统计!$A:$A,资产端序时!$F62,逐日资产统计!$I:$I)-G62</f>
        <v>0</v>
      </c>
      <c r="I62" s="29">
        <f t="shared" si="28"/>
        <v>0</v>
      </c>
      <c r="J62" s="32">
        <f>SUMIF(逐日资产统计!$A:$A,资产端序时!$F62,逐日资产统计!$G:$G)</f>
        <v>0</v>
      </c>
      <c r="K62" s="40">
        <f t="shared" si="29"/>
        <v>0</v>
      </c>
      <c r="L62" s="39">
        <f t="shared" si="30"/>
        <v>0</v>
      </c>
      <c r="M62" s="37" t="e">
        <f t="shared" si="31"/>
        <v>#DIV/0!</v>
      </c>
      <c r="N62" s="38">
        <f>SUMIFS(逐日资产统计!L:L,逐日资产统计!A:A,资产端序时!F62,逐日资产统计!C:C,"人民币")</f>
        <v>0</v>
      </c>
      <c r="O62" s="38">
        <f>SUMIF(逐日资产统计!A:A,资产端序时!F62,逐日资产统计!M:M)-SUMIFS(逐日资产统计!M:M,逐日资产统计!A:A,资产端序时!F62,逐日资产统计!C:C,"人民币")</f>
        <v>0</v>
      </c>
    </row>
    <row r="63" spans="3:15" x14ac:dyDescent="0.25">
      <c r="C63">
        <f>SUM($B$2:B63)</f>
        <v>-7463.19</v>
      </c>
      <c r="F63" s="31">
        <f t="shared" ref="F63:F68" si="32">A63</f>
        <v>0</v>
      </c>
      <c r="G63" s="33">
        <f>SUMIFS(逐日资产统计!$I:$I,逐日资产统计!$A:$A,F63,逐日资产统计!$C:$C,"人民币")</f>
        <v>0</v>
      </c>
      <c r="H63" s="32">
        <f>SUMIF(逐日资产统计!$A:$A,资产端序时!$F63,逐日资产统计!$I:$I)-G63</f>
        <v>0</v>
      </c>
      <c r="I63" s="29">
        <f t="shared" ref="I63:I68" si="33">G63+H63</f>
        <v>0</v>
      </c>
      <c r="J63" s="32">
        <f>SUMIF(逐日资产统计!$A:$A,资产端序时!$F63,逐日资产统计!$G:$G)</f>
        <v>0</v>
      </c>
      <c r="K63" s="40">
        <f t="shared" ref="K63:K68" si="34">I63-J63</f>
        <v>0</v>
      </c>
      <c r="L63" s="39">
        <f t="shared" ref="L63:L68" si="35">K63-K62</f>
        <v>0</v>
      </c>
      <c r="M63" s="37" t="e">
        <f t="shared" ref="M63:M68" si="36">J63/K63</f>
        <v>#DIV/0!</v>
      </c>
      <c r="N63" s="38">
        <f>SUMIFS(逐日资产统计!L:L,逐日资产统计!A:A,资产端序时!F63,逐日资产统计!C:C,"人民币")</f>
        <v>0</v>
      </c>
      <c r="O63" s="38">
        <f>SUMIF(逐日资产统计!A:A,资产端序时!F63,逐日资产统计!M:M)-SUMIFS(逐日资产统计!M:M,逐日资产统计!A:A,资产端序时!F63,逐日资产统计!C:C,"人民币")</f>
        <v>0</v>
      </c>
    </row>
    <row r="64" spans="3:15" x14ac:dyDescent="0.25">
      <c r="C64">
        <f>SUM($B$2:B64)</f>
        <v>-7463.19</v>
      </c>
      <c r="F64" s="31">
        <f t="shared" si="32"/>
        <v>0</v>
      </c>
      <c r="G64" s="33">
        <f>SUMIFS(逐日资产统计!$I:$I,逐日资产统计!$A:$A,F64,逐日资产统计!$C:$C,"人民币")</f>
        <v>0</v>
      </c>
      <c r="H64" s="32">
        <f>SUMIF(逐日资产统计!$A:$A,资产端序时!$F64,逐日资产统计!$I:$I)-G64</f>
        <v>0</v>
      </c>
      <c r="I64" s="29">
        <f t="shared" si="33"/>
        <v>0</v>
      </c>
      <c r="J64" s="32">
        <f>SUMIF(逐日资产统计!$A:$A,资产端序时!$F64,逐日资产统计!$G:$G)</f>
        <v>0</v>
      </c>
      <c r="K64" s="40">
        <f t="shared" si="34"/>
        <v>0</v>
      </c>
      <c r="L64" s="39">
        <f t="shared" si="35"/>
        <v>0</v>
      </c>
      <c r="M64" s="37" t="e">
        <f t="shared" si="36"/>
        <v>#DIV/0!</v>
      </c>
      <c r="N64" s="38">
        <f>SUMIFS(逐日资产统计!L:L,逐日资产统计!A:A,资产端序时!F64,逐日资产统计!C:C,"人民币")</f>
        <v>0</v>
      </c>
      <c r="O64" s="38">
        <f>SUMIF(逐日资产统计!A:A,资产端序时!F64,逐日资产统计!M:M)-SUMIFS(逐日资产统计!M:M,逐日资产统计!A:A,资产端序时!F64,逐日资产统计!C:C,"人民币")</f>
        <v>0</v>
      </c>
    </row>
    <row r="65" spans="3:15" x14ac:dyDescent="0.25">
      <c r="C65">
        <f>SUM($B$2:B65)</f>
        <v>-7463.19</v>
      </c>
      <c r="F65" s="31">
        <f t="shared" si="32"/>
        <v>0</v>
      </c>
      <c r="G65" s="33">
        <f>SUMIFS(逐日资产统计!$I:$I,逐日资产统计!$A:$A,F65,逐日资产统计!$C:$C,"人民币")</f>
        <v>0</v>
      </c>
      <c r="H65" s="32">
        <f>SUMIF(逐日资产统计!$A:$A,资产端序时!$F65,逐日资产统计!$I:$I)-G65</f>
        <v>0</v>
      </c>
      <c r="I65" s="29">
        <f t="shared" si="33"/>
        <v>0</v>
      </c>
      <c r="J65" s="32">
        <f>SUMIF(逐日资产统计!$A:$A,资产端序时!$F65,逐日资产统计!$G:$G)</f>
        <v>0</v>
      </c>
      <c r="K65" s="40">
        <f t="shared" si="34"/>
        <v>0</v>
      </c>
      <c r="L65" s="39">
        <f t="shared" si="35"/>
        <v>0</v>
      </c>
      <c r="M65" s="37" t="e">
        <f t="shared" si="36"/>
        <v>#DIV/0!</v>
      </c>
      <c r="N65" s="38">
        <f>SUMIFS(逐日资产统计!L:L,逐日资产统计!A:A,资产端序时!F65,逐日资产统计!C:C,"人民币")</f>
        <v>0</v>
      </c>
      <c r="O65" s="38">
        <f>SUMIF(逐日资产统计!A:A,资产端序时!F65,逐日资产统计!M:M)-SUMIFS(逐日资产统计!M:M,逐日资产统计!A:A,资产端序时!F65,逐日资产统计!C:C,"人民币")</f>
        <v>0</v>
      </c>
    </row>
    <row r="66" spans="3:15" x14ac:dyDescent="0.25">
      <c r="C66">
        <f>SUM($B$2:B66)</f>
        <v>-7463.19</v>
      </c>
      <c r="F66" s="31">
        <f t="shared" si="32"/>
        <v>0</v>
      </c>
      <c r="G66" s="33">
        <f>SUMIFS(逐日资产统计!$I:$I,逐日资产统计!$A:$A,F66,逐日资产统计!$C:$C,"人民币")</f>
        <v>0</v>
      </c>
      <c r="H66" s="32">
        <f>SUMIF(逐日资产统计!$A:$A,资产端序时!$F66,逐日资产统计!$I:$I)-G66</f>
        <v>0</v>
      </c>
      <c r="I66" s="29">
        <f t="shared" si="33"/>
        <v>0</v>
      </c>
      <c r="J66" s="32">
        <f>SUMIF(逐日资产统计!$A:$A,资产端序时!$F66,逐日资产统计!$G:$G)</f>
        <v>0</v>
      </c>
      <c r="K66" s="40">
        <f t="shared" si="34"/>
        <v>0</v>
      </c>
      <c r="L66" s="39">
        <f t="shared" si="35"/>
        <v>0</v>
      </c>
      <c r="M66" s="37" t="e">
        <f t="shared" si="36"/>
        <v>#DIV/0!</v>
      </c>
      <c r="N66" s="38">
        <f>SUMIFS(逐日资产统计!L:L,逐日资产统计!A:A,资产端序时!F66,逐日资产统计!C:C,"人民币")</f>
        <v>0</v>
      </c>
      <c r="O66" s="38">
        <f>SUMIF(逐日资产统计!A:A,资产端序时!F66,逐日资产统计!M:M)-SUMIFS(逐日资产统计!M:M,逐日资产统计!A:A,资产端序时!F66,逐日资产统计!C:C,"人民币")</f>
        <v>0</v>
      </c>
    </row>
    <row r="67" spans="3:15" x14ac:dyDescent="0.25">
      <c r="C67">
        <f>SUM($B$2:B67)</f>
        <v>-7463.19</v>
      </c>
      <c r="F67" s="31">
        <f t="shared" si="32"/>
        <v>0</v>
      </c>
      <c r="G67" s="33">
        <f>SUMIFS(逐日资产统计!$I:$I,逐日资产统计!$A:$A,F67,逐日资产统计!$C:$C,"人民币")</f>
        <v>0</v>
      </c>
      <c r="H67" s="32">
        <f>SUMIF(逐日资产统计!$A:$A,资产端序时!$F67,逐日资产统计!$I:$I)-G67</f>
        <v>0</v>
      </c>
      <c r="I67" s="29">
        <f t="shared" si="33"/>
        <v>0</v>
      </c>
      <c r="J67" s="32">
        <f>SUMIF(逐日资产统计!$A:$A,资产端序时!$F67,逐日资产统计!$G:$G)</f>
        <v>0</v>
      </c>
      <c r="K67" s="40">
        <f t="shared" si="34"/>
        <v>0</v>
      </c>
      <c r="L67" s="39">
        <f t="shared" si="35"/>
        <v>0</v>
      </c>
      <c r="M67" s="37" t="e">
        <f t="shared" si="36"/>
        <v>#DIV/0!</v>
      </c>
      <c r="N67" s="38">
        <f>SUMIFS(逐日资产统计!L:L,逐日资产统计!A:A,资产端序时!F67,逐日资产统计!C:C,"人民币")</f>
        <v>0</v>
      </c>
      <c r="O67" s="38">
        <f>SUMIF(逐日资产统计!A:A,资产端序时!F67,逐日资产统计!M:M)-SUMIFS(逐日资产统计!M:M,逐日资产统计!A:A,资产端序时!F67,逐日资产统计!C:C,"人民币")</f>
        <v>0</v>
      </c>
    </row>
    <row r="68" spans="3:15" x14ac:dyDescent="0.25">
      <c r="C68">
        <f>SUM($B$2:B68)</f>
        <v>-7463.19</v>
      </c>
      <c r="F68" s="31">
        <f t="shared" si="32"/>
        <v>0</v>
      </c>
      <c r="G68" s="33">
        <f>SUMIFS(逐日资产统计!$I:$I,逐日资产统计!$A:$A,F68,逐日资产统计!$C:$C,"人民币")</f>
        <v>0</v>
      </c>
      <c r="H68" s="32">
        <f>SUMIF(逐日资产统计!$A:$A,资产端序时!$F68,逐日资产统计!$I:$I)-G68</f>
        <v>0</v>
      </c>
      <c r="I68" s="29">
        <f t="shared" si="33"/>
        <v>0</v>
      </c>
      <c r="J68" s="32">
        <f>SUMIF(逐日资产统计!$A:$A,资产端序时!$F68,逐日资产统计!$G:$G)</f>
        <v>0</v>
      </c>
      <c r="K68" s="40">
        <f t="shared" si="34"/>
        <v>0</v>
      </c>
      <c r="L68" s="39">
        <f t="shared" si="35"/>
        <v>0</v>
      </c>
      <c r="M68" s="37" t="e">
        <f t="shared" si="36"/>
        <v>#DIV/0!</v>
      </c>
      <c r="N68" s="38">
        <f>SUMIFS(逐日资产统计!L:L,逐日资产统计!A:A,资产端序时!F68,逐日资产统计!C:C,"人民币")</f>
        <v>0</v>
      </c>
      <c r="O68" s="38">
        <f>SUMIF(逐日资产统计!A:A,资产端序时!F68,逐日资产统计!M:M)-SUMIFS(逐日资产统计!M:M,逐日资产统计!A:A,资产端序时!F68,逐日资产统计!C:C,"人民币")</f>
        <v>0</v>
      </c>
    </row>
    <row r="69" spans="3:15" x14ac:dyDescent="0.25">
      <c r="C69">
        <f>SUM($B$2:B69)</f>
        <v>-7463.19</v>
      </c>
      <c r="F69" s="31">
        <f t="shared" ref="F69:F74" si="37">A69</f>
        <v>0</v>
      </c>
      <c r="G69" s="33">
        <f>SUMIFS(逐日资产统计!$I:$I,逐日资产统计!$A:$A,F69,逐日资产统计!$C:$C,"人民币")</f>
        <v>0</v>
      </c>
      <c r="H69" s="32">
        <f>SUMIF(逐日资产统计!$A:$A,资产端序时!$F69,逐日资产统计!$I:$I)-G69</f>
        <v>0</v>
      </c>
      <c r="I69" s="29">
        <f t="shared" ref="I69:I74" si="38">G69+H69</f>
        <v>0</v>
      </c>
      <c r="J69" s="32">
        <f>SUMIF(逐日资产统计!$A:$A,资产端序时!$F69,逐日资产统计!$G:$G)</f>
        <v>0</v>
      </c>
      <c r="K69" s="40">
        <f t="shared" ref="K69:K74" si="39">I69-J69</f>
        <v>0</v>
      </c>
      <c r="L69" s="39">
        <f t="shared" ref="L69:L74" si="40">K69-K68</f>
        <v>0</v>
      </c>
      <c r="M69" s="37" t="e">
        <f t="shared" ref="M69:M74" si="41">J69/K69</f>
        <v>#DIV/0!</v>
      </c>
      <c r="N69" s="38">
        <f>SUMIFS(逐日资产统计!L:L,逐日资产统计!A:A,资产端序时!F69,逐日资产统计!C:C,"人民币")</f>
        <v>0</v>
      </c>
      <c r="O69" s="38">
        <f>SUMIF(逐日资产统计!A:A,资产端序时!F69,逐日资产统计!M:M)-SUMIFS(逐日资产统计!M:M,逐日资产统计!A:A,资产端序时!F69,逐日资产统计!C:C,"人民币")</f>
        <v>0</v>
      </c>
    </row>
    <row r="70" spans="3:15" x14ac:dyDescent="0.25">
      <c r="C70">
        <f>SUM($B$2:B70)</f>
        <v>-7463.19</v>
      </c>
      <c r="F70" s="31">
        <f t="shared" si="37"/>
        <v>0</v>
      </c>
      <c r="G70" s="33">
        <f>SUMIFS(逐日资产统计!$I:$I,逐日资产统计!$A:$A,F70,逐日资产统计!$C:$C,"人民币")</f>
        <v>0</v>
      </c>
      <c r="H70" s="32">
        <f>SUMIF(逐日资产统计!$A:$A,资产端序时!$F70,逐日资产统计!$I:$I)-G70</f>
        <v>0</v>
      </c>
      <c r="I70" s="29">
        <f t="shared" si="38"/>
        <v>0</v>
      </c>
      <c r="J70" s="32">
        <f>SUMIF(逐日资产统计!$A:$A,资产端序时!$F70,逐日资产统计!$G:$G)</f>
        <v>0</v>
      </c>
      <c r="K70" s="40">
        <f t="shared" si="39"/>
        <v>0</v>
      </c>
      <c r="L70" s="39">
        <f t="shared" si="40"/>
        <v>0</v>
      </c>
      <c r="M70" s="37" t="e">
        <f t="shared" si="41"/>
        <v>#DIV/0!</v>
      </c>
      <c r="N70" s="38">
        <f>SUMIFS(逐日资产统计!L:L,逐日资产统计!A:A,资产端序时!F70,逐日资产统计!C:C,"人民币")</f>
        <v>0</v>
      </c>
      <c r="O70" s="38">
        <f>SUMIF(逐日资产统计!A:A,资产端序时!F70,逐日资产统计!M:M)-SUMIFS(逐日资产统计!M:M,逐日资产统计!A:A,资产端序时!F70,逐日资产统计!C:C,"人民币")</f>
        <v>0</v>
      </c>
    </row>
    <row r="71" spans="3:15" x14ac:dyDescent="0.25">
      <c r="C71">
        <f>SUM($B$2:B71)</f>
        <v>-7463.19</v>
      </c>
      <c r="F71" s="31">
        <f t="shared" si="37"/>
        <v>0</v>
      </c>
      <c r="G71" s="33">
        <f>SUMIFS(逐日资产统计!$I:$I,逐日资产统计!$A:$A,F71,逐日资产统计!$C:$C,"人民币")</f>
        <v>0</v>
      </c>
      <c r="H71" s="32">
        <f>SUMIF(逐日资产统计!$A:$A,资产端序时!$F71,逐日资产统计!$I:$I)-G71</f>
        <v>0</v>
      </c>
      <c r="I71" s="29">
        <f t="shared" si="38"/>
        <v>0</v>
      </c>
      <c r="J71" s="32">
        <f>SUMIF(逐日资产统计!$A:$A,资产端序时!$F71,逐日资产统计!$G:$G)</f>
        <v>0</v>
      </c>
      <c r="K71" s="40">
        <f t="shared" si="39"/>
        <v>0</v>
      </c>
      <c r="L71" s="39">
        <f t="shared" si="40"/>
        <v>0</v>
      </c>
      <c r="M71" s="37" t="e">
        <f t="shared" si="41"/>
        <v>#DIV/0!</v>
      </c>
      <c r="N71" s="38">
        <f>SUMIFS(逐日资产统计!L:L,逐日资产统计!A:A,资产端序时!F71,逐日资产统计!C:C,"人民币")</f>
        <v>0</v>
      </c>
      <c r="O71" s="38">
        <f>SUMIF(逐日资产统计!A:A,资产端序时!F71,逐日资产统计!M:M)-SUMIFS(逐日资产统计!M:M,逐日资产统计!A:A,资产端序时!F71,逐日资产统计!C:C,"人民币")</f>
        <v>0</v>
      </c>
    </row>
    <row r="72" spans="3:15" x14ac:dyDescent="0.25">
      <c r="C72">
        <f>SUM($B$2:B72)</f>
        <v>-7463.19</v>
      </c>
      <c r="F72" s="31">
        <f t="shared" si="37"/>
        <v>0</v>
      </c>
      <c r="G72" s="33">
        <f>SUMIFS(逐日资产统计!$I:$I,逐日资产统计!$A:$A,F72,逐日资产统计!$C:$C,"人民币")</f>
        <v>0</v>
      </c>
      <c r="H72" s="32">
        <f>SUMIF(逐日资产统计!$A:$A,资产端序时!$F72,逐日资产统计!$I:$I)-G72</f>
        <v>0</v>
      </c>
      <c r="I72" s="29">
        <f t="shared" si="38"/>
        <v>0</v>
      </c>
      <c r="J72" s="32">
        <f>SUMIF(逐日资产统计!$A:$A,资产端序时!$F72,逐日资产统计!$G:$G)</f>
        <v>0</v>
      </c>
      <c r="K72" s="40">
        <f t="shared" si="39"/>
        <v>0</v>
      </c>
      <c r="L72" s="39">
        <f t="shared" si="40"/>
        <v>0</v>
      </c>
      <c r="M72" s="37" t="e">
        <f t="shared" si="41"/>
        <v>#DIV/0!</v>
      </c>
      <c r="N72" s="38">
        <f>SUMIFS(逐日资产统计!L:L,逐日资产统计!A:A,资产端序时!F72,逐日资产统计!C:C,"人民币")</f>
        <v>0</v>
      </c>
      <c r="O72" s="38">
        <f>SUMIF(逐日资产统计!A:A,资产端序时!F72,逐日资产统计!M:M)-SUMIFS(逐日资产统计!M:M,逐日资产统计!A:A,资产端序时!F72,逐日资产统计!C:C,"人民币")</f>
        <v>0</v>
      </c>
    </row>
    <row r="73" spans="3:15" x14ac:dyDescent="0.25">
      <c r="C73">
        <f>SUM($B$2:B73)</f>
        <v>-7463.19</v>
      </c>
      <c r="F73" s="31">
        <f t="shared" si="37"/>
        <v>0</v>
      </c>
      <c r="G73" s="33">
        <f>SUMIFS(逐日资产统计!$I:$I,逐日资产统计!$A:$A,F73,逐日资产统计!$C:$C,"人民币")</f>
        <v>0</v>
      </c>
      <c r="H73" s="32">
        <f>SUMIF(逐日资产统计!$A:$A,资产端序时!$F73,逐日资产统计!$I:$I)-G73</f>
        <v>0</v>
      </c>
      <c r="I73" s="29">
        <f t="shared" si="38"/>
        <v>0</v>
      </c>
      <c r="J73" s="32">
        <f>SUMIF(逐日资产统计!$A:$A,资产端序时!$F73,逐日资产统计!$G:$G)</f>
        <v>0</v>
      </c>
      <c r="K73" s="40">
        <f t="shared" si="39"/>
        <v>0</v>
      </c>
      <c r="L73" s="39">
        <f t="shared" si="40"/>
        <v>0</v>
      </c>
      <c r="M73" s="37" t="e">
        <f t="shared" si="41"/>
        <v>#DIV/0!</v>
      </c>
      <c r="N73" s="38">
        <f>SUMIFS(逐日资产统计!L:L,逐日资产统计!A:A,资产端序时!F73,逐日资产统计!C:C,"人民币")</f>
        <v>0</v>
      </c>
      <c r="O73" s="38">
        <f>SUMIF(逐日资产统计!A:A,资产端序时!F73,逐日资产统计!M:M)-SUMIFS(逐日资产统计!M:M,逐日资产统计!A:A,资产端序时!F73,逐日资产统计!C:C,"人民币")</f>
        <v>0</v>
      </c>
    </row>
    <row r="74" spans="3:15" x14ac:dyDescent="0.25">
      <c r="C74">
        <f>SUM($B$2:B74)</f>
        <v>-7463.19</v>
      </c>
      <c r="F74" s="31">
        <f t="shared" si="37"/>
        <v>0</v>
      </c>
      <c r="G74" s="33">
        <f>SUMIFS(逐日资产统计!$I:$I,逐日资产统计!$A:$A,F74,逐日资产统计!$C:$C,"人民币")</f>
        <v>0</v>
      </c>
      <c r="H74" s="32">
        <f>SUMIF(逐日资产统计!$A:$A,资产端序时!$F74,逐日资产统计!$I:$I)-G74</f>
        <v>0</v>
      </c>
      <c r="I74" s="29">
        <f t="shared" si="38"/>
        <v>0</v>
      </c>
      <c r="J74" s="32">
        <f>SUMIF(逐日资产统计!$A:$A,资产端序时!$F74,逐日资产统计!$G:$G)</f>
        <v>0</v>
      </c>
      <c r="K74" s="40">
        <f t="shared" si="39"/>
        <v>0</v>
      </c>
      <c r="L74" s="39">
        <f t="shared" si="40"/>
        <v>0</v>
      </c>
      <c r="M74" s="37" t="e">
        <f t="shared" si="41"/>
        <v>#DIV/0!</v>
      </c>
      <c r="N74" s="38">
        <f>SUMIFS(逐日资产统计!L:L,逐日资产统计!A:A,资产端序时!F74,逐日资产统计!C:C,"人民币")</f>
        <v>0</v>
      </c>
      <c r="O74" s="38">
        <f>SUMIF(逐日资产统计!A:A,资产端序时!F74,逐日资产统计!M:M)-SUMIFS(逐日资产统计!M:M,逐日资产统计!A:A,资产端序时!F74,逐日资产统计!C:C,"人民币")</f>
        <v>0</v>
      </c>
    </row>
    <row r="75" spans="3:15" x14ac:dyDescent="0.25">
      <c r="C75">
        <f>SUM($B$2:B75)</f>
        <v>-7463.19</v>
      </c>
      <c r="F75" s="31">
        <f t="shared" ref="F75:F96" si="42">A75</f>
        <v>0</v>
      </c>
      <c r="G75" s="33">
        <f>SUMIFS(逐日资产统计!$I:$I,逐日资产统计!$A:$A,F75,逐日资产统计!$C:$C,"人民币")</f>
        <v>0</v>
      </c>
      <c r="H75" s="32">
        <f>SUMIF(逐日资产统计!$A:$A,资产端序时!$F75,逐日资产统计!$I:$I)-G75</f>
        <v>0</v>
      </c>
      <c r="I75" s="29">
        <f t="shared" ref="I75:I96" si="43">G75+H75</f>
        <v>0</v>
      </c>
      <c r="J75" s="32">
        <f>SUMIF(逐日资产统计!$A:$A,资产端序时!$F75,逐日资产统计!$G:$G)</f>
        <v>0</v>
      </c>
      <c r="K75" s="40">
        <f t="shared" ref="K75:K96" si="44">I75-J75</f>
        <v>0</v>
      </c>
      <c r="L75" s="39">
        <f t="shared" ref="L75:L96" si="45">K75-K74</f>
        <v>0</v>
      </c>
      <c r="M75" s="37" t="e">
        <f t="shared" ref="M75:M96" si="46">J75/K75</f>
        <v>#DIV/0!</v>
      </c>
      <c r="N75" s="38">
        <f>SUMIFS(逐日资产统计!L:L,逐日资产统计!A:A,资产端序时!F75,逐日资产统计!C:C,"人民币")</f>
        <v>0</v>
      </c>
      <c r="O75" s="38">
        <f>SUMIF(逐日资产统计!A:A,资产端序时!F75,逐日资产统计!M:M)-SUMIFS(逐日资产统计!M:M,逐日资产统计!A:A,资产端序时!F75,逐日资产统计!C:C,"人民币")</f>
        <v>0</v>
      </c>
    </row>
    <row r="76" spans="3:15" x14ac:dyDescent="0.25">
      <c r="C76">
        <f>SUM($B$2:B76)</f>
        <v>-7463.19</v>
      </c>
      <c r="F76" s="31">
        <f t="shared" si="42"/>
        <v>0</v>
      </c>
      <c r="G76" s="33">
        <f>SUMIFS(逐日资产统计!$I:$I,逐日资产统计!$A:$A,F76,逐日资产统计!$C:$C,"人民币")</f>
        <v>0</v>
      </c>
      <c r="H76" s="32">
        <f>SUMIF(逐日资产统计!$A:$A,资产端序时!$F76,逐日资产统计!$I:$I)-G76</f>
        <v>0</v>
      </c>
      <c r="I76" s="29">
        <f t="shared" si="43"/>
        <v>0</v>
      </c>
      <c r="J76" s="32">
        <f>SUMIF(逐日资产统计!$A:$A,资产端序时!$F76,逐日资产统计!$G:$G)</f>
        <v>0</v>
      </c>
      <c r="K76" s="40">
        <f t="shared" si="44"/>
        <v>0</v>
      </c>
      <c r="L76" s="39">
        <f t="shared" si="45"/>
        <v>0</v>
      </c>
      <c r="M76" s="37" t="e">
        <f t="shared" si="46"/>
        <v>#DIV/0!</v>
      </c>
      <c r="N76" s="38">
        <f>SUMIFS(逐日资产统计!L:L,逐日资产统计!A:A,资产端序时!F76,逐日资产统计!C:C,"人民币")</f>
        <v>0</v>
      </c>
      <c r="O76" s="38">
        <f>SUMIF(逐日资产统计!A:A,资产端序时!F76,逐日资产统计!M:M)-SUMIFS(逐日资产统计!M:M,逐日资产统计!A:A,资产端序时!F76,逐日资产统计!C:C,"人民币")</f>
        <v>0</v>
      </c>
    </row>
    <row r="77" spans="3:15" x14ac:dyDescent="0.25">
      <c r="C77">
        <f>SUM($B$2:B77)</f>
        <v>-7463.19</v>
      </c>
      <c r="F77" s="31">
        <f t="shared" si="42"/>
        <v>0</v>
      </c>
      <c r="G77" s="33">
        <f>SUMIFS(逐日资产统计!$I:$I,逐日资产统计!$A:$A,F77,逐日资产统计!$C:$C,"人民币")</f>
        <v>0</v>
      </c>
      <c r="H77" s="32">
        <f>SUMIF(逐日资产统计!$A:$A,资产端序时!$F77,逐日资产统计!$I:$I)-G77</f>
        <v>0</v>
      </c>
      <c r="I77" s="29">
        <f t="shared" si="43"/>
        <v>0</v>
      </c>
      <c r="J77" s="32">
        <f>SUMIF(逐日资产统计!$A:$A,资产端序时!$F77,逐日资产统计!$G:$G)</f>
        <v>0</v>
      </c>
      <c r="K77" s="40">
        <f t="shared" si="44"/>
        <v>0</v>
      </c>
      <c r="L77" s="39">
        <f t="shared" si="45"/>
        <v>0</v>
      </c>
      <c r="M77" s="37" t="e">
        <f t="shared" si="46"/>
        <v>#DIV/0!</v>
      </c>
      <c r="N77" s="38">
        <f>SUMIFS(逐日资产统计!L:L,逐日资产统计!A:A,资产端序时!F77,逐日资产统计!C:C,"人民币")</f>
        <v>0</v>
      </c>
      <c r="O77" s="38">
        <f>SUMIF(逐日资产统计!A:A,资产端序时!F77,逐日资产统计!M:M)-SUMIFS(逐日资产统计!M:M,逐日资产统计!A:A,资产端序时!F77,逐日资产统计!C:C,"人民币")</f>
        <v>0</v>
      </c>
    </row>
    <row r="78" spans="3:15" x14ac:dyDescent="0.25">
      <c r="C78">
        <f>SUM($B$2:B78)</f>
        <v>-7463.19</v>
      </c>
      <c r="F78" s="31">
        <f t="shared" si="42"/>
        <v>0</v>
      </c>
      <c r="G78" s="33">
        <f>SUMIFS(逐日资产统计!$I:$I,逐日资产统计!$A:$A,F78,逐日资产统计!$C:$C,"人民币")</f>
        <v>0</v>
      </c>
      <c r="H78" s="32">
        <f>SUMIF(逐日资产统计!$A:$A,资产端序时!$F78,逐日资产统计!$I:$I)-G78</f>
        <v>0</v>
      </c>
      <c r="I78" s="29">
        <f t="shared" si="43"/>
        <v>0</v>
      </c>
      <c r="J78" s="32">
        <f>SUMIF(逐日资产统计!$A:$A,资产端序时!$F78,逐日资产统计!$G:$G)</f>
        <v>0</v>
      </c>
      <c r="K78" s="40">
        <f t="shared" si="44"/>
        <v>0</v>
      </c>
      <c r="L78" s="39">
        <f t="shared" si="45"/>
        <v>0</v>
      </c>
      <c r="M78" s="37" t="e">
        <f t="shared" si="46"/>
        <v>#DIV/0!</v>
      </c>
      <c r="N78" s="38">
        <f>SUMIFS(逐日资产统计!L:L,逐日资产统计!A:A,资产端序时!F78,逐日资产统计!C:C,"人民币")</f>
        <v>0</v>
      </c>
      <c r="O78" s="38">
        <f>SUMIF(逐日资产统计!A:A,资产端序时!F78,逐日资产统计!M:M)-SUMIFS(逐日资产统计!M:M,逐日资产统计!A:A,资产端序时!F78,逐日资产统计!C:C,"人民币")</f>
        <v>0</v>
      </c>
    </row>
    <row r="79" spans="3:15" x14ac:dyDescent="0.25">
      <c r="C79">
        <f>SUM($B$2:B79)</f>
        <v>-7463.19</v>
      </c>
      <c r="F79" s="31">
        <f t="shared" si="42"/>
        <v>0</v>
      </c>
      <c r="G79" s="33">
        <f>SUMIFS(逐日资产统计!$I:$I,逐日资产统计!$A:$A,F79,逐日资产统计!$C:$C,"人民币")</f>
        <v>0</v>
      </c>
      <c r="H79" s="32">
        <f>SUMIF(逐日资产统计!$A:$A,资产端序时!$F79,逐日资产统计!$I:$I)-G79</f>
        <v>0</v>
      </c>
      <c r="I79" s="29">
        <f t="shared" si="43"/>
        <v>0</v>
      </c>
      <c r="J79" s="32">
        <f>SUMIF(逐日资产统计!$A:$A,资产端序时!$F79,逐日资产统计!$G:$G)</f>
        <v>0</v>
      </c>
      <c r="K79" s="40">
        <f t="shared" si="44"/>
        <v>0</v>
      </c>
      <c r="L79" s="39">
        <f t="shared" si="45"/>
        <v>0</v>
      </c>
      <c r="M79" s="37" t="e">
        <f t="shared" si="46"/>
        <v>#DIV/0!</v>
      </c>
      <c r="N79" s="38">
        <f>SUMIFS(逐日资产统计!L:L,逐日资产统计!A:A,资产端序时!F79,逐日资产统计!C:C,"人民币")</f>
        <v>0</v>
      </c>
      <c r="O79" s="38">
        <f>SUMIF(逐日资产统计!A:A,资产端序时!F79,逐日资产统计!M:M)-SUMIFS(逐日资产统计!M:M,逐日资产统计!A:A,资产端序时!F79,逐日资产统计!C:C,"人民币")</f>
        <v>0</v>
      </c>
    </row>
    <row r="80" spans="3:15" x14ac:dyDescent="0.25">
      <c r="C80">
        <f>SUM($B$2:B80)</f>
        <v>-7463.19</v>
      </c>
      <c r="F80" s="31">
        <f t="shared" si="42"/>
        <v>0</v>
      </c>
      <c r="G80" s="33">
        <f>SUMIFS(逐日资产统计!$I:$I,逐日资产统计!$A:$A,F80,逐日资产统计!$C:$C,"人民币")</f>
        <v>0</v>
      </c>
      <c r="H80" s="32">
        <f>SUMIF(逐日资产统计!$A:$A,资产端序时!$F80,逐日资产统计!$I:$I)-G80</f>
        <v>0</v>
      </c>
      <c r="I80" s="29">
        <f t="shared" si="43"/>
        <v>0</v>
      </c>
      <c r="J80" s="32">
        <f>SUMIF(逐日资产统计!$A:$A,资产端序时!$F80,逐日资产统计!$G:$G)</f>
        <v>0</v>
      </c>
      <c r="K80" s="40">
        <f t="shared" si="44"/>
        <v>0</v>
      </c>
      <c r="L80" s="39">
        <f t="shared" si="45"/>
        <v>0</v>
      </c>
      <c r="M80" s="37" t="e">
        <f t="shared" si="46"/>
        <v>#DIV/0!</v>
      </c>
      <c r="N80" s="38">
        <f>SUMIFS(逐日资产统计!L:L,逐日资产统计!A:A,资产端序时!F80,逐日资产统计!C:C,"人民币")</f>
        <v>0</v>
      </c>
      <c r="O80" s="38">
        <f>SUMIF(逐日资产统计!A:A,资产端序时!F80,逐日资产统计!M:M)-SUMIFS(逐日资产统计!M:M,逐日资产统计!A:A,资产端序时!F80,逐日资产统计!C:C,"人民币")</f>
        <v>0</v>
      </c>
    </row>
    <row r="81" spans="3:15" x14ac:dyDescent="0.25">
      <c r="C81">
        <f>SUM($B$2:B81)</f>
        <v>-7463.19</v>
      </c>
      <c r="F81" s="31">
        <f t="shared" si="42"/>
        <v>0</v>
      </c>
      <c r="G81" s="33">
        <f>SUMIFS(逐日资产统计!$I:$I,逐日资产统计!$A:$A,F81,逐日资产统计!$C:$C,"人民币")</f>
        <v>0</v>
      </c>
      <c r="H81" s="32">
        <f>SUMIF(逐日资产统计!$A:$A,资产端序时!$F81,逐日资产统计!$I:$I)-G81</f>
        <v>0</v>
      </c>
      <c r="I81" s="29">
        <f t="shared" si="43"/>
        <v>0</v>
      </c>
      <c r="J81" s="32">
        <f>SUMIF(逐日资产统计!$A:$A,资产端序时!$F81,逐日资产统计!$G:$G)</f>
        <v>0</v>
      </c>
      <c r="K81" s="40">
        <f t="shared" si="44"/>
        <v>0</v>
      </c>
      <c r="L81" s="39">
        <f t="shared" si="45"/>
        <v>0</v>
      </c>
      <c r="M81" s="37" t="e">
        <f t="shared" si="46"/>
        <v>#DIV/0!</v>
      </c>
      <c r="N81" s="38">
        <f>SUMIFS(逐日资产统计!L:L,逐日资产统计!A:A,资产端序时!F81,逐日资产统计!C:C,"人民币")</f>
        <v>0</v>
      </c>
      <c r="O81" s="38">
        <f>SUMIF(逐日资产统计!A:A,资产端序时!F81,逐日资产统计!M:M)-SUMIFS(逐日资产统计!M:M,逐日资产统计!A:A,资产端序时!F81,逐日资产统计!C:C,"人民币")</f>
        <v>0</v>
      </c>
    </row>
    <row r="82" spans="3:15" x14ac:dyDescent="0.25">
      <c r="C82">
        <f>SUM($B$2:B82)</f>
        <v>-7463.19</v>
      </c>
      <c r="F82" s="31">
        <f t="shared" si="42"/>
        <v>0</v>
      </c>
      <c r="G82" s="33">
        <f>SUMIFS(逐日资产统计!$I:$I,逐日资产统计!$A:$A,F82,逐日资产统计!$C:$C,"人民币")</f>
        <v>0</v>
      </c>
      <c r="H82" s="32">
        <f>SUMIF(逐日资产统计!$A:$A,资产端序时!$F82,逐日资产统计!$I:$I)-G82</f>
        <v>0</v>
      </c>
      <c r="I82" s="29">
        <f t="shared" si="43"/>
        <v>0</v>
      </c>
      <c r="J82" s="32">
        <f>SUMIF(逐日资产统计!$A:$A,资产端序时!$F82,逐日资产统计!$G:$G)</f>
        <v>0</v>
      </c>
      <c r="K82" s="40">
        <f t="shared" si="44"/>
        <v>0</v>
      </c>
      <c r="L82" s="39">
        <f t="shared" si="45"/>
        <v>0</v>
      </c>
      <c r="M82" s="37" t="e">
        <f t="shared" si="46"/>
        <v>#DIV/0!</v>
      </c>
      <c r="N82" s="38">
        <f>SUMIFS(逐日资产统计!L:L,逐日资产统计!A:A,资产端序时!F82,逐日资产统计!C:C,"人民币")</f>
        <v>0</v>
      </c>
      <c r="O82" s="38">
        <f>SUMIF(逐日资产统计!A:A,资产端序时!F82,逐日资产统计!M:M)-SUMIFS(逐日资产统计!M:M,逐日资产统计!A:A,资产端序时!F82,逐日资产统计!C:C,"人民币")</f>
        <v>0</v>
      </c>
    </row>
    <row r="83" spans="3:15" x14ac:dyDescent="0.25">
      <c r="C83">
        <f>SUM($B$2:B83)</f>
        <v>-7463.19</v>
      </c>
      <c r="F83" s="31">
        <f t="shared" si="42"/>
        <v>0</v>
      </c>
      <c r="G83" s="33">
        <f>SUMIFS(逐日资产统计!$I:$I,逐日资产统计!$A:$A,F83,逐日资产统计!$C:$C,"人民币")</f>
        <v>0</v>
      </c>
      <c r="H83" s="32">
        <f>SUMIF(逐日资产统计!$A:$A,资产端序时!$F83,逐日资产统计!$I:$I)-G83</f>
        <v>0</v>
      </c>
      <c r="I83" s="29">
        <f t="shared" si="43"/>
        <v>0</v>
      </c>
      <c r="J83" s="32">
        <f>SUMIF(逐日资产统计!$A:$A,资产端序时!$F83,逐日资产统计!$G:$G)</f>
        <v>0</v>
      </c>
      <c r="K83" s="40">
        <f t="shared" si="44"/>
        <v>0</v>
      </c>
      <c r="L83" s="39">
        <f t="shared" si="45"/>
        <v>0</v>
      </c>
      <c r="M83" s="37" t="e">
        <f t="shared" si="46"/>
        <v>#DIV/0!</v>
      </c>
      <c r="N83" s="38">
        <f>SUMIFS(逐日资产统计!L:L,逐日资产统计!A:A,资产端序时!F83,逐日资产统计!C:C,"人民币")</f>
        <v>0</v>
      </c>
      <c r="O83" s="38">
        <f>SUMIF(逐日资产统计!A:A,资产端序时!F83,逐日资产统计!M:M)-SUMIFS(逐日资产统计!M:M,逐日资产统计!A:A,资产端序时!F83,逐日资产统计!C:C,"人民币")</f>
        <v>0</v>
      </c>
    </row>
    <row r="84" spans="3:15" x14ac:dyDescent="0.25">
      <c r="C84">
        <f>SUM($B$2:B84)</f>
        <v>-7463.19</v>
      </c>
      <c r="F84" s="31">
        <f t="shared" si="42"/>
        <v>0</v>
      </c>
      <c r="G84" s="33">
        <f>SUMIFS(逐日资产统计!$I:$I,逐日资产统计!$A:$A,F84,逐日资产统计!$C:$C,"人民币")</f>
        <v>0</v>
      </c>
      <c r="H84" s="32">
        <f>SUMIF(逐日资产统计!$A:$A,资产端序时!$F84,逐日资产统计!$I:$I)-G84</f>
        <v>0</v>
      </c>
      <c r="I84" s="29">
        <f t="shared" si="43"/>
        <v>0</v>
      </c>
      <c r="J84" s="32">
        <f>SUMIF(逐日资产统计!$A:$A,资产端序时!$F84,逐日资产统计!$G:$G)</f>
        <v>0</v>
      </c>
      <c r="K84" s="40">
        <f t="shared" si="44"/>
        <v>0</v>
      </c>
      <c r="L84" s="39">
        <f t="shared" si="45"/>
        <v>0</v>
      </c>
      <c r="M84" s="37" t="e">
        <f t="shared" si="46"/>
        <v>#DIV/0!</v>
      </c>
      <c r="N84" s="38">
        <f>SUMIFS(逐日资产统计!L:L,逐日资产统计!A:A,资产端序时!F84,逐日资产统计!C:C,"人民币")</f>
        <v>0</v>
      </c>
      <c r="O84" s="38">
        <f>SUMIF(逐日资产统计!A:A,资产端序时!F84,逐日资产统计!M:M)-SUMIFS(逐日资产统计!M:M,逐日资产统计!A:A,资产端序时!F84,逐日资产统计!C:C,"人民币")</f>
        <v>0</v>
      </c>
    </row>
    <row r="85" spans="3:15" x14ac:dyDescent="0.25">
      <c r="C85">
        <f>SUM($B$2:B85)</f>
        <v>-7463.19</v>
      </c>
      <c r="F85" s="31">
        <f t="shared" si="42"/>
        <v>0</v>
      </c>
      <c r="G85" s="33">
        <f>SUMIFS(逐日资产统计!$I:$I,逐日资产统计!$A:$A,F85,逐日资产统计!$C:$C,"人民币")</f>
        <v>0</v>
      </c>
      <c r="H85" s="32">
        <f>SUMIF(逐日资产统计!$A:$A,资产端序时!$F85,逐日资产统计!$I:$I)-G85</f>
        <v>0</v>
      </c>
      <c r="I85" s="29">
        <f t="shared" si="43"/>
        <v>0</v>
      </c>
      <c r="J85" s="32">
        <f>SUMIF(逐日资产统计!$A:$A,资产端序时!$F85,逐日资产统计!$G:$G)</f>
        <v>0</v>
      </c>
      <c r="K85" s="40">
        <f t="shared" si="44"/>
        <v>0</v>
      </c>
      <c r="L85" s="39">
        <f t="shared" si="45"/>
        <v>0</v>
      </c>
      <c r="M85" s="37" t="e">
        <f t="shared" si="46"/>
        <v>#DIV/0!</v>
      </c>
      <c r="N85" s="38">
        <f>SUMIFS(逐日资产统计!L:L,逐日资产统计!A:A,资产端序时!F85,逐日资产统计!C:C,"人民币")</f>
        <v>0</v>
      </c>
      <c r="O85" s="38">
        <f>SUMIF(逐日资产统计!A:A,资产端序时!F85,逐日资产统计!M:M)-SUMIFS(逐日资产统计!M:M,逐日资产统计!A:A,资产端序时!F85,逐日资产统计!C:C,"人民币")</f>
        <v>0</v>
      </c>
    </row>
    <row r="86" spans="3:15" x14ac:dyDescent="0.25">
      <c r="C86">
        <f>SUM($B$2:B86)</f>
        <v>-7463.19</v>
      </c>
      <c r="F86" s="31">
        <f t="shared" si="42"/>
        <v>0</v>
      </c>
      <c r="G86" s="33">
        <f>SUMIFS(逐日资产统计!$I:$I,逐日资产统计!$A:$A,F86,逐日资产统计!$C:$C,"人民币")</f>
        <v>0</v>
      </c>
      <c r="H86" s="32">
        <f>SUMIF(逐日资产统计!$A:$A,资产端序时!$F86,逐日资产统计!$I:$I)-G86</f>
        <v>0</v>
      </c>
      <c r="I86" s="29">
        <f t="shared" si="43"/>
        <v>0</v>
      </c>
      <c r="J86" s="32">
        <f>SUMIF(逐日资产统计!$A:$A,资产端序时!$F86,逐日资产统计!$G:$G)</f>
        <v>0</v>
      </c>
      <c r="K86" s="40">
        <f t="shared" si="44"/>
        <v>0</v>
      </c>
      <c r="L86" s="39">
        <f t="shared" si="45"/>
        <v>0</v>
      </c>
      <c r="M86" s="37" t="e">
        <f t="shared" si="46"/>
        <v>#DIV/0!</v>
      </c>
      <c r="N86" s="38">
        <f>SUMIFS(逐日资产统计!L:L,逐日资产统计!A:A,资产端序时!F86,逐日资产统计!C:C,"人民币")</f>
        <v>0</v>
      </c>
      <c r="O86" s="38">
        <f>SUMIF(逐日资产统计!A:A,资产端序时!F86,逐日资产统计!M:M)-SUMIFS(逐日资产统计!M:M,逐日资产统计!A:A,资产端序时!F86,逐日资产统计!C:C,"人民币")</f>
        <v>0</v>
      </c>
    </row>
    <row r="87" spans="3:15" x14ac:dyDescent="0.25">
      <c r="C87">
        <f>SUM($B$2:B87)</f>
        <v>-7463.19</v>
      </c>
      <c r="F87" s="31">
        <f t="shared" si="42"/>
        <v>0</v>
      </c>
      <c r="G87" s="33">
        <f>SUMIFS(逐日资产统计!$I:$I,逐日资产统计!$A:$A,F87,逐日资产统计!$C:$C,"人民币")</f>
        <v>0</v>
      </c>
      <c r="H87" s="32">
        <f>SUMIF(逐日资产统计!$A:$A,资产端序时!$F87,逐日资产统计!$I:$I)-G87</f>
        <v>0</v>
      </c>
      <c r="I87" s="29">
        <f t="shared" si="43"/>
        <v>0</v>
      </c>
      <c r="J87" s="32">
        <f>SUMIF(逐日资产统计!$A:$A,资产端序时!$F87,逐日资产统计!$G:$G)</f>
        <v>0</v>
      </c>
      <c r="K87" s="40">
        <f t="shared" si="44"/>
        <v>0</v>
      </c>
      <c r="L87" s="39">
        <f t="shared" si="45"/>
        <v>0</v>
      </c>
      <c r="M87" s="37" t="e">
        <f t="shared" si="46"/>
        <v>#DIV/0!</v>
      </c>
      <c r="N87" s="38">
        <f>SUMIFS(逐日资产统计!L:L,逐日资产统计!A:A,资产端序时!F87,逐日资产统计!C:C,"人民币")</f>
        <v>0</v>
      </c>
      <c r="O87" s="38">
        <f>SUMIF(逐日资产统计!A:A,资产端序时!F87,逐日资产统计!M:M)-SUMIFS(逐日资产统计!M:M,逐日资产统计!A:A,资产端序时!F87,逐日资产统计!C:C,"人民币")</f>
        <v>0</v>
      </c>
    </row>
    <row r="88" spans="3:15" x14ac:dyDescent="0.25">
      <c r="C88">
        <f>SUM($B$2:B88)</f>
        <v>-7463.19</v>
      </c>
      <c r="F88" s="31">
        <f t="shared" si="42"/>
        <v>0</v>
      </c>
      <c r="G88" s="33">
        <f>SUMIFS(逐日资产统计!$I:$I,逐日资产统计!$A:$A,F88,逐日资产统计!$C:$C,"人民币")</f>
        <v>0</v>
      </c>
      <c r="H88" s="32">
        <f>SUMIF(逐日资产统计!$A:$A,资产端序时!$F88,逐日资产统计!$I:$I)-G88</f>
        <v>0</v>
      </c>
      <c r="I88" s="29">
        <f t="shared" si="43"/>
        <v>0</v>
      </c>
      <c r="J88" s="32">
        <f>SUMIF(逐日资产统计!$A:$A,资产端序时!$F88,逐日资产统计!$G:$G)</f>
        <v>0</v>
      </c>
      <c r="K88" s="40">
        <f t="shared" si="44"/>
        <v>0</v>
      </c>
      <c r="L88" s="39">
        <f t="shared" si="45"/>
        <v>0</v>
      </c>
      <c r="M88" s="37" t="e">
        <f t="shared" si="46"/>
        <v>#DIV/0!</v>
      </c>
      <c r="N88" s="38">
        <f>SUMIFS(逐日资产统计!L:L,逐日资产统计!A:A,资产端序时!F88,逐日资产统计!C:C,"人民币")</f>
        <v>0</v>
      </c>
      <c r="O88" s="38">
        <f>SUMIF(逐日资产统计!A:A,资产端序时!F88,逐日资产统计!M:M)-SUMIFS(逐日资产统计!M:M,逐日资产统计!A:A,资产端序时!F88,逐日资产统计!C:C,"人民币")</f>
        <v>0</v>
      </c>
    </row>
    <row r="89" spans="3:15" x14ac:dyDescent="0.25">
      <c r="C89">
        <f>SUM($B$2:B89)</f>
        <v>-7463.19</v>
      </c>
      <c r="F89" s="31">
        <f t="shared" si="42"/>
        <v>0</v>
      </c>
      <c r="G89" s="33">
        <f>SUMIFS(逐日资产统计!$I:$I,逐日资产统计!$A:$A,F89,逐日资产统计!$C:$C,"人民币")</f>
        <v>0</v>
      </c>
      <c r="H89" s="32">
        <f>SUMIF(逐日资产统计!$A:$A,资产端序时!$F89,逐日资产统计!$I:$I)-G89</f>
        <v>0</v>
      </c>
      <c r="I89" s="29">
        <f t="shared" si="43"/>
        <v>0</v>
      </c>
      <c r="J89" s="32">
        <f>SUMIF(逐日资产统计!$A:$A,资产端序时!$F89,逐日资产统计!$G:$G)</f>
        <v>0</v>
      </c>
      <c r="K89" s="40">
        <f t="shared" si="44"/>
        <v>0</v>
      </c>
      <c r="L89" s="39">
        <f t="shared" si="45"/>
        <v>0</v>
      </c>
      <c r="M89" s="37" t="e">
        <f t="shared" si="46"/>
        <v>#DIV/0!</v>
      </c>
      <c r="N89" s="38">
        <f>SUMIFS(逐日资产统计!L:L,逐日资产统计!A:A,资产端序时!F89,逐日资产统计!C:C,"人民币")</f>
        <v>0</v>
      </c>
      <c r="O89" s="38">
        <f>SUMIF(逐日资产统计!A:A,资产端序时!F89,逐日资产统计!M:M)-SUMIFS(逐日资产统计!M:M,逐日资产统计!A:A,资产端序时!F89,逐日资产统计!C:C,"人民币")</f>
        <v>0</v>
      </c>
    </row>
    <row r="90" spans="3:15" x14ac:dyDescent="0.25">
      <c r="C90">
        <f>SUM($B$2:B90)</f>
        <v>-7463.19</v>
      </c>
      <c r="F90" s="31">
        <f t="shared" si="42"/>
        <v>0</v>
      </c>
      <c r="G90" s="33">
        <f>SUMIFS(逐日资产统计!$I:$I,逐日资产统计!$A:$A,F90,逐日资产统计!$C:$C,"人民币")</f>
        <v>0</v>
      </c>
      <c r="H90" s="32">
        <f>SUMIF(逐日资产统计!$A:$A,资产端序时!$F90,逐日资产统计!$I:$I)-G90</f>
        <v>0</v>
      </c>
      <c r="I90" s="29">
        <f t="shared" si="43"/>
        <v>0</v>
      </c>
      <c r="J90" s="32">
        <f>SUMIF(逐日资产统计!$A:$A,资产端序时!$F90,逐日资产统计!$G:$G)</f>
        <v>0</v>
      </c>
      <c r="K90" s="40">
        <f t="shared" si="44"/>
        <v>0</v>
      </c>
      <c r="L90" s="39">
        <f t="shared" si="45"/>
        <v>0</v>
      </c>
      <c r="M90" s="37" t="e">
        <f t="shared" si="46"/>
        <v>#DIV/0!</v>
      </c>
      <c r="N90" s="38">
        <f>SUMIFS(逐日资产统计!L:L,逐日资产统计!A:A,资产端序时!F90,逐日资产统计!C:C,"人民币")</f>
        <v>0</v>
      </c>
      <c r="O90" s="38">
        <f>SUMIF(逐日资产统计!A:A,资产端序时!F90,逐日资产统计!M:M)-SUMIFS(逐日资产统计!M:M,逐日资产统计!A:A,资产端序时!F90,逐日资产统计!C:C,"人民币")</f>
        <v>0</v>
      </c>
    </row>
    <row r="91" spans="3:15" x14ac:dyDescent="0.25">
      <c r="C91">
        <f>SUM($B$2:B91)</f>
        <v>-7463.19</v>
      </c>
      <c r="F91" s="31">
        <f t="shared" si="42"/>
        <v>0</v>
      </c>
      <c r="G91" s="33">
        <f>SUMIFS(逐日资产统计!$I:$I,逐日资产统计!$A:$A,F91,逐日资产统计!$C:$C,"人民币")</f>
        <v>0</v>
      </c>
      <c r="H91" s="32">
        <f>SUMIF(逐日资产统计!$A:$A,资产端序时!$F91,逐日资产统计!$I:$I)-G91</f>
        <v>0</v>
      </c>
      <c r="I91" s="29">
        <f t="shared" si="43"/>
        <v>0</v>
      </c>
      <c r="J91" s="32">
        <f>SUMIF(逐日资产统计!$A:$A,资产端序时!$F91,逐日资产统计!$G:$G)</f>
        <v>0</v>
      </c>
      <c r="K91" s="40">
        <f t="shared" si="44"/>
        <v>0</v>
      </c>
      <c r="L91" s="39">
        <f t="shared" si="45"/>
        <v>0</v>
      </c>
      <c r="M91" s="37" t="e">
        <f t="shared" si="46"/>
        <v>#DIV/0!</v>
      </c>
      <c r="N91" s="38">
        <f>SUMIFS(逐日资产统计!L:L,逐日资产统计!A:A,资产端序时!F91,逐日资产统计!C:C,"人民币")</f>
        <v>0</v>
      </c>
      <c r="O91" s="38">
        <f>SUMIF(逐日资产统计!A:A,资产端序时!F91,逐日资产统计!M:M)-SUMIFS(逐日资产统计!M:M,逐日资产统计!A:A,资产端序时!F91,逐日资产统计!C:C,"人民币")</f>
        <v>0</v>
      </c>
    </row>
    <row r="92" spans="3:15" x14ac:dyDescent="0.25">
      <c r="C92">
        <f>SUM($B$2:B92)</f>
        <v>-7463.19</v>
      </c>
      <c r="F92" s="31">
        <f t="shared" si="42"/>
        <v>0</v>
      </c>
      <c r="G92" s="33">
        <f>SUMIFS(逐日资产统计!$I:$I,逐日资产统计!$A:$A,F92,逐日资产统计!$C:$C,"人民币")</f>
        <v>0</v>
      </c>
      <c r="H92" s="32">
        <f>SUMIF(逐日资产统计!$A:$A,资产端序时!$F92,逐日资产统计!$I:$I)-G92</f>
        <v>0</v>
      </c>
      <c r="I92" s="29">
        <f t="shared" si="43"/>
        <v>0</v>
      </c>
      <c r="J92" s="32">
        <f>SUMIF(逐日资产统计!$A:$A,资产端序时!$F92,逐日资产统计!$G:$G)</f>
        <v>0</v>
      </c>
      <c r="K92" s="40">
        <f t="shared" si="44"/>
        <v>0</v>
      </c>
      <c r="L92" s="39">
        <f t="shared" si="45"/>
        <v>0</v>
      </c>
      <c r="M92" s="37" t="e">
        <f t="shared" si="46"/>
        <v>#DIV/0!</v>
      </c>
      <c r="N92" s="38">
        <f>SUMIFS(逐日资产统计!L:L,逐日资产统计!A:A,资产端序时!F92,逐日资产统计!C:C,"人民币")</f>
        <v>0</v>
      </c>
      <c r="O92" s="38">
        <f>SUMIF(逐日资产统计!A:A,资产端序时!F92,逐日资产统计!M:M)-SUMIFS(逐日资产统计!M:M,逐日资产统计!A:A,资产端序时!F92,逐日资产统计!C:C,"人民币")</f>
        <v>0</v>
      </c>
    </row>
    <row r="93" spans="3:15" x14ac:dyDescent="0.25">
      <c r="C93">
        <f>SUM($B$2:B93)</f>
        <v>-7463.19</v>
      </c>
      <c r="F93" s="31">
        <f t="shared" si="42"/>
        <v>0</v>
      </c>
      <c r="G93" s="33">
        <f>SUMIFS(逐日资产统计!$I:$I,逐日资产统计!$A:$A,F93,逐日资产统计!$C:$C,"人民币")</f>
        <v>0</v>
      </c>
      <c r="H93" s="32">
        <f>SUMIF(逐日资产统计!$A:$A,资产端序时!$F93,逐日资产统计!$I:$I)-G93</f>
        <v>0</v>
      </c>
      <c r="I93" s="29">
        <f t="shared" si="43"/>
        <v>0</v>
      </c>
      <c r="J93" s="32">
        <f>SUMIF(逐日资产统计!$A:$A,资产端序时!$F93,逐日资产统计!$G:$G)</f>
        <v>0</v>
      </c>
      <c r="K93" s="40">
        <f t="shared" si="44"/>
        <v>0</v>
      </c>
      <c r="L93" s="39">
        <f t="shared" si="45"/>
        <v>0</v>
      </c>
      <c r="M93" s="37" t="e">
        <f t="shared" si="46"/>
        <v>#DIV/0!</v>
      </c>
      <c r="N93" s="38">
        <f>SUMIFS(逐日资产统计!L:L,逐日资产统计!A:A,资产端序时!F93,逐日资产统计!C:C,"人民币")</f>
        <v>0</v>
      </c>
      <c r="O93" s="38">
        <f>SUMIF(逐日资产统计!A:A,资产端序时!F93,逐日资产统计!M:M)-SUMIFS(逐日资产统计!M:M,逐日资产统计!A:A,资产端序时!F93,逐日资产统计!C:C,"人民币")</f>
        <v>0</v>
      </c>
    </row>
    <row r="94" spans="3:15" x14ac:dyDescent="0.25">
      <c r="C94">
        <f>SUM($B$2:B94)</f>
        <v>-7463.19</v>
      </c>
      <c r="F94" s="31">
        <f t="shared" si="42"/>
        <v>0</v>
      </c>
      <c r="G94" s="33">
        <f>SUMIFS(逐日资产统计!$I:$I,逐日资产统计!$A:$A,F94,逐日资产统计!$C:$C,"人民币")</f>
        <v>0</v>
      </c>
      <c r="H94" s="32">
        <f>SUMIF(逐日资产统计!$A:$A,资产端序时!$F94,逐日资产统计!$I:$I)-G94</f>
        <v>0</v>
      </c>
      <c r="I94" s="29">
        <f t="shared" si="43"/>
        <v>0</v>
      </c>
      <c r="J94" s="32">
        <f>SUMIF(逐日资产统计!$A:$A,资产端序时!$F94,逐日资产统计!$G:$G)</f>
        <v>0</v>
      </c>
      <c r="K94" s="40">
        <f t="shared" si="44"/>
        <v>0</v>
      </c>
      <c r="L94" s="39">
        <f t="shared" si="45"/>
        <v>0</v>
      </c>
      <c r="M94" s="37" t="e">
        <f t="shared" si="46"/>
        <v>#DIV/0!</v>
      </c>
      <c r="N94" s="38">
        <f>SUMIFS(逐日资产统计!L:L,逐日资产统计!A:A,资产端序时!F94,逐日资产统计!C:C,"人民币")</f>
        <v>0</v>
      </c>
      <c r="O94" s="38">
        <f>SUMIF(逐日资产统计!A:A,资产端序时!F94,逐日资产统计!M:M)-SUMIFS(逐日资产统计!M:M,逐日资产统计!A:A,资产端序时!F94,逐日资产统计!C:C,"人民币")</f>
        <v>0</v>
      </c>
    </row>
    <row r="95" spans="3:15" x14ac:dyDescent="0.25">
      <c r="C95">
        <f>SUM($B$2:B95)</f>
        <v>-7463.19</v>
      </c>
      <c r="F95" s="31">
        <f t="shared" si="42"/>
        <v>0</v>
      </c>
      <c r="G95" s="33">
        <f>SUMIFS(逐日资产统计!$I:$I,逐日资产统计!$A:$A,F95,逐日资产统计!$C:$C,"人民币")</f>
        <v>0</v>
      </c>
      <c r="H95" s="32">
        <f>SUMIF(逐日资产统计!$A:$A,资产端序时!$F95,逐日资产统计!$I:$I)-G95</f>
        <v>0</v>
      </c>
      <c r="I95" s="29">
        <f t="shared" si="43"/>
        <v>0</v>
      </c>
      <c r="J95" s="32">
        <f>SUMIF(逐日资产统计!$A:$A,资产端序时!$F95,逐日资产统计!$G:$G)</f>
        <v>0</v>
      </c>
      <c r="K95" s="40">
        <f t="shared" si="44"/>
        <v>0</v>
      </c>
      <c r="L95" s="39">
        <f t="shared" si="45"/>
        <v>0</v>
      </c>
      <c r="M95" s="37" t="e">
        <f t="shared" si="46"/>
        <v>#DIV/0!</v>
      </c>
      <c r="N95" s="38">
        <f>SUMIFS(逐日资产统计!L:L,逐日资产统计!A:A,资产端序时!F95,逐日资产统计!C:C,"人民币")</f>
        <v>0</v>
      </c>
      <c r="O95" s="38">
        <f>SUMIF(逐日资产统计!A:A,资产端序时!F95,逐日资产统计!M:M)-SUMIFS(逐日资产统计!M:M,逐日资产统计!A:A,资产端序时!F95,逐日资产统计!C:C,"人民币")</f>
        <v>0</v>
      </c>
    </row>
    <row r="96" spans="3:15" x14ac:dyDescent="0.25">
      <c r="C96">
        <f>SUM($B$2:B96)</f>
        <v>-7463.19</v>
      </c>
      <c r="F96" s="31">
        <f t="shared" si="42"/>
        <v>0</v>
      </c>
      <c r="G96" s="33">
        <f>SUMIFS(逐日资产统计!$I:$I,逐日资产统计!$A:$A,F96,逐日资产统计!$C:$C,"人民币")</f>
        <v>0</v>
      </c>
      <c r="H96" s="32">
        <f>SUMIF(逐日资产统计!$A:$A,资产端序时!$F96,逐日资产统计!$I:$I)-G96</f>
        <v>0</v>
      </c>
      <c r="I96" s="29">
        <f t="shared" si="43"/>
        <v>0</v>
      </c>
      <c r="J96" s="32">
        <f>SUMIF(逐日资产统计!$A:$A,资产端序时!$F96,逐日资产统计!$G:$G)</f>
        <v>0</v>
      </c>
      <c r="K96" s="40">
        <f t="shared" si="44"/>
        <v>0</v>
      </c>
      <c r="L96" s="39">
        <f t="shared" si="45"/>
        <v>0</v>
      </c>
      <c r="M96" s="37" t="e">
        <f t="shared" si="46"/>
        <v>#DIV/0!</v>
      </c>
      <c r="N96" s="38">
        <f>SUMIFS(逐日资产统计!L:L,逐日资产统计!A:A,资产端序时!F96,逐日资产统计!C:C,"人民币")</f>
        <v>0</v>
      </c>
      <c r="O96" s="38">
        <f>SUMIF(逐日资产统计!A:A,资产端序时!F96,逐日资产统计!M:M)-SUMIFS(逐日资产统计!M:M,逐日资产统计!A:A,资产端序时!F96,逐日资产统计!C:C,"人民币")</f>
        <v>0</v>
      </c>
    </row>
    <row r="97" spans="3:15" x14ac:dyDescent="0.25">
      <c r="C97">
        <f>SUM($B$2:B97)</f>
        <v>-7463.19</v>
      </c>
      <c r="F97" s="31">
        <f t="shared" ref="F97:F106" si="47">A97</f>
        <v>0</v>
      </c>
      <c r="G97" s="33">
        <f>SUMIFS(逐日资产统计!$I:$I,逐日资产统计!$A:$A,F97,逐日资产统计!$C:$C,"人民币")</f>
        <v>0</v>
      </c>
      <c r="H97" s="32">
        <f>SUMIF(逐日资产统计!$A:$A,资产端序时!$F97,逐日资产统计!$I:$I)-G97</f>
        <v>0</v>
      </c>
      <c r="I97" s="29">
        <f t="shared" ref="I97:I106" si="48">G97+H97</f>
        <v>0</v>
      </c>
      <c r="J97" s="32">
        <f>SUMIF(逐日资产统计!$A:$A,资产端序时!$F97,逐日资产统计!$G:$G)</f>
        <v>0</v>
      </c>
      <c r="K97" s="40">
        <f t="shared" ref="K97:K106" si="49">I97-J97</f>
        <v>0</v>
      </c>
      <c r="L97" s="39">
        <f t="shared" ref="L97:L106" si="50">K97-K96</f>
        <v>0</v>
      </c>
      <c r="M97" s="37" t="e">
        <f t="shared" ref="M97:M106" si="51">J97/K97</f>
        <v>#DIV/0!</v>
      </c>
      <c r="N97" s="38">
        <f>SUMIFS(逐日资产统计!L:L,逐日资产统计!A:A,资产端序时!F97,逐日资产统计!C:C,"人民币")</f>
        <v>0</v>
      </c>
      <c r="O97" s="38">
        <f>SUMIF(逐日资产统计!A:A,资产端序时!F97,逐日资产统计!M:M)-SUMIFS(逐日资产统计!M:M,逐日资产统计!A:A,资产端序时!F97,逐日资产统计!C:C,"人民币")</f>
        <v>0</v>
      </c>
    </row>
    <row r="98" spans="3:15" x14ac:dyDescent="0.25">
      <c r="C98">
        <f>SUM($B$2:B98)</f>
        <v>-7463.19</v>
      </c>
      <c r="F98" s="31">
        <f t="shared" si="47"/>
        <v>0</v>
      </c>
      <c r="G98" s="33">
        <f>SUMIFS(逐日资产统计!$I:$I,逐日资产统计!$A:$A,F98,逐日资产统计!$C:$C,"人民币")</f>
        <v>0</v>
      </c>
      <c r="H98" s="32">
        <f>SUMIF(逐日资产统计!$A:$A,资产端序时!$F98,逐日资产统计!$I:$I)-G98</f>
        <v>0</v>
      </c>
      <c r="I98" s="29">
        <f t="shared" si="48"/>
        <v>0</v>
      </c>
      <c r="J98" s="32">
        <f>SUMIF(逐日资产统计!$A:$A,资产端序时!$F98,逐日资产统计!$G:$G)</f>
        <v>0</v>
      </c>
      <c r="K98" s="40">
        <f t="shared" si="49"/>
        <v>0</v>
      </c>
      <c r="L98" s="39">
        <f t="shared" si="50"/>
        <v>0</v>
      </c>
      <c r="M98" s="37" t="e">
        <f t="shared" si="51"/>
        <v>#DIV/0!</v>
      </c>
      <c r="N98" s="38">
        <f>SUMIFS(逐日资产统计!L:L,逐日资产统计!A:A,资产端序时!F98,逐日资产统计!C:C,"人民币")</f>
        <v>0</v>
      </c>
      <c r="O98" s="38">
        <f>SUMIF(逐日资产统计!A:A,资产端序时!F98,逐日资产统计!M:M)-SUMIFS(逐日资产统计!M:M,逐日资产统计!A:A,资产端序时!F98,逐日资产统计!C:C,"人民币")</f>
        <v>0</v>
      </c>
    </row>
    <row r="99" spans="3:15" x14ac:dyDescent="0.25">
      <c r="C99">
        <f>SUM($B$2:B99)</f>
        <v>-7463.19</v>
      </c>
      <c r="F99" s="31">
        <f t="shared" si="47"/>
        <v>0</v>
      </c>
      <c r="G99" s="33">
        <f>SUMIFS(逐日资产统计!$I:$I,逐日资产统计!$A:$A,F99,逐日资产统计!$C:$C,"人民币")</f>
        <v>0</v>
      </c>
      <c r="H99" s="32">
        <f>SUMIF(逐日资产统计!$A:$A,资产端序时!$F99,逐日资产统计!$I:$I)-G99</f>
        <v>0</v>
      </c>
      <c r="I99" s="29">
        <f t="shared" si="48"/>
        <v>0</v>
      </c>
      <c r="J99" s="32">
        <f>SUMIF(逐日资产统计!$A:$A,资产端序时!$F99,逐日资产统计!$G:$G)</f>
        <v>0</v>
      </c>
      <c r="K99" s="40">
        <f t="shared" si="49"/>
        <v>0</v>
      </c>
      <c r="L99" s="39">
        <f t="shared" si="50"/>
        <v>0</v>
      </c>
      <c r="M99" s="37" t="e">
        <f t="shared" si="51"/>
        <v>#DIV/0!</v>
      </c>
      <c r="N99" s="38">
        <f>SUMIFS(逐日资产统计!L:L,逐日资产统计!A:A,资产端序时!F99,逐日资产统计!C:C,"人民币")</f>
        <v>0</v>
      </c>
      <c r="O99" s="38">
        <f>SUMIF(逐日资产统计!A:A,资产端序时!F99,逐日资产统计!M:M)-SUMIFS(逐日资产统计!M:M,逐日资产统计!A:A,资产端序时!F99,逐日资产统计!C:C,"人民币")</f>
        <v>0</v>
      </c>
    </row>
    <row r="100" spans="3:15" x14ac:dyDescent="0.25">
      <c r="C100">
        <f>SUM($B$2:B100)</f>
        <v>-7463.19</v>
      </c>
      <c r="F100" s="31">
        <f t="shared" si="47"/>
        <v>0</v>
      </c>
      <c r="G100" s="33">
        <f>SUMIFS(逐日资产统计!$I:$I,逐日资产统计!$A:$A,F100,逐日资产统计!$C:$C,"人民币")</f>
        <v>0</v>
      </c>
      <c r="H100" s="32">
        <f>SUMIF(逐日资产统计!$A:$A,资产端序时!$F100,逐日资产统计!$I:$I)-G100</f>
        <v>0</v>
      </c>
      <c r="I100" s="29">
        <f t="shared" si="48"/>
        <v>0</v>
      </c>
      <c r="J100" s="32">
        <f>SUMIF(逐日资产统计!$A:$A,资产端序时!$F100,逐日资产统计!$G:$G)</f>
        <v>0</v>
      </c>
      <c r="K100" s="40">
        <f t="shared" si="49"/>
        <v>0</v>
      </c>
      <c r="L100" s="39">
        <f t="shared" si="50"/>
        <v>0</v>
      </c>
      <c r="M100" s="37" t="e">
        <f t="shared" si="51"/>
        <v>#DIV/0!</v>
      </c>
      <c r="N100" s="38">
        <f>SUMIFS(逐日资产统计!L:L,逐日资产统计!A:A,资产端序时!F100,逐日资产统计!C:C,"人民币")</f>
        <v>0</v>
      </c>
      <c r="O100" s="38">
        <f>SUMIF(逐日资产统计!A:A,资产端序时!F100,逐日资产统计!M:M)-SUMIFS(逐日资产统计!M:M,逐日资产统计!A:A,资产端序时!F100,逐日资产统计!C:C,"人民币")</f>
        <v>0</v>
      </c>
    </row>
    <row r="101" spans="3:15" x14ac:dyDescent="0.25">
      <c r="C101">
        <f>SUM($B$2:B101)</f>
        <v>-7463.19</v>
      </c>
      <c r="F101" s="31">
        <f t="shared" si="47"/>
        <v>0</v>
      </c>
      <c r="G101" s="33">
        <f>SUMIFS(逐日资产统计!$I:$I,逐日资产统计!$A:$A,F101,逐日资产统计!$C:$C,"人民币")</f>
        <v>0</v>
      </c>
      <c r="H101" s="32">
        <f>SUMIF(逐日资产统计!$A:$A,资产端序时!$F101,逐日资产统计!$I:$I)-G101</f>
        <v>0</v>
      </c>
      <c r="I101" s="29">
        <f t="shared" si="48"/>
        <v>0</v>
      </c>
      <c r="J101" s="32">
        <f>SUMIF(逐日资产统计!$A:$A,资产端序时!$F101,逐日资产统计!$G:$G)</f>
        <v>0</v>
      </c>
      <c r="K101" s="40">
        <f t="shared" si="49"/>
        <v>0</v>
      </c>
      <c r="L101" s="39">
        <f t="shared" si="50"/>
        <v>0</v>
      </c>
      <c r="M101" s="37" t="e">
        <f t="shared" si="51"/>
        <v>#DIV/0!</v>
      </c>
      <c r="N101" s="38">
        <f>SUMIFS(逐日资产统计!L:L,逐日资产统计!A:A,资产端序时!F101,逐日资产统计!C:C,"人民币")</f>
        <v>0</v>
      </c>
      <c r="O101" s="38">
        <f>SUMIF(逐日资产统计!A:A,资产端序时!F101,逐日资产统计!M:M)-SUMIFS(逐日资产统计!M:M,逐日资产统计!A:A,资产端序时!F101,逐日资产统计!C:C,"人民币")</f>
        <v>0</v>
      </c>
    </row>
    <row r="102" spans="3:15" x14ac:dyDescent="0.25">
      <c r="C102">
        <f>SUM($B$2:B102)</f>
        <v>-7463.19</v>
      </c>
      <c r="F102" s="31">
        <f t="shared" si="47"/>
        <v>0</v>
      </c>
      <c r="G102" s="33">
        <f>SUMIFS(逐日资产统计!$I:$I,逐日资产统计!$A:$A,F102,逐日资产统计!$C:$C,"人民币")</f>
        <v>0</v>
      </c>
      <c r="H102" s="32">
        <f>SUMIF(逐日资产统计!$A:$A,资产端序时!$F102,逐日资产统计!$I:$I)-G102</f>
        <v>0</v>
      </c>
      <c r="I102" s="29">
        <f t="shared" si="48"/>
        <v>0</v>
      </c>
      <c r="J102" s="32">
        <f>SUMIF(逐日资产统计!$A:$A,资产端序时!$F102,逐日资产统计!$G:$G)</f>
        <v>0</v>
      </c>
      <c r="K102" s="40">
        <f t="shared" si="49"/>
        <v>0</v>
      </c>
      <c r="L102" s="39">
        <f t="shared" si="50"/>
        <v>0</v>
      </c>
      <c r="M102" s="37" t="e">
        <f t="shared" si="51"/>
        <v>#DIV/0!</v>
      </c>
      <c r="N102" s="38">
        <f>SUMIFS(逐日资产统计!L:L,逐日资产统计!A:A,资产端序时!F102,逐日资产统计!C:C,"人民币")</f>
        <v>0</v>
      </c>
      <c r="O102" s="38">
        <f>SUMIF(逐日资产统计!A:A,资产端序时!F102,逐日资产统计!M:M)-SUMIFS(逐日资产统计!M:M,逐日资产统计!A:A,资产端序时!F102,逐日资产统计!C:C,"人民币")</f>
        <v>0</v>
      </c>
    </row>
    <row r="103" spans="3:15" x14ac:dyDescent="0.25">
      <c r="C103">
        <f>SUM($B$2:B103)</f>
        <v>-7463.19</v>
      </c>
      <c r="F103" s="31">
        <f t="shared" si="47"/>
        <v>0</v>
      </c>
      <c r="G103" s="33">
        <f>SUMIFS(逐日资产统计!$I:$I,逐日资产统计!$A:$A,F103,逐日资产统计!$C:$C,"人民币")</f>
        <v>0</v>
      </c>
      <c r="H103" s="32">
        <f>SUMIF(逐日资产统计!$A:$A,资产端序时!$F103,逐日资产统计!$I:$I)-G103</f>
        <v>0</v>
      </c>
      <c r="I103" s="29">
        <f t="shared" si="48"/>
        <v>0</v>
      </c>
      <c r="J103" s="32">
        <f>SUMIF(逐日资产统计!$A:$A,资产端序时!$F103,逐日资产统计!$G:$G)</f>
        <v>0</v>
      </c>
      <c r="K103" s="40">
        <f t="shared" si="49"/>
        <v>0</v>
      </c>
      <c r="L103" s="39">
        <f t="shared" si="50"/>
        <v>0</v>
      </c>
      <c r="M103" s="37" t="e">
        <f t="shared" si="51"/>
        <v>#DIV/0!</v>
      </c>
      <c r="N103" s="38">
        <f>SUMIFS(逐日资产统计!L:L,逐日资产统计!A:A,资产端序时!F103,逐日资产统计!C:C,"人民币")</f>
        <v>0</v>
      </c>
      <c r="O103" s="38">
        <f>SUMIF(逐日资产统计!A:A,资产端序时!F103,逐日资产统计!M:M)-SUMIFS(逐日资产统计!M:M,逐日资产统计!A:A,资产端序时!F103,逐日资产统计!C:C,"人民币")</f>
        <v>0</v>
      </c>
    </row>
    <row r="104" spans="3:15" x14ac:dyDescent="0.25">
      <c r="C104">
        <f>SUM($B$2:B104)</f>
        <v>-7463.19</v>
      </c>
      <c r="F104" s="31">
        <f t="shared" si="47"/>
        <v>0</v>
      </c>
      <c r="G104" s="33">
        <f>SUMIFS(逐日资产统计!$I:$I,逐日资产统计!$A:$A,F104,逐日资产统计!$C:$C,"人民币")</f>
        <v>0</v>
      </c>
      <c r="H104" s="32">
        <f>SUMIF(逐日资产统计!$A:$A,资产端序时!$F104,逐日资产统计!$I:$I)-G104</f>
        <v>0</v>
      </c>
      <c r="I104" s="29">
        <f t="shared" si="48"/>
        <v>0</v>
      </c>
      <c r="J104" s="32">
        <f>SUMIF(逐日资产统计!$A:$A,资产端序时!$F104,逐日资产统计!$G:$G)</f>
        <v>0</v>
      </c>
      <c r="K104" s="40">
        <f t="shared" si="49"/>
        <v>0</v>
      </c>
      <c r="L104" s="39">
        <f t="shared" si="50"/>
        <v>0</v>
      </c>
      <c r="M104" s="37" t="e">
        <f t="shared" si="51"/>
        <v>#DIV/0!</v>
      </c>
      <c r="N104" s="38">
        <f>SUMIFS(逐日资产统计!L:L,逐日资产统计!A:A,资产端序时!F104,逐日资产统计!C:C,"人民币")</f>
        <v>0</v>
      </c>
      <c r="O104" s="38">
        <f>SUMIF(逐日资产统计!A:A,资产端序时!F104,逐日资产统计!M:M)-SUMIFS(逐日资产统计!M:M,逐日资产统计!A:A,资产端序时!F104,逐日资产统计!C:C,"人民币")</f>
        <v>0</v>
      </c>
    </row>
    <row r="105" spans="3:15" x14ac:dyDescent="0.25">
      <c r="C105">
        <f>SUM($B$2:B105)</f>
        <v>-7463.19</v>
      </c>
      <c r="F105" s="31">
        <f t="shared" si="47"/>
        <v>0</v>
      </c>
      <c r="G105" s="33">
        <f>SUMIFS(逐日资产统计!$I:$I,逐日资产统计!$A:$A,F105,逐日资产统计!$C:$C,"人民币")</f>
        <v>0</v>
      </c>
      <c r="H105" s="32">
        <f>SUMIF(逐日资产统计!$A:$A,资产端序时!$F105,逐日资产统计!$I:$I)-G105</f>
        <v>0</v>
      </c>
      <c r="I105" s="29">
        <f t="shared" si="48"/>
        <v>0</v>
      </c>
      <c r="J105" s="32">
        <f>SUMIF(逐日资产统计!$A:$A,资产端序时!$F105,逐日资产统计!$G:$G)</f>
        <v>0</v>
      </c>
      <c r="K105" s="40">
        <f t="shared" si="49"/>
        <v>0</v>
      </c>
      <c r="L105" s="39">
        <f t="shared" si="50"/>
        <v>0</v>
      </c>
      <c r="M105" s="37" t="e">
        <f t="shared" si="51"/>
        <v>#DIV/0!</v>
      </c>
      <c r="N105" s="38">
        <f>SUMIFS(逐日资产统计!L:L,逐日资产统计!A:A,资产端序时!F105,逐日资产统计!C:C,"人民币")</f>
        <v>0</v>
      </c>
      <c r="O105" s="38">
        <f>SUMIF(逐日资产统计!A:A,资产端序时!F105,逐日资产统计!M:M)-SUMIFS(逐日资产统计!M:M,逐日资产统计!A:A,资产端序时!F105,逐日资产统计!C:C,"人民币")</f>
        <v>0</v>
      </c>
    </row>
    <row r="106" spans="3:15" x14ac:dyDescent="0.25">
      <c r="C106">
        <f>SUM($B$2:B106)</f>
        <v>-7463.19</v>
      </c>
      <c r="F106" s="31">
        <f t="shared" si="47"/>
        <v>0</v>
      </c>
      <c r="G106" s="33">
        <f>SUMIFS(逐日资产统计!$I:$I,逐日资产统计!$A:$A,F106,逐日资产统计!$C:$C,"人民币")</f>
        <v>0</v>
      </c>
      <c r="H106" s="32">
        <f>SUMIF(逐日资产统计!$A:$A,资产端序时!$F106,逐日资产统计!$I:$I)-G106</f>
        <v>0</v>
      </c>
      <c r="I106" s="29">
        <f t="shared" si="48"/>
        <v>0</v>
      </c>
      <c r="J106" s="32">
        <f>SUMIF(逐日资产统计!$A:$A,资产端序时!$F106,逐日资产统计!$G:$G)</f>
        <v>0</v>
      </c>
      <c r="K106" s="40">
        <f t="shared" si="49"/>
        <v>0</v>
      </c>
      <c r="L106" s="39">
        <f t="shared" si="50"/>
        <v>0</v>
      </c>
      <c r="M106" s="37" t="e">
        <f t="shared" si="51"/>
        <v>#DIV/0!</v>
      </c>
      <c r="N106" s="38">
        <f>SUMIFS(逐日资产统计!L:L,逐日资产统计!A:A,资产端序时!F106,逐日资产统计!C:C,"人民币")</f>
        <v>0</v>
      </c>
      <c r="O106" s="38">
        <f>SUMIF(逐日资产统计!A:A,资产端序时!F106,逐日资产统计!M:M)-SUMIFS(逐日资产统计!M:M,逐日资产统计!A:A,资产端序时!F106,逐日资产统计!C:C,"人民币")</f>
        <v>0</v>
      </c>
    </row>
    <row r="107" spans="3:15" x14ac:dyDescent="0.25">
      <c r="C107">
        <f>SUM($B$2:B107)</f>
        <v>-7463.19</v>
      </c>
      <c r="F107" s="31">
        <f t="shared" ref="F107:F122" si="52">A107</f>
        <v>0</v>
      </c>
      <c r="G107" s="33">
        <f>SUMIFS(逐日资产统计!$I:$I,逐日资产统计!$A:$A,F107,逐日资产统计!$C:$C,"人民币")</f>
        <v>0</v>
      </c>
      <c r="H107" s="32">
        <f>SUMIF(逐日资产统计!$A:$A,资产端序时!$F107,逐日资产统计!$I:$I)-G107</f>
        <v>0</v>
      </c>
      <c r="I107" s="29">
        <f t="shared" ref="I107:I122" si="53">G107+H107</f>
        <v>0</v>
      </c>
      <c r="J107" s="32">
        <f>SUMIF(逐日资产统计!$A:$A,资产端序时!$F107,逐日资产统计!$G:$G)</f>
        <v>0</v>
      </c>
      <c r="K107" s="40">
        <f t="shared" ref="K107:K122" si="54">I107-J107</f>
        <v>0</v>
      </c>
      <c r="L107" s="39">
        <f t="shared" ref="L107:L122" si="55">K107-K106</f>
        <v>0</v>
      </c>
      <c r="M107" s="37" t="e">
        <f t="shared" ref="M107:M122" si="56">J107/K107</f>
        <v>#DIV/0!</v>
      </c>
      <c r="N107" s="38">
        <f>SUMIFS(逐日资产统计!L:L,逐日资产统计!A:A,资产端序时!F107,逐日资产统计!C:C,"人民币")</f>
        <v>0</v>
      </c>
      <c r="O107" s="38">
        <f>SUMIF(逐日资产统计!A:A,资产端序时!F107,逐日资产统计!M:M)-SUMIFS(逐日资产统计!M:M,逐日资产统计!A:A,资产端序时!F107,逐日资产统计!C:C,"人民币")</f>
        <v>0</v>
      </c>
    </row>
    <row r="108" spans="3:15" x14ac:dyDescent="0.25">
      <c r="C108">
        <f>SUM($B$2:B108)</f>
        <v>-7463.19</v>
      </c>
      <c r="F108" s="31">
        <f t="shared" si="52"/>
        <v>0</v>
      </c>
      <c r="G108" s="33">
        <f>SUMIFS(逐日资产统计!$I:$I,逐日资产统计!$A:$A,F108,逐日资产统计!$C:$C,"人民币")</f>
        <v>0</v>
      </c>
      <c r="H108" s="32">
        <f>SUMIF(逐日资产统计!$A:$A,资产端序时!$F108,逐日资产统计!$I:$I)-G108</f>
        <v>0</v>
      </c>
      <c r="I108" s="29">
        <f t="shared" si="53"/>
        <v>0</v>
      </c>
      <c r="J108" s="32">
        <f>SUMIF(逐日资产统计!$A:$A,资产端序时!$F108,逐日资产统计!$G:$G)</f>
        <v>0</v>
      </c>
      <c r="K108" s="40">
        <f t="shared" si="54"/>
        <v>0</v>
      </c>
      <c r="L108" s="39">
        <f t="shared" si="55"/>
        <v>0</v>
      </c>
      <c r="M108" s="37" t="e">
        <f t="shared" si="56"/>
        <v>#DIV/0!</v>
      </c>
      <c r="N108" s="38">
        <f>SUMIFS(逐日资产统计!L:L,逐日资产统计!A:A,资产端序时!F108,逐日资产统计!C:C,"人民币")</f>
        <v>0</v>
      </c>
      <c r="O108" s="38">
        <f>SUMIF(逐日资产统计!A:A,资产端序时!F108,逐日资产统计!M:M)-SUMIFS(逐日资产统计!M:M,逐日资产统计!A:A,资产端序时!F108,逐日资产统计!C:C,"人民币")</f>
        <v>0</v>
      </c>
    </row>
    <row r="109" spans="3:15" x14ac:dyDescent="0.25">
      <c r="C109">
        <f>SUM($B$2:B109)</f>
        <v>-7463.19</v>
      </c>
      <c r="F109" s="31">
        <f t="shared" si="52"/>
        <v>0</v>
      </c>
      <c r="G109" s="33">
        <f>SUMIFS(逐日资产统计!$I:$I,逐日资产统计!$A:$A,F109,逐日资产统计!$C:$C,"人民币")</f>
        <v>0</v>
      </c>
      <c r="H109" s="32">
        <f>SUMIF(逐日资产统计!$A:$A,资产端序时!$F109,逐日资产统计!$I:$I)-G109</f>
        <v>0</v>
      </c>
      <c r="I109" s="29">
        <f t="shared" si="53"/>
        <v>0</v>
      </c>
      <c r="J109" s="32">
        <f>SUMIF(逐日资产统计!$A:$A,资产端序时!$F109,逐日资产统计!$G:$G)</f>
        <v>0</v>
      </c>
      <c r="K109" s="40">
        <f t="shared" si="54"/>
        <v>0</v>
      </c>
      <c r="L109" s="39">
        <f t="shared" si="55"/>
        <v>0</v>
      </c>
      <c r="M109" s="37" t="e">
        <f t="shared" si="56"/>
        <v>#DIV/0!</v>
      </c>
      <c r="N109" s="38">
        <f>SUMIFS(逐日资产统计!L:L,逐日资产统计!A:A,资产端序时!F109,逐日资产统计!C:C,"人民币")</f>
        <v>0</v>
      </c>
      <c r="O109" s="38">
        <f>SUMIF(逐日资产统计!A:A,资产端序时!F109,逐日资产统计!M:M)-SUMIFS(逐日资产统计!M:M,逐日资产统计!A:A,资产端序时!F109,逐日资产统计!C:C,"人民币")</f>
        <v>0</v>
      </c>
    </row>
    <row r="110" spans="3:15" x14ac:dyDescent="0.25">
      <c r="C110">
        <f>SUM($B$2:B110)</f>
        <v>-7463.19</v>
      </c>
      <c r="F110" s="31">
        <f t="shared" si="52"/>
        <v>0</v>
      </c>
      <c r="G110" s="33">
        <f>SUMIFS(逐日资产统计!$I:$I,逐日资产统计!$A:$A,F110,逐日资产统计!$C:$C,"人民币")</f>
        <v>0</v>
      </c>
      <c r="H110" s="32">
        <f>SUMIF(逐日资产统计!$A:$A,资产端序时!$F110,逐日资产统计!$I:$I)-G110</f>
        <v>0</v>
      </c>
      <c r="I110" s="29">
        <f t="shared" si="53"/>
        <v>0</v>
      </c>
      <c r="J110" s="32">
        <f>SUMIF(逐日资产统计!$A:$A,资产端序时!$F110,逐日资产统计!$G:$G)</f>
        <v>0</v>
      </c>
      <c r="K110" s="40">
        <f t="shared" si="54"/>
        <v>0</v>
      </c>
      <c r="L110" s="39">
        <f t="shared" si="55"/>
        <v>0</v>
      </c>
      <c r="M110" s="37" t="e">
        <f t="shared" si="56"/>
        <v>#DIV/0!</v>
      </c>
      <c r="N110" s="38">
        <f>SUMIFS(逐日资产统计!L:L,逐日资产统计!A:A,资产端序时!F110,逐日资产统计!C:C,"人民币")</f>
        <v>0</v>
      </c>
      <c r="O110" s="38">
        <f>SUMIF(逐日资产统计!A:A,资产端序时!F110,逐日资产统计!M:M)-SUMIFS(逐日资产统计!M:M,逐日资产统计!A:A,资产端序时!F110,逐日资产统计!C:C,"人民币")</f>
        <v>0</v>
      </c>
    </row>
    <row r="111" spans="3:15" x14ac:dyDescent="0.25">
      <c r="C111">
        <f>SUM($B$2:B111)</f>
        <v>-7463.19</v>
      </c>
      <c r="F111" s="31">
        <f t="shared" si="52"/>
        <v>0</v>
      </c>
      <c r="G111" s="33">
        <f>SUMIFS(逐日资产统计!$I:$I,逐日资产统计!$A:$A,F111,逐日资产统计!$C:$C,"人民币")</f>
        <v>0</v>
      </c>
      <c r="H111" s="32">
        <f>SUMIF(逐日资产统计!$A:$A,资产端序时!$F111,逐日资产统计!$I:$I)-G111</f>
        <v>0</v>
      </c>
      <c r="I111" s="29">
        <f t="shared" si="53"/>
        <v>0</v>
      </c>
      <c r="J111" s="32">
        <f>SUMIF(逐日资产统计!$A:$A,资产端序时!$F111,逐日资产统计!$G:$G)</f>
        <v>0</v>
      </c>
      <c r="K111" s="40">
        <f t="shared" si="54"/>
        <v>0</v>
      </c>
      <c r="L111" s="39">
        <f t="shared" si="55"/>
        <v>0</v>
      </c>
      <c r="M111" s="37" t="e">
        <f t="shared" si="56"/>
        <v>#DIV/0!</v>
      </c>
      <c r="N111" s="38">
        <f>SUMIFS(逐日资产统计!L:L,逐日资产统计!A:A,资产端序时!F111,逐日资产统计!C:C,"人民币")</f>
        <v>0</v>
      </c>
      <c r="O111" s="38">
        <f>SUMIF(逐日资产统计!A:A,资产端序时!F111,逐日资产统计!M:M)-SUMIFS(逐日资产统计!M:M,逐日资产统计!A:A,资产端序时!F111,逐日资产统计!C:C,"人民币")</f>
        <v>0</v>
      </c>
    </row>
    <row r="112" spans="3:15" x14ac:dyDescent="0.25">
      <c r="C112">
        <f>SUM($B$2:B112)</f>
        <v>-7463.19</v>
      </c>
      <c r="F112" s="31">
        <f t="shared" si="52"/>
        <v>0</v>
      </c>
      <c r="G112" s="33">
        <f>SUMIFS(逐日资产统计!$I:$I,逐日资产统计!$A:$A,F112,逐日资产统计!$C:$C,"人民币")</f>
        <v>0</v>
      </c>
      <c r="H112" s="32">
        <f>SUMIF(逐日资产统计!$A:$A,资产端序时!$F112,逐日资产统计!$I:$I)-G112</f>
        <v>0</v>
      </c>
      <c r="I112" s="29">
        <f t="shared" si="53"/>
        <v>0</v>
      </c>
      <c r="J112" s="32">
        <f>SUMIF(逐日资产统计!$A:$A,资产端序时!$F112,逐日资产统计!$G:$G)</f>
        <v>0</v>
      </c>
      <c r="K112" s="40">
        <f t="shared" si="54"/>
        <v>0</v>
      </c>
      <c r="L112" s="39">
        <f t="shared" si="55"/>
        <v>0</v>
      </c>
      <c r="M112" s="37" t="e">
        <f t="shared" si="56"/>
        <v>#DIV/0!</v>
      </c>
      <c r="N112" s="38">
        <f>SUMIFS(逐日资产统计!L:L,逐日资产统计!A:A,资产端序时!F112,逐日资产统计!C:C,"人民币")</f>
        <v>0</v>
      </c>
      <c r="O112" s="38">
        <f>SUMIF(逐日资产统计!A:A,资产端序时!F112,逐日资产统计!M:M)-SUMIFS(逐日资产统计!M:M,逐日资产统计!A:A,资产端序时!F112,逐日资产统计!C:C,"人民币")</f>
        <v>0</v>
      </c>
    </row>
    <row r="113" spans="3:15" x14ac:dyDescent="0.25">
      <c r="C113">
        <f>SUM($B$2:B113)</f>
        <v>-7463.19</v>
      </c>
      <c r="F113" s="31">
        <f t="shared" si="52"/>
        <v>0</v>
      </c>
      <c r="G113" s="33">
        <f>SUMIFS(逐日资产统计!$I:$I,逐日资产统计!$A:$A,F113,逐日资产统计!$C:$C,"人民币")</f>
        <v>0</v>
      </c>
      <c r="H113" s="32">
        <f>SUMIF(逐日资产统计!$A:$A,资产端序时!$F113,逐日资产统计!$I:$I)-G113</f>
        <v>0</v>
      </c>
      <c r="I113" s="29">
        <f t="shared" si="53"/>
        <v>0</v>
      </c>
      <c r="J113" s="32">
        <f>SUMIF(逐日资产统计!$A:$A,资产端序时!$F113,逐日资产统计!$G:$G)</f>
        <v>0</v>
      </c>
      <c r="K113" s="40">
        <f t="shared" si="54"/>
        <v>0</v>
      </c>
      <c r="L113" s="39">
        <f t="shared" si="55"/>
        <v>0</v>
      </c>
      <c r="M113" s="37" t="e">
        <f t="shared" si="56"/>
        <v>#DIV/0!</v>
      </c>
      <c r="N113" s="38">
        <f>SUMIFS(逐日资产统计!L:L,逐日资产统计!A:A,资产端序时!F113,逐日资产统计!C:C,"人民币")</f>
        <v>0</v>
      </c>
      <c r="O113" s="38">
        <f>SUMIF(逐日资产统计!A:A,资产端序时!F113,逐日资产统计!M:M)-SUMIFS(逐日资产统计!M:M,逐日资产统计!A:A,资产端序时!F113,逐日资产统计!C:C,"人民币")</f>
        <v>0</v>
      </c>
    </row>
    <row r="114" spans="3:15" x14ac:dyDescent="0.25">
      <c r="C114">
        <f>SUM($B$2:B114)</f>
        <v>-7463.19</v>
      </c>
      <c r="F114" s="31">
        <f t="shared" si="52"/>
        <v>0</v>
      </c>
      <c r="G114" s="33">
        <f>SUMIFS(逐日资产统计!$I:$I,逐日资产统计!$A:$A,F114,逐日资产统计!$C:$C,"人民币")</f>
        <v>0</v>
      </c>
      <c r="H114" s="32">
        <f>SUMIF(逐日资产统计!$A:$A,资产端序时!$F114,逐日资产统计!$I:$I)-G114</f>
        <v>0</v>
      </c>
      <c r="I114" s="29">
        <f t="shared" si="53"/>
        <v>0</v>
      </c>
      <c r="J114" s="32">
        <f>SUMIF(逐日资产统计!$A:$A,资产端序时!$F114,逐日资产统计!$G:$G)</f>
        <v>0</v>
      </c>
      <c r="K114" s="40">
        <f t="shared" si="54"/>
        <v>0</v>
      </c>
      <c r="L114" s="39">
        <f t="shared" si="55"/>
        <v>0</v>
      </c>
      <c r="M114" s="37" t="e">
        <f t="shared" si="56"/>
        <v>#DIV/0!</v>
      </c>
      <c r="N114" s="38">
        <f>SUMIFS(逐日资产统计!L:L,逐日资产统计!A:A,资产端序时!F114,逐日资产统计!C:C,"人民币")</f>
        <v>0</v>
      </c>
      <c r="O114" s="38">
        <f>SUMIF(逐日资产统计!A:A,资产端序时!F114,逐日资产统计!M:M)-SUMIFS(逐日资产统计!M:M,逐日资产统计!A:A,资产端序时!F114,逐日资产统计!C:C,"人民币")</f>
        <v>0</v>
      </c>
    </row>
    <row r="115" spans="3:15" x14ac:dyDescent="0.25">
      <c r="C115">
        <f>SUM($B$2:B115)</f>
        <v>-7463.19</v>
      </c>
      <c r="F115" s="31">
        <f t="shared" si="52"/>
        <v>0</v>
      </c>
      <c r="G115" s="33">
        <f>SUMIFS(逐日资产统计!$I:$I,逐日资产统计!$A:$A,F115,逐日资产统计!$C:$C,"人民币")</f>
        <v>0</v>
      </c>
      <c r="H115" s="32">
        <f>SUMIF(逐日资产统计!$A:$A,资产端序时!$F115,逐日资产统计!$I:$I)-G115</f>
        <v>0</v>
      </c>
      <c r="I115" s="29">
        <f t="shared" si="53"/>
        <v>0</v>
      </c>
      <c r="J115" s="32">
        <f>SUMIF(逐日资产统计!$A:$A,资产端序时!$F115,逐日资产统计!$G:$G)</f>
        <v>0</v>
      </c>
      <c r="K115" s="40">
        <f t="shared" si="54"/>
        <v>0</v>
      </c>
      <c r="L115" s="39">
        <f t="shared" si="55"/>
        <v>0</v>
      </c>
      <c r="M115" s="37" t="e">
        <f t="shared" si="56"/>
        <v>#DIV/0!</v>
      </c>
      <c r="N115" s="38">
        <f>SUMIFS(逐日资产统计!L:L,逐日资产统计!A:A,资产端序时!F115,逐日资产统计!C:C,"人民币")</f>
        <v>0</v>
      </c>
      <c r="O115" s="38">
        <f>SUMIF(逐日资产统计!A:A,资产端序时!F115,逐日资产统计!M:M)-SUMIFS(逐日资产统计!M:M,逐日资产统计!A:A,资产端序时!F115,逐日资产统计!C:C,"人民币")</f>
        <v>0</v>
      </c>
    </row>
    <row r="116" spans="3:15" x14ac:dyDescent="0.25">
      <c r="C116">
        <f>SUM($B$2:B116)</f>
        <v>-7463.19</v>
      </c>
      <c r="F116" s="31">
        <f t="shared" si="52"/>
        <v>0</v>
      </c>
      <c r="G116" s="33">
        <f>SUMIFS(逐日资产统计!$I:$I,逐日资产统计!$A:$A,F116,逐日资产统计!$C:$C,"人民币")</f>
        <v>0</v>
      </c>
      <c r="H116" s="32">
        <f>SUMIF(逐日资产统计!$A:$A,资产端序时!$F116,逐日资产统计!$I:$I)-G116</f>
        <v>0</v>
      </c>
      <c r="I116" s="29">
        <f t="shared" si="53"/>
        <v>0</v>
      </c>
      <c r="J116" s="32">
        <f>SUMIF(逐日资产统计!$A:$A,资产端序时!$F116,逐日资产统计!$G:$G)</f>
        <v>0</v>
      </c>
      <c r="K116" s="40">
        <f t="shared" si="54"/>
        <v>0</v>
      </c>
      <c r="L116" s="39">
        <f t="shared" si="55"/>
        <v>0</v>
      </c>
      <c r="M116" s="37" t="e">
        <f t="shared" si="56"/>
        <v>#DIV/0!</v>
      </c>
      <c r="N116" s="38">
        <f>SUMIFS(逐日资产统计!L:L,逐日资产统计!A:A,资产端序时!F116,逐日资产统计!C:C,"人民币")</f>
        <v>0</v>
      </c>
      <c r="O116" s="38">
        <f>SUMIF(逐日资产统计!A:A,资产端序时!F116,逐日资产统计!M:M)-SUMIFS(逐日资产统计!M:M,逐日资产统计!A:A,资产端序时!F116,逐日资产统计!C:C,"人民币")</f>
        <v>0</v>
      </c>
    </row>
    <row r="117" spans="3:15" x14ac:dyDescent="0.25">
      <c r="C117">
        <f>SUM($B$2:B117)</f>
        <v>-7463.19</v>
      </c>
      <c r="F117" s="31">
        <f t="shared" si="52"/>
        <v>0</v>
      </c>
      <c r="G117" s="33">
        <f>SUMIFS(逐日资产统计!$I:$I,逐日资产统计!$A:$A,F117,逐日资产统计!$C:$C,"人民币")</f>
        <v>0</v>
      </c>
      <c r="H117" s="32">
        <f>SUMIF(逐日资产统计!$A:$A,资产端序时!$F117,逐日资产统计!$I:$I)-G117</f>
        <v>0</v>
      </c>
      <c r="I117" s="29">
        <f t="shared" si="53"/>
        <v>0</v>
      </c>
      <c r="J117" s="32">
        <f>SUMIF(逐日资产统计!$A:$A,资产端序时!$F117,逐日资产统计!$G:$G)</f>
        <v>0</v>
      </c>
      <c r="K117" s="40">
        <f t="shared" si="54"/>
        <v>0</v>
      </c>
      <c r="L117" s="39">
        <f t="shared" si="55"/>
        <v>0</v>
      </c>
      <c r="M117" s="37" t="e">
        <f t="shared" si="56"/>
        <v>#DIV/0!</v>
      </c>
      <c r="N117" s="38">
        <f>SUMIFS(逐日资产统计!L:L,逐日资产统计!A:A,资产端序时!F117,逐日资产统计!C:C,"人民币")</f>
        <v>0</v>
      </c>
      <c r="O117" s="38">
        <f>SUMIF(逐日资产统计!A:A,资产端序时!F117,逐日资产统计!M:M)-SUMIFS(逐日资产统计!M:M,逐日资产统计!A:A,资产端序时!F117,逐日资产统计!C:C,"人民币")</f>
        <v>0</v>
      </c>
    </row>
    <row r="118" spans="3:15" x14ac:dyDescent="0.25">
      <c r="C118">
        <f>SUM($B$2:B118)</f>
        <v>-7463.19</v>
      </c>
      <c r="F118" s="31">
        <f t="shared" si="52"/>
        <v>0</v>
      </c>
      <c r="G118" s="33">
        <f>SUMIFS(逐日资产统计!$I:$I,逐日资产统计!$A:$A,F118,逐日资产统计!$C:$C,"人民币")</f>
        <v>0</v>
      </c>
      <c r="H118" s="32">
        <f>SUMIF(逐日资产统计!$A:$A,资产端序时!$F118,逐日资产统计!$I:$I)-G118</f>
        <v>0</v>
      </c>
      <c r="I118" s="29">
        <f t="shared" si="53"/>
        <v>0</v>
      </c>
      <c r="J118" s="32">
        <f>SUMIF(逐日资产统计!$A:$A,资产端序时!$F118,逐日资产统计!$G:$G)</f>
        <v>0</v>
      </c>
      <c r="K118" s="40">
        <f t="shared" si="54"/>
        <v>0</v>
      </c>
      <c r="L118" s="39">
        <f t="shared" si="55"/>
        <v>0</v>
      </c>
      <c r="M118" s="37" t="e">
        <f t="shared" si="56"/>
        <v>#DIV/0!</v>
      </c>
      <c r="N118" s="38">
        <f>SUMIFS(逐日资产统计!L:L,逐日资产统计!A:A,资产端序时!F118,逐日资产统计!C:C,"人民币")</f>
        <v>0</v>
      </c>
      <c r="O118" s="38">
        <f>SUMIF(逐日资产统计!A:A,资产端序时!F118,逐日资产统计!M:M)-SUMIFS(逐日资产统计!M:M,逐日资产统计!A:A,资产端序时!F118,逐日资产统计!C:C,"人民币")</f>
        <v>0</v>
      </c>
    </row>
    <row r="119" spans="3:15" x14ac:dyDescent="0.25">
      <c r="C119">
        <f>SUM($B$2:B119)</f>
        <v>-7463.19</v>
      </c>
      <c r="F119" s="31">
        <f t="shared" si="52"/>
        <v>0</v>
      </c>
      <c r="G119" s="33">
        <f>SUMIFS(逐日资产统计!$I:$I,逐日资产统计!$A:$A,F119,逐日资产统计!$C:$C,"人民币")</f>
        <v>0</v>
      </c>
      <c r="H119" s="32">
        <f>SUMIF(逐日资产统计!$A:$A,资产端序时!$F119,逐日资产统计!$I:$I)-G119</f>
        <v>0</v>
      </c>
      <c r="I119" s="29">
        <f t="shared" si="53"/>
        <v>0</v>
      </c>
      <c r="J119" s="32">
        <f>SUMIF(逐日资产统计!$A:$A,资产端序时!$F119,逐日资产统计!$G:$G)</f>
        <v>0</v>
      </c>
      <c r="K119" s="40">
        <f t="shared" si="54"/>
        <v>0</v>
      </c>
      <c r="L119" s="39">
        <f t="shared" si="55"/>
        <v>0</v>
      </c>
      <c r="M119" s="37" t="e">
        <f t="shared" si="56"/>
        <v>#DIV/0!</v>
      </c>
      <c r="N119" s="38">
        <f>SUMIFS(逐日资产统计!L:L,逐日资产统计!A:A,资产端序时!F119,逐日资产统计!C:C,"人民币")</f>
        <v>0</v>
      </c>
      <c r="O119" s="38">
        <f>SUMIF(逐日资产统计!A:A,资产端序时!F119,逐日资产统计!M:M)-SUMIFS(逐日资产统计!M:M,逐日资产统计!A:A,资产端序时!F119,逐日资产统计!C:C,"人民币")</f>
        <v>0</v>
      </c>
    </row>
    <row r="120" spans="3:15" x14ac:dyDescent="0.25">
      <c r="C120">
        <f>SUM($B$2:B120)</f>
        <v>-7463.19</v>
      </c>
      <c r="F120" s="31">
        <f t="shared" si="52"/>
        <v>0</v>
      </c>
      <c r="G120" s="33">
        <f>SUMIFS(逐日资产统计!$I:$I,逐日资产统计!$A:$A,F120,逐日资产统计!$C:$C,"人民币")</f>
        <v>0</v>
      </c>
      <c r="H120" s="32">
        <f>SUMIF(逐日资产统计!$A:$A,资产端序时!$F120,逐日资产统计!$I:$I)-G120</f>
        <v>0</v>
      </c>
      <c r="I120" s="29">
        <f t="shared" si="53"/>
        <v>0</v>
      </c>
      <c r="J120" s="32">
        <f>SUMIF(逐日资产统计!$A:$A,资产端序时!$F120,逐日资产统计!$G:$G)</f>
        <v>0</v>
      </c>
      <c r="K120" s="40">
        <f t="shared" si="54"/>
        <v>0</v>
      </c>
      <c r="L120" s="39">
        <f t="shared" si="55"/>
        <v>0</v>
      </c>
      <c r="M120" s="37" t="e">
        <f t="shared" si="56"/>
        <v>#DIV/0!</v>
      </c>
      <c r="N120" s="38">
        <f>SUMIFS(逐日资产统计!L:L,逐日资产统计!A:A,资产端序时!F120,逐日资产统计!C:C,"人民币")</f>
        <v>0</v>
      </c>
      <c r="O120" s="38">
        <f>SUMIF(逐日资产统计!A:A,资产端序时!F120,逐日资产统计!M:M)-SUMIFS(逐日资产统计!M:M,逐日资产统计!A:A,资产端序时!F120,逐日资产统计!C:C,"人民币")</f>
        <v>0</v>
      </c>
    </row>
    <row r="121" spans="3:15" x14ac:dyDescent="0.25">
      <c r="C121">
        <f>SUM($B$2:B121)</f>
        <v>-7463.19</v>
      </c>
      <c r="F121" s="31">
        <f t="shared" si="52"/>
        <v>0</v>
      </c>
      <c r="G121" s="33">
        <f>SUMIFS(逐日资产统计!$I:$I,逐日资产统计!$A:$A,F121,逐日资产统计!$C:$C,"人民币")</f>
        <v>0</v>
      </c>
      <c r="H121" s="32">
        <f>SUMIF(逐日资产统计!$A:$A,资产端序时!$F121,逐日资产统计!$I:$I)-G121</f>
        <v>0</v>
      </c>
      <c r="I121" s="29">
        <f t="shared" si="53"/>
        <v>0</v>
      </c>
      <c r="J121" s="32">
        <f>SUMIF(逐日资产统计!$A:$A,资产端序时!$F121,逐日资产统计!$G:$G)</f>
        <v>0</v>
      </c>
      <c r="K121" s="40">
        <f t="shared" si="54"/>
        <v>0</v>
      </c>
      <c r="L121" s="39">
        <f t="shared" si="55"/>
        <v>0</v>
      </c>
      <c r="M121" s="37" t="e">
        <f t="shared" si="56"/>
        <v>#DIV/0!</v>
      </c>
      <c r="N121" s="38">
        <f>SUMIFS(逐日资产统计!L:L,逐日资产统计!A:A,资产端序时!F121,逐日资产统计!C:C,"人民币")</f>
        <v>0</v>
      </c>
      <c r="O121" s="38">
        <f>SUMIF(逐日资产统计!A:A,资产端序时!F121,逐日资产统计!M:M)-SUMIFS(逐日资产统计!M:M,逐日资产统计!A:A,资产端序时!F121,逐日资产统计!C:C,"人民币")</f>
        <v>0</v>
      </c>
    </row>
    <row r="122" spans="3:15" x14ac:dyDescent="0.25">
      <c r="C122">
        <f>SUM($B$2:B122)</f>
        <v>-7463.19</v>
      </c>
      <c r="F122" s="31">
        <f t="shared" si="52"/>
        <v>0</v>
      </c>
      <c r="G122" s="33">
        <f>SUMIFS(逐日资产统计!$I:$I,逐日资产统计!$A:$A,F122,逐日资产统计!$C:$C,"人民币")</f>
        <v>0</v>
      </c>
      <c r="H122" s="32">
        <f>SUMIF(逐日资产统计!$A:$A,资产端序时!$F122,逐日资产统计!$I:$I)-G122</f>
        <v>0</v>
      </c>
      <c r="I122" s="29">
        <f t="shared" si="53"/>
        <v>0</v>
      </c>
      <c r="J122" s="32">
        <f>SUMIF(逐日资产统计!$A:$A,资产端序时!$F122,逐日资产统计!$G:$G)</f>
        <v>0</v>
      </c>
      <c r="K122" s="40">
        <f t="shared" si="54"/>
        <v>0</v>
      </c>
      <c r="L122" s="39">
        <f t="shared" si="55"/>
        <v>0</v>
      </c>
      <c r="M122" s="37" t="e">
        <f t="shared" si="56"/>
        <v>#DIV/0!</v>
      </c>
      <c r="N122" s="38">
        <f>SUMIFS(逐日资产统计!L:L,逐日资产统计!A:A,资产端序时!F122,逐日资产统计!C:C,"人民币")</f>
        <v>0</v>
      </c>
      <c r="O122" s="38">
        <f>SUMIF(逐日资产统计!A:A,资产端序时!F122,逐日资产统计!M:M)-SUMIFS(逐日资产统计!M:M,逐日资产统计!A:A,资产端序时!F122,逐日资产统计!C:C,"人民币")</f>
        <v>0</v>
      </c>
    </row>
    <row r="123" spans="3:15" x14ac:dyDescent="0.25">
      <c r="C123">
        <f>SUM($B$2:B123)</f>
        <v>-7463.19</v>
      </c>
      <c r="F123" s="31">
        <f t="shared" ref="F123:F128" si="57">A123</f>
        <v>0</v>
      </c>
      <c r="G123" s="33">
        <f>SUMIFS(逐日资产统计!$I:$I,逐日资产统计!$A:$A,F123,逐日资产统计!$C:$C,"人民币")</f>
        <v>0</v>
      </c>
      <c r="H123" s="32">
        <f>SUMIF(逐日资产统计!$A:$A,资产端序时!$F123,逐日资产统计!$I:$I)-G123</f>
        <v>0</v>
      </c>
      <c r="I123" s="29">
        <f t="shared" ref="I123:I128" si="58">G123+H123</f>
        <v>0</v>
      </c>
      <c r="J123" s="32">
        <f>SUMIF(逐日资产统计!$A:$A,资产端序时!$F123,逐日资产统计!$G:$G)</f>
        <v>0</v>
      </c>
      <c r="K123" s="40">
        <f t="shared" ref="K123:K128" si="59">I123-J123</f>
        <v>0</v>
      </c>
      <c r="L123" s="39">
        <f t="shared" ref="L123:L128" si="60">K123-K122</f>
        <v>0</v>
      </c>
      <c r="M123" s="37" t="e">
        <f t="shared" ref="M123:M128" si="61">J123/K123</f>
        <v>#DIV/0!</v>
      </c>
      <c r="N123" s="38">
        <f>SUMIFS(逐日资产统计!L:L,逐日资产统计!A:A,资产端序时!F123,逐日资产统计!C:C,"人民币")</f>
        <v>0</v>
      </c>
      <c r="O123" s="38">
        <f>SUMIF(逐日资产统计!A:A,资产端序时!F123,逐日资产统计!M:M)-SUMIFS(逐日资产统计!M:M,逐日资产统计!A:A,资产端序时!F123,逐日资产统计!C:C,"人民币")</f>
        <v>0</v>
      </c>
    </row>
    <row r="124" spans="3:15" x14ac:dyDescent="0.25">
      <c r="C124">
        <f>SUM($B$2:B124)</f>
        <v>-7463.19</v>
      </c>
      <c r="F124" s="31">
        <f t="shared" si="57"/>
        <v>0</v>
      </c>
      <c r="G124" s="33">
        <f>SUMIFS(逐日资产统计!$I:$I,逐日资产统计!$A:$A,F124,逐日资产统计!$C:$C,"人民币")</f>
        <v>0</v>
      </c>
      <c r="H124" s="32">
        <f>SUMIF(逐日资产统计!$A:$A,资产端序时!$F124,逐日资产统计!$I:$I)-G124</f>
        <v>0</v>
      </c>
      <c r="I124" s="29">
        <f t="shared" si="58"/>
        <v>0</v>
      </c>
      <c r="J124" s="32">
        <f>SUMIF(逐日资产统计!$A:$A,资产端序时!$F124,逐日资产统计!$G:$G)</f>
        <v>0</v>
      </c>
      <c r="K124" s="40">
        <f t="shared" si="59"/>
        <v>0</v>
      </c>
      <c r="L124" s="39">
        <f t="shared" si="60"/>
        <v>0</v>
      </c>
      <c r="M124" s="37" t="e">
        <f t="shared" si="61"/>
        <v>#DIV/0!</v>
      </c>
      <c r="N124" s="38">
        <f>SUMIFS(逐日资产统计!L:L,逐日资产统计!A:A,资产端序时!F124,逐日资产统计!C:C,"人民币")</f>
        <v>0</v>
      </c>
      <c r="O124" s="38">
        <f>SUMIF(逐日资产统计!A:A,资产端序时!F124,逐日资产统计!M:M)-SUMIFS(逐日资产统计!M:M,逐日资产统计!A:A,资产端序时!F124,逐日资产统计!C:C,"人民币")</f>
        <v>0</v>
      </c>
    </row>
    <row r="125" spans="3:15" x14ac:dyDescent="0.25">
      <c r="C125">
        <f>SUM($B$2:B125)</f>
        <v>-7463.19</v>
      </c>
      <c r="F125" s="31">
        <f t="shared" si="57"/>
        <v>0</v>
      </c>
      <c r="G125" s="33">
        <f>SUMIFS(逐日资产统计!$I:$I,逐日资产统计!$A:$A,F125,逐日资产统计!$C:$C,"人民币")</f>
        <v>0</v>
      </c>
      <c r="H125" s="32">
        <f>SUMIF(逐日资产统计!$A:$A,资产端序时!$F125,逐日资产统计!$I:$I)-G125</f>
        <v>0</v>
      </c>
      <c r="I125" s="29">
        <f t="shared" si="58"/>
        <v>0</v>
      </c>
      <c r="J125" s="32">
        <f>SUMIF(逐日资产统计!$A:$A,资产端序时!$F125,逐日资产统计!$G:$G)</f>
        <v>0</v>
      </c>
      <c r="K125" s="40">
        <f t="shared" si="59"/>
        <v>0</v>
      </c>
      <c r="L125" s="39">
        <f t="shared" si="60"/>
        <v>0</v>
      </c>
      <c r="M125" s="37" t="e">
        <f t="shared" si="61"/>
        <v>#DIV/0!</v>
      </c>
      <c r="N125" s="38">
        <f>SUMIFS(逐日资产统计!L:L,逐日资产统计!A:A,资产端序时!F125,逐日资产统计!C:C,"人民币")</f>
        <v>0</v>
      </c>
      <c r="O125" s="38">
        <f>SUMIF(逐日资产统计!A:A,资产端序时!F125,逐日资产统计!M:M)-SUMIFS(逐日资产统计!M:M,逐日资产统计!A:A,资产端序时!F125,逐日资产统计!C:C,"人民币")</f>
        <v>0</v>
      </c>
    </row>
    <row r="126" spans="3:15" x14ac:dyDescent="0.25">
      <c r="C126">
        <f>SUM($B$2:B126)</f>
        <v>-7463.19</v>
      </c>
      <c r="F126" s="31">
        <f t="shared" si="57"/>
        <v>0</v>
      </c>
      <c r="G126" s="33">
        <f>SUMIFS(逐日资产统计!$I:$I,逐日资产统计!$A:$A,F126,逐日资产统计!$C:$C,"人民币")</f>
        <v>0</v>
      </c>
      <c r="H126" s="32">
        <f>SUMIF(逐日资产统计!$A:$A,资产端序时!$F126,逐日资产统计!$I:$I)-G126</f>
        <v>0</v>
      </c>
      <c r="I126" s="29">
        <f t="shared" si="58"/>
        <v>0</v>
      </c>
      <c r="J126" s="32">
        <f>SUMIF(逐日资产统计!$A:$A,资产端序时!$F126,逐日资产统计!$G:$G)</f>
        <v>0</v>
      </c>
      <c r="K126" s="40">
        <f t="shared" si="59"/>
        <v>0</v>
      </c>
      <c r="L126" s="39">
        <f t="shared" si="60"/>
        <v>0</v>
      </c>
      <c r="M126" s="37" t="e">
        <f t="shared" si="61"/>
        <v>#DIV/0!</v>
      </c>
      <c r="N126" s="38">
        <f>SUMIFS(逐日资产统计!L:L,逐日资产统计!A:A,资产端序时!F126,逐日资产统计!C:C,"人民币")</f>
        <v>0</v>
      </c>
      <c r="O126" s="38">
        <f>SUMIF(逐日资产统计!A:A,资产端序时!F126,逐日资产统计!M:M)-SUMIFS(逐日资产统计!M:M,逐日资产统计!A:A,资产端序时!F126,逐日资产统计!C:C,"人民币")</f>
        <v>0</v>
      </c>
    </row>
    <row r="127" spans="3:15" x14ac:dyDescent="0.25">
      <c r="C127">
        <f>SUM($B$2:B127)</f>
        <v>-7463.19</v>
      </c>
      <c r="F127" s="31">
        <f t="shared" si="57"/>
        <v>0</v>
      </c>
      <c r="G127" s="33">
        <f>SUMIFS(逐日资产统计!$I:$I,逐日资产统计!$A:$A,F127,逐日资产统计!$C:$C,"人民币")</f>
        <v>0</v>
      </c>
      <c r="H127" s="32">
        <f>SUMIF(逐日资产统计!$A:$A,资产端序时!$F127,逐日资产统计!$I:$I)-G127</f>
        <v>0</v>
      </c>
      <c r="I127" s="29">
        <f t="shared" si="58"/>
        <v>0</v>
      </c>
      <c r="J127" s="32">
        <f>SUMIF(逐日资产统计!$A:$A,资产端序时!$F127,逐日资产统计!$G:$G)</f>
        <v>0</v>
      </c>
      <c r="K127" s="40">
        <f t="shared" si="59"/>
        <v>0</v>
      </c>
      <c r="L127" s="39">
        <f t="shared" si="60"/>
        <v>0</v>
      </c>
      <c r="M127" s="37" t="e">
        <f t="shared" si="61"/>
        <v>#DIV/0!</v>
      </c>
      <c r="N127" s="38">
        <f>SUMIFS(逐日资产统计!L:L,逐日资产统计!A:A,资产端序时!F127,逐日资产统计!C:C,"人民币")</f>
        <v>0</v>
      </c>
      <c r="O127" s="38">
        <f>SUMIF(逐日资产统计!A:A,资产端序时!F127,逐日资产统计!M:M)-SUMIFS(逐日资产统计!M:M,逐日资产统计!A:A,资产端序时!F127,逐日资产统计!C:C,"人民币")</f>
        <v>0</v>
      </c>
    </row>
    <row r="128" spans="3:15" x14ac:dyDescent="0.25">
      <c r="C128">
        <f>SUM($B$2:B128)</f>
        <v>-7463.19</v>
      </c>
      <c r="F128" s="31">
        <f t="shared" si="57"/>
        <v>0</v>
      </c>
      <c r="G128" s="33">
        <f>SUMIFS(逐日资产统计!$I:$I,逐日资产统计!$A:$A,F128,逐日资产统计!$C:$C,"人民币")</f>
        <v>0</v>
      </c>
      <c r="H128" s="32">
        <f>SUMIF(逐日资产统计!$A:$A,资产端序时!$F128,逐日资产统计!$I:$I)-G128</f>
        <v>0</v>
      </c>
      <c r="I128" s="29">
        <f t="shared" si="58"/>
        <v>0</v>
      </c>
      <c r="J128" s="32">
        <f>SUMIF(逐日资产统计!$A:$A,资产端序时!$F128,逐日资产统计!$G:$G)</f>
        <v>0</v>
      </c>
      <c r="K128" s="40">
        <f t="shared" si="59"/>
        <v>0</v>
      </c>
      <c r="L128" s="39">
        <f t="shared" si="60"/>
        <v>0</v>
      </c>
      <c r="M128" s="37" t="e">
        <f t="shared" si="61"/>
        <v>#DIV/0!</v>
      </c>
      <c r="N128" s="38">
        <f>SUMIFS(逐日资产统计!M:M,逐日资产统计!A:A,资产端序时!F128,逐日资产统计!C:C,"人民币")</f>
        <v>0</v>
      </c>
      <c r="O128" s="38">
        <f>SUMIF(逐日资产统计!A:A,资产端序时!F128,逐日资产统计!M:M)-SUMIFS(逐日资产统计!M:M,逐日资产统计!A:A,资产端序时!F128,逐日资产统计!C:C,"人民币")</f>
        <v>0</v>
      </c>
    </row>
    <row r="129" spans="3:15" x14ac:dyDescent="0.25">
      <c r="C129">
        <f>SUM($B$2:B129)</f>
        <v>-7463.19</v>
      </c>
      <c r="F129" s="31">
        <f t="shared" ref="F129:F134" si="62">A129</f>
        <v>0</v>
      </c>
      <c r="G129" s="33">
        <f>SUMIFS(逐日资产统计!$I:$I,逐日资产统计!$A:$A,F129,逐日资产统计!$C:$C,"人民币")</f>
        <v>0</v>
      </c>
      <c r="H129" s="32">
        <f>SUMIF(逐日资产统计!$A:$A,资产端序时!$F129,逐日资产统计!$I:$I)-G129</f>
        <v>0</v>
      </c>
      <c r="I129" s="29">
        <f t="shared" ref="I129:I134" si="63">G129+H129</f>
        <v>0</v>
      </c>
      <c r="J129" s="32">
        <f>SUMIF(逐日资产统计!$A:$A,资产端序时!$F129,逐日资产统计!$G:$G)</f>
        <v>0</v>
      </c>
      <c r="K129" s="40">
        <f t="shared" ref="K129:K134" si="64">I129-J129</f>
        <v>0</v>
      </c>
      <c r="L129" s="39">
        <f t="shared" ref="L129:L134" si="65">K129-K128</f>
        <v>0</v>
      </c>
      <c r="M129" s="37" t="e">
        <f t="shared" ref="M129:M134" si="66">J129/K129</f>
        <v>#DIV/0!</v>
      </c>
      <c r="N129" s="38">
        <f>SUMIFS(逐日资产统计!M:M,逐日资产统计!A:A,资产端序时!F129,逐日资产统计!C:C,"人民币")</f>
        <v>0</v>
      </c>
      <c r="O129" s="38">
        <f>SUMIF(逐日资产统计!A:A,资产端序时!F129,逐日资产统计!M:M)-SUMIFS(逐日资产统计!M:M,逐日资产统计!A:A,资产端序时!F129,逐日资产统计!C:C,"人民币")</f>
        <v>0</v>
      </c>
    </row>
    <row r="130" spans="3:15" x14ac:dyDescent="0.25">
      <c r="C130">
        <f>SUM($B$2:B130)</f>
        <v>-7463.19</v>
      </c>
      <c r="F130" s="31">
        <f t="shared" si="62"/>
        <v>0</v>
      </c>
      <c r="G130" s="33">
        <f>SUMIFS(逐日资产统计!$I:$I,逐日资产统计!$A:$A,F130,逐日资产统计!$C:$C,"人民币")</f>
        <v>0</v>
      </c>
      <c r="H130" s="32">
        <f>SUMIF(逐日资产统计!$A:$A,资产端序时!$F130,逐日资产统计!$I:$I)-G130</f>
        <v>0</v>
      </c>
      <c r="I130" s="29">
        <f t="shared" si="63"/>
        <v>0</v>
      </c>
      <c r="J130" s="32">
        <f>SUMIF(逐日资产统计!$A:$A,资产端序时!$F130,逐日资产统计!$G:$G)</f>
        <v>0</v>
      </c>
      <c r="K130" s="40">
        <f t="shared" si="64"/>
        <v>0</v>
      </c>
      <c r="L130" s="39">
        <f t="shared" si="65"/>
        <v>0</v>
      </c>
      <c r="M130" s="37" t="e">
        <f t="shared" si="66"/>
        <v>#DIV/0!</v>
      </c>
      <c r="N130" s="38">
        <f>SUMIFS(逐日资产统计!M:M,逐日资产统计!A:A,资产端序时!F130,逐日资产统计!C:C,"人民币")</f>
        <v>0</v>
      </c>
      <c r="O130" s="38">
        <f>SUMIF(逐日资产统计!A:A,资产端序时!F130,逐日资产统计!M:M)-SUMIFS(逐日资产统计!M:M,逐日资产统计!A:A,资产端序时!F130,逐日资产统计!C:C,"人民币")</f>
        <v>0</v>
      </c>
    </row>
    <row r="131" spans="3:15" x14ac:dyDescent="0.25">
      <c r="C131">
        <f>SUM($B$2:B131)</f>
        <v>-7463.19</v>
      </c>
      <c r="F131" s="31">
        <f t="shared" si="62"/>
        <v>0</v>
      </c>
      <c r="G131" s="33">
        <f>SUMIFS(逐日资产统计!$I:$I,逐日资产统计!$A:$A,F131,逐日资产统计!$C:$C,"人民币")</f>
        <v>0</v>
      </c>
      <c r="H131" s="32">
        <f>SUMIF(逐日资产统计!$A:$A,资产端序时!$F131,逐日资产统计!$I:$I)-G131</f>
        <v>0</v>
      </c>
      <c r="I131" s="29">
        <f t="shared" si="63"/>
        <v>0</v>
      </c>
      <c r="J131" s="32">
        <f>SUMIF(逐日资产统计!$A:$A,资产端序时!$F131,逐日资产统计!$G:$G)</f>
        <v>0</v>
      </c>
      <c r="K131" s="40">
        <f t="shared" si="64"/>
        <v>0</v>
      </c>
      <c r="L131" s="39">
        <f t="shared" si="65"/>
        <v>0</v>
      </c>
      <c r="M131" s="37" t="e">
        <f t="shared" si="66"/>
        <v>#DIV/0!</v>
      </c>
      <c r="N131" s="38">
        <f>SUMIFS(逐日资产统计!M:M,逐日资产统计!A:A,资产端序时!F131,逐日资产统计!C:C,"人民币")</f>
        <v>0</v>
      </c>
      <c r="O131" s="38">
        <f>SUMIF(逐日资产统计!A:A,资产端序时!F131,逐日资产统计!M:M)-SUMIFS(逐日资产统计!M:M,逐日资产统计!A:A,资产端序时!F131,逐日资产统计!C:C,"人民币")</f>
        <v>0</v>
      </c>
    </row>
    <row r="132" spans="3:15" x14ac:dyDescent="0.25">
      <c r="C132">
        <f>SUM($B$2:B132)</f>
        <v>-7463.19</v>
      </c>
      <c r="F132" s="31">
        <f t="shared" si="62"/>
        <v>0</v>
      </c>
      <c r="G132" s="33">
        <f>SUMIFS(逐日资产统计!$I:$I,逐日资产统计!$A:$A,F132,逐日资产统计!$C:$C,"人民币")</f>
        <v>0</v>
      </c>
      <c r="H132" s="32">
        <f>SUMIF(逐日资产统计!$A:$A,资产端序时!$F132,逐日资产统计!$I:$I)-G132</f>
        <v>0</v>
      </c>
      <c r="I132" s="29">
        <f t="shared" si="63"/>
        <v>0</v>
      </c>
      <c r="J132" s="32">
        <f>SUMIF(逐日资产统计!$A:$A,资产端序时!$F132,逐日资产统计!$G:$G)</f>
        <v>0</v>
      </c>
      <c r="K132" s="40">
        <f t="shared" si="64"/>
        <v>0</v>
      </c>
      <c r="L132" s="39">
        <f t="shared" si="65"/>
        <v>0</v>
      </c>
      <c r="M132" s="37" t="e">
        <f t="shared" si="66"/>
        <v>#DIV/0!</v>
      </c>
      <c r="N132" s="38">
        <f>SUMIFS(逐日资产统计!M:M,逐日资产统计!A:A,资产端序时!F132,逐日资产统计!C:C,"人民币")</f>
        <v>0</v>
      </c>
      <c r="O132" s="38">
        <f>SUMIF(逐日资产统计!A:A,资产端序时!F132,逐日资产统计!M:M)-SUMIFS(逐日资产统计!M:M,逐日资产统计!A:A,资产端序时!F132,逐日资产统计!C:C,"人民币")</f>
        <v>0</v>
      </c>
    </row>
    <row r="133" spans="3:15" x14ac:dyDescent="0.25">
      <c r="C133">
        <f>SUM($B$2:B133)</f>
        <v>-7463.19</v>
      </c>
      <c r="F133" s="31">
        <f t="shared" si="62"/>
        <v>0</v>
      </c>
      <c r="G133" s="33">
        <f>SUMIFS(逐日资产统计!$I:$I,逐日资产统计!$A:$A,F133,逐日资产统计!$C:$C,"人民币")</f>
        <v>0</v>
      </c>
      <c r="H133" s="32">
        <f>SUMIF(逐日资产统计!$A:$A,资产端序时!$F133,逐日资产统计!$I:$I)-G133</f>
        <v>0</v>
      </c>
      <c r="I133" s="29">
        <f t="shared" si="63"/>
        <v>0</v>
      </c>
      <c r="J133" s="32">
        <f>SUMIF(逐日资产统计!$A:$A,资产端序时!$F133,逐日资产统计!$G:$G)</f>
        <v>0</v>
      </c>
      <c r="K133" s="40">
        <f t="shared" si="64"/>
        <v>0</v>
      </c>
      <c r="L133" s="39">
        <f t="shared" si="65"/>
        <v>0</v>
      </c>
      <c r="M133" s="37" t="e">
        <f t="shared" si="66"/>
        <v>#DIV/0!</v>
      </c>
      <c r="N133" s="38">
        <f>SUMIFS(逐日资产统计!M:M,逐日资产统计!A:A,资产端序时!F133,逐日资产统计!C:C,"人民币")</f>
        <v>0</v>
      </c>
      <c r="O133" s="38">
        <f>SUMIF(逐日资产统计!A:A,资产端序时!F133,逐日资产统计!M:M)-SUMIFS(逐日资产统计!M:M,逐日资产统计!A:A,资产端序时!F133,逐日资产统计!C:C,"人民币")</f>
        <v>0</v>
      </c>
    </row>
    <row r="134" spans="3:15" x14ac:dyDescent="0.25">
      <c r="C134">
        <f>SUM($B$2:B134)</f>
        <v>-7463.19</v>
      </c>
      <c r="F134" s="31">
        <f t="shared" si="62"/>
        <v>0</v>
      </c>
      <c r="G134" s="33">
        <f>SUMIFS(逐日资产统计!$I:$I,逐日资产统计!$A:$A,F134,逐日资产统计!$C:$C,"人民币")</f>
        <v>0</v>
      </c>
      <c r="H134" s="32">
        <f>SUMIF(逐日资产统计!$A:$A,资产端序时!$F134,逐日资产统计!$I:$I)-G134</f>
        <v>0</v>
      </c>
      <c r="I134" s="29">
        <f t="shared" si="63"/>
        <v>0</v>
      </c>
      <c r="J134" s="32">
        <f>SUMIF(逐日资产统计!$A:$A,资产端序时!$F134,逐日资产统计!$G:$G)</f>
        <v>0</v>
      </c>
      <c r="K134" s="40">
        <f t="shared" si="64"/>
        <v>0</v>
      </c>
      <c r="L134" s="39">
        <f t="shared" si="65"/>
        <v>0</v>
      </c>
      <c r="M134" s="37" t="e">
        <f t="shared" si="66"/>
        <v>#DIV/0!</v>
      </c>
      <c r="N134" s="38">
        <f>SUMIFS(逐日资产统计!M:M,逐日资产统计!A:A,资产端序时!F134,逐日资产统计!C:C,"人民币")</f>
        <v>0</v>
      </c>
      <c r="O134" s="38">
        <f>SUMIF(逐日资产统计!A:A,资产端序时!F134,逐日资产统计!M:M)-SUMIFS(逐日资产统计!M:M,逐日资产统计!A:A,资产端序时!F134,逐日资产统计!C:C,"人民币")</f>
        <v>0</v>
      </c>
    </row>
    <row r="135" spans="3:15" x14ac:dyDescent="0.25">
      <c r="C135">
        <f>SUM($B$2:B135)</f>
        <v>-7463.19</v>
      </c>
      <c r="F135" s="31">
        <f t="shared" ref="F135:F165" si="67">A135</f>
        <v>0</v>
      </c>
      <c r="G135" s="33">
        <f>SUMIFS(逐日资产统计!$I:$I,逐日资产统计!$A:$A,F135,逐日资产统计!$C:$C,"人民币")</f>
        <v>0</v>
      </c>
      <c r="H135" s="32">
        <f>SUMIF(逐日资产统计!$A:$A,资产端序时!$F135,逐日资产统计!$I:$I)-G135</f>
        <v>0</v>
      </c>
      <c r="I135" s="29">
        <f t="shared" ref="I135:I165" si="68">G135+H135</f>
        <v>0</v>
      </c>
      <c r="J135" s="32">
        <f>SUMIF(逐日资产统计!$A:$A,资产端序时!$F135,逐日资产统计!$G:$G)</f>
        <v>0</v>
      </c>
      <c r="K135" s="40">
        <f t="shared" ref="K135:K165" si="69">I135-J135</f>
        <v>0</v>
      </c>
      <c r="L135" s="39">
        <f t="shared" ref="L135:L165" si="70">K135-K134</f>
        <v>0</v>
      </c>
      <c r="M135" s="37" t="e">
        <f t="shared" ref="M135:M165" si="71">J135/K135</f>
        <v>#DIV/0!</v>
      </c>
      <c r="N135" s="38">
        <f>SUMIFS(逐日资产统计!M:M,逐日资产统计!A:A,资产端序时!F135,逐日资产统计!C:C,"人民币")</f>
        <v>0</v>
      </c>
      <c r="O135" s="38">
        <f>SUMIF(逐日资产统计!A:A,资产端序时!F135,逐日资产统计!M:M)-SUMIFS(逐日资产统计!M:M,逐日资产统计!A:A,资产端序时!F135,逐日资产统计!C:C,"人民币")</f>
        <v>0</v>
      </c>
    </row>
    <row r="136" spans="3:15" x14ac:dyDescent="0.25">
      <c r="C136">
        <f>SUM($B$2:B136)</f>
        <v>-7463.19</v>
      </c>
      <c r="F136" s="31">
        <f t="shared" si="67"/>
        <v>0</v>
      </c>
      <c r="G136" s="33">
        <f>SUMIFS(逐日资产统计!$I:$I,逐日资产统计!$A:$A,F136,逐日资产统计!$C:$C,"人民币")</f>
        <v>0</v>
      </c>
      <c r="H136" s="32">
        <f>SUMIF(逐日资产统计!$A:$A,资产端序时!$F136,逐日资产统计!$I:$I)-G136</f>
        <v>0</v>
      </c>
      <c r="I136" s="29">
        <f t="shared" si="68"/>
        <v>0</v>
      </c>
      <c r="J136" s="32">
        <f>SUMIF(逐日资产统计!$A:$A,资产端序时!$F136,逐日资产统计!$G:$G)</f>
        <v>0</v>
      </c>
      <c r="K136" s="40">
        <f t="shared" si="69"/>
        <v>0</v>
      </c>
      <c r="L136" s="39">
        <f t="shared" si="70"/>
        <v>0</v>
      </c>
      <c r="M136" s="37" t="e">
        <f t="shared" si="71"/>
        <v>#DIV/0!</v>
      </c>
      <c r="N136" s="38">
        <f>SUMIFS(逐日资产统计!M:M,逐日资产统计!A:A,资产端序时!F136,逐日资产统计!C:C,"人民币")</f>
        <v>0</v>
      </c>
      <c r="O136" s="38">
        <f>SUMIF(逐日资产统计!A:A,资产端序时!F136,逐日资产统计!M:M)-SUMIFS(逐日资产统计!M:M,逐日资产统计!A:A,资产端序时!F136,逐日资产统计!C:C,"人民币")</f>
        <v>0</v>
      </c>
    </row>
    <row r="137" spans="3:15" x14ac:dyDescent="0.25">
      <c r="C137">
        <f>SUM($B$2:B137)</f>
        <v>-7463.19</v>
      </c>
      <c r="F137" s="31">
        <f t="shared" si="67"/>
        <v>0</v>
      </c>
      <c r="G137" s="33">
        <f>SUMIFS(逐日资产统计!$I:$I,逐日资产统计!$A:$A,F137,逐日资产统计!$C:$C,"人民币")</f>
        <v>0</v>
      </c>
      <c r="H137" s="32">
        <f>SUMIF(逐日资产统计!$A:$A,资产端序时!$F137,逐日资产统计!$I:$I)-G137</f>
        <v>0</v>
      </c>
      <c r="I137" s="29">
        <f t="shared" si="68"/>
        <v>0</v>
      </c>
      <c r="J137" s="32">
        <f>SUMIF(逐日资产统计!$A:$A,资产端序时!$F137,逐日资产统计!$G:$G)</f>
        <v>0</v>
      </c>
      <c r="K137" s="40">
        <f t="shared" si="69"/>
        <v>0</v>
      </c>
      <c r="L137" s="39">
        <f t="shared" si="70"/>
        <v>0</v>
      </c>
      <c r="M137" s="37" t="e">
        <f t="shared" si="71"/>
        <v>#DIV/0!</v>
      </c>
      <c r="N137" s="38">
        <f>SUMIFS(逐日资产统计!M:M,逐日资产统计!A:A,资产端序时!F137,逐日资产统计!C:C,"人民币")</f>
        <v>0</v>
      </c>
      <c r="O137" s="38">
        <f>SUMIF(逐日资产统计!A:A,资产端序时!F137,逐日资产统计!M:M)-SUMIFS(逐日资产统计!M:M,逐日资产统计!A:A,资产端序时!F137,逐日资产统计!C:C,"人民币")</f>
        <v>0</v>
      </c>
    </row>
    <row r="138" spans="3:15" x14ac:dyDescent="0.25">
      <c r="C138">
        <f>SUM($B$2:B138)</f>
        <v>-7463.19</v>
      </c>
      <c r="F138" s="31">
        <f t="shared" si="67"/>
        <v>0</v>
      </c>
      <c r="G138" s="33">
        <f>SUMIFS(逐日资产统计!$I:$I,逐日资产统计!$A:$A,F138,逐日资产统计!$C:$C,"人民币")</f>
        <v>0</v>
      </c>
      <c r="H138" s="32">
        <f>SUMIF(逐日资产统计!$A:$A,资产端序时!$F138,逐日资产统计!$I:$I)-G138</f>
        <v>0</v>
      </c>
      <c r="I138" s="29">
        <f t="shared" si="68"/>
        <v>0</v>
      </c>
      <c r="J138" s="32">
        <f>SUMIF(逐日资产统计!$A:$A,资产端序时!$F138,逐日资产统计!$G:$G)</f>
        <v>0</v>
      </c>
      <c r="K138" s="40">
        <f t="shared" si="69"/>
        <v>0</v>
      </c>
      <c r="L138" s="39">
        <f t="shared" si="70"/>
        <v>0</v>
      </c>
      <c r="M138" s="37" t="e">
        <f t="shared" si="71"/>
        <v>#DIV/0!</v>
      </c>
      <c r="N138" s="38">
        <f>SUMIFS(逐日资产统计!M:M,逐日资产统计!A:A,资产端序时!F138,逐日资产统计!C:C,"人民币")</f>
        <v>0</v>
      </c>
      <c r="O138" s="38">
        <f>SUMIF(逐日资产统计!A:A,资产端序时!F138,逐日资产统计!M:M)-SUMIFS(逐日资产统计!M:M,逐日资产统计!A:A,资产端序时!F138,逐日资产统计!C:C,"人民币")</f>
        <v>0</v>
      </c>
    </row>
    <row r="139" spans="3:15" x14ac:dyDescent="0.25">
      <c r="C139">
        <f>SUM($B$2:B139)</f>
        <v>-7463.19</v>
      </c>
      <c r="F139" s="31">
        <f t="shared" si="67"/>
        <v>0</v>
      </c>
      <c r="G139" s="33">
        <f>SUMIFS(逐日资产统计!$I:$I,逐日资产统计!$A:$A,F139,逐日资产统计!$C:$C,"人民币")</f>
        <v>0</v>
      </c>
      <c r="H139" s="32">
        <f>SUMIF(逐日资产统计!$A:$A,资产端序时!$F139,逐日资产统计!$I:$I)-G139</f>
        <v>0</v>
      </c>
      <c r="I139" s="29">
        <f t="shared" si="68"/>
        <v>0</v>
      </c>
      <c r="J139" s="32">
        <f>SUMIF(逐日资产统计!$A:$A,资产端序时!$F139,逐日资产统计!$G:$G)</f>
        <v>0</v>
      </c>
      <c r="K139" s="40">
        <f t="shared" si="69"/>
        <v>0</v>
      </c>
      <c r="L139" s="39">
        <f t="shared" si="70"/>
        <v>0</v>
      </c>
      <c r="M139" s="37" t="e">
        <f t="shared" si="71"/>
        <v>#DIV/0!</v>
      </c>
      <c r="N139" s="38">
        <f>SUMIFS(逐日资产统计!M:M,逐日资产统计!A:A,资产端序时!F139,逐日资产统计!C:C,"人民币")</f>
        <v>0</v>
      </c>
      <c r="O139" s="38">
        <f>SUMIF(逐日资产统计!A:A,资产端序时!F139,逐日资产统计!M:M)-SUMIFS(逐日资产统计!M:M,逐日资产统计!A:A,资产端序时!F139,逐日资产统计!C:C,"人民币")</f>
        <v>0</v>
      </c>
    </row>
    <row r="140" spans="3:15" x14ac:dyDescent="0.25">
      <c r="C140">
        <f>SUM($B$2:B140)</f>
        <v>-7463.19</v>
      </c>
      <c r="F140" s="31">
        <f t="shared" si="67"/>
        <v>0</v>
      </c>
      <c r="G140" s="33">
        <f>SUMIFS(逐日资产统计!$I:$I,逐日资产统计!$A:$A,F140,逐日资产统计!$C:$C,"人民币")</f>
        <v>0</v>
      </c>
      <c r="H140" s="32">
        <f>SUMIF(逐日资产统计!$A:$A,资产端序时!$F140,逐日资产统计!$I:$I)-G140</f>
        <v>0</v>
      </c>
      <c r="I140" s="29">
        <f t="shared" si="68"/>
        <v>0</v>
      </c>
      <c r="J140" s="32">
        <f>SUMIF(逐日资产统计!$A:$A,资产端序时!$F140,逐日资产统计!$G:$G)</f>
        <v>0</v>
      </c>
      <c r="K140" s="40">
        <f t="shared" si="69"/>
        <v>0</v>
      </c>
      <c r="L140" s="39">
        <f t="shared" si="70"/>
        <v>0</v>
      </c>
      <c r="M140" s="37" t="e">
        <f t="shared" si="71"/>
        <v>#DIV/0!</v>
      </c>
      <c r="N140" s="38">
        <f>SUMIFS(逐日资产统计!M:M,逐日资产统计!A:A,资产端序时!F140,逐日资产统计!C:C,"人民币")</f>
        <v>0</v>
      </c>
      <c r="O140" s="38">
        <f>SUMIF(逐日资产统计!A:A,资产端序时!F140,逐日资产统计!M:M)-SUMIFS(逐日资产统计!M:M,逐日资产统计!A:A,资产端序时!F140,逐日资产统计!C:C,"人民币")</f>
        <v>0</v>
      </c>
    </row>
    <row r="141" spans="3:15" x14ac:dyDescent="0.25">
      <c r="C141">
        <f>SUM($B$2:B141)</f>
        <v>-7463.19</v>
      </c>
      <c r="F141" s="31">
        <f t="shared" si="67"/>
        <v>0</v>
      </c>
      <c r="G141" s="33">
        <f>SUMIFS(逐日资产统计!$I:$I,逐日资产统计!$A:$A,F141,逐日资产统计!$C:$C,"人民币")</f>
        <v>0</v>
      </c>
      <c r="H141" s="32">
        <f>SUMIF(逐日资产统计!$A:$A,资产端序时!$F141,逐日资产统计!$I:$I)-G141</f>
        <v>0</v>
      </c>
      <c r="I141" s="29">
        <f t="shared" si="68"/>
        <v>0</v>
      </c>
      <c r="J141" s="32">
        <f>SUMIF(逐日资产统计!$A:$A,资产端序时!$F141,逐日资产统计!$G:$G)</f>
        <v>0</v>
      </c>
      <c r="K141" s="40">
        <f t="shared" si="69"/>
        <v>0</v>
      </c>
      <c r="L141" s="39">
        <f t="shared" si="70"/>
        <v>0</v>
      </c>
      <c r="M141" s="37" t="e">
        <f t="shared" si="71"/>
        <v>#DIV/0!</v>
      </c>
      <c r="N141" s="38">
        <f>SUMIFS(逐日资产统计!M:M,逐日资产统计!A:A,资产端序时!F141,逐日资产统计!C:C,"人民币")</f>
        <v>0</v>
      </c>
      <c r="O141" s="38">
        <f>SUMIF(逐日资产统计!A:A,资产端序时!F141,逐日资产统计!M:M)-SUMIFS(逐日资产统计!M:M,逐日资产统计!A:A,资产端序时!F141,逐日资产统计!C:C,"人民币")</f>
        <v>0</v>
      </c>
    </row>
    <row r="142" spans="3:15" x14ac:dyDescent="0.25">
      <c r="C142">
        <f>SUM($B$2:B142)</f>
        <v>-7463.19</v>
      </c>
      <c r="F142" s="31">
        <f t="shared" si="67"/>
        <v>0</v>
      </c>
      <c r="G142" s="33">
        <f>SUMIFS(逐日资产统计!$I:$I,逐日资产统计!$A:$A,F142,逐日资产统计!$C:$C,"人民币")</f>
        <v>0</v>
      </c>
      <c r="H142" s="32">
        <f>SUMIF(逐日资产统计!$A:$A,资产端序时!$F142,逐日资产统计!$I:$I)-G142</f>
        <v>0</v>
      </c>
      <c r="I142" s="29">
        <f t="shared" si="68"/>
        <v>0</v>
      </c>
      <c r="J142" s="32">
        <f>SUMIF(逐日资产统计!$A:$A,资产端序时!$F142,逐日资产统计!$G:$G)</f>
        <v>0</v>
      </c>
      <c r="K142" s="40">
        <f t="shared" si="69"/>
        <v>0</v>
      </c>
      <c r="L142" s="39">
        <f t="shared" si="70"/>
        <v>0</v>
      </c>
      <c r="M142" s="37" t="e">
        <f t="shared" si="71"/>
        <v>#DIV/0!</v>
      </c>
      <c r="N142" s="38">
        <f>SUMIFS(逐日资产统计!M:M,逐日资产统计!A:A,资产端序时!F142,逐日资产统计!C:C,"人民币")</f>
        <v>0</v>
      </c>
      <c r="O142" s="38">
        <f>SUMIF(逐日资产统计!A:A,资产端序时!F142,逐日资产统计!M:M)-SUMIFS(逐日资产统计!M:M,逐日资产统计!A:A,资产端序时!F142,逐日资产统计!C:C,"人民币")</f>
        <v>0</v>
      </c>
    </row>
    <row r="143" spans="3:15" x14ac:dyDescent="0.25">
      <c r="C143">
        <f>SUM($B$2:B143)</f>
        <v>-7463.19</v>
      </c>
      <c r="F143" s="31">
        <f t="shared" si="67"/>
        <v>0</v>
      </c>
      <c r="G143" s="33">
        <f>SUMIFS(逐日资产统计!$I:$I,逐日资产统计!$A:$A,F143,逐日资产统计!$C:$C,"人民币")</f>
        <v>0</v>
      </c>
      <c r="H143" s="32">
        <f>SUMIF(逐日资产统计!$A:$A,资产端序时!$F143,逐日资产统计!$I:$I)-G143</f>
        <v>0</v>
      </c>
      <c r="I143" s="29">
        <f t="shared" si="68"/>
        <v>0</v>
      </c>
      <c r="J143" s="32">
        <f>SUMIF(逐日资产统计!$A:$A,资产端序时!$F143,逐日资产统计!$G:$G)</f>
        <v>0</v>
      </c>
      <c r="K143" s="40">
        <f t="shared" si="69"/>
        <v>0</v>
      </c>
      <c r="L143" s="39">
        <f t="shared" si="70"/>
        <v>0</v>
      </c>
      <c r="M143" s="37" t="e">
        <f t="shared" si="71"/>
        <v>#DIV/0!</v>
      </c>
      <c r="N143" s="38">
        <f>SUMIFS(逐日资产统计!M:M,逐日资产统计!A:A,资产端序时!F143,逐日资产统计!C:C,"人民币")</f>
        <v>0</v>
      </c>
      <c r="O143" s="38">
        <f>SUMIF(逐日资产统计!A:A,资产端序时!F143,逐日资产统计!M:M)-SUMIFS(逐日资产统计!M:M,逐日资产统计!A:A,资产端序时!F143,逐日资产统计!C:C,"人民币")</f>
        <v>0</v>
      </c>
    </row>
    <row r="144" spans="3:15" x14ac:dyDescent="0.25">
      <c r="C144">
        <f>SUM($B$2:B144)</f>
        <v>-7463.19</v>
      </c>
      <c r="F144" s="31">
        <f t="shared" si="67"/>
        <v>0</v>
      </c>
      <c r="G144" s="33">
        <f>SUMIFS(逐日资产统计!$I:$I,逐日资产统计!$A:$A,F144,逐日资产统计!$C:$C,"人民币")</f>
        <v>0</v>
      </c>
      <c r="H144" s="32">
        <f>SUMIF(逐日资产统计!$A:$A,资产端序时!$F144,逐日资产统计!$I:$I)-G144</f>
        <v>0</v>
      </c>
      <c r="I144" s="29">
        <f t="shared" si="68"/>
        <v>0</v>
      </c>
      <c r="J144" s="32">
        <f>SUMIF(逐日资产统计!$A:$A,资产端序时!$F144,逐日资产统计!$G:$G)</f>
        <v>0</v>
      </c>
      <c r="K144" s="40">
        <f t="shared" si="69"/>
        <v>0</v>
      </c>
      <c r="L144" s="39">
        <f t="shared" si="70"/>
        <v>0</v>
      </c>
      <c r="M144" s="37" t="e">
        <f t="shared" si="71"/>
        <v>#DIV/0!</v>
      </c>
      <c r="N144" s="38">
        <f>SUMIFS(逐日资产统计!M:M,逐日资产统计!A:A,资产端序时!F144,逐日资产统计!C:C,"人民币")</f>
        <v>0</v>
      </c>
      <c r="O144" s="38">
        <f>SUMIF(逐日资产统计!A:A,资产端序时!F144,逐日资产统计!M:M)-SUMIFS(逐日资产统计!M:M,逐日资产统计!A:A,资产端序时!F144,逐日资产统计!C:C,"人民币")</f>
        <v>0</v>
      </c>
    </row>
    <row r="145" spans="3:17" x14ac:dyDescent="0.25">
      <c r="C145">
        <f>SUM($B$2:B145)</f>
        <v>-7463.19</v>
      </c>
      <c r="F145" s="31">
        <f t="shared" si="67"/>
        <v>0</v>
      </c>
      <c r="G145" s="33">
        <f>SUMIFS(逐日资产统计!$I:$I,逐日资产统计!$A:$A,F145,逐日资产统计!$C:$C,"人民币")</f>
        <v>0</v>
      </c>
      <c r="H145" s="32">
        <f>SUMIF(逐日资产统计!$A:$A,资产端序时!$F145,逐日资产统计!$I:$I)-G145</f>
        <v>0</v>
      </c>
      <c r="I145" s="29">
        <f t="shared" si="68"/>
        <v>0</v>
      </c>
      <c r="J145" s="32">
        <f>SUMIF(逐日资产统计!$A:$A,资产端序时!$F145,逐日资产统计!$G:$G)</f>
        <v>0</v>
      </c>
      <c r="K145" s="40">
        <f t="shared" si="69"/>
        <v>0</v>
      </c>
      <c r="L145" s="39">
        <f t="shared" si="70"/>
        <v>0</v>
      </c>
      <c r="M145" s="37" t="e">
        <f t="shared" si="71"/>
        <v>#DIV/0!</v>
      </c>
      <c r="N145" s="38">
        <f>SUMIFS(逐日资产统计!M:M,逐日资产统计!A:A,资产端序时!F145,逐日资产统计!C:C,"人民币")</f>
        <v>0</v>
      </c>
      <c r="O145" s="38">
        <f>SUMIF(逐日资产统计!A:A,资产端序时!F145,逐日资产统计!M:M)-SUMIFS(逐日资产统计!M:M,逐日资产统计!A:A,资产端序时!F145,逐日资产统计!C:C,"人民币")</f>
        <v>0</v>
      </c>
    </row>
    <row r="146" spans="3:17" x14ac:dyDescent="0.25">
      <c r="C146">
        <f>SUM($B$2:B146)</f>
        <v>-7463.19</v>
      </c>
      <c r="F146" s="31">
        <f t="shared" si="67"/>
        <v>0</v>
      </c>
      <c r="G146" s="33">
        <f>SUMIFS(逐日资产统计!$I:$I,逐日资产统计!$A:$A,F146,逐日资产统计!$C:$C,"人民币")</f>
        <v>0</v>
      </c>
      <c r="H146" s="32">
        <f>SUMIF(逐日资产统计!$A:$A,资产端序时!$F146,逐日资产统计!$I:$I)-G146</f>
        <v>0</v>
      </c>
      <c r="I146" s="29">
        <f t="shared" si="68"/>
        <v>0</v>
      </c>
      <c r="J146" s="32">
        <f>SUMIF(逐日资产统计!$A:$A,资产端序时!$F146,逐日资产统计!$G:$G)</f>
        <v>0</v>
      </c>
      <c r="K146" s="40">
        <f t="shared" si="69"/>
        <v>0</v>
      </c>
      <c r="L146" s="39">
        <f t="shared" si="70"/>
        <v>0</v>
      </c>
      <c r="M146" s="37" t="e">
        <f t="shared" si="71"/>
        <v>#DIV/0!</v>
      </c>
      <c r="N146" s="38">
        <f>SUMIFS(逐日资产统计!M:M,逐日资产统计!A:A,资产端序时!F146,逐日资产统计!C:C,"人民币")</f>
        <v>0</v>
      </c>
      <c r="O146" s="38">
        <f>SUMIF(逐日资产统计!A:A,资产端序时!F146,逐日资产统计!M:M)-SUMIFS(逐日资产统计!M:M,逐日资产统计!A:A,资产端序时!F146,逐日资产统计!C:C,"人民币")</f>
        <v>0</v>
      </c>
    </row>
    <row r="147" spans="3:17" x14ac:dyDescent="0.25">
      <c r="C147">
        <f>SUM($B$2:B147)</f>
        <v>-7463.19</v>
      </c>
      <c r="F147" s="31">
        <f t="shared" si="67"/>
        <v>0</v>
      </c>
      <c r="G147" s="33">
        <f>SUMIFS(逐日资产统计!$I:$I,逐日资产统计!$A:$A,F147,逐日资产统计!$C:$C,"人民币")</f>
        <v>0</v>
      </c>
      <c r="H147" s="32">
        <f>SUMIF(逐日资产统计!$A:$A,资产端序时!$F147,逐日资产统计!$I:$I)-G147</f>
        <v>0</v>
      </c>
      <c r="I147" s="29">
        <f t="shared" si="68"/>
        <v>0</v>
      </c>
      <c r="J147" s="32">
        <f>SUMIF(逐日资产统计!$A:$A,资产端序时!$F147,逐日资产统计!$G:$G)</f>
        <v>0</v>
      </c>
      <c r="K147" s="40">
        <f t="shared" si="69"/>
        <v>0</v>
      </c>
      <c r="L147" s="39">
        <f t="shared" si="70"/>
        <v>0</v>
      </c>
      <c r="M147" s="37" t="e">
        <f t="shared" si="71"/>
        <v>#DIV/0!</v>
      </c>
      <c r="N147" s="38">
        <f>SUMIFS(逐日资产统计!M:M,逐日资产统计!A:A,资产端序时!F147,逐日资产统计!C:C,"人民币")</f>
        <v>0</v>
      </c>
      <c r="O147" s="38">
        <f>SUMIF(逐日资产统计!A:A,资产端序时!F147,逐日资产统计!M:M)-SUMIFS(逐日资产统计!M:M,逐日资产统计!A:A,资产端序时!F147,逐日资产统计!C:C,"人民币")</f>
        <v>0</v>
      </c>
    </row>
    <row r="148" spans="3:17" x14ac:dyDescent="0.25">
      <c r="C148">
        <f>SUM($B$2:B148)</f>
        <v>-7463.19</v>
      </c>
      <c r="F148" s="31">
        <f t="shared" si="67"/>
        <v>0</v>
      </c>
      <c r="G148" s="33">
        <f>SUMIFS(逐日资产统计!$I:$I,逐日资产统计!$A:$A,F148,逐日资产统计!$C:$C,"人民币")</f>
        <v>0</v>
      </c>
      <c r="H148" s="32">
        <f>SUMIF(逐日资产统计!$A:$A,资产端序时!$F148,逐日资产统计!$I:$I)-G148</f>
        <v>0</v>
      </c>
      <c r="I148" s="29">
        <f t="shared" si="68"/>
        <v>0</v>
      </c>
      <c r="J148" s="32">
        <f>SUMIF(逐日资产统计!$A:$A,资产端序时!$F148,逐日资产统计!$G:$G)</f>
        <v>0</v>
      </c>
      <c r="K148" s="40">
        <f t="shared" si="69"/>
        <v>0</v>
      </c>
      <c r="L148" s="39">
        <f t="shared" si="70"/>
        <v>0</v>
      </c>
      <c r="M148" s="37" t="e">
        <f t="shared" si="71"/>
        <v>#DIV/0!</v>
      </c>
      <c r="N148" s="38">
        <f>SUMIFS(逐日资产统计!M:M,逐日资产统计!A:A,资产端序时!F148,逐日资产统计!C:C,"人民币")</f>
        <v>0</v>
      </c>
      <c r="O148" s="38">
        <f>SUMIF(逐日资产统计!A:A,资产端序时!F148,逐日资产统计!M:M)-SUMIFS(逐日资产统计!M:M,逐日资产统计!A:A,资产端序时!F148,逐日资产统计!C:C,"人民币")</f>
        <v>0</v>
      </c>
    </row>
    <row r="149" spans="3:17" x14ac:dyDescent="0.25">
      <c r="C149">
        <f>SUM($B$2:B149)</f>
        <v>-7463.19</v>
      </c>
      <c r="F149" s="31">
        <f t="shared" si="67"/>
        <v>0</v>
      </c>
      <c r="G149" s="33">
        <f>SUMIFS(逐日资产统计!$I:$I,逐日资产统计!$A:$A,F149,逐日资产统计!$C:$C,"人民币")</f>
        <v>0</v>
      </c>
      <c r="H149" s="32">
        <f>SUMIF(逐日资产统计!$A:$A,资产端序时!$F149,逐日资产统计!$I:$I)-G149</f>
        <v>0</v>
      </c>
      <c r="I149" s="29">
        <f t="shared" si="68"/>
        <v>0</v>
      </c>
      <c r="J149" s="32">
        <f>SUMIF(逐日资产统计!$A:$A,资产端序时!$F149,逐日资产统计!$G:$G)</f>
        <v>0</v>
      </c>
      <c r="K149" s="40">
        <f t="shared" si="69"/>
        <v>0</v>
      </c>
      <c r="L149" s="39">
        <f t="shared" si="70"/>
        <v>0</v>
      </c>
      <c r="M149" s="37" t="e">
        <f t="shared" si="71"/>
        <v>#DIV/0!</v>
      </c>
      <c r="N149" s="38">
        <f>SUMIFS(逐日资产统计!M:M,逐日资产统计!A:A,资产端序时!F149,逐日资产统计!C:C,"人民币")</f>
        <v>0</v>
      </c>
      <c r="O149" s="38">
        <f>SUMIF(逐日资产统计!A:A,资产端序时!F149,逐日资产统计!M:M)-SUMIFS(逐日资产统计!M:M,逐日资产统计!A:A,资产端序时!F149,逐日资产统计!C:C,"人民币")</f>
        <v>0</v>
      </c>
    </row>
    <row r="150" spans="3:17" x14ac:dyDescent="0.25">
      <c r="C150">
        <f>SUM($B$2:B150)</f>
        <v>-7463.19</v>
      </c>
      <c r="F150" s="31">
        <f t="shared" si="67"/>
        <v>0</v>
      </c>
      <c r="G150" s="33">
        <f>SUMIFS(逐日资产统计!$I:$I,逐日资产统计!$A:$A,F150,逐日资产统计!$C:$C,"人民币")</f>
        <v>0</v>
      </c>
      <c r="H150" s="32">
        <f>SUMIF(逐日资产统计!$A:$A,资产端序时!$F150,逐日资产统计!$I:$I)-G150</f>
        <v>0</v>
      </c>
      <c r="I150" s="29">
        <f t="shared" si="68"/>
        <v>0</v>
      </c>
      <c r="J150" s="32">
        <f>SUMIF(逐日资产统计!$A:$A,资产端序时!$F150,逐日资产统计!$G:$G)</f>
        <v>0</v>
      </c>
      <c r="K150" s="40">
        <f t="shared" si="69"/>
        <v>0</v>
      </c>
      <c r="L150" s="39">
        <f t="shared" si="70"/>
        <v>0</v>
      </c>
      <c r="M150" s="37" t="e">
        <f t="shared" si="71"/>
        <v>#DIV/0!</v>
      </c>
      <c r="N150" s="38">
        <f>SUMIFS(逐日资产统计!M:M,逐日资产统计!A:A,资产端序时!F150,逐日资产统计!C:C,"人民币")</f>
        <v>0</v>
      </c>
      <c r="O150" s="38">
        <f>SUMIF(逐日资产统计!A:A,资产端序时!F150,逐日资产统计!M:M)-SUMIFS(逐日资产统计!M:M,逐日资产统计!A:A,资产端序时!F150,逐日资产统计!C:C,"人民币")</f>
        <v>0</v>
      </c>
    </row>
    <row r="151" spans="3:17" x14ac:dyDescent="0.25">
      <c r="C151">
        <f>SUM($B$2:B151)</f>
        <v>-7463.19</v>
      </c>
      <c r="F151" s="31">
        <f t="shared" si="67"/>
        <v>0</v>
      </c>
      <c r="G151" s="33">
        <f>SUMIFS(逐日资产统计!$I:$I,逐日资产统计!$A:$A,F151,逐日资产统计!$C:$C,"人民币")</f>
        <v>0</v>
      </c>
      <c r="H151" s="32">
        <f>SUMIF(逐日资产统计!$A:$A,资产端序时!$F151,逐日资产统计!$I:$I)-G151</f>
        <v>0</v>
      </c>
      <c r="I151" s="29">
        <f t="shared" si="68"/>
        <v>0</v>
      </c>
      <c r="J151" s="32">
        <f>SUMIF(逐日资产统计!$A:$A,资产端序时!$F151,逐日资产统计!$G:$G)</f>
        <v>0</v>
      </c>
      <c r="K151" s="40">
        <f t="shared" si="69"/>
        <v>0</v>
      </c>
      <c r="L151" s="39">
        <f t="shared" si="70"/>
        <v>0</v>
      </c>
      <c r="M151" s="37" t="e">
        <f t="shared" si="71"/>
        <v>#DIV/0!</v>
      </c>
      <c r="N151" s="38">
        <f>SUMIFS(逐日资产统计!M:M,逐日资产统计!A:A,资产端序时!F151,逐日资产统计!C:C,"人民币")</f>
        <v>0</v>
      </c>
      <c r="O151" s="38">
        <f>SUMIF(逐日资产统计!A:A,资产端序时!F151,逐日资产统计!M:M)-SUMIFS(逐日资产统计!M:M,逐日资产统计!A:A,资产端序时!F151,逐日资产统计!C:C,"人民币")</f>
        <v>0</v>
      </c>
    </row>
    <row r="152" spans="3:17" x14ac:dyDescent="0.25">
      <c r="C152">
        <f>SUM($B$2:B152)</f>
        <v>-7463.19</v>
      </c>
      <c r="F152" s="31">
        <f t="shared" si="67"/>
        <v>0</v>
      </c>
      <c r="G152" s="33">
        <f>SUMIFS(逐日资产统计!$I:$I,逐日资产统计!$A:$A,F152,逐日资产统计!$C:$C,"人民币")</f>
        <v>0</v>
      </c>
      <c r="H152" s="32">
        <f>SUMIF(逐日资产统计!$A:$A,资产端序时!$F152,逐日资产统计!$I:$I)-G152</f>
        <v>0</v>
      </c>
      <c r="I152" s="29">
        <f t="shared" si="68"/>
        <v>0</v>
      </c>
      <c r="J152" s="32">
        <f>SUMIF(逐日资产统计!$A:$A,资产端序时!$F152,逐日资产统计!$G:$G)</f>
        <v>0</v>
      </c>
      <c r="K152" s="40">
        <f t="shared" si="69"/>
        <v>0</v>
      </c>
      <c r="L152" s="39">
        <f t="shared" si="70"/>
        <v>0</v>
      </c>
      <c r="M152" s="37" t="e">
        <f t="shared" si="71"/>
        <v>#DIV/0!</v>
      </c>
      <c r="N152" s="38">
        <f>SUMIFS(逐日资产统计!M:M,逐日资产统计!A:A,资产端序时!F152,逐日资产统计!C:C,"人民币")</f>
        <v>0</v>
      </c>
      <c r="O152" s="38">
        <f>SUMIF(逐日资产统计!A:A,资产端序时!F152,逐日资产统计!M:M)-SUMIFS(逐日资产统计!M:M,逐日资产统计!A:A,资产端序时!F152,逐日资产统计!C:C,"人民币")</f>
        <v>0</v>
      </c>
    </row>
    <row r="153" spans="3:17" x14ac:dyDescent="0.25">
      <c r="C153">
        <f>SUM($B$2:B153)</f>
        <v>-7463.19</v>
      </c>
      <c r="F153" s="31">
        <f t="shared" si="67"/>
        <v>0</v>
      </c>
      <c r="G153" s="33">
        <f>SUMIFS(逐日资产统计!$I:$I,逐日资产统计!$A:$A,F153,逐日资产统计!$C:$C,"人民币")</f>
        <v>0</v>
      </c>
      <c r="H153" s="32">
        <f>SUMIF(逐日资产统计!$A:$A,资产端序时!$F153,逐日资产统计!$I:$I)-G153</f>
        <v>0</v>
      </c>
      <c r="I153" s="29">
        <f t="shared" si="68"/>
        <v>0</v>
      </c>
      <c r="J153" s="32">
        <f>SUMIF(逐日资产统计!$A:$A,资产端序时!$F153,逐日资产统计!$G:$G)</f>
        <v>0</v>
      </c>
      <c r="K153" s="40">
        <f t="shared" si="69"/>
        <v>0</v>
      </c>
      <c r="L153" s="39">
        <f t="shared" si="70"/>
        <v>0</v>
      </c>
      <c r="M153" s="37" t="e">
        <f t="shared" si="71"/>
        <v>#DIV/0!</v>
      </c>
      <c r="N153" s="38">
        <f>SUMIFS(逐日资产统计!M:M,逐日资产统计!A:A,资产端序时!F153,逐日资产统计!C:C,"人民币")</f>
        <v>0</v>
      </c>
      <c r="O153" s="38">
        <f>SUMIF(逐日资产统计!A:A,资产端序时!F153,逐日资产统计!M:M)-SUMIFS(逐日资产统计!M:M,逐日资产统计!A:A,资产端序时!F153,逐日资产统计!C:C,"人民币")</f>
        <v>0</v>
      </c>
      <c r="Q153" s="44"/>
    </row>
    <row r="154" spans="3:17" x14ac:dyDescent="0.25">
      <c r="C154">
        <f>SUM($B$2:B154)</f>
        <v>-7463.19</v>
      </c>
      <c r="F154" s="31">
        <f t="shared" si="67"/>
        <v>0</v>
      </c>
      <c r="G154" s="33">
        <f>SUMIFS(逐日资产统计!$I:$I,逐日资产统计!$A:$A,F154,逐日资产统计!$C:$C,"人民币")</f>
        <v>0</v>
      </c>
      <c r="H154" s="32">
        <f>SUMIF(逐日资产统计!$A:$A,资产端序时!$F154,逐日资产统计!$I:$I)-G154</f>
        <v>0</v>
      </c>
      <c r="I154" s="29">
        <f t="shared" si="68"/>
        <v>0</v>
      </c>
      <c r="J154" s="32">
        <f>SUMIF(逐日资产统计!$A:$A,资产端序时!$F154,逐日资产统计!$G:$G)</f>
        <v>0</v>
      </c>
      <c r="K154" s="40">
        <f t="shared" si="69"/>
        <v>0</v>
      </c>
      <c r="L154" s="39">
        <f t="shared" si="70"/>
        <v>0</v>
      </c>
      <c r="M154" s="37" t="e">
        <f t="shared" si="71"/>
        <v>#DIV/0!</v>
      </c>
      <c r="N154" s="38">
        <f>SUMIFS(逐日资产统计!M:M,逐日资产统计!A:A,资产端序时!F154,逐日资产统计!C:C,"人民币")</f>
        <v>0</v>
      </c>
      <c r="O154" s="38">
        <f>SUMIF(逐日资产统计!A:A,资产端序时!F154,逐日资产统计!M:M)-SUMIFS(逐日资产统计!M:M,逐日资产统计!A:A,资产端序时!F154,逐日资产统计!C:C,"人民币")</f>
        <v>0</v>
      </c>
    </row>
    <row r="155" spans="3:17" x14ac:dyDescent="0.25">
      <c r="C155">
        <f>SUM($B$2:B155)</f>
        <v>-7463.19</v>
      </c>
      <c r="F155" s="31">
        <f t="shared" si="67"/>
        <v>0</v>
      </c>
      <c r="G155" s="33">
        <f>SUMIFS(逐日资产统计!$I:$I,逐日资产统计!$A:$A,F155,逐日资产统计!$C:$C,"人民币")</f>
        <v>0</v>
      </c>
      <c r="H155" s="32">
        <f>SUMIF(逐日资产统计!$A:$A,资产端序时!$F155,逐日资产统计!$I:$I)-G155</f>
        <v>0</v>
      </c>
      <c r="I155" s="29">
        <f t="shared" si="68"/>
        <v>0</v>
      </c>
      <c r="J155" s="32">
        <f>SUMIF(逐日资产统计!$A:$A,资产端序时!$F155,逐日资产统计!$G:$G)</f>
        <v>0</v>
      </c>
      <c r="K155" s="40">
        <f t="shared" si="69"/>
        <v>0</v>
      </c>
      <c r="L155" s="39">
        <f t="shared" si="70"/>
        <v>0</v>
      </c>
      <c r="M155" s="37" t="e">
        <f t="shared" si="71"/>
        <v>#DIV/0!</v>
      </c>
      <c r="N155" s="38">
        <f>SUMIFS(逐日资产统计!M:M,逐日资产统计!A:A,资产端序时!F155,逐日资产统计!C:C,"人民币")</f>
        <v>0</v>
      </c>
      <c r="O155" s="38">
        <f>SUMIF(逐日资产统计!A:A,资产端序时!F155,逐日资产统计!M:M)-SUMIFS(逐日资产统计!M:M,逐日资产统计!A:A,资产端序时!F155,逐日资产统计!C:C,"人民币")</f>
        <v>0</v>
      </c>
    </row>
    <row r="156" spans="3:17" x14ac:dyDescent="0.25">
      <c r="C156">
        <f>SUM($B$2:B156)</f>
        <v>-7463.19</v>
      </c>
      <c r="F156" s="31">
        <f t="shared" si="67"/>
        <v>0</v>
      </c>
      <c r="G156" s="33">
        <f>SUMIFS(逐日资产统计!$I:$I,逐日资产统计!$A:$A,F156,逐日资产统计!$C:$C,"人民币")</f>
        <v>0</v>
      </c>
      <c r="H156" s="32">
        <f>SUMIF(逐日资产统计!$A:$A,资产端序时!$F156,逐日资产统计!$I:$I)-G156</f>
        <v>0</v>
      </c>
      <c r="I156" s="29">
        <f t="shared" si="68"/>
        <v>0</v>
      </c>
      <c r="J156" s="32">
        <f>SUMIF(逐日资产统计!$A:$A,资产端序时!$F156,逐日资产统计!$G:$G)</f>
        <v>0</v>
      </c>
      <c r="K156" s="40">
        <f t="shared" si="69"/>
        <v>0</v>
      </c>
      <c r="L156" s="39">
        <f t="shared" si="70"/>
        <v>0</v>
      </c>
      <c r="M156" s="37" t="e">
        <f t="shared" si="71"/>
        <v>#DIV/0!</v>
      </c>
      <c r="N156" s="38">
        <f>SUMIFS(逐日资产统计!M:M,逐日资产统计!A:A,资产端序时!F156,逐日资产统计!C:C,"人民币")</f>
        <v>0</v>
      </c>
      <c r="O156" s="38">
        <f>SUMIF(逐日资产统计!A:A,资产端序时!F156,逐日资产统计!M:M)-SUMIFS(逐日资产统计!M:M,逐日资产统计!A:A,资产端序时!F156,逐日资产统计!C:C,"人民币")</f>
        <v>0</v>
      </c>
    </row>
    <row r="157" spans="3:17" x14ac:dyDescent="0.25">
      <c r="C157">
        <f>SUM($B$2:B157)</f>
        <v>-7463.19</v>
      </c>
      <c r="F157" s="31">
        <f t="shared" si="67"/>
        <v>0</v>
      </c>
      <c r="G157" s="33">
        <f>SUMIFS(逐日资产统计!$I:$I,逐日资产统计!$A:$A,F157,逐日资产统计!$C:$C,"人民币")</f>
        <v>0</v>
      </c>
      <c r="H157" s="32">
        <f>SUMIF(逐日资产统计!$A:$A,资产端序时!$F157,逐日资产统计!$I:$I)-G157</f>
        <v>0</v>
      </c>
      <c r="I157" s="29">
        <f t="shared" si="68"/>
        <v>0</v>
      </c>
      <c r="J157" s="32">
        <f>SUMIF(逐日资产统计!$A:$A,资产端序时!$F157,逐日资产统计!$G:$G)</f>
        <v>0</v>
      </c>
      <c r="K157" s="40">
        <f t="shared" si="69"/>
        <v>0</v>
      </c>
      <c r="L157" s="39">
        <f t="shared" si="70"/>
        <v>0</v>
      </c>
      <c r="M157" s="37" t="e">
        <f t="shared" si="71"/>
        <v>#DIV/0!</v>
      </c>
      <c r="N157" s="38">
        <f>SUMIFS(逐日资产统计!M:M,逐日资产统计!A:A,资产端序时!F157,逐日资产统计!C:C,"人民币")</f>
        <v>0</v>
      </c>
      <c r="O157" s="38">
        <f>SUMIF(逐日资产统计!A:A,资产端序时!F157,逐日资产统计!M:M)-SUMIFS(逐日资产统计!M:M,逐日资产统计!A:A,资产端序时!F157,逐日资产统计!C:C,"人民币")</f>
        <v>0</v>
      </c>
      <c r="Q157" s="45"/>
    </row>
    <row r="158" spans="3:17" x14ac:dyDescent="0.25">
      <c r="C158">
        <f>SUM($B$2:B158)</f>
        <v>-7463.19</v>
      </c>
      <c r="F158" s="31">
        <f t="shared" si="67"/>
        <v>0</v>
      </c>
      <c r="G158" s="33">
        <f>SUMIFS(逐日资产统计!$I:$I,逐日资产统计!$A:$A,F158,逐日资产统计!$C:$C,"人民币")</f>
        <v>0</v>
      </c>
      <c r="H158" s="32">
        <f>SUMIF(逐日资产统计!$A:$A,资产端序时!$F158,逐日资产统计!$I:$I)-G158</f>
        <v>0</v>
      </c>
      <c r="I158" s="29">
        <f t="shared" si="68"/>
        <v>0</v>
      </c>
      <c r="J158" s="32">
        <f>SUMIF(逐日资产统计!$A:$A,资产端序时!$F158,逐日资产统计!$G:$G)</f>
        <v>0</v>
      </c>
      <c r="K158" s="40">
        <f t="shared" si="69"/>
        <v>0</v>
      </c>
      <c r="L158" s="39">
        <f t="shared" si="70"/>
        <v>0</v>
      </c>
      <c r="M158" s="37" t="e">
        <f t="shared" si="71"/>
        <v>#DIV/0!</v>
      </c>
      <c r="N158" s="38">
        <f>SUMIFS(逐日资产统计!M:M,逐日资产统计!A:A,资产端序时!F158,逐日资产统计!C:C,"人民币")</f>
        <v>0</v>
      </c>
      <c r="O158" s="38">
        <f>SUMIF(逐日资产统计!A:A,资产端序时!F158,逐日资产统计!M:M)-SUMIFS(逐日资产统计!M:M,逐日资产统计!A:A,资产端序时!F158,逐日资产统计!C:C,"人民币")</f>
        <v>0</v>
      </c>
      <c r="Q158" s="45"/>
    </row>
    <row r="159" spans="3:17" x14ac:dyDescent="0.25">
      <c r="C159">
        <f>SUM($B$2:B159)</f>
        <v>-7463.19</v>
      </c>
      <c r="F159" s="31">
        <f t="shared" si="67"/>
        <v>0</v>
      </c>
      <c r="G159" s="33">
        <f>SUMIFS(逐日资产统计!$I:$I,逐日资产统计!$A:$A,F159,逐日资产统计!$C:$C,"人民币")</f>
        <v>0</v>
      </c>
      <c r="H159" s="32">
        <f>SUMIF(逐日资产统计!$A:$A,资产端序时!$F159,逐日资产统计!$I:$I)-G159</f>
        <v>0</v>
      </c>
      <c r="I159" s="29">
        <f t="shared" si="68"/>
        <v>0</v>
      </c>
      <c r="J159" s="32">
        <f>SUMIF(逐日资产统计!$A:$A,资产端序时!$F159,逐日资产统计!$G:$G)</f>
        <v>0</v>
      </c>
      <c r="K159" s="40">
        <f t="shared" si="69"/>
        <v>0</v>
      </c>
      <c r="L159" s="39">
        <f t="shared" si="70"/>
        <v>0</v>
      </c>
      <c r="M159" s="37" t="e">
        <f t="shared" si="71"/>
        <v>#DIV/0!</v>
      </c>
      <c r="N159" s="38">
        <f>SUMIFS(逐日资产统计!M:M,逐日资产统计!A:A,资产端序时!F159,逐日资产统计!C:C,"人民币")</f>
        <v>0</v>
      </c>
      <c r="O159" s="38">
        <f>SUMIF(逐日资产统计!A:A,资产端序时!F159,逐日资产统计!M:M)-SUMIFS(逐日资产统计!M:M,逐日资产统计!A:A,资产端序时!F159,逐日资产统计!C:C,"人民币")</f>
        <v>0</v>
      </c>
      <c r="Q159" s="45"/>
    </row>
    <row r="160" spans="3:17" x14ac:dyDescent="0.25">
      <c r="C160">
        <f>SUM($B$2:B160)</f>
        <v>-7463.19</v>
      </c>
      <c r="F160" s="31">
        <f t="shared" si="67"/>
        <v>0</v>
      </c>
      <c r="G160" s="33">
        <f>SUMIFS(逐日资产统计!$I:$I,逐日资产统计!$A:$A,F160,逐日资产统计!$C:$C,"人民币")</f>
        <v>0</v>
      </c>
      <c r="H160" s="32">
        <f>SUMIF(逐日资产统计!$A:$A,资产端序时!$F160,逐日资产统计!$I:$I)-G160</f>
        <v>0</v>
      </c>
      <c r="I160" s="29">
        <f t="shared" si="68"/>
        <v>0</v>
      </c>
      <c r="J160" s="32">
        <f>SUMIF(逐日资产统计!$A:$A,资产端序时!$F160,逐日资产统计!$G:$G)</f>
        <v>0</v>
      </c>
      <c r="K160" s="40">
        <f t="shared" si="69"/>
        <v>0</v>
      </c>
      <c r="L160" s="39">
        <f t="shared" si="70"/>
        <v>0</v>
      </c>
      <c r="M160" s="37" t="e">
        <f t="shared" si="71"/>
        <v>#DIV/0!</v>
      </c>
      <c r="N160" s="38">
        <f>SUMIFS(逐日资产统计!M:M,逐日资产统计!A:A,资产端序时!F160,逐日资产统计!C:C,"人民币")</f>
        <v>0</v>
      </c>
      <c r="O160" s="38">
        <f>SUMIF(逐日资产统计!A:A,资产端序时!F160,逐日资产统计!M:M)-SUMIFS(逐日资产统计!M:M,逐日资产统计!A:A,资产端序时!F160,逐日资产统计!C:C,"人民币")</f>
        <v>0</v>
      </c>
      <c r="Q160" s="45"/>
    </row>
    <row r="161" spans="3:17" x14ac:dyDescent="0.25">
      <c r="C161">
        <f>SUM($B$2:B161)</f>
        <v>-7463.19</v>
      </c>
      <c r="F161" s="31">
        <f t="shared" si="67"/>
        <v>0</v>
      </c>
      <c r="G161" s="33">
        <f>SUMIFS(逐日资产统计!$I:$I,逐日资产统计!$A:$A,F161,逐日资产统计!$C:$C,"人民币")</f>
        <v>0</v>
      </c>
      <c r="H161" s="32">
        <f>SUMIF(逐日资产统计!$A:$A,资产端序时!$F161,逐日资产统计!$I:$I)-G161</f>
        <v>0</v>
      </c>
      <c r="I161" s="29">
        <f t="shared" si="68"/>
        <v>0</v>
      </c>
      <c r="J161" s="32">
        <f>SUMIF(逐日资产统计!$A:$A,资产端序时!$F161,逐日资产统计!$G:$G)</f>
        <v>0</v>
      </c>
      <c r="K161" s="40">
        <f t="shared" si="69"/>
        <v>0</v>
      </c>
      <c r="L161" s="39">
        <f t="shared" si="70"/>
        <v>0</v>
      </c>
      <c r="M161" s="37" t="e">
        <f t="shared" si="71"/>
        <v>#DIV/0!</v>
      </c>
      <c r="N161" s="38">
        <f>SUMIFS(逐日资产统计!M:M,逐日资产统计!A:A,资产端序时!F161,逐日资产统计!C:C,"人民币")</f>
        <v>0</v>
      </c>
      <c r="O161" s="38">
        <f>SUMIF(逐日资产统计!A:A,资产端序时!F161,逐日资产统计!M:M)-SUMIFS(逐日资产统计!M:M,逐日资产统计!A:A,资产端序时!F161,逐日资产统计!C:C,"人民币")</f>
        <v>0</v>
      </c>
      <c r="Q161" s="45"/>
    </row>
    <row r="162" spans="3:17" x14ac:dyDescent="0.25">
      <c r="C162">
        <f>SUM($B$2:B162)</f>
        <v>-7463.19</v>
      </c>
      <c r="F162" s="31">
        <f t="shared" si="67"/>
        <v>0</v>
      </c>
      <c r="G162" s="33">
        <f>SUMIFS(逐日资产统计!$I:$I,逐日资产统计!$A:$A,F162,逐日资产统计!$C:$C,"人民币")</f>
        <v>0</v>
      </c>
      <c r="H162" s="32">
        <f>SUMIF(逐日资产统计!$A:$A,资产端序时!$F162,逐日资产统计!$I:$I)-G162</f>
        <v>0</v>
      </c>
      <c r="I162" s="29">
        <f t="shared" si="68"/>
        <v>0</v>
      </c>
      <c r="J162" s="32">
        <f>SUMIF(逐日资产统计!$A:$A,资产端序时!$F162,逐日资产统计!$G:$G)</f>
        <v>0</v>
      </c>
      <c r="K162" s="40">
        <f t="shared" si="69"/>
        <v>0</v>
      </c>
      <c r="L162" s="39">
        <f t="shared" si="70"/>
        <v>0</v>
      </c>
      <c r="M162" s="37" t="e">
        <f t="shared" si="71"/>
        <v>#DIV/0!</v>
      </c>
      <c r="N162" s="38">
        <f>SUMIFS(逐日资产统计!M:M,逐日资产统计!A:A,资产端序时!F162,逐日资产统计!C:C,"人民币")</f>
        <v>0</v>
      </c>
      <c r="O162" s="38">
        <f>SUMIF(逐日资产统计!A:A,资产端序时!F162,逐日资产统计!M:M)-SUMIFS(逐日资产统计!M:M,逐日资产统计!A:A,资产端序时!F162,逐日资产统计!C:C,"人民币")</f>
        <v>0</v>
      </c>
      <c r="Q162" s="45"/>
    </row>
    <row r="163" spans="3:17" x14ac:dyDescent="0.25">
      <c r="C163">
        <f>SUM($B$2:B163)</f>
        <v>-7463.19</v>
      </c>
      <c r="F163" s="31">
        <f t="shared" si="67"/>
        <v>0</v>
      </c>
      <c r="G163" s="33">
        <f>SUMIFS(逐日资产统计!$I:$I,逐日资产统计!$A:$A,F163,逐日资产统计!$C:$C,"人民币")</f>
        <v>0</v>
      </c>
      <c r="H163" s="32">
        <f>SUMIF(逐日资产统计!$A:$A,资产端序时!$F163,逐日资产统计!$I:$I)-G163</f>
        <v>0</v>
      </c>
      <c r="I163" s="29">
        <f t="shared" si="68"/>
        <v>0</v>
      </c>
      <c r="J163" s="32">
        <f>SUMIF(逐日资产统计!$A:$A,资产端序时!$F163,逐日资产统计!$G:$G)</f>
        <v>0</v>
      </c>
      <c r="K163" s="40">
        <f t="shared" si="69"/>
        <v>0</v>
      </c>
      <c r="L163" s="39">
        <f t="shared" si="70"/>
        <v>0</v>
      </c>
      <c r="M163" s="37" t="e">
        <f t="shared" si="71"/>
        <v>#DIV/0!</v>
      </c>
      <c r="N163" s="38">
        <f>SUMIFS(逐日资产统计!M:M,逐日资产统计!A:A,资产端序时!F163,逐日资产统计!C:C,"人民币")</f>
        <v>0</v>
      </c>
      <c r="O163" s="38">
        <f>SUMIF(逐日资产统计!A:A,资产端序时!F163,逐日资产统计!M:M)-SUMIFS(逐日资产统计!M:M,逐日资产统计!A:A,资产端序时!F163,逐日资产统计!C:C,"人民币")</f>
        <v>0</v>
      </c>
      <c r="Q163" s="45"/>
    </row>
    <row r="164" spans="3:17" x14ac:dyDescent="0.25">
      <c r="C164">
        <f>SUM($B$2:B164)</f>
        <v>-7463.19</v>
      </c>
      <c r="F164" s="31">
        <f t="shared" si="67"/>
        <v>0</v>
      </c>
      <c r="G164" s="33">
        <f>SUMIFS(逐日资产统计!$I:$I,逐日资产统计!$A:$A,F164,逐日资产统计!$C:$C,"人民币")</f>
        <v>0</v>
      </c>
      <c r="H164" s="32">
        <f>SUMIF(逐日资产统计!$A:$A,资产端序时!$F164,逐日资产统计!$I:$I)-G164</f>
        <v>0</v>
      </c>
      <c r="I164" s="29">
        <f t="shared" si="68"/>
        <v>0</v>
      </c>
      <c r="J164" s="32">
        <f>SUMIF(逐日资产统计!$A:$A,资产端序时!$F164,逐日资产统计!$G:$G)</f>
        <v>0</v>
      </c>
      <c r="K164" s="40">
        <f t="shared" si="69"/>
        <v>0</v>
      </c>
      <c r="L164" s="39">
        <f t="shared" si="70"/>
        <v>0</v>
      </c>
      <c r="M164" s="37" t="e">
        <f t="shared" si="71"/>
        <v>#DIV/0!</v>
      </c>
      <c r="N164" s="38">
        <f>SUMIFS(逐日资产统计!M:M,逐日资产统计!A:A,资产端序时!F164,逐日资产统计!C:C,"人民币")</f>
        <v>0</v>
      </c>
      <c r="O164" s="38">
        <f>SUMIF(逐日资产统计!A:A,资产端序时!F164,逐日资产统计!M:M)-SUMIFS(逐日资产统计!M:M,逐日资产统计!A:A,资产端序时!F164,逐日资产统计!C:C,"人民币")</f>
        <v>0</v>
      </c>
      <c r="Q164" s="45"/>
    </row>
    <row r="165" spans="3:17" x14ac:dyDescent="0.25">
      <c r="C165">
        <f>SUM($B$2:B165)</f>
        <v>-7463.19</v>
      </c>
      <c r="F165" s="31">
        <f t="shared" si="67"/>
        <v>0</v>
      </c>
      <c r="G165" s="33">
        <f>SUMIFS(逐日资产统计!$I:$I,逐日资产统计!$A:$A,F165,逐日资产统计!$C:$C,"人民币")</f>
        <v>0</v>
      </c>
      <c r="H165" s="32">
        <f>SUMIF(逐日资产统计!$A:$A,资产端序时!$F165,逐日资产统计!$I:$I)-G165</f>
        <v>0</v>
      </c>
      <c r="I165" s="29">
        <f t="shared" si="68"/>
        <v>0</v>
      </c>
      <c r="J165" s="32">
        <f>SUMIF(逐日资产统计!$A:$A,资产端序时!$F165,逐日资产统计!$G:$G)</f>
        <v>0</v>
      </c>
      <c r="K165" s="40">
        <f t="shared" si="69"/>
        <v>0</v>
      </c>
      <c r="L165" s="39">
        <f t="shared" si="70"/>
        <v>0</v>
      </c>
      <c r="M165" s="37" t="e">
        <f t="shared" si="71"/>
        <v>#DIV/0!</v>
      </c>
      <c r="N165" s="38">
        <f>SUMIFS(逐日资产统计!M:M,逐日资产统计!A:A,资产端序时!F165,逐日资产统计!C:C,"人民币")</f>
        <v>0</v>
      </c>
      <c r="O165" s="38">
        <f>SUMIF(逐日资产统计!A:A,资产端序时!F165,逐日资产统计!M:M)-SUMIFS(逐日资产统计!M:M,逐日资产统计!A:A,资产端序时!F165,逐日资产统计!C:C,"人民币")</f>
        <v>0</v>
      </c>
      <c r="Q165" s="45"/>
    </row>
    <row r="166" spans="3:17" x14ac:dyDescent="0.25">
      <c r="C166">
        <f>SUM($B$2:B166)</f>
        <v>-7463.19</v>
      </c>
      <c r="F166" s="31">
        <f t="shared" ref="F166:F197" si="72">A166</f>
        <v>0</v>
      </c>
      <c r="G166" s="33">
        <f>SUMIFS(逐日资产统计!$I:$I,逐日资产统计!$A:$A,F166,逐日资产统计!$C:$C,"人民币")</f>
        <v>0</v>
      </c>
      <c r="H166" s="32">
        <f>SUMIF(逐日资产统计!$A:$A,资产端序时!$F166,逐日资产统计!$I:$I)-G166</f>
        <v>0</v>
      </c>
      <c r="I166" s="29">
        <f t="shared" ref="I166:I197" si="73">G166+H166</f>
        <v>0</v>
      </c>
      <c r="J166" s="32">
        <f>SUMIF(逐日资产统计!$A:$A,资产端序时!$F166,逐日资产统计!$G:$G)</f>
        <v>0</v>
      </c>
      <c r="K166" s="40">
        <f t="shared" ref="K166:K197" si="74">I166-J166</f>
        <v>0</v>
      </c>
      <c r="L166" s="39">
        <f t="shared" ref="L166:L197" si="75">K166-K165</f>
        <v>0</v>
      </c>
      <c r="M166" s="37" t="e">
        <f t="shared" ref="M166:M197" si="76">J166/K166</f>
        <v>#DIV/0!</v>
      </c>
      <c r="N166" s="38">
        <f>SUMIFS(逐日资产统计!M:M,逐日资产统计!A:A,资产端序时!F166,逐日资产统计!C:C,"人民币")</f>
        <v>0</v>
      </c>
      <c r="O166" s="38">
        <f>SUMIF(逐日资产统计!A:A,资产端序时!F166,逐日资产统计!M:M)-SUMIFS(逐日资产统计!M:M,逐日资产统计!A:A,资产端序时!F166,逐日资产统计!C:C,"人民币")</f>
        <v>0</v>
      </c>
      <c r="Q166" s="45"/>
    </row>
    <row r="167" spans="3:17" x14ac:dyDescent="0.25">
      <c r="C167">
        <f>SUM($B$2:B167)</f>
        <v>-7463.19</v>
      </c>
      <c r="F167" s="31">
        <f t="shared" si="72"/>
        <v>0</v>
      </c>
      <c r="G167" s="33">
        <f>SUMIFS(逐日资产统计!$I:$I,逐日资产统计!$A:$A,F167,逐日资产统计!$C:$C,"人民币")</f>
        <v>0</v>
      </c>
      <c r="H167" s="32">
        <f>SUMIF(逐日资产统计!$A:$A,资产端序时!$F167,逐日资产统计!$I:$I)-G167</f>
        <v>0</v>
      </c>
      <c r="I167" s="29">
        <f t="shared" si="73"/>
        <v>0</v>
      </c>
      <c r="J167" s="32">
        <f>SUMIF(逐日资产统计!$A:$A,资产端序时!$F167,逐日资产统计!$G:$G)</f>
        <v>0</v>
      </c>
      <c r="K167" s="40">
        <f t="shared" si="74"/>
        <v>0</v>
      </c>
      <c r="L167" s="39">
        <f t="shared" si="75"/>
        <v>0</v>
      </c>
      <c r="M167" s="37" t="e">
        <f t="shared" si="76"/>
        <v>#DIV/0!</v>
      </c>
      <c r="N167" s="38">
        <f>SUMIFS(逐日资产统计!M:M,逐日资产统计!A:A,资产端序时!F167,逐日资产统计!C:C,"人民币")</f>
        <v>0</v>
      </c>
      <c r="O167" s="38">
        <f>SUMIF(逐日资产统计!A:A,资产端序时!F167,逐日资产统计!M:M)-SUMIFS(逐日资产统计!M:M,逐日资产统计!A:A,资产端序时!F167,逐日资产统计!C:C,"人民币")</f>
        <v>0</v>
      </c>
      <c r="Q167" s="45"/>
    </row>
    <row r="168" spans="3:17" x14ac:dyDescent="0.25">
      <c r="C168">
        <f>SUM($B$2:B168)</f>
        <v>-7463.19</v>
      </c>
      <c r="F168" s="31">
        <f t="shared" si="72"/>
        <v>0</v>
      </c>
      <c r="G168" s="33">
        <f>SUMIFS(逐日资产统计!$I:$I,逐日资产统计!$A:$A,F168,逐日资产统计!$C:$C,"人民币")</f>
        <v>0</v>
      </c>
      <c r="H168" s="32">
        <f>SUMIF(逐日资产统计!$A:$A,资产端序时!$F168,逐日资产统计!$I:$I)-G168</f>
        <v>0</v>
      </c>
      <c r="I168" s="29">
        <f t="shared" si="73"/>
        <v>0</v>
      </c>
      <c r="J168" s="32">
        <f>SUMIF(逐日资产统计!$A:$A,资产端序时!$F168,逐日资产统计!$G:$G)</f>
        <v>0</v>
      </c>
      <c r="K168" s="40">
        <f t="shared" si="74"/>
        <v>0</v>
      </c>
      <c r="L168" s="39">
        <f t="shared" si="75"/>
        <v>0</v>
      </c>
      <c r="M168" s="37" t="e">
        <f t="shared" si="76"/>
        <v>#DIV/0!</v>
      </c>
      <c r="N168" s="38">
        <f>SUMIFS(逐日资产统计!M:M,逐日资产统计!A:A,资产端序时!F168,逐日资产统计!C:C,"人民币")</f>
        <v>0</v>
      </c>
      <c r="O168" s="38">
        <f>SUMIF(逐日资产统计!A:A,资产端序时!F168,逐日资产统计!M:M)-SUMIFS(逐日资产统计!M:M,逐日资产统计!A:A,资产端序时!F168,逐日资产统计!C:C,"人民币")</f>
        <v>0</v>
      </c>
      <c r="Q168" s="45"/>
    </row>
    <row r="169" spans="3:17" x14ac:dyDescent="0.25">
      <c r="C169">
        <f>SUM($B$2:B169)</f>
        <v>-7463.19</v>
      </c>
      <c r="F169" s="31">
        <f t="shared" si="72"/>
        <v>0</v>
      </c>
      <c r="G169" s="33">
        <f>SUMIFS(逐日资产统计!$I:$I,逐日资产统计!$A:$A,F169,逐日资产统计!$C:$C,"人民币")</f>
        <v>0</v>
      </c>
      <c r="H169" s="32">
        <f>SUMIF(逐日资产统计!$A:$A,资产端序时!$F169,逐日资产统计!$I:$I)-G169</f>
        <v>0</v>
      </c>
      <c r="I169" s="29">
        <f t="shared" si="73"/>
        <v>0</v>
      </c>
      <c r="J169" s="32">
        <f>SUMIF(逐日资产统计!$A:$A,资产端序时!$F169,逐日资产统计!$G:$G)</f>
        <v>0</v>
      </c>
      <c r="K169" s="40">
        <f t="shared" si="74"/>
        <v>0</v>
      </c>
      <c r="L169" s="39">
        <f t="shared" si="75"/>
        <v>0</v>
      </c>
      <c r="M169" s="37" t="e">
        <f t="shared" si="76"/>
        <v>#DIV/0!</v>
      </c>
      <c r="N169" s="38">
        <f>SUMIFS(逐日资产统计!M:M,逐日资产统计!A:A,资产端序时!F169,逐日资产统计!C:C,"人民币")</f>
        <v>0</v>
      </c>
      <c r="O169" s="38">
        <f>SUMIF(逐日资产统计!A:A,资产端序时!F169,逐日资产统计!M:M)-SUMIFS(逐日资产统计!M:M,逐日资产统计!A:A,资产端序时!F169,逐日资产统计!C:C,"人民币")</f>
        <v>0</v>
      </c>
      <c r="Q169" s="45"/>
    </row>
    <row r="170" spans="3:17" x14ac:dyDescent="0.25">
      <c r="C170">
        <f>SUM($B$2:B170)</f>
        <v>-7463.19</v>
      </c>
      <c r="F170" s="31">
        <f t="shared" si="72"/>
        <v>0</v>
      </c>
      <c r="G170" s="33">
        <f>SUMIFS(逐日资产统计!$I:$I,逐日资产统计!$A:$A,F170,逐日资产统计!$C:$C,"人民币")</f>
        <v>0</v>
      </c>
      <c r="H170" s="32">
        <f>SUMIF(逐日资产统计!$A:$A,资产端序时!$F170,逐日资产统计!$I:$I)-G170</f>
        <v>0</v>
      </c>
      <c r="I170" s="29">
        <f t="shared" si="73"/>
        <v>0</v>
      </c>
      <c r="J170" s="32">
        <f>SUMIF(逐日资产统计!$A:$A,资产端序时!$F170,逐日资产统计!$G:$G)</f>
        <v>0</v>
      </c>
      <c r="K170" s="40">
        <f t="shared" si="74"/>
        <v>0</v>
      </c>
      <c r="L170" s="39">
        <f t="shared" si="75"/>
        <v>0</v>
      </c>
      <c r="M170" s="37" t="e">
        <f t="shared" si="76"/>
        <v>#DIV/0!</v>
      </c>
      <c r="N170" s="38">
        <f>SUMIFS(逐日资产统计!M:M,逐日资产统计!A:A,资产端序时!F170,逐日资产统计!C:C,"人民币")</f>
        <v>0</v>
      </c>
      <c r="O170" s="38">
        <f>SUMIF(逐日资产统计!A:A,资产端序时!F170,逐日资产统计!M:M)-SUMIFS(逐日资产统计!M:M,逐日资产统计!A:A,资产端序时!F170,逐日资产统计!C:C,"人民币")</f>
        <v>0</v>
      </c>
      <c r="Q170" s="45"/>
    </row>
    <row r="171" spans="3:17" x14ac:dyDescent="0.25">
      <c r="C171">
        <f>SUM($B$2:B171)</f>
        <v>-7463.19</v>
      </c>
      <c r="F171" s="31">
        <f t="shared" si="72"/>
        <v>0</v>
      </c>
      <c r="G171" s="33">
        <f>SUMIFS(逐日资产统计!$I:$I,逐日资产统计!$A:$A,F171,逐日资产统计!$C:$C,"人民币")</f>
        <v>0</v>
      </c>
      <c r="H171" s="32">
        <f>SUMIF(逐日资产统计!$A:$A,资产端序时!$F171,逐日资产统计!$I:$I)-G171</f>
        <v>0</v>
      </c>
      <c r="I171" s="29">
        <f t="shared" si="73"/>
        <v>0</v>
      </c>
      <c r="J171" s="32">
        <f>SUMIF(逐日资产统计!$A:$A,资产端序时!$F171,逐日资产统计!$G:$G)</f>
        <v>0</v>
      </c>
      <c r="K171" s="40">
        <f t="shared" si="74"/>
        <v>0</v>
      </c>
      <c r="L171" s="39">
        <f t="shared" si="75"/>
        <v>0</v>
      </c>
      <c r="M171" s="37" t="e">
        <f t="shared" si="76"/>
        <v>#DIV/0!</v>
      </c>
      <c r="N171" s="38">
        <f>SUMIFS(逐日资产统计!M:M,逐日资产统计!A:A,资产端序时!F171,逐日资产统计!C:C,"人民币")</f>
        <v>0</v>
      </c>
      <c r="O171" s="38">
        <f>SUMIF(逐日资产统计!A:A,资产端序时!F171,逐日资产统计!M:M)-SUMIFS(逐日资产统计!M:M,逐日资产统计!A:A,资产端序时!F171,逐日资产统计!C:C,"人民币")</f>
        <v>0</v>
      </c>
      <c r="Q171" s="45"/>
    </row>
    <row r="172" spans="3:17" x14ac:dyDescent="0.25">
      <c r="C172">
        <f>SUM($B$2:B172)</f>
        <v>-7463.19</v>
      </c>
      <c r="F172" s="31">
        <f t="shared" si="72"/>
        <v>0</v>
      </c>
      <c r="G172" s="33">
        <f>SUMIFS(逐日资产统计!$I:$I,逐日资产统计!$A:$A,F172,逐日资产统计!$C:$C,"人民币")</f>
        <v>0</v>
      </c>
      <c r="H172" s="32">
        <f>SUMIF(逐日资产统计!$A:$A,资产端序时!$F172,逐日资产统计!$I:$I)-G172</f>
        <v>0</v>
      </c>
      <c r="I172" s="29">
        <f t="shared" si="73"/>
        <v>0</v>
      </c>
      <c r="J172" s="32">
        <f>SUMIF(逐日资产统计!$A:$A,资产端序时!$F172,逐日资产统计!$G:$G)</f>
        <v>0</v>
      </c>
      <c r="K172" s="40">
        <f t="shared" si="74"/>
        <v>0</v>
      </c>
      <c r="L172" s="39">
        <f t="shared" si="75"/>
        <v>0</v>
      </c>
      <c r="M172" s="37" t="e">
        <f t="shared" si="76"/>
        <v>#DIV/0!</v>
      </c>
      <c r="N172" s="38">
        <f>SUMIFS(逐日资产统计!M:M,逐日资产统计!A:A,资产端序时!F172,逐日资产统计!C:C,"人民币")</f>
        <v>0</v>
      </c>
      <c r="O172" s="38">
        <f>SUMIF(逐日资产统计!A:A,资产端序时!F172,逐日资产统计!M:M)-SUMIFS(逐日资产统计!M:M,逐日资产统计!A:A,资产端序时!F172,逐日资产统计!C:C,"人民币")</f>
        <v>0</v>
      </c>
      <c r="Q172" s="45"/>
    </row>
    <row r="173" spans="3:17" x14ac:dyDescent="0.25">
      <c r="C173">
        <f>SUM($B$2:B173)</f>
        <v>-7463.19</v>
      </c>
      <c r="F173" s="31">
        <f t="shared" si="72"/>
        <v>0</v>
      </c>
      <c r="G173" s="33">
        <f>SUMIFS(逐日资产统计!$I:$I,逐日资产统计!$A:$A,F173,逐日资产统计!$C:$C,"人民币")</f>
        <v>0</v>
      </c>
      <c r="H173" s="32">
        <f>SUMIF(逐日资产统计!$A:$A,资产端序时!$F173,逐日资产统计!$I:$I)-G173</f>
        <v>0</v>
      </c>
      <c r="I173" s="29">
        <f t="shared" si="73"/>
        <v>0</v>
      </c>
      <c r="J173" s="32">
        <f>SUMIF(逐日资产统计!$A:$A,资产端序时!$F173,逐日资产统计!$G:$G)</f>
        <v>0</v>
      </c>
      <c r="K173" s="40">
        <f t="shared" si="74"/>
        <v>0</v>
      </c>
      <c r="L173" s="39">
        <f t="shared" si="75"/>
        <v>0</v>
      </c>
      <c r="M173" s="37" t="e">
        <f t="shared" si="76"/>
        <v>#DIV/0!</v>
      </c>
      <c r="N173" s="38">
        <f>SUMIFS(逐日资产统计!M:M,逐日资产统计!A:A,资产端序时!F173,逐日资产统计!C:C,"人民币")</f>
        <v>0</v>
      </c>
      <c r="O173" s="38">
        <f>SUMIF(逐日资产统计!A:A,资产端序时!F173,逐日资产统计!M:M)-SUMIFS(逐日资产统计!M:M,逐日资产统计!A:A,资产端序时!F173,逐日资产统计!C:C,"人民币")</f>
        <v>0</v>
      </c>
      <c r="Q173" s="45"/>
    </row>
    <row r="174" spans="3:17" x14ac:dyDescent="0.25">
      <c r="C174">
        <f>SUM($B$2:B174)</f>
        <v>-7463.19</v>
      </c>
      <c r="F174" s="31">
        <f t="shared" si="72"/>
        <v>0</v>
      </c>
      <c r="G174" s="33">
        <f>SUMIFS(逐日资产统计!$I:$I,逐日资产统计!$A:$A,F174,逐日资产统计!$C:$C,"人民币")</f>
        <v>0</v>
      </c>
      <c r="H174" s="32">
        <f>SUMIF(逐日资产统计!$A:$A,资产端序时!$F174,逐日资产统计!$I:$I)-G174</f>
        <v>0</v>
      </c>
      <c r="I174" s="29">
        <f t="shared" si="73"/>
        <v>0</v>
      </c>
      <c r="J174" s="32">
        <f>SUMIF(逐日资产统计!$A:$A,资产端序时!$F174,逐日资产统计!$G:$G)</f>
        <v>0</v>
      </c>
      <c r="K174" s="40">
        <f t="shared" si="74"/>
        <v>0</v>
      </c>
      <c r="L174" s="39">
        <f t="shared" si="75"/>
        <v>0</v>
      </c>
      <c r="M174" s="37" t="e">
        <f t="shared" si="76"/>
        <v>#DIV/0!</v>
      </c>
      <c r="N174" s="38">
        <f>SUMIFS(逐日资产统计!M:M,逐日资产统计!A:A,资产端序时!F174,逐日资产统计!C:C,"人民币")</f>
        <v>0</v>
      </c>
      <c r="O174" s="38">
        <f>SUMIF(逐日资产统计!A:A,资产端序时!F174,逐日资产统计!M:M)-SUMIFS(逐日资产统计!M:M,逐日资产统计!A:A,资产端序时!F174,逐日资产统计!C:C,"人民币")</f>
        <v>0</v>
      </c>
      <c r="Q174" s="45"/>
    </row>
    <row r="175" spans="3:17" x14ac:dyDescent="0.25">
      <c r="C175">
        <f>SUM($B$2:B175)</f>
        <v>-7463.19</v>
      </c>
      <c r="F175" s="31">
        <f t="shared" si="72"/>
        <v>0</v>
      </c>
      <c r="G175" s="33">
        <f>SUMIFS(逐日资产统计!$I:$I,逐日资产统计!$A:$A,F175,逐日资产统计!$C:$C,"人民币")</f>
        <v>0</v>
      </c>
      <c r="H175" s="32">
        <f>SUMIF(逐日资产统计!$A:$A,资产端序时!$F175,逐日资产统计!$I:$I)-G175</f>
        <v>0</v>
      </c>
      <c r="I175" s="29">
        <f t="shared" si="73"/>
        <v>0</v>
      </c>
      <c r="J175" s="32">
        <f>SUMIF(逐日资产统计!$A:$A,资产端序时!$F175,逐日资产统计!$G:$G)</f>
        <v>0</v>
      </c>
      <c r="K175" s="40">
        <f t="shared" si="74"/>
        <v>0</v>
      </c>
      <c r="L175" s="39">
        <f t="shared" si="75"/>
        <v>0</v>
      </c>
      <c r="M175" s="37" t="e">
        <f t="shared" si="76"/>
        <v>#DIV/0!</v>
      </c>
      <c r="N175" s="38">
        <f>SUMIFS(逐日资产统计!M:M,逐日资产统计!A:A,资产端序时!F175,逐日资产统计!C:C,"人民币")</f>
        <v>0</v>
      </c>
      <c r="O175" s="38">
        <f>SUMIF(逐日资产统计!A:A,资产端序时!F175,逐日资产统计!M:M)-SUMIFS(逐日资产统计!M:M,逐日资产统计!A:A,资产端序时!F175,逐日资产统计!C:C,"人民币")</f>
        <v>0</v>
      </c>
      <c r="Q175" s="45"/>
    </row>
    <row r="176" spans="3:17" x14ac:dyDescent="0.25">
      <c r="C176">
        <f>SUM($B$2:B176)</f>
        <v>-7463.19</v>
      </c>
      <c r="F176" s="31">
        <f t="shared" si="72"/>
        <v>0</v>
      </c>
      <c r="G176" s="33">
        <f>SUMIFS(逐日资产统计!$I:$I,逐日资产统计!$A:$A,F176,逐日资产统计!$C:$C,"人民币")</f>
        <v>0</v>
      </c>
      <c r="H176" s="32">
        <f>SUMIF(逐日资产统计!$A:$A,资产端序时!$F176,逐日资产统计!$I:$I)-G176</f>
        <v>0</v>
      </c>
      <c r="I176" s="29">
        <f t="shared" si="73"/>
        <v>0</v>
      </c>
      <c r="J176" s="32">
        <f>SUMIF(逐日资产统计!$A:$A,资产端序时!$F176,逐日资产统计!$G:$G)</f>
        <v>0</v>
      </c>
      <c r="K176" s="40">
        <f t="shared" si="74"/>
        <v>0</v>
      </c>
      <c r="L176" s="39">
        <f t="shared" si="75"/>
        <v>0</v>
      </c>
      <c r="M176" s="37" t="e">
        <f t="shared" si="76"/>
        <v>#DIV/0!</v>
      </c>
      <c r="N176" s="38">
        <f>SUMIFS(逐日资产统计!M:M,逐日资产统计!A:A,资产端序时!F176,逐日资产统计!C:C,"人民币")</f>
        <v>0</v>
      </c>
      <c r="O176" s="38">
        <f>SUMIF(逐日资产统计!A:A,资产端序时!F176,逐日资产统计!M:M)-SUMIFS(逐日资产统计!M:M,逐日资产统计!A:A,资产端序时!F176,逐日资产统计!C:C,"人民币")</f>
        <v>0</v>
      </c>
      <c r="Q176" s="45"/>
    </row>
    <row r="177" spans="3:17" x14ac:dyDescent="0.25">
      <c r="C177">
        <f>SUM($B$2:B177)</f>
        <v>-7463.19</v>
      </c>
      <c r="F177" s="31">
        <f t="shared" si="72"/>
        <v>0</v>
      </c>
      <c r="G177" s="33">
        <f>SUMIFS(逐日资产统计!$I:$I,逐日资产统计!$A:$A,F177,逐日资产统计!$C:$C,"人民币")</f>
        <v>0</v>
      </c>
      <c r="H177" s="32">
        <f>SUMIF(逐日资产统计!$A:$A,资产端序时!$F177,逐日资产统计!$I:$I)-G177</f>
        <v>0</v>
      </c>
      <c r="I177" s="29">
        <f t="shared" si="73"/>
        <v>0</v>
      </c>
      <c r="J177" s="32">
        <f>SUMIF(逐日资产统计!$A:$A,资产端序时!$F177,逐日资产统计!$G:$G)</f>
        <v>0</v>
      </c>
      <c r="K177" s="40">
        <f t="shared" si="74"/>
        <v>0</v>
      </c>
      <c r="L177" s="39">
        <f t="shared" si="75"/>
        <v>0</v>
      </c>
      <c r="M177" s="37" t="e">
        <f t="shared" si="76"/>
        <v>#DIV/0!</v>
      </c>
      <c r="N177" s="38">
        <f>SUMIFS(逐日资产统计!M:M,逐日资产统计!A:A,资产端序时!F177,逐日资产统计!C:C,"人民币")</f>
        <v>0</v>
      </c>
      <c r="O177" s="38">
        <f>SUMIF(逐日资产统计!A:A,资产端序时!F177,逐日资产统计!M:M)-SUMIFS(逐日资产统计!M:M,逐日资产统计!A:A,资产端序时!F177,逐日资产统计!C:C,"人民币")</f>
        <v>0</v>
      </c>
      <c r="Q177" s="45"/>
    </row>
    <row r="178" spans="3:17" x14ac:dyDescent="0.25">
      <c r="C178">
        <f>SUM($B$2:B178)</f>
        <v>-7463.19</v>
      </c>
      <c r="F178" s="31">
        <f t="shared" si="72"/>
        <v>0</v>
      </c>
      <c r="G178" s="33">
        <f>SUMIFS(逐日资产统计!$I:$I,逐日资产统计!$A:$A,F178,逐日资产统计!$C:$C,"人民币")</f>
        <v>0</v>
      </c>
      <c r="H178" s="32">
        <f>SUMIF(逐日资产统计!$A:$A,资产端序时!$F178,逐日资产统计!$I:$I)-G178</f>
        <v>0</v>
      </c>
      <c r="I178" s="29">
        <f t="shared" si="73"/>
        <v>0</v>
      </c>
      <c r="J178" s="32">
        <f>SUMIF(逐日资产统计!$A:$A,资产端序时!$F178,逐日资产统计!$G:$G)</f>
        <v>0</v>
      </c>
      <c r="K178" s="40">
        <f t="shared" si="74"/>
        <v>0</v>
      </c>
      <c r="L178" s="39">
        <f t="shared" si="75"/>
        <v>0</v>
      </c>
      <c r="M178" s="37" t="e">
        <f t="shared" si="76"/>
        <v>#DIV/0!</v>
      </c>
      <c r="N178" s="38">
        <f>SUMIFS(逐日资产统计!M:M,逐日资产统计!A:A,资产端序时!F178,逐日资产统计!C:C,"人民币")</f>
        <v>0</v>
      </c>
      <c r="O178" s="38">
        <f>SUMIF(逐日资产统计!A:A,资产端序时!F178,逐日资产统计!M:M)-SUMIFS(逐日资产统计!M:M,逐日资产统计!A:A,资产端序时!F178,逐日资产统计!C:C,"人民币")</f>
        <v>0</v>
      </c>
      <c r="Q178" s="45"/>
    </row>
    <row r="179" spans="3:17" x14ac:dyDescent="0.25">
      <c r="C179">
        <f>SUM($B$2:B179)</f>
        <v>-7463.19</v>
      </c>
      <c r="F179" s="31">
        <f t="shared" si="72"/>
        <v>0</v>
      </c>
      <c r="G179" s="33">
        <f>SUMIFS(逐日资产统计!$I:$I,逐日资产统计!$A:$A,F179,逐日资产统计!$C:$C,"人民币")</f>
        <v>0</v>
      </c>
      <c r="H179" s="32">
        <f>SUMIF(逐日资产统计!$A:$A,资产端序时!$F179,逐日资产统计!$I:$I)-G179</f>
        <v>0</v>
      </c>
      <c r="I179" s="29">
        <f t="shared" si="73"/>
        <v>0</v>
      </c>
      <c r="J179" s="32">
        <f>SUMIF(逐日资产统计!$A:$A,资产端序时!$F179,逐日资产统计!$G:$G)</f>
        <v>0</v>
      </c>
      <c r="K179" s="40">
        <f t="shared" si="74"/>
        <v>0</v>
      </c>
      <c r="L179" s="39">
        <f t="shared" si="75"/>
        <v>0</v>
      </c>
      <c r="M179" s="37" t="e">
        <f t="shared" si="76"/>
        <v>#DIV/0!</v>
      </c>
      <c r="N179" s="38">
        <f>SUMIFS(逐日资产统计!M:M,逐日资产统计!A:A,资产端序时!F179,逐日资产统计!C:C,"人民币")</f>
        <v>0</v>
      </c>
      <c r="O179" s="38">
        <f>SUMIF(逐日资产统计!A:A,资产端序时!F179,逐日资产统计!M:M)-SUMIFS(逐日资产统计!M:M,逐日资产统计!A:A,资产端序时!F179,逐日资产统计!C:C,"人民币")</f>
        <v>0</v>
      </c>
      <c r="Q179" s="45"/>
    </row>
    <row r="180" spans="3:17" x14ac:dyDescent="0.25">
      <c r="C180">
        <f>SUM($B$2:B180)</f>
        <v>-7463.19</v>
      </c>
      <c r="F180" s="31">
        <f t="shared" si="72"/>
        <v>0</v>
      </c>
      <c r="G180" s="33">
        <f>SUMIFS(逐日资产统计!$I:$I,逐日资产统计!$A:$A,F180,逐日资产统计!$C:$C,"人民币")</f>
        <v>0</v>
      </c>
      <c r="H180" s="32">
        <f>SUMIF(逐日资产统计!$A:$A,资产端序时!$F180,逐日资产统计!$I:$I)-G180</f>
        <v>0</v>
      </c>
      <c r="I180" s="29">
        <f t="shared" si="73"/>
        <v>0</v>
      </c>
      <c r="J180" s="32">
        <f>SUMIF(逐日资产统计!$A:$A,资产端序时!$F180,逐日资产统计!$G:$G)</f>
        <v>0</v>
      </c>
      <c r="K180" s="40">
        <f t="shared" si="74"/>
        <v>0</v>
      </c>
      <c r="L180" s="39">
        <f t="shared" si="75"/>
        <v>0</v>
      </c>
      <c r="M180" s="37" t="e">
        <f t="shared" si="76"/>
        <v>#DIV/0!</v>
      </c>
      <c r="N180" s="38">
        <f>SUMIFS(逐日资产统计!M:M,逐日资产统计!A:A,资产端序时!F180,逐日资产统计!C:C,"人民币")</f>
        <v>0</v>
      </c>
      <c r="O180" s="38">
        <f>SUMIF(逐日资产统计!A:A,资产端序时!F180,逐日资产统计!M:M)-SUMIFS(逐日资产统计!M:M,逐日资产统计!A:A,资产端序时!F180,逐日资产统计!C:C,"人民币")</f>
        <v>0</v>
      </c>
      <c r="Q180" s="45"/>
    </row>
    <row r="181" spans="3:17" x14ac:dyDescent="0.25">
      <c r="C181">
        <f>SUM($B$2:B181)</f>
        <v>-7463.19</v>
      </c>
      <c r="F181" s="31">
        <f t="shared" si="72"/>
        <v>0</v>
      </c>
      <c r="G181" s="33">
        <f>SUMIFS(逐日资产统计!$I:$I,逐日资产统计!$A:$A,F181,逐日资产统计!$C:$C,"人民币")</f>
        <v>0</v>
      </c>
      <c r="H181" s="32">
        <f>SUMIF(逐日资产统计!$A:$A,资产端序时!$F181,逐日资产统计!$I:$I)-G181</f>
        <v>0</v>
      </c>
      <c r="I181" s="29">
        <f t="shared" si="73"/>
        <v>0</v>
      </c>
      <c r="J181" s="32">
        <f>SUMIF(逐日资产统计!$A:$A,资产端序时!$F181,逐日资产统计!$G:$G)</f>
        <v>0</v>
      </c>
      <c r="K181" s="40">
        <f t="shared" si="74"/>
        <v>0</v>
      </c>
      <c r="L181" s="39">
        <f t="shared" si="75"/>
        <v>0</v>
      </c>
      <c r="M181" s="37" t="e">
        <f t="shared" si="76"/>
        <v>#DIV/0!</v>
      </c>
      <c r="N181" s="38">
        <f>SUMIFS(逐日资产统计!M:M,逐日资产统计!A:A,资产端序时!F181,逐日资产统计!C:C,"人民币")</f>
        <v>0</v>
      </c>
      <c r="O181" s="38">
        <f>SUMIF(逐日资产统计!A:A,资产端序时!F181,逐日资产统计!M:M)-SUMIFS(逐日资产统计!M:M,逐日资产统计!A:A,资产端序时!F181,逐日资产统计!C:C,"人民币")</f>
        <v>0</v>
      </c>
      <c r="Q181" s="45"/>
    </row>
    <row r="182" spans="3:17" x14ac:dyDescent="0.25">
      <c r="C182">
        <f>SUM($B$2:B182)</f>
        <v>-7463.19</v>
      </c>
      <c r="F182" s="31">
        <f t="shared" si="72"/>
        <v>0</v>
      </c>
      <c r="G182" s="33">
        <f>SUMIFS(逐日资产统计!$I:$I,逐日资产统计!$A:$A,F182,逐日资产统计!$C:$C,"人民币")</f>
        <v>0</v>
      </c>
      <c r="H182" s="32">
        <f>SUMIF(逐日资产统计!$A:$A,资产端序时!$F182,逐日资产统计!$I:$I)-G182</f>
        <v>0</v>
      </c>
      <c r="I182" s="29">
        <f t="shared" si="73"/>
        <v>0</v>
      </c>
      <c r="J182" s="32">
        <f>SUMIF(逐日资产统计!$A:$A,资产端序时!$F182,逐日资产统计!$G:$G)</f>
        <v>0</v>
      </c>
      <c r="K182" s="40">
        <f t="shared" si="74"/>
        <v>0</v>
      </c>
      <c r="L182" s="39">
        <f t="shared" si="75"/>
        <v>0</v>
      </c>
      <c r="M182" s="37" t="e">
        <f t="shared" si="76"/>
        <v>#DIV/0!</v>
      </c>
      <c r="N182" s="38">
        <f>SUMIFS(逐日资产统计!M:M,逐日资产统计!A:A,资产端序时!F182,逐日资产统计!C:C,"人民币")</f>
        <v>0</v>
      </c>
      <c r="O182" s="38">
        <f>SUMIF(逐日资产统计!A:A,资产端序时!F182,逐日资产统计!M:M)-SUMIFS(逐日资产统计!M:M,逐日资产统计!A:A,资产端序时!F182,逐日资产统计!C:C,"人民币")</f>
        <v>0</v>
      </c>
      <c r="Q182" s="45"/>
    </row>
    <row r="183" spans="3:17" x14ac:dyDescent="0.25">
      <c r="C183">
        <f>SUM($B$2:B183)</f>
        <v>-7463.19</v>
      </c>
      <c r="F183" s="31">
        <f t="shared" si="72"/>
        <v>0</v>
      </c>
      <c r="G183" s="33">
        <f>SUMIFS(逐日资产统计!$I:$I,逐日资产统计!$A:$A,F183,逐日资产统计!$C:$C,"人民币")</f>
        <v>0</v>
      </c>
      <c r="H183" s="32">
        <f>SUMIF(逐日资产统计!$A:$A,资产端序时!$F183,逐日资产统计!$I:$I)-G183</f>
        <v>0</v>
      </c>
      <c r="I183" s="29">
        <f t="shared" si="73"/>
        <v>0</v>
      </c>
      <c r="J183" s="32">
        <f>SUMIF(逐日资产统计!$A:$A,资产端序时!$F183,逐日资产统计!$G:$G)</f>
        <v>0</v>
      </c>
      <c r="K183" s="40">
        <f t="shared" si="74"/>
        <v>0</v>
      </c>
      <c r="L183" s="39">
        <f t="shared" si="75"/>
        <v>0</v>
      </c>
      <c r="M183" s="37" t="e">
        <f t="shared" si="76"/>
        <v>#DIV/0!</v>
      </c>
      <c r="N183" s="38">
        <f>SUMIFS(逐日资产统计!M:M,逐日资产统计!A:A,资产端序时!F183,逐日资产统计!C:C,"人民币")</f>
        <v>0</v>
      </c>
      <c r="O183" s="38">
        <f>SUMIF(逐日资产统计!A:A,资产端序时!F183,逐日资产统计!M:M)-SUMIFS(逐日资产统计!M:M,逐日资产统计!A:A,资产端序时!F183,逐日资产统计!C:C,"人民币")</f>
        <v>0</v>
      </c>
      <c r="Q183" s="45"/>
    </row>
    <row r="184" spans="3:17" x14ac:dyDescent="0.25">
      <c r="C184">
        <f>SUM($B$2:B184)</f>
        <v>-7463.19</v>
      </c>
      <c r="F184" s="31">
        <f t="shared" si="72"/>
        <v>0</v>
      </c>
      <c r="G184" s="33">
        <f>SUMIFS(逐日资产统计!$I:$I,逐日资产统计!$A:$A,F184,逐日资产统计!$C:$C,"人民币")</f>
        <v>0</v>
      </c>
      <c r="H184" s="32">
        <f>SUMIF(逐日资产统计!$A:$A,资产端序时!$F184,逐日资产统计!$I:$I)-G184</f>
        <v>0</v>
      </c>
      <c r="I184" s="29">
        <f t="shared" si="73"/>
        <v>0</v>
      </c>
      <c r="J184" s="32">
        <f>SUMIF(逐日资产统计!$A:$A,资产端序时!$F184,逐日资产统计!$G:$G)</f>
        <v>0</v>
      </c>
      <c r="K184" s="40">
        <f t="shared" si="74"/>
        <v>0</v>
      </c>
      <c r="L184" s="39">
        <f t="shared" si="75"/>
        <v>0</v>
      </c>
      <c r="M184" s="37" t="e">
        <f t="shared" si="76"/>
        <v>#DIV/0!</v>
      </c>
      <c r="N184" s="38">
        <f>SUMIFS(逐日资产统计!M:M,逐日资产统计!A:A,资产端序时!F184,逐日资产统计!C:C,"人民币")</f>
        <v>0</v>
      </c>
      <c r="O184" s="38">
        <f>SUMIF(逐日资产统计!A:A,资产端序时!F184,逐日资产统计!M:M)-SUMIFS(逐日资产统计!M:M,逐日资产统计!A:A,资产端序时!F184,逐日资产统计!C:C,"人民币")</f>
        <v>0</v>
      </c>
      <c r="Q184" s="45"/>
    </row>
    <row r="185" spans="3:17" x14ac:dyDescent="0.25">
      <c r="C185">
        <f>SUM($B$2:B185)</f>
        <v>-7463.19</v>
      </c>
      <c r="F185" s="31">
        <f t="shared" si="72"/>
        <v>0</v>
      </c>
      <c r="G185" s="33">
        <f>SUMIFS(逐日资产统计!$I:$I,逐日资产统计!$A:$A,F185,逐日资产统计!$C:$C,"人民币")</f>
        <v>0</v>
      </c>
      <c r="H185" s="32">
        <f>SUMIF(逐日资产统计!$A:$A,资产端序时!$F185,逐日资产统计!$I:$I)-G185</f>
        <v>0</v>
      </c>
      <c r="I185" s="29">
        <f t="shared" si="73"/>
        <v>0</v>
      </c>
      <c r="J185" s="32">
        <f>SUMIF(逐日资产统计!$A:$A,资产端序时!$F185,逐日资产统计!$G:$G)</f>
        <v>0</v>
      </c>
      <c r="K185" s="40">
        <f t="shared" si="74"/>
        <v>0</v>
      </c>
      <c r="L185" s="39">
        <f t="shared" si="75"/>
        <v>0</v>
      </c>
      <c r="M185" s="37" t="e">
        <f t="shared" si="76"/>
        <v>#DIV/0!</v>
      </c>
      <c r="N185" s="38">
        <f>SUMIFS(逐日资产统计!M:M,逐日资产统计!A:A,资产端序时!F185,逐日资产统计!C:C,"人民币")</f>
        <v>0</v>
      </c>
      <c r="O185" s="38">
        <f>SUMIF(逐日资产统计!A:A,资产端序时!F185,逐日资产统计!M:M)-SUMIFS(逐日资产统计!M:M,逐日资产统计!A:A,资产端序时!F185,逐日资产统计!C:C,"人民币")</f>
        <v>0</v>
      </c>
      <c r="Q185" s="45"/>
    </row>
    <row r="186" spans="3:17" x14ac:dyDescent="0.25">
      <c r="C186">
        <f>SUM($B$2:B186)</f>
        <v>-7463.19</v>
      </c>
      <c r="F186" s="31">
        <f t="shared" si="72"/>
        <v>0</v>
      </c>
      <c r="G186" s="33">
        <f>SUMIFS(逐日资产统计!$I:$I,逐日资产统计!$A:$A,F186,逐日资产统计!$C:$C,"人民币")</f>
        <v>0</v>
      </c>
      <c r="H186" s="32">
        <f>SUMIF(逐日资产统计!$A:$A,资产端序时!$F186,逐日资产统计!$I:$I)-G186</f>
        <v>0</v>
      </c>
      <c r="I186" s="29">
        <f t="shared" si="73"/>
        <v>0</v>
      </c>
      <c r="J186" s="32">
        <f>SUMIF(逐日资产统计!$A:$A,资产端序时!$F186,逐日资产统计!$G:$G)</f>
        <v>0</v>
      </c>
      <c r="K186" s="40">
        <f t="shared" si="74"/>
        <v>0</v>
      </c>
      <c r="L186" s="39">
        <f t="shared" si="75"/>
        <v>0</v>
      </c>
      <c r="M186" s="37" t="e">
        <f t="shared" si="76"/>
        <v>#DIV/0!</v>
      </c>
      <c r="N186" s="38">
        <f>SUMIFS(逐日资产统计!M:M,逐日资产统计!A:A,资产端序时!F186,逐日资产统计!C:C,"人民币")</f>
        <v>0</v>
      </c>
      <c r="O186" s="38">
        <f>SUMIF(逐日资产统计!A:A,资产端序时!F186,逐日资产统计!M:M)-SUMIFS(逐日资产统计!M:M,逐日资产统计!A:A,资产端序时!F186,逐日资产统计!C:C,"人民币")</f>
        <v>0</v>
      </c>
      <c r="Q186" s="45"/>
    </row>
    <row r="187" spans="3:17" x14ac:dyDescent="0.25">
      <c r="C187">
        <f>SUM($B$2:B187)</f>
        <v>-7463.19</v>
      </c>
      <c r="F187" s="31">
        <f t="shared" si="72"/>
        <v>0</v>
      </c>
      <c r="G187" s="33">
        <f>SUMIFS(逐日资产统计!$I:$I,逐日资产统计!$A:$A,F187,逐日资产统计!$C:$C,"人民币")</f>
        <v>0</v>
      </c>
      <c r="H187" s="32">
        <f>SUMIF(逐日资产统计!$A:$A,资产端序时!$F187,逐日资产统计!$I:$I)-G187</f>
        <v>0</v>
      </c>
      <c r="I187" s="29">
        <f t="shared" si="73"/>
        <v>0</v>
      </c>
      <c r="J187" s="32">
        <f>SUMIF(逐日资产统计!$A:$A,资产端序时!$F187,逐日资产统计!$G:$G)</f>
        <v>0</v>
      </c>
      <c r="K187" s="40">
        <f t="shared" si="74"/>
        <v>0</v>
      </c>
      <c r="L187" s="39">
        <f t="shared" si="75"/>
        <v>0</v>
      </c>
      <c r="M187" s="37" t="e">
        <f t="shared" si="76"/>
        <v>#DIV/0!</v>
      </c>
      <c r="N187" s="38">
        <f>SUMIFS(逐日资产统计!M:M,逐日资产统计!A:A,资产端序时!F187,逐日资产统计!C:C,"人民币")</f>
        <v>0</v>
      </c>
      <c r="O187" s="38">
        <f>SUMIF(逐日资产统计!A:A,资产端序时!F187,逐日资产统计!M:M)-SUMIFS(逐日资产统计!M:M,逐日资产统计!A:A,资产端序时!F187,逐日资产统计!C:C,"人民币")</f>
        <v>0</v>
      </c>
      <c r="Q187" s="45"/>
    </row>
    <row r="188" spans="3:17" x14ac:dyDescent="0.25">
      <c r="C188">
        <f>SUM($B$2:B188)</f>
        <v>-7463.19</v>
      </c>
      <c r="F188" s="31">
        <f t="shared" si="72"/>
        <v>0</v>
      </c>
      <c r="G188" s="33">
        <f>SUMIFS(逐日资产统计!$I:$I,逐日资产统计!$A:$A,F188,逐日资产统计!$C:$C,"人民币")</f>
        <v>0</v>
      </c>
      <c r="H188" s="32">
        <f>SUMIF(逐日资产统计!$A:$A,资产端序时!$F188,逐日资产统计!$I:$I)-G188</f>
        <v>0</v>
      </c>
      <c r="I188" s="29">
        <f t="shared" si="73"/>
        <v>0</v>
      </c>
      <c r="J188" s="32">
        <f>SUMIF(逐日资产统计!$A:$A,资产端序时!$F188,逐日资产统计!$G:$G)</f>
        <v>0</v>
      </c>
      <c r="K188" s="40">
        <f t="shared" si="74"/>
        <v>0</v>
      </c>
      <c r="L188" s="39">
        <f t="shared" si="75"/>
        <v>0</v>
      </c>
      <c r="M188" s="37" t="e">
        <f t="shared" si="76"/>
        <v>#DIV/0!</v>
      </c>
      <c r="N188" s="38">
        <f>SUMIFS(逐日资产统计!M:M,逐日资产统计!A:A,资产端序时!F188,逐日资产统计!C:C,"人民币")</f>
        <v>0</v>
      </c>
      <c r="O188" s="38">
        <f>SUMIF(逐日资产统计!A:A,资产端序时!F188,逐日资产统计!M:M)-SUMIFS(逐日资产统计!M:M,逐日资产统计!A:A,资产端序时!F188,逐日资产统计!C:C,"人民币")</f>
        <v>0</v>
      </c>
      <c r="Q188" s="45"/>
    </row>
    <row r="189" spans="3:17" x14ac:dyDescent="0.25">
      <c r="C189">
        <f>SUM($B$2:B189)</f>
        <v>-7463.19</v>
      </c>
      <c r="F189" s="31">
        <f t="shared" si="72"/>
        <v>0</v>
      </c>
      <c r="G189" s="33">
        <f>SUMIFS(逐日资产统计!$I:$I,逐日资产统计!$A:$A,F189,逐日资产统计!$C:$C,"人民币")</f>
        <v>0</v>
      </c>
      <c r="H189" s="32">
        <f>SUMIF(逐日资产统计!$A:$A,资产端序时!$F189,逐日资产统计!$I:$I)-G189</f>
        <v>0</v>
      </c>
      <c r="I189" s="29">
        <f t="shared" si="73"/>
        <v>0</v>
      </c>
      <c r="J189" s="32">
        <f>SUMIF(逐日资产统计!$A:$A,资产端序时!$F189,逐日资产统计!$G:$G)</f>
        <v>0</v>
      </c>
      <c r="K189" s="40">
        <f t="shared" si="74"/>
        <v>0</v>
      </c>
      <c r="L189" s="39">
        <f t="shared" si="75"/>
        <v>0</v>
      </c>
      <c r="M189" s="37" t="e">
        <f t="shared" si="76"/>
        <v>#DIV/0!</v>
      </c>
      <c r="N189" s="38">
        <f>SUMIFS(逐日资产统计!M:M,逐日资产统计!A:A,资产端序时!F189,逐日资产统计!C:C,"人民币")</f>
        <v>0</v>
      </c>
      <c r="O189" s="38">
        <f>SUMIF(逐日资产统计!A:A,资产端序时!F189,逐日资产统计!M:M)-SUMIFS(逐日资产统计!M:M,逐日资产统计!A:A,资产端序时!F189,逐日资产统计!C:C,"人民币")</f>
        <v>0</v>
      </c>
      <c r="Q189" s="45"/>
    </row>
    <row r="190" spans="3:17" x14ac:dyDescent="0.25">
      <c r="C190">
        <f>SUM($B$2:B190)</f>
        <v>-7463.19</v>
      </c>
      <c r="F190" s="31">
        <f t="shared" si="72"/>
        <v>0</v>
      </c>
      <c r="G190" s="33">
        <f>SUMIFS(逐日资产统计!$I:$I,逐日资产统计!$A:$A,F190,逐日资产统计!$C:$C,"人民币")</f>
        <v>0</v>
      </c>
      <c r="H190" s="32">
        <f>SUMIF(逐日资产统计!$A:$A,资产端序时!$F190,逐日资产统计!$I:$I)-G190</f>
        <v>0</v>
      </c>
      <c r="I190" s="29">
        <f t="shared" si="73"/>
        <v>0</v>
      </c>
      <c r="J190" s="32">
        <f>SUMIF(逐日资产统计!$A:$A,资产端序时!$F190,逐日资产统计!$G:$G)</f>
        <v>0</v>
      </c>
      <c r="K190" s="40">
        <f t="shared" si="74"/>
        <v>0</v>
      </c>
      <c r="L190" s="39">
        <f t="shared" si="75"/>
        <v>0</v>
      </c>
      <c r="M190" s="37" t="e">
        <f t="shared" si="76"/>
        <v>#DIV/0!</v>
      </c>
      <c r="N190" s="38">
        <f>SUMIFS(逐日资产统计!M:M,逐日资产统计!A:A,资产端序时!F190,逐日资产统计!C:C,"人民币")</f>
        <v>0</v>
      </c>
      <c r="O190" s="38">
        <f>SUMIF(逐日资产统计!A:A,资产端序时!F190,逐日资产统计!M:M)-SUMIFS(逐日资产统计!M:M,逐日资产统计!A:A,资产端序时!F190,逐日资产统计!C:C,"人民币")</f>
        <v>0</v>
      </c>
      <c r="Q190" s="45"/>
    </row>
    <row r="191" spans="3:17" x14ac:dyDescent="0.25">
      <c r="C191">
        <f>SUM($B$2:B191)</f>
        <v>-7463.19</v>
      </c>
      <c r="F191" s="31">
        <f t="shared" si="72"/>
        <v>0</v>
      </c>
      <c r="G191" s="33">
        <f>SUMIFS(逐日资产统计!$I:$I,逐日资产统计!$A:$A,F191,逐日资产统计!$C:$C,"人民币")</f>
        <v>0</v>
      </c>
      <c r="H191" s="32">
        <f>SUMIF(逐日资产统计!$A:$A,资产端序时!$F191,逐日资产统计!$I:$I)-G191</f>
        <v>0</v>
      </c>
      <c r="I191" s="29">
        <f t="shared" si="73"/>
        <v>0</v>
      </c>
      <c r="J191" s="32">
        <f>SUMIF(逐日资产统计!$A:$A,资产端序时!$F191,逐日资产统计!$G:$G)</f>
        <v>0</v>
      </c>
      <c r="K191" s="40">
        <f t="shared" si="74"/>
        <v>0</v>
      </c>
      <c r="L191" s="39">
        <f t="shared" si="75"/>
        <v>0</v>
      </c>
      <c r="M191" s="37" t="e">
        <f t="shared" si="76"/>
        <v>#DIV/0!</v>
      </c>
      <c r="N191" s="38">
        <f>SUMIFS(逐日资产统计!M:M,逐日资产统计!A:A,资产端序时!F191,逐日资产统计!C:C,"人民币")</f>
        <v>0</v>
      </c>
      <c r="O191" s="38">
        <f>SUMIF(逐日资产统计!A:A,资产端序时!F191,逐日资产统计!M:M)-SUMIFS(逐日资产统计!M:M,逐日资产统计!A:A,资产端序时!F191,逐日资产统计!C:C,"人民币")</f>
        <v>0</v>
      </c>
      <c r="Q191" s="45"/>
    </row>
    <row r="192" spans="3:17" x14ac:dyDescent="0.25">
      <c r="C192">
        <f>SUM($B$2:B192)</f>
        <v>-7463.19</v>
      </c>
      <c r="F192" s="31">
        <f t="shared" si="72"/>
        <v>0</v>
      </c>
      <c r="G192" s="33">
        <f>SUMIFS(逐日资产统计!$I:$I,逐日资产统计!$A:$A,F192,逐日资产统计!$C:$C,"人民币")</f>
        <v>0</v>
      </c>
      <c r="H192" s="32">
        <f>SUMIF(逐日资产统计!$A:$A,资产端序时!$F192,逐日资产统计!$I:$I)-G192</f>
        <v>0</v>
      </c>
      <c r="I192" s="29">
        <f t="shared" si="73"/>
        <v>0</v>
      </c>
      <c r="J192" s="32">
        <f>SUMIF(逐日资产统计!$A:$A,资产端序时!$F192,逐日资产统计!$G:$G)</f>
        <v>0</v>
      </c>
      <c r="K192" s="40">
        <f t="shared" si="74"/>
        <v>0</v>
      </c>
      <c r="L192" s="39">
        <f t="shared" si="75"/>
        <v>0</v>
      </c>
      <c r="M192" s="37" t="e">
        <f t="shared" si="76"/>
        <v>#DIV/0!</v>
      </c>
      <c r="N192" s="38">
        <f>SUMIFS(逐日资产统计!M:M,逐日资产统计!A:A,资产端序时!F192,逐日资产统计!C:C,"人民币")</f>
        <v>0</v>
      </c>
      <c r="O192" s="38">
        <f>SUMIF(逐日资产统计!A:A,资产端序时!F192,逐日资产统计!M:M)-SUMIFS(逐日资产统计!M:M,逐日资产统计!A:A,资产端序时!F192,逐日资产统计!C:C,"人民币")</f>
        <v>0</v>
      </c>
      <c r="Q192" s="45"/>
    </row>
    <row r="193" spans="3:17" x14ac:dyDescent="0.25">
      <c r="C193">
        <f>SUM($B$2:B193)</f>
        <v>-7463.19</v>
      </c>
      <c r="F193" s="31">
        <f t="shared" si="72"/>
        <v>0</v>
      </c>
      <c r="G193" s="33">
        <f>SUMIFS(逐日资产统计!$I:$I,逐日资产统计!$A:$A,F193,逐日资产统计!$C:$C,"人民币")</f>
        <v>0</v>
      </c>
      <c r="H193" s="32">
        <f>SUMIF(逐日资产统计!$A:$A,资产端序时!$F193,逐日资产统计!$I:$I)-G193</f>
        <v>0</v>
      </c>
      <c r="I193" s="29">
        <f t="shared" si="73"/>
        <v>0</v>
      </c>
      <c r="J193" s="32">
        <f>SUMIF(逐日资产统计!$A:$A,资产端序时!$F193,逐日资产统计!$G:$G)</f>
        <v>0</v>
      </c>
      <c r="K193" s="40">
        <f t="shared" si="74"/>
        <v>0</v>
      </c>
      <c r="L193" s="39">
        <f t="shared" si="75"/>
        <v>0</v>
      </c>
      <c r="M193" s="37" t="e">
        <f t="shared" si="76"/>
        <v>#DIV/0!</v>
      </c>
      <c r="N193" s="38">
        <f>SUMIFS(逐日资产统计!M:M,逐日资产统计!A:A,资产端序时!F193,逐日资产统计!C:C,"人民币")</f>
        <v>0</v>
      </c>
      <c r="O193" s="38">
        <f>SUMIF(逐日资产统计!A:A,资产端序时!F193,逐日资产统计!M:M)-SUMIFS(逐日资产统计!M:M,逐日资产统计!A:A,资产端序时!F193,逐日资产统计!C:C,"人民币")</f>
        <v>0</v>
      </c>
      <c r="Q193" s="45"/>
    </row>
    <row r="194" spans="3:17" x14ac:dyDescent="0.25">
      <c r="C194">
        <f>SUM($B$2:B194)</f>
        <v>-7463.19</v>
      </c>
      <c r="F194" s="31">
        <f t="shared" si="72"/>
        <v>0</v>
      </c>
      <c r="G194" s="33">
        <f>SUMIFS(逐日资产统计!$I:$I,逐日资产统计!$A:$A,F194,逐日资产统计!$C:$C,"人民币")</f>
        <v>0</v>
      </c>
      <c r="H194" s="32">
        <f>SUMIF(逐日资产统计!$A:$A,资产端序时!$F194,逐日资产统计!$I:$I)-G194</f>
        <v>0</v>
      </c>
      <c r="I194" s="29">
        <f t="shared" si="73"/>
        <v>0</v>
      </c>
      <c r="J194" s="32">
        <f>SUMIF(逐日资产统计!$A:$A,资产端序时!$F194,逐日资产统计!$G:$G)</f>
        <v>0</v>
      </c>
      <c r="K194" s="40">
        <f t="shared" si="74"/>
        <v>0</v>
      </c>
      <c r="L194" s="39">
        <f t="shared" si="75"/>
        <v>0</v>
      </c>
      <c r="M194" s="37" t="e">
        <f t="shared" si="76"/>
        <v>#DIV/0!</v>
      </c>
      <c r="N194" s="38">
        <f>SUMIFS(逐日资产统计!M:M,逐日资产统计!A:A,资产端序时!F194,逐日资产统计!C:C,"人民币")</f>
        <v>0</v>
      </c>
      <c r="O194" s="38">
        <f>SUMIF(逐日资产统计!A:A,资产端序时!F194,逐日资产统计!M:M)-SUMIFS(逐日资产统计!M:M,逐日资产统计!A:A,资产端序时!F194,逐日资产统计!C:C,"人民币")</f>
        <v>0</v>
      </c>
      <c r="Q194" s="45"/>
    </row>
    <row r="195" spans="3:17" x14ac:dyDescent="0.25">
      <c r="C195">
        <f>SUM($B$2:B195)</f>
        <v>-7463.19</v>
      </c>
      <c r="F195" s="31">
        <f t="shared" si="72"/>
        <v>0</v>
      </c>
      <c r="G195" s="33">
        <f>SUMIFS(逐日资产统计!$I:$I,逐日资产统计!$A:$A,F195,逐日资产统计!$C:$C,"人民币")</f>
        <v>0</v>
      </c>
      <c r="H195" s="32">
        <f>SUMIF(逐日资产统计!$A:$A,资产端序时!$F195,逐日资产统计!$I:$I)-G195</f>
        <v>0</v>
      </c>
      <c r="I195" s="29">
        <f t="shared" si="73"/>
        <v>0</v>
      </c>
      <c r="J195" s="32">
        <f>SUMIF(逐日资产统计!$A:$A,资产端序时!$F195,逐日资产统计!$G:$G)</f>
        <v>0</v>
      </c>
      <c r="K195" s="40">
        <f t="shared" si="74"/>
        <v>0</v>
      </c>
      <c r="L195" s="39">
        <f t="shared" si="75"/>
        <v>0</v>
      </c>
      <c r="M195" s="37" t="e">
        <f t="shared" si="76"/>
        <v>#DIV/0!</v>
      </c>
      <c r="N195" s="38">
        <f>SUMIFS(逐日资产统计!M:M,逐日资产统计!A:A,资产端序时!F195,逐日资产统计!C:C,"人民币")</f>
        <v>0</v>
      </c>
      <c r="O195" s="38">
        <f>SUMIF(逐日资产统计!A:A,资产端序时!F195,逐日资产统计!M:M)-SUMIFS(逐日资产统计!M:M,逐日资产统计!A:A,资产端序时!F195,逐日资产统计!C:C,"人民币")</f>
        <v>0</v>
      </c>
      <c r="Q195" s="45"/>
    </row>
    <row r="196" spans="3:17" x14ac:dyDescent="0.25">
      <c r="C196">
        <f>SUM($B$2:B196)</f>
        <v>-7463.19</v>
      </c>
      <c r="F196" s="31">
        <f t="shared" si="72"/>
        <v>0</v>
      </c>
      <c r="G196" s="33">
        <f>SUMIFS(逐日资产统计!$I:$I,逐日资产统计!$A:$A,F196,逐日资产统计!$C:$C,"人民币")</f>
        <v>0</v>
      </c>
      <c r="H196" s="32">
        <f>SUMIF(逐日资产统计!$A:$A,资产端序时!$F196,逐日资产统计!$I:$I)-G196</f>
        <v>0</v>
      </c>
      <c r="I196" s="29">
        <f t="shared" si="73"/>
        <v>0</v>
      </c>
      <c r="J196" s="32">
        <f>SUMIF(逐日资产统计!$A:$A,资产端序时!$F196,逐日资产统计!$G:$G)</f>
        <v>0</v>
      </c>
      <c r="K196" s="40">
        <f t="shared" si="74"/>
        <v>0</v>
      </c>
      <c r="L196" s="39">
        <f t="shared" si="75"/>
        <v>0</v>
      </c>
      <c r="M196" s="37" t="e">
        <f t="shared" si="76"/>
        <v>#DIV/0!</v>
      </c>
      <c r="N196" s="38">
        <f>SUMIFS(逐日资产统计!M:M,逐日资产统计!A:A,资产端序时!F196,逐日资产统计!C:C,"人民币")</f>
        <v>0</v>
      </c>
      <c r="O196" s="38">
        <f>SUMIF(逐日资产统计!A:A,资产端序时!F196,逐日资产统计!M:M)-SUMIFS(逐日资产统计!M:M,逐日资产统计!A:A,资产端序时!F196,逐日资产统计!C:C,"人民币")</f>
        <v>0</v>
      </c>
      <c r="Q196" s="45"/>
    </row>
    <row r="197" spans="3:17" x14ac:dyDescent="0.25">
      <c r="C197">
        <f>SUM($B$2:B197)</f>
        <v>-7463.19</v>
      </c>
      <c r="F197" s="31">
        <f t="shared" si="72"/>
        <v>0</v>
      </c>
      <c r="G197" s="33">
        <f>SUMIFS(逐日资产统计!$I:$I,逐日资产统计!$A:$A,F197,逐日资产统计!$C:$C,"人民币")</f>
        <v>0</v>
      </c>
      <c r="H197" s="32">
        <f>SUMIF(逐日资产统计!$A:$A,资产端序时!$F197,逐日资产统计!$I:$I)-G197</f>
        <v>0</v>
      </c>
      <c r="I197" s="29">
        <f t="shared" si="73"/>
        <v>0</v>
      </c>
      <c r="J197" s="32">
        <f>SUMIF(逐日资产统计!$A:$A,资产端序时!$F197,逐日资产统计!$G:$G)</f>
        <v>0</v>
      </c>
      <c r="K197" s="40">
        <f t="shared" si="74"/>
        <v>0</v>
      </c>
      <c r="L197" s="39">
        <f t="shared" si="75"/>
        <v>0</v>
      </c>
      <c r="M197" s="37" t="e">
        <f t="shared" si="76"/>
        <v>#DIV/0!</v>
      </c>
      <c r="N197" s="38">
        <f>SUMIFS(逐日资产统计!M:M,逐日资产统计!A:A,资产端序时!F197,逐日资产统计!C:C,"人民币")</f>
        <v>0</v>
      </c>
      <c r="O197" s="38">
        <f>SUMIF(逐日资产统计!A:A,资产端序时!F197,逐日资产统计!M:M)-SUMIFS(逐日资产统计!M:M,逐日资产统计!A:A,资产端序时!F197,逐日资产统计!C:C,"人民币")</f>
        <v>0</v>
      </c>
      <c r="Q197" s="45"/>
    </row>
    <row r="198" spans="3:17" x14ac:dyDescent="0.25">
      <c r="C198">
        <f>SUM($B$2:B198)</f>
        <v>-7463.19</v>
      </c>
      <c r="F198" s="31">
        <f t="shared" ref="F198:F228" si="77">A198</f>
        <v>0</v>
      </c>
      <c r="G198" s="33">
        <f>SUMIFS(逐日资产统计!$I:$I,逐日资产统计!$A:$A,F198,逐日资产统计!$C:$C,"人民币")</f>
        <v>0</v>
      </c>
      <c r="H198" s="32">
        <f>SUMIF(逐日资产统计!$A:$A,资产端序时!$F198,逐日资产统计!$I:$I)-G198</f>
        <v>0</v>
      </c>
      <c r="I198" s="29">
        <f t="shared" ref="I198:I228" si="78">G198+H198</f>
        <v>0</v>
      </c>
      <c r="J198" s="32">
        <f>SUMIF(逐日资产统计!$A:$A,资产端序时!$F198,逐日资产统计!$G:$G)</f>
        <v>0</v>
      </c>
      <c r="K198" s="40">
        <f t="shared" ref="K198:K228" si="79">I198-J198</f>
        <v>0</v>
      </c>
      <c r="L198" s="39">
        <f t="shared" ref="L198:L228" si="80">K198-K197</f>
        <v>0</v>
      </c>
      <c r="M198" s="37" t="e">
        <f t="shared" ref="M198:M228" si="81">J198/K198</f>
        <v>#DIV/0!</v>
      </c>
      <c r="N198" s="38">
        <f>SUMIFS(逐日资产统计!M:M,逐日资产统计!A:A,资产端序时!F198,逐日资产统计!C:C,"人民币")</f>
        <v>0</v>
      </c>
      <c r="O198" s="38">
        <f>SUMIF(逐日资产统计!A:A,资产端序时!F198,逐日资产统计!M:M)-SUMIFS(逐日资产统计!M:M,逐日资产统计!A:A,资产端序时!F198,逐日资产统计!C:C,"人民币")</f>
        <v>0</v>
      </c>
      <c r="Q198" s="45"/>
    </row>
    <row r="199" spans="3:17" x14ac:dyDescent="0.25">
      <c r="C199">
        <f>SUM($B$2:B199)</f>
        <v>-7463.19</v>
      </c>
      <c r="F199" s="31">
        <f t="shared" si="77"/>
        <v>0</v>
      </c>
      <c r="G199" s="33">
        <f>SUMIFS(逐日资产统计!$I:$I,逐日资产统计!$A:$A,F199,逐日资产统计!$C:$C,"人民币")</f>
        <v>0</v>
      </c>
      <c r="H199" s="32">
        <f>SUMIF(逐日资产统计!$A:$A,资产端序时!$F199,逐日资产统计!$I:$I)-G199</f>
        <v>0</v>
      </c>
      <c r="I199" s="29">
        <f t="shared" si="78"/>
        <v>0</v>
      </c>
      <c r="J199" s="32">
        <f>SUMIF(逐日资产统计!$A:$A,资产端序时!$F199,逐日资产统计!$G:$G)</f>
        <v>0</v>
      </c>
      <c r="K199" s="40">
        <f t="shared" si="79"/>
        <v>0</v>
      </c>
      <c r="L199" s="39">
        <f t="shared" si="80"/>
        <v>0</v>
      </c>
      <c r="M199" s="37" t="e">
        <f t="shared" si="81"/>
        <v>#DIV/0!</v>
      </c>
      <c r="N199" s="38">
        <f>SUMIFS(逐日资产统计!M:M,逐日资产统计!A:A,资产端序时!F199,逐日资产统计!C:C,"人民币")</f>
        <v>0</v>
      </c>
      <c r="O199" s="38">
        <f>SUMIF(逐日资产统计!A:A,资产端序时!F199,逐日资产统计!M:M)-SUMIFS(逐日资产统计!M:M,逐日资产统计!A:A,资产端序时!F199,逐日资产统计!C:C,"人民币")</f>
        <v>0</v>
      </c>
      <c r="Q199" s="45"/>
    </row>
    <row r="200" spans="3:17" x14ac:dyDescent="0.25">
      <c r="C200">
        <f>SUM($B$2:B200)</f>
        <v>-7463.19</v>
      </c>
      <c r="F200" s="31">
        <f t="shared" si="77"/>
        <v>0</v>
      </c>
      <c r="G200" s="33">
        <f>SUMIFS(逐日资产统计!$I:$I,逐日资产统计!$A:$A,F200,逐日资产统计!$C:$C,"人民币")</f>
        <v>0</v>
      </c>
      <c r="H200" s="32">
        <f>SUMIF(逐日资产统计!$A:$A,资产端序时!$F200,逐日资产统计!$I:$I)-G200</f>
        <v>0</v>
      </c>
      <c r="I200" s="29">
        <f t="shared" si="78"/>
        <v>0</v>
      </c>
      <c r="J200" s="32">
        <f>SUMIF(逐日资产统计!$A:$A,资产端序时!$F200,逐日资产统计!$G:$G)</f>
        <v>0</v>
      </c>
      <c r="K200" s="40">
        <f t="shared" si="79"/>
        <v>0</v>
      </c>
      <c r="L200" s="39">
        <f t="shared" si="80"/>
        <v>0</v>
      </c>
      <c r="M200" s="37" t="e">
        <f t="shared" si="81"/>
        <v>#DIV/0!</v>
      </c>
      <c r="N200" s="38">
        <f>SUMIFS(逐日资产统计!M:M,逐日资产统计!A:A,资产端序时!F200,逐日资产统计!C:C,"人民币")</f>
        <v>0</v>
      </c>
      <c r="O200" s="38">
        <f>SUMIF(逐日资产统计!A:A,资产端序时!F200,逐日资产统计!M:M)-SUMIFS(逐日资产统计!M:M,逐日资产统计!A:A,资产端序时!F200,逐日资产统计!C:C,"人民币")</f>
        <v>0</v>
      </c>
      <c r="Q200" s="45"/>
    </row>
    <row r="201" spans="3:17" x14ac:dyDescent="0.25">
      <c r="C201">
        <f>SUM($B$2:B201)</f>
        <v>-7463.19</v>
      </c>
      <c r="F201" s="31">
        <f t="shared" si="77"/>
        <v>0</v>
      </c>
      <c r="G201" s="33">
        <f>SUMIFS(逐日资产统计!$I:$I,逐日资产统计!$A:$A,F201,逐日资产统计!$C:$C,"人民币")</f>
        <v>0</v>
      </c>
      <c r="H201" s="32">
        <f>SUMIF(逐日资产统计!$A:$A,资产端序时!$F201,逐日资产统计!$I:$I)-G201</f>
        <v>0</v>
      </c>
      <c r="I201" s="29">
        <f t="shared" si="78"/>
        <v>0</v>
      </c>
      <c r="J201" s="32">
        <f>SUMIF(逐日资产统计!$A:$A,资产端序时!$F201,逐日资产统计!$G:$G)</f>
        <v>0</v>
      </c>
      <c r="K201" s="40">
        <f t="shared" si="79"/>
        <v>0</v>
      </c>
      <c r="L201" s="39">
        <f t="shared" si="80"/>
        <v>0</v>
      </c>
      <c r="M201" s="37" t="e">
        <f t="shared" si="81"/>
        <v>#DIV/0!</v>
      </c>
      <c r="N201" s="38">
        <f>SUMIFS(逐日资产统计!M:M,逐日资产统计!A:A,资产端序时!F201,逐日资产统计!C:C,"人民币")</f>
        <v>0</v>
      </c>
      <c r="O201" s="38">
        <f>SUMIF(逐日资产统计!A:A,资产端序时!F201,逐日资产统计!M:M)-SUMIFS(逐日资产统计!M:M,逐日资产统计!A:A,资产端序时!F201,逐日资产统计!C:C,"人民币")</f>
        <v>0</v>
      </c>
      <c r="Q201" s="45"/>
    </row>
    <row r="202" spans="3:17" x14ac:dyDescent="0.25">
      <c r="C202">
        <f>SUM($B$2:B202)</f>
        <v>-7463.19</v>
      </c>
      <c r="F202" s="31">
        <f t="shared" si="77"/>
        <v>0</v>
      </c>
      <c r="G202" s="33">
        <f>SUMIFS(逐日资产统计!$I:$I,逐日资产统计!$A:$A,F202,逐日资产统计!$C:$C,"人民币")</f>
        <v>0</v>
      </c>
      <c r="H202" s="32">
        <f>SUMIF(逐日资产统计!$A:$A,资产端序时!$F202,逐日资产统计!$I:$I)-G202</f>
        <v>0</v>
      </c>
      <c r="I202" s="29">
        <f t="shared" si="78"/>
        <v>0</v>
      </c>
      <c r="J202" s="32">
        <f>SUMIF(逐日资产统计!$A:$A,资产端序时!$F202,逐日资产统计!$G:$G)</f>
        <v>0</v>
      </c>
      <c r="K202" s="40">
        <f t="shared" si="79"/>
        <v>0</v>
      </c>
      <c r="L202" s="39">
        <f t="shared" si="80"/>
        <v>0</v>
      </c>
      <c r="M202" s="37" t="e">
        <f t="shared" si="81"/>
        <v>#DIV/0!</v>
      </c>
      <c r="N202" s="38">
        <f>SUMIFS(逐日资产统计!M:M,逐日资产统计!A:A,资产端序时!F202,逐日资产统计!C:C,"人民币")</f>
        <v>0</v>
      </c>
      <c r="O202" s="38">
        <f>SUMIF(逐日资产统计!A:A,资产端序时!F202,逐日资产统计!M:M)-SUMIFS(逐日资产统计!M:M,逐日资产统计!A:A,资产端序时!F202,逐日资产统计!C:C,"人民币")</f>
        <v>0</v>
      </c>
      <c r="Q202" s="45"/>
    </row>
    <row r="203" spans="3:17" x14ac:dyDescent="0.25">
      <c r="C203">
        <f>SUM($B$2:B203)</f>
        <v>-7463.19</v>
      </c>
      <c r="F203" s="31">
        <f t="shared" si="77"/>
        <v>0</v>
      </c>
      <c r="G203" s="33">
        <f>SUMIFS(逐日资产统计!$I:$I,逐日资产统计!$A:$A,F203,逐日资产统计!$C:$C,"人民币")</f>
        <v>0</v>
      </c>
      <c r="H203" s="32">
        <f>SUMIF(逐日资产统计!$A:$A,资产端序时!$F203,逐日资产统计!$I:$I)-G203</f>
        <v>0</v>
      </c>
      <c r="I203" s="29">
        <f t="shared" si="78"/>
        <v>0</v>
      </c>
      <c r="J203" s="32">
        <f>SUMIF(逐日资产统计!$A:$A,资产端序时!$F203,逐日资产统计!$G:$G)</f>
        <v>0</v>
      </c>
      <c r="K203" s="40">
        <f t="shared" si="79"/>
        <v>0</v>
      </c>
      <c r="L203" s="39">
        <f t="shared" si="80"/>
        <v>0</v>
      </c>
      <c r="M203" s="37" t="e">
        <f t="shared" si="81"/>
        <v>#DIV/0!</v>
      </c>
      <c r="N203" s="38">
        <f>SUMIFS(逐日资产统计!M:M,逐日资产统计!A:A,资产端序时!F203,逐日资产统计!C:C,"人民币")</f>
        <v>0</v>
      </c>
      <c r="O203" s="38">
        <f>SUMIF(逐日资产统计!A:A,资产端序时!F203,逐日资产统计!M:M)-SUMIFS(逐日资产统计!M:M,逐日资产统计!A:A,资产端序时!F203,逐日资产统计!C:C,"人民币")</f>
        <v>0</v>
      </c>
      <c r="Q203" s="45"/>
    </row>
    <row r="204" spans="3:17" x14ac:dyDescent="0.25">
      <c r="C204">
        <f>SUM($B$2:B204)</f>
        <v>-7463.19</v>
      </c>
      <c r="F204" s="31">
        <f t="shared" si="77"/>
        <v>0</v>
      </c>
      <c r="G204" s="33">
        <f>SUMIFS(逐日资产统计!$I:$I,逐日资产统计!$A:$A,F204,逐日资产统计!$C:$C,"人民币")</f>
        <v>0</v>
      </c>
      <c r="H204" s="32">
        <f>SUMIF(逐日资产统计!$A:$A,资产端序时!$F204,逐日资产统计!$I:$I)-G204</f>
        <v>0</v>
      </c>
      <c r="I204" s="29">
        <f t="shared" si="78"/>
        <v>0</v>
      </c>
      <c r="J204" s="32">
        <f>SUMIF(逐日资产统计!$A:$A,资产端序时!$F204,逐日资产统计!$G:$G)</f>
        <v>0</v>
      </c>
      <c r="K204" s="40">
        <f t="shared" si="79"/>
        <v>0</v>
      </c>
      <c r="L204" s="39">
        <f t="shared" si="80"/>
        <v>0</v>
      </c>
      <c r="M204" s="37" t="e">
        <f t="shared" si="81"/>
        <v>#DIV/0!</v>
      </c>
      <c r="N204" s="38">
        <f>SUMIFS(逐日资产统计!M:M,逐日资产统计!A:A,资产端序时!F204,逐日资产统计!C:C,"人民币")</f>
        <v>0</v>
      </c>
      <c r="O204" s="38">
        <f>SUMIF(逐日资产统计!A:A,资产端序时!F204,逐日资产统计!M:M)-SUMIFS(逐日资产统计!M:M,逐日资产统计!A:A,资产端序时!F204,逐日资产统计!C:C,"人民币")</f>
        <v>0</v>
      </c>
      <c r="Q204" s="45"/>
    </row>
    <row r="205" spans="3:17" x14ac:dyDescent="0.25">
      <c r="C205">
        <f>SUM($B$2:B205)</f>
        <v>-7463.19</v>
      </c>
      <c r="F205" s="31">
        <f t="shared" si="77"/>
        <v>0</v>
      </c>
      <c r="G205" s="33">
        <f>SUMIFS(逐日资产统计!$I:$I,逐日资产统计!$A:$A,F205,逐日资产统计!$C:$C,"人民币")</f>
        <v>0</v>
      </c>
      <c r="H205" s="32">
        <f>SUMIF(逐日资产统计!$A:$A,资产端序时!$F205,逐日资产统计!$I:$I)-G205</f>
        <v>0</v>
      </c>
      <c r="I205" s="29">
        <f t="shared" si="78"/>
        <v>0</v>
      </c>
      <c r="J205" s="32">
        <f>SUMIF(逐日资产统计!$A:$A,资产端序时!$F205,逐日资产统计!$G:$G)</f>
        <v>0</v>
      </c>
      <c r="K205" s="40">
        <f t="shared" si="79"/>
        <v>0</v>
      </c>
      <c r="L205" s="39">
        <f t="shared" si="80"/>
        <v>0</v>
      </c>
      <c r="M205" s="37" t="e">
        <f t="shared" si="81"/>
        <v>#DIV/0!</v>
      </c>
      <c r="N205" s="38">
        <f>SUMIFS(逐日资产统计!M:M,逐日资产统计!A:A,资产端序时!F205,逐日资产统计!C:C,"人民币")</f>
        <v>0</v>
      </c>
      <c r="O205" s="38">
        <f>SUMIF(逐日资产统计!A:A,资产端序时!F205,逐日资产统计!M:M)-SUMIFS(逐日资产统计!M:M,逐日资产统计!A:A,资产端序时!F205,逐日资产统计!C:C,"人民币")</f>
        <v>0</v>
      </c>
      <c r="Q205" s="45"/>
    </row>
    <row r="206" spans="3:17" x14ac:dyDescent="0.25">
      <c r="C206">
        <f>SUM($B$2:B206)</f>
        <v>-7463.19</v>
      </c>
      <c r="F206" s="31">
        <f t="shared" si="77"/>
        <v>0</v>
      </c>
      <c r="G206" s="33">
        <f>SUMIFS(逐日资产统计!$I:$I,逐日资产统计!$A:$A,F206,逐日资产统计!$C:$C,"人民币")</f>
        <v>0</v>
      </c>
      <c r="H206" s="32">
        <f>SUMIF(逐日资产统计!$A:$A,资产端序时!$F206,逐日资产统计!$I:$I)-G206</f>
        <v>0</v>
      </c>
      <c r="I206" s="29">
        <f t="shared" si="78"/>
        <v>0</v>
      </c>
      <c r="J206" s="32">
        <f>SUMIF(逐日资产统计!$A:$A,资产端序时!$F206,逐日资产统计!$G:$G)</f>
        <v>0</v>
      </c>
      <c r="K206" s="40">
        <f t="shared" si="79"/>
        <v>0</v>
      </c>
      <c r="L206" s="39">
        <f t="shared" si="80"/>
        <v>0</v>
      </c>
      <c r="M206" s="37" t="e">
        <f t="shared" si="81"/>
        <v>#DIV/0!</v>
      </c>
      <c r="N206" s="38">
        <f>SUMIFS(逐日资产统计!M:M,逐日资产统计!A:A,资产端序时!F206,逐日资产统计!C:C,"人民币")</f>
        <v>0</v>
      </c>
      <c r="O206" s="38">
        <f>SUMIF(逐日资产统计!A:A,资产端序时!F206,逐日资产统计!M:M)-SUMIFS(逐日资产统计!M:M,逐日资产统计!A:A,资产端序时!F206,逐日资产统计!C:C,"人民币")</f>
        <v>0</v>
      </c>
      <c r="Q206" s="45"/>
    </row>
    <row r="207" spans="3:17" x14ac:dyDescent="0.25">
      <c r="C207">
        <f>SUM($B$2:B207)</f>
        <v>-7463.19</v>
      </c>
      <c r="F207" s="31">
        <f t="shared" si="77"/>
        <v>0</v>
      </c>
      <c r="G207" s="33">
        <f>SUMIFS(逐日资产统计!$I:$I,逐日资产统计!$A:$A,F207,逐日资产统计!$C:$C,"人民币")</f>
        <v>0</v>
      </c>
      <c r="H207" s="32">
        <f>SUMIF(逐日资产统计!$A:$A,资产端序时!$F207,逐日资产统计!$I:$I)-G207</f>
        <v>0</v>
      </c>
      <c r="I207" s="29">
        <f t="shared" si="78"/>
        <v>0</v>
      </c>
      <c r="J207" s="32">
        <f>SUMIF(逐日资产统计!$A:$A,资产端序时!$F207,逐日资产统计!$G:$G)</f>
        <v>0</v>
      </c>
      <c r="K207" s="40">
        <f t="shared" si="79"/>
        <v>0</v>
      </c>
      <c r="L207" s="39">
        <f t="shared" si="80"/>
        <v>0</v>
      </c>
      <c r="M207" s="37" t="e">
        <f t="shared" si="81"/>
        <v>#DIV/0!</v>
      </c>
      <c r="N207" s="38">
        <f>SUMIFS(逐日资产统计!M:M,逐日资产统计!A:A,资产端序时!F207,逐日资产统计!C:C,"人民币")</f>
        <v>0</v>
      </c>
      <c r="O207" s="38">
        <f>SUMIF(逐日资产统计!A:A,资产端序时!F207,逐日资产统计!M:M)-SUMIFS(逐日资产统计!M:M,逐日资产统计!A:A,资产端序时!F207,逐日资产统计!C:C,"人民币")</f>
        <v>0</v>
      </c>
      <c r="Q207" s="45"/>
    </row>
    <row r="208" spans="3:17" x14ac:dyDescent="0.25">
      <c r="C208">
        <f>SUM($B$2:B208)</f>
        <v>-7463.19</v>
      </c>
      <c r="F208" s="31">
        <f t="shared" si="77"/>
        <v>0</v>
      </c>
      <c r="G208" s="33">
        <f>SUMIFS(逐日资产统计!$I:$I,逐日资产统计!$A:$A,F208,逐日资产统计!$C:$C,"人民币")</f>
        <v>0</v>
      </c>
      <c r="H208" s="32">
        <f>SUMIF(逐日资产统计!$A:$A,资产端序时!$F208,逐日资产统计!$I:$I)-G208</f>
        <v>0</v>
      </c>
      <c r="I208" s="29">
        <f t="shared" si="78"/>
        <v>0</v>
      </c>
      <c r="J208" s="32">
        <f>SUMIF(逐日资产统计!$A:$A,资产端序时!$F208,逐日资产统计!$G:$G)</f>
        <v>0</v>
      </c>
      <c r="K208" s="40">
        <f t="shared" si="79"/>
        <v>0</v>
      </c>
      <c r="L208" s="39">
        <f t="shared" si="80"/>
        <v>0</v>
      </c>
      <c r="M208" s="37" t="e">
        <f t="shared" si="81"/>
        <v>#DIV/0!</v>
      </c>
      <c r="N208" s="38">
        <f>SUMIFS(逐日资产统计!M:M,逐日资产统计!A:A,资产端序时!F208,逐日资产统计!C:C,"人民币")</f>
        <v>0</v>
      </c>
      <c r="O208" s="38">
        <f>SUMIF(逐日资产统计!A:A,资产端序时!F208,逐日资产统计!M:M)-SUMIFS(逐日资产统计!M:M,逐日资产统计!A:A,资产端序时!F208,逐日资产统计!C:C,"人民币")</f>
        <v>0</v>
      </c>
      <c r="Q208" s="45"/>
    </row>
    <row r="209" spans="3:17" x14ac:dyDescent="0.25">
      <c r="C209">
        <f>SUM($B$2:B209)</f>
        <v>-7463.19</v>
      </c>
      <c r="F209" s="31">
        <f t="shared" si="77"/>
        <v>0</v>
      </c>
      <c r="G209" s="33">
        <f>SUMIFS(逐日资产统计!$I:$I,逐日资产统计!$A:$A,F209,逐日资产统计!$C:$C,"人民币")</f>
        <v>0</v>
      </c>
      <c r="H209" s="32">
        <f>SUMIF(逐日资产统计!$A:$A,资产端序时!$F209,逐日资产统计!$I:$I)-G209</f>
        <v>0</v>
      </c>
      <c r="I209" s="29">
        <f t="shared" si="78"/>
        <v>0</v>
      </c>
      <c r="J209" s="32">
        <f>SUMIF(逐日资产统计!$A:$A,资产端序时!$F209,逐日资产统计!$G:$G)</f>
        <v>0</v>
      </c>
      <c r="K209" s="40">
        <f t="shared" si="79"/>
        <v>0</v>
      </c>
      <c r="L209" s="39">
        <f t="shared" si="80"/>
        <v>0</v>
      </c>
      <c r="M209" s="37" t="e">
        <f t="shared" si="81"/>
        <v>#DIV/0!</v>
      </c>
      <c r="N209" s="38">
        <f>SUMIFS(逐日资产统计!M:M,逐日资产统计!A:A,资产端序时!F209,逐日资产统计!C:C,"人民币")</f>
        <v>0</v>
      </c>
      <c r="O209" s="38">
        <f>SUMIF(逐日资产统计!A:A,资产端序时!F209,逐日资产统计!M:M)-SUMIFS(逐日资产统计!M:M,逐日资产统计!A:A,资产端序时!F209,逐日资产统计!C:C,"人民币")</f>
        <v>0</v>
      </c>
      <c r="Q209" s="45"/>
    </row>
    <row r="210" spans="3:17" x14ac:dyDescent="0.25">
      <c r="C210">
        <f>SUM($B$2:B210)</f>
        <v>-7463.19</v>
      </c>
      <c r="F210" s="31">
        <f t="shared" si="77"/>
        <v>0</v>
      </c>
      <c r="G210" s="33">
        <f>SUMIFS(逐日资产统计!$I:$I,逐日资产统计!$A:$A,F210,逐日资产统计!$C:$C,"人民币")</f>
        <v>0</v>
      </c>
      <c r="H210" s="32">
        <f>SUMIF(逐日资产统计!$A:$A,资产端序时!$F210,逐日资产统计!$I:$I)-G210</f>
        <v>0</v>
      </c>
      <c r="I210" s="29">
        <f t="shared" si="78"/>
        <v>0</v>
      </c>
      <c r="J210" s="32">
        <f>SUMIF(逐日资产统计!$A:$A,资产端序时!$F210,逐日资产统计!$G:$G)</f>
        <v>0</v>
      </c>
      <c r="K210" s="40">
        <f t="shared" si="79"/>
        <v>0</v>
      </c>
      <c r="L210" s="39">
        <f t="shared" si="80"/>
        <v>0</v>
      </c>
      <c r="M210" s="37" t="e">
        <f t="shared" si="81"/>
        <v>#DIV/0!</v>
      </c>
      <c r="N210" s="38">
        <f>SUMIFS(逐日资产统计!M:M,逐日资产统计!A:A,资产端序时!F210,逐日资产统计!C:C,"人民币")</f>
        <v>0</v>
      </c>
      <c r="O210" s="38">
        <f>SUMIF(逐日资产统计!A:A,资产端序时!F210,逐日资产统计!M:M)-SUMIFS(逐日资产统计!M:M,逐日资产统计!A:A,资产端序时!F210,逐日资产统计!C:C,"人民币")</f>
        <v>0</v>
      </c>
      <c r="Q210" s="45"/>
    </row>
    <row r="211" spans="3:17" x14ac:dyDescent="0.25">
      <c r="C211">
        <f>SUM($B$2:B211)</f>
        <v>-7463.19</v>
      </c>
      <c r="F211" s="31">
        <f t="shared" si="77"/>
        <v>0</v>
      </c>
      <c r="G211" s="33">
        <f>SUMIFS(逐日资产统计!$I:$I,逐日资产统计!$A:$A,F211,逐日资产统计!$C:$C,"人民币")</f>
        <v>0</v>
      </c>
      <c r="H211" s="32">
        <f>SUMIF(逐日资产统计!$A:$A,资产端序时!$F211,逐日资产统计!$I:$I)-G211</f>
        <v>0</v>
      </c>
      <c r="I211" s="29">
        <f t="shared" si="78"/>
        <v>0</v>
      </c>
      <c r="J211" s="32">
        <f>SUMIF(逐日资产统计!$A:$A,资产端序时!$F211,逐日资产统计!$G:$G)</f>
        <v>0</v>
      </c>
      <c r="K211" s="40">
        <f t="shared" si="79"/>
        <v>0</v>
      </c>
      <c r="L211" s="39">
        <f t="shared" si="80"/>
        <v>0</v>
      </c>
      <c r="M211" s="37" t="e">
        <f t="shared" si="81"/>
        <v>#DIV/0!</v>
      </c>
      <c r="N211" s="38">
        <f>SUMIFS(逐日资产统计!M:M,逐日资产统计!A:A,资产端序时!F211,逐日资产统计!C:C,"人民币")</f>
        <v>0</v>
      </c>
      <c r="O211" s="38">
        <f>SUMIF(逐日资产统计!A:A,资产端序时!F211,逐日资产统计!M:M)-SUMIFS(逐日资产统计!M:M,逐日资产统计!A:A,资产端序时!F211,逐日资产统计!C:C,"人民币")</f>
        <v>0</v>
      </c>
      <c r="Q211" s="45"/>
    </row>
    <row r="212" spans="3:17" x14ac:dyDescent="0.25">
      <c r="C212">
        <f>SUM($B$2:B212)</f>
        <v>-7463.19</v>
      </c>
      <c r="F212" s="31">
        <f t="shared" si="77"/>
        <v>0</v>
      </c>
      <c r="G212" s="33">
        <f>SUMIFS(逐日资产统计!$I:$I,逐日资产统计!$A:$A,F212,逐日资产统计!$C:$C,"人民币")</f>
        <v>0</v>
      </c>
      <c r="H212" s="32">
        <f>SUMIF(逐日资产统计!$A:$A,资产端序时!$F212,逐日资产统计!$I:$I)-G212</f>
        <v>0</v>
      </c>
      <c r="I212" s="29">
        <f t="shared" si="78"/>
        <v>0</v>
      </c>
      <c r="J212" s="32">
        <f>SUMIF(逐日资产统计!$A:$A,资产端序时!$F212,逐日资产统计!$G:$G)</f>
        <v>0</v>
      </c>
      <c r="K212" s="40">
        <f t="shared" si="79"/>
        <v>0</v>
      </c>
      <c r="L212" s="39">
        <f t="shared" si="80"/>
        <v>0</v>
      </c>
      <c r="M212" s="37" t="e">
        <f t="shared" si="81"/>
        <v>#DIV/0!</v>
      </c>
      <c r="N212" s="38">
        <f>SUMIFS(逐日资产统计!M:M,逐日资产统计!A:A,资产端序时!F212,逐日资产统计!C:C,"人民币")</f>
        <v>0</v>
      </c>
      <c r="O212" s="38">
        <f>SUMIF(逐日资产统计!A:A,资产端序时!F212,逐日资产统计!M:M)-SUMIFS(逐日资产统计!M:M,逐日资产统计!A:A,资产端序时!F212,逐日资产统计!C:C,"人民币")</f>
        <v>0</v>
      </c>
      <c r="Q212" s="45"/>
    </row>
    <row r="213" spans="3:17" x14ac:dyDescent="0.25">
      <c r="C213">
        <f>SUM($B$2:B213)</f>
        <v>-7463.19</v>
      </c>
      <c r="F213" s="31">
        <f t="shared" si="77"/>
        <v>0</v>
      </c>
      <c r="G213" s="33">
        <f>SUMIFS(逐日资产统计!$I:$I,逐日资产统计!$A:$A,F213,逐日资产统计!$C:$C,"人民币")</f>
        <v>0</v>
      </c>
      <c r="H213" s="32">
        <f>SUMIF(逐日资产统计!$A:$A,资产端序时!$F213,逐日资产统计!$I:$I)-G213</f>
        <v>0</v>
      </c>
      <c r="I213" s="29">
        <f t="shared" si="78"/>
        <v>0</v>
      </c>
      <c r="J213" s="32">
        <f>SUMIF(逐日资产统计!$A:$A,资产端序时!$F213,逐日资产统计!$G:$G)</f>
        <v>0</v>
      </c>
      <c r="K213" s="40">
        <f t="shared" si="79"/>
        <v>0</v>
      </c>
      <c r="L213" s="39">
        <f t="shared" si="80"/>
        <v>0</v>
      </c>
      <c r="M213" s="37" t="e">
        <f t="shared" si="81"/>
        <v>#DIV/0!</v>
      </c>
      <c r="N213" s="38">
        <f>SUMIFS(逐日资产统计!M:M,逐日资产统计!A:A,资产端序时!F213,逐日资产统计!C:C,"人民币")</f>
        <v>0</v>
      </c>
      <c r="O213" s="38">
        <f>SUMIF(逐日资产统计!A:A,资产端序时!F213,逐日资产统计!M:M)-SUMIFS(逐日资产统计!M:M,逐日资产统计!A:A,资产端序时!F213,逐日资产统计!C:C,"人民币")</f>
        <v>0</v>
      </c>
      <c r="Q213" s="45"/>
    </row>
    <row r="214" spans="3:17" x14ac:dyDescent="0.25">
      <c r="C214">
        <f>SUM($B$2:B214)</f>
        <v>-7463.19</v>
      </c>
      <c r="F214" s="31">
        <f t="shared" si="77"/>
        <v>0</v>
      </c>
      <c r="G214" s="33">
        <f>SUMIFS(逐日资产统计!$I:$I,逐日资产统计!$A:$A,F214,逐日资产统计!$C:$C,"人民币")</f>
        <v>0</v>
      </c>
      <c r="H214" s="32">
        <f>SUMIF(逐日资产统计!$A:$A,资产端序时!$F214,逐日资产统计!$I:$I)-G214</f>
        <v>0</v>
      </c>
      <c r="I214" s="29">
        <f t="shared" si="78"/>
        <v>0</v>
      </c>
      <c r="J214" s="32">
        <f>SUMIF(逐日资产统计!$A:$A,资产端序时!$F214,逐日资产统计!$G:$G)</f>
        <v>0</v>
      </c>
      <c r="K214" s="40">
        <f t="shared" si="79"/>
        <v>0</v>
      </c>
      <c r="L214" s="39">
        <f t="shared" si="80"/>
        <v>0</v>
      </c>
      <c r="M214" s="37" t="e">
        <f t="shared" si="81"/>
        <v>#DIV/0!</v>
      </c>
      <c r="N214" s="38">
        <f>SUMIFS(逐日资产统计!M:M,逐日资产统计!A:A,资产端序时!F214,逐日资产统计!C:C,"人民币")</f>
        <v>0</v>
      </c>
      <c r="O214" s="38">
        <f>SUMIF(逐日资产统计!A:A,资产端序时!F214,逐日资产统计!M:M)-SUMIFS(逐日资产统计!M:M,逐日资产统计!A:A,资产端序时!F214,逐日资产统计!C:C,"人民币")</f>
        <v>0</v>
      </c>
      <c r="Q214" s="45"/>
    </row>
    <row r="215" spans="3:17" x14ac:dyDescent="0.25">
      <c r="C215">
        <f>SUM($B$2:B215)</f>
        <v>-7463.19</v>
      </c>
      <c r="F215" s="31">
        <f t="shared" si="77"/>
        <v>0</v>
      </c>
      <c r="G215" s="33">
        <f>SUMIFS(逐日资产统计!$I:$I,逐日资产统计!$A:$A,F215,逐日资产统计!$C:$C,"人民币")</f>
        <v>0</v>
      </c>
      <c r="H215" s="32">
        <f>SUMIF(逐日资产统计!$A:$A,资产端序时!$F215,逐日资产统计!$I:$I)-G215</f>
        <v>0</v>
      </c>
      <c r="I215" s="29">
        <f t="shared" si="78"/>
        <v>0</v>
      </c>
      <c r="J215" s="32">
        <f>SUMIF(逐日资产统计!$A:$A,资产端序时!$F215,逐日资产统计!$G:$G)</f>
        <v>0</v>
      </c>
      <c r="K215" s="40">
        <f t="shared" si="79"/>
        <v>0</v>
      </c>
      <c r="L215" s="39">
        <f t="shared" si="80"/>
        <v>0</v>
      </c>
      <c r="M215" s="37" t="e">
        <f t="shared" si="81"/>
        <v>#DIV/0!</v>
      </c>
      <c r="N215" s="38">
        <f>SUMIFS(逐日资产统计!M:M,逐日资产统计!A:A,资产端序时!F215,逐日资产统计!C:C,"人民币")</f>
        <v>0</v>
      </c>
      <c r="O215" s="38">
        <f>SUMIF(逐日资产统计!A:A,资产端序时!F215,逐日资产统计!M:M)-SUMIFS(逐日资产统计!M:M,逐日资产统计!A:A,资产端序时!F215,逐日资产统计!C:C,"人民币")</f>
        <v>0</v>
      </c>
      <c r="Q215" s="45"/>
    </row>
    <row r="216" spans="3:17" x14ac:dyDescent="0.25">
      <c r="C216">
        <f>SUM($B$2:B216)</f>
        <v>-7463.19</v>
      </c>
      <c r="F216" s="31">
        <f t="shared" si="77"/>
        <v>0</v>
      </c>
      <c r="G216" s="33">
        <f>SUMIFS(逐日资产统计!$I:$I,逐日资产统计!$A:$A,F216,逐日资产统计!$C:$C,"人民币")</f>
        <v>0</v>
      </c>
      <c r="H216" s="32">
        <f>SUMIF(逐日资产统计!$A:$A,资产端序时!$F216,逐日资产统计!$I:$I)-G216</f>
        <v>0</v>
      </c>
      <c r="I216" s="29">
        <f t="shared" si="78"/>
        <v>0</v>
      </c>
      <c r="J216" s="32">
        <f>SUMIF(逐日资产统计!$A:$A,资产端序时!$F216,逐日资产统计!$G:$G)</f>
        <v>0</v>
      </c>
      <c r="K216" s="40">
        <f t="shared" si="79"/>
        <v>0</v>
      </c>
      <c r="L216" s="39">
        <f t="shared" si="80"/>
        <v>0</v>
      </c>
      <c r="M216" s="37" t="e">
        <f t="shared" si="81"/>
        <v>#DIV/0!</v>
      </c>
      <c r="N216" s="38">
        <f>SUMIFS(逐日资产统计!M:M,逐日资产统计!A:A,资产端序时!F216,逐日资产统计!C:C,"人民币")</f>
        <v>0</v>
      </c>
      <c r="O216" s="38">
        <f>SUMIF(逐日资产统计!A:A,资产端序时!F216,逐日资产统计!M:M)-SUMIFS(逐日资产统计!M:M,逐日资产统计!A:A,资产端序时!F216,逐日资产统计!C:C,"人民币")</f>
        <v>0</v>
      </c>
      <c r="Q216" s="45"/>
    </row>
    <row r="217" spans="3:17" x14ac:dyDescent="0.25">
      <c r="C217">
        <f>SUM($B$2:B217)</f>
        <v>-7463.19</v>
      </c>
      <c r="F217" s="31">
        <f t="shared" si="77"/>
        <v>0</v>
      </c>
      <c r="G217" s="33">
        <f>SUMIFS(逐日资产统计!$I:$I,逐日资产统计!$A:$A,F217,逐日资产统计!$C:$C,"人民币")</f>
        <v>0</v>
      </c>
      <c r="H217" s="32">
        <f>SUMIF(逐日资产统计!$A:$A,资产端序时!$F217,逐日资产统计!$I:$I)-G217</f>
        <v>0</v>
      </c>
      <c r="I217" s="29">
        <f t="shared" si="78"/>
        <v>0</v>
      </c>
      <c r="J217" s="32">
        <f>SUMIF(逐日资产统计!$A:$A,资产端序时!$F217,逐日资产统计!$G:$G)</f>
        <v>0</v>
      </c>
      <c r="K217" s="40">
        <f t="shared" si="79"/>
        <v>0</v>
      </c>
      <c r="L217" s="39">
        <f t="shared" si="80"/>
        <v>0</v>
      </c>
      <c r="M217" s="37" t="e">
        <f t="shared" si="81"/>
        <v>#DIV/0!</v>
      </c>
      <c r="N217" s="38">
        <f>SUMIFS(逐日资产统计!M:M,逐日资产统计!A:A,资产端序时!F217,逐日资产统计!C:C,"人民币")</f>
        <v>0</v>
      </c>
      <c r="O217" s="38">
        <f>SUMIF(逐日资产统计!A:A,资产端序时!F217,逐日资产统计!M:M)-SUMIFS(逐日资产统计!M:M,逐日资产统计!A:A,资产端序时!F217,逐日资产统计!C:C,"人民币")</f>
        <v>0</v>
      </c>
      <c r="Q217" s="45"/>
    </row>
    <row r="218" spans="3:17" x14ac:dyDescent="0.25">
      <c r="C218">
        <f>SUM($B$2:B218)</f>
        <v>-7463.19</v>
      </c>
      <c r="F218" s="31">
        <f t="shared" si="77"/>
        <v>0</v>
      </c>
      <c r="G218" s="33">
        <f>SUMIFS(逐日资产统计!$I:$I,逐日资产统计!$A:$A,F218,逐日资产统计!$C:$C,"人民币")</f>
        <v>0</v>
      </c>
      <c r="H218" s="32">
        <f>SUMIF(逐日资产统计!$A:$A,资产端序时!$F218,逐日资产统计!$I:$I)-G218</f>
        <v>0</v>
      </c>
      <c r="I218" s="29">
        <f t="shared" si="78"/>
        <v>0</v>
      </c>
      <c r="J218" s="32">
        <f>SUMIF(逐日资产统计!$A:$A,资产端序时!$F218,逐日资产统计!$G:$G)</f>
        <v>0</v>
      </c>
      <c r="K218" s="40">
        <f t="shared" si="79"/>
        <v>0</v>
      </c>
      <c r="L218" s="39">
        <f t="shared" si="80"/>
        <v>0</v>
      </c>
      <c r="M218" s="37" t="e">
        <f t="shared" si="81"/>
        <v>#DIV/0!</v>
      </c>
      <c r="N218" s="38">
        <f>SUMIFS(逐日资产统计!M:M,逐日资产统计!A:A,资产端序时!F218,逐日资产统计!C:C,"人民币")</f>
        <v>0</v>
      </c>
      <c r="O218" s="38">
        <f>SUMIF(逐日资产统计!A:A,资产端序时!F218,逐日资产统计!M:M)-SUMIFS(逐日资产统计!M:M,逐日资产统计!A:A,资产端序时!F218,逐日资产统计!C:C,"人民币")</f>
        <v>0</v>
      </c>
      <c r="Q218" s="45"/>
    </row>
    <row r="219" spans="3:17" x14ac:dyDescent="0.25">
      <c r="C219">
        <f>SUM($B$2:B219)</f>
        <v>-7463.19</v>
      </c>
      <c r="F219" s="31">
        <f t="shared" si="77"/>
        <v>0</v>
      </c>
      <c r="G219" s="33">
        <f>SUMIFS(逐日资产统计!$I:$I,逐日资产统计!$A:$A,F219,逐日资产统计!$C:$C,"人民币")</f>
        <v>0</v>
      </c>
      <c r="H219" s="32">
        <f>SUMIF(逐日资产统计!$A:$A,资产端序时!$F219,逐日资产统计!$I:$I)-G219</f>
        <v>0</v>
      </c>
      <c r="I219" s="29">
        <f t="shared" si="78"/>
        <v>0</v>
      </c>
      <c r="J219" s="32">
        <f>SUMIF(逐日资产统计!$A:$A,资产端序时!$F219,逐日资产统计!$G:$G)</f>
        <v>0</v>
      </c>
      <c r="K219" s="40">
        <f t="shared" si="79"/>
        <v>0</v>
      </c>
      <c r="L219" s="39">
        <f t="shared" si="80"/>
        <v>0</v>
      </c>
      <c r="M219" s="37" t="e">
        <f t="shared" si="81"/>
        <v>#DIV/0!</v>
      </c>
      <c r="N219" s="38">
        <f>SUMIFS(逐日资产统计!M:M,逐日资产统计!A:A,资产端序时!F219,逐日资产统计!C:C,"人民币")</f>
        <v>0</v>
      </c>
      <c r="O219" s="38">
        <f>SUMIF(逐日资产统计!A:A,资产端序时!F219,逐日资产统计!M:M)-SUMIFS(逐日资产统计!M:M,逐日资产统计!A:A,资产端序时!F219,逐日资产统计!C:C,"人民币")</f>
        <v>0</v>
      </c>
      <c r="Q219" s="45"/>
    </row>
    <row r="220" spans="3:17" x14ac:dyDescent="0.25">
      <c r="C220">
        <f>SUM($B$2:B220)</f>
        <v>-7463.19</v>
      </c>
      <c r="F220" s="31">
        <f t="shared" si="77"/>
        <v>0</v>
      </c>
      <c r="G220" s="33">
        <f>SUMIFS(逐日资产统计!$I:$I,逐日资产统计!$A:$A,F220,逐日资产统计!$C:$C,"人民币")</f>
        <v>0</v>
      </c>
      <c r="H220" s="32">
        <f>SUMIF(逐日资产统计!$A:$A,资产端序时!$F220,逐日资产统计!$I:$I)-G220</f>
        <v>0</v>
      </c>
      <c r="I220" s="29">
        <f t="shared" si="78"/>
        <v>0</v>
      </c>
      <c r="J220" s="32">
        <f>SUMIF(逐日资产统计!$A:$A,资产端序时!$F220,逐日资产统计!$G:$G)</f>
        <v>0</v>
      </c>
      <c r="K220" s="40">
        <f t="shared" si="79"/>
        <v>0</v>
      </c>
      <c r="L220" s="39">
        <f t="shared" si="80"/>
        <v>0</v>
      </c>
      <c r="M220" s="37" t="e">
        <f t="shared" si="81"/>
        <v>#DIV/0!</v>
      </c>
      <c r="N220" s="38">
        <f>SUMIFS(逐日资产统计!M:M,逐日资产统计!A:A,资产端序时!F220,逐日资产统计!C:C,"人民币")</f>
        <v>0</v>
      </c>
      <c r="O220" s="38">
        <f>SUMIF(逐日资产统计!A:A,资产端序时!F220,逐日资产统计!M:M)-SUMIFS(逐日资产统计!M:M,逐日资产统计!A:A,资产端序时!F220,逐日资产统计!C:C,"人民币")</f>
        <v>0</v>
      </c>
      <c r="Q220" s="45"/>
    </row>
    <row r="221" spans="3:17" x14ac:dyDescent="0.25">
      <c r="C221">
        <f>SUM($B$2:B221)</f>
        <v>-7463.19</v>
      </c>
      <c r="F221" s="31">
        <f t="shared" si="77"/>
        <v>0</v>
      </c>
      <c r="G221" s="33">
        <f>SUMIFS(逐日资产统计!$I:$I,逐日资产统计!$A:$A,F221,逐日资产统计!$C:$C,"人民币")</f>
        <v>0</v>
      </c>
      <c r="H221" s="32">
        <f>SUMIF(逐日资产统计!$A:$A,资产端序时!$F221,逐日资产统计!$I:$I)-G221</f>
        <v>0</v>
      </c>
      <c r="I221" s="29">
        <f t="shared" si="78"/>
        <v>0</v>
      </c>
      <c r="J221" s="32">
        <f>SUMIF(逐日资产统计!$A:$A,资产端序时!$F221,逐日资产统计!$G:$G)</f>
        <v>0</v>
      </c>
      <c r="K221" s="40">
        <f t="shared" si="79"/>
        <v>0</v>
      </c>
      <c r="L221" s="39">
        <f t="shared" si="80"/>
        <v>0</v>
      </c>
      <c r="M221" s="37" t="e">
        <f t="shared" si="81"/>
        <v>#DIV/0!</v>
      </c>
      <c r="N221" s="38">
        <f>SUMIFS(逐日资产统计!M:M,逐日资产统计!A:A,资产端序时!F221,逐日资产统计!C:C,"人民币")</f>
        <v>0</v>
      </c>
      <c r="O221" s="38">
        <f>SUMIF(逐日资产统计!A:A,资产端序时!F221,逐日资产统计!M:M)-SUMIFS(逐日资产统计!M:M,逐日资产统计!A:A,资产端序时!F221,逐日资产统计!C:C,"人民币")</f>
        <v>0</v>
      </c>
      <c r="Q221" s="45"/>
    </row>
    <row r="222" spans="3:17" x14ac:dyDescent="0.25">
      <c r="C222">
        <f>SUM($B$2:B222)</f>
        <v>-7463.19</v>
      </c>
      <c r="F222" s="31">
        <f t="shared" si="77"/>
        <v>0</v>
      </c>
      <c r="G222" s="33">
        <f>SUMIFS(逐日资产统计!$I:$I,逐日资产统计!$A:$A,F222,逐日资产统计!$C:$C,"人民币")</f>
        <v>0</v>
      </c>
      <c r="H222" s="32">
        <f>SUMIF(逐日资产统计!$A:$A,资产端序时!$F222,逐日资产统计!$I:$I)-G222</f>
        <v>0</v>
      </c>
      <c r="I222" s="29">
        <f t="shared" si="78"/>
        <v>0</v>
      </c>
      <c r="J222" s="32">
        <f>SUMIF(逐日资产统计!$A:$A,资产端序时!$F222,逐日资产统计!$G:$G)</f>
        <v>0</v>
      </c>
      <c r="K222" s="40">
        <f t="shared" si="79"/>
        <v>0</v>
      </c>
      <c r="L222" s="39">
        <f t="shared" si="80"/>
        <v>0</v>
      </c>
      <c r="M222" s="37" t="e">
        <f t="shared" si="81"/>
        <v>#DIV/0!</v>
      </c>
      <c r="N222" s="38">
        <f>SUMIFS(逐日资产统计!M:M,逐日资产统计!A:A,资产端序时!F222,逐日资产统计!C:C,"人民币")</f>
        <v>0</v>
      </c>
      <c r="O222" s="38">
        <f>SUMIF(逐日资产统计!A:A,资产端序时!F222,逐日资产统计!M:M)-SUMIFS(逐日资产统计!M:M,逐日资产统计!A:A,资产端序时!F222,逐日资产统计!C:C,"人民币")</f>
        <v>0</v>
      </c>
      <c r="Q222" s="45"/>
    </row>
    <row r="223" spans="3:17" x14ac:dyDescent="0.25">
      <c r="C223">
        <f>SUM($B$2:B223)</f>
        <v>-7463.19</v>
      </c>
      <c r="F223" s="31">
        <f t="shared" si="77"/>
        <v>0</v>
      </c>
      <c r="G223" s="33">
        <f>SUMIFS(逐日资产统计!$I:$I,逐日资产统计!$A:$A,F223,逐日资产统计!$C:$C,"人民币")</f>
        <v>0</v>
      </c>
      <c r="H223" s="32">
        <f>SUMIF(逐日资产统计!$A:$A,资产端序时!$F223,逐日资产统计!$I:$I)-G223</f>
        <v>0</v>
      </c>
      <c r="I223" s="29">
        <f t="shared" si="78"/>
        <v>0</v>
      </c>
      <c r="J223" s="32">
        <f>SUMIF(逐日资产统计!$A:$A,资产端序时!$F223,逐日资产统计!$G:$G)</f>
        <v>0</v>
      </c>
      <c r="K223" s="40">
        <f t="shared" si="79"/>
        <v>0</v>
      </c>
      <c r="L223" s="39">
        <f t="shared" si="80"/>
        <v>0</v>
      </c>
      <c r="M223" s="37" t="e">
        <f t="shared" si="81"/>
        <v>#DIV/0!</v>
      </c>
      <c r="N223" s="38">
        <f>SUMIFS(逐日资产统计!M:M,逐日资产统计!A:A,资产端序时!F223,逐日资产统计!C:C,"人民币")</f>
        <v>0</v>
      </c>
      <c r="O223" s="38">
        <f>SUMIF(逐日资产统计!A:A,资产端序时!F223,逐日资产统计!M:M)-SUMIFS(逐日资产统计!M:M,逐日资产统计!A:A,资产端序时!F223,逐日资产统计!C:C,"人民币")</f>
        <v>0</v>
      </c>
      <c r="Q223" s="45"/>
    </row>
    <row r="224" spans="3:17" x14ac:dyDescent="0.25">
      <c r="C224">
        <f>SUM($B$2:B224)</f>
        <v>-7463.19</v>
      </c>
      <c r="F224" s="31">
        <f t="shared" si="77"/>
        <v>0</v>
      </c>
      <c r="G224" s="33">
        <f>SUMIFS(逐日资产统计!$I:$I,逐日资产统计!$A:$A,F224,逐日资产统计!$C:$C,"人民币")</f>
        <v>0</v>
      </c>
      <c r="H224" s="32">
        <f>SUMIF(逐日资产统计!$A:$A,资产端序时!$F224,逐日资产统计!$I:$I)-G224</f>
        <v>0</v>
      </c>
      <c r="I224" s="29">
        <f t="shared" si="78"/>
        <v>0</v>
      </c>
      <c r="J224" s="32">
        <f>SUMIF(逐日资产统计!$A:$A,资产端序时!$F224,逐日资产统计!$G:$G)</f>
        <v>0</v>
      </c>
      <c r="K224" s="40">
        <f t="shared" si="79"/>
        <v>0</v>
      </c>
      <c r="L224" s="39">
        <f t="shared" si="80"/>
        <v>0</v>
      </c>
      <c r="M224" s="37" t="e">
        <f t="shared" si="81"/>
        <v>#DIV/0!</v>
      </c>
      <c r="N224" s="38">
        <f>SUMIFS(逐日资产统计!M:M,逐日资产统计!A:A,资产端序时!F224,逐日资产统计!C:C,"人民币")</f>
        <v>0</v>
      </c>
      <c r="O224" s="38">
        <f>SUMIF(逐日资产统计!A:A,资产端序时!F224,逐日资产统计!M:M)-SUMIFS(逐日资产统计!M:M,逐日资产统计!A:A,资产端序时!F224,逐日资产统计!C:C,"人民币")</f>
        <v>0</v>
      </c>
      <c r="Q224" s="45"/>
    </row>
    <row r="225" spans="3:17" x14ac:dyDescent="0.25">
      <c r="C225">
        <f>SUM($B$2:B225)</f>
        <v>-7463.19</v>
      </c>
      <c r="F225" s="31">
        <f t="shared" si="77"/>
        <v>0</v>
      </c>
      <c r="G225" s="33">
        <f>SUMIFS(逐日资产统计!$I:$I,逐日资产统计!$A:$A,F225,逐日资产统计!$C:$C,"人民币")</f>
        <v>0</v>
      </c>
      <c r="H225" s="32">
        <f>SUMIF(逐日资产统计!$A:$A,资产端序时!$F225,逐日资产统计!$I:$I)-G225</f>
        <v>0</v>
      </c>
      <c r="I225" s="29">
        <f t="shared" si="78"/>
        <v>0</v>
      </c>
      <c r="J225" s="32">
        <f>SUMIF(逐日资产统计!$A:$A,资产端序时!$F225,逐日资产统计!$G:$G)</f>
        <v>0</v>
      </c>
      <c r="K225" s="40">
        <f t="shared" si="79"/>
        <v>0</v>
      </c>
      <c r="L225" s="39">
        <f t="shared" si="80"/>
        <v>0</v>
      </c>
      <c r="M225" s="37" t="e">
        <f t="shared" si="81"/>
        <v>#DIV/0!</v>
      </c>
      <c r="N225" s="38">
        <f>SUMIFS(逐日资产统计!M:M,逐日资产统计!A:A,资产端序时!F225,逐日资产统计!C:C,"人民币")</f>
        <v>0</v>
      </c>
      <c r="O225" s="38">
        <f>SUMIF(逐日资产统计!A:A,资产端序时!F225,逐日资产统计!M:M)-SUMIFS(逐日资产统计!M:M,逐日资产统计!A:A,资产端序时!F225,逐日资产统计!C:C,"人民币")</f>
        <v>0</v>
      </c>
      <c r="Q225" s="45"/>
    </row>
    <row r="226" spans="3:17" x14ac:dyDescent="0.25">
      <c r="C226">
        <f>SUM($B$2:B226)</f>
        <v>-7463.19</v>
      </c>
      <c r="F226" s="31">
        <f t="shared" si="77"/>
        <v>0</v>
      </c>
      <c r="G226" s="33">
        <f>SUMIFS(逐日资产统计!$I:$I,逐日资产统计!$A:$A,F226,逐日资产统计!$C:$C,"人民币")</f>
        <v>0</v>
      </c>
      <c r="H226" s="32">
        <f>SUMIF(逐日资产统计!$A:$A,资产端序时!$F226,逐日资产统计!$I:$I)-G226</f>
        <v>0</v>
      </c>
      <c r="I226" s="29">
        <f t="shared" si="78"/>
        <v>0</v>
      </c>
      <c r="J226" s="32">
        <f>SUMIF(逐日资产统计!$A:$A,资产端序时!$F226,逐日资产统计!$G:$G)</f>
        <v>0</v>
      </c>
      <c r="K226" s="40">
        <f t="shared" si="79"/>
        <v>0</v>
      </c>
      <c r="L226" s="39">
        <f t="shared" si="80"/>
        <v>0</v>
      </c>
      <c r="M226" s="37" t="e">
        <f t="shared" si="81"/>
        <v>#DIV/0!</v>
      </c>
      <c r="N226" s="38">
        <f>SUMIFS(逐日资产统计!M:M,逐日资产统计!A:A,资产端序时!F226,逐日资产统计!C:C,"人民币")</f>
        <v>0</v>
      </c>
      <c r="O226" s="38">
        <f>SUMIF(逐日资产统计!A:A,资产端序时!F226,逐日资产统计!M:M)-SUMIFS(逐日资产统计!M:M,逐日资产统计!A:A,资产端序时!F226,逐日资产统计!C:C,"人民币")</f>
        <v>0</v>
      </c>
      <c r="Q226" s="45"/>
    </row>
    <row r="227" spans="3:17" x14ac:dyDescent="0.25">
      <c r="C227">
        <f>SUM($B$2:B227)</f>
        <v>-7463.19</v>
      </c>
      <c r="F227" s="31">
        <f t="shared" si="77"/>
        <v>0</v>
      </c>
      <c r="G227" s="33">
        <f>SUMIFS(逐日资产统计!$I:$I,逐日资产统计!$A:$A,F227,逐日资产统计!$C:$C,"人民币")</f>
        <v>0</v>
      </c>
      <c r="H227" s="32">
        <f>SUMIF(逐日资产统计!$A:$A,资产端序时!$F227,逐日资产统计!$I:$I)-G227</f>
        <v>0</v>
      </c>
      <c r="I227" s="29">
        <f t="shared" si="78"/>
        <v>0</v>
      </c>
      <c r="J227" s="32">
        <f>SUMIF(逐日资产统计!$A:$A,资产端序时!$F227,逐日资产统计!$G:$G)</f>
        <v>0</v>
      </c>
      <c r="K227" s="40">
        <f t="shared" si="79"/>
        <v>0</v>
      </c>
      <c r="L227" s="39">
        <f t="shared" si="80"/>
        <v>0</v>
      </c>
      <c r="M227" s="37" t="e">
        <f t="shared" si="81"/>
        <v>#DIV/0!</v>
      </c>
      <c r="N227" s="38">
        <f>SUMIFS(逐日资产统计!M:M,逐日资产统计!A:A,资产端序时!F227,逐日资产统计!C:C,"人民币")</f>
        <v>0</v>
      </c>
      <c r="O227" s="38">
        <f>SUMIF(逐日资产统计!A:A,资产端序时!F227,逐日资产统计!M:M)-SUMIFS(逐日资产统计!M:M,逐日资产统计!A:A,资产端序时!F227,逐日资产统计!C:C,"人民币")</f>
        <v>0</v>
      </c>
      <c r="Q227" s="45"/>
    </row>
    <row r="228" spans="3:17" x14ac:dyDescent="0.25">
      <c r="C228">
        <f>SUM($B$2:B228)</f>
        <v>-7463.19</v>
      </c>
      <c r="F228" s="31">
        <f t="shared" si="77"/>
        <v>0</v>
      </c>
      <c r="G228" s="33">
        <f>SUMIFS(逐日资产统计!$I:$I,逐日资产统计!$A:$A,F228,逐日资产统计!$C:$C,"人民币")</f>
        <v>0</v>
      </c>
      <c r="H228" s="32">
        <f>SUMIF(逐日资产统计!$A:$A,资产端序时!$F228,逐日资产统计!$I:$I)-G228</f>
        <v>0</v>
      </c>
      <c r="I228" s="29">
        <f t="shared" si="78"/>
        <v>0</v>
      </c>
      <c r="J228" s="32">
        <f>SUMIF(逐日资产统计!$A:$A,资产端序时!$F228,逐日资产统计!$G:$G)</f>
        <v>0</v>
      </c>
      <c r="K228" s="40">
        <f t="shared" si="79"/>
        <v>0</v>
      </c>
      <c r="L228" s="39">
        <f t="shared" si="80"/>
        <v>0</v>
      </c>
      <c r="M228" s="37" t="e">
        <f t="shared" si="81"/>
        <v>#DIV/0!</v>
      </c>
      <c r="N228" s="38">
        <f>SUMIFS(逐日资产统计!M:M,逐日资产统计!A:A,资产端序时!F228,逐日资产统计!C:C,"人民币")</f>
        <v>0</v>
      </c>
      <c r="O228" s="38">
        <f>SUMIF(逐日资产统计!A:A,资产端序时!F228,逐日资产统计!M:M)-SUMIFS(逐日资产统计!M:M,逐日资产统计!A:A,资产端序时!F228,逐日资产统计!C:C,"人民币")</f>
        <v>0</v>
      </c>
      <c r="Q228" s="45"/>
    </row>
    <row r="229" spans="3:17" x14ac:dyDescent="0.25">
      <c r="C229">
        <f>SUM($B$2:B229)</f>
        <v>-7463.19</v>
      </c>
      <c r="F229" s="31">
        <f t="shared" ref="F229:F251" si="82">A229</f>
        <v>0</v>
      </c>
      <c r="G229" s="33">
        <f>SUMIFS(逐日资产统计!$I:$I,逐日资产统计!$A:$A,F229,逐日资产统计!$C:$C,"人民币")</f>
        <v>0</v>
      </c>
      <c r="H229" s="32">
        <f>SUMIF(逐日资产统计!$A:$A,资产端序时!$F229,逐日资产统计!$I:$I)-G229</f>
        <v>0</v>
      </c>
      <c r="I229" s="29">
        <f t="shared" ref="I229:I251" si="83">G229+H229</f>
        <v>0</v>
      </c>
      <c r="J229" s="32">
        <f>SUMIF(逐日资产统计!$A:$A,资产端序时!$F229,逐日资产统计!$G:$G)</f>
        <v>0</v>
      </c>
      <c r="K229" s="40">
        <f t="shared" ref="K229:K251" si="84">I229-J229</f>
        <v>0</v>
      </c>
      <c r="L229" s="39">
        <f t="shared" ref="L229:L251" si="85">K229-K228</f>
        <v>0</v>
      </c>
      <c r="M229" s="37" t="e">
        <f t="shared" ref="M229:M251" si="86">J229/K229</f>
        <v>#DIV/0!</v>
      </c>
      <c r="N229" s="38">
        <f>SUMIFS(逐日资产统计!M:M,逐日资产统计!A:A,资产端序时!F229,逐日资产统计!C:C,"人民币")</f>
        <v>0</v>
      </c>
      <c r="O229" s="38">
        <f>SUMIF(逐日资产统计!A:A,资产端序时!F229,逐日资产统计!M:M)-SUMIFS(逐日资产统计!M:M,逐日资产统计!A:A,资产端序时!F229,逐日资产统计!C:C,"人民币")</f>
        <v>0</v>
      </c>
      <c r="Q229" s="45"/>
    </row>
    <row r="230" spans="3:17" x14ac:dyDescent="0.25">
      <c r="C230">
        <f>SUM($B$2:B230)</f>
        <v>-7463.19</v>
      </c>
      <c r="F230" s="31">
        <f t="shared" si="82"/>
        <v>0</v>
      </c>
      <c r="G230" s="33">
        <f>SUMIFS(逐日资产统计!$I:$I,逐日资产统计!$A:$A,F230,逐日资产统计!$C:$C,"人民币")</f>
        <v>0</v>
      </c>
      <c r="H230" s="32">
        <f>SUMIF(逐日资产统计!$A:$A,资产端序时!$F230,逐日资产统计!$I:$I)-G230</f>
        <v>0</v>
      </c>
      <c r="I230" s="29">
        <f t="shared" si="83"/>
        <v>0</v>
      </c>
      <c r="J230" s="32">
        <f>SUMIF(逐日资产统计!$A:$A,资产端序时!$F230,逐日资产统计!$G:$G)</f>
        <v>0</v>
      </c>
      <c r="K230" s="40">
        <f t="shared" si="84"/>
        <v>0</v>
      </c>
      <c r="L230" s="39">
        <f t="shared" si="85"/>
        <v>0</v>
      </c>
      <c r="M230" s="37" t="e">
        <f t="shared" si="86"/>
        <v>#DIV/0!</v>
      </c>
      <c r="N230" s="38">
        <f>SUMIFS(逐日资产统计!M:M,逐日资产统计!A:A,资产端序时!F230,逐日资产统计!C:C,"人民币")</f>
        <v>0</v>
      </c>
      <c r="O230" s="38">
        <f>SUMIF(逐日资产统计!A:A,资产端序时!F230,逐日资产统计!M:M)-SUMIFS(逐日资产统计!M:M,逐日资产统计!A:A,资产端序时!F230,逐日资产统计!C:C,"人民币")</f>
        <v>0</v>
      </c>
      <c r="Q230" s="45"/>
    </row>
    <row r="231" spans="3:17" x14ac:dyDescent="0.25">
      <c r="C231">
        <f>SUM($B$2:B231)</f>
        <v>-7463.19</v>
      </c>
      <c r="F231" s="31">
        <f t="shared" si="82"/>
        <v>0</v>
      </c>
      <c r="G231" s="33">
        <f>SUMIFS(逐日资产统计!$I:$I,逐日资产统计!$A:$A,F231,逐日资产统计!$C:$C,"人民币")</f>
        <v>0</v>
      </c>
      <c r="H231" s="32">
        <f>SUMIF(逐日资产统计!$A:$A,资产端序时!$F231,逐日资产统计!$I:$I)-G231</f>
        <v>0</v>
      </c>
      <c r="I231" s="29">
        <f t="shared" si="83"/>
        <v>0</v>
      </c>
      <c r="J231" s="32">
        <f>SUMIF(逐日资产统计!$A:$A,资产端序时!$F231,逐日资产统计!$G:$G)</f>
        <v>0</v>
      </c>
      <c r="K231" s="40">
        <f t="shared" si="84"/>
        <v>0</v>
      </c>
      <c r="L231" s="39">
        <f t="shared" si="85"/>
        <v>0</v>
      </c>
      <c r="M231" s="37" t="e">
        <f t="shared" si="86"/>
        <v>#DIV/0!</v>
      </c>
      <c r="N231" s="38">
        <f>SUMIFS(逐日资产统计!M:M,逐日资产统计!A:A,资产端序时!F231,逐日资产统计!C:C,"人民币")</f>
        <v>0</v>
      </c>
      <c r="O231" s="38">
        <f>SUMIF(逐日资产统计!A:A,资产端序时!F231,逐日资产统计!M:M)-SUMIFS(逐日资产统计!M:M,逐日资产统计!A:A,资产端序时!F231,逐日资产统计!C:C,"人民币")</f>
        <v>0</v>
      </c>
      <c r="Q231" s="45"/>
    </row>
    <row r="232" spans="3:17" x14ac:dyDescent="0.25">
      <c r="C232">
        <f>SUM($B$2:B232)</f>
        <v>-7463.19</v>
      </c>
      <c r="F232" s="31">
        <f t="shared" si="82"/>
        <v>0</v>
      </c>
      <c r="G232" s="33">
        <f>SUMIFS(逐日资产统计!$I:$I,逐日资产统计!$A:$A,F232,逐日资产统计!$C:$C,"人民币")</f>
        <v>0</v>
      </c>
      <c r="H232" s="32">
        <f>SUMIF(逐日资产统计!$A:$A,资产端序时!$F232,逐日资产统计!$I:$I)-G232</f>
        <v>0</v>
      </c>
      <c r="I232" s="29">
        <f t="shared" si="83"/>
        <v>0</v>
      </c>
      <c r="J232" s="32">
        <f>SUMIF(逐日资产统计!$A:$A,资产端序时!$F232,逐日资产统计!$G:$G)</f>
        <v>0</v>
      </c>
      <c r="K232" s="40">
        <f t="shared" si="84"/>
        <v>0</v>
      </c>
      <c r="L232" s="39">
        <f t="shared" si="85"/>
        <v>0</v>
      </c>
      <c r="M232" s="37" t="e">
        <f t="shared" si="86"/>
        <v>#DIV/0!</v>
      </c>
      <c r="N232" s="38">
        <f>SUMIFS(逐日资产统计!M:M,逐日资产统计!A:A,资产端序时!F232,逐日资产统计!C:C,"人民币")</f>
        <v>0</v>
      </c>
      <c r="O232" s="38">
        <f>SUMIF(逐日资产统计!A:A,资产端序时!F232,逐日资产统计!M:M)-SUMIFS(逐日资产统计!M:M,逐日资产统计!A:A,资产端序时!F232,逐日资产统计!C:C,"人民币")</f>
        <v>0</v>
      </c>
      <c r="Q232" s="45"/>
    </row>
    <row r="233" spans="3:17" x14ac:dyDescent="0.25">
      <c r="C233">
        <f>SUM($B$2:B233)</f>
        <v>-7463.19</v>
      </c>
      <c r="F233" s="31">
        <f t="shared" si="82"/>
        <v>0</v>
      </c>
      <c r="G233" s="33">
        <f>SUMIFS(逐日资产统计!$I:$I,逐日资产统计!$A:$A,F233,逐日资产统计!$C:$C,"人民币")</f>
        <v>0</v>
      </c>
      <c r="H233" s="32">
        <f>SUMIF(逐日资产统计!$A:$A,资产端序时!$F233,逐日资产统计!$I:$I)-G233</f>
        <v>0</v>
      </c>
      <c r="I233" s="29">
        <f t="shared" si="83"/>
        <v>0</v>
      </c>
      <c r="J233" s="32">
        <f>SUMIF(逐日资产统计!$A:$A,资产端序时!$F233,逐日资产统计!$G:$G)</f>
        <v>0</v>
      </c>
      <c r="K233" s="40">
        <f t="shared" si="84"/>
        <v>0</v>
      </c>
      <c r="L233" s="39">
        <f t="shared" si="85"/>
        <v>0</v>
      </c>
      <c r="M233" s="37" t="e">
        <f t="shared" si="86"/>
        <v>#DIV/0!</v>
      </c>
      <c r="N233" s="38">
        <f>SUMIFS(逐日资产统计!M:M,逐日资产统计!A:A,资产端序时!F233,逐日资产统计!C:C,"人民币")</f>
        <v>0</v>
      </c>
      <c r="O233" s="38">
        <f>SUMIF(逐日资产统计!A:A,资产端序时!F233,逐日资产统计!M:M)-SUMIFS(逐日资产统计!M:M,逐日资产统计!A:A,资产端序时!F233,逐日资产统计!C:C,"人民币")</f>
        <v>0</v>
      </c>
      <c r="Q233" s="45"/>
    </row>
    <row r="234" spans="3:17" x14ac:dyDescent="0.25">
      <c r="C234">
        <f>SUM($B$2:B234)</f>
        <v>-7463.19</v>
      </c>
      <c r="F234" s="31">
        <f t="shared" si="82"/>
        <v>0</v>
      </c>
      <c r="G234" s="33">
        <f>SUMIFS(逐日资产统计!$I:$I,逐日资产统计!$A:$A,F234,逐日资产统计!$C:$C,"人民币")</f>
        <v>0</v>
      </c>
      <c r="H234" s="32">
        <f>SUMIF(逐日资产统计!$A:$A,资产端序时!$F234,逐日资产统计!$I:$I)-G234</f>
        <v>0</v>
      </c>
      <c r="I234" s="29">
        <f t="shared" si="83"/>
        <v>0</v>
      </c>
      <c r="J234" s="32">
        <f>SUMIF(逐日资产统计!$A:$A,资产端序时!$F234,逐日资产统计!$G:$G)</f>
        <v>0</v>
      </c>
      <c r="K234" s="40">
        <f t="shared" si="84"/>
        <v>0</v>
      </c>
      <c r="L234" s="39">
        <f t="shared" si="85"/>
        <v>0</v>
      </c>
      <c r="M234" s="37" t="e">
        <f t="shared" si="86"/>
        <v>#DIV/0!</v>
      </c>
      <c r="N234" s="38">
        <f>SUMIFS(逐日资产统计!M:M,逐日资产统计!A:A,资产端序时!F234,逐日资产统计!C:C,"人民币")</f>
        <v>0</v>
      </c>
      <c r="O234" s="38">
        <f>SUMIF(逐日资产统计!A:A,资产端序时!F234,逐日资产统计!M:M)-SUMIFS(逐日资产统计!M:M,逐日资产统计!A:A,资产端序时!F234,逐日资产统计!C:C,"人民币")</f>
        <v>0</v>
      </c>
      <c r="Q234" s="45"/>
    </row>
    <row r="235" spans="3:17" x14ac:dyDescent="0.25">
      <c r="C235">
        <f>SUM($B$2:B235)</f>
        <v>-7463.19</v>
      </c>
      <c r="F235" s="31">
        <f t="shared" si="82"/>
        <v>0</v>
      </c>
      <c r="G235" s="33">
        <f>SUMIFS(逐日资产统计!$I:$I,逐日资产统计!$A:$A,F235,逐日资产统计!$C:$C,"人民币")</f>
        <v>0</v>
      </c>
      <c r="H235" s="32">
        <f>SUMIF(逐日资产统计!$A:$A,资产端序时!$F235,逐日资产统计!$I:$I)-G235</f>
        <v>0</v>
      </c>
      <c r="I235" s="29">
        <f t="shared" si="83"/>
        <v>0</v>
      </c>
      <c r="J235" s="32">
        <f>SUMIF(逐日资产统计!$A:$A,资产端序时!$F235,逐日资产统计!$G:$G)</f>
        <v>0</v>
      </c>
      <c r="K235" s="40">
        <f t="shared" si="84"/>
        <v>0</v>
      </c>
      <c r="L235" s="39">
        <f t="shared" si="85"/>
        <v>0</v>
      </c>
      <c r="M235" s="37" t="e">
        <f t="shared" si="86"/>
        <v>#DIV/0!</v>
      </c>
      <c r="N235" s="38">
        <f>SUMIFS(逐日资产统计!M:M,逐日资产统计!A:A,资产端序时!F235,逐日资产统计!C:C,"人民币")</f>
        <v>0</v>
      </c>
      <c r="O235" s="38">
        <f>SUMIF(逐日资产统计!A:A,资产端序时!F235,逐日资产统计!M:M)-SUMIFS(逐日资产统计!M:M,逐日资产统计!A:A,资产端序时!F235,逐日资产统计!C:C,"人民币")</f>
        <v>0</v>
      </c>
      <c r="Q235" s="45"/>
    </row>
    <row r="236" spans="3:17" x14ac:dyDescent="0.25">
      <c r="C236">
        <f>SUM($B$2:B236)</f>
        <v>-7463.19</v>
      </c>
      <c r="F236" s="31">
        <f t="shared" si="82"/>
        <v>0</v>
      </c>
      <c r="G236" s="33">
        <f>SUMIFS(逐日资产统计!$I:$I,逐日资产统计!$A:$A,F236,逐日资产统计!$C:$C,"人民币")</f>
        <v>0</v>
      </c>
      <c r="H236" s="32">
        <f>SUMIF(逐日资产统计!$A:$A,资产端序时!$F236,逐日资产统计!$I:$I)-G236</f>
        <v>0</v>
      </c>
      <c r="I236" s="29">
        <f t="shared" si="83"/>
        <v>0</v>
      </c>
      <c r="J236" s="32">
        <f>SUMIF(逐日资产统计!$A:$A,资产端序时!$F236,逐日资产统计!$G:$G)</f>
        <v>0</v>
      </c>
      <c r="K236" s="40">
        <f t="shared" si="84"/>
        <v>0</v>
      </c>
      <c r="L236" s="39">
        <f t="shared" si="85"/>
        <v>0</v>
      </c>
      <c r="M236" s="37" t="e">
        <f t="shared" si="86"/>
        <v>#DIV/0!</v>
      </c>
      <c r="N236" s="38">
        <f>SUMIFS(逐日资产统计!M:M,逐日资产统计!A:A,资产端序时!F236,逐日资产统计!C:C,"人民币")</f>
        <v>0</v>
      </c>
      <c r="O236" s="38">
        <f>SUMIF(逐日资产统计!A:A,资产端序时!F236,逐日资产统计!M:M)-SUMIFS(逐日资产统计!M:M,逐日资产统计!A:A,资产端序时!F236,逐日资产统计!C:C,"人民币")</f>
        <v>0</v>
      </c>
      <c r="Q236" s="45"/>
    </row>
    <row r="237" spans="3:17" x14ac:dyDescent="0.25">
      <c r="C237">
        <f>SUM($B$2:B237)</f>
        <v>-7463.19</v>
      </c>
      <c r="F237" s="31">
        <f t="shared" si="82"/>
        <v>0</v>
      </c>
      <c r="G237" s="33">
        <f>SUMIFS(逐日资产统计!$I:$I,逐日资产统计!$A:$A,F237,逐日资产统计!$C:$C,"人民币")</f>
        <v>0</v>
      </c>
      <c r="H237" s="32">
        <f>SUMIF(逐日资产统计!$A:$A,资产端序时!$F237,逐日资产统计!$I:$I)-G237</f>
        <v>0</v>
      </c>
      <c r="I237" s="29">
        <f t="shared" si="83"/>
        <v>0</v>
      </c>
      <c r="J237" s="32">
        <f>SUMIF(逐日资产统计!$A:$A,资产端序时!$F237,逐日资产统计!$G:$G)</f>
        <v>0</v>
      </c>
      <c r="K237" s="40">
        <f t="shared" si="84"/>
        <v>0</v>
      </c>
      <c r="L237" s="39">
        <f t="shared" si="85"/>
        <v>0</v>
      </c>
      <c r="M237" s="37" t="e">
        <f t="shared" si="86"/>
        <v>#DIV/0!</v>
      </c>
      <c r="N237" s="38">
        <f>SUMIFS(逐日资产统计!M:M,逐日资产统计!A:A,资产端序时!F237,逐日资产统计!C:C,"人民币")</f>
        <v>0</v>
      </c>
      <c r="O237" s="38">
        <f>SUMIF(逐日资产统计!A:A,资产端序时!F237,逐日资产统计!M:M)-SUMIFS(逐日资产统计!M:M,逐日资产统计!A:A,资产端序时!F237,逐日资产统计!C:C,"人民币")</f>
        <v>0</v>
      </c>
      <c r="Q237" s="45"/>
    </row>
    <row r="238" spans="3:17" x14ac:dyDescent="0.25">
      <c r="C238">
        <f>SUM($B$2:B238)</f>
        <v>-7463.19</v>
      </c>
      <c r="F238" s="31">
        <f t="shared" si="82"/>
        <v>0</v>
      </c>
      <c r="G238" s="33">
        <f>SUMIFS(逐日资产统计!$I:$I,逐日资产统计!$A:$A,F238,逐日资产统计!$C:$C,"人民币")</f>
        <v>0</v>
      </c>
      <c r="H238" s="32">
        <f>SUMIF(逐日资产统计!$A:$A,资产端序时!$F238,逐日资产统计!$I:$I)-G238</f>
        <v>0</v>
      </c>
      <c r="I238" s="29">
        <f t="shared" si="83"/>
        <v>0</v>
      </c>
      <c r="J238" s="32">
        <f>SUMIF(逐日资产统计!$A:$A,资产端序时!$F238,逐日资产统计!$G:$G)</f>
        <v>0</v>
      </c>
      <c r="K238" s="40">
        <f t="shared" si="84"/>
        <v>0</v>
      </c>
      <c r="L238" s="39">
        <f t="shared" si="85"/>
        <v>0</v>
      </c>
      <c r="M238" s="37" t="e">
        <f t="shared" si="86"/>
        <v>#DIV/0!</v>
      </c>
      <c r="N238" s="38">
        <f>SUMIFS(逐日资产统计!M:M,逐日资产统计!A:A,资产端序时!F238,逐日资产统计!C:C,"人民币")</f>
        <v>0</v>
      </c>
      <c r="O238" s="38">
        <f>SUMIF(逐日资产统计!A:A,资产端序时!F238,逐日资产统计!M:M)-SUMIFS(逐日资产统计!M:M,逐日资产统计!A:A,资产端序时!F238,逐日资产统计!C:C,"人民币")</f>
        <v>0</v>
      </c>
      <c r="Q238" s="45"/>
    </row>
    <row r="239" spans="3:17" x14ac:dyDescent="0.25">
      <c r="C239">
        <f>SUM($B$2:B239)</f>
        <v>-7463.19</v>
      </c>
      <c r="F239" s="31">
        <f t="shared" si="82"/>
        <v>0</v>
      </c>
      <c r="G239" s="33">
        <f>SUMIFS(逐日资产统计!$I:$I,逐日资产统计!$A:$A,F239,逐日资产统计!$C:$C,"人民币")</f>
        <v>0</v>
      </c>
      <c r="H239" s="32">
        <f>SUMIF(逐日资产统计!$A:$A,资产端序时!$F239,逐日资产统计!$I:$I)-G239</f>
        <v>0</v>
      </c>
      <c r="I239" s="29">
        <f t="shared" si="83"/>
        <v>0</v>
      </c>
      <c r="J239" s="32">
        <f>SUMIF(逐日资产统计!$A:$A,资产端序时!$F239,逐日资产统计!$G:$G)</f>
        <v>0</v>
      </c>
      <c r="K239" s="40">
        <f t="shared" si="84"/>
        <v>0</v>
      </c>
      <c r="L239" s="39">
        <f t="shared" si="85"/>
        <v>0</v>
      </c>
      <c r="M239" s="37" t="e">
        <f t="shared" si="86"/>
        <v>#DIV/0!</v>
      </c>
      <c r="N239" s="38">
        <f>SUMIFS(逐日资产统计!M:M,逐日资产统计!A:A,资产端序时!F239,逐日资产统计!C:C,"人民币")</f>
        <v>0</v>
      </c>
      <c r="O239" s="38">
        <f>SUMIF(逐日资产统计!A:A,资产端序时!F239,逐日资产统计!M:M)-SUMIFS(逐日资产统计!M:M,逐日资产统计!A:A,资产端序时!F239,逐日资产统计!C:C,"人民币")</f>
        <v>0</v>
      </c>
      <c r="Q239" s="45"/>
    </row>
    <row r="240" spans="3:17" x14ac:dyDescent="0.25">
      <c r="C240">
        <f>SUM($B$2:B240)</f>
        <v>-7463.19</v>
      </c>
      <c r="F240" s="31">
        <f t="shared" si="82"/>
        <v>0</v>
      </c>
      <c r="G240" s="33">
        <f>SUMIFS(逐日资产统计!$I:$I,逐日资产统计!$A:$A,F240,逐日资产统计!$C:$C,"人民币")</f>
        <v>0</v>
      </c>
      <c r="H240" s="32">
        <f>SUMIF(逐日资产统计!$A:$A,资产端序时!$F240,逐日资产统计!$I:$I)-G240</f>
        <v>0</v>
      </c>
      <c r="I240" s="29">
        <f t="shared" si="83"/>
        <v>0</v>
      </c>
      <c r="J240" s="32">
        <f>SUMIF(逐日资产统计!$A:$A,资产端序时!$F240,逐日资产统计!$G:$G)</f>
        <v>0</v>
      </c>
      <c r="K240" s="40">
        <f t="shared" si="84"/>
        <v>0</v>
      </c>
      <c r="L240" s="39">
        <f t="shared" si="85"/>
        <v>0</v>
      </c>
      <c r="M240" s="37" t="e">
        <f t="shared" si="86"/>
        <v>#DIV/0!</v>
      </c>
      <c r="N240" s="38">
        <f>SUMIFS(逐日资产统计!M:M,逐日资产统计!A:A,资产端序时!F240,逐日资产统计!C:C,"人民币")</f>
        <v>0</v>
      </c>
      <c r="O240" s="38">
        <f>SUMIF(逐日资产统计!A:A,资产端序时!F240,逐日资产统计!M:M)-SUMIFS(逐日资产统计!M:M,逐日资产统计!A:A,资产端序时!F240,逐日资产统计!C:C,"人民币")</f>
        <v>0</v>
      </c>
      <c r="Q240" s="45"/>
    </row>
    <row r="241" spans="3:17" x14ac:dyDescent="0.25">
      <c r="C241">
        <f>SUM($B$2:B241)</f>
        <v>-7463.19</v>
      </c>
      <c r="F241" s="31">
        <f t="shared" si="82"/>
        <v>0</v>
      </c>
      <c r="G241" s="33">
        <f>SUMIFS(逐日资产统计!$I:$I,逐日资产统计!$A:$A,F241,逐日资产统计!$C:$C,"人民币")</f>
        <v>0</v>
      </c>
      <c r="H241" s="32">
        <f>SUMIF(逐日资产统计!$A:$A,资产端序时!$F241,逐日资产统计!$I:$I)-G241</f>
        <v>0</v>
      </c>
      <c r="I241" s="29">
        <f t="shared" si="83"/>
        <v>0</v>
      </c>
      <c r="J241" s="32">
        <f>SUMIF(逐日资产统计!$A:$A,资产端序时!$F241,逐日资产统计!$G:$G)</f>
        <v>0</v>
      </c>
      <c r="K241" s="40">
        <f t="shared" si="84"/>
        <v>0</v>
      </c>
      <c r="L241" s="39">
        <f t="shared" si="85"/>
        <v>0</v>
      </c>
      <c r="M241" s="37" t="e">
        <f t="shared" si="86"/>
        <v>#DIV/0!</v>
      </c>
      <c r="N241" s="38">
        <f>SUMIFS(逐日资产统计!M:M,逐日资产统计!A:A,资产端序时!F241,逐日资产统计!C:C,"人民币")</f>
        <v>0</v>
      </c>
      <c r="O241" s="38">
        <f>SUMIF(逐日资产统计!A:A,资产端序时!F241,逐日资产统计!M:M)-SUMIFS(逐日资产统计!M:M,逐日资产统计!A:A,资产端序时!F241,逐日资产统计!C:C,"人民币")</f>
        <v>0</v>
      </c>
      <c r="Q241" s="45"/>
    </row>
    <row r="242" spans="3:17" x14ac:dyDescent="0.25">
      <c r="C242">
        <f>SUM($B$2:B242)</f>
        <v>-7463.19</v>
      </c>
      <c r="F242" s="31">
        <f t="shared" si="82"/>
        <v>0</v>
      </c>
      <c r="G242" s="33">
        <f>SUMIFS(逐日资产统计!$I:$I,逐日资产统计!$A:$A,F242,逐日资产统计!$C:$C,"人民币")</f>
        <v>0</v>
      </c>
      <c r="H242" s="32">
        <f>SUMIF(逐日资产统计!$A:$A,资产端序时!$F242,逐日资产统计!$I:$I)-G242</f>
        <v>0</v>
      </c>
      <c r="I242" s="29">
        <f t="shared" si="83"/>
        <v>0</v>
      </c>
      <c r="J242" s="32">
        <f>SUMIF(逐日资产统计!$A:$A,资产端序时!$F242,逐日资产统计!$G:$G)</f>
        <v>0</v>
      </c>
      <c r="K242" s="40">
        <f t="shared" si="84"/>
        <v>0</v>
      </c>
      <c r="L242" s="39">
        <f t="shared" si="85"/>
        <v>0</v>
      </c>
      <c r="M242" s="37" t="e">
        <f t="shared" si="86"/>
        <v>#DIV/0!</v>
      </c>
      <c r="N242" s="38">
        <f>SUMIFS(逐日资产统计!M:M,逐日资产统计!A:A,资产端序时!F242,逐日资产统计!C:C,"人民币")</f>
        <v>0</v>
      </c>
      <c r="O242" s="38">
        <f>SUMIF(逐日资产统计!A:A,资产端序时!F242,逐日资产统计!M:M)-SUMIFS(逐日资产统计!M:M,逐日资产统计!A:A,资产端序时!F242,逐日资产统计!C:C,"人民币")</f>
        <v>0</v>
      </c>
      <c r="Q242" s="45"/>
    </row>
    <row r="243" spans="3:17" x14ac:dyDescent="0.25">
      <c r="C243">
        <f>SUM($B$2:B243)</f>
        <v>-7463.19</v>
      </c>
      <c r="F243" s="31">
        <f t="shared" si="82"/>
        <v>0</v>
      </c>
      <c r="G243" s="33">
        <f>SUMIFS(逐日资产统计!$I:$I,逐日资产统计!$A:$A,F243,逐日资产统计!$C:$C,"人民币")</f>
        <v>0</v>
      </c>
      <c r="H243" s="32">
        <f>SUMIF(逐日资产统计!$A:$A,资产端序时!$F243,逐日资产统计!$I:$I)-G243</f>
        <v>0</v>
      </c>
      <c r="I243" s="29">
        <f t="shared" si="83"/>
        <v>0</v>
      </c>
      <c r="J243" s="32">
        <f>SUMIF(逐日资产统计!$A:$A,资产端序时!$F243,逐日资产统计!$G:$G)</f>
        <v>0</v>
      </c>
      <c r="K243" s="40">
        <f t="shared" si="84"/>
        <v>0</v>
      </c>
      <c r="L243" s="39">
        <f t="shared" si="85"/>
        <v>0</v>
      </c>
      <c r="M243" s="37" t="e">
        <f t="shared" si="86"/>
        <v>#DIV/0!</v>
      </c>
      <c r="N243" s="38">
        <f>SUMIFS(逐日资产统计!M:M,逐日资产统计!A:A,资产端序时!F243,逐日资产统计!C:C,"人民币")</f>
        <v>0</v>
      </c>
      <c r="O243" s="38">
        <f>SUMIF(逐日资产统计!A:A,资产端序时!F243,逐日资产统计!M:M)-SUMIFS(逐日资产统计!M:M,逐日资产统计!A:A,资产端序时!F243,逐日资产统计!C:C,"人民币")</f>
        <v>0</v>
      </c>
      <c r="Q243" s="45"/>
    </row>
    <row r="244" spans="3:17" x14ac:dyDescent="0.25">
      <c r="C244">
        <f>SUM($B$2:B244)</f>
        <v>-7463.19</v>
      </c>
      <c r="F244" s="31">
        <f t="shared" si="82"/>
        <v>0</v>
      </c>
      <c r="G244" s="33">
        <f>SUMIFS(逐日资产统计!$I:$I,逐日资产统计!$A:$A,F244,逐日资产统计!$C:$C,"人民币")</f>
        <v>0</v>
      </c>
      <c r="H244" s="32">
        <f>SUMIF(逐日资产统计!$A:$A,资产端序时!$F244,逐日资产统计!$I:$I)-G244</f>
        <v>0</v>
      </c>
      <c r="I244" s="29">
        <f t="shared" si="83"/>
        <v>0</v>
      </c>
      <c r="J244" s="32">
        <f>SUMIF(逐日资产统计!$A:$A,资产端序时!$F244,逐日资产统计!$G:$G)</f>
        <v>0</v>
      </c>
      <c r="K244" s="40">
        <f t="shared" si="84"/>
        <v>0</v>
      </c>
      <c r="L244" s="39">
        <f t="shared" si="85"/>
        <v>0</v>
      </c>
      <c r="M244" s="37" t="e">
        <f t="shared" si="86"/>
        <v>#DIV/0!</v>
      </c>
      <c r="N244" s="38">
        <f>SUMIFS(逐日资产统计!M:M,逐日资产统计!A:A,资产端序时!F244,逐日资产统计!C:C,"人民币")</f>
        <v>0</v>
      </c>
      <c r="O244" s="38">
        <f>SUMIF(逐日资产统计!A:A,资产端序时!F244,逐日资产统计!M:M)-SUMIFS(逐日资产统计!M:M,逐日资产统计!A:A,资产端序时!F244,逐日资产统计!C:C,"人民币")</f>
        <v>0</v>
      </c>
      <c r="Q244" s="45"/>
    </row>
    <row r="245" spans="3:17" x14ac:dyDescent="0.25">
      <c r="C245">
        <f>SUM($B$2:B245)</f>
        <v>-7463.19</v>
      </c>
      <c r="F245" s="31">
        <f t="shared" si="82"/>
        <v>0</v>
      </c>
      <c r="G245" s="33">
        <f>SUMIFS(逐日资产统计!$I:$I,逐日资产统计!$A:$A,F245,逐日资产统计!$C:$C,"人民币")</f>
        <v>0</v>
      </c>
      <c r="H245" s="32">
        <f>SUMIF(逐日资产统计!$A:$A,资产端序时!$F245,逐日资产统计!$I:$I)-G245</f>
        <v>0</v>
      </c>
      <c r="I245" s="29">
        <f t="shared" si="83"/>
        <v>0</v>
      </c>
      <c r="J245" s="32">
        <f>SUMIF(逐日资产统计!$A:$A,资产端序时!$F245,逐日资产统计!$G:$G)</f>
        <v>0</v>
      </c>
      <c r="K245" s="40">
        <f t="shared" si="84"/>
        <v>0</v>
      </c>
      <c r="L245" s="39">
        <f t="shared" si="85"/>
        <v>0</v>
      </c>
      <c r="M245" s="37" t="e">
        <f t="shared" si="86"/>
        <v>#DIV/0!</v>
      </c>
      <c r="N245" s="38">
        <f>SUMIFS(逐日资产统计!M:M,逐日资产统计!A:A,资产端序时!F245,逐日资产统计!C:C,"人民币")</f>
        <v>0</v>
      </c>
      <c r="O245" s="38">
        <f>SUMIF(逐日资产统计!A:A,资产端序时!F245,逐日资产统计!M:M)-SUMIFS(逐日资产统计!M:M,逐日资产统计!A:A,资产端序时!F245,逐日资产统计!C:C,"人民币")</f>
        <v>0</v>
      </c>
      <c r="Q245" s="45"/>
    </row>
    <row r="246" spans="3:17" x14ac:dyDescent="0.25">
      <c r="C246">
        <f>SUM($B$2:B246)</f>
        <v>-7463.19</v>
      </c>
      <c r="F246" s="31">
        <f t="shared" si="82"/>
        <v>0</v>
      </c>
      <c r="G246" s="33">
        <f>SUMIFS(逐日资产统计!$I:$I,逐日资产统计!$A:$A,F246,逐日资产统计!$C:$C,"人民币")</f>
        <v>0</v>
      </c>
      <c r="H246" s="32">
        <f>SUMIF(逐日资产统计!$A:$A,资产端序时!$F246,逐日资产统计!$I:$I)-G246</f>
        <v>0</v>
      </c>
      <c r="I246" s="29">
        <f t="shared" si="83"/>
        <v>0</v>
      </c>
      <c r="J246" s="32">
        <f>SUMIF(逐日资产统计!$A:$A,资产端序时!$F246,逐日资产统计!$G:$G)</f>
        <v>0</v>
      </c>
      <c r="K246" s="40">
        <f t="shared" si="84"/>
        <v>0</v>
      </c>
      <c r="L246" s="39">
        <f t="shared" si="85"/>
        <v>0</v>
      </c>
      <c r="M246" s="37" t="e">
        <f t="shared" si="86"/>
        <v>#DIV/0!</v>
      </c>
      <c r="N246" s="38">
        <f>SUMIFS(逐日资产统计!M:M,逐日资产统计!A:A,资产端序时!F246,逐日资产统计!C:C,"人民币")</f>
        <v>0</v>
      </c>
      <c r="O246" s="38">
        <f>SUMIF(逐日资产统计!A:A,资产端序时!F246,逐日资产统计!M:M)-SUMIFS(逐日资产统计!M:M,逐日资产统计!A:A,资产端序时!F246,逐日资产统计!C:C,"人民币")</f>
        <v>0</v>
      </c>
      <c r="Q246" s="45"/>
    </row>
    <row r="247" spans="3:17" x14ac:dyDescent="0.25">
      <c r="C247">
        <f>SUM($B$2:B247)</f>
        <v>-7463.19</v>
      </c>
      <c r="F247" s="31">
        <f t="shared" si="82"/>
        <v>0</v>
      </c>
      <c r="G247" s="33">
        <f>SUMIFS(逐日资产统计!$I:$I,逐日资产统计!$A:$A,F247,逐日资产统计!$C:$C,"人民币")</f>
        <v>0</v>
      </c>
      <c r="H247" s="32">
        <f>SUMIF(逐日资产统计!$A:$A,资产端序时!$F247,逐日资产统计!$I:$I)-G247</f>
        <v>0</v>
      </c>
      <c r="I247" s="29">
        <f t="shared" si="83"/>
        <v>0</v>
      </c>
      <c r="J247" s="32">
        <f>SUMIF(逐日资产统计!$A:$A,资产端序时!$F247,逐日资产统计!$G:$G)</f>
        <v>0</v>
      </c>
      <c r="K247" s="40">
        <f t="shared" si="84"/>
        <v>0</v>
      </c>
      <c r="L247" s="39">
        <f t="shared" si="85"/>
        <v>0</v>
      </c>
      <c r="M247" s="37" t="e">
        <f t="shared" si="86"/>
        <v>#DIV/0!</v>
      </c>
      <c r="N247" s="38">
        <f>SUMIFS(逐日资产统计!M:M,逐日资产统计!A:A,资产端序时!F247,逐日资产统计!C:C,"人民币")</f>
        <v>0</v>
      </c>
      <c r="O247" s="38">
        <f>SUMIF(逐日资产统计!A:A,资产端序时!F247,逐日资产统计!M:M)-SUMIFS(逐日资产统计!M:M,逐日资产统计!A:A,资产端序时!F247,逐日资产统计!C:C,"人民币")</f>
        <v>0</v>
      </c>
      <c r="Q247" s="45"/>
    </row>
    <row r="248" spans="3:17" x14ac:dyDescent="0.25">
      <c r="C248">
        <f>SUM($B$2:B248)</f>
        <v>-7463.19</v>
      </c>
      <c r="F248" s="31">
        <f t="shared" si="82"/>
        <v>0</v>
      </c>
      <c r="G248" s="33">
        <f>SUMIFS(逐日资产统计!$I:$I,逐日资产统计!$A:$A,F248,逐日资产统计!$C:$C,"人民币")</f>
        <v>0</v>
      </c>
      <c r="H248" s="32">
        <f>SUMIF(逐日资产统计!$A:$A,资产端序时!$F248,逐日资产统计!$I:$I)-G248</f>
        <v>0</v>
      </c>
      <c r="I248" s="29">
        <f t="shared" si="83"/>
        <v>0</v>
      </c>
      <c r="J248" s="32">
        <f>SUMIF(逐日资产统计!$A:$A,资产端序时!$F248,逐日资产统计!$G:$G)</f>
        <v>0</v>
      </c>
      <c r="K248" s="40">
        <f t="shared" si="84"/>
        <v>0</v>
      </c>
      <c r="L248" s="39">
        <f t="shared" si="85"/>
        <v>0</v>
      </c>
      <c r="M248" s="37" t="e">
        <f t="shared" si="86"/>
        <v>#DIV/0!</v>
      </c>
      <c r="N248" s="38">
        <f>SUMIFS(逐日资产统计!M:M,逐日资产统计!A:A,资产端序时!F248,逐日资产统计!C:C,"人民币")</f>
        <v>0</v>
      </c>
      <c r="O248" s="38">
        <f>SUMIF(逐日资产统计!A:A,资产端序时!F248,逐日资产统计!M:M)-SUMIFS(逐日资产统计!M:M,逐日资产统计!A:A,资产端序时!F248,逐日资产统计!C:C,"人民币")</f>
        <v>0</v>
      </c>
      <c r="Q248" s="45"/>
    </row>
    <row r="249" spans="3:17" x14ac:dyDescent="0.25">
      <c r="C249">
        <f>SUM($B$2:B249)</f>
        <v>-7463.19</v>
      </c>
      <c r="F249" s="31">
        <f t="shared" si="82"/>
        <v>0</v>
      </c>
      <c r="G249" s="33">
        <f>SUMIFS(逐日资产统计!$I:$I,逐日资产统计!$A:$A,F249,逐日资产统计!$C:$C,"人民币")</f>
        <v>0</v>
      </c>
      <c r="H249" s="32">
        <f>SUMIF(逐日资产统计!$A:$A,资产端序时!$F249,逐日资产统计!$I:$I)-G249</f>
        <v>0</v>
      </c>
      <c r="I249" s="29">
        <f t="shared" si="83"/>
        <v>0</v>
      </c>
      <c r="J249" s="32">
        <f>SUMIF(逐日资产统计!$A:$A,资产端序时!$F249,逐日资产统计!$G:$G)</f>
        <v>0</v>
      </c>
      <c r="K249" s="40">
        <f t="shared" si="84"/>
        <v>0</v>
      </c>
      <c r="L249" s="39">
        <f t="shared" si="85"/>
        <v>0</v>
      </c>
      <c r="M249" s="37" t="e">
        <f t="shared" si="86"/>
        <v>#DIV/0!</v>
      </c>
      <c r="N249" s="38">
        <f>SUMIFS(逐日资产统计!M:M,逐日资产统计!A:A,资产端序时!F249,逐日资产统计!C:C,"人民币")</f>
        <v>0</v>
      </c>
      <c r="O249" s="38">
        <f>SUMIF(逐日资产统计!A:A,资产端序时!F249,逐日资产统计!M:M)-SUMIFS(逐日资产统计!M:M,逐日资产统计!A:A,资产端序时!F249,逐日资产统计!C:C,"人民币")</f>
        <v>0</v>
      </c>
      <c r="Q249" s="45"/>
    </row>
    <row r="250" spans="3:17" x14ac:dyDescent="0.25">
      <c r="C250">
        <f>SUM($B$2:B250)</f>
        <v>-7463.19</v>
      </c>
      <c r="F250" s="31">
        <f t="shared" si="82"/>
        <v>0</v>
      </c>
      <c r="G250" s="33">
        <f>SUMIFS(逐日资产统计!$I:$I,逐日资产统计!$A:$A,F250,逐日资产统计!$C:$C,"人民币")</f>
        <v>0</v>
      </c>
      <c r="H250" s="32">
        <f>SUMIF(逐日资产统计!$A:$A,资产端序时!$F250,逐日资产统计!$I:$I)-G250</f>
        <v>0</v>
      </c>
      <c r="I250" s="29">
        <f t="shared" si="83"/>
        <v>0</v>
      </c>
      <c r="J250" s="32">
        <f>SUMIF(逐日资产统计!$A:$A,资产端序时!$F250,逐日资产统计!$G:$G)</f>
        <v>0</v>
      </c>
      <c r="K250" s="40">
        <f t="shared" si="84"/>
        <v>0</v>
      </c>
      <c r="L250" s="39">
        <f t="shared" si="85"/>
        <v>0</v>
      </c>
      <c r="M250" s="37" t="e">
        <f t="shared" si="86"/>
        <v>#DIV/0!</v>
      </c>
      <c r="N250" s="38">
        <f>SUMIFS(逐日资产统计!M:M,逐日资产统计!A:A,资产端序时!F250,逐日资产统计!C:C,"人民币")</f>
        <v>0</v>
      </c>
      <c r="O250" s="38">
        <f>SUMIF(逐日资产统计!A:A,资产端序时!F250,逐日资产统计!M:M)-SUMIFS(逐日资产统计!M:M,逐日资产统计!A:A,资产端序时!F250,逐日资产统计!C:C,"人民币")</f>
        <v>0</v>
      </c>
      <c r="Q250" s="45"/>
    </row>
    <row r="251" spans="3:17" x14ac:dyDescent="0.25">
      <c r="C251">
        <f>SUM($B$2:B251)</f>
        <v>-7463.19</v>
      </c>
      <c r="F251" s="31">
        <f t="shared" si="82"/>
        <v>0</v>
      </c>
      <c r="G251" s="33">
        <f>SUMIFS(逐日资产统计!$I:$I,逐日资产统计!$A:$A,F251,逐日资产统计!$C:$C,"人民币")</f>
        <v>0</v>
      </c>
      <c r="H251" s="32">
        <f>SUMIF(逐日资产统计!$A:$A,资产端序时!$F251,逐日资产统计!$I:$I)-G251</f>
        <v>0</v>
      </c>
      <c r="I251" s="29">
        <f t="shared" si="83"/>
        <v>0</v>
      </c>
      <c r="J251" s="32">
        <f>SUMIF(逐日资产统计!$A:$A,资产端序时!$F251,逐日资产统计!$G:$G)</f>
        <v>0</v>
      </c>
      <c r="K251" s="40">
        <f t="shared" si="84"/>
        <v>0</v>
      </c>
      <c r="L251" s="39">
        <f t="shared" si="85"/>
        <v>0</v>
      </c>
      <c r="M251" s="37" t="e">
        <f t="shared" si="86"/>
        <v>#DIV/0!</v>
      </c>
      <c r="N251" s="38">
        <f>SUMIFS(逐日资产统计!M:M,逐日资产统计!A:A,资产端序时!F251,逐日资产统计!C:C,"人民币")</f>
        <v>0</v>
      </c>
      <c r="O251" s="38">
        <f>SUMIF(逐日资产统计!A:A,资产端序时!F251,逐日资产统计!M:M)-SUMIFS(逐日资产统计!M:M,逐日资产统计!A:A,资产端序时!F251,逐日资产统计!C:C,"人民币")</f>
        <v>0</v>
      </c>
      <c r="Q251" s="45"/>
    </row>
    <row r="252" spans="3:17" x14ac:dyDescent="0.25">
      <c r="C252">
        <f>SUM($B$2:B252)</f>
        <v>-7463.19</v>
      </c>
      <c r="F252" s="31">
        <f t="shared" ref="F252" si="87">A252</f>
        <v>0</v>
      </c>
      <c r="G252" s="33">
        <f>SUMIFS(逐日资产统计!$I:$I,逐日资产统计!$A:$A,F252,逐日资产统计!$C:$C,"人民币")</f>
        <v>0</v>
      </c>
      <c r="H252" s="32">
        <f>SUMIF(逐日资产统计!$A:$A,资产端序时!$F252,逐日资产统计!$I:$I)-G252</f>
        <v>0</v>
      </c>
      <c r="I252" s="29">
        <f t="shared" ref="I252" si="88">G252+H252</f>
        <v>0</v>
      </c>
      <c r="J252" s="32">
        <f>SUMIF(逐日资产统计!$A:$A,资产端序时!$F252,逐日资产统计!$G:$G)</f>
        <v>0</v>
      </c>
      <c r="K252" s="40">
        <f t="shared" ref="K252" si="89">I252-J252</f>
        <v>0</v>
      </c>
      <c r="L252" s="39">
        <f t="shared" ref="L252" si="90">K252-K251</f>
        <v>0</v>
      </c>
      <c r="M252" s="37" t="e">
        <f t="shared" ref="M252" si="91">J252/K252</f>
        <v>#DIV/0!</v>
      </c>
      <c r="N252" s="38">
        <f>SUMIFS(逐日资产统计!M:M,逐日资产统计!A:A,资产端序时!F252,逐日资产统计!C:C,"人民币")</f>
        <v>0</v>
      </c>
      <c r="O252" s="38">
        <f>SUMIF(逐日资产统计!A:A,资产端序时!F252,逐日资产统计!M:M)-SUMIFS(逐日资产统计!M:M,逐日资产统计!A:A,资产端序时!F252,逐日资产统计!C:C,"人民币")</f>
        <v>0</v>
      </c>
      <c r="Q252" s="45"/>
    </row>
    <row r="253" spans="3:17" x14ac:dyDescent="0.25">
      <c r="C253">
        <f>SUM($B$2:B253)</f>
        <v>-7463.19</v>
      </c>
      <c r="F253" s="31">
        <f t="shared" ref="F253" si="92">A253</f>
        <v>0</v>
      </c>
      <c r="G253" s="33">
        <f>SUMIFS(逐日资产统计!$I:$I,逐日资产统计!$A:$A,F253,逐日资产统计!$C:$C,"人民币")</f>
        <v>0</v>
      </c>
      <c r="H253" s="32">
        <f>SUMIF(逐日资产统计!$A:$A,资产端序时!$F253,逐日资产统计!$I:$I)-G253</f>
        <v>0</v>
      </c>
      <c r="I253" s="29">
        <f t="shared" ref="I253" si="93">G253+H253</f>
        <v>0</v>
      </c>
      <c r="J253" s="32">
        <f>SUMIF(逐日资产统计!$A:$A,资产端序时!$F253,逐日资产统计!$G:$G)</f>
        <v>0</v>
      </c>
      <c r="K253" s="40">
        <f t="shared" ref="K253" si="94">I253-J253</f>
        <v>0</v>
      </c>
      <c r="L253" s="39">
        <f t="shared" ref="L253" si="95">K253-K252</f>
        <v>0</v>
      </c>
      <c r="M253" s="37" t="e">
        <f t="shared" ref="M253" si="96">J253/K253</f>
        <v>#DIV/0!</v>
      </c>
      <c r="N253" s="38">
        <f>SUMIFS(逐日资产统计!M:M,逐日资产统计!A:A,资产端序时!F253,逐日资产统计!C:C,"人民币")</f>
        <v>0</v>
      </c>
      <c r="O253" s="38">
        <f>SUMIF(逐日资产统计!A:A,资产端序时!F253,逐日资产统计!M:M)-SUMIFS(逐日资产统计!M:M,逐日资产统计!A:A,资产端序时!F253,逐日资产统计!C:C,"人民币")</f>
        <v>0</v>
      </c>
      <c r="Q253" s="45"/>
    </row>
    <row r="254" spans="3:17" x14ac:dyDescent="0.25">
      <c r="C254">
        <f>SUM($B$2:B254)</f>
        <v>-7463.19</v>
      </c>
      <c r="F254" s="31">
        <f t="shared" ref="F254" si="97">A254</f>
        <v>0</v>
      </c>
      <c r="G254" s="33">
        <f>SUMIFS(逐日资产统计!$I:$I,逐日资产统计!$A:$A,F254,逐日资产统计!$C:$C,"人民币")</f>
        <v>0</v>
      </c>
      <c r="H254" s="32">
        <f>SUMIF(逐日资产统计!$A:$A,资产端序时!$F254,逐日资产统计!$I:$I)-G254</f>
        <v>0</v>
      </c>
      <c r="I254" s="29">
        <f t="shared" ref="I254" si="98">G254+H254</f>
        <v>0</v>
      </c>
      <c r="J254" s="32">
        <f>SUMIF(逐日资产统计!$A:$A,资产端序时!$F254,逐日资产统计!$G:$G)</f>
        <v>0</v>
      </c>
      <c r="K254" s="40">
        <f t="shared" ref="K254" si="99">I254-J254</f>
        <v>0</v>
      </c>
      <c r="L254" s="39">
        <f t="shared" ref="L254" si="100">K254-K253</f>
        <v>0</v>
      </c>
      <c r="M254" s="37" t="e">
        <f t="shared" ref="M254" si="101">J254/K254</f>
        <v>#DIV/0!</v>
      </c>
      <c r="N254" s="38">
        <f>SUMIFS(逐日资产统计!M:M,逐日资产统计!A:A,资产端序时!F254,逐日资产统计!C:C,"人民币")</f>
        <v>0</v>
      </c>
      <c r="O254" s="38">
        <f>SUMIF(逐日资产统计!A:A,资产端序时!F254,逐日资产统计!M:M)-SUMIFS(逐日资产统计!M:M,逐日资产统计!A:A,资产端序时!F254,逐日资产统计!C:C,"人民币")</f>
        <v>0</v>
      </c>
      <c r="Q254" s="45"/>
    </row>
    <row r="255" spans="3:17" x14ac:dyDescent="0.25">
      <c r="C255">
        <f>SUM($B$2:B255)</f>
        <v>-7463.19</v>
      </c>
      <c r="F255" s="31">
        <f t="shared" ref="F255" si="102">A255</f>
        <v>0</v>
      </c>
      <c r="G255" s="33">
        <f>SUMIFS(逐日资产统计!$I:$I,逐日资产统计!$A:$A,F255,逐日资产统计!$C:$C,"人民币")</f>
        <v>0</v>
      </c>
      <c r="H255" s="32">
        <f>SUMIF(逐日资产统计!$A:$A,资产端序时!$F255,逐日资产统计!$I:$I)-G255</f>
        <v>0</v>
      </c>
      <c r="I255" s="29">
        <f t="shared" ref="I255" si="103">G255+H255</f>
        <v>0</v>
      </c>
      <c r="J255" s="32">
        <f>SUMIF(逐日资产统计!$A:$A,资产端序时!$F255,逐日资产统计!$G:$G)</f>
        <v>0</v>
      </c>
      <c r="K255" s="40">
        <f t="shared" ref="K255" si="104">I255-J255</f>
        <v>0</v>
      </c>
      <c r="L255" s="39">
        <f t="shared" ref="L255" si="105">K255-K254</f>
        <v>0</v>
      </c>
      <c r="M255" s="37" t="e">
        <f t="shared" ref="M255" si="106">J255/K255</f>
        <v>#DIV/0!</v>
      </c>
      <c r="N255" s="38">
        <f>SUMIFS(逐日资产统计!M:M,逐日资产统计!A:A,资产端序时!F255,逐日资产统计!C:C,"人民币")</f>
        <v>0</v>
      </c>
      <c r="O255" s="38">
        <f>SUMIF(逐日资产统计!A:A,资产端序时!F255,逐日资产统计!M:M)-SUMIFS(逐日资产统计!M:M,逐日资产统计!A:A,资产端序时!F255,逐日资产统计!C:C,"人民币")</f>
        <v>0</v>
      </c>
      <c r="Q255" s="45"/>
    </row>
    <row r="256" spans="3:17" x14ac:dyDescent="0.25">
      <c r="C256">
        <f>SUM($B$2:B256)</f>
        <v>-7463.19</v>
      </c>
      <c r="F256" s="31">
        <f t="shared" ref="F256" si="107">A256</f>
        <v>0</v>
      </c>
      <c r="G256" s="33">
        <f>SUMIFS(逐日资产统计!$I:$I,逐日资产统计!$A:$A,F256,逐日资产统计!$C:$C,"人民币")</f>
        <v>0</v>
      </c>
      <c r="H256" s="32">
        <f>SUMIF(逐日资产统计!$A:$A,资产端序时!$F256,逐日资产统计!$I:$I)-G256</f>
        <v>0</v>
      </c>
      <c r="I256" s="29">
        <f t="shared" ref="I256" si="108">G256+H256</f>
        <v>0</v>
      </c>
      <c r="J256" s="32">
        <f>SUMIF(逐日资产统计!$A:$A,资产端序时!$F256,逐日资产统计!$G:$G)</f>
        <v>0</v>
      </c>
      <c r="K256" s="40">
        <f t="shared" ref="K256" si="109">I256-J256</f>
        <v>0</v>
      </c>
      <c r="L256" s="39">
        <f t="shared" ref="L256" si="110">K256-K255</f>
        <v>0</v>
      </c>
      <c r="M256" s="37" t="e">
        <f t="shared" ref="M256" si="111">J256/K256</f>
        <v>#DIV/0!</v>
      </c>
      <c r="N256" s="38">
        <f>SUMIFS(逐日资产统计!M:M,逐日资产统计!A:A,资产端序时!F256,逐日资产统计!C:C,"人民币")</f>
        <v>0</v>
      </c>
      <c r="O256" s="38">
        <f>SUMIF(逐日资产统计!A:A,资产端序时!F256,逐日资产统计!M:M)-SUMIFS(逐日资产统计!M:M,逐日资产统计!A:A,资产端序时!F256,逐日资产统计!C:C,"人民币")</f>
        <v>0</v>
      </c>
      <c r="Q256" s="45"/>
    </row>
    <row r="257" spans="3:17" x14ac:dyDescent="0.25">
      <c r="C257">
        <f>SUM($B$2:B257)</f>
        <v>-7463.19</v>
      </c>
      <c r="F257" s="31">
        <f t="shared" ref="F257" si="112">A257</f>
        <v>0</v>
      </c>
      <c r="G257" s="33">
        <f>SUMIFS(逐日资产统计!$I:$I,逐日资产统计!$A:$A,F257,逐日资产统计!$C:$C,"人民币")</f>
        <v>0</v>
      </c>
      <c r="H257" s="32">
        <f>SUMIF(逐日资产统计!$A:$A,资产端序时!$F257,逐日资产统计!$I:$I)-G257</f>
        <v>0</v>
      </c>
      <c r="I257" s="29">
        <f t="shared" ref="I257" si="113">G257+H257</f>
        <v>0</v>
      </c>
      <c r="J257" s="32">
        <f>SUMIF(逐日资产统计!$A:$A,资产端序时!$F257,逐日资产统计!$G:$G)</f>
        <v>0</v>
      </c>
      <c r="K257" s="40">
        <f t="shared" ref="K257" si="114">I257-J257</f>
        <v>0</v>
      </c>
      <c r="L257" s="39">
        <f t="shared" ref="L257" si="115">K257-K256</f>
        <v>0</v>
      </c>
      <c r="M257" s="37" t="e">
        <f t="shared" ref="M257" si="116">J257/K257</f>
        <v>#DIV/0!</v>
      </c>
      <c r="N257" s="38">
        <f>SUMIFS(逐日资产统计!M:M,逐日资产统计!A:A,资产端序时!F257,逐日资产统计!C:C,"人民币")</f>
        <v>0</v>
      </c>
      <c r="O257" s="38">
        <f>SUMIF(逐日资产统计!A:A,资产端序时!F257,逐日资产统计!M:M)-SUMIFS(逐日资产统计!M:M,逐日资产统计!A:A,资产端序时!F257,逐日资产统计!C:C,"人民币")</f>
        <v>0</v>
      </c>
      <c r="Q257" s="45"/>
    </row>
    <row r="258" spans="3:17" x14ac:dyDescent="0.25">
      <c r="C258">
        <f>SUM($B$2:B258)</f>
        <v>-7463.19</v>
      </c>
      <c r="F258" s="31">
        <f t="shared" ref="F258" si="117">A258</f>
        <v>0</v>
      </c>
      <c r="G258" s="33">
        <f>SUMIFS(逐日资产统计!$I:$I,逐日资产统计!$A:$A,F258,逐日资产统计!$C:$C,"人民币")</f>
        <v>0</v>
      </c>
      <c r="H258" s="32">
        <f>SUMIF(逐日资产统计!$A:$A,资产端序时!$F258,逐日资产统计!$I:$I)-G258</f>
        <v>0</v>
      </c>
      <c r="I258" s="29">
        <f t="shared" ref="I258" si="118">G258+H258</f>
        <v>0</v>
      </c>
      <c r="J258" s="32">
        <f>SUMIF(逐日资产统计!$A:$A,资产端序时!$F258,逐日资产统计!$G:$G)</f>
        <v>0</v>
      </c>
      <c r="K258" s="40">
        <f t="shared" ref="K258" si="119">I258-J258</f>
        <v>0</v>
      </c>
      <c r="L258" s="39">
        <f t="shared" ref="L258" si="120">K258-K257</f>
        <v>0</v>
      </c>
      <c r="M258" s="37" t="e">
        <f t="shared" ref="M258" si="121">J258/K258</f>
        <v>#DIV/0!</v>
      </c>
      <c r="N258" s="38">
        <f>SUMIFS(逐日资产统计!M:M,逐日资产统计!A:A,资产端序时!F258,逐日资产统计!C:C,"人民币")</f>
        <v>0</v>
      </c>
      <c r="O258" s="38">
        <f>SUMIF(逐日资产统计!A:A,资产端序时!F258,逐日资产统计!M:M)-SUMIFS(逐日资产统计!M:M,逐日资产统计!A:A,资产端序时!F258,逐日资产统计!C:C,"人民币")</f>
        <v>0</v>
      </c>
      <c r="Q258" s="45"/>
    </row>
    <row r="259" spans="3:17" x14ac:dyDescent="0.25">
      <c r="C259">
        <f>SUM($B$2:B259)</f>
        <v>-7463.19</v>
      </c>
      <c r="F259" s="31">
        <f t="shared" ref="F259" si="122">A259</f>
        <v>0</v>
      </c>
      <c r="G259" s="33">
        <f>SUMIFS(逐日资产统计!$I:$I,逐日资产统计!$A:$A,F259,逐日资产统计!$C:$C,"人民币")</f>
        <v>0</v>
      </c>
      <c r="H259" s="32">
        <f>SUMIF(逐日资产统计!$A:$A,资产端序时!$F259,逐日资产统计!$I:$I)-G259</f>
        <v>0</v>
      </c>
      <c r="I259" s="29">
        <f t="shared" ref="I259" si="123">G259+H259</f>
        <v>0</v>
      </c>
      <c r="J259" s="32">
        <f>SUMIF(逐日资产统计!$A:$A,资产端序时!$F259,逐日资产统计!$G:$G)</f>
        <v>0</v>
      </c>
      <c r="K259" s="40">
        <f t="shared" ref="K259" si="124">I259-J259</f>
        <v>0</v>
      </c>
      <c r="L259" s="39">
        <f t="shared" ref="L259" si="125">K259-K258</f>
        <v>0</v>
      </c>
      <c r="M259" s="37" t="e">
        <f t="shared" ref="M259" si="126">J259/K259</f>
        <v>#DIV/0!</v>
      </c>
      <c r="N259" s="38">
        <f>SUMIFS(逐日资产统计!M:M,逐日资产统计!A:A,资产端序时!F259,逐日资产统计!C:C,"人民币")</f>
        <v>0</v>
      </c>
      <c r="O259" s="38">
        <f>SUMIF(逐日资产统计!A:A,资产端序时!F259,逐日资产统计!M:M)-SUMIFS(逐日资产统计!M:M,逐日资产统计!A:A,资产端序时!F259,逐日资产统计!C:C,"人民币")</f>
        <v>0</v>
      </c>
      <c r="Q259" s="45"/>
    </row>
    <row r="260" spans="3:17" x14ac:dyDescent="0.25">
      <c r="C260">
        <f>SUM($B$2:B260)</f>
        <v>-7463.19</v>
      </c>
      <c r="F260" s="31">
        <f t="shared" ref="F260" si="127">A260</f>
        <v>0</v>
      </c>
      <c r="G260" s="33">
        <f>SUMIFS(逐日资产统计!$I:$I,逐日资产统计!$A:$A,F260,逐日资产统计!$C:$C,"人民币")</f>
        <v>0</v>
      </c>
      <c r="H260" s="32">
        <f>SUMIF(逐日资产统计!$A:$A,资产端序时!$F260,逐日资产统计!$I:$I)-G260</f>
        <v>0</v>
      </c>
      <c r="I260" s="29">
        <f t="shared" ref="I260" si="128">G260+H260</f>
        <v>0</v>
      </c>
      <c r="J260" s="32">
        <f>SUMIF(逐日资产统计!$A:$A,资产端序时!$F260,逐日资产统计!$G:$G)</f>
        <v>0</v>
      </c>
      <c r="K260" s="40">
        <f t="shared" ref="K260" si="129">I260-J260</f>
        <v>0</v>
      </c>
      <c r="L260" s="39">
        <f t="shared" ref="L260" si="130">K260-K259</f>
        <v>0</v>
      </c>
      <c r="M260" s="37" t="e">
        <f t="shared" ref="M260" si="131">J260/K260</f>
        <v>#DIV/0!</v>
      </c>
      <c r="N260" s="38">
        <f>SUMIFS(逐日资产统计!M:M,逐日资产统计!A:A,资产端序时!F260,逐日资产统计!C:C,"人民币")</f>
        <v>0</v>
      </c>
      <c r="O260" s="38">
        <f>SUMIF(逐日资产统计!A:A,资产端序时!F260,逐日资产统计!M:M)-SUMIFS(逐日资产统计!M:M,逐日资产统计!A:A,资产端序时!F260,逐日资产统计!C:C,"人民币")</f>
        <v>0</v>
      </c>
      <c r="Q260" s="45"/>
    </row>
    <row r="261" spans="3:17" x14ac:dyDescent="0.25">
      <c r="C261">
        <f>SUM($B$2:B261)</f>
        <v>-7463.19</v>
      </c>
      <c r="F261" s="31">
        <f t="shared" ref="F261" si="132">A261</f>
        <v>0</v>
      </c>
      <c r="G261" s="33">
        <f>SUMIFS(逐日资产统计!$I:$I,逐日资产统计!$A:$A,F261,逐日资产统计!$C:$C,"人民币")</f>
        <v>0</v>
      </c>
      <c r="H261" s="32">
        <f>SUMIF(逐日资产统计!$A:$A,资产端序时!$F261,逐日资产统计!$I:$I)-G261</f>
        <v>0</v>
      </c>
      <c r="I261" s="29">
        <f t="shared" ref="I261" si="133">G261+H261</f>
        <v>0</v>
      </c>
      <c r="J261" s="32">
        <f>SUMIF(逐日资产统计!$A:$A,资产端序时!$F261,逐日资产统计!$G:$G)</f>
        <v>0</v>
      </c>
      <c r="K261" s="40">
        <f t="shared" ref="K261" si="134">I261-J261</f>
        <v>0</v>
      </c>
      <c r="L261" s="39">
        <f t="shared" ref="L261" si="135">K261-K260</f>
        <v>0</v>
      </c>
      <c r="M261" s="37" t="e">
        <f t="shared" ref="M261" si="136">J261/K261</f>
        <v>#DIV/0!</v>
      </c>
      <c r="N261" s="38">
        <f>SUMIFS(逐日资产统计!M:M,逐日资产统计!A:A,资产端序时!F261,逐日资产统计!C:C,"人民币")</f>
        <v>0</v>
      </c>
      <c r="O261" s="38">
        <f>SUMIF(逐日资产统计!A:A,资产端序时!F261,逐日资产统计!M:M)-SUMIFS(逐日资产统计!M:M,逐日资产统计!A:A,资产端序时!F261,逐日资产统计!C:C,"人民币")</f>
        <v>0</v>
      </c>
      <c r="Q261" s="45"/>
    </row>
    <row r="262" spans="3:17" x14ac:dyDescent="0.25">
      <c r="C262">
        <f>SUM($B$2:B262)</f>
        <v>-7463.19</v>
      </c>
      <c r="F262" s="31">
        <f t="shared" ref="F262" si="137">A262</f>
        <v>0</v>
      </c>
      <c r="G262" s="33">
        <f>SUMIFS(逐日资产统计!$I:$I,逐日资产统计!$A:$A,F262,逐日资产统计!$C:$C,"人民币")</f>
        <v>0</v>
      </c>
      <c r="H262" s="32">
        <f>SUMIF(逐日资产统计!$A:$A,资产端序时!$F262,逐日资产统计!$I:$I)-G262</f>
        <v>0</v>
      </c>
      <c r="I262" s="29">
        <f t="shared" ref="I262" si="138">G262+H262</f>
        <v>0</v>
      </c>
      <c r="J262" s="32">
        <f>SUMIF(逐日资产统计!$A:$A,资产端序时!$F262,逐日资产统计!$G:$G)</f>
        <v>0</v>
      </c>
      <c r="K262" s="40">
        <f t="shared" ref="K262" si="139">I262-J262</f>
        <v>0</v>
      </c>
      <c r="L262" s="39">
        <f t="shared" ref="L262" si="140">K262-K261</f>
        <v>0</v>
      </c>
      <c r="M262" s="37" t="e">
        <f t="shared" ref="M262" si="141">J262/K262</f>
        <v>#DIV/0!</v>
      </c>
      <c r="N262" s="38">
        <f>SUMIFS(逐日资产统计!M:M,逐日资产统计!A:A,资产端序时!F262,逐日资产统计!C:C,"人民币")</f>
        <v>0</v>
      </c>
      <c r="O262" s="38">
        <f>SUMIF(逐日资产统计!A:A,资产端序时!F262,逐日资产统计!M:M)-SUMIFS(逐日资产统计!M:M,逐日资产统计!A:A,资产端序时!F262,逐日资产统计!C:C,"人民币")</f>
        <v>0</v>
      </c>
      <c r="Q262" s="45"/>
    </row>
    <row r="263" spans="3:17" x14ac:dyDescent="0.25">
      <c r="C263">
        <f>SUM($B$2:B263)</f>
        <v>-7463.19</v>
      </c>
      <c r="F263" s="31">
        <f t="shared" ref="F263" si="142">A263</f>
        <v>0</v>
      </c>
      <c r="G263" s="33">
        <f>SUMIFS(逐日资产统计!$I:$I,逐日资产统计!$A:$A,F263,逐日资产统计!$C:$C,"人民币")</f>
        <v>0</v>
      </c>
      <c r="H263" s="32">
        <f>SUMIF(逐日资产统计!$A:$A,资产端序时!$F263,逐日资产统计!$I:$I)-G263</f>
        <v>0</v>
      </c>
      <c r="I263" s="29">
        <f t="shared" ref="I263" si="143">G263+H263</f>
        <v>0</v>
      </c>
      <c r="J263" s="32">
        <f>SUMIF(逐日资产统计!$A:$A,资产端序时!$F263,逐日资产统计!$G:$G)</f>
        <v>0</v>
      </c>
      <c r="K263" s="40">
        <f t="shared" ref="K263" si="144">I263-J263</f>
        <v>0</v>
      </c>
      <c r="L263" s="39">
        <f t="shared" ref="L263" si="145">K263-K262</f>
        <v>0</v>
      </c>
      <c r="M263" s="37" t="e">
        <f t="shared" ref="M263" si="146">J263/K263</f>
        <v>#DIV/0!</v>
      </c>
      <c r="N263" s="38">
        <f>SUMIFS(逐日资产统计!M:M,逐日资产统计!A:A,资产端序时!F263,逐日资产统计!C:C,"人民币")</f>
        <v>0</v>
      </c>
      <c r="O263" s="38">
        <f>SUMIF(逐日资产统计!A:A,资产端序时!F263,逐日资产统计!M:M)-SUMIFS(逐日资产统计!M:M,逐日资产统计!A:A,资产端序时!F263,逐日资产统计!C:C,"人民币")</f>
        <v>0</v>
      </c>
      <c r="Q263" s="45"/>
    </row>
    <row r="264" spans="3:17" x14ac:dyDescent="0.25">
      <c r="C264">
        <f>SUM($B$2:B264)</f>
        <v>-7463.19</v>
      </c>
      <c r="F264" s="31">
        <f t="shared" ref="F264" si="147">A264</f>
        <v>0</v>
      </c>
      <c r="G264" s="33">
        <f>SUMIFS(逐日资产统计!$I:$I,逐日资产统计!$A:$A,F264,逐日资产统计!$C:$C,"人民币")</f>
        <v>0</v>
      </c>
      <c r="H264" s="32">
        <f>SUMIF(逐日资产统计!$A:$A,资产端序时!$F264,逐日资产统计!$I:$I)-G264</f>
        <v>0</v>
      </c>
      <c r="I264" s="29">
        <f t="shared" ref="I264" si="148">G264+H264</f>
        <v>0</v>
      </c>
      <c r="J264" s="32">
        <f>SUMIF(逐日资产统计!$A:$A,资产端序时!$F264,逐日资产统计!$G:$G)</f>
        <v>0</v>
      </c>
      <c r="K264" s="40">
        <f t="shared" ref="K264" si="149">I264-J264</f>
        <v>0</v>
      </c>
      <c r="L264" s="39">
        <f t="shared" ref="L264" si="150">K264-K263</f>
        <v>0</v>
      </c>
      <c r="M264" s="37" t="e">
        <f t="shared" ref="M264" si="151">J264/K264</f>
        <v>#DIV/0!</v>
      </c>
      <c r="N264" s="38">
        <f>SUMIFS(逐日资产统计!M:M,逐日资产统计!A:A,资产端序时!F264,逐日资产统计!C:C,"人民币")</f>
        <v>0</v>
      </c>
      <c r="O264" s="38">
        <f>SUMIF(逐日资产统计!A:A,资产端序时!F264,逐日资产统计!M:M)-SUMIFS(逐日资产统计!M:M,逐日资产统计!A:A,资产端序时!F264,逐日资产统计!C:C,"人民币")</f>
        <v>0</v>
      </c>
      <c r="Q264" s="45"/>
    </row>
    <row r="265" spans="3:17" x14ac:dyDescent="0.25">
      <c r="C265">
        <f>SUM($B$2:B265)</f>
        <v>-7463.19</v>
      </c>
      <c r="F265" s="31">
        <f t="shared" ref="F265" si="152">A265</f>
        <v>0</v>
      </c>
      <c r="G265" s="33">
        <f>SUMIFS(逐日资产统计!$I:$I,逐日资产统计!$A:$A,F265,逐日资产统计!$C:$C,"人民币")</f>
        <v>0</v>
      </c>
      <c r="H265" s="32">
        <f>SUMIF(逐日资产统计!$A:$A,资产端序时!$F265,逐日资产统计!$I:$I)-G265</f>
        <v>0</v>
      </c>
      <c r="I265" s="29">
        <f t="shared" ref="I265" si="153">G265+H265</f>
        <v>0</v>
      </c>
      <c r="J265" s="32">
        <f>SUMIF(逐日资产统计!$A:$A,资产端序时!$F265,逐日资产统计!$G:$G)</f>
        <v>0</v>
      </c>
      <c r="K265" s="40">
        <f t="shared" ref="K265" si="154">I265-J265</f>
        <v>0</v>
      </c>
      <c r="L265" s="39">
        <f t="shared" ref="L265" si="155">K265-K264</f>
        <v>0</v>
      </c>
      <c r="M265" s="37" t="e">
        <f t="shared" ref="M265" si="156">J265/K265</f>
        <v>#DIV/0!</v>
      </c>
      <c r="N265" s="38">
        <f>SUMIFS(逐日资产统计!M:M,逐日资产统计!A:A,资产端序时!F265,逐日资产统计!C:C,"人民币")</f>
        <v>0</v>
      </c>
      <c r="O265" s="38">
        <f>SUMIF(逐日资产统计!A:A,资产端序时!F265,逐日资产统计!M:M)-SUMIFS(逐日资产统计!M:M,逐日资产统计!A:A,资产端序时!F265,逐日资产统计!C:C,"人民币")</f>
        <v>0</v>
      </c>
      <c r="Q265" s="45"/>
    </row>
    <row r="266" spans="3:17" x14ac:dyDescent="0.25">
      <c r="C266">
        <f>SUM($B$2:B266)</f>
        <v>-7463.19</v>
      </c>
      <c r="F266" s="31">
        <f t="shared" ref="F266" si="157">A266</f>
        <v>0</v>
      </c>
      <c r="G266" s="33">
        <f>SUMIFS(逐日资产统计!$I:$I,逐日资产统计!$A:$A,F266,逐日资产统计!$C:$C,"人民币")</f>
        <v>0</v>
      </c>
      <c r="H266" s="32">
        <f>SUMIF(逐日资产统计!$A:$A,资产端序时!$F266,逐日资产统计!$I:$I)-G266</f>
        <v>0</v>
      </c>
      <c r="I266" s="29">
        <f t="shared" ref="I266" si="158">G266+H266</f>
        <v>0</v>
      </c>
      <c r="J266" s="32">
        <f>SUMIF(逐日资产统计!$A:$A,资产端序时!$F266,逐日资产统计!$G:$G)</f>
        <v>0</v>
      </c>
      <c r="K266" s="40">
        <f t="shared" ref="K266" si="159">I266-J266</f>
        <v>0</v>
      </c>
      <c r="L266" s="39">
        <f t="shared" ref="L266" si="160">K266-K265</f>
        <v>0</v>
      </c>
      <c r="M266" s="37" t="e">
        <f t="shared" ref="M266" si="161">J266/K266</f>
        <v>#DIV/0!</v>
      </c>
      <c r="N266" s="38">
        <f>SUMIFS(逐日资产统计!M:M,逐日资产统计!A:A,资产端序时!F266,逐日资产统计!C:C,"人民币")</f>
        <v>0</v>
      </c>
      <c r="O266" s="38">
        <f>SUMIF(逐日资产统计!A:A,资产端序时!F266,逐日资产统计!M:M)-SUMIFS(逐日资产统计!M:M,逐日资产统计!A:A,资产端序时!F266,逐日资产统计!C:C,"人民币")</f>
        <v>0</v>
      </c>
      <c r="Q266" s="45"/>
    </row>
    <row r="267" spans="3:17" x14ac:dyDescent="0.25">
      <c r="C267">
        <f>SUM($B$2:B267)</f>
        <v>-7463.19</v>
      </c>
      <c r="F267" s="31">
        <f t="shared" ref="F267" si="162">A267</f>
        <v>0</v>
      </c>
      <c r="G267" s="33">
        <f>SUMIFS(逐日资产统计!$I:$I,逐日资产统计!$A:$A,F267,逐日资产统计!$C:$C,"人民币")</f>
        <v>0</v>
      </c>
      <c r="H267" s="32">
        <f>SUMIF(逐日资产统计!$A:$A,资产端序时!$F267,逐日资产统计!$I:$I)-G267</f>
        <v>0</v>
      </c>
      <c r="I267" s="29">
        <f t="shared" ref="I267" si="163">G267+H267</f>
        <v>0</v>
      </c>
      <c r="J267" s="32">
        <f>SUMIF(逐日资产统计!$A:$A,资产端序时!$F267,逐日资产统计!$G:$G)</f>
        <v>0</v>
      </c>
      <c r="K267" s="40">
        <f t="shared" ref="K267" si="164">I267-J267</f>
        <v>0</v>
      </c>
      <c r="L267" s="39">
        <f t="shared" ref="L267" si="165">K267-K266</f>
        <v>0</v>
      </c>
      <c r="M267" s="37" t="e">
        <f t="shared" ref="M267" si="166">J267/K267</f>
        <v>#DIV/0!</v>
      </c>
      <c r="N267" s="38">
        <f>SUMIFS(逐日资产统计!M:M,逐日资产统计!A:A,资产端序时!F267,逐日资产统计!C:C,"人民币")</f>
        <v>0</v>
      </c>
      <c r="O267" s="38">
        <f>SUMIF(逐日资产统计!A:A,资产端序时!F267,逐日资产统计!M:M)-SUMIFS(逐日资产统计!M:M,逐日资产统计!A:A,资产端序时!F267,逐日资产统计!C:C,"人民币")</f>
        <v>0</v>
      </c>
      <c r="Q267" s="45"/>
    </row>
    <row r="268" spans="3:17" x14ac:dyDescent="0.25">
      <c r="C268">
        <f>SUM($B$2:B268)</f>
        <v>-7463.19</v>
      </c>
      <c r="F268" s="31">
        <f t="shared" ref="F268" si="167">A268</f>
        <v>0</v>
      </c>
      <c r="G268" s="33">
        <f>SUMIFS(逐日资产统计!$I:$I,逐日资产统计!$A:$A,F268,逐日资产统计!$C:$C,"人民币")</f>
        <v>0</v>
      </c>
      <c r="H268" s="32">
        <f>SUMIF(逐日资产统计!$A:$A,资产端序时!$F268,逐日资产统计!$I:$I)-G268</f>
        <v>0</v>
      </c>
      <c r="I268" s="29">
        <f t="shared" ref="I268" si="168">G268+H268</f>
        <v>0</v>
      </c>
      <c r="J268" s="32">
        <f>SUMIF(逐日资产统计!$A:$A,资产端序时!$F268,逐日资产统计!$G:$G)</f>
        <v>0</v>
      </c>
      <c r="K268" s="40">
        <f t="shared" ref="K268" si="169">I268-J268</f>
        <v>0</v>
      </c>
      <c r="L268" s="39">
        <f t="shared" ref="L268" si="170">K268-K267</f>
        <v>0</v>
      </c>
      <c r="M268" s="37" t="e">
        <f t="shared" ref="M268" si="171">J268/K268</f>
        <v>#DIV/0!</v>
      </c>
      <c r="N268" s="38">
        <f>SUMIFS(逐日资产统计!M:M,逐日资产统计!A:A,资产端序时!F268,逐日资产统计!C:C,"人民币")</f>
        <v>0</v>
      </c>
      <c r="O268" s="38">
        <f>SUMIF(逐日资产统计!A:A,资产端序时!F268,逐日资产统计!M:M)-SUMIFS(逐日资产统计!M:M,逐日资产统计!A:A,资产端序时!F268,逐日资产统计!C:C,"人民币")</f>
        <v>0</v>
      </c>
      <c r="Q268" s="45"/>
    </row>
    <row r="269" spans="3:17" x14ac:dyDescent="0.25">
      <c r="C269">
        <f>SUM($B$2:B269)</f>
        <v>-7463.19</v>
      </c>
      <c r="F269" s="31">
        <f t="shared" ref="F269" si="172">A269</f>
        <v>0</v>
      </c>
      <c r="G269" s="33">
        <f>SUMIFS(逐日资产统计!$I:$I,逐日资产统计!$A:$A,F269,逐日资产统计!$C:$C,"人民币")</f>
        <v>0</v>
      </c>
      <c r="H269" s="32">
        <f>SUMIF(逐日资产统计!$A:$A,资产端序时!$F269,逐日资产统计!$I:$I)-G269</f>
        <v>0</v>
      </c>
      <c r="I269" s="29">
        <f t="shared" ref="I269" si="173">G269+H269</f>
        <v>0</v>
      </c>
      <c r="J269" s="32">
        <f>SUMIF(逐日资产统计!$A:$A,资产端序时!$F269,逐日资产统计!$G:$G)</f>
        <v>0</v>
      </c>
      <c r="K269" s="40">
        <f t="shared" ref="K269" si="174">I269-J269</f>
        <v>0</v>
      </c>
      <c r="L269" s="39">
        <f t="shared" ref="L269" si="175">K269-K268</f>
        <v>0</v>
      </c>
      <c r="M269" s="37" t="e">
        <f t="shared" ref="M269" si="176">J269/K269</f>
        <v>#DIV/0!</v>
      </c>
      <c r="N269" s="38">
        <f>SUMIFS(逐日资产统计!M:M,逐日资产统计!A:A,资产端序时!F269,逐日资产统计!C:C,"人民币")</f>
        <v>0</v>
      </c>
      <c r="O269" s="38">
        <f>SUMIF(逐日资产统计!A:A,资产端序时!F269,逐日资产统计!M:M)-SUMIFS(逐日资产统计!M:M,逐日资产统计!A:A,资产端序时!F269,逐日资产统计!C:C,"人民币")</f>
        <v>0</v>
      </c>
      <c r="Q269" s="45"/>
    </row>
    <row r="270" spans="3:17" x14ac:dyDescent="0.25">
      <c r="C270">
        <f>SUM($B$2:B270)</f>
        <v>-7463.19</v>
      </c>
      <c r="F270" s="31">
        <f t="shared" ref="F270:F271" si="177">A270</f>
        <v>0</v>
      </c>
      <c r="G270" s="33">
        <f>SUMIFS(逐日资产统计!$I:$I,逐日资产统计!$A:$A,F270,逐日资产统计!$C:$C,"人民币")</f>
        <v>0</v>
      </c>
      <c r="H270" s="32">
        <f>SUMIF(逐日资产统计!$A:$A,资产端序时!$F270,逐日资产统计!$I:$I)-G270</f>
        <v>0</v>
      </c>
      <c r="I270" s="29">
        <f t="shared" ref="I270:I271" si="178">G270+H270</f>
        <v>0</v>
      </c>
      <c r="J270" s="32">
        <f>SUMIF(逐日资产统计!$A:$A,资产端序时!$F270,逐日资产统计!$G:$G)</f>
        <v>0</v>
      </c>
      <c r="K270" s="40">
        <f t="shared" ref="K270:K271" si="179">I270-J270</f>
        <v>0</v>
      </c>
      <c r="L270" s="39">
        <f t="shared" ref="L270:L271" si="180">K270-K269</f>
        <v>0</v>
      </c>
      <c r="M270" s="37" t="e">
        <f t="shared" ref="M270:M271" si="181">J270/K270</f>
        <v>#DIV/0!</v>
      </c>
      <c r="N270" s="38">
        <f>SUMIFS(逐日资产统计!M:M,逐日资产统计!A:A,资产端序时!F270,逐日资产统计!C:C,"人民币")</f>
        <v>0</v>
      </c>
      <c r="O270" s="38">
        <f>SUMIF(逐日资产统计!A:A,资产端序时!F270,逐日资产统计!M:M)-SUMIFS(逐日资产统计!M:M,逐日资产统计!A:A,资产端序时!F270,逐日资产统计!C:C,"人民币")</f>
        <v>0</v>
      </c>
      <c r="Q270" s="45"/>
    </row>
    <row r="271" spans="3:17" x14ac:dyDescent="0.25">
      <c r="C271">
        <f>SUM($B$2:B271)</f>
        <v>-7463.19</v>
      </c>
      <c r="F271" s="31">
        <f t="shared" si="177"/>
        <v>0</v>
      </c>
      <c r="G271" s="33">
        <f>SUMIFS(逐日资产统计!$I:$I,逐日资产统计!$A:$A,F271,逐日资产统计!$C:$C,"人民币")</f>
        <v>0</v>
      </c>
      <c r="H271" s="32">
        <f>SUMIF(逐日资产统计!$A:$A,资产端序时!$F271,逐日资产统计!$I:$I)-G271</f>
        <v>0</v>
      </c>
      <c r="I271" s="29">
        <f t="shared" si="178"/>
        <v>0</v>
      </c>
      <c r="J271" s="32">
        <f>SUMIF(逐日资产统计!$A:$A,资产端序时!$F271,逐日资产统计!$G:$G)</f>
        <v>0</v>
      </c>
      <c r="K271" s="40">
        <f t="shared" si="179"/>
        <v>0</v>
      </c>
      <c r="L271" s="39">
        <f t="shared" si="180"/>
        <v>0</v>
      </c>
      <c r="M271" s="37" t="e">
        <f t="shared" si="181"/>
        <v>#DIV/0!</v>
      </c>
      <c r="N271" s="38">
        <f>SUMIFS(逐日资产统计!M:M,逐日资产统计!A:A,资产端序时!F271,逐日资产统计!C:C,"人民币")</f>
        <v>0</v>
      </c>
      <c r="O271" s="38">
        <f>SUMIF(逐日资产统计!A:A,资产端序时!F271,逐日资产统计!M:M)-SUMIFS(逐日资产统计!M:M,逐日资产统计!A:A,资产端序时!F271,逐日资产统计!C:C,"人民币")</f>
        <v>0</v>
      </c>
      <c r="Q271" s="45"/>
    </row>
    <row r="272" spans="3:17" x14ac:dyDescent="0.25">
      <c r="C272">
        <f>SUM($B$2:B272)</f>
        <v>-7463.19</v>
      </c>
      <c r="F272" s="31">
        <f t="shared" ref="F272" si="182">A272</f>
        <v>0</v>
      </c>
      <c r="G272" s="33">
        <f>SUMIFS(逐日资产统计!$I:$I,逐日资产统计!$A:$A,F272,逐日资产统计!$C:$C,"人民币")</f>
        <v>0</v>
      </c>
      <c r="H272" s="32">
        <f>SUMIF(逐日资产统计!$A:$A,资产端序时!$F272,逐日资产统计!$I:$I)-G272</f>
        <v>0</v>
      </c>
      <c r="I272" s="29">
        <f t="shared" ref="I272" si="183">G272+H272</f>
        <v>0</v>
      </c>
      <c r="J272" s="32">
        <f>SUMIF(逐日资产统计!$A:$A,资产端序时!$F272,逐日资产统计!$G:$G)</f>
        <v>0</v>
      </c>
      <c r="K272" s="40">
        <f t="shared" ref="K272" si="184">I272-J272</f>
        <v>0</v>
      </c>
      <c r="L272" s="39">
        <f t="shared" ref="L272" si="185">K272-K271</f>
        <v>0</v>
      </c>
      <c r="M272" s="37" t="e">
        <f t="shared" ref="M272" si="186">J272/K272</f>
        <v>#DIV/0!</v>
      </c>
      <c r="N272" s="38">
        <f>SUMIFS(逐日资产统计!M:M,逐日资产统计!A:A,资产端序时!F272,逐日资产统计!C:C,"人民币")</f>
        <v>0</v>
      </c>
      <c r="O272" s="38">
        <f>SUMIF(逐日资产统计!A:A,资产端序时!F272,逐日资产统计!M:M)-SUMIFS(逐日资产统计!M:M,逐日资产统计!A:A,资产端序时!F272,逐日资产统计!C:C,"人民币")</f>
        <v>0</v>
      </c>
      <c r="Q272" s="45"/>
    </row>
    <row r="273" spans="3:17" x14ac:dyDescent="0.25">
      <c r="C273">
        <f>SUM($B$2:B273)</f>
        <v>-7463.19</v>
      </c>
      <c r="F273" s="31">
        <f t="shared" ref="F273" si="187">A273</f>
        <v>0</v>
      </c>
      <c r="G273" s="33">
        <f>SUMIFS(逐日资产统计!$I:$I,逐日资产统计!$A:$A,F273,逐日资产统计!$C:$C,"人民币")</f>
        <v>0</v>
      </c>
      <c r="H273" s="32">
        <f>SUMIF(逐日资产统计!$A:$A,资产端序时!$F273,逐日资产统计!$I:$I)-G273</f>
        <v>0</v>
      </c>
      <c r="I273" s="29">
        <f t="shared" ref="I273" si="188">G273+H273</f>
        <v>0</v>
      </c>
      <c r="J273" s="32">
        <f>SUMIF(逐日资产统计!$A:$A,资产端序时!$F273,逐日资产统计!$G:$G)</f>
        <v>0</v>
      </c>
      <c r="K273" s="40">
        <f t="shared" ref="K273" si="189">I273-J273</f>
        <v>0</v>
      </c>
      <c r="L273" s="39">
        <f t="shared" ref="L273" si="190">K273-K272</f>
        <v>0</v>
      </c>
      <c r="M273" s="37" t="e">
        <f t="shared" ref="M273" si="191">J273/K273</f>
        <v>#DIV/0!</v>
      </c>
      <c r="N273" s="38">
        <f>SUMIFS(逐日资产统计!M:M,逐日资产统计!A:A,资产端序时!F273,逐日资产统计!C:C,"人民币")</f>
        <v>0</v>
      </c>
      <c r="O273" s="38">
        <f>SUMIF(逐日资产统计!A:A,资产端序时!F273,逐日资产统计!M:M)-SUMIFS(逐日资产统计!M:M,逐日资产统计!A:A,资产端序时!F273,逐日资产统计!C:C,"人民币")</f>
        <v>0</v>
      </c>
      <c r="Q273" s="45"/>
    </row>
    <row r="274" spans="3:17" x14ac:dyDescent="0.25">
      <c r="C274">
        <f>SUM($B$2:B274)</f>
        <v>-7463.19</v>
      </c>
      <c r="F274" s="31">
        <f t="shared" ref="F274" si="192">A274</f>
        <v>0</v>
      </c>
      <c r="G274" s="33">
        <f>SUMIFS(逐日资产统计!$I:$I,逐日资产统计!$A:$A,F274,逐日资产统计!$C:$C,"人民币")</f>
        <v>0</v>
      </c>
      <c r="H274" s="32">
        <f>SUMIF(逐日资产统计!$A:$A,资产端序时!$F274,逐日资产统计!$I:$I)-G274</f>
        <v>0</v>
      </c>
      <c r="I274" s="29">
        <f t="shared" ref="I274" si="193">G274+H274</f>
        <v>0</v>
      </c>
      <c r="J274" s="32">
        <f>SUMIF(逐日资产统计!$A:$A,资产端序时!$F274,逐日资产统计!$G:$G)</f>
        <v>0</v>
      </c>
      <c r="K274" s="40">
        <f t="shared" ref="K274" si="194">I274-J274</f>
        <v>0</v>
      </c>
      <c r="L274" s="39">
        <f t="shared" ref="L274" si="195">K274-K273</f>
        <v>0</v>
      </c>
      <c r="M274" s="37" t="e">
        <f t="shared" ref="M274" si="196">J274/K274</f>
        <v>#DIV/0!</v>
      </c>
      <c r="N274" s="38">
        <f>SUMIFS(逐日资产统计!M:M,逐日资产统计!A:A,资产端序时!F274,逐日资产统计!C:C,"人民币")</f>
        <v>0</v>
      </c>
      <c r="O274" s="38">
        <f>SUMIF(逐日资产统计!A:A,资产端序时!F274,逐日资产统计!M:M)-SUMIFS(逐日资产统计!M:M,逐日资产统计!A:A,资产端序时!F274,逐日资产统计!C:C,"人民币")</f>
        <v>0</v>
      </c>
      <c r="Q274" s="45"/>
    </row>
    <row r="275" spans="3:17" x14ac:dyDescent="0.25">
      <c r="C275">
        <f>SUM($B$2:B275)</f>
        <v>-7463.19</v>
      </c>
      <c r="F275" s="31">
        <f t="shared" ref="F275" si="197">A275</f>
        <v>0</v>
      </c>
      <c r="G275" s="33">
        <f>SUMIFS(逐日资产统计!$I:$I,逐日资产统计!$A:$A,F275,逐日资产统计!$C:$C,"人民币")</f>
        <v>0</v>
      </c>
      <c r="H275" s="32">
        <f>SUMIF(逐日资产统计!$A:$A,资产端序时!$F275,逐日资产统计!$I:$I)-G275</f>
        <v>0</v>
      </c>
      <c r="I275" s="29">
        <f t="shared" ref="I275" si="198">G275+H275</f>
        <v>0</v>
      </c>
      <c r="J275" s="32">
        <f>SUMIF(逐日资产统计!$A:$A,资产端序时!$F275,逐日资产统计!$G:$G)</f>
        <v>0</v>
      </c>
      <c r="K275" s="40">
        <f t="shared" ref="K275" si="199">I275-J275</f>
        <v>0</v>
      </c>
      <c r="L275" s="39">
        <f t="shared" ref="L275" si="200">K275-K274</f>
        <v>0</v>
      </c>
      <c r="M275" s="37" t="e">
        <f t="shared" ref="M275" si="201">J275/K275</f>
        <v>#DIV/0!</v>
      </c>
      <c r="N275" s="38">
        <f>SUMIFS(逐日资产统计!M:M,逐日资产统计!A:A,资产端序时!F275,逐日资产统计!C:C,"人民币")</f>
        <v>0</v>
      </c>
      <c r="O275" s="38">
        <f>SUMIF(逐日资产统计!A:A,资产端序时!F275,逐日资产统计!M:M)-SUMIFS(逐日资产统计!M:M,逐日资产统计!A:A,资产端序时!F275,逐日资产统计!C:C,"人民币")</f>
        <v>0</v>
      </c>
      <c r="Q275" s="45"/>
    </row>
    <row r="276" spans="3:17" x14ac:dyDescent="0.25">
      <c r="C276">
        <f>SUM($B$2:B276)</f>
        <v>-7463.19</v>
      </c>
      <c r="F276" s="31">
        <f t="shared" ref="F276" si="202">A276</f>
        <v>0</v>
      </c>
      <c r="G276" s="33">
        <f>SUMIFS(逐日资产统计!$I:$I,逐日资产统计!$A:$A,F276,逐日资产统计!$C:$C,"人民币")</f>
        <v>0</v>
      </c>
      <c r="H276" s="32">
        <f>SUMIF(逐日资产统计!$A:$A,资产端序时!$F276,逐日资产统计!$I:$I)-G276</f>
        <v>0</v>
      </c>
      <c r="I276" s="29">
        <f t="shared" ref="I276" si="203">G276+H276</f>
        <v>0</v>
      </c>
      <c r="J276" s="32">
        <f>SUMIF(逐日资产统计!$A:$A,资产端序时!$F276,逐日资产统计!$G:$G)</f>
        <v>0</v>
      </c>
      <c r="K276" s="40">
        <f t="shared" ref="K276" si="204">I276-J276</f>
        <v>0</v>
      </c>
      <c r="L276" s="39">
        <f t="shared" ref="L276" si="205">K276-K275</f>
        <v>0</v>
      </c>
      <c r="M276" s="37" t="e">
        <f t="shared" ref="M276" si="206">J276/K276</f>
        <v>#DIV/0!</v>
      </c>
      <c r="N276" s="38">
        <f>SUMIFS(逐日资产统计!M:M,逐日资产统计!A:A,资产端序时!F276,逐日资产统计!C:C,"人民币")</f>
        <v>0</v>
      </c>
      <c r="O276" s="38">
        <f>SUMIF(逐日资产统计!A:A,资产端序时!F276,逐日资产统计!M:M)-SUMIFS(逐日资产统计!M:M,逐日资产统计!A:A,资产端序时!F276,逐日资产统计!C:C,"人民币")</f>
        <v>0</v>
      </c>
      <c r="Q276" s="45"/>
    </row>
    <row r="277" spans="3:17" x14ac:dyDescent="0.25">
      <c r="C277">
        <f>SUM($B$2:B277)</f>
        <v>-7463.19</v>
      </c>
      <c r="F277" s="31">
        <f t="shared" ref="F277" si="207">A277</f>
        <v>0</v>
      </c>
      <c r="G277" s="33">
        <f>SUMIFS(逐日资产统计!$I:$I,逐日资产统计!$A:$A,F277,逐日资产统计!$C:$C,"人民币")</f>
        <v>0</v>
      </c>
      <c r="H277" s="32">
        <f>SUMIF(逐日资产统计!$A:$A,资产端序时!$F277,逐日资产统计!$I:$I)-G277</f>
        <v>0</v>
      </c>
      <c r="I277" s="29">
        <f t="shared" ref="I277" si="208">G277+H277</f>
        <v>0</v>
      </c>
      <c r="J277" s="32">
        <f>SUMIF(逐日资产统计!$A:$A,资产端序时!$F277,逐日资产统计!$G:$G)</f>
        <v>0</v>
      </c>
      <c r="K277" s="40">
        <f>I277-J277</f>
        <v>0</v>
      </c>
      <c r="L277" s="39">
        <f t="shared" ref="L277" si="209">K277-K276</f>
        <v>0</v>
      </c>
      <c r="M277" s="37" t="e">
        <f t="shared" ref="M277" si="210">J277/K277</f>
        <v>#DIV/0!</v>
      </c>
      <c r="N277" s="38">
        <f>SUMIFS(逐日资产统计!M:M,逐日资产统计!A:A,资产端序时!F277,逐日资产统计!C:C,"人民币")</f>
        <v>0</v>
      </c>
      <c r="O277" s="38">
        <f>SUMIF(逐日资产统计!A:A,资产端序时!F277,逐日资产统计!M:M)-SUMIFS(逐日资产统计!M:M,逐日资产统计!A:A,资产端序时!F277,逐日资产统计!C:C,"人民币")</f>
        <v>0</v>
      </c>
      <c r="Q277" s="45"/>
    </row>
    <row r="278" spans="3:17" x14ac:dyDescent="0.25">
      <c r="C278">
        <f>SUM($B$2:B278)</f>
        <v>-7463.19</v>
      </c>
      <c r="F278" s="31">
        <f t="shared" ref="F278" si="211">A278</f>
        <v>0</v>
      </c>
      <c r="G278" s="33">
        <f>SUMIFS(逐日资产统计!$I:$I,逐日资产统计!$A:$A,F278,逐日资产统计!$C:$C,"人民币")</f>
        <v>0</v>
      </c>
      <c r="H278" s="32">
        <f>SUMIF(逐日资产统计!$A:$A,资产端序时!$F278,逐日资产统计!$I:$I)-G278</f>
        <v>0</v>
      </c>
      <c r="I278" s="29">
        <f t="shared" ref="I278" si="212">G278+H278</f>
        <v>0</v>
      </c>
      <c r="J278" s="32">
        <f>SUMIF(逐日资产统计!$A:$A,资产端序时!$F278,逐日资产统计!$G:$G)</f>
        <v>0</v>
      </c>
      <c r="K278" s="40">
        <f t="shared" ref="K278" si="213">I278-J278</f>
        <v>0</v>
      </c>
      <c r="L278" s="39">
        <f t="shared" ref="L278" si="214">K278-K277</f>
        <v>0</v>
      </c>
      <c r="M278" s="37" t="e">
        <f t="shared" ref="M278" si="215">J278/K278</f>
        <v>#DIV/0!</v>
      </c>
      <c r="N278" s="38">
        <f>SUMIFS(逐日资产统计!M:M,逐日资产统计!A:A,资产端序时!F278,逐日资产统计!C:C,"人民币")</f>
        <v>0</v>
      </c>
      <c r="O278" s="38">
        <f>SUMIF(逐日资产统计!A:A,资产端序时!F278,逐日资产统计!M:M)-SUMIFS(逐日资产统计!M:M,逐日资产统计!A:A,资产端序时!F278,逐日资产统计!C:C,"人民币")</f>
        <v>0</v>
      </c>
      <c r="Q278" s="45"/>
    </row>
    <row r="279" spans="3:17" x14ac:dyDescent="0.25">
      <c r="C279">
        <f>SUM($B$2:B279)</f>
        <v>-7463.19</v>
      </c>
      <c r="F279" s="31">
        <f t="shared" ref="F279" si="216">A279</f>
        <v>0</v>
      </c>
      <c r="G279" s="33">
        <f>SUMIFS(逐日资产统计!$I:$I,逐日资产统计!$A:$A,F279,逐日资产统计!$C:$C,"人民币")</f>
        <v>0</v>
      </c>
      <c r="H279" s="32">
        <f>SUMIF(逐日资产统计!$A:$A,资产端序时!$F279,逐日资产统计!$I:$I)-G279</f>
        <v>0</v>
      </c>
      <c r="I279" s="29">
        <f t="shared" ref="I279" si="217">G279+H279</f>
        <v>0</v>
      </c>
      <c r="J279" s="32">
        <f>SUMIF(逐日资产统计!$A:$A,资产端序时!$F279,逐日资产统计!$G:$G)</f>
        <v>0</v>
      </c>
      <c r="K279" s="40">
        <f t="shared" ref="K279" si="218">I279-J279</f>
        <v>0</v>
      </c>
      <c r="L279" s="39">
        <f t="shared" ref="L279" si="219">K279-K278</f>
        <v>0</v>
      </c>
      <c r="M279" s="37" t="e">
        <f t="shared" ref="M279" si="220">J279/K279</f>
        <v>#DIV/0!</v>
      </c>
      <c r="N279" s="38">
        <f>SUMIFS(逐日资产统计!M:M,逐日资产统计!A:A,资产端序时!F279,逐日资产统计!C:C,"人民币")</f>
        <v>0</v>
      </c>
      <c r="O279" s="38">
        <f>SUMIF(逐日资产统计!A:A,资产端序时!F279,逐日资产统计!M:M)-SUMIFS(逐日资产统计!M:M,逐日资产统计!A:A,资产端序时!F279,逐日资产统计!C:C,"人民币")</f>
        <v>0</v>
      </c>
      <c r="Q279" s="45"/>
    </row>
    <row r="280" spans="3:17" x14ac:dyDescent="0.25">
      <c r="C280">
        <f>SUM($B$2:B280)</f>
        <v>-7463.19</v>
      </c>
      <c r="F280" s="31">
        <f t="shared" ref="F280" si="221">A280</f>
        <v>0</v>
      </c>
      <c r="G280" s="33">
        <f>SUMIFS(逐日资产统计!$I:$I,逐日资产统计!$A:$A,F280,逐日资产统计!$C:$C,"人民币")</f>
        <v>0</v>
      </c>
      <c r="H280" s="32">
        <f>SUMIF(逐日资产统计!$A:$A,资产端序时!$F280,逐日资产统计!$I:$I)-G280</f>
        <v>0</v>
      </c>
      <c r="I280" s="29">
        <f t="shared" ref="I280" si="222">G280+H280</f>
        <v>0</v>
      </c>
      <c r="J280" s="32">
        <f>SUMIF(逐日资产统计!$A:$A,资产端序时!$F280,逐日资产统计!$G:$G)</f>
        <v>0</v>
      </c>
      <c r="K280" s="40">
        <f t="shared" ref="K280" si="223">I280-J280</f>
        <v>0</v>
      </c>
      <c r="L280" s="39">
        <f t="shared" ref="L280" si="224">K280-K279</f>
        <v>0</v>
      </c>
      <c r="M280" s="37" t="e">
        <f t="shared" ref="M280" si="225">J280/K280</f>
        <v>#DIV/0!</v>
      </c>
      <c r="N280" s="38">
        <f>SUMIFS(逐日资产统计!M:M,逐日资产统计!A:A,资产端序时!F280,逐日资产统计!C:C,"人民币")</f>
        <v>0</v>
      </c>
      <c r="O280" s="38">
        <f>SUMIF(逐日资产统计!A:A,资产端序时!F280,逐日资产统计!M:M)-SUMIFS(逐日资产统计!M:M,逐日资产统计!A:A,资产端序时!F280,逐日资产统计!C:C,"人民币")</f>
        <v>0</v>
      </c>
      <c r="Q280" s="45"/>
    </row>
    <row r="281" spans="3:17" x14ac:dyDescent="0.25">
      <c r="C281">
        <f>SUM($B$2:B281)</f>
        <v>-7463.19</v>
      </c>
      <c r="F281" s="31">
        <f t="shared" ref="F281" si="226">A281</f>
        <v>0</v>
      </c>
      <c r="G281" s="33">
        <f>SUMIFS(逐日资产统计!$I:$I,逐日资产统计!$A:$A,F281,逐日资产统计!$C:$C,"人民币")</f>
        <v>0</v>
      </c>
      <c r="H281" s="32">
        <f>SUMIF(逐日资产统计!$A:$A,资产端序时!$F281,逐日资产统计!$I:$I)-G281</f>
        <v>0</v>
      </c>
      <c r="I281" s="29">
        <f t="shared" ref="I281" si="227">G281+H281</f>
        <v>0</v>
      </c>
      <c r="J281" s="32">
        <f>SUMIF(逐日资产统计!$A:$A,资产端序时!$F281,逐日资产统计!$G:$G)</f>
        <v>0</v>
      </c>
      <c r="K281" s="40">
        <f t="shared" ref="K281" si="228">I281-J281</f>
        <v>0</v>
      </c>
      <c r="L281" s="39">
        <f t="shared" ref="L281" si="229">K281-K280</f>
        <v>0</v>
      </c>
      <c r="M281" s="37" t="e">
        <f t="shared" ref="M281" si="230">J281/K281</f>
        <v>#DIV/0!</v>
      </c>
      <c r="N281" s="38">
        <f>SUMIFS(逐日资产统计!M:M,逐日资产统计!A:A,资产端序时!F281,逐日资产统计!C:C,"人民币")</f>
        <v>0</v>
      </c>
      <c r="O281" s="38">
        <f>SUMIF(逐日资产统计!A:A,资产端序时!F281,逐日资产统计!M:M)-SUMIFS(逐日资产统计!M:M,逐日资产统计!A:A,资产端序时!F281,逐日资产统计!C:C,"人民币")</f>
        <v>0</v>
      </c>
      <c r="Q281" s="45"/>
    </row>
    <row r="282" spans="3:17" x14ac:dyDescent="0.25">
      <c r="C282">
        <f>SUM($B$2:B282)</f>
        <v>-7463.19</v>
      </c>
      <c r="F282" s="31">
        <f t="shared" ref="F282" si="231">A282</f>
        <v>0</v>
      </c>
      <c r="G282" s="33">
        <f>SUMIFS(逐日资产统计!$I:$I,逐日资产统计!$A:$A,F282,逐日资产统计!$C:$C,"人民币")</f>
        <v>0</v>
      </c>
      <c r="H282" s="32">
        <f>SUMIF(逐日资产统计!$A:$A,资产端序时!$F282,逐日资产统计!$I:$I)-G282</f>
        <v>0</v>
      </c>
      <c r="I282" s="29">
        <f t="shared" ref="I282" si="232">G282+H282</f>
        <v>0</v>
      </c>
      <c r="J282" s="32">
        <f>SUMIF(逐日资产统计!$A:$A,资产端序时!$F282,逐日资产统计!$G:$G)</f>
        <v>0</v>
      </c>
      <c r="K282" s="40">
        <f t="shared" ref="K282" si="233">I282-J282</f>
        <v>0</v>
      </c>
      <c r="L282" s="39">
        <f t="shared" ref="L282" si="234">K282-K281</f>
        <v>0</v>
      </c>
      <c r="M282" s="37" t="e">
        <f t="shared" ref="M282" si="235">J282/K282</f>
        <v>#DIV/0!</v>
      </c>
      <c r="N282" s="38">
        <f>SUMIFS(逐日资产统计!M:M,逐日资产统计!A:A,资产端序时!F282,逐日资产统计!C:C,"人民币")</f>
        <v>0</v>
      </c>
      <c r="O282" s="38">
        <f>SUMIF(逐日资产统计!A:A,资产端序时!F282,逐日资产统计!M:M)-SUMIFS(逐日资产统计!M:M,逐日资产统计!A:A,资产端序时!F282,逐日资产统计!C:C,"人民币")</f>
        <v>0</v>
      </c>
      <c r="Q282" s="45"/>
    </row>
    <row r="283" spans="3:17" x14ac:dyDescent="0.25">
      <c r="C283">
        <f>SUM($B$2:B283)</f>
        <v>-7463.19</v>
      </c>
      <c r="F283" s="31">
        <f t="shared" ref="F283" si="236">A283</f>
        <v>0</v>
      </c>
      <c r="G283" s="33">
        <f>SUMIFS(逐日资产统计!$I:$I,逐日资产统计!$A:$A,F283,逐日资产统计!$C:$C,"人民币")</f>
        <v>0</v>
      </c>
      <c r="H283" s="32">
        <f>SUMIF(逐日资产统计!$A:$A,资产端序时!$F283,逐日资产统计!$I:$I)-G283</f>
        <v>0</v>
      </c>
      <c r="I283" s="29">
        <f t="shared" ref="I283" si="237">G283+H283</f>
        <v>0</v>
      </c>
      <c r="J283" s="32">
        <f>SUMIF(逐日资产统计!$A:$A,资产端序时!$F283,逐日资产统计!$G:$G)</f>
        <v>0</v>
      </c>
      <c r="K283" s="40">
        <f t="shared" ref="K283" si="238">I283-J283</f>
        <v>0</v>
      </c>
      <c r="L283" s="39">
        <f t="shared" ref="L283" si="239">K283-K282</f>
        <v>0</v>
      </c>
      <c r="M283" s="37" t="e">
        <f t="shared" ref="M283" si="240">J283/K283</f>
        <v>#DIV/0!</v>
      </c>
      <c r="N283" s="38">
        <f>SUMIFS(逐日资产统计!M:M,逐日资产统计!A:A,资产端序时!F283,逐日资产统计!C:C,"人民币")</f>
        <v>0</v>
      </c>
      <c r="O283" s="38">
        <f>SUMIF(逐日资产统计!A:A,资产端序时!F283,逐日资产统计!M:M)-SUMIFS(逐日资产统计!M:M,逐日资产统计!A:A,资产端序时!F283,逐日资产统计!C:C,"人民币")</f>
        <v>0</v>
      </c>
      <c r="Q283" s="45"/>
    </row>
    <row r="284" spans="3:17" x14ac:dyDescent="0.25">
      <c r="C284">
        <f>SUM($B$2:B284)</f>
        <v>-7463.19</v>
      </c>
      <c r="F284" s="31">
        <f t="shared" ref="F284" si="241">A284</f>
        <v>0</v>
      </c>
      <c r="G284" s="33">
        <f>SUMIFS(逐日资产统计!$I:$I,逐日资产统计!$A:$A,F284,逐日资产统计!$C:$C,"人民币")</f>
        <v>0</v>
      </c>
      <c r="H284" s="32">
        <f>SUMIF(逐日资产统计!$A:$A,资产端序时!$F284,逐日资产统计!$I:$I)-G284</f>
        <v>0</v>
      </c>
      <c r="I284" s="29">
        <f t="shared" ref="I284" si="242">G284+H284</f>
        <v>0</v>
      </c>
      <c r="J284" s="32">
        <f>SUMIF(逐日资产统计!$A:$A,资产端序时!$F284,逐日资产统计!$G:$G)</f>
        <v>0</v>
      </c>
      <c r="K284" s="40">
        <f t="shared" ref="K284" si="243">I284-J284</f>
        <v>0</v>
      </c>
      <c r="L284" s="39">
        <f t="shared" ref="L284" si="244">K284-K283</f>
        <v>0</v>
      </c>
      <c r="M284" s="37" t="e">
        <f t="shared" ref="M284" si="245">J284/K284</f>
        <v>#DIV/0!</v>
      </c>
      <c r="N284" s="38">
        <f>SUMIFS(逐日资产统计!M:M,逐日资产统计!A:A,资产端序时!F284,逐日资产统计!C:C,"人民币")</f>
        <v>0</v>
      </c>
      <c r="O284" s="38">
        <f>SUMIF(逐日资产统计!A:A,资产端序时!F284,逐日资产统计!M:M)-SUMIFS(逐日资产统计!M:M,逐日资产统计!A:A,资产端序时!F284,逐日资产统计!C:C,"人民币")</f>
        <v>0</v>
      </c>
      <c r="Q284" s="45"/>
    </row>
    <row r="285" spans="3:17" x14ac:dyDescent="0.25">
      <c r="C285">
        <f>SUM($B$2:B285)</f>
        <v>-7463.19</v>
      </c>
      <c r="F285" s="31">
        <f t="shared" ref="F285" si="246">A285</f>
        <v>0</v>
      </c>
      <c r="G285" s="33">
        <f>SUMIFS(逐日资产统计!$I:$I,逐日资产统计!$A:$A,F285,逐日资产统计!$C:$C,"人民币")</f>
        <v>0</v>
      </c>
      <c r="H285" s="32">
        <f>SUMIF(逐日资产统计!$A:$A,资产端序时!$F285,逐日资产统计!$I:$I)-G285</f>
        <v>0</v>
      </c>
      <c r="I285" s="29">
        <f t="shared" ref="I285" si="247">G285+H285</f>
        <v>0</v>
      </c>
      <c r="J285" s="32">
        <f>SUMIF(逐日资产统计!$A:$A,资产端序时!$F285,逐日资产统计!$G:$G)</f>
        <v>0</v>
      </c>
      <c r="K285" s="40">
        <f t="shared" ref="K285" si="248">I285-J285</f>
        <v>0</v>
      </c>
      <c r="L285" s="39">
        <f t="shared" ref="L285" si="249">K285-K284</f>
        <v>0</v>
      </c>
      <c r="M285" s="37" t="e">
        <f t="shared" ref="M285" si="250">J285/K285</f>
        <v>#DIV/0!</v>
      </c>
      <c r="N285" s="38">
        <f>SUMIFS(逐日资产统计!M:M,逐日资产统计!A:A,资产端序时!F285,逐日资产统计!C:C,"人民币")</f>
        <v>0</v>
      </c>
      <c r="O285" s="38">
        <f>SUMIF(逐日资产统计!A:A,资产端序时!F285,逐日资产统计!M:M)-SUMIFS(逐日资产统计!M:M,逐日资产统计!A:A,资产端序时!F285,逐日资产统计!C:C,"人民币")</f>
        <v>0</v>
      </c>
      <c r="Q285" s="45"/>
    </row>
    <row r="286" spans="3:17" x14ac:dyDescent="0.25">
      <c r="C286">
        <f>SUM($B$2:B286)</f>
        <v>-7463.19</v>
      </c>
      <c r="F286" s="31">
        <f t="shared" ref="F286" si="251">A286</f>
        <v>0</v>
      </c>
      <c r="G286" s="33">
        <f>SUMIFS(逐日资产统计!$I:$I,逐日资产统计!$A:$A,F286,逐日资产统计!$C:$C,"人民币")</f>
        <v>0</v>
      </c>
      <c r="H286" s="32">
        <f>SUMIF(逐日资产统计!$A:$A,资产端序时!$F286,逐日资产统计!$I:$I)-G286</f>
        <v>0</v>
      </c>
      <c r="I286" s="29">
        <f t="shared" ref="I286" si="252">G286+H286</f>
        <v>0</v>
      </c>
      <c r="J286" s="32">
        <f>SUMIF(逐日资产统计!$A:$A,资产端序时!$F286,逐日资产统计!$G:$G)</f>
        <v>0</v>
      </c>
      <c r="K286" s="40">
        <f t="shared" ref="K286" si="253">I286-J286</f>
        <v>0</v>
      </c>
      <c r="L286" s="39">
        <f t="shared" ref="L286" si="254">K286-K285</f>
        <v>0</v>
      </c>
      <c r="M286" s="37" t="e">
        <f t="shared" ref="M286" si="255">J286/K286</f>
        <v>#DIV/0!</v>
      </c>
      <c r="N286" s="38">
        <f>SUMIFS(逐日资产统计!M:M,逐日资产统计!A:A,资产端序时!F286,逐日资产统计!C:C,"人民币")</f>
        <v>0</v>
      </c>
      <c r="O286" s="38">
        <f>SUMIF(逐日资产统计!A:A,资产端序时!F286,逐日资产统计!M:M)-SUMIFS(逐日资产统计!M:M,逐日资产统计!A:A,资产端序时!F286,逐日资产统计!C:C,"人民币")</f>
        <v>0</v>
      </c>
      <c r="Q286" s="45"/>
    </row>
    <row r="287" spans="3:17" x14ac:dyDescent="0.25">
      <c r="C287">
        <f>SUM($B$2:B287)</f>
        <v>-7463.19</v>
      </c>
      <c r="F287" s="31">
        <f t="shared" ref="F287" si="256">A287</f>
        <v>0</v>
      </c>
      <c r="G287" s="33">
        <f>SUMIFS(逐日资产统计!$I:$I,逐日资产统计!$A:$A,F287,逐日资产统计!$C:$C,"人民币")</f>
        <v>0</v>
      </c>
      <c r="H287" s="32">
        <f>SUMIF(逐日资产统计!$A:$A,资产端序时!$F287,逐日资产统计!$I:$I)-G287</f>
        <v>0</v>
      </c>
      <c r="I287" s="29">
        <f t="shared" ref="I287" si="257">G287+H287</f>
        <v>0</v>
      </c>
      <c r="J287" s="32">
        <f>SUMIF(逐日资产统计!$A:$A,资产端序时!$F287,逐日资产统计!$G:$G)</f>
        <v>0</v>
      </c>
      <c r="K287" s="40">
        <f t="shared" ref="K287" si="258">I287-J287</f>
        <v>0</v>
      </c>
      <c r="L287" s="39">
        <f t="shared" ref="L287" si="259">K287-K286</f>
        <v>0</v>
      </c>
      <c r="M287" s="37" t="e">
        <f t="shared" ref="M287" si="260">J287/K287</f>
        <v>#DIV/0!</v>
      </c>
      <c r="N287" s="38">
        <f>SUMIFS(逐日资产统计!M:M,逐日资产统计!A:A,资产端序时!F287,逐日资产统计!C:C,"人民币")</f>
        <v>0</v>
      </c>
      <c r="O287" s="38">
        <f>SUMIF(逐日资产统计!A:A,资产端序时!F287,逐日资产统计!M:M)-SUMIFS(逐日资产统计!M:M,逐日资产统计!A:A,资产端序时!F287,逐日资产统计!C:C,"人民币")</f>
        <v>0</v>
      </c>
      <c r="Q287" s="45"/>
    </row>
    <row r="288" spans="3:17" x14ac:dyDescent="0.25">
      <c r="C288">
        <f>SUM($B$2:B288)</f>
        <v>-7463.19</v>
      </c>
      <c r="F288" s="31">
        <f t="shared" ref="F288" si="261">A288</f>
        <v>0</v>
      </c>
      <c r="G288" s="33">
        <f>SUMIFS(逐日资产统计!$I:$I,逐日资产统计!$A:$A,F288,逐日资产统计!$C:$C,"人民币")</f>
        <v>0</v>
      </c>
      <c r="H288" s="32">
        <f>SUMIF(逐日资产统计!$A:$A,资产端序时!$F288,逐日资产统计!$I:$I)-G288</f>
        <v>0</v>
      </c>
      <c r="I288" s="29">
        <f t="shared" ref="I288" si="262">G288+H288</f>
        <v>0</v>
      </c>
      <c r="J288" s="32">
        <f>SUMIF(逐日资产统计!$A:$A,资产端序时!$F288,逐日资产统计!$G:$G)</f>
        <v>0</v>
      </c>
      <c r="K288" s="40">
        <f t="shared" ref="K288" si="263">I288-J288</f>
        <v>0</v>
      </c>
      <c r="L288" s="39">
        <f t="shared" ref="L288" si="264">K288-K287</f>
        <v>0</v>
      </c>
      <c r="M288" s="37" t="e">
        <f t="shared" ref="M288" si="265">J288/K288</f>
        <v>#DIV/0!</v>
      </c>
      <c r="N288" s="38">
        <f>SUMIFS(逐日资产统计!M:M,逐日资产统计!A:A,资产端序时!F288,逐日资产统计!C:C,"人民币")</f>
        <v>0</v>
      </c>
      <c r="O288" s="38">
        <f>SUMIF(逐日资产统计!A:A,资产端序时!F288,逐日资产统计!M:M)-SUMIFS(逐日资产统计!M:M,逐日资产统计!A:A,资产端序时!F288,逐日资产统计!C:C,"人民币")</f>
        <v>0</v>
      </c>
      <c r="Q288" s="45"/>
    </row>
    <row r="289" spans="3:17" x14ac:dyDescent="0.25">
      <c r="C289">
        <f>SUM($B$2:B289)</f>
        <v>-7463.19</v>
      </c>
      <c r="F289" s="31">
        <f t="shared" ref="F289" si="266">A289</f>
        <v>0</v>
      </c>
      <c r="G289" s="33">
        <f>SUMIFS(逐日资产统计!$I:$I,逐日资产统计!$A:$A,F289,逐日资产统计!$C:$C,"人民币")</f>
        <v>0</v>
      </c>
      <c r="H289" s="32">
        <f>SUMIF(逐日资产统计!$A:$A,资产端序时!$F289,逐日资产统计!$I:$I)-G289</f>
        <v>0</v>
      </c>
      <c r="I289" s="29">
        <f t="shared" ref="I289" si="267">G289+H289</f>
        <v>0</v>
      </c>
      <c r="J289" s="32">
        <f>SUMIF(逐日资产统计!$A:$A,资产端序时!$F289,逐日资产统计!$G:$G)</f>
        <v>0</v>
      </c>
      <c r="K289" s="40">
        <f t="shared" ref="K289" si="268">I289-J289</f>
        <v>0</v>
      </c>
      <c r="L289" s="39">
        <f t="shared" ref="L289" si="269">K289-K288</f>
        <v>0</v>
      </c>
      <c r="M289" s="37" t="e">
        <f t="shared" ref="M289" si="270">J289/K289</f>
        <v>#DIV/0!</v>
      </c>
      <c r="N289" s="38">
        <f>SUMIFS(逐日资产统计!M:M,逐日资产统计!A:A,资产端序时!F289,逐日资产统计!C:C,"人民币")</f>
        <v>0</v>
      </c>
      <c r="O289" s="38">
        <f>SUMIF(逐日资产统计!A:A,资产端序时!F289,逐日资产统计!M:M)-SUMIFS(逐日资产统计!M:M,逐日资产统计!A:A,资产端序时!F289,逐日资产统计!C:C,"人民币")</f>
        <v>0</v>
      </c>
      <c r="Q289" s="45"/>
    </row>
    <row r="290" spans="3:17" x14ac:dyDescent="0.25">
      <c r="C290">
        <f>SUM($B$2:B290)</f>
        <v>-7463.19</v>
      </c>
      <c r="F290" s="31">
        <f t="shared" ref="F290" si="271">A290</f>
        <v>0</v>
      </c>
      <c r="G290" s="33">
        <f>SUMIFS(逐日资产统计!$I:$I,逐日资产统计!$A:$A,F290,逐日资产统计!$C:$C,"人民币")</f>
        <v>0</v>
      </c>
      <c r="H290" s="32">
        <f>SUMIF(逐日资产统计!$A:$A,资产端序时!$F290,逐日资产统计!$I:$I)-G290</f>
        <v>0</v>
      </c>
      <c r="I290" s="29">
        <f t="shared" ref="I290" si="272">G290+H290</f>
        <v>0</v>
      </c>
      <c r="J290" s="32">
        <f>SUMIF(逐日资产统计!$A:$A,资产端序时!$F290,逐日资产统计!$G:$G)</f>
        <v>0</v>
      </c>
      <c r="K290" s="40">
        <f t="shared" ref="K290" si="273">I290-J290</f>
        <v>0</v>
      </c>
      <c r="L290" s="39">
        <f t="shared" ref="L290" si="274">K290-K289</f>
        <v>0</v>
      </c>
      <c r="M290" s="37" t="e">
        <f t="shared" ref="M290" si="275">J290/K290</f>
        <v>#DIV/0!</v>
      </c>
      <c r="N290" s="38">
        <f>SUMIFS(逐日资产统计!M:M,逐日资产统计!A:A,资产端序时!F290,逐日资产统计!C:C,"人民币")</f>
        <v>0</v>
      </c>
      <c r="O290" s="38">
        <f>SUMIF(逐日资产统计!A:A,资产端序时!F290,逐日资产统计!M:M)-SUMIFS(逐日资产统计!M:M,逐日资产统计!A:A,资产端序时!F290,逐日资产统计!C:C,"人民币")</f>
        <v>0</v>
      </c>
      <c r="Q290" s="45"/>
    </row>
    <row r="291" spans="3:17" x14ac:dyDescent="0.25">
      <c r="C291">
        <f>SUM($B$2:B291)</f>
        <v>-7463.19</v>
      </c>
      <c r="F291" s="31">
        <f t="shared" ref="F291" si="276">A291</f>
        <v>0</v>
      </c>
      <c r="G291" s="33">
        <f>SUMIFS(逐日资产统计!$I:$I,逐日资产统计!$A:$A,F291,逐日资产统计!$C:$C,"人民币")</f>
        <v>0</v>
      </c>
      <c r="H291" s="32">
        <f>SUMIF(逐日资产统计!$A:$A,资产端序时!$F291,逐日资产统计!$I:$I)-G291</f>
        <v>0</v>
      </c>
      <c r="I291" s="29">
        <f t="shared" ref="I291" si="277">G291+H291</f>
        <v>0</v>
      </c>
      <c r="J291" s="32">
        <f>SUMIF(逐日资产统计!$A:$A,资产端序时!$F291,逐日资产统计!$G:$G)</f>
        <v>0</v>
      </c>
      <c r="K291" s="40">
        <f t="shared" ref="K291" si="278">I291-J291</f>
        <v>0</v>
      </c>
      <c r="L291" s="39">
        <f t="shared" ref="L291" si="279">K291-K290</f>
        <v>0</v>
      </c>
      <c r="M291" s="37" t="e">
        <f t="shared" ref="M291" si="280">J291/K291</f>
        <v>#DIV/0!</v>
      </c>
      <c r="N291" s="38">
        <f>SUMIFS(逐日资产统计!M:M,逐日资产统计!A:A,资产端序时!F291,逐日资产统计!C:C,"人民币")</f>
        <v>0</v>
      </c>
      <c r="O291" s="38">
        <f>SUMIF(逐日资产统计!A:A,资产端序时!F291,逐日资产统计!M:M)-SUMIFS(逐日资产统计!M:M,逐日资产统计!A:A,资产端序时!F291,逐日资产统计!C:C,"人民币")</f>
        <v>0</v>
      </c>
      <c r="Q291" s="45"/>
    </row>
    <row r="292" spans="3:17" x14ac:dyDescent="0.25">
      <c r="C292">
        <f>SUM($B$2:B292)</f>
        <v>-7463.19</v>
      </c>
      <c r="F292" s="31">
        <f t="shared" ref="F292" si="281">A292</f>
        <v>0</v>
      </c>
      <c r="G292" s="33">
        <f>SUMIFS(逐日资产统计!$I:$I,逐日资产统计!$A:$A,F292,逐日资产统计!$C:$C,"人民币")</f>
        <v>0</v>
      </c>
      <c r="H292" s="32">
        <f>SUMIF(逐日资产统计!$A:$A,资产端序时!$F292,逐日资产统计!$I:$I)-G292</f>
        <v>0</v>
      </c>
      <c r="I292" s="29">
        <f t="shared" ref="I292" si="282">G292+H292</f>
        <v>0</v>
      </c>
      <c r="J292" s="32">
        <f>SUMIF(逐日资产统计!$A:$A,资产端序时!$F292,逐日资产统计!$G:$G)</f>
        <v>0</v>
      </c>
      <c r="K292" s="40">
        <f t="shared" ref="K292" si="283">I292-J292</f>
        <v>0</v>
      </c>
      <c r="L292" s="39">
        <f t="shared" ref="L292" si="284">K292-K291</f>
        <v>0</v>
      </c>
      <c r="M292" s="37" t="e">
        <f t="shared" ref="M292" si="285">J292/K292</f>
        <v>#DIV/0!</v>
      </c>
      <c r="N292" s="38">
        <f>SUMIFS(逐日资产统计!M:M,逐日资产统计!A:A,资产端序时!F292,逐日资产统计!C:C,"人民币")</f>
        <v>0</v>
      </c>
      <c r="O292" s="38">
        <f>SUMIF(逐日资产统计!A:A,资产端序时!F292,逐日资产统计!M:M)-SUMIFS(逐日资产统计!M:M,逐日资产统计!A:A,资产端序时!F292,逐日资产统计!C:C,"人民币")</f>
        <v>0</v>
      </c>
      <c r="Q292" s="45"/>
    </row>
    <row r="293" spans="3:17" x14ac:dyDescent="0.25">
      <c r="C293">
        <f>SUM($B$2:B293)</f>
        <v>-7463.19</v>
      </c>
      <c r="F293" s="31">
        <f t="shared" ref="F293" si="286">A293</f>
        <v>0</v>
      </c>
      <c r="G293" s="33">
        <f>SUMIFS(逐日资产统计!$I:$I,逐日资产统计!$A:$A,F293,逐日资产统计!$C:$C,"人民币")</f>
        <v>0</v>
      </c>
      <c r="H293" s="32">
        <f>SUMIF(逐日资产统计!$A:$A,资产端序时!$F293,逐日资产统计!$I:$I)-G293</f>
        <v>0</v>
      </c>
      <c r="I293" s="29">
        <f t="shared" ref="I293" si="287">G293+H293</f>
        <v>0</v>
      </c>
      <c r="J293" s="32">
        <f>SUMIF(逐日资产统计!$A:$A,资产端序时!$F293,逐日资产统计!$G:$G)</f>
        <v>0</v>
      </c>
      <c r="K293" s="40">
        <f t="shared" ref="K293" si="288">I293-J293</f>
        <v>0</v>
      </c>
      <c r="L293" s="39">
        <f t="shared" ref="L293" si="289">K293-K292</f>
        <v>0</v>
      </c>
      <c r="M293" s="37" t="e">
        <f t="shared" ref="M293" si="290">J293/K293</f>
        <v>#DIV/0!</v>
      </c>
      <c r="N293" s="38">
        <f>SUMIFS(逐日资产统计!M:M,逐日资产统计!A:A,资产端序时!F293,逐日资产统计!C:C,"人民币")</f>
        <v>0</v>
      </c>
      <c r="O293" s="38">
        <f>SUMIF(逐日资产统计!A:A,资产端序时!F293,逐日资产统计!M:M)-SUMIFS(逐日资产统计!M:M,逐日资产统计!A:A,资产端序时!F293,逐日资产统计!C:C,"人民币")</f>
        <v>0</v>
      </c>
      <c r="Q293" s="45"/>
    </row>
    <row r="294" spans="3:17" x14ac:dyDescent="0.25">
      <c r="C294">
        <f>SUM($B$2:B294)</f>
        <v>-7463.19</v>
      </c>
      <c r="F294" s="31">
        <f t="shared" ref="F294" si="291">A294</f>
        <v>0</v>
      </c>
      <c r="G294" s="33">
        <f>SUMIFS(逐日资产统计!$I:$I,逐日资产统计!$A:$A,F294,逐日资产统计!$C:$C,"人民币")</f>
        <v>0</v>
      </c>
      <c r="H294" s="32">
        <f>SUMIF(逐日资产统计!$A:$A,资产端序时!$F294,逐日资产统计!$I:$I)-G294</f>
        <v>0</v>
      </c>
      <c r="I294" s="29">
        <f t="shared" ref="I294" si="292">G294+H294</f>
        <v>0</v>
      </c>
      <c r="J294" s="32">
        <f>SUMIF(逐日资产统计!$A:$A,资产端序时!$F294,逐日资产统计!$G:$G)</f>
        <v>0</v>
      </c>
      <c r="K294" s="40">
        <f t="shared" ref="K294" si="293">I294-J294</f>
        <v>0</v>
      </c>
      <c r="L294" s="39">
        <f t="shared" ref="L294" si="294">K294-K293</f>
        <v>0</v>
      </c>
      <c r="M294" s="37" t="e">
        <f t="shared" ref="M294" si="295">J294/K294</f>
        <v>#DIV/0!</v>
      </c>
      <c r="N294" s="38">
        <f>SUMIFS(逐日资产统计!M:M,逐日资产统计!A:A,资产端序时!F294,逐日资产统计!C:C,"人民币")</f>
        <v>0</v>
      </c>
      <c r="O294" s="38">
        <f>SUMIF(逐日资产统计!A:A,资产端序时!F294,逐日资产统计!M:M)-SUMIFS(逐日资产统计!M:M,逐日资产统计!A:A,资产端序时!F294,逐日资产统计!C:C,"人民币")</f>
        <v>0</v>
      </c>
      <c r="Q294" s="45"/>
    </row>
    <row r="296" spans="3:17" x14ac:dyDescent="0.25">
      <c r="I296" s="47"/>
    </row>
    <row r="297" spans="3:17" x14ac:dyDescent="0.25">
      <c r="I297" s="47"/>
    </row>
  </sheetData>
  <autoFilter ref="F1:N272"/>
  <phoneticPr fontId="10" type="noConversion"/>
  <conditionalFormatting sqref="J1:J1048576">
    <cfRule type="top10" dxfId="97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Z1582"/>
  <sheetViews>
    <sheetView workbookViewId="0">
      <selection activeCell="G5" sqref="G5"/>
    </sheetView>
  </sheetViews>
  <sheetFormatPr defaultRowHeight="14.4" x14ac:dyDescent="0.25"/>
  <cols>
    <col min="1" max="1" width="12.21875" style="14" customWidth="1"/>
    <col min="2" max="2" width="9.77734375" style="14" customWidth="1"/>
    <col min="3" max="3" width="15" style="14" customWidth="1"/>
    <col min="4" max="4" width="11.6640625" style="14" bestFit="1" customWidth="1"/>
    <col min="5" max="5" width="12.44140625" style="14" customWidth="1"/>
    <col min="6" max="6" width="29.21875" style="14" bestFit="1" customWidth="1"/>
    <col min="7" max="7" width="10.33203125" style="14" customWidth="1"/>
    <col min="8" max="8" width="11.6640625" style="16" bestFit="1" customWidth="1"/>
    <col min="9" max="13" width="11.33203125" style="16" customWidth="1"/>
    <col min="14" max="14" width="20" customWidth="1"/>
    <col min="21" max="21" width="5.5546875" bestFit="1" customWidth="1"/>
  </cols>
  <sheetData>
    <row r="1" spans="1:26" s="21" customFormat="1" ht="28.8" x14ac:dyDescent="0.25">
      <c r="A1" s="62" t="s">
        <v>73</v>
      </c>
      <c r="B1" s="62" t="s">
        <v>120</v>
      </c>
      <c r="C1" s="62" t="s">
        <v>107</v>
      </c>
      <c r="D1" s="62" t="s">
        <v>77</v>
      </c>
      <c r="E1" s="62" t="s">
        <v>74</v>
      </c>
      <c r="F1" s="62" t="s">
        <v>75</v>
      </c>
      <c r="G1" s="62" t="s">
        <v>76</v>
      </c>
      <c r="H1" s="63" t="s">
        <v>113</v>
      </c>
      <c r="I1" s="63" t="s">
        <v>95</v>
      </c>
      <c r="J1" s="63" t="s">
        <v>94</v>
      </c>
      <c r="K1" s="63" t="s">
        <v>78</v>
      </c>
      <c r="L1" s="63" t="s">
        <v>96</v>
      </c>
      <c r="M1" s="63" t="s">
        <v>97</v>
      </c>
      <c r="N1" s="63" t="s">
        <v>130</v>
      </c>
      <c r="U1" s="123" t="s">
        <v>189</v>
      </c>
      <c r="V1" s="123" t="s">
        <v>188</v>
      </c>
      <c r="W1" s="123" t="s">
        <v>191</v>
      </c>
      <c r="X1" s="123" t="s">
        <v>192</v>
      </c>
      <c r="Y1" s="123" t="s">
        <v>190</v>
      </c>
    </row>
    <row r="2" spans="1:26" x14ac:dyDescent="0.25">
      <c r="A2" s="65">
        <v>43641</v>
      </c>
      <c r="B2" s="51" t="s">
        <v>121</v>
      </c>
      <c r="C2" s="51" t="s">
        <v>110</v>
      </c>
      <c r="F2" s="51" t="s">
        <v>124</v>
      </c>
      <c r="G2" s="64" t="e">
        <f>VLOOKUP(C2,账户总览!$Q$3:$V$13,6,0)</f>
        <v>#N/A</v>
      </c>
      <c r="H2" s="16">
        <f>9959*3</f>
        <v>29877</v>
      </c>
      <c r="I2" s="16">
        <f>41*3</f>
        <v>123</v>
      </c>
      <c r="J2" s="16">
        <f>SUMIFS($H$2:H2,$C$2:C2,C2)</f>
        <v>29877</v>
      </c>
      <c r="K2" s="16">
        <f>SUM($H$2:H2)</f>
        <v>29877</v>
      </c>
      <c r="L2" s="16">
        <f>SUMIFS($I$2:I2,$C$2:C2,C2)</f>
        <v>123</v>
      </c>
      <c r="M2" s="16">
        <f>SUM($I$2:I2)</f>
        <v>123</v>
      </c>
      <c r="N2" s="83" t="s">
        <v>131</v>
      </c>
      <c r="U2">
        <f>ROW()-1</f>
        <v>1</v>
      </c>
      <c r="V2" s="83" t="s">
        <v>194</v>
      </c>
      <c r="W2" s="83" t="s">
        <v>193</v>
      </c>
      <c r="Y2">
        <v>600</v>
      </c>
    </row>
    <row r="3" spans="1:26" x14ac:dyDescent="0.25">
      <c r="A3" s="65">
        <v>43641</v>
      </c>
      <c r="B3" s="51" t="s">
        <v>122</v>
      </c>
      <c r="C3" s="51" t="s">
        <v>115</v>
      </c>
      <c r="F3" s="51" t="s">
        <v>125</v>
      </c>
      <c r="G3" s="64" t="e">
        <f>VLOOKUP(C3,账户总览!$Q$3:$V$13,6,0)</f>
        <v>#N/A</v>
      </c>
      <c r="H3" s="16">
        <v>16010</v>
      </c>
      <c r="J3" s="16">
        <f>SUMIFS($H$2:H3,$C$2:C3,C3)</f>
        <v>16010</v>
      </c>
      <c r="K3" s="16">
        <f>SUM($H$2:H3)</f>
        <v>45887</v>
      </c>
      <c r="L3" s="16">
        <f>SUMIFS($I$2:I3,$C$2:C3,C3)</f>
        <v>0</v>
      </c>
      <c r="M3" s="16">
        <f>SUM($I$2:I3)</f>
        <v>123</v>
      </c>
      <c r="U3">
        <f t="shared" ref="U3:U11" si="0">ROW()-1</f>
        <v>2</v>
      </c>
      <c r="V3" s="83" t="s">
        <v>195</v>
      </c>
      <c r="W3" s="83" t="s">
        <v>196</v>
      </c>
      <c r="Y3">
        <f>24000/20</f>
        <v>1200</v>
      </c>
    </row>
    <row r="4" spans="1:26" x14ac:dyDescent="0.25">
      <c r="A4" s="65">
        <v>43642</v>
      </c>
      <c r="C4" s="51" t="s">
        <v>116</v>
      </c>
      <c r="D4" s="51" t="s">
        <v>123</v>
      </c>
      <c r="F4" s="51" t="s">
        <v>117</v>
      </c>
      <c r="G4" s="64" t="e">
        <f>VLOOKUP(C4,账户总览!$Q$3:$V$13,6,0)</f>
        <v>#N/A</v>
      </c>
      <c r="H4" s="16">
        <v>-1992</v>
      </c>
      <c r="I4" s="16">
        <v>8</v>
      </c>
      <c r="J4" s="16">
        <f>SUMIFS($H$2:H4,$C$2:C4,C4)</f>
        <v>14018</v>
      </c>
      <c r="K4" s="16">
        <f>SUM($H$2:H4)</f>
        <v>43895</v>
      </c>
      <c r="L4" s="16">
        <f>SUMIFS($I$2:I4,$C$2:C4,C4)</f>
        <v>8</v>
      </c>
      <c r="M4" s="16">
        <f>SUM($I$2:I4)</f>
        <v>131</v>
      </c>
      <c r="U4">
        <f t="shared" si="0"/>
        <v>3</v>
      </c>
      <c r="V4" s="83" t="s">
        <v>197</v>
      </c>
      <c r="W4" s="83" t="s">
        <v>198</v>
      </c>
      <c r="Y4" s="124">
        <f>30700/46.05</f>
        <v>666.66666666666674</v>
      </c>
      <c r="Z4" s="125">
        <v>0.5</v>
      </c>
    </row>
    <row r="5" spans="1:26" x14ac:dyDescent="0.25">
      <c r="A5" s="65">
        <v>43651</v>
      </c>
      <c r="B5" s="51" t="s">
        <v>211</v>
      </c>
      <c r="C5" s="51" t="s">
        <v>212</v>
      </c>
      <c r="E5" s="51" t="s">
        <v>213</v>
      </c>
      <c r="F5" s="51" t="s">
        <v>214</v>
      </c>
      <c r="G5" s="64">
        <v>4.9200000000000008E-2</v>
      </c>
      <c r="H5" s="16">
        <v>9959</v>
      </c>
      <c r="I5" s="16">
        <v>41</v>
      </c>
      <c r="J5" s="16">
        <f>SUMIFS($H$2:H5,$C$2:C5,C5)</f>
        <v>9959</v>
      </c>
      <c r="K5" s="16">
        <f>SUM($H$2:H5)</f>
        <v>53854</v>
      </c>
      <c r="L5" s="16">
        <f>SUMIFS($I$2:I5,$C$2:C5,C5)</f>
        <v>41</v>
      </c>
      <c r="M5" s="16">
        <f>SUM($I$2:I5)</f>
        <v>172</v>
      </c>
      <c r="U5">
        <f t="shared" si="0"/>
        <v>4</v>
      </c>
    </row>
    <row r="6" spans="1:26" x14ac:dyDescent="0.25">
      <c r="A6" s="65">
        <v>43661</v>
      </c>
      <c r="B6" s="51" t="s">
        <v>121</v>
      </c>
      <c r="C6" s="51" t="s">
        <v>216</v>
      </c>
      <c r="E6" s="51" t="s">
        <v>217</v>
      </c>
      <c r="F6" s="51" t="s">
        <v>218</v>
      </c>
      <c r="G6" s="64">
        <v>4.9200000000000001E-2</v>
      </c>
      <c r="H6" s="16">
        <v>9959</v>
      </c>
      <c r="I6" s="16">
        <v>41</v>
      </c>
      <c r="J6" s="16">
        <f>SUMIFS($H$2:H6,$C$2:C6,C6)</f>
        <v>9959</v>
      </c>
      <c r="K6" s="16">
        <f>SUM($H$2:H6)</f>
        <v>63813</v>
      </c>
      <c r="L6" s="16">
        <f>SUMIFS($I$2:I6,$C$2:C6,C6)</f>
        <v>41</v>
      </c>
      <c r="M6" s="16">
        <f>SUM($I$2:I6)</f>
        <v>213</v>
      </c>
      <c r="U6">
        <f t="shared" si="0"/>
        <v>5</v>
      </c>
    </row>
    <row r="7" spans="1:26" x14ac:dyDescent="0.25">
      <c r="A7" s="65">
        <v>43661</v>
      </c>
      <c r="C7" s="51" t="s">
        <v>221</v>
      </c>
      <c r="D7" s="51" t="s">
        <v>222</v>
      </c>
      <c r="E7" s="51" t="s">
        <v>223</v>
      </c>
      <c r="F7" s="51" t="s">
        <v>225</v>
      </c>
      <c r="H7" s="16">
        <v>-2410.36</v>
      </c>
      <c r="J7" s="16">
        <f>SUMIFS($H$2:H7,$C$2:C7,C7)</f>
        <v>7548.6399999999994</v>
      </c>
      <c r="K7" s="16">
        <f>SUM($H$2:H7)</f>
        <v>61402.64</v>
      </c>
      <c r="L7" s="16">
        <f>SUMIFS($I$2:I7,$C$2:C7,C7)</f>
        <v>41</v>
      </c>
      <c r="M7" s="16">
        <f>SUM($I$2:I7)</f>
        <v>213</v>
      </c>
      <c r="U7">
        <f t="shared" si="0"/>
        <v>6</v>
      </c>
    </row>
    <row r="8" spans="1:26" x14ac:dyDescent="0.25">
      <c r="A8" s="65">
        <v>43661</v>
      </c>
      <c r="C8" s="51" t="s">
        <v>115</v>
      </c>
      <c r="F8" s="51" t="s">
        <v>224</v>
      </c>
      <c r="H8" s="16">
        <v>-5955</v>
      </c>
      <c r="I8" s="16">
        <v>44.43</v>
      </c>
      <c r="J8" s="16">
        <f>SUMIFS($H$2:H8,$C$2:C8,C8)</f>
        <v>8063</v>
      </c>
      <c r="K8" s="16">
        <f>SUM($H$2:H8)</f>
        <v>55447.64</v>
      </c>
      <c r="L8" s="16">
        <f>SUMIFS($I$2:I8,$C$2:C8,C8)</f>
        <v>52.43</v>
      </c>
      <c r="M8" s="16">
        <f>SUM($I$2:I8)</f>
        <v>257.43</v>
      </c>
      <c r="U8">
        <f t="shared" si="0"/>
        <v>7</v>
      </c>
    </row>
    <row r="9" spans="1:26" x14ac:dyDescent="0.25">
      <c r="A9" s="65">
        <v>43689</v>
      </c>
      <c r="C9" s="51" t="s">
        <v>110</v>
      </c>
      <c r="D9" s="51" t="s">
        <v>231</v>
      </c>
      <c r="F9" s="51" t="s">
        <v>232</v>
      </c>
      <c r="H9" s="16">
        <v>-18853.66</v>
      </c>
      <c r="J9" s="16">
        <f>SUMIFS($H$2:H9,$C$2:C9,C9)</f>
        <v>11023.34</v>
      </c>
      <c r="K9" s="16">
        <f>SUM($H$2:H9)</f>
        <v>36593.979999999996</v>
      </c>
      <c r="L9" s="16">
        <f>SUMIFS($I$2:I9,$C$2:C9,C9)</f>
        <v>123</v>
      </c>
      <c r="M9" s="16">
        <f>SUM($I$2:I9)</f>
        <v>257.43</v>
      </c>
      <c r="U9">
        <f t="shared" si="0"/>
        <v>8</v>
      </c>
    </row>
    <row r="10" spans="1:26" x14ac:dyDescent="0.25">
      <c r="A10" s="65">
        <v>43692</v>
      </c>
      <c r="C10" s="51" t="s">
        <v>235</v>
      </c>
      <c r="D10" s="51" t="s">
        <v>236</v>
      </c>
      <c r="E10" s="51" t="s">
        <v>213</v>
      </c>
      <c r="F10" s="51" t="s">
        <v>237</v>
      </c>
      <c r="H10" s="16">
        <v>-2000</v>
      </c>
      <c r="J10" s="16">
        <f>SUMIFS($H$2:H10,$C$2:C10,C10)</f>
        <v>7959</v>
      </c>
      <c r="K10" s="16">
        <f>SUM($H$2:H10)</f>
        <v>34593.979999999996</v>
      </c>
      <c r="L10" s="16">
        <f>SUMIFS($I$2:I10,$C$2:C10,C10)</f>
        <v>41</v>
      </c>
      <c r="M10" s="16">
        <f>SUM($I$2:I10)</f>
        <v>257.43</v>
      </c>
      <c r="U10">
        <f t="shared" si="0"/>
        <v>9</v>
      </c>
    </row>
    <row r="11" spans="1:26" x14ac:dyDescent="0.25">
      <c r="A11" s="65">
        <v>43692</v>
      </c>
      <c r="B11" s="51" t="s">
        <v>238</v>
      </c>
      <c r="C11" s="51" t="s">
        <v>239</v>
      </c>
      <c r="E11" s="51" t="s">
        <v>248</v>
      </c>
      <c r="F11" s="51" t="s">
        <v>240</v>
      </c>
      <c r="H11" s="16">
        <v>30000</v>
      </c>
      <c r="I11" s="16">
        <f>41*3</f>
        <v>123</v>
      </c>
      <c r="J11" s="16">
        <f>SUMIFS($H$2:H11,$C$2:C11,C11)</f>
        <v>37548.639999999999</v>
      </c>
      <c r="K11" s="16">
        <f>SUM($H$2:H11)</f>
        <v>64593.979999999996</v>
      </c>
      <c r="L11" s="16">
        <f>SUMIFS($I$2:I11,$C$2:C11,C11)</f>
        <v>164</v>
      </c>
      <c r="M11" s="16">
        <f>SUM($I$2:I11)</f>
        <v>380.43</v>
      </c>
      <c r="U11">
        <f t="shared" si="0"/>
        <v>10</v>
      </c>
    </row>
    <row r="12" spans="1:26" x14ac:dyDescent="0.25">
      <c r="A12" s="65">
        <v>43692</v>
      </c>
      <c r="C12" s="51" t="s">
        <v>241</v>
      </c>
      <c r="D12" s="51" t="s">
        <v>244</v>
      </c>
      <c r="E12" s="14" t="s">
        <v>242</v>
      </c>
      <c r="F12" s="51" t="s">
        <v>243</v>
      </c>
      <c r="H12" s="16">
        <f>J10*-1</f>
        <v>-7959</v>
      </c>
      <c r="J12" s="16">
        <f>SUMIFS($H$2:H12,$C$2:C12,C12)</f>
        <v>0</v>
      </c>
      <c r="K12" s="16">
        <f>SUM($H$2:H12)</f>
        <v>56634.979999999996</v>
      </c>
      <c r="L12" s="16">
        <f>SUMIFS($I$2:I12,$C$2:C12,C12)</f>
        <v>41</v>
      </c>
      <c r="M12" s="16">
        <f>SUM($I$2:I12)</f>
        <v>380.43</v>
      </c>
    </row>
    <row r="13" spans="1:26" x14ac:dyDescent="0.25">
      <c r="A13" s="65">
        <v>43692</v>
      </c>
      <c r="C13" s="51" t="s">
        <v>245</v>
      </c>
      <c r="D13" s="51" t="s">
        <v>244</v>
      </c>
      <c r="F13" s="51" t="s">
        <v>246</v>
      </c>
      <c r="H13" s="16">
        <f>J9*-1</f>
        <v>-11023.34</v>
      </c>
      <c r="J13" s="16">
        <f>SUMIFS($H$2:H13,$C$2:C13,C13)</f>
        <v>0</v>
      </c>
      <c r="K13" s="16">
        <f>SUM($H$2:H13)</f>
        <v>45611.64</v>
      </c>
      <c r="L13" s="16">
        <f>SUMIFS($I$2:I13,$C$2:C13,C13)</f>
        <v>123</v>
      </c>
      <c r="M13" s="16">
        <f>SUM($I$2:I13)</f>
        <v>380.43</v>
      </c>
    </row>
    <row r="14" spans="1:26" x14ac:dyDescent="0.25">
      <c r="A14" s="65">
        <v>43695</v>
      </c>
      <c r="B14" s="51" t="s">
        <v>247</v>
      </c>
      <c r="C14" s="51" t="s">
        <v>216</v>
      </c>
      <c r="E14" s="51" t="s">
        <v>249</v>
      </c>
      <c r="F14" s="51" t="s">
        <v>250</v>
      </c>
      <c r="H14" s="16">
        <v>9959</v>
      </c>
      <c r="I14" s="16">
        <v>41</v>
      </c>
      <c r="J14" s="16">
        <f>SUMIFS($H$2:H14,$C$2:C14,C14)</f>
        <v>47507.64</v>
      </c>
      <c r="K14" s="16">
        <f>SUM($H$2:H14)</f>
        <v>55570.64</v>
      </c>
      <c r="L14" s="16">
        <f>SUMIFS($I$2:I14,$C$2:C14,C14)</f>
        <v>205</v>
      </c>
      <c r="M14" s="16">
        <f>SUM($I$2:I14)</f>
        <v>421.43</v>
      </c>
    </row>
    <row r="15" spans="1:26" x14ac:dyDescent="0.25">
      <c r="A15" s="65">
        <v>43695</v>
      </c>
      <c r="C15" s="51" t="s">
        <v>251</v>
      </c>
      <c r="D15" s="51" t="s">
        <v>252</v>
      </c>
      <c r="F15" s="51" t="s">
        <v>253</v>
      </c>
      <c r="H15" s="16">
        <v>-8063</v>
      </c>
      <c r="I15" s="16">
        <v>99.43</v>
      </c>
      <c r="J15" s="16">
        <f>SUMIFS($H$2:H15,$C$2:C15,C15)</f>
        <v>0</v>
      </c>
      <c r="K15" s="16">
        <f>SUM($H$2:H15)</f>
        <v>47507.64</v>
      </c>
      <c r="L15" s="16">
        <f>SUMIFS($I$2:I15,$C$2:C15,C15)</f>
        <v>151.86000000000001</v>
      </c>
      <c r="M15" s="16">
        <f>SUM($I$2:I15)</f>
        <v>520.86</v>
      </c>
    </row>
    <row r="16" spans="1:26" x14ac:dyDescent="0.25">
      <c r="A16" s="65">
        <v>43735</v>
      </c>
      <c r="B16" s="51" t="s">
        <v>264</v>
      </c>
      <c r="C16" s="51" t="s">
        <v>267</v>
      </c>
      <c r="D16" s="51"/>
      <c r="F16" s="51" t="s">
        <v>266</v>
      </c>
      <c r="H16" s="16">
        <v>25000</v>
      </c>
      <c r="I16" s="16">
        <v>140</v>
      </c>
      <c r="J16" s="16">
        <f>SUMIFS($H$2:H16,$C$2:C16,C16)</f>
        <v>25000</v>
      </c>
      <c r="K16" s="16">
        <f>SUM($H$2:H16)</f>
        <v>72507.64</v>
      </c>
      <c r="L16" s="16">
        <f>SUMIFS($I$2:I16,$C$2:C16,C16)</f>
        <v>140</v>
      </c>
      <c r="M16" s="16">
        <f>SUM($I$2:I16)</f>
        <v>660.86</v>
      </c>
    </row>
    <row r="17" spans="1:13" x14ac:dyDescent="0.25">
      <c r="A17" s="65">
        <v>43735</v>
      </c>
      <c r="C17" s="51" t="s">
        <v>268</v>
      </c>
      <c r="F17" s="51" t="s">
        <v>117</v>
      </c>
      <c r="H17" s="16">
        <v>-44590.36</v>
      </c>
      <c r="J17" s="16">
        <f>SUMIFS($H$2:H17,$C$2:C17,C17)</f>
        <v>2917.2799999999988</v>
      </c>
      <c r="K17" s="16">
        <f>SUM($H$2:H17)</f>
        <v>27917.279999999999</v>
      </c>
      <c r="L17" s="16">
        <f>SUMIFS($I$2:I17,$C$2:C17,C17)</f>
        <v>205</v>
      </c>
      <c r="M17" s="16">
        <f>SUM($I$2:I17)</f>
        <v>660.86</v>
      </c>
    </row>
    <row r="1582" spans="5:5" x14ac:dyDescent="0.25">
      <c r="E1582" s="53" t="s">
        <v>109</v>
      </c>
    </row>
  </sheetData>
  <autoFilter ref="A1:N1"/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</sheetPr>
  <dimension ref="A1:BL38"/>
  <sheetViews>
    <sheetView workbookViewId="0">
      <pane xSplit="2" ySplit="1" topLeftCell="C23" activePane="bottomRight" state="frozen"/>
      <selection pane="topRight"/>
      <selection pane="bottomLeft"/>
      <selection pane="bottomRight" activeCell="I35" sqref="I35:I38"/>
    </sheetView>
  </sheetViews>
  <sheetFormatPr defaultColWidth="9" defaultRowHeight="14.4" x14ac:dyDescent="0.25"/>
  <cols>
    <col min="1" max="1" width="11.6640625" style="14" customWidth="1"/>
    <col min="2" max="2" width="12" style="114" bestFit="1" customWidth="1"/>
    <col min="3" max="3" width="12" style="14" bestFit="1" customWidth="1"/>
    <col min="4" max="5" width="8.88671875" style="14" customWidth="1"/>
    <col min="6" max="8" width="13.33203125" style="14" customWidth="1"/>
    <col min="9" max="9" width="15" style="79" bestFit="1" customWidth="1"/>
    <col min="10" max="10" width="11.33203125" style="14" customWidth="1"/>
    <col min="11" max="11" width="13" style="115" customWidth="1"/>
    <col min="12" max="12" width="14" style="116" customWidth="1"/>
    <col min="13" max="13" width="13.88671875" style="115" customWidth="1"/>
    <col min="14" max="14" width="13.88671875" style="16" customWidth="1"/>
    <col min="15" max="15" width="12.77734375" style="16" customWidth="1"/>
    <col min="16" max="16" width="6" style="19" customWidth="1"/>
    <col min="17" max="17" width="11.6640625" style="19" customWidth="1"/>
    <col min="18" max="18" width="8.88671875" style="14"/>
    <col min="19" max="19" width="4.88671875" style="14" customWidth="1"/>
    <col min="20" max="20" width="8.77734375" style="14" customWidth="1"/>
    <col min="21" max="21" width="9.88671875" style="14" customWidth="1"/>
    <col min="22" max="22" width="7" style="14" customWidth="1"/>
    <col min="23" max="23" width="7.33203125" style="14" customWidth="1"/>
    <col min="24" max="24" width="11.33203125" style="14" customWidth="1"/>
    <col min="25" max="25" width="12.109375" style="14" hidden="1" customWidth="1"/>
    <col min="26" max="26" width="11.33203125" style="14" hidden="1" customWidth="1"/>
    <col min="27" max="27" width="12.77734375" style="14" hidden="1" customWidth="1"/>
    <col min="28" max="31" width="9" style="14" hidden="1" customWidth="1"/>
    <col min="32" max="60" width="8.88671875" style="14"/>
    <col min="61" max="63" width="9" style="14"/>
    <col min="64" max="64" width="9.6640625" style="14" customWidth="1"/>
    <col min="65" max="16384" width="9" style="14"/>
  </cols>
  <sheetData>
    <row r="1" spans="1:64" s="62" customFormat="1" ht="39.6" customHeight="1" x14ac:dyDescent="0.25">
      <c r="A1" s="62" t="s">
        <v>3</v>
      </c>
      <c r="B1" s="68" t="s">
        <v>13</v>
      </c>
      <c r="C1" s="62" t="s">
        <v>35</v>
      </c>
      <c r="D1" s="62" t="s">
        <v>36</v>
      </c>
      <c r="E1" s="62" t="s">
        <v>48</v>
      </c>
      <c r="F1" s="62" t="s">
        <v>49</v>
      </c>
      <c r="G1" s="62" t="s">
        <v>7</v>
      </c>
      <c r="H1" s="62" t="s">
        <v>50</v>
      </c>
      <c r="I1" s="69" t="s">
        <v>51</v>
      </c>
      <c r="J1" s="62" t="s">
        <v>52</v>
      </c>
      <c r="K1" s="70" t="s">
        <v>53</v>
      </c>
      <c r="L1" s="71" t="s">
        <v>54</v>
      </c>
      <c r="M1" s="70" t="s">
        <v>37</v>
      </c>
      <c r="N1" s="63" t="s">
        <v>55</v>
      </c>
      <c r="O1" s="63" t="s">
        <v>38</v>
      </c>
      <c r="P1" s="72" t="s">
        <v>56</v>
      </c>
      <c r="Q1" s="72" t="s">
        <v>57</v>
      </c>
      <c r="R1" s="62" t="s">
        <v>58</v>
      </c>
      <c r="S1" s="62" t="s">
        <v>59</v>
      </c>
      <c r="T1" s="62" t="s">
        <v>60</v>
      </c>
      <c r="U1" s="62" t="s">
        <v>61</v>
      </c>
      <c r="V1" s="62" t="s">
        <v>62</v>
      </c>
      <c r="W1" s="62" t="s">
        <v>63</v>
      </c>
      <c r="X1" s="73" t="s">
        <v>64</v>
      </c>
      <c r="Y1" s="74" t="s">
        <v>39</v>
      </c>
      <c r="Z1" s="74" t="s">
        <v>40</v>
      </c>
      <c r="AA1" s="75" t="s">
        <v>41</v>
      </c>
      <c r="AB1" s="75" t="s">
        <v>42</v>
      </c>
      <c r="AC1" s="75" t="s">
        <v>43</v>
      </c>
      <c r="AD1" s="75" t="s">
        <v>44</v>
      </c>
      <c r="AE1" s="75" t="s">
        <v>45</v>
      </c>
      <c r="AF1" s="76" t="s">
        <v>18</v>
      </c>
      <c r="AG1" s="76" t="s">
        <v>19</v>
      </c>
      <c r="AH1" s="76" t="s">
        <v>20</v>
      </c>
      <c r="AI1" s="76" t="s">
        <v>21</v>
      </c>
      <c r="AJ1" s="76" t="s">
        <v>22</v>
      </c>
      <c r="AK1" s="76" t="s">
        <v>23</v>
      </c>
      <c r="AL1" s="76" t="s">
        <v>24</v>
      </c>
      <c r="AM1" s="76" t="s">
        <v>25</v>
      </c>
      <c r="AN1" s="76" t="s">
        <v>15</v>
      </c>
      <c r="AO1" s="76" t="s">
        <v>16</v>
      </c>
      <c r="AP1" s="76" t="s">
        <v>26</v>
      </c>
      <c r="AQ1" s="149" t="s">
        <v>17</v>
      </c>
      <c r="AR1" s="76" t="s">
        <v>27</v>
      </c>
      <c r="AS1" s="77" t="s">
        <v>28</v>
      </c>
      <c r="AT1" s="78" t="s">
        <v>29</v>
      </c>
      <c r="AU1" s="78" t="s">
        <v>30</v>
      </c>
      <c r="AV1" s="77" t="s">
        <v>31</v>
      </c>
      <c r="AW1" s="77" t="s">
        <v>32</v>
      </c>
      <c r="AX1" s="77" t="s">
        <v>33</v>
      </c>
      <c r="AY1" s="78" t="s">
        <v>34</v>
      </c>
      <c r="AZ1" s="77" t="s">
        <v>14</v>
      </c>
      <c r="BA1" s="77" t="s">
        <v>15</v>
      </c>
      <c r="BB1" s="77" t="s">
        <v>16</v>
      </c>
      <c r="BC1" s="78" t="s">
        <v>26</v>
      </c>
      <c r="BD1" s="73" t="s">
        <v>17</v>
      </c>
      <c r="BE1" s="77" t="s">
        <v>27</v>
      </c>
      <c r="BF1" s="62" t="s">
        <v>65</v>
      </c>
      <c r="BG1" s="62" t="s">
        <v>66</v>
      </c>
      <c r="BH1" s="62" t="s">
        <v>67</v>
      </c>
      <c r="BI1" s="62" t="s">
        <v>68</v>
      </c>
      <c r="BJ1" s="62" t="s">
        <v>69</v>
      </c>
      <c r="BK1" s="62" t="s">
        <v>70</v>
      </c>
      <c r="BL1" s="62" t="s">
        <v>71</v>
      </c>
    </row>
    <row r="2" spans="1:64" x14ac:dyDescent="0.25">
      <c r="A2" s="65">
        <v>43644</v>
      </c>
      <c r="B2" s="114" t="s">
        <v>157</v>
      </c>
      <c r="C2" s="14" t="s">
        <v>158</v>
      </c>
      <c r="D2" s="14">
        <v>100</v>
      </c>
      <c r="E2" s="14">
        <v>100</v>
      </c>
      <c r="F2" s="14">
        <v>8.32</v>
      </c>
      <c r="G2" s="14">
        <v>-6.02</v>
      </c>
      <c r="H2" s="14">
        <v>-0.72</v>
      </c>
      <c r="I2" s="79">
        <v>826</v>
      </c>
      <c r="J2" s="14">
        <v>8.26</v>
      </c>
      <c r="K2" s="115">
        <v>0.92292565196987641</v>
      </c>
      <c r="M2" s="115">
        <v>0.92965205926389416</v>
      </c>
      <c r="N2" s="16">
        <v>-5.0599999999999454</v>
      </c>
      <c r="O2" s="16">
        <v>-0.61154413542925579</v>
      </c>
      <c r="P2" s="19">
        <v>1</v>
      </c>
      <c r="Q2" s="19">
        <v>100</v>
      </c>
      <c r="R2" s="14">
        <v>8.27</v>
      </c>
      <c r="S2" s="14">
        <v>0</v>
      </c>
      <c r="T2" s="14">
        <v>0</v>
      </c>
      <c r="U2" s="14">
        <v>0</v>
      </c>
      <c r="V2" s="14" t="s">
        <v>160</v>
      </c>
      <c r="W2" s="14">
        <v>100</v>
      </c>
      <c r="X2" s="14">
        <v>8.27</v>
      </c>
      <c r="AF2" s="14">
        <v>0</v>
      </c>
      <c r="AG2" s="14">
        <v>0</v>
      </c>
      <c r="AH2" s="14">
        <v>0</v>
      </c>
      <c r="AI2" s="14">
        <v>0</v>
      </c>
      <c r="AJ2" s="14">
        <v>0</v>
      </c>
      <c r="AK2" s="14">
        <v>0</v>
      </c>
      <c r="AL2" s="14">
        <v>0</v>
      </c>
      <c r="AM2" s="14">
        <v>0</v>
      </c>
      <c r="AN2" s="14" t="s">
        <v>161</v>
      </c>
      <c r="AO2" s="14">
        <v>0</v>
      </c>
      <c r="AP2" s="14">
        <v>0</v>
      </c>
      <c r="AQ2" s="14">
        <v>0</v>
      </c>
      <c r="AR2" s="14">
        <v>0</v>
      </c>
      <c r="AS2" s="14">
        <v>1</v>
      </c>
      <c r="AT2" s="14">
        <v>100</v>
      </c>
      <c r="AU2" s="14">
        <v>832.06</v>
      </c>
      <c r="AV2" s="14">
        <v>8.3209999999999997</v>
      </c>
      <c r="AW2" s="14">
        <v>0</v>
      </c>
      <c r="AX2" s="14">
        <v>0</v>
      </c>
      <c r="AY2" s="14">
        <v>0</v>
      </c>
      <c r="AZ2" s="14">
        <v>0</v>
      </c>
      <c r="BA2" s="14" t="s">
        <v>159</v>
      </c>
      <c r="BB2" s="14">
        <v>100</v>
      </c>
      <c r="BC2" s="14">
        <v>832.06</v>
      </c>
      <c r="BD2" s="14">
        <v>8.3209999999999997</v>
      </c>
      <c r="BE2" s="14">
        <v>0</v>
      </c>
      <c r="BF2" s="14">
        <v>832.06</v>
      </c>
      <c r="BG2" s="14">
        <v>8.32</v>
      </c>
      <c r="BH2" s="14">
        <v>0</v>
      </c>
      <c r="BJ2" s="14">
        <v>832.06</v>
      </c>
      <c r="BK2" s="14">
        <v>8.32</v>
      </c>
      <c r="BL2" s="14">
        <v>0</v>
      </c>
    </row>
    <row r="3" spans="1:64" x14ac:dyDescent="0.25">
      <c r="A3" s="65">
        <v>43644</v>
      </c>
      <c r="B3" s="114" t="s">
        <v>301</v>
      </c>
      <c r="C3" s="14" t="s">
        <v>302</v>
      </c>
      <c r="I3" s="79">
        <v>68.98</v>
      </c>
      <c r="K3" s="115">
        <v>7.7074348030123585E-2</v>
      </c>
      <c r="L3" s="116">
        <v>0</v>
      </c>
      <c r="M3" s="115">
        <v>7.7074348030123585E-2</v>
      </c>
    </row>
    <row r="4" spans="1:64" x14ac:dyDescent="0.25">
      <c r="A4" s="65">
        <v>43647</v>
      </c>
      <c r="B4" s="114" t="s">
        <v>157</v>
      </c>
      <c r="C4" s="14" t="s">
        <v>158</v>
      </c>
      <c r="D4" s="14">
        <v>100</v>
      </c>
      <c r="E4" s="14">
        <v>100</v>
      </c>
      <c r="F4" s="14">
        <v>8.32</v>
      </c>
      <c r="G4" s="14">
        <v>6.98</v>
      </c>
      <c r="H4" s="14">
        <v>0.84</v>
      </c>
      <c r="I4" s="79">
        <v>839</v>
      </c>
      <c r="J4" s="14">
        <v>8.39</v>
      </c>
      <c r="K4" s="115">
        <v>0.92402916363796561</v>
      </c>
      <c r="L4" s="116">
        <v>13</v>
      </c>
      <c r="M4" s="115">
        <v>0.91634176964250313</v>
      </c>
      <c r="N4" s="16">
        <v>-5.0599999999999454</v>
      </c>
      <c r="O4" s="16">
        <v>-0.61154413542925579</v>
      </c>
      <c r="P4" s="19">
        <v>1</v>
      </c>
      <c r="Q4" s="19">
        <v>100</v>
      </c>
      <c r="R4" s="14">
        <v>8.27</v>
      </c>
      <c r="S4" s="14">
        <v>0</v>
      </c>
      <c r="T4" s="14">
        <v>0</v>
      </c>
      <c r="U4" s="14">
        <v>0</v>
      </c>
      <c r="V4" s="14" t="s">
        <v>199</v>
      </c>
      <c r="W4" s="14">
        <v>100</v>
      </c>
      <c r="X4" s="14">
        <v>8.27</v>
      </c>
      <c r="AF4" s="14">
        <v>0</v>
      </c>
      <c r="AG4" s="14">
        <v>0</v>
      </c>
      <c r="AH4" s="14">
        <v>0</v>
      </c>
      <c r="AI4" s="14">
        <v>0</v>
      </c>
      <c r="AJ4" s="14">
        <v>0</v>
      </c>
      <c r="AK4" s="14">
        <v>0</v>
      </c>
      <c r="AL4" s="14">
        <v>0</v>
      </c>
      <c r="AM4" s="14">
        <v>0</v>
      </c>
      <c r="AN4" s="14" t="s">
        <v>200</v>
      </c>
      <c r="AO4" s="14">
        <v>0</v>
      </c>
      <c r="AP4" s="14">
        <v>0</v>
      </c>
      <c r="AQ4" s="14">
        <v>0</v>
      </c>
      <c r="AR4" s="14">
        <v>0</v>
      </c>
      <c r="AS4" s="14">
        <v>1</v>
      </c>
      <c r="AT4" s="14">
        <v>100</v>
      </c>
      <c r="AU4" s="14">
        <v>832.06</v>
      </c>
      <c r="AV4" s="14">
        <v>8.3209999999999997</v>
      </c>
      <c r="AW4" s="14">
        <v>0</v>
      </c>
      <c r="AX4" s="14">
        <v>0</v>
      </c>
      <c r="AY4" s="14">
        <v>0</v>
      </c>
      <c r="AZ4" s="14">
        <v>0</v>
      </c>
      <c r="BA4" s="14" t="s">
        <v>46</v>
      </c>
      <c r="BB4" s="14">
        <v>100</v>
      </c>
      <c r="BC4" s="14">
        <v>832.06</v>
      </c>
      <c r="BD4" s="14">
        <v>8.3209999999999997</v>
      </c>
      <c r="BE4" s="14">
        <v>0</v>
      </c>
      <c r="BF4" s="14">
        <v>832.06</v>
      </c>
      <c r="BG4" s="14">
        <v>8.32</v>
      </c>
      <c r="BH4" s="14">
        <v>0</v>
      </c>
      <c r="BJ4" s="14">
        <v>832.06</v>
      </c>
      <c r="BK4" s="14">
        <v>8.32</v>
      </c>
      <c r="BL4" s="14">
        <v>0</v>
      </c>
    </row>
    <row r="5" spans="1:64" x14ac:dyDescent="0.25">
      <c r="A5" s="65">
        <v>43647</v>
      </c>
      <c r="B5" s="114" t="s">
        <v>301</v>
      </c>
      <c r="C5" s="14" t="s">
        <v>302</v>
      </c>
      <c r="I5" s="79">
        <v>68.98</v>
      </c>
      <c r="K5" s="115">
        <v>7.5970836362034402E-2</v>
      </c>
      <c r="L5" s="116">
        <v>0</v>
      </c>
      <c r="M5" s="115">
        <v>7.5970836362034402E-2</v>
      </c>
    </row>
    <row r="6" spans="1:64" x14ac:dyDescent="0.25">
      <c r="A6" s="65">
        <v>43648</v>
      </c>
      <c r="B6" s="114" t="s">
        <v>157</v>
      </c>
      <c r="C6" s="14" t="s">
        <v>158</v>
      </c>
      <c r="D6" s="14">
        <v>100</v>
      </c>
      <c r="E6" s="14">
        <v>100</v>
      </c>
      <c r="F6" s="14">
        <v>8.32</v>
      </c>
      <c r="G6" s="14">
        <v>14.98</v>
      </c>
      <c r="H6" s="14">
        <v>1.8</v>
      </c>
      <c r="I6" s="79">
        <v>847</v>
      </c>
      <c r="J6" s="14">
        <v>8.4700000000000006</v>
      </c>
    </row>
    <row r="7" spans="1:64" x14ac:dyDescent="0.25">
      <c r="A7" s="65">
        <v>43648</v>
      </c>
      <c r="B7" s="114" t="s">
        <v>301</v>
      </c>
      <c r="C7" s="14" t="s">
        <v>302</v>
      </c>
      <c r="I7" s="79">
        <v>68.98</v>
      </c>
    </row>
    <row r="8" spans="1:64" x14ac:dyDescent="0.25">
      <c r="A8" s="65">
        <v>44029</v>
      </c>
      <c r="B8" s="114" t="s">
        <v>204</v>
      </c>
      <c r="C8" s="14" t="s">
        <v>205</v>
      </c>
      <c r="D8" s="14">
        <v>8400</v>
      </c>
      <c r="E8" s="14">
        <v>8400</v>
      </c>
      <c r="F8" s="14">
        <v>5.3840000000000003</v>
      </c>
      <c r="G8" s="14">
        <v>-8349.59</v>
      </c>
      <c r="H8" s="14">
        <v>-18.46</v>
      </c>
      <c r="I8" s="79">
        <v>36876</v>
      </c>
      <c r="J8" s="14">
        <v>4.3899999999999997</v>
      </c>
      <c r="K8" s="115">
        <v>0.75116904196003054</v>
      </c>
      <c r="L8" s="116">
        <v>497.65999999999985</v>
      </c>
      <c r="M8" s="115">
        <v>0.92125130470704886</v>
      </c>
      <c r="N8" s="16">
        <v>-9290.5980000000272</v>
      </c>
      <c r="O8" s="16">
        <v>-1856.8937643990996</v>
      </c>
      <c r="P8" s="19">
        <v>13</v>
      </c>
      <c r="Q8" s="19">
        <v>7000</v>
      </c>
      <c r="R8" s="14">
        <v>4.7889999999999997</v>
      </c>
      <c r="S8" s="14">
        <v>0</v>
      </c>
      <c r="T8" s="14">
        <v>0</v>
      </c>
      <c r="U8" s="14">
        <v>0</v>
      </c>
      <c r="V8" s="14" t="s">
        <v>199</v>
      </c>
      <c r="W8" s="14">
        <v>7000</v>
      </c>
      <c r="X8" s="14">
        <v>4.7889999999999997</v>
      </c>
      <c r="AF8" s="14">
        <v>19</v>
      </c>
      <c r="AG8" s="14">
        <v>8900</v>
      </c>
      <c r="AH8" s="14">
        <v>53467.450000000012</v>
      </c>
      <c r="AI8" s="14">
        <v>6.008</v>
      </c>
      <c r="AJ8" s="14">
        <v>18</v>
      </c>
      <c r="AK8" s="14">
        <v>7500</v>
      </c>
      <c r="AL8" s="14">
        <v>41822.651999999987</v>
      </c>
      <c r="AM8" s="14">
        <v>5.5759999999999996</v>
      </c>
      <c r="AN8" s="14" t="s">
        <v>46</v>
      </c>
      <c r="AO8" s="14">
        <v>1400</v>
      </c>
      <c r="AP8" s="14">
        <v>11644.798000000001</v>
      </c>
      <c r="AQ8" s="14">
        <v>8.3179999999999996</v>
      </c>
      <c r="AR8" s="14">
        <v>-3240</v>
      </c>
      <c r="AS8" s="14">
        <v>32</v>
      </c>
      <c r="AT8" s="14">
        <v>15900</v>
      </c>
      <c r="AU8" s="14">
        <v>87059.650000000052</v>
      </c>
      <c r="AV8" s="14">
        <v>5.4749999999999996</v>
      </c>
      <c r="AW8" s="14">
        <v>18</v>
      </c>
      <c r="AX8" s="14">
        <v>7500</v>
      </c>
      <c r="AY8" s="14">
        <v>41822.651999999987</v>
      </c>
      <c r="AZ8" s="14">
        <v>5.5759999999999996</v>
      </c>
      <c r="BA8" s="14" t="s">
        <v>46</v>
      </c>
      <c r="BB8" s="14">
        <v>8400</v>
      </c>
      <c r="BC8" s="14">
        <v>45236.998</v>
      </c>
      <c r="BD8" s="14">
        <v>5.3849999999999998</v>
      </c>
      <c r="BE8" s="14">
        <v>757.5</v>
      </c>
      <c r="BF8" s="14">
        <v>33592.200000000041</v>
      </c>
      <c r="BG8" s="14">
        <v>4.8</v>
      </c>
      <c r="BH8" s="14">
        <v>0</v>
      </c>
      <c r="BJ8" s="14">
        <v>33592.199999999997</v>
      </c>
      <c r="BK8" s="14">
        <v>4.8</v>
      </c>
      <c r="BL8" s="14">
        <v>-738.04</v>
      </c>
    </row>
    <row r="9" spans="1:64" x14ac:dyDescent="0.25">
      <c r="A9" s="65">
        <v>44029</v>
      </c>
      <c r="B9" s="114" t="s">
        <v>299</v>
      </c>
      <c r="C9" s="14">
        <v>127018</v>
      </c>
      <c r="D9" s="14" t="s">
        <v>300</v>
      </c>
      <c r="E9" s="14" t="s">
        <v>300</v>
      </c>
      <c r="F9" s="14">
        <v>100</v>
      </c>
      <c r="G9" s="14">
        <v>0</v>
      </c>
      <c r="H9" s="14">
        <v>0</v>
      </c>
      <c r="I9" s="79">
        <v>2000</v>
      </c>
      <c r="J9" s="14">
        <v>100</v>
      </c>
      <c r="K9" s="115">
        <v>4.074026694652514E-2</v>
      </c>
      <c r="M9" s="115">
        <v>4.074026694652514E-2</v>
      </c>
    </row>
    <row r="10" spans="1:64" x14ac:dyDescent="0.25">
      <c r="A10" s="65">
        <v>44029</v>
      </c>
      <c r="B10" s="114" t="s">
        <v>259</v>
      </c>
      <c r="C10" s="14" t="s">
        <v>260</v>
      </c>
      <c r="D10" s="14">
        <v>0</v>
      </c>
      <c r="E10" s="14">
        <v>0</v>
      </c>
      <c r="F10" s="14">
        <v>0</v>
      </c>
      <c r="G10" s="14">
        <v>0</v>
      </c>
      <c r="H10" s="14" t="s">
        <v>202</v>
      </c>
      <c r="I10" s="79">
        <v>10000</v>
      </c>
      <c r="J10" s="14">
        <v>0</v>
      </c>
      <c r="K10" s="115">
        <v>0.20370133473262569</v>
      </c>
      <c r="L10" s="116">
        <v>0</v>
      </c>
      <c r="M10" s="115">
        <v>0</v>
      </c>
    </row>
    <row r="11" spans="1:64" x14ac:dyDescent="0.25">
      <c r="A11" s="65">
        <v>44029</v>
      </c>
      <c r="B11" s="114" t="s">
        <v>301</v>
      </c>
      <c r="C11" s="14" t="s">
        <v>302</v>
      </c>
      <c r="I11" s="79">
        <v>215.48</v>
      </c>
      <c r="K11" s="115">
        <v>4.3893563608186185E-3</v>
      </c>
      <c r="L11" s="116">
        <v>0</v>
      </c>
      <c r="M11" s="115">
        <v>0.20370133473262569</v>
      </c>
    </row>
    <row r="12" spans="1:64" x14ac:dyDescent="0.25">
      <c r="A12" s="65">
        <v>44040</v>
      </c>
      <c r="B12" s="114" t="s">
        <v>204</v>
      </c>
      <c r="C12" s="14" t="s">
        <v>205</v>
      </c>
      <c r="D12" s="14">
        <v>7200</v>
      </c>
      <c r="E12" s="14">
        <v>7200</v>
      </c>
      <c r="F12" s="14">
        <v>5.5190000000000001</v>
      </c>
      <c r="G12" s="14">
        <v>-7550.1</v>
      </c>
      <c r="H12" s="14">
        <v>-19.010000000000002</v>
      </c>
      <c r="I12" s="79">
        <v>32184</v>
      </c>
      <c r="J12" s="14">
        <v>4.47</v>
      </c>
      <c r="K12" s="115">
        <v>0.64516051434832655</v>
      </c>
      <c r="L12" s="116">
        <v>799.48999999999978</v>
      </c>
      <c r="M12" s="115">
        <v>0.79650983075962711</v>
      </c>
      <c r="N12" s="16">
        <v>-6561.5900000000074</v>
      </c>
      <c r="O12" s="16">
        <v>-1710.9167594170442</v>
      </c>
      <c r="P12" s="19">
        <v>10</v>
      </c>
      <c r="Q12" s="19">
        <v>5700</v>
      </c>
      <c r="R12" s="14">
        <v>4.5789999999999997</v>
      </c>
      <c r="S12" s="14">
        <v>0</v>
      </c>
      <c r="T12" s="14">
        <v>0</v>
      </c>
      <c r="U12" s="14">
        <v>0</v>
      </c>
      <c r="V12" s="14" t="s">
        <v>199</v>
      </c>
      <c r="W12" s="14">
        <v>5700</v>
      </c>
      <c r="X12" s="14">
        <v>4.5789999999999997</v>
      </c>
      <c r="AF12" s="14">
        <v>23</v>
      </c>
      <c r="AG12" s="14">
        <v>10600</v>
      </c>
      <c r="AH12" s="14">
        <v>62696.470000000023</v>
      </c>
      <c r="AI12" s="14">
        <v>5.915</v>
      </c>
      <c r="AJ12" s="14">
        <v>22</v>
      </c>
      <c r="AK12" s="14">
        <v>9100</v>
      </c>
      <c r="AL12" s="14">
        <v>49102.383999999998</v>
      </c>
      <c r="AM12" s="14">
        <v>5.3959999999999999</v>
      </c>
      <c r="AN12" s="14" t="s">
        <v>46</v>
      </c>
      <c r="AO12" s="14">
        <v>1500</v>
      </c>
      <c r="AP12" s="14">
        <v>13594.085999999999</v>
      </c>
      <c r="AQ12" s="14">
        <v>9.0630000000000006</v>
      </c>
      <c r="AR12" s="14">
        <v>-4722.8999999999996</v>
      </c>
      <c r="AS12" s="14">
        <v>33</v>
      </c>
      <c r="AT12" s="14">
        <v>16300</v>
      </c>
      <c r="AU12" s="14">
        <v>88848.890000000043</v>
      </c>
      <c r="AV12" s="14">
        <v>5.4509999999999996</v>
      </c>
      <c r="AW12" s="14">
        <v>22</v>
      </c>
      <c r="AX12" s="14">
        <v>9100</v>
      </c>
      <c r="AY12" s="14">
        <v>49102.383999999998</v>
      </c>
      <c r="AZ12" s="14">
        <v>5.3959999999999999</v>
      </c>
      <c r="BA12" s="14" t="s">
        <v>46</v>
      </c>
      <c r="BB12" s="14">
        <v>7200</v>
      </c>
      <c r="BC12" s="14">
        <v>39746.506000000001</v>
      </c>
      <c r="BD12" s="14">
        <v>5.52</v>
      </c>
      <c r="BE12" s="14">
        <v>-500.5</v>
      </c>
      <c r="BF12" s="14">
        <v>26152.42000000002</v>
      </c>
      <c r="BG12" s="14">
        <v>4.59</v>
      </c>
      <c r="BH12" s="14">
        <v>0</v>
      </c>
      <c r="BJ12" s="14">
        <v>26152.420000000002</v>
      </c>
      <c r="BK12" s="14">
        <v>4.59</v>
      </c>
      <c r="BL12" s="14">
        <v>-1056.58</v>
      </c>
    </row>
    <row r="13" spans="1:64" x14ac:dyDescent="0.25">
      <c r="A13" s="65">
        <v>44040</v>
      </c>
      <c r="B13" s="114" t="s">
        <v>320</v>
      </c>
      <c r="C13" s="14" t="s">
        <v>321</v>
      </c>
      <c r="D13" s="14">
        <v>1</v>
      </c>
      <c r="E13" s="14">
        <v>1</v>
      </c>
      <c r="F13" s="14">
        <v>100</v>
      </c>
      <c r="G13" s="14">
        <v>0</v>
      </c>
      <c r="H13" s="14">
        <v>0</v>
      </c>
      <c r="I13" s="79">
        <v>1000</v>
      </c>
      <c r="J13" s="14">
        <v>100</v>
      </c>
      <c r="K13" s="115">
        <v>2.0046001564389963E-2</v>
      </c>
      <c r="M13" s="115">
        <v>2.0046001564389963E-2</v>
      </c>
    </row>
    <row r="14" spans="1:64" x14ac:dyDescent="0.25">
      <c r="A14" s="65">
        <v>44040</v>
      </c>
      <c r="B14" s="114" t="s">
        <v>299</v>
      </c>
      <c r="C14" s="14">
        <v>127018</v>
      </c>
      <c r="D14" s="14" t="s">
        <v>300</v>
      </c>
      <c r="E14" s="14" t="s">
        <v>300</v>
      </c>
      <c r="F14" s="14">
        <v>100</v>
      </c>
      <c r="G14" s="14">
        <v>0</v>
      </c>
      <c r="H14" s="14">
        <v>0</v>
      </c>
      <c r="I14" s="79">
        <v>2000</v>
      </c>
      <c r="J14" s="14">
        <v>100</v>
      </c>
      <c r="K14" s="115">
        <v>4.0092003128779925E-2</v>
      </c>
      <c r="L14" s="116">
        <v>0</v>
      </c>
      <c r="M14" s="115">
        <v>4.0092003128779925E-2</v>
      </c>
    </row>
    <row r="15" spans="1:64" x14ac:dyDescent="0.25">
      <c r="A15" s="65">
        <v>44040</v>
      </c>
      <c r="B15" s="114" t="s">
        <v>259</v>
      </c>
      <c r="C15" s="14" t="s">
        <v>260</v>
      </c>
      <c r="D15" s="14">
        <v>0</v>
      </c>
      <c r="E15" s="14">
        <v>0</v>
      </c>
      <c r="F15" s="14">
        <v>0</v>
      </c>
      <c r="G15" s="14">
        <v>0</v>
      </c>
      <c r="H15" s="14" t="s">
        <v>202</v>
      </c>
      <c r="I15" s="79">
        <v>0</v>
      </c>
      <c r="J15" s="14">
        <v>0</v>
      </c>
      <c r="K15" s="115">
        <v>0</v>
      </c>
      <c r="L15" s="116">
        <v>0</v>
      </c>
      <c r="M15" s="115">
        <v>0</v>
      </c>
    </row>
    <row r="16" spans="1:64" x14ac:dyDescent="0.25">
      <c r="A16" s="65">
        <v>44040</v>
      </c>
      <c r="B16" s="114" t="s">
        <v>301</v>
      </c>
      <c r="C16" s="14" t="s">
        <v>302</v>
      </c>
      <c r="I16" s="79">
        <v>14701.26</v>
      </c>
      <c r="K16" s="115">
        <v>0.29470148095850357</v>
      </c>
      <c r="L16" s="116">
        <v>0</v>
      </c>
      <c r="M16" s="115">
        <v>0</v>
      </c>
    </row>
    <row r="17" spans="1:64" x14ac:dyDescent="0.25">
      <c r="A17" s="65">
        <v>44042</v>
      </c>
      <c r="B17" s="114" t="s">
        <v>204</v>
      </c>
      <c r="C17" s="14" t="s">
        <v>205</v>
      </c>
      <c r="D17" s="14">
        <v>8200</v>
      </c>
      <c r="E17" s="14">
        <v>8200</v>
      </c>
      <c r="F17" s="14">
        <v>5.39</v>
      </c>
      <c r="G17" s="14">
        <v>-7627.19</v>
      </c>
      <c r="H17" s="14">
        <v>-17.25</v>
      </c>
      <c r="I17" s="79">
        <v>36572</v>
      </c>
      <c r="J17" s="14">
        <v>4.46</v>
      </c>
      <c r="K17" s="115">
        <v>0.810761679694601</v>
      </c>
      <c r="L17" s="116">
        <v>-77.089999999999236</v>
      </c>
      <c r="M17" s="115">
        <v>0.97984823158538814</v>
      </c>
      <c r="N17" s="16">
        <v>-6417.1900000000096</v>
      </c>
      <c r="O17" s="16">
        <v>-1712.171736995519</v>
      </c>
      <c r="P17" s="19">
        <v>11</v>
      </c>
      <c r="Q17" s="19">
        <v>6700</v>
      </c>
      <c r="R17" s="14">
        <v>4.5609999999999999</v>
      </c>
      <c r="S17" s="14">
        <v>0</v>
      </c>
      <c r="T17" s="14">
        <v>0</v>
      </c>
      <c r="U17" s="14">
        <v>0</v>
      </c>
      <c r="V17" s="14" t="s">
        <v>199</v>
      </c>
      <c r="W17" s="14">
        <v>6700</v>
      </c>
      <c r="X17" s="14">
        <v>4.5609999999999999</v>
      </c>
      <c r="AF17" s="14">
        <v>23</v>
      </c>
      <c r="AG17" s="14">
        <v>10600</v>
      </c>
      <c r="AH17" s="14">
        <v>62696.470000000023</v>
      </c>
      <c r="AI17" s="14">
        <v>5.915</v>
      </c>
      <c r="AJ17" s="14">
        <v>22</v>
      </c>
      <c r="AK17" s="14">
        <v>9100</v>
      </c>
      <c r="AL17" s="14">
        <v>49102.383999999998</v>
      </c>
      <c r="AM17" s="14">
        <v>5.3959999999999999</v>
      </c>
      <c r="AN17" s="14" t="s">
        <v>46</v>
      </c>
      <c r="AO17" s="14">
        <v>1500</v>
      </c>
      <c r="AP17" s="14">
        <v>13594.085999999999</v>
      </c>
      <c r="AQ17" s="14">
        <v>9.0630000000000006</v>
      </c>
      <c r="AR17" s="14">
        <v>-4722.8999999999996</v>
      </c>
      <c r="AS17" s="14">
        <v>34</v>
      </c>
      <c r="AT17" s="14">
        <v>17300</v>
      </c>
      <c r="AU17" s="14">
        <v>93314.490000000049</v>
      </c>
      <c r="AV17" s="14">
        <v>5.3940000000000001</v>
      </c>
      <c r="AW17" s="14">
        <v>22</v>
      </c>
      <c r="AX17" s="14">
        <v>9100</v>
      </c>
      <c r="AY17" s="14">
        <v>49102.383999999998</v>
      </c>
      <c r="AZ17" s="14">
        <v>5.3959999999999999</v>
      </c>
      <c r="BA17" s="14" t="s">
        <v>46</v>
      </c>
      <c r="BB17" s="14">
        <v>8200</v>
      </c>
      <c r="BC17" s="14">
        <v>44212.106</v>
      </c>
      <c r="BD17" s="14">
        <v>5.3920000000000003</v>
      </c>
      <c r="BE17" s="14">
        <v>18.2</v>
      </c>
      <c r="BF17" s="14">
        <v>30618.020000000026</v>
      </c>
      <c r="BG17" s="14">
        <v>4.57</v>
      </c>
      <c r="BH17" s="14">
        <v>0</v>
      </c>
      <c r="BJ17" s="14">
        <v>30618.02</v>
      </c>
      <c r="BK17" s="14">
        <v>4.57</v>
      </c>
      <c r="BL17" s="14">
        <v>-1058.95</v>
      </c>
    </row>
    <row r="18" spans="1:64" x14ac:dyDescent="0.25">
      <c r="A18" s="65">
        <v>44042</v>
      </c>
      <c r="B18" s="114" t="s">
        <v>320</v>
      </c>
      <c r="C18" s="14" t="s">
        <v>321</v>
      </c>
      <c r="D18" s="14">
        <v>1</v>
      </c>
      <c r="E18" s="14">
        <v>1</v>
      </c>
      <c r="F18" s="14">
        <v>100</v>
      </c>
      <c r="G18" s="14">
        <v>0</v>
      </c>
      <c r="H18" s="14">
        <v>0</v>
      </c>
      <c r="I18" s="79">
        <v>1000</v>
      </c>
      <c r="J18" s="14">
        <v>100</v>
      </c>
      <c r="K18" s="115">
        <v>2.2168918289800967E-2</v>
      </c>
      <c r="L18" s="116">
        <v>0</v>
      </c>
      <c r="M18" s="115">
        <v>2.2168918289800967E-2</v>
      </c>
    </row>
    <row r="19" spans="1:64" x14ac:dyDescent="0.25">
      <c r="A19" s="65">
        <v>44042</v>
      </c>
      <c r="B19" s="114" t="s">
        <v>299</v>
      </c>
      <c r="C19" s="14">
        <v>127018</v>
      </c>
      <c r="D19" s="14" t="s">
        <v>300</v>
      </c>
      <c r="E19" s="14" t="s">
        <v>300</v>
      </c>
      <c r="F19" s="14">
        <v>100</v>
      </c>
      <c r="G19" s="14">
        <v>0</v>
      </c>
      <c r="H19" s="14">
        <v>0</v>
      </c>
      <c r="I19" s="79">
        <v>2000</v>
      </c>
      <c r="J19" s="14">
        <v>100</v>
      </c>
      <c r="K19" s="115">
        <v>4.4337836579601934E-2</v>
      </c>
      <c r="L19" s="116">
        <v>0</v>
      </c>
      <c r="M19" s="115">
        <v>4.4337836579601934E-2</v>
      </c>
    </row>
    <row r="20" spans="1:64" x14ac:dyDescent="0.25">
      <c r="A20" s="65">
        <v>44042</v>
      </c>
      <c r="B20" s="114" t="s">
        <v>259</v>
      </c>
      <c r="C20" s="14" t="s">
        <v>260</v>
      </c>
      <c r="D20" s="14">
        <v>0</v>
      </c>
      <c r="E20" s="14">
        <v>0</v>
      </c>
      <c r="F20" s="14">
        <v>0</v>
      </c>
      <c r="G20" s="14">
        <v>0</v>
      </c>
      <c r="H20" s="14" t="s">
        <v>202</v>
      </c>
      <c r="I20" s="79">
        <v>0</v>
      </c>
      <c r="J20" s="14">
        <v>0</v>
      </c>
      <c r="K20" s="115">
        <v>0</v>
      </c>
      <c r="L20" s="116">
        <v>0</v>
      </c>
      <c r="M20" s="115">
        <v>0</v>
      </c>
    </row>
    <row r="21" spans="1:64" x14ac:dyDescent="0.25">
      <c r="A21" s="65">
        <v>44042</v>
      </c>
      <c r="B21" s="114" t="s">
        <v>301</v>
      </c>
      <c r="C21" s="14" t="s">
        <v>302</v>
      </c>
      <c r="I21" s="79">
        <v>5536.2</v>
      </c>
      <c r="K21" s="115">
        <v>0.12273156543599612</v>
      </c>
      <c r="L21" s="116">
        <v>0</v>
      </c>
      <c r="M21" s="115">
        <v>0</v>
      </c>
    </row>
    <row r="22" spans="1:64" x14ac:dyDescent="0.25">
      <c r="A22" s="65">
        <v>44046</v>
      </c>
      <c r="B22" s="114" t="s">
        <v>204</v>
      </c>
      <c r="C22" s="14" t="s">
        <v>205</v>
      </c>
      <c r="D22" s="14">
        <v>8200</v>
      </c>
      <c r="E22" s="14">
        <v>8200</v>
      </c>
      <c r="F22" s="14">
        <v>5.39</v>
      </c>
      <c r="G22" s="14">
        <v>-7463.19</v>
      </c>
      <c r="H22" s="14">
        <v>-16.88</v>
      </c>
      <c r="I22" s="79">
        <v>36736</v>
      </c>
      <c r="J22" s="14">
        <v>4.4800000000000004</v>
      </c>
      <c r="K22" s="115">
        <v>0.81144039062938311</v>
      </c>
      <c r="L22" s="116">
        <v>164</v>
      </c>
      <c r="M22" s="115">
        <v>0.97629050520204508</v>
      </c>
      <c r="N22" s="16">
        <v>-6417.1900000000096</v>
      </c>
      <c r="O22" s="16">
        <v>-1712.171736995519</v>
      </c>
      <c r="P22" s="19">
        <v>11</v>
      </c>
      <c r="Q22" s="19">
        <v>6700</v>
      </c>
      <c r="R22" s="14">
        <v>4.5609999999999999</v>
      </c>
      <c r="S22" s="14">
        <v>0</v>
      </c>
      <c r="T22" s="14">
        <v>0</v>
      </c>
      <c r="U22" s="14">
        <v>0</v>
      </c>
      <c r="V22" s="14" t="s">
        <v>199</v>
      </c>
      <c r="W22" s="14">
        <v>6700</v>
      </c>
      <c r="X22" s="14">
        <v>4.5609999999999999</v>
      </c>
      <c r="AF22" s="14">
        <v>23</v>
      </c>
      <c r="AG22" s="14">
        <v>10600</v>
      </c>
      <c r="AH22" s="14">
        <v>62696.470000000023</v>
      </c>
      <c r="AI22" s="14">
        <v>5.915</v>
      </c>
      <c r="AJ22" s="14">
        <v>22</v>
      </c>
      <c r="AK22" s="14">
        <v>9100</v>
      </c>
      <c r="AL22" s="14">
        <v>49102.383999999998</v>
      </c>
      <c r="AM22" s="14">
        <v>5.3959999999999999</v>
      </c>
      <c r="AN22" s="14" t="s">
        <v>46</v>
      </c>
      <c r="AO22" s="14">
        <v>1500</v>
      </c>
      <c r="AP22" s="14">
        <v>13594.085999999999</v>
      </c>
      <c r="AQ22" s="14">
        <v>9.0630000000000006</v>
      </c>
      <c r="AR22" s="14">
        <v>-4722.8999999999996</v>
      </c>
      <c r="AS22" s="14">
        <v>34</v>
      </c>
      <c r="AT22" s="14">
        <v>17300</v>
      </c>
      <c r="AU22" s="14">
        <v>93314.490000000049</v>
      </c>
      <c r="AV22" s="14">
        <v>5.3940000000000001</v>
      </c>
      <c r="AW22" s="14">
        <v>22</v>
      </c>
      <c r="AX22" s="14">
        <v>9100</v>
      </c>
      <c r="AY22" s="14">
        <v>49102.383999999998</v>
      </c>
      <c r="AZ22" s="14">
        <v>5.3959999999999999</v>
      </c>
      <c r="BA22" s="14" t="s">
        <v>46</v>
      </c>
      <c r="BB22" s="14">
        <v>8200</v>
      </c>
      <c r="BC22" s="14">
        <v>44212.106</v>
      </c>
      <c r="BD22" s="14">
        <v>5.3920000000000003</v>
      </c>
      <c r="BE22" s="14">
        <v>18.2</v>
      </c>
      <c r="BF22" s="14">
        <v>30618.020000000026</v>
      </c>
      <c r="BG22" s="14">
        <v>4.57</v>
      </c>
      <c r="BH22" s="14">
        <v>0</v>
      </c>
      <c r="BJ22" s="14">
        <v>30618.02</v>
      </c>
      <c r="BK22" s="14">
        <v>4.57</v>
      </c>
      <c r="BL22" s="14">
        <v>-1054.22</v>
      </c>
    </row>
    <row r="23" spans="1:64" x14ac:dyDescent="0.25">
      <c r="A23" s="65">
        <v>44046</v>
      </c>
      <c r="B23" s="114" t="s">
        <v>320</v>
      </c>
      <c r="C23" s="14" t="s">
        <v>321</v>
      </c>
      <c r="D23" s="14">
        <v>1</v>
      </c>
      <c r="E23" s="14">
        <v>1</v>
      </c>
      <c r="F23" s="14">
        <v>100</v>
      </c>
      <c r="G23" s="14">
        <v>0</v>
      </c>
      <c r="H23" s="14">
        <v>0</v>
      </c>
      <c r="I23" s="79">
        <v>1000</v>
      </c>
      <c r="J23" s="14">
        <v>100</v>
      </c>
      <c r="K23" s="115">
        <v>2.208842526756814E-2</v>
      </c>
      <c r="L23" s="116">
        <v>0</v>
      </c>
      <c r="M23" s="115">
        <v>2.208842526756814E-2</v>
      </c>
    </row>
    <row r="24" spans="1:64" x14ac:dyDescent="0.25">
      <c r="A24" s="65">
        <v>44046</v>
      </c>
      <c r="B24" s="114" t="s">
        <v>299</v>
      </c>
      <c r="C24" s="14">
        <v>127018</v>
      </c>
      <c r="D24" s="14" t="s">
        <v>300</v>
      </c>
      <c r="E24" s="14" t="s">
        <v>300</v>
      </c>
      <c r="F24" s="14">
        <v>100</v>
      </c>
      <c r="G24" s="14">
        <v>0</v>
      </c>
      <c r="H24" s="14">
        <v>0</v>
      </c>
      <c r="I24" s="79">
        <v>2000</v>
      </c>
      <c r="J24" s="14">
        <v>100</v>
      </c>
      <c r="K24" s="115">
        <v>4.4176850535136279E-2</v>
      </c>
      <c r="L24" s="116">
        <v>0</v>
      </c>
      <c r="M24" s="115">
        <v>4.4176850535136279E-2</v>
      </c>
    </row>
    <row r="25" spans="1:64" x14ac:dyDescent="0.25">
      <c r="A25" s="65">
        <v>44046</v>
      </c>
      <c r="B25" s="114" t="s">
        <v>259</v>
      </c>
      <c r="C25" s="14" t="s">
        <v>260</v>
      </c>
      <c r="D25" s="14">
        <v>0</v>
      </c>
      <c r="E25" s="14">
        <v>0</v>
      </c>
      <c r="F25" s="14">
        <v>0</v>
      </c>
      <c r="G25" s="14">
        <v>0</v>
      </c>
      <c r="H25" s="14" t="s">
        <v>202</v>
      </c>
      <c r="I25" s="79">
        <v>0</v>
      </c>
      <c r="J25" s="14">
        <v>0</v>
      </c>
      <c r="K25" s="115">
        <v>0</v>
      </c>
      <c r="L25" s="116">
        <v>0</v>
      </c>
      <c r="M25" s="115">
        <v>0</v>
      </c>
    </row>
    <row r="26" spans="1:64" x14ac:dyDescent="0.25">
      <c r="A26" s="65">
        <v>44046</v>
      </c>
      <c r="B26" s="114" t="s">
        <v>301</v>
      </c>
      <c r="C26" s="14" t="s">
        <v>302</v>
      </c>
      <c r="I26" s="79">
        <v>5536.58</v>
      </c>
      <c r="K26" s="115">
        <v>0.1222943335679124</v>
      </c>
      <c r="L26" s="116">
        <v>0</v>
      </c>
      <c r="M26" s="115">
        <v>0</v>
      </c>
    </row>
    <row r="27" spans="1:64" x14ac:dyDescent="0.25">
      <c r="A27" s="65">
        <v>44095</v>
      </c>
      <c r="B27" s="114" t="s">
        <v>204</v>
      </c>
      <c r="C27" s="14" t="s">
        <v>205</v>
      </c>
      <c r="D27" s="14">
        <v>9400</v>
      </c>
      <c r="E27" s="14">
        <v>9400</v>
      </c>
      <c r="F27" s="14">
        <v>5.165</v>
      </c>
      <c r="G27" s="14">
        <v>-8602.34</v>
      </c>
      <c r="H27" s="14">
        <v>-17.71</v>
      </c>
      <c r="I27" s="79">
        <v>39950</v>
      </c>
      <c r="J27" s="14">
        <v>4.25</v>
      </c>
      <c r="K27" s="115">
        <v>0.93400653500642461</v>
      </c>
      <c r="L27" s="116">
        <v>-1139.1500000000005</v>
      </c>
      <c r="M27" s="115">
        <v>1.1351239762166165</v>
      </c>
      <c r="N27" s="16">
        <v>-10101.657999999996</v>
      </c>
      <c r="O27" s="16">
        <v>-2247.0876865566033</v>
      </c>
      <c r="P27" s="19">
        <v>14</v>
      </c>
      <c r="Q27" s="19">
        <v>7800</v>
      </c>
      <c r="R27" s="14">
        <v>4.5279999999999996</v>
      </c>
      <c r="S27" s="14">
        <v>0</v>
      </c>
      <c r="T27" s="14">
        <v>0</v>
      </c>
      <c r="U27" s="14">
        <v>0</v>
      </c>
      <c r="V27" s="14" t="s">
        <v>199</v>
      </c>
      <c r="W27" s="14">
        <v>7800</v>
      </c>
      <c r="X27" s="14">
        <v>4.5279999999999996</v>
      </c>
      <c r="AF27" s="14">
        <v>25</v>
      </c>
      <c r="AG27" s="14">
        <v>11500</v>
      </c>
      <c r="AH27" s="14">
        <v>66716.010000000024</v>
      </c>
      <c r="AI27" s="14">
        <v>5.8010000000000002</v>
      </c>
      <c r="AJ27" s="14">
        <v>24</v>
      </c>
      <c r="AK27" s="14">
        <v>9900</v>
      </c>
      <c r="AL27" s="14">
        <v>52720.272000000004</v>
      </c>
      <c r="AM27" s="14">
        <v>5.3250000000000002</v>
      </c>
      <c r="AN27" s="14" t="s">
        <v>46</v>
      </c>
      <c r="AO27" s="14">
        <v>1600</v>
      </c>
      <c r="AP27" s="14">
        <v>13995.737999999999</v>
      </c>
      <c r="AQ27" s="14">
        <v>8.7469999999999999</v>
      </c>
      <c r="AR27" s="14">
        <v>-4712.3999999999996</v>
      </c>
      <c r="AS27" s="14">
        <v>39</v>
      </c>
      <c r="AT27" s="14">
        <v>19300</v>
      </c>
      <c r="AU27" s="14">
        <v>102108.69</v>
      </c>
      <c r="AV27" s="14">
        <v>5.2910000000000004</v>
      </c>
      <c r="AW27" s="14">
        <v>24</v>
      </c>
      <c r="AX27" s="14">
        <v>9900</v>
      </c>
      <c r="AY27" s="14">
        <v>52720.272000000004</v>
      </c>
      <c r="AZ27" s="14">
        <v>5.3250000000000002</v>
      </c>
      <c r="BA27" s="14" t="s">
        <v>46</v>
      </c>
      <c r="BB27" s="14">
        <v>9400</v>
      </c>
      <c r="BC27" s="14">
        <v>49388.417999999998</v>
      </c>
      <c r="BD27" s="14">
        <v>5.2539999999999996</v>
      </c>
      <c r="BE27" s="14">
        <v>336.6</v>
      </c>
      <c r="BF27" s="14">
        <v>35392.679999999978</v>
      </c>
      <c r="BG27" s="14">
        <v>4.54</v>
      </c>
      <c r="BH27" s="14">
        <v>0</v>
      </c>
      <c r="BJ27" s="14">
        <v>35392.68</v>
      </c>
      <c r="BK27" s="14">
        <v>4.54</v>
      </c>
      <c r="BL27" s="14">
        <v>-1108.8</v>
      </c>
    </row>
    <row r="28" spans="1:64" x14ac:dyDescent="0.25">
      <c r="A28" s="65">
        <v>44095</v>
      </c>
      <c r="B28" s="114" t="s">
        <v>259</v>
      </c>
      <c r="C28" s="14" t="s">
        <v>260</v>
      </c>
      <c r="D28" s="14">
        <v>0</v>
      </c>
      <c r="E28" s="14">
        <v>0</v>
      </c>
      <c r="F28" s="14">
        <v>0</v>
      </c>
      <c r="G28" s="14">
        <v>0</v>
      </c>
      <c r="H28" s="14" t="s">
        <v>202</v>
      </c>
      <c r="I28" s="79">
        <v>0</v>
      </c>
      <c r="J28" s="14">
        <v>0</v>
      </c>
      <c r="K28" s="115">
        <v>0</v>
      </c>
      <c r="L28" s="116">
        <v>0</v>
      </c>
      <c r="M28" s="115">
        <v>0</v>
      </c>
    </row>
    <row r="29" spans="1:64" x14ac:dyDescent="0.25">
      <c r="A29" s="65">
        <v>44095</v>
      </c>
      <c r="B29" s="114" t="s">
        <v>301</v>
      </c>
      <c r="C29" s="14" t="s">
        <v>302</v>
      </c>
      <c r="I29" s="79">
        <v>2822.72</v>
      </c>
      <c r="K29" s="115">
        <v>6.5993464993575335E-2</v>
      </c>
      <c r="L29" s="116">
        <v>0</v>
      </c>
      <c r="M29" s="115">
        <v>0</v>
      </c>
    </row>
    <row r="30" spans="1:64" x14ac:dyDescent="0.25">
      <c r="A30" s="65">
        <v>44118</v>
      </c>
      <c r="B30" s="114" t="s">
        <v>204</v>
      </c>
      <c r="C30" s="14" t="s">
        <v>205</v>
      </c>
      <c r="D30" s="14">
        <v>10300</v>
      </c>
      <c r="E30" s="14">
        <v>10300</v>
      </c>
      <c r="F30" s="14">
        <v>5.0759999999999996</v>
      </c>
      <c r="G30" s="14">
        <v>-9954.41</v>
      </c>
      <c r="H30" s="14">
        <v>-19.03</v>
      </c>
      <c r="I30" s="79">
        <v>42333</v>
      </c>
      <c r="J30" s="14">
        <v>4.1100000000000003</v>
      </c>
      <c r="K30" s="115">
        <v>0.99772211177796655</v>
      </c>
      <c r="L30" s="116">
        <v>-1352.0699999999997</v>
      </c>
      <c r="M30" s="115">
        <v>1.232331871698211</v>
      </c>
      <c r="N30" s="16">
        <v>-9355.8979999999938</v>
      </c>
      <c r="O30" s="16">
        <v>-2655.7343953658556</v>
      </c>
      <c r="P30" s="19">
        <v>16</v>
      </c>
      <c r="Q30" s="19">
        <v>8700</v>
      </c>
      <c r="R30" s="14">
        <v>4.4880000000000004</v>
      </c>
      <c r="S30" s="14">
        <v>0</v>
      </c>
      <c r="T30" s="14">
        <v>0</v>
      </c>
      <c r="U30" s="14">
        <v>0</v>
      </c>
      <c r="V30" s="14" t="s">
        <v>199</v>
      </c>
      <c r="W30" s="14">
        <v>8700</v>
      </c>
      <c r="X30" s="14">
        <v>4.4880000000000004</v>
      </c>
      <c r="AF30" s="14">
        <v>25</v>
      </c>
      <c r="AG30" s="14">
        <v>11500</v>
      </c>
      <c r="AH30" s="14">
        <v>66716.010000000024</v>
      </c>
      <c r="AI30" s="14">
        <v>5.8010000000000002</v>
      </c>
      <c r="AJ30" s="14">
        <v>24</v>
      </c>
      <c r="AK30" s="14">
        <v>9900</v>
      </c>
      <c r="AL30" s="14">
        <v>52720.272000000004</v>
      </c>
      <c r="AM30" s="14">
        <v>5.3250000000000002</v>
      </c>
      <c r="AN30" s="14" t="s">
        <v>46</v>
      </c>
      <c r="AO30" s="14">
        <v>1600</v>
      </c>
      <c r="AP30" s="14">
        <v>13995.737999999999</v>
      </c>
      <c r="AQ30" s="14">
        <v>8.7469999999999999</v>
      </c>
      <c r="AR30" s="14">
        <v>-4712.3999999999996</v>
      </c>
      <c r="AS30" s="14">
        <v>41</v>
      </c>
      <c r="AT30" s="14">
        <v>20200</v>
      </c>
      <c r="AU30" s="14">
        <v>105844.23000000001</v>
      </c>
      <c r="AV30" s="14">
        <v>5.24</v>
      </c>
      <c r="AW30" s="14">
        <v>24</v>
      </c>
      <c r="AX30" s="14">
        <v>9900</v>
      </c>
      <c r="AY30" s="14">
        <v>52720.272000000004</v>
      </c>
      <c r="AZ30" s="14">
        <v>5.3250000000000002</v>
      </c>
      <c r="BA30" s="14" t="s">
        <v>46</v>
      </c>
      <c r="BB30" s="14">
        <v>10300</v>
      </c>
      <c r="BC30" s="14">
        <v>53123.957999999999</v>
      </c>
      <c r="BD30" s="14">
        <v>5.1580000000000004</v>
      </c>
      <c r="BE30" s="14">
        <v>841.5</v>
      </c>
      <c r="BF30" s="14">
        <v>39128.219999999987</v>
      </c>
      <c r="BG30" s="14">
        <v>4.5</v>
      </c>
      <c r="BH30" s="14">
        <v>0</v>
      </c>
      <c r="BJ30" s="14">
        <v>39128.22</v>
      </c>
      <c r="BK30" s="14">
        <v>4.5</v>
      </c>
      <c r="BL30" s="14">
        <v>-1146.57</v>
      </c>
    </row>
    <row r="31" spans="1:64" x14ac:dyDescent="0.25">
      <c r="A31" s="65">
        <v>44118</v>
      </c>
      <c r="B31" s="114" t="s">
        <v>301</v>
      </c>
      <c r="C31" s="14" t="s">
        <v>302</v>
      </c>
      <c r="I31" s="79">
        <v>96.65</v>
      </c>
      <c r="K31" s="115">
        <v>2.277888222033413E-3</v>
      </c>
      <c r="L31" s="116">
        <v>0</v>
      </c>
      <c r="M31" s="115">
        <v>0</v>
      </c>
    </row>
    <row r="32" spans="1:64" x14ac:dyDescent="0.25">
      <c r="A32" s="65">
        <v>44158</v>
      </c>
      <c r="B32" s="114" t="s">
        <v>204</v>
      </c>
      <c r="C32" s="14" t="s">
        <v>205</v>
      </c>
      <c r="D32" s="14">
        <v>9500</v>
      </c>
      <c r="E32" s="14">
        <v>9500</v>
      </c>
      <c r="F32" s="14">
        <v>5.1449999999999996</v>
      </c>
      <c r="G32" s="14">
        <v>-7931.89</v>
      </c>
      <c r="H32" s="14">
        <v>-16.23</v>
      </c>
      <c r="I32" s="79">
        <v>40945</v>
      </c>
      <c r="J32" s="14">
        <v>4.3099999999999996</v>
      </c>
      <c r="K32" s="115">
        <v>0.89829942890139369</v>
      </c>
      <c r="L32" s="116">
        <v>2022.5199999999995</v>
      </c>
      <c r="M32" s="115">
        <v>1.0723185339718218</v>
      </c>
      <c r="N32" s="16">
        <v>-6624.1319999999905</v>
      </c>
      <c r="O32" s="16">
        <v>-1869.3234753488359</v>
      </c>
      <c r="P32" s="19">
        <v>14</v>
      </c>
      <c r="Q32" s="19">
        <v>7800</v>
      </c>
      <c r="R32" s="14">
        <v>4.5209999999999999</v>
      </c>
      <c r="S32" s="14">
        <v>0</v>
      </c>
      <c r="T32" s="14">
        <v>0</v>
      </c>
      <c r="U32" s="14">
        <v>0</v>
      </c>
      <c r="V32" s="14" t="s">
        <v>199</v>
      </c>
      <c r="W32" s="14">
        <v>7800</v>
      </c>
      <c r="X32" s="14">
        <v>4.5209999999999999</v>
      </c>
      <c r="AF32" s="14">
        <v>27</v>
      </c>
      <c r="AG32" s="14">
        <v>12400</v>
      </c>
      <c r="AH32" s="14">
        <v>69685.800000000032</v>
      </c>
      <c r="AI32" s="14">
        <v>5.62</v>
      </c>
      <c r="AJ32" s="14">
        <v>26</v>
      </c>
      <c r="AK32" s="14">
        <v>10700</v>
      </c>
      <c r="AL32" s="14">
        <v>56130.368000000009</v>
      </c>
      <c r="AM32" s="14">
        <v>5.2460000000000004</v>
      </c>
      <c r="AN32" s="14" t="s">
        <v>46</v>
      </c>
      <c r="AO32" s="14">
        <v>1700</v>
      </c>
      <c r="AP32" s="14">
        <v>13555.432000000001</v>
      </c>
      <c r="AQ32" s="14">
        <v>7.9740000000000002</v>
      </c>
      <c r="AR32" s="14">
        <v>-4001.8</v>
      </c>
      <c r="AS32" s="14">
        <v>41</v>
      </c>
      <c r="AT32" s="14">
        <v>20200</v>
      </c>
      <c r="AU32" s="14">
        <v>105022.48000000001</v>
      </c>
      <c r="AV32" s="14">
        <v>5.1989999999999998</v>
      </c>
      <c r="AW32" s="14">
        <v>26</v>
      </c>
      <c r="AX32" s="14">
        <v>10700</v>
      </c>
      <c r="AY32" s="14">
        <v>56130.368000000009</v>
      </c>
      <c r="AZ32" s="14">
        <v>5.2460000000000004</v>
      </c>
      <c r="BA32" s="14" t="s">
        <v>46</v>
      </c>
      <c r="BB32" s="14">
        <v>9500</v>
      </c>
      <c r="BC32" s="14">
        <v>48892.112000000001</v>
      </c>
      <c r="BD32" s="14">
        <v>5.1470000000000002</v>
      </c>
      <c r="BE32" s="14">
        <v>502.9</v>
      </c>
      <c r="BF32" s="14">
        <v>35336.679999999978</v>
      </c>
      <c r="BG32" s="14">
        <v>4.53</v>
      </c>
      <c r="BH32" s="14">
        <v>0</v>
      </c>
      <c r="BJ32" s="14">
        <v>35336.68</v>
      </c>
      <c r="BK32" s="14">
        <v>4.53</v>
      </c>
      <c r="BL32" s="14">
        <v>-928.49</v>
      </c>
    </row>
    <row r="33" spans="1:64" x14ac:dyDescent="0.25">
      <c r="A33" s="65">
        <v>44158</v>
      </c>
      <c r="B33" s="114" t="s">
        <v>331</v>
      </c>
      <c r="C33" s="14" t="s">
        <v>332</v>
      </c>
      <c r="D33" s="14">
        <v>800</v>
      </c>
      <c r="E33" s="14">
        <v>800</v>
      </c>
      <c r="F33" s="14">
        <v>5.3760000000000003</v>
      </c>
      <c r="G33" s="14">
        <v>27</v>
      </c>
      <c r="H33" s="14">
        <v>0.63</v>
      </c>
      <c r="I33" s="79">
        <v>4328</v>
      </c>
      <c r="J33" s="14">
        <v>5.41</v>
      </c>
      <c r="K33" s="115">
        <v>9.4952739730986252E-2</v>
      </c>
      <c r="M33" s="115">
        <v>9.4360382066305884E-2</v>
      </c>
    </row>
    <row r="34" spans="1:64" x14ac:dyDescent="0.25">
      <c r="A34" s="65">
        <v>44158</v>
      </c>
      <c r="B34" s="114" t="s">
        <v>301</v>
      </c>
      <c r="C34" s="14" t="s">
        <v>302</v>
      </c>
      <c r="I34" s="79">
        <v>307.57</v>
      </c>
      <c r="K34" s="115">
        <v>6.7478313676200188E-3</v>
      </c>
      <c r="L34" s="116">
        <v>0</v>
      </c>
      <c r="M34" s="115">
        <v>0</v>
      </c>
    </row>
    <row r="35" spans="1:64" x14ac:dyDescent="0.25">
      <c r="A35" s="65">
        <v>44185</v>
      </c>
      <c r="B35" s="114" t="s">
        <v>204</v>
      </c>
      <c r="C35" s="14" t="s">
        <v>205</v>
      </c>
      <c r="D35" s="14">
        <v>9500</v>
      </c>
      <c r="E35" s="14">
        <v>9500</v>
      </c>
      <c r="F35" s="14">
        <v>5.1379999999999999</v>
      </c>
      <c r="G35" s="14">
        <v>-8338.48</v>
      </c>
      <c r="H35" s="14">
        <v>-17.09</v>
      </c>
      <c r="I35" s="79">
        <v>40470</v>
      </c>
      <c r="J35" s="14">
        <v>4.26</v>
      </c>
      <c r="K35" s="115">
        <v>0.78636653774297061</v>
      </c>
      <c r="L35" s="116">
        <v>-406.58999999999924</v>
      </c>
      <c r="M35" s="115">
        <v>0.94839029973059108</v>
      </c>
      <c r="N35" s="16">
        <v>-6936.5439999999871</v>
      </c>
      <c r="O35" s="16">
        <v>-1960.1790446009359</v>
      </c>
      <c r="P35" s="19">
        <v>14</v>
      </c>
      <c r="Q35" s="19">
        <v>7700</v>
      </c>
      <c r="R35" s="14">
        <v>4.5140000000000002</v>
      </c>
      <c r="S35" s="14">
        <v>0</v>
      </c>
      <c r="T35" s="14">
        <v>0</v>
      </c>
      <c r="U35" s="14">
        <v>0</v>
      </c>
      <c r="V35" s="14" t="s">
        <v>199</v>
      </c>
      <c r="W35" s="14">
        <v>7700</v>
      </c>
      <c r="X35" s="14">
        <v>4.5140000000000002</v>
      </c>
      <c r="AF35" s="14">
        <v>29</v>
      </c>
      <c r="AG35" s="14">
        <v>13300</v>
      </c>
      <c r="AH35" s="14">
        <v>73580.340000000011</v>
      </c>
      <c r="AI35" s="14">
        <v>5.532</v>
      </c>
      <c r="AJ35" s="14">
        <v>28</v>
      </c>
      <c r="AK35" s="14">
        <v>11500</v>
      </c>
      <c r="AL35" s="14">
        <v>59584.420000000013</v>
      </c>
      <c r="AM35" s="14">
        <v>5.181</v>
      </c>
      <c r="AN35" s="14" t="s">
        <v>46</v>
      </c>
      <c r="AO35" s="14">
        <v>1800</v>
      </c>
      <c r="AP35" s="14">
        <v>13995.92</v>
      </c>
      <c r="AQ35" s="14">
        <v>7.7759999999999998</v>
      </c>
      <c r="AR35" s="14">
        <v>-4036.5</v>
      </c>
      <c r="AS35" s="14">
        <v>43</v>
      </c>
      <c r="AT35" s="14">
        <v>21000</v>
      </c>
      <c r="AU35" s="14">
        <v>108408.95999999999</v>
      </c>
      <c r="AV35" s="14">
        <v>5.1619999999999999</v>
      </c>
      <c r="AW35" s="14">
        <v>28</v>
      </c>
      <c r="AX35" s="14">
        <v>11500</v>
      </c>
      <c r="AY35" s="14">
        <v>59584.420000000013</v>
      </c>
      <c r="AZ35" s="14">
        <v>5.181</v>
      </c>
      <c r="BA35" s="14" t="s">
        <v>46</v>
      </c>
      <c r="BB35" s="14">
        <v>9500</v>
      </c>
      <c r="BC35" s="14">
        <v>48824.54</v>
      </c>
      <c r="BD35" s="14">
        <v>5.1390000000000002</v>
      </c>
      <c r="BE35" s="14">
        <v>218.5</v>
      </c>
      <c r="BF35" s="14">
        <v>34828.619999999981</v>
      </c>
      <c r="BG35" s="14">
        <v>4.5199999999999996</v>
      </c>
      <c r="BH35" s="14">
        <v>0</v>
      </c>
      <c r="BJ35" s="14">
        <v>34828.620000000003</v>
      </c>
      <c r="BK35" s="14">
        <v>4.5199999999999996</v>
      </c>
      <c r="BL35" s="14">
        <v>-947.54</v>
      </c>
    </row>
    <row r="36" spans="1:64" x14ac:dyDescent="0.25">
      <c r="A36" s="65">
        <v>44185</v>
      </c>
      <c r="B36" s="114" t="s">
        <v>340</v>
      </c>
      <c r="C36" s="14" t="s">
        <v>341</v>
      </c>
      <c r="D36" s="14">
        <v>1600</v>
      </c>
      <c r="E36" s="14">
        <v>1600</v>
      </c>
      <c r="F36" s="14">
        <v>4.76</v>
      </c>
      <c r="G36" s="14">
        <v>-288</v>
      </c>
      <c r="H36" s="14">
        <v>-3.78</v>
      </c>
      <c r="I36" s="79">
        <v>7328</v>
      </c>
      <c r="J36" s="14">
        <v>4.58</v>
      </c>
      <c r="K36" s="115">
        <v>0.14238927572474644</v>
      </c>
      <c r="M36" s="115">
        <v>0.14798536079689806</v>
      </c>
    </row>
    <row r="37" spans="1:64" x14ac:dyDescent="0.25">
      <c r="A37" s="65">
        <v>44185</v>
      </c>
      <c r="B37" s="114" t="s">
        <v>259</v>
      </c>
      <c r="C37" s="14" t="s">
        <v>260</v>
      </c>
      <c r="D37" s="14">
        <v>0</v>
      </c>
      <c r="E37" s="14">
        <v>0</v>
      </c>
      <c r="F37" s="14">
        <v>0</v>
      </c>
      <c r="G37" s="14">
        <v>0</v>
      </c>
      <c r="H37" s="14" t="s">
        <v>202</v>
      </c>
      <c r="I37" s="79">
        <v>0</v>
      </c>
      <c r="J37" s="14">
        <v>0</v>
      </c>
      <c r="K37" s="115">
        <v>0</v>
      </c>
      <c r="L37" s="116">
        <v>0</v>
      </c>
      <c r="M37" s="115">
        <v>0</v>
      </c>
    </row>
    <row r="38" spans="1:64" x14ac:dyDescent="0.25">
      <c r="A38" s="65">
        <v>44185</v>
      </c>
      <c r="B38" s="114" t="s">
        <v>301</v>
      </c>
      <c r="C38" s="14" t="s">
        <v>302</v>
      </c>
      <c r="I38" s="79">
        <v>3666.55</v>
      </c>
      <c r="K38" s="115">
        <v>7.1244186532282899E-2</v>
      </c>
      <c r="L38" s="116">
        <v>0</v>
      </c>
      <c r="M38" s="115">
        <v>0</v>
      </c>
    </row>
  </sheetData>
  <autoFilter ref="A1:J1"/>
  <phoneticPr fontId="10" type="noConversion"/>
  <conditionalFormatting sqref="M1:M1048576"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K1:K1048576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12:G1048576 G1:G5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6:G11">
    <cfRule type="colorScale" priority="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G78"/>
  <sheetViews>
    <sheetView topLeftCell="A52" zoomScaleNormal="100" workbookViewId="0">
      <selection activeCell="A73" sqref="A73:A77"/>
    </sheetView>
  </sheetViews>
  <sheetFormatPr defaultRowHeight="14.4" x14ac:dyDescent="0.25"/>
  <cols>
    <col min="1" max="1" width="11.6640625" style="101" bestFit="1" customWidth="1"/>
    <col min="2" max="2" width="15.33203125" style="1" customWidth="1"/>
    <col min="7" max="7" width="15.109375" customWidth="1"/>
    <col min="8" max="9" width="14.44140625" bestFit="1" customWidth="1"/>
    <col min="10" max="10" width="14.44140625" style="1" bestFit="1" customWidth="1"/>
    <col min="11" max="11" width="10.5546875" style="1" bestFit="1" customWidth="1"/>
    <col min="12" max="12" width="16.77734375" style="1" bestFit="1" customWidth="1"/>
    <col min="13" max="14" width="8.88671875" style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01" t="s">
        <v>3</v>
      </c>
      <c r="B1" s="131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131" t="s">
        <v>139</v>
      </c>
      <c r="K1" s="131" t="s">
        <v>5</v>
      </c>
      <c r="L1" s="131" t="s">
        <v>140</v>
      </c>
      <c r="M1" s="131" t="s">
        <v>141</v>
      </c>
      <c r="N1" s="131" t="s">
        <v>142</v>
      </c>
      <c r="O1" s="131" t="s">
        <v>143</v>
      </c>
      <c r="P1" s="132" t="s">
        <v>144</v>
      </c>
      <c r="Q1" s="131" t="s">
        <v>145</v>
      </c>
      <c r="R1" s="131" t="s">
        <v>146</v>
      </c>
      <c r="S1" s="131" t="s">
        <v>147</v>
      </c>
      <c r="T1" s="131" t="s">
        <v>148</v>
      </c>
      <c r="U1" s="131" t="s">
        <v>149</v>
      </c>
      <c r="V1" s="131" t="s">
        <v>150</v>
      </c>
      <c r="W1" s="132" t="s">
        <v>151</v>
      </c>
      <c r="X1" s="132" t="s">
        <v>152</v>
      </c>
      <c r="Y1" s="132" t="s">
        <v>153</v>
      </c>
      <c r="Z1" s="132" t="s">
        <v>154</v>
      </c>
      <c r="AA1" s="131" t="s">
        <v>55</v>
      </c>
      <c r="AB1" s="133" t="s">
        <v>155</v>
      </c>
      <c r="AC1" s="134" t="s">
        <v>38</v>
      </c>
      <c r="AD1" s="134" t="s">
        <v>156</v>
      </c>
    </row>
    <row r="2" spans="1:30" ht="15" thickTop="1" x14ac:dyDescent="0.25">
      <c r="A2" s="101">
        <v>43650</v>
      </c>
      <c r="B2" s="146">
        <v>601857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87" t="e">
        <f t="shared" ref="J2:J3" si="1">(E2-G2)/G2</f>
        <v>#DIV/0!</v>
      </c>
      <c r="K2" s="84">
        <f t="shared" ref="K2:K3" si="2">F2*E2</f>
        <v>0</v>
      </c>
      <c r="L2" s="84"/>
      <c r="M2" s="84"/>
      <c r="N2" s="84"/>
      <c r="O2" s="84"/>
      <c r="P2" s="86"/>
      <c r="Q2" s="84"/>
      <c r="R2" s="84"/>
      <c r="S2" s="84">
        <v>50000</v>
      </c>
      <c r="T2" s="84"/>
      <c r="U2" s="84"/>
      <c r="V2" s="84"/>
      <c r="W2" s="86"/>
      <c r="X2" s="86"/>
      <c r="Y2" s="86"/>
      <c r="Z2" s="135"/>
      <c r="AA2" s="84"/>
      <c r="AB2" s="88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43650</v>
      </c>
      <c r="B3" s="172"/>
      <c r="C3" s="84" t="s">
        <v>46</v>
      </c>
      <c r="D3" s="85">
        <v>200</v>
      </c>
      <c r="E3" s="84">
        <v>6.87</v>
      </c>
      <c r="F3" s="85">
        <f t="shared" ref="F3" si="5">IF(C3="买",F2+D3,F2-D3)</f>
        <v>200</v>
      </c>
      <c r="G3" s="86">
        <f t="shared" ref="G3" si="6">H3/F3</f>
        <v>6.8955999999999991</v>
      </c>
      <c r="H3" s="84">
        <f t="shared" ref="H3" si="7">IF(C3="买",H2+D3*E3+M3+N3,H2+-1*D3*E3+M3+N3)+O2</f>
        <v>1379.12</v>
      </c>
      <c r="I3" s="84">
        <f t="shared" si="0"/>
        <v>-5.1199999999998909</v>
      </c>
      <c r="J3" s="87">
        <f t="shared" si="1"/>
        <v>-3.7125123267009339E-3</v>
      </c>
      <c r="K3" s="84">
        <f t="shared" si="2"/>
        <v>1374</v>
      </c>
      <c r="L3" s="84">
        <f t="shared" ref="L3" si="8">I3-I2</f>
        <v>-5.1199999999998909</v>
      </c>
      <c r="M3" s="84">
        <f t="shared" ref="M3" si="9">IF(D3*E3*5/10000&gt;5,D3*E3*5/10000,5)+(D3/1000)*0.6</f>
        <v>5.12</v>
      </c>
      <c r="N3" s="15">
        <f>IF(C3="卖",D3*E3/1000,0)</f>
        <v>0</v>
      </c>
      <c r="O3" s="7"/>
      <c r="P3" s="8">
        <f>E3-G3</f>
        <v>-2.5599999999998957E-2</v>
      </c>
      <c r="Q3" s="7">
        <f>(H3-H2)*-1</f>
        <v>-1379.12</v>
      </c>
      <c r="R3" s="9"/>
      <c r="S3" s="9">
        <f>S2+Q3+O3+R3</f>
        <v>48620.88</v>
      </c>
      <c r="T3" s="9">
        <f>S3/E3</f>
        <v>7077.2751091703049</v>
      </c>
      <c r="U3" s="9">
        <f>F3+T3</f>
        <v>7277.2751091703049</v>
      </c>
      <c r="V3" s="7">
        <f>H3+S3</f>
        <v>50000</v>
      </c>
      <c r="W3" s="8">
        <f>V3/U3</f>
        <v>6.8707035600445492</v>
      </c>
      <c r="X3" s="8">
        <f>W3-G3</f>
        <v>-2.4896439955449878E-2</v>
      </c>
      <c r="Y3" s="8">
        <f>(X3-P3)*-1</f>
        <v>-7.0356004454907861E-4</v>
      </c>
      <c r="Z3" s="12">
        <f>F3/U3</f>
        <v>2.7482814240178198E-2</v>
      </c>
      <c r="AA3" s="7">
        <f>SUM(L$2:L77)-SUM(AB$2:AB77)</f>
        <v>-3042.9159999999756</v>
      </c>
      <c r="AB3" s="88"/>
      <c r="AC3" s="13">
        <f t="shared" si="3"/>
        <v>-0.74489665211060996</v>
      </c>
      <c r="AD3" s="13">
        <f t="shared" si="4"/>
        <v>-200.74489665211061</v>
      </c>
    </row>
    <row r="4" spans="1:30" s="1" customFormat="1" x14ac:dyDescent="0.25">
      <c r="A4" s="101">
        <v>43651</v>
      </c>
      <c r="B4" s="148" t="s">
        <v>272</v>
      </c>
      <c r="C4" s="84" t="s">
        <v>46</v>
      </c>
      <c r="D4" s="85">
        <v>500</v>
      </c>
      <c r="E4" s="84">
        <v>6.85</v>
      </c>
      <c r="F4" s="85">
        <f t="shared" ref="F4:F11" si="10">IF(C4="买",F3+D4,F3-D4)</f>
        <v>700</v>
      </c>
      <c r="G4" s="86">
        <f t="shared" ref="G4:G11" si="11">H4/F4</f>
        <v>6.8706000000000005</v>
      </c>
      <c r="H4" s="84">
        <f t="shared" ref="H4:H11" si="12">IF(C4="买",H3+D4*E4+M4+N4,H3+-1*D4*E4+M4+N4)+O3</f>
        <v>4809.42</v>
      </c>
      <c r="I4" s="84">
        <f t="shared" ref="I4:I11" si="13">-H4+K4</f>
        <v>-14.420000000000073</v>
      </c>
      <c r="J4" s="87">
        <f t="shared" ref="J4:J11" si="14">(E4-G4)/G4</f>
        <v>-2.9982825371875584E-3</v>
      </c>
      <c r="K4" s="84">
        <f t="shared" ref="K4:K11" si="15">F4*E4</f>
        <v>4795</v>
      </c>
      <c r="L4" s="84">
        <f t="shared" ref="L4:L11" si="16">I4-I3</f>
        <v>-9.3000000000001819</v>
      </c>
      <c r="M4" s="84">
        <f t="shared" ref="M4:M11" si="17">IF(D4*E4*5/10000&gt;5,D4*E4*5/10000,5)+(D4/1000)*0.6</f>
        <v>5.3</v>
      </c>
      <c r="N4" s="15">
        <f t="shared" ref="N4:N11" si="18">IF(C4="卖",D4*E4/1000,0)</f>
        <v>0</v>
      </c>
      <c r="O4" s="7"/>
      <c r="P4" s="8">
        <f t="shared" ref="P4:P11" si="19">E4-G4</f>
        <v>-2.060000000000084E-2</v>
      </c>
      <c r="Q4" s="7">
        <f t="shared" ref="Q4:Q11" si="20">(H4-H3)*-1</f>
        <v>-3430.3</v>
      </c>
      <c r="R4" s="9"/>
      <c r="S4" s="9">
        <f t="shared" ref="S4:S11" si="21">S3+Q4+O4+R4</f>
        <v>45190.579999999994</v>
      </c>
      <c r="T4" s="9">
        <f t="shared" ref="T4:T11" si="22">S4/E4</f>
        <v>6597.1649635036492</v>
      </c>
      <c r="U4" s="9">
        <f t="shared" ref="U4:U11" si="23">F4+T4</f>
        <v>7297.1649635036492</v>
      </c>
      <c r="V4" s="7">
        <f t="shared" ref="V4:V11" si="24">H4+S4</f>
        <v>49999.999999999993</v>
      </c>
      <c r="W4" s="8">
        <f t="shared" ref="W4:W11" si="25">V4/U4</f>
        <v>6.8519761099100975</v>
      </c>
      <c r="X4" s="8">
        <f t="shared" ref="X4:X11" si="26">W4-G4</f>
        <v>-1.862389008990295E-2</v>
      </c>
      <c r="Y4" s="8">
        <f t="shared" ref="Y4:Y11" si="27">(X4-P4)*-1</f>
        <v>-1.9761099100978896E-3</v>
      </c>
      <c r="Z4" s="12">
        <f t="shared" ref="Z4:Z11" si="28">F4/U4</f>
        <v>9.592766553874138E-2</v>
      </c>
      <c r="AA4" s="7">
        <f>SUM(L$2:L5)-SUM(AB$2:AB5)</f>
        <v>-89.720000000000255</v>
      </c>
      <c r="AB4" s="88"/>
      <c r="AC4" s="13">
        <f t="shared" ref="AC4:AC11" si="29">I4/E4*(1-0.0005)</f>
        <v>-2.10405693430658</v>
      </c>
      <c r="AD4" s="13">
        <f t="shared" ref="AD4:AD11" si="30">AC4-F4</f>
        <v>-702.10405693430653</v>
      </c>
    </row>
    <row r="5" spans="1:30" s="1" customFormat="1" x14ac:dyDescent="0.25">
      <c r="A5" s="101">
        <v>43654</v>
      </c>
      <c r="B5" s="130" t="s">
        <v>274</v>
      </c>
      <c r="C5" s="127" t="s">
        <v>215</v>
      </c>
      <c r="D5" s="85">
        <v>500</v>
      </c>
      <c r="E5" s="84">
        <v>6.75</v>
      </c>
      <c r="F5" s="85">
        <f t="shared" si="10"/>
        <v>1200</v>
      </c>
      <c r="G5" s="86">
        <f t="shared" si="11"/>
        <v>6.8247666666666671</v>
      </c>
      <c r="H5" s="84">
        <f t="shared" si="12"/>
        <v>8189.72</v>
      </c>
      <c r="I5" s="84">
        <f t="shared" si="13"/>
        <v>-89.720000000000255</v>
      </c>
      <c r="J5" s="87">
        <f t="shared" si="14"/>
        <v>-1.0955197491489392E-2</v>
      </c>
      <c r="K5" s="84">
        <f t="shared" si="15"/>
        <v>8100</v>
      </c>
      <c r="L5" s="84">
        <f t="shared" si="16"/>
        <v>-75.300000000000182</v>
      </c>
      <c r="M5" s="84">
        <f t="shared" si="17"/>
        <v>5.3</v>
      </c>
      <c r="N5" s="15">
        <f t="shared" si="18"/>
        <v>0</v>
      </c>
      <c r="O5" s="7"/>
      <c r="P5" s="8">
        <f t="shared" si="19"/>
        <v>-7.4766666666667092E-2</v>
      </c>
      <c r="Q5" s="7">
        <f t="shared" si="20"/>
        <v>-3380.3</v>
      </c>
      <c r="R5" s="9"/>
      <c r="S5" s="9">
        <f t="shared" si="21"/>
        <v>41810.279999999992</v>
      </c>
      <c r="T5" s="9">
        <f t="shared" si="22"/>
        <v>6194.1155555555542</v>
      </c>
      <c r="U5" s="9">
        <f t="shared" si="23"/>
        <v>7394.1155555555542</v>
      </c>
      <c r="V5" s="7">
        <f t="shared" si="24"/>
        <v>49999.999999999993</v>
      </c>
      <c r="W5" s="8">
        <f t="shared" si="25"/>
        <v>6.7621339732015127</v>
      </c>
      <c r="X5" s="8">
        <f t="shared" si="26"/>
        <v>-6.2632693465154432E-2</v>
      </c>
      <c r="Y5" s="8">
        <f t="shared" si="27"/>
        <v>-1.213397320151266E-2</v>
      </c>
      <c r="Z5" s="12">
        <f t="shared" si="28"/>
        <v>0.16229121535683633</v>
      </c>
      <c r="AA5" s="7">
        <f>SUM(L$2:L6)-SUM(AB$2:AB6)</f>
        <v>-263.02000000000044</v>
      </c>
      <c r="AB5" s="88"/>
      <c r="AC5" s="13">
        <f t="shared" si="29"/>
        <v>-13.285205925925965</v>
      </c>
      <c r="AD5" s="13">
        <f t="shared" si="30"/>
        <v>-1213.285205925926</v>
      </c>
    </row>
    <row r="6" spans="1:30" s="1" customFormat="1" x14ac:dyDescent="0.25">
      <c r="A6" s="101">
        <v>43661</v>
      </c>
      <c r="B6" s="130" t="s">
        <v>262</v>
      </c>
      <c r="C6" s="84" t="s">
        <v>46</v>
      </c>
      <c r="D6" s="85">
        <v>500</v>
      </c>
      <c r="E6" s="84">
        <v>6.61</v>
      </c>
      <c r="F6" s="85">
        <f t="shared" si="10"/>
        <v>1700</v>
      </c>
      <c r="G6" s="86">
        <f t="shared" si="11"/>
        <v>6.7647176470588235</v>
      </c>
      <c r="H6" s="84">
        <f t="shared" si="12"/>
        <v>11500.02</v>
      </c>
      <c r="I6" s="84">
        <f t="shared" si="13"/>
        <v>-263.02000000000044</v>
      </c>
      <c r="J6" s="87">
        <f t="shared" si="14"/>
        <v>-2.2871264571713738E-2</v>
      </c>
      <c r="K6" s="84">
        <f t="shared" si="15"/>
        <v>11237</v>
      </c>
      <c r="L6" s="84">
        <f t="shared" si="16"/>
        <v>-173.30000000000018</v>
      </c>
      <c r="M6" s="84">
        <f t="shared" si="17"/>
        <v>5.3</v>
      </c>
      <c r="N6" s="15">
        <f t="shared" si="18"/>
        <v>0</v>
      </c>
      <c r="O6" s="7"/>
      <c r="P6" s="8">
        <f t="shared" si="19"/>
        <v>-0.15471764705882318</v>
      </c>
      <c r="Q6" s="7">
        <f t="shared" si="20"/>
        <v>-3310.3</v>
      </c>
      <c r="R6" s="9"/>
      <c r="S6" s="9">
        <f t="shared" si="21"/>
        <v>38499.979999999989</v>
      </c>
      <c r="T6" s="9">
        <f t="shared" si="22"/>
        <v>5824.5052950075624</v>
      </c>
      <c r="U6" s="9">
        <f t="shared" si="23"/>
        <v>7524.5052950075624</v>
      </c>
      <c r="V6" s="7">
        <f t="shared" si="24"/>
        <v>49999.999999999985</v>
      </c>
      <c r="W6" s="8">
        <f t="shared" si="25"/>
        <v>6.6449551219233651</v>
      </c>
      <c r="X6" s="8">
        <f t="shared" si="26"/>
        <v>-0.11976252513545838</v>
      </c>
      <c r="Y6" s="8">
        <f t="shared" si="27"/>
        <v>-3.4955121923364807E-2</v>
      </c>
      <c r="Z6" s="12">
        <f t="shared" si="28"/>
        <v>0.22592847414539449</v>
      </c>
      <c r="AA6" s="7">
        <f>SUM(L$2:L7)-SUM(AB$2:AB7)</f>
        <v>-540.31999999999971</v>
      </c>
      <c r="AB6" s="88"/>
      <c r="AC6" s="13">
        <f t="shared" si="29"/>
        <v>-39.771329803328356</v>
      </c>
      <c r="AD6" s="13">
        <f t="shared" si="30"/>
        <v>-1739.7713298033284</v>
      </c>
    </row>
    <row r="7" spans="1:30" s="1" customFormat="1" x14ac:dyDescent="0.25">
      <c r="A7" s="101">
        <v>43669</v>
      </c>
      <c r="B7" s="130" t="s">
        <v>229</v>
      </c>
      <c r="C7" s="127" t="s">
        <v>226</v>
      </c>
      <c r="D7" s="85">
        <v>500</v>
      </c>
      <c r="E7" s="84">
        <v>6.45</v>
      </c>
      <c r="F7" s="85">
        <f t="shared" si="10"/>
        <v>2200</v>
      </c>
      <c r="G7" s="86">
        <f t="shared" si="11"/>
        <v>6.6955999999999998</v>
      </c>
      <c r="H7" s="84">
        <f t="shared" si="12"/>
        <v>14730.32</v>
      </c>
      <c r="I7" s="84">
        <f t="shared" si="13"/>
        <v>-540.31999999999971</v>
      </c>
      <c r="J7" s="87">
        <f t="shared" si="14"/>
        <v>-3.6680805304976347E-2</v>
      </c>
      <c r="K7" s="84">
        <f t="shared" si="15"/>
        <v>14190</v>
      </c>
      <c r="L7" s="84">
        <f t="shared" si="16"/>
        <v>-277.29999999999927</v>
      </c>
      <c r="M7" s="84">
        <f t="shared" si="17"/>
        <v>5.3</v>
      </c>
      <c r="N7" s="15">
        <f t="shared" si="18"/>
        <v>0</v>
      </c>
      <c r="O7" s="7"/>
      <c r="P7" s="8">
        <f t="shared" si="19"/>
        <v>-0.2455999999999996</v>
      </c>
      <c r="Q7" s="7">
        <f t="shared" si="20"/>
        <v>-3230.2999999999993</v>
      </c>
      <c r="R7" s="9"/>
      <c r="S7" s="9">
        <f t="shared" si="21"/>
        <v>35269.679999999993</v>
      </c>
      <c r="T7" s="9">
        <f t="shared" si="22"/>
        <v>5468.1674418604634</v>
      </c>
      <c r="U7" s="9">
        <f t="shared" si="23"/>
        <v>7668.1674418604634</v>
      </c>
      <c r="V7" s="7">
        <f t="shared" si="24"/>
        <v>49999.999999999993</v>
      </c>
      <c r="W7" s="8">
        <f t="shared" si="25"/>
        <v>6.5204627284284902</v>
      </c>
      <c r="X7" s="8">
        <f t="shared" si="26"/>
        <v>-0.1751372715715096</v>
      </c>
      <c r="Y7" s="8">
        <f t="shared" si="27"/>
        <v>-7.0462728428489996E-2</v>
      </c>
      <c r="Z7" s="12">
        <f t="shared" si="28"/>
        <v>0.28690036005085362</v>
      </c>
      <c r="AA7" s="7">
        <f>SUM(L$2:L8)-SUM(AB$2:AB8)</f>
        <v>-350.17599999999948</v>
      </c>
      <c r="AB7" s="88"/>
      <c r="AC7" s="13">
        <f t="shared" si="29"/>
        <v>-83.728657364341046</v>
      </c>
      <c r="AD7" s="13">
        <f t="shared" si="30"/>
        <v>-2283.728657364341</v>
      </c>
    </row>
    <row r="8" spans="1:30" s="1" customFormat="1" x14ac:dyDescent="0.25">
      <c r="A8" s="101">
        <v>43672</v>
      </c>
      <c r="B8" s="130" t="s">
        <v>228</v>
      </c>
      <c r="C8" s="84" t="s">
        <v>200</v>
      </c>
      <c r="D8" s="85">
        <v>400</v>
      </c>
      <c r="E8" s="84">
        <v>6.54</v>
      </c>
      <c r="F8" s="85">
        <f t="shared" si="10"/>
        <v>1800</v>
      </c>
      <c r="G8" s="86">
        <f t="shared" si="11"/>
        <v>6.7345422222222222</v>
      </c>
      <c r="H8" s="84">
        <f t="shared" si="12"/>
        <v>12122.175999999999</v>
      </c>
      <c r="I8" s="84">
        <f t="shared" si="13"/>
        <v>-350.17599999999948</v>
      </c>
      <c r="J8" s="87">
        <f t="shared" si="14"/>
        <v>-2.8887222888035937E-2</v>
      </c>
      <c r="K8" s="84">
        <f t="shared" si="15"/>
        <v>11772</v>
      </c>
      <c r="L8" s="84">
        <f t="shared" si="16"/>
        <v>190.14400000000023</v>
      </c>
      <c r="M8" s="84">
        <f t="shared" si="17"/>
        <v>5.24</v>
      </c>
      <c r="N8" s="15">
        <f t="shared" si="18"/>
        <v>2.6160000000000001</v>
      </c>
      <c r="O8" s="7"/>
      <c r="P8" s="8">
        <f t="shared" si="19"/>
        <v>-0.19454222222222217</v>
      </c>
      <c r="Q8" s="7">
        <f t="shared" si="20"/>
        <v>2608.1440000000002</v>
      </c>
      <c r="R8" s="9"/>
      <c r="S8" s="9">
        <f t="shared" si="21"/>
        <v>37877.823999999993</v>
      </c>
      <c r="T8" s="9">
        <f t="shared" si="22"/>
        <v>5791.716207951069</v>
      </c>
      <c r="U8" s="9">
        <f t="shared" si="23"/>
        <v>7591.716207951069</v>
      </c>
      <c r="V8" s="7">
        <f t="shared" si="24"/>
        <v>49999.999999999993</v>
      </c>
      <c r="W8" s="8">
        <f t="shared" si="25"/>
        <v>6.5861260656231133</v>
      </c>
      <c r="X8" s="8">
        <f t="shared" si="26"/>
        <v>-0.14841615659910889</v>
      </c>
      <c r="Y8" s="8">
        <f t="shared" si="27"/>
        <v>-4.6126065623113277E-2</v>
      </c>
      <c r="Z8" s="12">
        <f t="shared" si="28"/>
        <v>0.23710053836243211</v>
      </c>
      <c r="AA8" s="7">
        <f>SUM(L$2:L9)-SUM(AB$2:AB9)</f>
        <v>-751.47599999999875</v>
      </c>
      <c r="AB8" s="88"/>
      <c r="AC8" s="13">
        <f t="shared" si="29"/>
        <v>-53.516959021406649</v>
      </c>
      <c r="AD8" s="13">
        <f t="shared" si="30"/>
        <v>-1853.5169590214066</v>
      </c>
    </row>
    <row r="9" spans="1:30" s="1" customFormat="1" x14ac:dyDescent="0.25">
      <c r="A9" s="101">
        <v>43679</v>
      </c>
      <c r="B9" s="130" t="s">
        <v>229</v>
      </c>
      <c r="C9" s="127" t="s">
        <v>227</v>
      </c>
      <c r="D9" s="85">
        <v>500</v>
      </c>
      <c r="E9" s="84">
        <v>6.32</v>
      </c>
      <c r="F9" s="85">
        <f t="shared" si="10"/>
        <v>2300</v>
      </c>
      <c r="G9" s="86">
        <f t="shared" si="11"/>
        <v>6.6467286956521736</v>
      </c>
      <c r="H9" s="84">
        <f t="shared" si="12"/>
        <v>15287.475999999999</v>
      </c>
      <c r="I9" s="84">
        <f t="shared" si="13"/>
        <v>-751.47599999999875</v>
      </c>
      <c r="J9" s="87">
        <f t="shared" si="14"/>
        <v>-4.9156315928149202E-2</v>
      </c>
      <c r="K9" s="84">
        <f t="shared" si="15"/>
        <v>14536</v>
      </c>
      <c r="L9" s="84">
        <f t="shared" si="16"/>
        <v>-401.29999999999927</v>
      </c>
      <c r="M9" s="84">
        <f t="shared" si="17"/>
        <v>5.3</v>
      </c>
      <c r="N9" s="15">
        <f t="shared" si="18"/>
        <v>0</v>
      </c>
      <c r="O9" s="7"/>
      <c r="P9" s="8">
        <f t="shared" si="19"/>
        <v>-0.32672869565217333</v>
      </c>
      <c r="Q9" s="7">
        <f t="shared" si="20"/>
        <v>-3165.2999999999993</v>
      </c>
      <c r="R9" s="9"/>
      <c r="S9" s="9">
        <f t="shared" si="21"/>
        <v>34712.52399999999</v>
      </c>
      <c r="T9" s="9">
        <f t="shared" si="22"/>
        <v>5492.4879746835422</v>
      </c>
      <c r="U9" s="9">
        <f t="shared" si="23"/>
        <v>7792.4879746835422</v>
      </c>
      <c r="V9" s="7">
        <f t="shared" si="24"/>
        <v>49999.999999999985</v>
      </c>
      <c r="W9" s="8">
        <f t="shared" si="25"/>
        <v>6.4164359524764638</v>
      </c>
      <c r="X9" s="8">
        <f t="shared" si="26"/>
        <v>-0.2302927431757098</v>
      </c>
      <c r="Y9" s="8">
        <f t="shared" si="27"/>
        <v>-9.6435952476463527E-2</v>
      </c>
      <c r="Z9" s="12">
        <f t="shared" si="28"/>
        <v>0.29515605381391741</v>
      </c>
      <c r="AA9" s="7">
        <f>SUM(L$2:L10)-SUM(AB$2:AB10)</f>
        <v>-1147.775999999998</v>
      </c>
      <c r="AB9" s="88"/>
      <c r="AC9" s="13">
        <f t="shared" si="29"/>
        <v>-118.84497816455676</v>
      </c>
      <c r="AD9" s="13">
        <f t="shared" si="30"/>
        <v>-2418.8449781645568</v>
      </c>
    </row>
    <row r="10" spans="1:30" s="1" customFormat="1" x14ac:dyDescent="0.25">
      <c r="A10" s="101">
        <v>43683</v>
      </c>
      <c r="B10" s="130" t="s">
        <v>281</v>
      </c>
      <c r="C10" s="127" t="s">
        <v>230</v>
      </c>
      <c r="D10" s="85">
        <v>500</v>
      </c>
      <c r="E10" s="84">
        <v>6.15</v>
      </c>
      <c r="F10" s="85">
        <f t="shared" si="10"/>
        <v>2800</v>
      </c>
      <c r="G10" s="86">
        <f t="shared" si="11"/>
        <v>6.5599199999999991</v>
      </c>
      <c r="H10" s="84">
        <f t="shared" si="12"/>
        <v>18367.775999999998</v>
      </c>
      <c r="I10" s="84">
        <f t="shared" si="13"/>
        <v>-1147.775999999998</v>
      </c>
      <c r="J10" s="87">
        <f t="shared" si="14"/>
        <v>-6.2488566933742912E-2</v>
      </c>
      <c r="K10" s="84">
        <f t="shared" si="15"/>
        <v>17220</v>
      </c>
      <c r="L10" s="84">
        <f t="shared" si="16"/>
        <v>-396.29999999999927</v>
      </c>
      <c r="M10" s="84">
        <f t="shared" si="17"/>
        <v>5.3</v>
      </c>
      <c r="N10" s="15">
        <f t="shared" si="18"/>
        <v>0</v>
      </c>
      <c r="O10" s="7"/>
      <c r="P10" s="8">
        <f t="shared" si="19"/>
        <v>-0.40991999999999873</v>
      </c>
      <c r="Q10" s="7">
        <f t="shared" si="20"/>
        <v>-3080.2999999999993</v>
      </c>
      <c r="R10" s="9"/>
      <c r="S10" s="9">
        <f t="shared" si="21"/>
        <v>31632.223999999991</v>
      </c>
      <c r="T10" s="9">
        <f t="shared" si="22"/>
        <v>5143.4510569105678</v>
      </c>
      <c r="U10" s="9">
        <f t="shared" si="23"/>
        <v>7943.4510569105678</v>
      </c>
      <c r="V10" s="7">
        <f t="shared" si="24"/>
        <v>49999.999999999985</v>
      </c>
      <c r="W10" s="8">
        <f t="shared" si="25"/>
        <v>6.2944933684083644</v>
      </c>
      <c r="X10" s="8">
        <f t="shared" si="26"/>
        <v>-0.26542663159163471</v>
      </c>
      <c r="Y10" s="8">
        <f t="shared" si="27"/>
        <v>-0.14449336840836402</v>
      </c>
      <c r="Z10" s="12">
        <f t="shared" si="28"/>
        <v>0.35249162863086853</v>
      </c>
      <c r="AA10" s="7">
        <f>SUM(L$2:L11)-SUM(AB$2:AB11)</f>
        <v>-1125.0759999999973</v>
      </c>
      <c r="AB10" s="88"/>
      <c r="AC10" s="13">
        <f t="shared" si="29"/>
        <v>-186.53692878048747</v>
      </c>
      <c r="AD10" s="13">
        <f t="shared" si="30"/>
        <v>-2986.5369287804874</v>
      </c>
    </row>
    <row r="11" spans="1:30" s="1" customFormat="1" x14ac:dyDescent="0.25">
      <c r="A11" s="101">
        <v>43690</v>
      </c>
      <c r="B11" s="148" t="s">
        <v>254</v>
      </c>
      <c r="C11" s="127" t="s">
        <v>233</v>
      </c>
      <c r="D11" s="85">
        <v>500</v>
      </c>
      <c r="E11" s="84">
        <v>6.16</v>
      </c>
      <c r="F11" s="85">
        <f t="shared" si="10"/>
        <v>3300</v>
      </c>
      <c r="G11" s="86">
        <f t="shared" si="11"/>
        <v>6.5009321212121201</v>
      </c>
      <c r="H11" s="84">
        <f t="shared" si="12"/>
        <v>21453.075999999997</v>
      </c>
      <c r="I11" s="84">
        <f t="shared" si="13"/>
        <v>-1125.0759999999973</v>
      </c>
      <c r="J11" s="87">
        <f t="shared" si="14"/>
        <v>-5.2443574991297093E-2</v>
      </c>
      <c r="K11" s="84">
        <f t="shared" si="15"/>
        <v>20328</v>
      </c>
      <c r="L11" s="84">
        <f t="shared" si="16"/>
        <v>22.700000000000728</v>
      </c>
      <c r="M11" s="84">
        <f t="shared" si="17"/>
        <v>5.3</v>
      </c>
      <c r="N11" s="15">
        <f t="shared" si="18"/>
        <v>0</v>
      </c>
      <c r="O11" s="7"/>
      <c r="P11" s="8">
        <f t="shared" si="19"/>
        <v>-0.34093212121211991</v>
      </c>
      <c r="Q11" s="7">
        <f t="shared" si="20"/>
        <v>-3085.2999999999993</v>
      </c>
      <c r="R11" s="9"/>
      <c r="S11" s="9">
        <f t="shared" si="21"/>
        <v>28546.923999999992</v>
      </c>
      <c r="T11" s="9">
        <f t="shared" si="22"/>
        <v>4634.2409090909077</v>
      </c>
      <c r="U11" s="9">
        <f t="shared" si="23"/>
        <v>7934.2409090909077</v>
      </c>
      <c r="V11" s="7">
        <f t="shared" si="24"/>
        <v>49999.999999999985</v>
      </c>
      <c r="W11" s="8">
        <f t="shared" si="25"/>
        <v>6.3018000805484622</v>
      </c>
      <c r="X11" s="8">
        <f t="shared" si="26"/>
        <v>-0.19913204066365786</v>
      </c>
      <c r="Y11" s="8">
        <f t="shared" si="27"/>
        <v>-0.14180008054846205</v>
      </c>
      <c r="Z11" s="12">
        <f t="shared" si="28"/>
        <v>0.41591880531619863</v>
      </c>
      <c r="AA11" s="7">
        <f>SUM(L$2:L12)-SUM(AB$2:AB12)</f>
        <v>-1460.3759999999966</v>
      </c>
      <c r="AB11" s="88"/>
      <c r="AC11" s="13">
        <f t="shared" si="29"/>
        <v>-182.55088668831127</v>
      </c>
      <c r="AD11" s="13">
        <f t="shared" si="30"/>
        <v>-3482.550886688311</v>
      </c>
    </row>
    <row r="12" spans="1:30" s="1" customFormat="1" x14ac:dyDescent="0.25">
      <c r="A12" s="101">
        <v>43692</v>
      </c>
      <c r="B12" s="130" t="s">
        <v>256</v>
      </c>
      <c r="C12" s="127" t="s">
        <v>234</v>
      </c>
      <c r="D12" s="85">
        <v>500</v>
      </c>
      <c r="E12" s="84">
        <v>6.06</v>
      </c>
      <c r="F12" s="85">
        <f t="shared" ref="F12:F15" si="31">IF(C12="买",F11+D12,F11-D12)</f>
        <v>3800</v>
      </c>
      <c r="G12" s="86">
        <f t="shared" ref="G12:G15" si="32">H12/F12</f>
        <v>6.4443094736842097</v>
      </c>
      <c r="H12" s="84">
        <f t="shared" ref="H12:H15" si="33">IF(C12="买",H11+D12*E12+M12+N12,H11+-1*D12*E12+M12+N12)+O11</f>
        <v>24488.375999999997</v>
      </c>
      <c r="I12" s="84">
        <f t="shared" ref="I12:I15" si="34">-H12+K12</f>
        <v>-1460.3759999999966</v>
      </c>
      <c r="J12" s="87">
        <f t="shared" ref="J12:J15" si="35">(E12-G12)/G12</f>
        <v>-5.9635477664994954E-2</v>
      </c>
      <c r="K12" s="84">
        <f t="shared" ref="K12:K15" si="36">F12*E12</f>
        <v>23028</v>
      </c>
      <c r="L12" s="84">
        <f t="shared" ref="L12:L15" si="37">I12-I11</f>
        <v>-335.29999999999927</v>
      </c>
      <c r="M12" s="84">
        <f t="shared" ref="M12:M15" si="38">IF(D12*E12*5/10000&gt;5,D12*E12*5/10000,5)+(D12/1000)*0.6</f>
        <v>5.3</v>
      </c>
      <c r="N12" s="15">
        <f t="shared" ref="N12:N15" si="39">IF(C12="卖",D12*E12/1000,0)</f>
        <v>0</v>
      </c>
      <c r="O12" s="7"/>
      <c r="P12" s="8">
        <f t="shared" ref="P12:P15" si="40">E12-G12</f>
        <v>-0.38430947368421009</v>
      </c>
      <c r="Q12" s="7">
        <f t="shared" ref="Q12:Q15" si="41">(H12-H11)*-1</f>
        <v>-3035.2999999999993</v>
      </c>
      <c r="R12" s="9"/>
      <c r="S12" s="9">
        <f t="shared" ref="S12:S15" si="42">S11+Q12+O12+R12</f>
        <v>25511.623999999993</v>
      </c>
      <c r="T12" s="9">
        <f t="shared" ref="T12:T15" si="43">S12/E12</f>
        <v>4209.8389438943886</v>
      </c>
      <c r="U12" s="9">
        <f t="shared" ref="U12:U15" si="44">F12+T12</f>
        <v>8009.8389438943886</v>
      </c>
      <c r="V12" s="7">
        <f t="shared" ref="V12:V15" si="45">H12+S12</f>
        <v>49999.999999999985</v>
      </c>
      <c r="W12" s="8">
        <f t="shared" ref="W12:W15" si="46">V12/U12</f>
        <v>6.2423227670655201</v>
      </c>
      <c r="X12" s="8">
        <f t="shared" ref="X12:X15" si="47">W12-G12</f>
        <v>-0.20198670661868956</v>
      </c>
      <c r="Y12" s="8">
        <f t="shared" ref="Y12:Y15" si="48">(X12-P12)*-1</f>
        <v>-0.18232276706552053</v>
      </c>
      <c r="Z12" s="12">
        <f t="shared" ref="Z12:Z15" si="49">F12/U12</f>
        <v>0.47441653029697967</v>
      </c>
      <c r="AA12" s="7">
        <f>SUM(L$2:L13)-SUM(AB$2:AB13)</f>
        <v>-1050.0839999999989</v>
      </c>
      <c r="AB12" s="88"/>
      <c r="AC12" s="13">
        <f t="shared" ref="AC12:AC15" si="50">I12/E12*(1-0.0005)</f>
        <v>-240.86564554455393</v>
      </c>
      <c r="AD12" s="13">
        <f t="shared" ref="AD12:AD15" si="51">AC12-F12</f>
        <v>-4040.8656455445539</v>
      </c>
    </row>
    <row r="13" spans="1:30" s="1" customFormat="1" x14ac:dyDescent="0.25">
      <c r="A13" s="129">
        <v>43696</v>
      </c>
      <c r="B13" s="130" t="s">
        <v>255</v>
      </c>
      <c r="C13" s="84" t="s">
        <v>200</v>
      </c>
      <c r="D13" s="85">
        <v>400</v>
      </c>
      <c r="E13" s="84">
        <v>6.17</v>
      </c>
      <c r="F13" s="85">
        <f t="shared" si="31"/>
        <v>3400</v>
      </c>
      <c r="G13" s="86">
        <f t="shared" si="32"/>
        <v>6.4788482352941177</v>
      </c>
      <c r="H13" s="84">
        <f t="shared" si="33"/>
        <v>22028.083999999999</v>
      </c>
      <c r="I13" s="84">
        <f t="shared" si="34"/>
        <v>-1050.0839999999989</v>
      </c>
      <c r="J13" s="87">
        <f t="shared" si="35"/>
        <v>-4.7670237683858495E-2</v>
      </c>
      <c r="K13" s="84">
        <f t="shared" si="36"/>
        <v>20978</v>
      </c>
      <c r="L13" s="84">
        <f t="shared" si="37"/>
        <v>410.29199999999764</v>
      </c>
      <c r="M13" s="84">
        <f t="shared" si="38"/>
        <v>5.24</v>
      </c>
      <c r="N13" s="15">
        <f t="shared" si="39"/>
        <v>2.468</v>
      </c>
      <c r="O13" s="7"/>
      <c r="P13" s="8">
        <f t="shared" si="40"/>
        <v>-0.30884823529411776</v>
      </c>
      <c r="Q13" s="7">
        <f t="shared" si="41"/>
        <v>2460.2919999999976</v>
      </c>
      <c r="R13" s="9"/>
      <c r="S13" s="9">
        <f t="shared" si="42"/>
        <v>27971.91599999999</v>
      </c>
      <c r="T13" s="9">
        <f t="shared" si="43"/>
        <v>4533.5358184764973</v>
      </c>
      <c r="U13" s="9">
        <f t="shared" si="44"/>
        <v>7933.5358184764973</v>
      </c>
      <c r="V13" s="7">
        <f t="shared" si="45"/>
        <v>49999.999999999985</v>
      </c>
      <c r="W13" s="8">
        <f t="shared" si="46"/>
        <v>6.3023601511389717</v>
      </c>
      <c r="X13" s="8">
        <f t="shared" si="47"/>
        <v>-0.17648808415514594</v>
      </c>
      <c r="Y13" s="8">
        <f t="shared" si="48"/>
        <v>-0.13236015113897182</v>
      </c>
      <c r="Z13" s="12">
        <f t="shared" si="49"/>
        <v>0.42856049027745025</v>
      </c>
      <c r="AA13" s="7">
        <f>SUM(L$2:L14)-SUM(AB$2:AB14)</f>
        <v>-751.82800000000134</v>
      </c>
      <c r="AB13" s="88"/>
      <c r="AC13" s="13">
        <f t="shared" si="50"/>
        <v>-170.10680032414894</v>
      </c>
      <c r="AD13" s="13">
        <f t="shared" si="51"/>
        <v>-3570.1068003241489</v>
      </c>
    </row>
    <row r="14" spans="1:30" s="1" customFormat="1" x14ac:dyDescent="0.25">
      <c r="A14" s="129">
        <v>43713</v>
      </c>
      <c r="B14" s="130" t="s">
        <v>257</v>
      </c>
      <c r="C14" s="84" t="s">
        <v>200</v>
      </c>
      <c r="D14" s="85">
        <v>400</v>
      </c>
      <c r="E14" s="84">
        <v>6.26</v>
      </c>
      <c r="F14" s="85">
        <f t="shared" si="31"/>
        <v>3000</v>
      </c>
      <c r="G14" s="86">
        <f t="shared" si="32"/>
        <v>6.5106093333333339</v>
      </c>
      <c r="H14" s="84">
        <f t="shared" si="33"/>
        <v>19531.828000000001</v>
      </c>
      <c r="I14" s="84">
        <f t="shared" si="34"/>
        <v>-751.82800000000134</v>
      </c>
      <c r="J14" s="87">
        <f t="shared" si="35"/>
        <v>-3.8492454469699525E-2</v>
      </c>
      <c r="K14" s="84">
        <f t="shared" si="36"/>
        <v>18780</v>
      </c>
      <c r="L14" s="84">
        <f t="shared" si="37"/>
        <v>298.25599999999758</v>
      </c>
      <c r="M14" s="84">
        <f t="shared" si="38"/>
        <v>5.24</v>
      </c>
      <c r="N14" s="15">
        <f t="shared" si="39"/>
        <v>2.504</v>
      </c>
      <c r="O14" s="7"/>
      <c r="P14" s="8">
        <f t="shared" si="40"/>
        <v>-0.25060933333333413</v>
      </c>
      <c r="Q14" s="7">
        <f t="shared" si="41"/>
        <v>2496.2559999999976</v>
      </c>
      <c r="R14" s="9"/>
      <c r="S14" s="9">
        <f t="shared" si="42"/>
        <v>30468.171999999988</v>
      </c>
      <c r="T14" s="9">
        <f t="shared" si="43"/>
        <v>4867.1201277955251</v>
      </c>
      <c r="U14" s="9">
        <f t="shared" si="44"/>
        <v>7867.1201277955251</v>
      </c>
      <c r="V14" s="7">
        <f t="shared" si="45"/>
        <v>49999.999999999985</v>
      </c>
      <c r="W14" s="8">
        <f t="shared" si="46"/>
        <v>6.3555658471953027</v>
      </c>
      <c r="X14" s="8">
        <f t="shared" si="47"/>
        <v>-0.15504348613803121</v>
      </c>
      <c r="Y14" s="8">
        <f t="shared" si="48"/>
        <v>-9.5565847195302922E-2</v>
      </c>
      <c r="Z14" s="12">
        <f t="shared" si="49"/>
        <v>0.38133395083171828</v>
      </c>
      <c r="AA14" s="7">
        <f>SUM(L$2:L15)-SUM(AB$2:AB15)</f>
        <v>80.315999999995256</v>
      </c>
      <c r="AB14" s="88"/>
      <c r="AC14" s="13">
        <f t="shared" si="50"/>
        <v>-120.04026932907371</v>
      </c>
      <c r="AD14" s="13">
        <f t="shared" si="51"/>
        <v>-3120.0402693290739</v>
      </c>
    </row>
    <row r="15" spans="1:30" s="1" customFormat="1" x14ac:dyDescent="0.25">
      <c r="A15" s="129">
        <v>43724</v>
      </c>
      <c r="B15" s="148" t="s">
        <v>258</v>
      </c>
      <c r="C15" s="84" t="s">
        <v>200</v>
      </c>
      <c r="D15" s="85">
        <v>400</v>
      </c>
      <c r="E15" s="84">
        <v>6.54</v>
      </c>
      <c r="F15" s="85">
        <f t="shared" si="31"/>
        <v>2600</v>
      </c>
      <c r="G15" s="86">
        <f t="shared" si="32"/>
        <v>6.5091092307692326</v>
      </c>
      <c r="H15" s="84">
        <f t="shared" si="33"/>
        <v>16923.684000000005</v>
      </c>
      <c r="I15" s="84">
        <f t="shared" si="34"/>
        <v>80.315999999995256</v>
      </c>
      <c r="J15" s="87">
        <f t="shared" si="35"/>
        <v>4.7457752106453413E-3</v>
      </c>
      <c r="K15" s="84">
        <f t="shared" si="36"/>
        <v>17004</v>
      </c>
      <c r="L15" s="84">
        <f t="shared" si="37"/>
        <v>832.14399999999659</v>
      </c>
      <c r="M15" s="84">
        <f t="shared" si="38"/>
        <v>5.24</v>
      </c>
      <c r="N15" s="15">
        <f t="shared" si="39"/>
        <v>2.6160000000000001</v>
      </c>
      <c r="O15" s="7"/>
      <c r="P15" s="8">
        <f t="shared" si="40"/>
        <v>3.089076923076739E-2</v>
      </c>
      <c r="Q15" s="7">
        <f t="shared" si="41"/>
        <v>2608.1439999999966</v>
      </c>
      <c r="R15" s="9"/>
      <c r="S15" s="9">
        <f t="shared" si="42"/>
        <v>33076.315999999984</v>
      </c>
      <c r="T15" s="9">
        <f t="shared" si="43"/>
        <v>5057.5406727828722</v>
      </c>
      <c r="U15" s="9">
        <f t="shared" si="44"/>
        <v>7657.5406727828722</v>
      </c>
      <c r="V15" s="7">
        <f t="shared" si="45"/>
        <v>49999.999999999985</v>
      </c>
      <c r="W15" s="8">
        <f t="shared" si="46"/>
        <v>6.529511515063124</v>
      </c>
      <c r="X15" s="8">
        <f t="shared" si="47"/>
        <v>2.0402284293891348E-2</v>
      </c>
      <c r="Y15" s="8">
        <f t="shared" si="48"/>
        <v>1.0488484936876041E-2</v>
      </c>
      <c r="Z15" s="12">
        <f t="shared" si="49"/>
        <v>0.33953459878328257</v>
      </c>
      <c r="AA15" s="7">
        <f>SUM(L$2:L16)-SUM(AB$2:AB16)</f>
        <v>150.44799999999486</v>
      </c>
      <c r="AB15" s="88"/>
      <c r="AC15" s="13">
        <f t="shared" si="50"/>
        <v>12.274593577980927</v>
      </c>
      <c r="AD15" s="13">
        <f t="shared" si="51"/>
        <v>-2587.7254064220192</v>
      </c>
    </row>
    <row r="16" spans="1:30" x14ac:dyDescent="0.25">
      <c r="A16" s="129">
        <v>43724</v>
      </c>
      <c r="B16" s="130" t="s">
        <v>261</v>
      </c>
      <c r="C16" s="84" t="s">
        <v>200</v>
      </c>
      <c r="D16" s="85">
        <v>400</v>
      </c>
      <c r="E16" s="84">
        <v>6.57</v>
      </c>
      <c r="F16" s="85">
        <f t="shared" ref="F16:F17" si="52">IF(C16="买",F15+D16,F15-D16)</f>
        <v>2200</v>
      </c>
      <c r="G16" s="86">
        <f t="shared" ref="G16:G17" si="53">H16/F16</f>
        <v>6.5016145454545482</v>
      </c>
      <c r="H16" s="84">
        <f t="shared" ref="H16:H17" si="54">IF(C16="买",H15+D16*E16+M16+N16,H15+-1*D16*E16+M16+N16)+O15</f>
        <v>14303.552000000005</v>
      </c>
      <c r="I16" s="84">
        <f t="shared" ref="I16:I20" si="55">-H16+K16</f>
        <v>150.44799999999486</v>
      </c>
      <c r="J16" s="136">
        <f t="shared" ref="J16:J20" si="56">(E16-G16)/G16</f>
        <v>1.0518226521635641E-2</v>
      </c>
      <c r="K16" s="137">
        <f t="shared" ref="K16:K20" si="57">F16*E16</f>
        <v>14454</v>
      </c>
      <c r="L16" s="137">
        <f t="shared" ref="L16:L20" si="58">I16-I15</f>
        <v>70.131999999999607</v>
      </c>
      <c r="M16" s="137">
        <f t="shared" ref="M16:M20" si="59">IF(D16*E16*5/10000&gt;5,D16*E16*5/10000,5)+(D16/1000)*0.6</f>
        <v>5.24</v>
      </c>
      <c r="N16" s="137">
        <f t="shared" ref="N16:N20" si="60">IF(C16="卖",D16*E16/1000,0)</f>
        <v>2.6280000000000001</v>
      </c>
      <c r="O16" s="137"/>
      <c r="P16" s="138">
        <f t="shared" ref="P16:P20" si="61">E16-G16</f>
        <v>6.8385454545452085E-2</v>
      </c>
      <c r="Q16" s="137">
        <f t="shared" ref="Q16:Q20" si="62">(H16-H15)*-1</f>
        <v>2620.1319999999996</v>
      </c>
      <c r="R16" s="139"/>
      <c r="S16" s="139">
        <f t="shared" ref="S16:S20" si="63">S15+Q16+O16+R16</f>
        <v>35696.447999999982</v>
      </c>
      <c r="T16" s="139">
        <f t="shared" ref="T16:T20" si="64">S16/E16</f>
        <v>5433.2493150684904</v>
      </c>
      <c r="U16" s="139">
        <f t="shared" ref="U16:U20" si="65">F16+T16</f>
        <v>7633.2493150684904</v>
      </c>
      <c r="V16" s="137">
        <f t="shared" ref="V16:V20" si="66">H16+S16</f>
        <v>49999.999999999985</v>
      </c>
      <c r="W16" s="138">
        <f t="shared" ref="W16:W20" si="67">V16/U16</f>
        <v>6.550290438083425</v>
      </c>
      <c r="X16" s="138">
        <f t="shared" ref="X16:X20" si="68">W16-G16</f>
        <v>4.8675892628876838E-2</v>
      </c>
      <c r="Y16" s="138">
        <f t="shared" ref="Y16:Y20" si="69">(X16-P16)*-1</f>
        <v>1.9709561916575247E-2</v>
      </c>
      <c r="Z16" s="140">
        <f t="shared" ref="Z16:Z20" si="70">F16/U16</f>
        <v>0.28821277927567079</v>
      </c>
      <c r="AA16" s="7">
        <f>SUM(L$2:L17)-SUM(AB$2:AB17)</f>
        <v>-360.79200000000492</v>
      </c>
      <c r="AB16" s="141"/>
      <c r="AC16" s="13">
        <f t="shared" ref="AC16:AC20" si="71">I16/E16*(1-0.0005)</f>
        <v>22.887789345509113</v>
      </c>
      <c r="AD16" s="13">
        <f t="shared" ref="AD16:AD20" si="72">AC16-F16</f>
        <v>-2177.1122106544908</v>
      </c>
    </row>
    <row r="17" spans="1:30" x14ac:dyDescent="0.25">
      <c r="A17" s="129">
        <v>43726</v>
      </c>
      <c r="B17" s="130"/>
      <c r="C17" s="84" t="s">
        <v>46</v>
      </c>
      <c r="D17" s="85">
        <v>400</v>
      </c>
      <c r="E17" s="84">
        <v>6.34</v>
      </c>
      <c r="F17" s="85">
        <f t="shared" si="52"/>
        <v>2600</v>
      </c>
      <c r="G17" s="86">
        <f t="shared" si="53"/>
        <v>6.4787661538461556</v>
      </c>
      <c r="H17" s="84">
        <f t="shared" si="54"/>
        <v>16844.792000000005</v>
      </c>
      <c r="I17" s="84">
        <f t="shared" si="55"/>
        <v>-360.79200000000492</v>
      </c>
      <c r="J17" s="136">
        <f t="shared" si="56"/>
        <v>-2.1418608196527737E-2</v>
      </c>
      <c r="K17" s="137">
        <f t="shared" si="57"/>
        <v>16484</v>
      </c>
      <c r="L17" s="137">
        <f t="shared" si="58"/>
        <v>-511.23999999999978</v>
      </c>
      <c r="M17" s="137">
        <f t="shared" si="59"/>
        <v>5.24</v>
      </c>
      <c r="N17" s="137">
        <f t="shared" si="60"/>
        <v>0</v>
      </c>
      <c r="O17" s="137">
        <v>-201.89</v>
      </c>
      <c r="P17" s="138">
        <f t="shared" si="61"/>
        <v>-0.13876615384615576</v>
      </c>
      <c r="Q17" s="137">
        <f t="shared" si="62"/>
        <v>-2541.2399999999998</v>
      </c>
      <c r="R17" s="139"/>
      <c r="S17" s="139">
        <f t="shared" si="63"/>
        <v>32953.317999999985</v>
      </c>
      <c r="T17" s="139">
        <f t="shared" si="64"/>
        <v>5197.6842271293353</v>
      </c>
      <c r="U17" s="139">
        <f t="shared" si="65"/>
        <v>7797.6842271293353</v>
      </c>
      <c r="V17" s="137">
        <f t="shared" si="66"/>
        <v>49798.109999999986</v>
      </c>
      <c r="W17" s="138">
        <f t="shared" si="67"/>
        <v>6.3862691216380307</v>
      </c>
      <c r="X17" s="138">
        <f t="shared" si="68"/>
        <v>-9.2497032208124885E-2</v>
      </c>
      <c r="Y17" s="138">
        <f t="shared" si="69"/>
        <v>-4.6269121638030875E-2</v>
      </c>
      <c r="Z17" s="140">
        <f t="shared" si="70"/>
        <v>0.33343232737665918</v>
      </c>
      <c r="AA17" s="7">
        <f>SUM(L$2:L18)-SUM(AB$2:AB18)</f>
        <v>-502.20200000000477</v>
      </c>
      <c r="AB17" s="141"/>
      <c r="AC17" s="13">
        <f t="shared" si="71"/>
        <v>-56.878801892745258</v>
      </c>
      <c r="AD17" s="13">
        <f t="shared" si="72"/>
        <v>-2656.8788018927453</v>
      </c>
    </row>
    <row r="18" spans="1:30" x14ac:dyDescent="0.25">
      <c r="A18" s="129">
        <v>43733</v>
      </c>
      <c r="B18" s="130" t="s">
        <v>278</v>
      </c>
      <c r="C18" s="127" t="s">
        <v>263</v>
      </c>
      <c r="D18" s="85">
        <v>500</v>
      </c>
      <c r="E18" s="84">
        <v>6.21</v>
      </c>
      <c r="F18" s="85">
        <f t="shared" ref="F18" si="73">IF(C18="买",F17+D18,F17-D18)</f>
        <v>3100</v>
      </c>
      <c r="G18" s="86">
        <f t="shared" ref="G18:G19" si="74">H18/F18</f>
        <v>6.3720006451612923</v>
      </c>
      <c r="H18" s="84">
        <f t="shared" ref="H18:H19" si="75">IF(C18="买",H17+D18*E18+M18+N18,H17+-1*D18*E18+M18+N18)+O17</f>
        <v>19753.202000000005</v>
      </c>
      <c r="I18" s="84">
        <f t="shared" si="55"/>
        <v>-502.20200000000477</v>
      </c>
      <c r="J18" s="136">
        <f t="shared" si="56"/>
        <v>-2.5423827488829709E-2</v>
      </c>
      <c r="K18" s="137">
        <f t="shared" si="57"/>
        <v>19251</v>
      </c>
      <c r="L18" s="137">
        <f t="shared" si="58"/>
        <v>-141.40999999999985</v>
      </c>
      <c r="M18" s="137">
        <f t="shared" si="59"/>
        <v>5.3</v>
      </c>
      <c r="N18" s="137">
        <f t="shared" si="60"/>
        <v>0</v>
      </c>
      <c r="O18" s="137"/>
      <c r="P18" s="138">
        <f t="shared" si="61"/>
        <v>-0.16200064516129231</v>
      </c>
      <c r="Q18" s="137">
        <f t="shared" si="62"/>
        <v>-2908.41</v>
      </c>
      <c r="R18" s="139"/>
      <c r="S18" s="139">
        <f t="shared" si="63"/>
        <v>30044.907999999985</v>
      </c>
      <c r="T18" s="139">
        <f t="shared" si="64"/>
        <v>4838.1494363929123</v>
      </c>
      <c r="U18" s="139">
        <f t="shared" si="65"/>
        <v>7938.1494363929123</v>
      </c>
      <c r="V18" s="137">
        <f t="shared" si="66"/>
        <v>49798.109999999986</v>
      </c>
      <c r="W18" s="138">
        <f t="shared" si="67"/>
        <v>6.2732643670951349</v>
      </c>
      <c r="X18" s="138">
        <f t="shared" si="68"/>
        <v>-9.8736278066157368E-2</v>
      </c>
      <c r="Y18" s="138">
        <f t="shared" si="69"/>
        <v>-6.3264367095134943E-2</v>
      </c>
      <c r="Z18" s="140">
        <f t="shared" si="70"/>
        <v>0.39051922930398208</v>
      </c>
      <c r="AA18" s="7">
        <f>SUM(L$2:L19)-SUM(AB$2:AB19)</f>
        <v>-1003.502000000004</v>
      </c>
      <c r="AB18" s="141"/>
      <c r="AC18" s="13">
        <f t="shared" si="71"/>
        <v>-80.82945233494442</v>
      </c>
      <c r="AD18" s="13">
        <f t="shared" si="72"/>
        <v>-3180.8294523349446</v>
      </c>
    </row>
    <row r="19" spans="1:30" x14ac:dyDescent="0.25">
      <c r="A19" s="129">
        <v>43759</v>
      </c>
      <c r="B19" s="130" t="s">
        <v>229</v>
      </c>
      <c r="C19" s="84" t="s">
        <v>46</v>
      </c>
      <c r="D19" s="85">
        <v>500</v>
      </c>
      <c r="E19" s="84">
        <v>6.05</v>
      </c>
      <c r="F19" s="85">
        <f t="shared" ref="F19" si="76">IF(C19="买",F18+D19,F18-D19)</f>
        <v>3600</v>
      </c>
      <c r="G19" s="86">
        <f t="shared" si="74"/>
        <v>6.3287505555555565</v>
      </c>
      <c r="H19" s="84">
        <f t="shared" si="75"/>
        <v>22783.502000000004</v>
      </c>
      <c r="I19" s="84">
        <f t="shared" si="55"/>
        <v>-1003.502000000004</v>
      </c>
      <c r="J19" s="136">
        <f t="shared" si="56"/>
        <v>-4.4045116505794589E-2</v>
      </c>
      <c r="K19" s="137">
        <f t="shared" si="57"/>
        <v>21780</v>
      </c>
      <c r="L19" s="137">
        <f t="shared" si="58"/>
        <v>-501.29999999999927</v>
      </c>
      <c r="M19" s="137">
        <f t="shared" si="59"/>
        <v>5.3</v>
      </c>
      <c r="N19" s="137">
        <f t="shared" si="60"/>
        <v>0</v>
      </c>
      <c r="O19" s="137"/>
      <c r="P19" s="138">
        <f t="shared" si="61"/>
        <v>-0.27875055555555672</v>
      </c>
      <c r="Q19" s="137">
        <f t="shared" si="62"/>
        <v>-3030.2999999999993</v>
      </c>
      <c r="R19" s="139"/>
      <c r="S19" s="139">
        <f t="shared" si="63"/>
        <v>27014.607999999986</v>
      </c>
      <c r="T19" s="139">
        <f t="shared" si="64"/>
        <v>4465.2244628099152</v>
      </c>
      <c r="U19" s="139">
        <f t="shared" si="65"/>
        <v>8065.2244628099152</v>
      </c>
      <c r="V19" s="137">
        <f t="shared" si="66"/>
        <v>49798.109999999986</v>
      </c>
      <c r="W19" s="138">
        <f t="shared" si="67"/>
        <v>6.1744233194782501</v>
      </c>
      <c r="X19" s="138">
        <f t="shared" si="68"/>
        <v>-0.15432723607730647</v>
      </c>
      <c r="Y19" s="138">
        <f t="shared" si="69"/>
        <v>-0.12442331947825025</v>
      </c>
      <c r="Z19" s="140">
        <f t="shared" si="70"/>
        <v>0.44636079461894657</v>
      </c>
      <c r="AA19" s="7">
        <f>SUM(L$2:L20)-SUM(AB$2:AB20)</f>
        <v>-1476.8020000000033</v>
      </c>
      <c r="AB19" s="141"/>
      <c r="AC19" s="13">
        <f t="shared" si="71"/>
        <v>-165.78516512396763</v>
      </c>
      <c r="AD19" s="13">
        <f t="shared" si="72"/>
        <v>-3765.7851651239675</v>
      </c>
    </row>
    <row r="20" spans="1:30" x14ac:dyDescent="0.25">
      <c r="A20" s="129">
        <v>43769</v>
      </c>
      <c r="B20" s="130" t="s">
        <v>289</v>
      </c>
      <c r="C20" s="127" t="s">
        <v>269</v>
      </c>
      <c r="D20" s="85">
        <v>500</v>
      </c>
      <c r="E20" s="84">
        <v>5.92</v>
      </c>
      <c r="F20" s="85">
        <f t="shared" ref="F20" si="77">IF(C20="买",F19+D20,F19-D20)</f>
        <v>4100</v>
      </c>
      <c r="G20" s="86">
        <f t="shared" ref="G20" si="78">H20/F20</f>
        <v>6.280195609756098</v>
      </c>
      <c r="H20" s="84">
        <f t="shared" ref="H20" si="79">IF(C20="买",H19+D20*E20+M20+N20,H19+-1*D20*E20+M20+N20)+O19</f>
        <v>25748.802000000003</v>
      </c>
      <c r="I20" s="84">
        <f t="shared" si="55"/>
        <v>-1476.8020000000033</v>
      </c>
      <c r="J20" s="142">
        <f t="shared" si="56"/>
        <v>-5.7354202343083846E-2</v>
      </c>
      <c r="K20" s="84">
        <f t="shared" si="57"/>
        <v>24272</v>
      </c>
      <c r="L20" s="84">
        <f t="shared" si="58"/>
        <v>-473.29999999999927</v>
      </c>
      <c r="M20" s="84">
        <f t="shared" si="59"/>
        <v>5.3</v>
      </c>
      <c r="N20" s="84">
        <f t="shared" si="60"/>
        <v>0</v>
      </c>
      <c r="O20" s="84"/>
      <c r="P20" s="86">
        <f t="shared" si="61"/>
        <v>-0.3601956097560981</v>
      </c>
      <c r="Q20" s="84">
        <f t="shared" si="62"/>
        <v>-2965.2999999999993</v>
      </c>
      <c r="R20" s="143"/>
      <c r="S20" s="143">
        <f t="shared" si="63"/>
        <v>24049.307999999986</v>
      </c>
      <c r="T20" s="143">
        <f t="shared" si="64"/>
        <v>4062.3831081081057</v>
      </c>
      <c r="U20" s="143">
        <f t="shared" si="65"/>
        <v>8162.3831081081062</v>
      </c>
      <c r="V20" s="84">
        <f t="shared" si="66"/>
        <v>49798.109999999986</v>
      </c>
      <c r="W20" s="86">
        <f t="shared" si="67"/>
        <v>6.1009277977326271</v>
      </c>
      <c r="X20" s="86">
        <f t="shared" si="68"/>
        <v>-0.17926781202347097</v>
      </c>
      <c r="Y20" s="86">
        <f t="shared" si="69"/>
        <v>-0.18092779773262713</v>
      </c>
      <c r="Z20" s="144">
        <f t="shared" si="70"/>
        <v>0.50230428365059998</v>
      </c>
      <c r="AA20" s="7">
        <f>SUM(L$2:L21)-SUM(AB$2:AB21)</f>
        <v>-2220.1020000000026</v>
      </c>
      <c r="AB20" s="145"/>
      <c r="AC20" s="13">
        <f t="shared" si="71"/>
        <v>-249.33506739864922</v>
      </c>
      <c r="AD20" s="13">
        <f t="shared" si="72"/>
        <v>-4349.3350673986488</v>
      </c>
    </row>
    <row r="21" spans="1:30" x14ac:dyDescent="0.25">
      <c r="A21" s="147">
        <v>43780</v>
      </c>
      <c r="B21" s="148" t="s">
        <v>288</v>
      </c>
      <c r="C21" s="127" t="s">
        <v>270</v>
      </c>
      <c r="D21" s="85">
        <v>500</v>
      </c>
      <c r="E21" s="84">
        <v>5.74</v>
      </c>
      <c r="F21" s="85">
        <f t="shared" ref="F21:F22" si="80">IF(C21="买",F20+D21,F20-D21)</f>
        <v>4600</v>
      </c>
      <c r="G21" s="86">
        <f t="shared" ref="G21:G22" si="81">H21/F21</f>
        <v>6.2226308695652177</v>
      </c>
      <c r="H21" s="84">
        <f t="shared" ref="H21:H22" si="82">IF(C21="买",H20+D21*E21+M21+N21,H20+-1*D21*E21+M21+N21)+O20</f>
        <v>28624.102000000003</v>
      </c>
      <c r="I21" s="84">
        <f t="shared" ref="I21:I22" si="83">-H21+K21</f>
        <v>-2220.1020000000026</v>
      </c>
      <c r="J21" s="142">
        <f t="shared" ref="J21:J22" si="84">(E21-G21)/G21</f>
        <v>-7.7560581638508708E-2</v>
      </c>
      <c r="K21" s="84">
        <f t="shared" ref="K21:K22" si="85">F21*E21</f>
        <v>26404</v>
      </c>
      <c r="L21" s="84">
        <f t="shared" ref="L21:L22" si="86">I21-I20</f>
        <v>-743.29999999999927</v>
      </c>
      <c r="M21" s="84">
        <f t="shared" ref="M21:M22" si="87">IF(D21*E21*5/10000&gt;5,D21*E21*5/10000,5)+(D21/1000)*0.6</f>
        <v>5.3</v>
      </c>
      <c r="N21" s="84">
        <f t="shared" ref="N21:N22" si="88">IF(C21="卖",D21*E21/1000,0)</f>
        <v>0</v>
      </c>
      <c r="O21" s="84"/>
      <c r="P21" s="86">
        <f t="shared" ref="P21:P22" si="89">E21-G21</f>
        <v>-0.4826308695652175</v>
      </c>
      <c r="Q21" s="84">
        <f t="shared" ref="Q21:Q22" si="90">(H21-H20)*-1</f>
        <v>-2875.2999999999993</v>
      </c>
      <c r="R21" s="143"/>
      <c r="S21" s="143">
        <f t="shared" ref="S21:S22" si="91">S20+Q21+O21+R21</f>
        <v>21174.007999999987</v>
      </c>
      <c r="T21" s="143">
        <f t="shared" ref="T21:T22" si="92">S21/E21</f>
        <v>3688.8515679442485</v>
      </c>
      <c r="U21" s="143">
        <f t="shared" ref="U21:U22" si="93">F21+T21</f>
        <v>8288.851567944248</v>
      </c>
      <c r="V21" s="84">
        <f t="shared" ref="V21:V22" si="94">H21+S21</f>
        <v>49798.109999999986</v>
      </c>
      <c r="W21" s="86">
        <f t="shared" ref="W21:W22" si="95">V21/U21</f>
        <v>6.0078419298260659</v>
      </c>
      <c r="X21" s="86">
        <f t="shared" ref="X21:X22" si="96">W21-G21</f>
        <v>-0.21478893973915181</v>
      </c>
      <c r="Y21" s="86">
        <f t="shared" ref="Y21:Y22" si="97">(X21-P21)*-1</f>
        <v>-0.26784192982606569</v>
      </c>
      <c r="Z21" s="144">
        <f t="shared" ref="Z21:Z22" si="98">F21/U21</f>
        <v>0.55496228425536454</v>
      </c>
      <c r="AA21" s="7">
        <f>SUM(L$2:L22)-SUM(AB$2:AB22)</f>
        <v>-2731.4020000000019</v>
      </c>
      <c r="AB21" s="145"/>
      <c r="AC21" s="13">
        <f t="shared" ref="AC21:AC22" si="99">I21/E21*(1-0.0005)</f>
        <v>-386.5839632404186</v>
      </c>
      <c r="AD21" s="13">
        <f t="shared" ref="AD21:AD22" si="100">AC21-F21</f>
        <v>-4986.5839632404186</v>
      </c>
    </row>
    <row r="22" spans="1:30" x14ac:dyDescent="0.25">
      <c r="A22" s="147">
        <v>43781</v>
      </c>
      <c r="B22" s="148"/>
      <c r="C22" s="127" t="s">
        <v>159</v>
      </c>
      <c r="D22" s="85">
        <v>500</v>
      </c>
      <c r="E22" s="84">
        <v>5.63</v>
      </c>
      <c r="F22" s="85">
        <f t="shared" si="80"/>
        <v>5100</v>
      </c>
      <c r="G22" s="86">
        <f t="shared" si="81"/>
        <v>6.1655690196078439</v>
      </c>
      <c r="H22" s="84">
        <f t="shared" si="82"/>
        <v>31444.402000000002</v>
      </c>
      <c r="I22" s="84">
        <f t="shared" si="83"/>
        <v>-2731.4020000000019</v>
      </c>
      <c r="J22" s="142">
        <f t="shared" si="84"/>
        <v>-8.6864491810020872E-2</v>
      </c>
      <c r="K22" s="84">
        <f t="shared" si="85"/>
        <v>28713</v>
      </c>
      <c r="L22" s="84">
        <f t="shared" si="86"/>
        <v>-511.29999999999927</v>
      </c>
      <c r="M22" s="84">
        <f t="shared" si="87"/>
        <v>5.3</v>
      </c>
      <c r="N22" s="84">
        <f t="shared" si="88"/>
        <v>0</v>
      </c>
      <c r="O22" s="84"/>
      <c r="P22" s="86">
        <f t="shared" si="89"/>
        <v>-0.53556901960784398</v>
      </c>
      <c r="Q22" s="84">
        <f t="shared" si="90"/>
        <v>-2820.2999999999993</v>
      </c>
      <c r="R22" s="143"/>
      <c r="S22" s="143">
        <f t="shared" si="91"/>
        <v>18353.707999999988</v>
      </c>
      <c r="T22" s="143">
        <f t="shared" si="92"/>
        <v>3259.9836589698025</v>
      </c>
      <c r="U22" s="143">
        <f t="shared" si="93"/>
        <v>8359.9836589698025</v>
      </c>
      <c r="V22" s="84">
        <f t="shared" si="94"/>
        <v>49798.109999999986</v>
      </c>
      <c r="W22" s="86">
        <f t="shared" si="95"/>
        <v>5.9567233659086583</v>
      </c>
      <c r="X22" s="86">
        <f t="shared" si="96"/>
        <v>-0.20884565369918562</v>
      </c>
      <c r="Y22" s="86">
        <f t="shared" si="97"/>
        <v>-0.32672336590865836</v>
      </c>
      <c r="Z22" s="144">
        <f t="shared" si="98"/>
        <v>0.61004903933370502</v>
      </c>
      <c r="AA22" s="7">
        <f>SUM(L$2:L23)-SUM(AB$2:AB23)</f>
        <v>-2177.9380000000019</v>
      </c>
      <c r="AB22" s="145"/>
      <c r="AC22" s="13">
        <f t="shared" si="99"/>
        <v>-484.90875648312647</v>
      </c>
      <c r="AD22" s="13">
        <f t="shared" si="100"/>
        <v>-5584.9087564831261</v>
      </c>
    </row>
    <row r="23" spans="1:30" x14ac:dyDescent="0.25">
      <c r="A23" s="147">
        <v>43815</v>
      </c>
      <c r="B23" s="148" t="s">
        <v>271</v>
      </c>
      <c r="C23" s="127" t="s">
        <v>200</v>
      </c>
      <c r="D23" s="85">
        <v>400</v>
      </c>
      <c r="E23" s="84">
        <v>5.74</v>
      </c>
      <c r="F23" s="85">
        <f t="shared" ref="F23:F24" si="101">IF(C23="买",F22+D23,F22-D23)</f>
        <v>4700</v>
      </c>
      <c r="G23" s="86">
        <f t="shared" ref="G23:G24" si="102">H23/F23</f>
        <v>6.2033910638297876</v>
      </c>
      <c r="H23" s="137">
        <f t="shared" ref="H23:H24" si="103">IF(C23="买",H22+D23*E23+M23+N23,H22+-1*D23*E23+M23+N23)+O23</f>
        <v>29155.938000000002</v>
      </c>
      <c r="I23" s="137">
        <f t="shared" ref="I23:I24" si="104">-H23+K23</f>
        <v>-2177.9380000000019</v>
      </c>
      <c r="J23" s="142">
        <f t="shared" ref="J23:J24" si="105">(E23-G23)/G23</f>
        <v>-7.4699637514663408E-2</v>
      </c>
      <c r="K23" s="84">
        <f t="shared" ref="K23:K24" si="106">F23*E23</f>
        <v>26978</v>
      </c>
      <c r="L23" s="84">
        <f t="shared" ref="L23:L24" si="107">I23-I22</f>
        <v>553.46399999999994</v>
      </c>
      <c r="M23" s="84">
        <f t="shared" ref="M23:M24" si="108">IF(D23*E23*5/10000&gt;5,D23*E23*5/10000,5)+(D23/1000)*0.6</f>
        <v>5.24</v>
      </c>
      <c r="N23" s="84">
        <f t="shared" ref="N23:N24" si="109">IF(C23="卖",D23*E23/1000,0)</f>
        <v>2.2959999999999998</v>
      </c>
      <c r="O23" s="84"/>
      <c r="P23" s="86">
        <f t="shared" ref="P23:P24" si="110">E23-G23</f>
        <v>-0.46339106382978734</v>
      </c>
      <c r="Q23" s="84">
        <f t="shared" ref="Q23:Q24" si="111">(H23-H22)*-1</f>
        <v>2288.4639999999999</v>
      </c>
      <c r="R23" s="143"/>
      <c r="S23" s="143">
        <f t="shared" ref="S23:S24" si="112">S22+Q23+O23+R23</f>
        <v>20642.171999999988</v>
      </c>
      <c r="T23" s="143">
        <f t="shared" ref="T23:T24" si="113">S23/E23</f>
        <v>3596.1972125435518</v>
      </c>
      <c r="U23" s="143">
        <f t="shared" ref="U23:U24" si="114">F23+T23</f>
        <v>8296.1972125435514</v>
      </c>
      <c r="V23" s="84">
        <f t="shared" ref="V23:V24" si="115">H23+S23</f>
        <v>49798.109999999986</v>
      </c>
      <c r="W23" s="86">
        <f t="shared" ref="W23:W24" si="116">V23/U23</f>
        <v>6.0025224478399615</v>
      </c>
      <c r="X23" s="86">
        <f t="shared" ref="X23:X24" si="117">W23-G23</f>
        <v>-0.20086861598982608</v>
      </c>
      <c r="Y23" s="86">
        <f t="shared" ref="Y23:Y24" si="118">(X23-P23)*-1</f>
        <v>-0.26252244783996126</v>
      </c>
      <c r="Z23" s="144">
        <f t="shared" ref="Z23:Z24" si="119">F23/U23</f>
        <v>0.56652462322059671</v>
      </c>
      <c r="AA23" s="7">
        <f>SUM(L$2:L24)-SUM(AB$2:AB24)</f>
        <v>-1715.5140000000029</v>
      </c>
      <c r="AB23" s="145"/>
      <c r="AC23" s="13">
        <f t="shared" ref="AC23:AC24" si="120">I23/E23*(1-0.0005)</f>
        <v>-379.24199146341499</v>
      </c>
      <c r="AD23" s="13">
        <f t="shared" ref="AD23:AD24" si="121">AC23-F23</f>
        <v>-5079.2419914634147</v>
      </c>
    </row>
    <row r="24" spans="1:30" x14ac:dyDescent="0.25">
      <c r="A24" s="147">
        <v>43816</v>
      </c>
      <c r="B24" s="148" t="s">
        <v>273</v>
      </c>
      <c r="C24" s="127" t="s">
        <v>200</v>
      </c>
      <c r="D24" s="85">
        <v>400</v>
      </c>
      <c r="E24" s="84">
        <v>5.84</v>
      </c>
      <c r="F24" s="85">
        <f t="shared" si="101"/>
        <v>4300</v>
      </c>
      <c r="G24" s="86">
        <f t="shared" si="102"/>
        <v>6.238956744186047</v>
      </c>
      <c r="H24" s="84">
        <f t="shared" si="103"/>
        <v>26827.514000000003</v>
      </c>
      <c r="I24" s="84">
        <f t="shared" si="104"/>
        <v>-1715.5140000000029</v>
      </c>
      <c r="J24" s="142">
        <f t="shared" si="105"/>
        <v>-6.3946066713449573E-2</v>
      </c>
      <c r="K24" s="84">
        <f t="shared" si="106"/>
        <v>25112</v>
      </c>
      <c r="L24" s="84">
        <f t="shared" si="107"/>
        <v>462.42399999999907</v>
      </c>
      <c r="M24" s="84">
        <f t="shared" si="108"/>
        <v>5.24</v>
      </c>
      <c r="N24" s="84">
        <f t="shared" si="109"/>
        <v>2.3359999999999999</v>
      </c>
      <c r="O24" s="84"/>
      <c r="P24" s="86">
        <f t="shared" si="110"/>
        <v>-0.3989567441860471</v>
      </c>
      <c r="Q24" s="84">
        <f t="shared" si="111"/>
        <v>2328.4239999999991</v>
      </c>
      <c r="R24" s="143"/>
      <c r="S24" s="143">
        <f t="shared" si="112"/>
        <v>22970.595999999987</v>
      </c>
      <c r="T24" s="143">
        <f t="shared" si="113"/>
        <v>3933.3212328767104</v>
      </c>
      <c r="U24" s="143">
        <f t="shared" si="114"/>
        <v>8233.3212328767113</v>
      </c>
      <c r="V24" s="84">
        <f t="shared" si="115"/>
        <v>49798.109999999986</v>
      </c>
      <c r="W24" s="86">
        <f t="shared" si="116"/>
        <v>6.0483623305197574</v>
      </c>
      <c r="X24" s="86">
        <f t="shared" si="117"/>
        <v>-0.1905944136662896</v>
      </c>
      <c r="Y24" s="86">
        <f t="shared" si="118"/>
        <v>-0.2083623305197575</v>
      </c>
      <c r="Z24" s="144">
        <f t="shared" si="119"/>
        <v>0.52226797405031966</v>
      </c>
      <c r="AA24" s="7">
        <f>SUM(L$2:L25)-SUM(AB$2:AB25)</f>
        <v>-2279.7540000000045</v>
      </c>
      <c r="AB24" s="145"/>
      <c r="AC24" s="13">
        <f t="shared" si="120"/>
        <v>-293.60552106164431</v>
      </c>
      <c r="AD24" s="13">
        <f t="shared" si="121"/>
        <v>-4593.6055210616441</v>
      </c>
    </row>
    <row r="25" spans="1:30" x14ac:dyDescent="0.25">
      <c r="A25" s="147">
        <v>43823</v>
      </c>
      <c r="B25" s="148"/>
      <c r="C25" s="127" t="s">
        <v>46</v>
      </c>
      <c r="D25" s="85">
        <v>400</v>
      </c>
      <c r="E25" s="84">
        <v>5.71</v>
      </c>
      <c r="F25" s="85">
        <f t="shared" ref="F25" si="122">IF(C25="买",F24+D25,F24-D25)</f>
        <v>4700</v>
      </c>
      <c r="G25" s="86">
        <f t="shared" ref="G25" si="123">H25/F25</f>
        <v>6.1950540425531928</v>
      </c>
      <c r="H25" s="84">
        <f t="shared" ref="H25" si="124">IF(C25="买",H24+D25*E25+M25+N25,H24+-1*D25*E25+M25+N25)+O25</f>
        <v>29116.754000000004</v>
      </c>
      <c r="I25" s="84">
        <f t="shared" ref="I25" si="125">-H25+K25</f>
        <v>-2279.7540000000045</v>
      </c>
      <c r="J25" s="142">
        <f t="shared" ref="J25" si="126">(E25-G25)/G25</f>
        <v>-7.8296983242019558E-2</v>
      </c>
      <c r="K25" s="84">
        <f t="shared" ref="K25" si="127">F25*E25</f>
        <v>26837</v>
      </c>
      <c r="L25" s="84">
        <f>I25-I24</f>
        <v>-564.2400000000016</v>
      </c>
      <c r="M25" s="84">
        <f>IF(D25*E25*5/10000&gt;5,D25*E25*5/10000,5)+(D25/1000)*0.6</f>
        <v>5.24</v>
      </c>
      <c r="N25" s="84">
        <f>IF(C25="卖",D25*E25/1000,0)</f>
        <v>0</v>
      </c>
      <c r="O25" s="84"/>
      <c r="P25" s="86">
        <f>E25-G25</f>
        <v>-0.48505404255319284</v>
      </c>
      <c r="Q25" s="84">
        <f>(H25-H24)*-1</f>
        <v>-2289.2400000000016</v>
      </c>
      <c r="R25" s="143"/>
      <c r="S25" s="143">
        <f>S24+Q25+O25+R25</f>
        <v>20681.355999999985</v>
      </c>
      <c r="T25" s="143">
        <f>S25/E25</f>
        <v>3621.9537653239904</v>
      </c>
      <c r="U25" s="143">
        <f>F25+T25</f>
        <v>8321.9537653239895</v>
      </c>
      <c r="V25" s="84">
        <f>H25+S25</f>
        <v>49798.109999999986</v>
      </c>
      <c r="W25" s="86">
        <f>V25/U25</f>
        <v>5.9839445644962979</v>
      </c>
      <c r="X25" s="86">
        <f>W25-G25</f>
        <v>-0.21110947805689495</v>
      </c>
      <c r="Y25" s="86">
        <f>(X25-P25)*-1</f>
        <v>-0.27394456449629789</v>
      </c>
      <c r="Z25" s="144">
        <f>F25/U25</f>
        <v>0.56477122230407151</v>
      </c>
      <c r="AA25" s="7">
        <f>SUM(L$2:L26)-SUM(AB$2:AB26)</f>
        <v>-1817.3180000000066</v>
      </c>
      <c r="AB25" s="145"/>
      <c r="AC25" s="13">
        <f>I25/E25*(1-0.0005)</f>
        <v>-399.05676409807432</v>
      </c>
      <c r="AD25" s="13">
        <f>AC25-F25</f>
        <v>-5099.0567640980744</v>
      </c>
    </row>
    <row r="26" spans="1:30" x14ac:dyDescent="0.25">
      <c r="A26" s="147">
        <v>43829</v>
      </c>
      <c r="B26" s="148" t="s">
        <v>275</v>
      </c>
      <c r="C26" s="127" t="s">
        <v>200</v>
      </c>
      <c r="D26" s="85">
        <v>400</v>
      </c>
      <c r="E26" s="84">
        <v>5.81</v>
      </c>
      <c r="F26" s="85">
        <f t="shared" ref="F26:F29" si="128">IF(C26="买",F25+D26,F25-D26)</f>
        <v>4300</v>
      </c>
      <c r="G26" s="86">
        <f t="shared" ref="G26:G29" si="129">H26/F26</f>
        <v>6.2326320930232573</v>
      </c>
      <c r="H26" s="84">
        <f t="shared" ref="H26:H29" si="130">IF(C26="买",H25+D26*E26+M26+N26,H25+-1*D26*E26+M26+N26)+O26</f>
        <v>26800.318000000007</v>
      </c>
      <c r="I26" s="84">
        <f t="shared" ref="I26:I29" si="131">-H26+K26</f>
        <v>-1817.3180000000066</v>
      </c>
      <c r="J26" s="142">
        <f t="shared" ref="J26:J29" si="132">(E26-G26)/G26</f>
        <v>-6.7809568528254316E-2</v>
      </c>
      <c r="K26" s="84">
        <f t="shared" ref="K26:K29" si="133">F26*E26</f>
        <v>24983</v>
      </c>
      <c r="L26" s="84">
        <f t="shared" ref="L26:L29" si="134">I26-I25</f>
        <v>462.43599999999788</v>
      </c>
      <c r="M26" s="84">
        <f t="shared" ref="M26:M29" si="135">IF(D26*E26*5/10000&gt;5,D26*E26*5/10000,5)+(D26/1000)*0.6</f>
        <v>5.24</v>
      </c>
      <c r="N26" s="84">
        <f t="shared" ref="N26:N29" si="136">IF(C26="卖",D26*E26/1000,0)</f>
        <v>2.3239999999999998</v>
      </c>
      <c r="O26" s="84"/>
      <c r="P26" s="86">
        <f t="shared" ref="P26:P29" si="137">E26-G26</f>
        <v>-0.42263209302325766</v>
      </c>
      <c r="Q26" s="84">
        <f t="shared" ref="Q26:Q29" si="138">(H26-H25)*-1</f>
        <v>2316.4359999999979</v>
      </c>
      <c r="R26" s="143"/>
      <c r="S26" s="143">
        <f t="shared" ref="S26:S29" si="139">S25+Q26+O26+R26</f>
        <v>22997.791999999983</v>
      </c>
      <c r="T26" s="143">
        <f t="shared" ref="T26:T29" si="140">S26/E26</f>
        <v>3958.3118760757288</v>
      </c>
      <c r="U26" s="143">
        <f t="shared" ref="U26:U29" si="141">F26+T26</f>
        <v>8258.3118760757279</v>
      </c>
      <c r="V26" s="84">
        <f t="shared" ref="V26:V29" si="142">H26+S26</f>
        <v>49798.109999999986</v>
      </c>
      <c r="W26" s="86">
        <f t="shared" ref="W26:W29" si="143">V26/U26</f>
        <v>6.0300592599638634</v>
      </c>
      <c r="X26" s="86">
        <f t="shared" ref="X26:X29" si="144">W26-G26</f>
        <v>-0.20257283305939389</v>
      </c>
      <c r="Y26" s="86">
        <f t="shared" ref="Y26:Y29" si="145">(X26-P26)*-1</f>
        <v>-0.22005925996386377</v>
      </c>
      <c r="Z26" s="144">
        <f t="shared" ref="Z26:Z29" si="146">F26/U26</f>
        <v>0.52068752845930533</v>
      </c>
      <c r="AA26" s="7">
        <f>SUM(L$2:L27)-SUM(AB$2:AB27)</f>
        <v>-1179.9420000000064</v>
      </c>
      <c r="AB26" s="145"/>
      <c r="AC26" s="13">
        <f t="shared" ref="AC26:AC29" si="147">I26/E26*(1-0.0005)</f>
        <v>-312.63499845094782</v>
      </c>
      <c r="AD26" s="13">
        <f t="shared" ref="AD26:AD29" si="148">AC26-F26</f>
        <v>-4612.6349984509479</v>
      </c>
    </row>
    <row r="27" spans="1:30" x14ac:dyDescent="0.25">
      <c r="A27" s="147">
        <v>43833</v>
      </c>
      <c r="B27" s="148" t="s">
        <v>276</v>
      </c>
      <c r="C27" s="127" t="s">
        <v>200</v>
      </c>
      <c r="D27" s="85">
        <v>400</v>
      </c>
      <c r="E27" s="84">
        <v>5.96</v>
      </c>
      <c r="F27" s="85">
        <f t="shared" si="128"/>
        <v>3900</v>
      </c>
      <c r="G27" s="86">
        <f t="shared" si="129"/>
        <v>6.2625492307692321</v>
      </c>
      <c r="H27" s="84">
        <f t="shared" si="130"/>
        <v>24423.942000000006</v>
      </c>
      <c r="I27" s="84">
        <f t="shared" si="131"/>
        <v>-1179.9420000000064</v>
      </c>
      <c r="J27" s="142">
        <f t="shared" si="132"/>
        <v>-4.8310874632768334E-2</v>
      </c>
      <c r="K27" s="84">
        <f t="shared" si="133"/>
        <v>23244</v>
      </c>
      <c r="L27" s="84">
        <f t="shared" si="134"/>
        <v>637.3760000000002</v>
      </c>
      <c r="M27" s="84">
        <f t="shared" si="135"/>
        <v>5.24</v>
      </c>
      <c r="N27" s="84">
        <f t="shared" si="136"/>
        <v>2.3839999999999999</v>
      </c>
      <c r="O27" s="84"/>
      <c r="P27" s="86">
        <f t="shared" si="137"/>
        <v>-0.30254923076923212</v>
      </c>
      <c r="Q27" s="84">
        <f t="shared" si="138"/>
        <v>2376.3760000000002</v>
      </c>
      <c r="R27" s="143"/>
      <c r="S27" s="143">
        <f t="shared" si="139"/>
        <v>25374.167999999983</v>
      </c>
      <c r="T27" s="143">
        <f t="shared" si="140"/>
        <v>4257.410738255031</v>
      </c>
      <c r="U27" s="143">
        <f t="shared" si="141"/>
        <v>8157.410738255031</v>
      </c>
      <c r="V27" s="84">
        <f t="shared" si="142"/>
        <v>49798.109999999986</v>
      </c>
      <c r="W27" s="86">
        <f t="shared" si="143"/>
        <v>6.1046466333326261</v>
      </c>
      <c r="X27" s="86">
        <f t="shared" si="144"/>
        <v>-0.15790259743660595</v>
      </c>
      <c r="Y27" s="86">
        <f t="shared" si="145"/>
        <v>-0.14464663333262617</v>
      </c>
      <c r="Z27" s="144">
        <f t="shared" si="146"/>
        <v>0.47809288083417723</v>
      </c>
      <c r="AA27" s="7">
        <f>SUM(L$2:L28)-SUM(AB$2:AB28)</f>
        <v>-680.61800000000949</v>
      </c>
      <c r="AB27" s="145"/>
      <c r="AC27" s="13">
        <f t="shared" si="147"/>
        <v>-197.87785721476618</v>
      </c>
      <c r="AD27" s="13">
        <f t="shared" si="148"/>
        <v>-4097.8778572147658</v>
      </c>
    </row>
    <row r="28" spans="1:30" x14ac:dyDescent="0.25">
      <c r="A28" s="147">
        <v>43836</v>
      </c>
      <c r="B28" s="148" t="s">
        <v>277</v>
      </c>
      <c r="C28" s="127" t="s">
        <v>200</v>
      </c>
      <c r="D28" s="85">
        <v>400</v>
      </c>
      <c r="E28" s="84">
        <v>6.09</v>
      </c>
      <c r="F28" s="85">
        <f t="shared" si="128"/>
        <v>3500</v>
      </c>
      <c r="G28" s="86">
        <f t="shared" si="129"/>
        <v>6.2844622857142882</v>
      </c>
      <c r="H28" s="84">
        <f t="shared" si="130"/>
        <v>21995.618000000009</v>
      </c>
      <c r="I28" s="84">
        <f t="shared" si="131"/>
        <v>-680.61800000000949</v>
      </c>
      <c r="J28" s="142">
        <f t="shared" si="132"/>
        <v>-3.0943345169933804E-2</v>
      </c>
      <c r="K28" s="84">
        <f t="shared" si="133"/>
        <v>21315</v>
      </c>
      <c r="L28" s="84">
        <f t="shared" si="134"/>
        <v>499.32399999999689</v>
      </c>
      <c r="M28" s="84">
        <f t="shared" si="135"/>
        <v>5.24</v>
      </c>
      <c r="N28" s="84">
        <f t="shared" si="136"/>
        <v>2.4359999999999999</v>
      </c>
      <c r="O28" s="84"/>
      <c r="P28" s="86">
        <f t="shared" si="137"/>
        <v>-0.19446228571428836</v>
      </c>
      <c r="Q28" s="84">
        <f t="shared" si="138"/>
        <v>2428.3239999999969</v>
      </c>
      <c r="R28" s="143"/>
      <c r="S28" s="143">
        <f t="shared" si="139"/>
        <v>27802.49199999998</v>
      </c>
      <c r="T28" s="143">
        <f t="shared" si="140"/>
        <v>4565.269622331688</v>
      </c>
      <c r="U28" s="143">
        <f t="shared" si="141"/>
        <v>8065.269622331688</v>
      </c>
      <c r="V28" s="84">
        <f t="shared" si="142"/>
        <v>49798.109999999986</v>
      </c>
      <c r="W28" s="86">
        <f t="shared" si="143"/>
        <v>6.1743887472919026</v>
      </c>
      <c r="X28" s="86">
        <f t="shared" si="144"/>
        <v>-0.11007353842238565</v>
      </c>
      <c r="Y28" s="86">
        <f t="shared" si="145"/>
        <v>-8.438874729190271E-2</v>
      </c>
      <c r="Z28" s="144">
        <f t="shared" si="146"/>
        <v>0.43395945379295853</v>
      </c>
      <c r="AA28" s="7">
        <f>SUM(L$2:L29)-SUM(AB$2:AB29)</f>
        <v>-233.34600000001228</v>
      </c>
      <c r="AB28" s="145"/>
      <c r="AC28" s="13">
        <f t="shared" si="147"/>
        <v>-111.7040543513973</v>
      </c>
      <c r="AD28" s="13">
        <f t="shared" si="148"/>
        <v>-3611.7040543513972</v>
      </c>
    </row>
    <row r="29" spans="1:30" x14ac:dyDescent="0.25">
      <c r="A29" s="147">
        <v>43836</v>
      </c>
      <c r="B29" s="148" t="s">
        <v>279</v>
      </c>
      <c r="C29" s="127" t="s">
        <v>200</v>
      </c>
      <c r="D29" s="85">
        <v>400</v>
      </c>
      <c r="E29" s="84">
        <v>6.22</v>
      </c>
      <c r="F29" s="85">
        <f t="shared" si="128"/>
        <v>3100</v>
      </c>
      <c r="G29" s="86">
        <f t="shared" si="129"/>
        <v>6.2952729032258103</v>
      </c>
      <c r="H29" s="84">
        <f t="shared" si="130"/>
        <v>19515.346000000012</v>
      </c>
      <c r="I29" s="84">
        <f t="shared" si="131"/>
        <v>-233.34600000001228</v>
      </c>
      <c r="J29" s="142">
        <f t="shared" si="132"/>
        <v>-1.195705164540832E-2</v>
      </c>
      <c r="K29" s="84">
        <f t="shared" si="133"/>
        <v>19282</v>
      </c>
      <c r="L29" s="84">
        <f t="shared" si="134"/>
        <v>447.27199999999721</v>
      </c>
      <c r="M29" s="84">
        <f t="shared" si="135"/>
        <v>5.24</v>
      </c>
      <c r="N29" s="84">
        <f t="shared" si="136"/>
        <v>2.488</v>
      </c>
      <c r="O29" s="84"/>
      <c r="P29" s="86">
        <f t="shared" si="137"/>
        <v>-7.5272903225810595E-2</v>
      </c>
      <c r="Q29" s="84">
        <f t="shared" si="138"/>
        <v>2480.2719999999972</v>
      </c>
      <c r="R29" s="143"/>
      <c r="S29" s="143">
        <f t="shared" si="139"/>
        <v>30282.763999999977</v>
      </c>
      <c r="T29" s="143">
        <f t="shared" si="140"/>
        <v>4868.6115755626979</v>
      </c>
      <c r="U29" s="143">
        <f t="shared" si="141"/>
        <v>7968.6115755626979</v>
      </c>
      <c r="V29" s="84">
        <f t="shared" si="142"/>
        <v>49798.109999999986</v>
      </c>
      <c r="W29" s="86">
        <f t="shared" si="143"/>
        <v>6.2492831439689702</v>
      </c>
      <c r="X29" s="86">
        <f t="shared" si="144"/>
        <v>-4.5989759256840124E-2</v>
      </c>
      <c r="Y29" s="86">
        <f t="shared" si="145"/>
        <v>-2.9283143968970471E-2</v>
      </c>
      <c r="Z29" s="144">
        <f t="shared" si="146"/>
        <v>0.38902636558503551</v>
      </c>
      <c r="AA29" s="7">
        <f>SUM(L$2:L30)-SUM(AB$2:AB30)</f>
        <v>-1044.5860000000139</v>
      </c>
      <c r="AB29" s="145"/>
      <c r="AC29" s="13">
        <f t="shared" si="147"/>
        <v>-37.496676366561459</v>
      </c>
      <c r="AD29" s="13">
        <f t="shared" si="148"/>
        <v>-3137.4966763665616</v>
      </c>
    </row>
    <row r="30" spans="1:30" x14ac:dyDescent="0.25">
      <c r="A30" s="147">
        <v>43840</v>
      </c>
      <c r="B30" s="148"/>
      <c r="C30" s="127" t="s">
        <v>46</v>
      </c>
      <c r="D30" s="85">
        <v>400</v>
      </c>
      <c r="E30" s="84">
        <v>5.96</v>
      </c>
      <c r="F30" s="85">
        <f t="shared" ref="F30" si="149">IF(C30="买",F29+D30,F29-D30)</f>
        <v>3500</v>
      </c>
      <c r="G30" s="86">
        <f t="shared" ref="G30" si="150">H30/F30</f>
        <v>6.2584531428571468</v>
      </c>
      <c r="H30" s="84">
        <f t="shared" ref="H30" si="151">IF(C30="买",H29+D30*E30+M30+N30,H29+-1*D30*E30+M30+N30)+O30</f>
        <v>21904.586000000014</v>
      </c>
      <c r="I30" s="84">
        <f>-H30+K30</f>
        <v>-1044.5860000000139</v>
      </c>
      <c r="J30" s="142">
        <f>(E30-G30)/G30</f>
        <v>-4.7688004694542659E-2</v>
      </c>
      <c r="K30" s="84">
        <f>F30*E30</f>
        <v>20860</v>
      </c>
      <c r="L30" s="84">
        <f>I30-I29</f>
        <v>-811.2400000000016</v>
      </c>
      <c r="M30" s="84">
        <f>IF(D30*E30*5/10000&gt;5,D30*E30*5/10000,5)+(D30/1000)*0.6</f>
        <v>5.24</v>
      </c>
      <c r="N30" s="84">
        <f>IF(C30="卖",D30*E30/1000,0)</f>
        <v>0</v>
      </c>
      <c r="O30" s="84"/>
      <c r="P30" s="86">
        <f>E30-G30</f>
        <v>-0.29845314285714686</v>
      </c>
      <c r="Q30" s="84">
        <f>(H30-H29)*-1</f>
        <v>-2389.2400000000016</v>
      </c>
      <c r="R30" s="143"/>
      <c r="S30" s="143">
        <f>S29+Q30+O30+R30</f>
        <v>27893.523999999976</v>
      </c>
      <c r="T30" s="143">
        <f>S30/E30</f>
        <v>4680.1214765100631</v>
      </c>
      <c r="U30" s="143">
        <f>F30+T30</f>
        <v>8180.1214765100631</v>
      </c>
      <c r="V30" s="84">
        <f>H30+S30</f>
        <v>49798.109999999986</v>
      </c>
      <c r="W30" s="86">
        <f>V30/U30</f>
        <v>6.0876981036283668</v>
      </c>
      <c r="X30" s="86">
        <f>W30-G30</f>
        <v>-0.17075503922877999</v>
      </c>
      <c r="Y30" s="86">
        <f>(X30-P30)*-1</f>
        <v>-0.12769810362836687</v>
      </c>
      <c r="Z30" s="144">
        <f>F30/U30</f>
        <v>0.42786650663447445</v>
      </c>
      <c r="AA30" s="7">
        <f>SUM(L$2:L31)-SUM(AB$2:AB31)</f>
        <v>-1609.8260000000155</v>
      </c>
      <c r="AB30" s="145"/>
      <c r="AC30" s="13">
        <f>I30/E30*(1-0.0005)</f>
        <v>-175.1784743288614</v>
      </c>
      <c r="AD30" s="13">
        <f>AC30-F30</f>
        <v>-3675.1784743288613</v>
      </c>
    </row>
    <row r="31" spans="1:30" x14ac:dyDescent="0.25">
      <c r="A31" s="147">
        <v>43850</v>
      </c>
      <c r="B31" s="148"/>
      <c r="C31" s="127" t="s">
        <v>46</v>
      </c>
      <c r="D31" s="85">
        <v>400</v>
      </c>
      <c r="E31" s="84">
        <v>5.8</v>
      </c>
      <c r="F31" s="152">
        <f t="shared" ref="F31:F52" si="152">IF(C31="买",F30+D31,F30-D31)</f>
        <v>3900</v>
      </c>
      <c r="G31" s="138">
        <f t="shared" ref="G31:G52" si="153">H31/F31</f>
        <v>6.2127758974359013</v>
      </c>
      <c r="H31" s="137">
        <f t="shared" ref="H31:H52" si="154">IF(C31="买",H30+D31*E31+M31+N31,H30+-1*D31*E31+M31+N31)+O31</f>
        <v>24229.826000000015</v>
      </c>
      <c r="I31" s="137">
        <f t="shared" ref="I31:I52" si="155">-H31+K31</f>
        <v>-1609.8260000000155</v>
      </c>
      <c r="J31" s="142">
        <f t="shared" ref="J31:J52" si="156">(E31-G31)/G31</f>
        <v>-6.6439849795042472E-2</v>
      </c>
      <c r="K31" s="84">
        <f t="shared" ref="K31:K52" si="157">F31*E31</f>
        <v>22620</v>
      </c>
      <c r="L31" s="84">
        <f t="shared" ref="L31:L52" si="158">I31-I30</f>
        <v>-565.2400000000016</v>
      </c>
      <c r="M31" s="84">
        <f t="shared" ref="M31:M52" si="159">IF(D31*E31*5/10000&gt;5,D31*E31*5/10000,5)+(D31/1000)*0.6</f>
        <v>5.24</v>
      </c>
      <c r="N31" s="84">
        <f t="shared" ref="N31:N52" si="160">IF(C31="卖",D31*E31/1000,0)</f>
        <v>0</v>
      </c>
      <c r="O31" s="84"/>
      <c r="P31" s="86">
        <f t="shared" ref="P31:P52" si="161">E31-G31</f>
        <v>-0.41277589743590148</v>
      </c>
      <c r="Q31" s="84">
        <f t="shared" ref="Q31:Q52" si="162">(H31-H30)*-1</f>
        <v>-2325.2400000000016</v>
      </c>
      <c r="R31" s="143"/>
      <c r="S31" s="143">
        <f t="shared" ref="S31:S52" si="163">S30+Q31+O31+R31</f>
        <v>25568.283999999974</v>
      </c>
      <c r="T31" s="143">
        <f t="shared" ref="T31:T52" si="164">S31/E31</f>
        <v>4408.3248275862024</v>
      </c>
      <c r="U31" s="143">
        <f t="shared" ref="U31:U52" si="165">F31+T31</f>
        <v>8308.3248275862024</v>
      </c>
      <c r="V31" s="84">
        <f t="shared" ref="V31:V52" si="166">H31+S31</f>
        <v>49798.109999999986</v>
      </c>
      <c r="W31" s="86">
        <f t="shared" ref="W31:W52" si="167">V31/U31</f>
        <v>5.9937605995681453</v>
      </c>
      <c r="X31" s="86">
        <f t="shared" ref="X31:X52" si="168">W31-G31</f>
        <v>-0.21901529786775598</v>
      </c>
      <c r="Y31" s="86">
        <f t="shared" ref="Y31:Y52" si="169">(X31-P31)*-1</f>
        <v>-0.19376059956814551</v>
      </c>
      <c r="Z31" s="144">
        <f t="shared" ref="Z31:Z52" si="170">F31/U31</f>
        <v>0.46940870523631867</v>
      </c>
      <c r="AA31" s="7">
        <f>SUM(L$2:L32)-SUM(AB$2:AB32)</f>
        <v>-1927.1260000000148</v>
      </c>
      <c r="AB31" s="145"/>
      <c r="AC31" s="13">
        <f t="shared" ref="AC31:AC52" si="171">I31/E31*(1-0.0005)</f>
        <v>-277.41742879310613</v>
      </c>
      <c r="AD31" s="13">
        <f t="shared" ref="AD31:AD52" si="172">AC31-F31</f>
        <v>-4177.4174287931064</v>
      </c>
    </row>
    <row r="32" spans="1:30" x14ac:dyDescent="0.25">
      <c r="A32" s="147">
        <v>43852</v>
      </c>
      <c r="B32" s="148"/>
      <c r="C32" s="127" t="s">
        <v>46</v>
      </c>
      <c r="D32" s="85">
        <v>500</v>
      </c>
      <c r="E32" s="84">
        <v>5.72</v>
      </c>
      <c r="F32" s="152">
        <f t="shared" si="152"/>
        <v>4400</v>
      </c>
      <c r="G32" s="138">
        <f t="shared" si="153"/>
        <v>6.1579831818181852</v>
      </c>
      <c r="H32" s="137">
        <f t="shared" si="154"/>
        <v>27095.126000000015</v>
      </c>
      <c r="I32" s="137">
        <f t="shared" si="155"/>
        <v>-1927.1260000000148</v>
      </c>
      <c r="J32" s="142">
        <f t="shared" si="156"/>
        <v>-7.1124452419967149E-2</v>
      </c>
      <c r="K32" s="84">
        <f t="shared" si="157"/>
        <v>25168</v>
      </c>
      <c r="L32" s="84">
        <f t="shared" si="158"/>
        <v>-317.29999999999927</v>
      </c>
      <c r="M32" s="84">
        <f t="shared" si="159"/>
        <v>5.3</v>
      </c>
      <c r="N32" s="84">
        <f t="shared" si="160"/>
        <v>0</v>
      </c>
      <c r="O32" s="84"/>
      <c r="P32" s="86">
        <f t="shared" si="161"/>
        <v>-0.43798318181818541</v>
      </c>
      <c r="Q32" s="84">
        <f t="shared" si="162"/>
        <v>-2865.2999999999993</v>
      </c>
      <c r="R32" s="143"/>
      <c r="S32" s="143">
        <f t="shared" si="163"/>
        <v>22702.983999999975</v>
      </c>
      <c r="T32" s="143">
        <f t="shared" si="164"/>
        <v>3969.0531468531426</v>
      </c>
      <c r="U32" s="143">
        <f t="shared" si="165"/>
        <v>8369.0531468531426</v>
      </c>
      <c r="V32" s="84">
        <f t="shared" si="166"/>
        <v>49798.109999999986</v>
      </c>
      <c r="W32" s="86">
        <f t="shared" si="167"/>
        <v>5.950268103952074</v>
      </c>
      <c r="X32" s="86">
        <f t="shared" si="168"/>
        <v>-0.20771507786611121</v>
      </c>
      <c r="Y32" s="86">
        <f t="shared" si="169"/>
        <v>-0.2302681039520742</v>
      </c>
      <c r="Z32" s="144">
        <f t="shared" si="170"/>
        <v>0.52574645217236426</v>
      </c>
      <c r="AA32" s="7">
        <f>SUM(L$2:L33)-SUM(AB$2:AB33)</f>
        <v>-2108.3660000000164</v>
      </c>
      <c r="AB32" s="145"/>
      <c r="AC32" s="13">
        <f t="shared" si="171"/>
        <v>-336.74168479021239</v>
      </c>
      <c r="AD32" s="13">
        <f t="shared" si="172"/>
        <v>-4736.7416847902123</v>
      </c>
    </row>
    <row r="33" spans="1:30" x14ac:dyDescent="0.25">
      <c r="A33" s="147">
        <v>43853</v>
      </c>
      <c r="B33" s="148"/>
      <c r="C33" s="127" t="s">
        <v>46</v>
      </c>
      <c r="D33" s="85">
        <v>400</v>
      </c>
      <c r="E33" s="84">
        <v>5.68</v>
      </c>
      <c r="F33" s="152">
        <f t="shared" si="152"/>
        <v>4800</v>
      </c>
      <c r="G33" s="138">
        <f t="shared" si="153"/>
        <v>6.1192429166666704</v>
      </c>
      <c r="H33" s="137">
        <f t="shared" si="154"/>
        <v>29372.366000000016</v>
      </c>
      <c r="I33" s="137">
        <f t="shared" si="155"/>
        <v>-2108.3660000000164</v>
      </c>
      <c r="J33" s="142">
        <f t="shared" si="156"/>
        <v>-7.1780598130910464E-2</v>
      </c>
      <c r="K33" s="84">
        <f t="shared" si="157"/>
        <v>27264</v>
      </c>
      <c r="L33" s="84">
        <f t="shared" si="158"/>
        <v>-181.2400000000016</v>
      </c>
      <c r="M33" s="84">
        <f t="shared" si="159"/>
        <v>5.24</v>
      </c>
      <c r="N33" s="84">
        <f t="shared" si="160"/>
        <v>0</v>
      </c>
      <c r="O33" s="84"/>
      <c r="P33" s="86">
        <f t="shared" si="161"/>
        <v>-0.4392429166666707</v>
      </c>
      <c r="Q33" s="84">
        <f t="shared" si="162"/>
        <v>-2277.2400000000016</v>
      </c>
      <c r="R33" s="143"/>
      <c r="S33" s="143">
        <f t="shared" si="163"/>
        <v>20425.743999999973</v>
      </c>
      <c r="T33" s="143">
        <f t="shared" si="164"/>
        <v>3596.0816901408407</v>
      </c>
      <c r="U33" s="143">
        <f t="shared" si="165"/>
        <v>8396.0816901408398</v>
      </c>
      <c r="V33" s="84">
        <f t="shared" si="166"/>
        <v>49798.109999999986</v>
      </c>
      <c r="W33" s="86">
        <f t="shared" si="167"/>
        <v>5.9311130879628982</v>
      </c>
      <c r="X33" s="86">
        <f t="shared" si="168"/>
        <v>-0.18812982870377226</v>
      </c>
      <c r="Y33" s="86">
        <f t="shared" si="169"/>
        <v>-0.25111308796289844</v>
      </c>
      <c r="Z33" s="144">
        <f t="shared" si="170"/>
        <v>0.5716952475148539</v>
      </c>
      <c r="AA33" s="7">
        <f>SUM(L$2:L34)-SUM(AB$2:AB34)</f>
        <v>-4705.606000000018</v>
      </c>
      <c r="AB33" s="145"/>
      <c r="AC33" s="13">
        <f t="shared" si="171"/>
        <v>-371.00560158450998</v>
      </c>
      <c r="AD33" s="13">
        <f t="shared" si="172"/>
        <v>-5171.0056015845103</v>
      </c>
    </row>
    <row r="34" spans="1:30" x14ac:dyDescent="0.25">
      <c r="A34" s="147">
        <v>43864</v>
      </c>
      <c r="B34" s="126"/>
      <c r="C34" s="127" t="s">
        <v>46</v>
      </c>
      <c r="D34" s="85">
        <v>400</v>
      </c>
      <c r="E34" s="84">
        <v>5.14</v>
      </c>
      <c r="F34" s="152">
        <f t="shared" si="152"/>
        <v>5200</v>
      </c>
      <c r="G34" s="138">
        <f t="shared" si="153"/>
        <v>6.0449242307692339</v>
      </c>
      <c r="H34" s="137">
        <f t="shared" si="154"/>
        <v>31433.606000000018</v>
      </c>
      <c r="I34" s="137">
        <f t="shared" si="155"/>
        <v>-4705.606000000018</v>
      </c>
      <c r="J34" s="142">
        <f t="shared" si="156"/>
        <v>-0.1496998467181912</v>
      </c>
      <c r="K34" s="84">
        <f t="shared" si="157"/>
        <v>26728</v>
      </c>
      <c r="L34" s="84">
        <f t="shared" si="158"/>
        <v>-2597.2400000000016</v>
      </c>
      <c r="M34" s="84">
        <f t="shared" si="159"/>
        <v>5.24</v>
      </c>
      <c r="N34" s="84">
        <f t="shared" si="160"/>
        <v>0</v>
      </c>
      <c r="O34" s="84"/>
      <c r="P34" s="86">
        <f t="shared" si="161"/>
        <v>-0.90492423076923423</v>
      </c>
      <c r="Q34" s="84">
        <f t="shared" si="162"/>
        <v>-2061.2400000000016</v>
      </c>
      <c r="R34" s="143"/>
      <c r="S34" s="143">
        <f t="shared" si="163"/>
        <v>18364.503999999972</v>
      </c>
      <c r="T34" s="143">
        <f t="shared" si="164"/>
        <v>3572.8607003890997</v>
      </c>
      <c r="U34" s="143">
        <f t="shared" si="165"/>
        <v>8772.8607003890993</v>
      </c>
      <c r="V34" s="84">
        <f t="shared" si="166"/>
        <v>49798.109999999986</v>
      </c>
      <c r="W34" s="86">
        <f t="shared" si="167"/>
        <v>5.6763821632083262</v>
      </c>
      <c r="X34" s="86">
        <f t="shared" si="168"/>
        <v>-0.36854206756090768</v>
      </c>
      <c r="Y34" s="86">
        <f t="shared" si="169"/>
        <v>-0.53638216320832655</v>
      </c>
      <c r="Z34" s="144">
        <f t="shared" si="170"/>
        <v>0.59273709883132719</v>
      </c>
      <c r="AA34" s="7">
        <f>SUM(L$2:L35)-SUM(AB$2:AB35)</f>
        <v>-4970.9060000000172</v>
      </c>
      <c r="AB34" s="145"/>
      <c r="AC34" s="13">
        <f t="shared" si="171"/>
        <v>-915.02980486381682</v>
      </c>
      <c r="AD34" s="13">
        <f t="shared" si="172"/>
        <v>-6115.0298048638169</v>
      </c>
    </row>
    <row r="35" spans="1:30" x14ac:dyDescent="0.25">
      <c r="A35" s="147">
        <v>43889</v>
      </c>
      <c r="B35" s="126"/>
      <c r="C35" s="151" t="s">
        <v>280</v>
      </c>
      <c r="D35" s="152">
        <v>500</v>
      </c>
      <c r="E35" s="137">
        <v>5.09</v>
      </c>
      <c r="F35" s="152">
        <f t="shared" si="152"/>
        <v>5700</v>
      </c>
      <c r="G35" s="138">
        <f t="shared" si="153"/>
        <v>5.9620887719298272</v>
      </c>
      <c r="H35" s="137">
        <f t="shared" si="154"/>
        <v>33983.906000000017</v>
      </c>
      <c r="I35" s="137">
        <f t="shared" si="155"/>
        <v>-4970.9060000000172</v>
      </c>
      <c r="J35" s="142">
        <f t="shared" si="156"/>
        <v>-0.14627235609703057</v>
      </c>
      <c r="K35" s="84">
        <f t="shared" si="157"/>
        <v>29013</v>
      </c>
      <c r="L35" s="84">
        <f t="shared" si="158"/>
        <v>-265.29999999999927</v>
      </c>
      <c r="M35" s="84">
        <f t="shared" si="159"/>
        <v>5.3</v>
      </c>
      <c r="N35" s="84">
        <f t="shared" si="160"/>
        <v>0</v>
      </c>
      <c r="O35" s="84"/>
      <c r="P35" s="86">
        <f t="shared" si="161"/>
        <v>-0.87208877192982737</v>
      </c>
      <c r="Q35" s="84">
        <f t="shared" si="162"/>
        <v>-2550.2999999999993</v>
      </c>
      <c r="R35" s="143"/>
      <c r="S35" s="143">
        <f t="shared" si="163"/>
        <v>15814.203999999972</v>
      </c>
      <c r="T35" s="143">
        <f t="shared" si="164"/>
        <v>3106.9163064832951</v>
      </c>
      <c r="U35" s="143">
        <f t="shared" si="165"/>
        <v>8806.9163064832956</v>
      </c>
      <c r="V35" s="84">
        <f t="shared" si="166"/>
        <v>49798.109999999986</v>
      </c>
      <c r="W35" s="86">
        <f t="shared" si="167"/>
        <v>5.6544320698654342</v>
      </c>
      <c r="X35" s="86">
        <f t="shared" si="168"/>
        <v>-0.307656702064393</v>
      </c>
      <c r="Y35" s="86">
        <f t="shared" si="169"/>
        <v>-0.56443206986543437</v>
      </c>
      <c r="Z35" s="144">
        <f t="shared" si="170"/>
        <v>0.64721859520839209</v>
      </c>
      <c r="AA35" s="7">
        <f>SUM(L$2:L36)-SUM(AB$2:AB36)</f>
        <v>-4123.2420000000202</v>
      </c>
      <c r="AB35" s="145"/>
      <c r="AC35" s="13">
        <f t="shared" si="171"/>
        <v>-976.11405638507222</v>
      </c>
      <c r="AD35" s="13">
        <f t="shared" si="172"/>
        <v>-6676.1140563850722</v>
      </c>
    </row>
    <row r="36" spans="1:30" x14ac:dyDescent="0.25">
      <c r="A36" s="147">
        <v>43893</v>
      </c>
      <c r="B36" s="148" t="s">
        <v>282</v>
      </c>
      <c r="C36" s="151" t="s">
        <v>200</v>
      </c>
      <c r="D36" s="152">
        <v>400</v>
      </c>
      <c r="E36" s="137">
        <v>5.24</v>
      </c>
      <c r="F36" s="152">
        <f t="shared" si="152"/>
        <v>5300</v>
      </c>
      <c r="G36" s="138">
        <f t="shared" si="153"/>
        <v>6.0179701886792492</v>
      </c>
      <c r="H36" s="137">
        <f t="shared" si="154"/>
        <v>31895.24200000002</v>
      </c>
      <c r="I36" s="137">
        <f t="shared" si="155"/>
        <v>-4123.2420000000202</v>
      </c>
      <c r="J36" s="142">
        <f t="shared" si="156"/>
        <v>-0.1292745168699462</v>
      </c>
      <c r="K36" s="84">
        <f t="shared" si="157"/>
        <v>27772</v>
      </c>
      <c r="L36" s="84">
        <f t="shared" si="158"/>
        <v>847.66399999999703</v>
      </c>
      <c r="M36" s="84">
        <f t="shared" si="159"/>
        <v>5.24</v>
      </c>
      <c r="N36" s="84">
        <f t="shared" si="160"/>
        <v>2.0960000000000001</v>
      </c>
      <c r="O36" s="84"/>
      <c r="P36" s="86">
        <f t="shared" si="161"/>
        <v>-0.77797018867924894</v>
      </c>
      <c r="Q36" s="84">
        <f t="shared" si="162"/>
        <v>2088.663999999997</v>
      </c>
      <c r="R36" s="143"/>
      <c r="S36" s="143">
        <f t="shared" si="163"/>
        <v>17902.867999999969</v>
      </c>
      <c r="T36" s="143">
        <f t="shared" si="164"/>
        <v>3416.577862595414</v>
      </c>
      <c r="U36" s="143">
        <f t="shared" si="165"/>
        <v>8716.5778625954135</v>
      </c>
      <c r="V36" s="84">
        <f t="shared" si="166"/>
        <v>49798.109999999986</v>
      </c>
      <c r="W36" s="86">
        <f t="shared" si="167"/>
        <v>5.7130344941555196</v>
      </c>
      <c r="X36" s="86">
        <f t="shared" si="168"/>
        <v>-0.30493569452372959</v>
      </c>
      <c r="Y36" s="86">
        <f t="shared" si="169"/>
        <v>-0.47303449415551935</v>
      </c>
      <c r="Z36" s="144">
        <f t="shared" si="170"/>
        <v>0.60803678732032729</v>
      </c>
      <c r="AA36" s="7">
        <f>SUM(L$2:L37)-SUM(AB$2:AB37)</f>
        <v>-5029.5420000000231</v>
      </c>
      <c r="AB36" s="145"/>
      <c r="AC36" s="13">
        <f t="shared" si="171"/>
        <v>-786.48480515267568</v>
      </c>
      <c r="AD36" s="13">
        <f t="shared" si="172"/>
        <v>-6086.484805152676</v>
      </c>
    </row>
    <row r="37" spans="1:30" x14ac:dyDescent="0.25">
      <c r="A37" s="147">
        <v>43899</v>
      </c>
      <c r="B37" s="126"/>
      <c r="C37" s="151" t="s">
        <v>283</v>
      </c>
      <c r="D37" s="152">
        <v>500</v>
      </c>
      <c r="E37" s="137">
        <v>5.07</v>
      </c>
      <c r="F37" s="152">
        <f t="shared" si="152"/>
        <v>5800</v>
      </c>
      <c r="G37" s="138">
        <f t="shared" si="153"/>
        <v>5.9371624137931072</v>
      </c>
      <c r="H37" s="137">
        <f t="shared" si="154"/>
        <v>34435.542000000023</v>
      </c>
      <c r="I37" s="137">
        <f t="shared" si="155"/>
        <v>-5029.5420000000231</v>
      </c>
      <c r="J37" s="142">
        <f t="shared" si="156"/>
        <v>-0.14605671082511251</v>
      </c>
      <c r="K37" s="84">
        <f t="shared" si="157"/>
        <v>29406</v>
      </c>
      <c r="L37" s="84">
        <f t="shared" si="158"/>
        <v>-906.30000000000291</v>
      </c>
      <c r="M37" s="84">
        <f t="shared" si="159"/>
        <v>5.3</v>
      </c>
      <c r="N37" s="84">
        <f t="shared" si="160"/>
        <v>0</v>
      </c>
      <c r="O37" s="84"/>
      <c r="P37" s="86">
        <f t="shared" si="161"/>
        <v>-0.86716241379310688</v>
      </c>
      <c r="Q37" s="84">
        <f t="shared" si="162"/>
        <v>-2540.3000000000029</v>
      </c>
      <c r="R37" s="143"/>
      <c r="S37" s="143">
        <f t="shared" si="163"/>
        <v>15362.567999999967</v>
      </c>
      <c r="T37" s="143">
        <f t="shared" si="164"/>
        <v>3030.0923076923009</v>
      </c>
      <c r="U37" s="143">
        <f t="shared" si="165"/>
        <v>8830.0923076923009</v>
      </c>
      <c r="V37" s="84">
        <f t="shared" si="166"/>
        <v>49798.109999999986</v>
      </c>
      <c r="W37" s="86">
        <f t="shared" si="167"/>
        <v>5.6395911010600139</v>
      </c>
      <c r="X37" s="86">
        <f t="shared" si="168"/>
        <v>-0.29757131273309323</v>
      </c>
      <c r="Y37" s="86">
        <f t="shared" si="169"/>
        <v>-0.56959110106001365</v>
      </c>
      <c r="Z37" s="144">
        <f t="shared" si="170"/>
        <v>0.65684477555770882</v>
      </c>
      <c r="AA37" s="7">
        <f>SUM(L$2:L38)-SUM(AB$2:AB38)</f>
        <v>-6368.842000000026</v>
      </c>
      <c r="AB37" s="145"/>
      <c r="AC37" s="13">
        <f t="shared" si="171"/>
        <v>-991.52410828402822</v>
      </c>
      <c r="AD37" s="13">
        <f t="shared" si="172"/>
        <v>-6791.5241082840284</v>
      </c>
    </row>
    <row r="38" spans="1:30" x14ac:dyDescent="0.25">
      <c r="A38" s="147">
        <v>43914</v>
      </c>
      <c r="B38" s="126"/>
      <c r="C38" s="151" t="s">
        <v>284</v>
      </c>
      <c r="D38" s="152">
        <v>500</v>
      </c>
      <c r="E38" s="137">
        <v>4.84</v>
      </c>
      <c r="F38" s="152">
        <f t="shared" si="152"/>
        <v>6300</v>
      </c>
      <c r="G38" s="138">
        <f t="shared" si="153"/>
        <v>5.8509273015873058</v>
      </c>
      <c r="H38" s="137">
        <f t="shared" si="154"/>
        <v>36860.842000000026</v>
      </c>
      <c r="I38" s="137">
        <f t="shared" si="155"/>
        <v>-6368.842000000026</v>
      </c>
      <c r="J38" s="142">
        <f t="shared" si="156"/>
        <v>-0.17278069773880972</v>
      </c>
      <c r="K38" s="84">
        <f t="shared" si="157"/>
        <v>30492</v>
      </c>
      <c r="L38" s="84">
        <f t="shared" si="158"/>
        <v>-1339.3000000000029</v>
      </c>
      <c r="M38" s="84">
        <f t="shared" si="159"/>
        <v>5.3</v>
      </c>
      <c r="N38" s="84">
        <f t="shared" si="160"/>
        <v>0</v>
      </c>
      <c r="O38" s="84"/>
      <c r="P38" s="86">
        <f t="shared" si="161"/>
        <v>-1.0109273015873059</v>
      </c>
      <c r="Q38" s="84">
        <f t="shared" si="162"/>
        <v>-2425.3000000000029</v>
      </c>
      <c r="R38" s="143"/>
      <c r="S38" s="143">
        <f t="shared" si="163"/>
        <v>12937.267999999964</v>
      </c>
      <c r="T38" s="143">
        <f t="shared" si="164"/>
        <v>2672.9892561983397</v>
      </c>
      <c r="U38" s="143">
        <f t="shared" si="165"/>
        <v>8972.9892561983397</v>
      </c>
      <c r="V38" s="84">
        <f t="shared" si="166"/>
        <v>49798.109999999986</v>
      </c>
      <c r="W38" s="86">
        <f t="shared" si="167"/>
        <v>5.5497792963031323</v>
      </c>
      <c r="X38" s="86">
        <f t="shared" si="168"/>
        <v>-0.30114800528417351</v>
      </c>
      <c r="Y38" s="86">
        <f t="shared" si="169"/>
        <v>-0.70977929630313241</v>
      </c>
      <c r="Z38" s="144">
        <f t="shared" si="170"/>
        <v>0.70210715962332193</v>
      </c>
      <c r="AA38" s="7">
        <f>SUM(L$2:L39)-SUM(AB$2:AB39)</f>
        <v>-8012.1420000000289</v>
      </c>
      <c r="AB38" s="145"/>
      <c r="AC38" s="13">
        <f t="shared" si="171"/>
        <v>-1315.2185080578568</v>
      </c>
      <c r="AD38" s="13">
        <f t="shared" si="172"/>
        <v>-7615.2185080578565</v>
      </c>
    </row>
    <row r="39" spans="1:30" x14ac:dyDescent="0.25">
      <c r="A39" s="147">
        <v>43922</v>
      </c>
      <c r="B39" s="148"/>
      <c r="C39" s="151" t="s">
        <v>215</v>
      </c>
      <c r="D39" s="152">
        <v>500</v>
      </c>
      <c r="E39" s="137">
        <v>4.58</v>
      </c>
      <c r="F39" s="152">
        <f t="shared" si="152"/>
        <v>6800</v>
      </c>
      <c r="G39" s="138">
        <f t="shared" si="153"/>
        <v>5.7582561764705922</v>
      </c>
      <c r="H39" s="137">
        <f t="shared" si="154"/>
        <v>39156.142000000029</v>
      </c>
      <c r="I39" s="137">
        <f t="shared" si="155"/>
        <v>-8012.1420000000289</v>
      </c>
      <c r="J39" s="142">
        <f t="shared" si="156"/>
        <v>-0.20462031218499568</v>
      </c>
      <c r="K39" s="84">
        <f t="shared" si="157"/>
        <v>31144</v>
      </c>
      <c r="L39" s="84">
        <f t="shared" si="158"/>
        <v>-1643.3000000000029</v>
      </c>
      <c r="M39" s="84">
        <f t="shared" si="159"/>
        <v>5.3</v>
      </c>
      <c r="N39" s="84">
        <f t="shared" si="160"/>
        <v>0</v>
      </c>
      <c r="O39" s="84"/>
      <c r="P39" s="86">
        <f t="shared" si="161"/>
        <v>-1.1782561764705921</v>
      </c>
      <c r="Q39" s="84">
        <f t="shared" si="162"/>
        <v>-2295.3000000000029</v>
      </c>
      <c r="R39" s="143"/>
      <c r="S39" s="143">
        <f t="shared" si="163"/>
        <v>10641.967999999961</v>
      </c>
      <c r="T39" s="143">
        <f t="shared" si="164"/>
        <v>2323.5737991266287</v>
      </c>
      <c r="U39" s="143">
        <f t="shared" si="165"/>
        <v>9123.5737991266287</v>
      </c>
      <c r="V39" s="84">
        <f t="shared" si="166"/>
        <v>49798.109999999986</v>
      </c>
      <c r="W39" s="86">
        <f t="shared" si="167"/>
        <v>5.4581802149468013</v>
      </c>
      <c r="X39" s="86">
        <f t="shared" si="168"/>
        <v>-0.3000759615237909</v>
      </c>
      <c r="Y39" s="86">
        <f t="shared" si="169"/>
        <v>-0.87818021494680121</v>
      </c>
      <c r="Z39" s="144">
        <f t="shared" si="170"/>
        <v>0.74532197028437941</v>
      </c>
      <c r="AA39" s="7">
        <f>SUM(L$2:L40)-SUM(AB$2:AB40)</f>
        <v>-8901.4420000000318</v>
      </c>
      <c r="AB39" s="145"/>
      <c r="AC39" s="13">
        <f t="shared" si="171"/>
        <v>-1748.5012945414912</v>
      </c>
      <c r="AD39" s="13">
        <f t="shared" si="172"/>
        <v>-8548.501294541491</v>
      </c>
    </row>
    <row r="40" spans="1:30" x14ac:dyDescent="0.25">
      <c r="A40" s="147">
        <v>43943</v>
      </c>
      <c r="B40" s="148"/>
      <c r="C40" s="151" t="s">
        <v>286</v>
      </c>
      <c r="D40" s="152">
        <v>500</v>
      </c>
      <c r="E40" s="137">
        <v>4.45</v>
      </c>
      <c r="F40" s="152">
        <f t="shared" si="152"/>
        <v>7300</v>
      </c>
      <c r="G40" s="138">
        <f t="shared" si="153"/>
        <v>5.6693756164383604</v>
      </c>
      <c r="H40" s="137">
        <f t="shared" si="154"/>
        <v>41386.442000000032</v>
      </c>
      <c r="I40" s="137">
        <f t="shared" si="155"/>
        <v>-8901.4420000000318</v>
      </c>
      <c r="J40" s="142">
        <f t="shared" si="156"/>
        <v>-0.21508111279534547</v>
      </c>
      <c r="K40" s="84">
        <f t="shared" si="157"/>
        <v>32485</v>
      </c>
      <c r="L40" s="84">
        <f t="shared" si="158"/>
        <v>-889.30000000000291</v>
      </c>
      <c r="M40" s="84">
        <f t="shared" si="159"/>
        <v>5.3</v>
      </c>
      <c r="N40" s="84">
        <f t="shared" si="160"/>
        <v>0</v>
      </c>
      <c r="O40" s="84"/>
      <c r="P40" s="86">
        <f t="shared" si="161"/>
        <v>-1.2193756164383602</v>
      </c>
      <c r="Q40" s="84">
        <f t="shared" si="162"/>
        <v>-2230.3000000000029</v>
      </c>
      <c r="R40" s="143"/>
      <c r="S40" s="143">
        <f t="shared" si="163"/>
        <v>8411.6679999999578</v>
      </c>
      <c r="T40" s="143">
        <f t="shared" si="164"/>
        <v>1890.2624719101027</v>
      </c>
      <c r="U40" s="143">
        <f t="shared" si="165"/>
        <v>9190.2624719101022</v>
      </c>
      <c r="V40" s="84">
        <f t="shared" si="166"/>
        <v>49798.109999999986</v>
      </c>
      <c r="W40" s="86">
        <f t="shared" si="167"/>
        <v>5.4185732074798905</v>
      </c>
      <c r="X40" s="86">
        <f t="shared" si="168"/>
        <v>-0.25080240895846995</v>
      </c>
      <c r="Y40" s="86">
        <f t="shared" si="169"/>
        <v>-0.96857320747989029</v>
      </c>
      <c r="Z40" s="144">
        <f t="shared" si="170"/>
        <v>0.79431898950789914</v>
      </c>
      <c r="AA40" s="7">
        <f>SUM(L$2:L41)-SUM(AB$2:AB41)</f>
        <v>-8032.5100000000275</v>
      </c>
      <c r="AB40" s="145"/>
      <c r="AC40" s="13">
        <f t="shared" si="171"/>
        <v>-1999.3238829213556</v>
      </c>
      <c r="AD40" s="13">
        <f t="shared" si="172"/>
        <v>-9299.3238829213551</v>
      </c>
    </row>
    <row r="41" spans="1:30" x14ac:dyDescent="0.25">
      <c r="A41" s="147">
        <v>43944</v>
      </c>
      <c r="B41" s="148" t="s">
        <v>287</v>
      </c>
      <c r="C41" s="151" t="s">
        <v>285</v>
      </c>
      <c r="D41" s="152">
        <v>400</v>
      </c>
      <c r="E41" s="137">
        <v>4.57</v>
      </c>
      <c r="F41" s="152">
        <f t="shared" si="152"/>
        <v>6900</v>
      </c>
      <c r="G41" s="138">
        <f t="shared" si="153"/>
        <v>5.7341318840579758</v>
      </c>
      <c r="H41" s="137">
        <f t="shared" si="154"/>
        <v>39565.510000000031</v>
      </c>
      <c r="I41" s="137">
        <f t="shared" si="155"/>
        <v>-8032.5100000000275</v>
      </c>
      <c r="J41" s="142">
        <f t="shared" si="156"/>
        <v>-0.20301798207580352</v>
      </c>
      <c r="K41" s="84">
        <f t="shared" si="157"/>
        <v>31533.000000000004</v>
      </c>
      <c r="L41" s="84">
        <f t="shared" si="158"/>
        <v>868.93200000000434</v>
      </c>
      <c r="M41" s="84">
        <f t="shared" si="159"/>
        <v>5.24</v>
      </c>
      <c r="N41" s="84">
        <f t="shared" si="160"/>
        <v>1.8280000000000001</v>
      </c>
      <c r="O41" s="84"/>
      <c r="P41" s="86">
        <f t="shared" si="161"/>
        <v>-1.1641318840579755</v>
      </c>
      <c r="Q41" s="84">
        <f t="shared" si="162"/>
        <v>1820.9320000000007</v>
      </c>
      <c r="R41" s="143"/>
      <c r="S41" s="143">
        <f t="shared" si="163"/>
        <v>10232.599999999959</v>
      </c>
      <c r="T41" s="143">
        <f t="shared" si="164"/>
        <v>2239.080962800866</v>
      </c>
      <c r="U41" s="143">
        <f t="shared" si="165"/>
        <v>9139.0809628008665</v>
      </c>
      <c r="V41" s="84">
        <f t="shared" si="166"/>
        <v>49798.109999999986</v>
      </c>
      <c r="W41" s="86">
        <f t="shared" si="167"/>
        <v>5.4489187920202307</v>
      </c>
      <c r="X41" s="86">
        <f t="shared" si="168"/>
        <v>-0.28521309203774514</v>
      </c>
      <c r="Y41" s="86">
        <f t="shared" si="169"/>
        <v>-0.87891879202023038</v>
      </c>
      <c r="Z41" s="144">
        <f t="shared" si="170"/>
        <v>0.75499932959181792</v>
      </c>
      <c r="AA41" s="7">
        <f>SUM(L$2:L42)-SUM(AB$2:AB42)</f>
        <v>-9003.8100000000341</v>
      </c>
      <c r="AB41" s="145"/>
      <c r="AC41" s="13">
        <f t="shared" si="171"/>
        <v>-1756.7820010940977</v>
      </c>
      <c r="AD41" s="13">
        <f t="shared" si="172"/>
        <v>-8656.7820010940977</v>
      </c>
    </row>
    <row r="42" spans="1:30" x14ac:dyDescent="0.25">
      <c r="A42" s="147">
        <v>43949</v>
      </c>
      <c r="B42" s="148"/>
      <c r="C42" s="151" t="s">
        <v>46</v>
      </c>
      <c r="D42" s="152">
        <v>500</v>
      </c>
      <c r="E42" s="137">
        <v>4.43</v>
      </c>
      <c r="F42" s="152">
        <f t="shared" si="152"/>
        <v>7400</v>
      </c>
      <c r="G42" s="138">
        <f t="shared" si="153"/>
        <v>5.6467310810810858</v>
      </c>
      <c r="H42" s="137">
        <f t="shared" si="154"/>
        <v>41785.810000000034</v>
      </c>
      <c r="I42" s="137">
        <f t="shared" si="155"/>
        <v>-9003.8100000000341</v>
      </c>
      <c r="J42" s="142">
        <f t="shared" si="156"/>
        <v>-0.21547530130443873</v>
      </c>
      <c r="K42" s="84">
        <f t="shared" si="157"/>
        <v>32782</v>
      </c>
      <c r="L42" s="84">
        <f t="shared" si="158"/>
        <v>-971.30000000000655</v>
      </c>
      <c r="M42" s="84">
        <f t="shared" si="159"/>
        <v>5.3</v>
      </c>
      <c r="N42" s="84">
        <f t="shared" si="160"/>
        <v>0</v>
      </c>
      <c r="O42" s="84"/>
      <c r="P42" s="86">
        <f t="shared" si="161"/>
        <v>-1.2167310810810861</v>
      </c>
      <c r="Q42" s="84">
        <f t="shared" si="162"/>
        <v>-2220.3000000000029</v>
      </c>
      <c r="R42" s="143"/>
      <c r="S42" s="143">
        <f t="shared" si="163"/>
        <v>8012.2999999999556</v>
      </c>
      <c r="T42" s="143">
        <f t="shared" si="164"/>
        <v>1808.645598194121</v>
      </c>
      <c r="U42" s="143">
        <f t="shared" si="165"/>
        <v>9208.6455981941217</v>
      </c>
      <c r="V42" s="84">
        <f t="shared" si="166"/>
        <v>49798.109999999986</v>
      </c>
      <c r="W42" s="86">
        <f t="shared" si="167"/>
        <v>5.407756164464157</v>
      </c>
      <c r="X42" s="86">
        <f t="shared" si="168"/>
        <v>-0.23897491661692882</v>
      </c>
      <c r="Y42" s="86">
        <f t="shared" si="169"/>
        <v>-0.97775616446415725</v>
      </c>
      <c r="Z42" s="144">
        <f t="shared" si="170"/>
        <v>0.80359265877831054</v>
      </c>
      <c r="AA42" s="7">
        <f>SUM(L$2:L43)-SUM(AB$2:AB43)</f>
        <v>-9675.4100000000326</v>
      </c>
      <c r="AB42" s="145"/>
      <c r="AC42" s="13">
        <f t="shared" si="171"/>
        <v>-2031.4465225733713</v>
      </c>
      <c r="AD42" s="13">
        <f t="shared" si="172"/>
        <v>-9431.4465225733711</v>
      </c>
    </row>
    <row r="43" spans="1:30" x14ac:dyDescent="0.25">
      <c r="A43" s="147">
        <v>43976</v>
      </c>
      <c r="B43" s="126"/>
      <c r="C43" s="151" t="s">
        <v>46</v>
      </c>
      <c r="D43" s="152">
        <v>1000</v>
      </c>
      <c r="E43" s="137">
        <v>4.34</v>
      </c>
      <c r="F43" s="152">
        <f t="shared" si="152"/>
        <v>8400</v>
      </c>
      <c r="G43" s="138">
        <f t="shared" si="153"/>
        <v>5.4918345238095281</v>
      </c>
      <c r="H43" s="137">
        <f t="shared" si="154"/>
        <v>46131.410000000033</v>
      </c>
      <c r="I43" s="137">
        <f t="shared" si="155"/>
        <v>-9675.4100000000326</v>
      </c>
      <c r="J43" s="142">
        <f t="shared" si="156"/>
        <v>-0.20973583942047358</v>
      </c>
      <c r="K43" s="84">
        <f t="shared" si="157"/>
        <v>36456</v>
      </c>
      <c r="L43" s="84">
        <f t="shared" si="158"/>
        <v>-671.59999999999854</v>
      </c>
      <c r="M43" s="84">
        <f t="shared" si="159"/>
        <v>5.6</v>
      </c>
      <c r="N43" s="84">
        <f t="shared" si="160"/>
        <v>0</v>
      </c>
      <c r="O43" s="84"/>
      <c r="P43" s="86">
        <f t="shared" si="161"/>
        <v>-1.1518345238095282</v>
      </c>
      <c r="Q43" s="84">
        <f t="shared" si="162"/>
        <v>-4345.5999999999985</v>
      </c>
      <c r="R43" s="143"/>
      <c r="S43" s="143">
        <f t="shared" si="163"/>
        <v>3666.6999999999571</v>
      </c>
      <c r="T43" s="143">
        <f t="shared" si="164"/>
        <v>844.8617511520639</v>
      </c>
      <c r="U43" s="143">
        <f t="shared" si="165"/>
        <v>9244.8617511520642</v>
      </c>
      <c r="V43" s="84">
        <f t="shared" si="166"/>
        <v>49798.109999999986</v>
      </c>
      <c r="W43" s="86">
        <f t="shared" si="167"/>
        <v>5.3865716265356056</v>
      </c>
      <c r="X43" s="86">
        <f t="shared" si="168"/>
        <v>-0.10526289727392246</v>
      </c>
      <c r="Y43" s="86">
        <f t="shared" si="169"/>
        <v>-1.0465716265356058</v>
      </c>
      <c r="Z43" s="144">
        <f t="shared" si="170"/>
        <v>0.90861283014353567</v>
      </c>
      <c r="AA43" s="7">
        <f>SUM(L$2:L44)-SUM(AB$2:AB44)</f>
        <v>-9933.0100000000384</v>
      </c>
      <c r="AB43" s="145"/>
      <c r="AC43" s="13">
        <f t="shared" si="171"/>
        <v>-2228.2424642857218</v>
      </c>
      <c r="AD43" s="13">
        <f t="shared" si="172"/>
        <v>-10628.242464285722</v>
      </c>
    </row>
    <row r="44" spans="1:30" x14ac:dyDescent="0.25">
      <c r="A44" s="147">
        <v>43978</v>
      </c>
      <c r="B44" s="126"/>
      <c r="C44" s="151" t="s">
        <v>46</v>
      </c>
      <c r="D44" s="152">
        <v>1000</v>
      </c>
      <c r="E44" s="137">
        <v>4.3099999999999996</v>
      </c>
      <c r="F44" s="152">
        <f t="shared" si="152"/>
        <v>9400</v>
      </c>
      <c r="G44" s="138">
        <f t="shared" si="153"/>
        <v>5.366703191489365</v>
      </c>
      <c r="H44" s="137">
        <f t="shared" si="154"/>
        <v>50447.010000000031</v>
      </c>
      <c r="I44" s="137">
        <f t="shared" si="155"/>
        <v>-9933.0100000000384</v>
      </c>
      <c r="J44" s="142">
        <f t="shared" si="156"/>
        <v>-0.19689987573099038</v>
      </c>
      <c r="K44" s="84">
        <f t="shared" si="157"/>
        <v>40513.999999999993</v>
      </c>
      <c r="L44" s="84">
        <f t="shared" si="158"/>
        <v>-257.60000000000582</v>
      </c>
      <c r="M44" s="84">
        <f t="shared" si="159"/>
        <v>5.6</v>
      </c>
      <c r="N44" s="84">
        <f t="shared" si="160"/>
        <v>0</v>
      </c>
      <c r="O44" s="84"/>
      <c r="P44" s="86">
        <f t="shared" si="161"/>
        <v>-1.0567031914893654</v>
      </c>
      <c r="Q44" s="84">
        <f t="shared" si="162"/>
        <v>-4315.5999999999985</v>
      </c>
      <c r="R44" s="143"/>
      <c r="S44" s="143">
        <f t="shared" si="163"/>
        <v>-648.90000000004147</v>
      </c>
      <c r="T44" s="143">
        <f t="shared" si="164"/>
        <v>-150.55684454757343</v>
      </c>
      <c r="U44" s="143">
        <f t="shared" si="165"/>
        <v>9249.4431554524272</v>
      </c>
      <c r="V44" s="84">
        <f t="shared" si="166"/>
        <v>49798.109999999986</v>
      </c>
      <c r="W44" s="86">
        <f t="shared" si="167"/>
        <v>5.3839035672806581</v>
      </c>
      <c r="X44" s="86">
        <f t="shared" si="168"/>
        <v>1.7200375791293077E-2</v>
      </c>
      <c r="Y44" s="86">
        <f t="shared" si="169"/>
        <v>-1.0739035672806585</v>
      </c>
      <c r="Z44" s="144">
        <f t="shared" si="170"/>
        <v>1.01627739551638</v>
      </c>
      <c r="AA44" s="7">
        <f>SUM(L$2:L45)-SUM(AB$2:AB45)</f>
        <v>-8850.0000000000364</v>
      </c>
      <c r="AB44" s="145"/>
      <c r="AC44" s="13">
        <f t="shared" si="171"/>
        <v>-2303.4903700696145</v>
      </c>
      <c r="AD44" s="13">
        <f t="shared" si="172"/>
        <v>-11703.490370069614</v>
      </c>
    </row>
    <row r="45" spans="1:30" x14ac:dyDescent="0.25">
      <c r="A45" s="147">
        <v>43985</v>
      </c>
      <c r="B45" s="148" t="s">
        <v>292</v>
      </c>
      <c r="C45" s="151" t="s">
        <v>285</v>
      </c>
      <c r="D45" s="152">
        <v>500</v>
      </c>
      <c r="E45" s="137">
        <v>4.3600000000000003</v>
      </c>
      <c r="F45" s="152">
        <f t="shared" si="152"/>
        <v>8900</v>
      </c>
      <c r="G45" s="138">
        <f t="shared" si="153"/>
        <v>5.3543820224719143</v>
      </c>
      <c r="H45" s="137">
        <f t="shared" si="154"/>
        <v>47654.000000000036</v>
      </c>
      <c r="I45" s="137">
        <f t="shared" si="155"/>
        <v>-8850.0000000000364</v>
      </c>
      <c r="J45" s="142">
        <f t="shared" si="156"/>
        <v>-0.18571368615436329</v>
      </c>
      <c r="K45" s="84">
        <f t="shared" si="157"/>
        <v>38804</v>
      </c>
      <c r="L45" s="84">
        <f t="shared" si="158"/>
        <v>1083.010000000002</v>
      </c>
      <c r="M45" s="84">
        <f t="shared" si="159"/>
        <v>5.3</v>
      </c>
      <c r="N45" s="84">
        <f t="shared" si="160"/>
        <v>2.1800000000000002</v>
      </c>
      <c r="O45" s="84">
        <v>-620.49</v>
      </c>
      <c r="P45" s="86">
        <f t="shared" si="161"/>
        <v>-0.99438202247191398</v>
      </c>
      <c r="Q45" s="84">
        <f t="shared" si="162"/>
        <v>2793.0099999999948</v>
      </c>
      <c r="R45" s="143"/>
      <c r="S45" s="143">
        <f t="shared" si="163"/>
        <v>1523.6199999999533</v>
      </c>
      <c r="T45" s="143">
        <f t="shared" si="164"/>
        <v>349.45412844035621</v>
      </c>
      <c r="U45" s="143">
        <f t="shared" si="165"/>
        <v>9249.4541284403567</v>
      </c>
      <c r="V45" s="84">
        <f t="shared" si="166"/>
        <v>49177.619999999988</v>
      </c>
      <c r="W45" s="86">
        <f t="shared" si="167"/>
        <v>5.3168132213108583</v>
      </c>
      <c r="X45" s="86">
        <f t="shared" si="168"/>
        <v>-3.7568801161055987E-2</v>
      </c>
      <c r="Y45" s="86">
        <f t="shared" si="169"/>
        <v>-0.956813221310858</v>
      </c>
      <c r="Z45" s="144">
        <f t="shared" si="170"/>
        <v>0.96221894572504019</v>
      </c>
      <c r="AA45" s="7">
        <f>SUM(L$2:L46)-SUM(AB$2:AB46)</f>
        <v>-9923.3000000000393</v>
      </c>
      <c r="AB45" s="145"/>
      <c r="AC45" s="13">
        <f t="shared" si="171"/>
        <v>-2028.8016055045955</v>
      </c>
      <c r="AD45" s="13">
        <f t="shared" si="172"/>
        <v>-10928.801605504595</v>
      </c>
    </row>
    <row r="46" spans="1:30" x14ac:dyDescent="0.25">
      <c r="A46" s="147">
        <v>43994</v>
      </c>
      <c r="B46" s="148"/>
      <c r="C46" s="151" t="s">
        <v>46</v>
      </c>
      <c r="D46" s="152">
        <v>500</v>
      </c>
      <c r="E46" s="137">
        <v>4.24</v>
      </c>
      <c r="F46" s="152">
        <f t="shared" si="152"/>
        <v>9400</v>
      </c>
      <c r="G46" s="138">
        <f t="shared" si="153"/>
        <v>5.2956702127659616</v>
      </c>
      <c r="H46" s="137">
        <f t="shared" si="154"/>
        <v>49779.300000000039</v>
      </c>
      <c r="I46" s="137">
        <f t="shared" si="155"/>
        <v>-9923.3000000000393</v>
      </c>
      <c r="J46" s="142">
        <f t="shared" si="156"/>
        <v>-0.19934591285936182</v>
      </c>
      <c r="K46" s="84">
        <f t="shared" si="157"/>
        <v>39856</v>
      </c>
      <c r="L46" s="84">
        <f t="shared" si="158"/>
        <v>-1073.3000000000029</v>
      </c>
      <c r="M46" s="84">
        <f t="shared" si="159"/>
        <v>5.3</v>
      </c>
      <c r="N46" s="84">
        <f t="shared" si="160"/>
        <v>0</v>
      </c>
      <c r="O46" s="84"/>
      <c r="P46" s="86">
        <f t="shared" si="161"/>
        <v>-1.0556702127659614</v>
      </c>
      <c r="Q46" s="84">
        <f t="shared" si="162"/>
        <v>-2125.3000000000029</v>
      </c>
      <c r="R46" s="143"/>
      <c r="S46" s="143">
        <f t="shared" si="163"/>
        <v>-601.68000000004963</v>
      </c>
      <c r="T46" s="143">
        <f t="shared" si="164"/>
        <v>-141.9056603773702</v>
      </c>
      <c r="U46" s="143">
        <f t="shared" si="165"/>
        <v>9258.0943396226303</v>
      </c>
      <c r="V46" s="84">
        <f t="shared" si="166"/>
        <v>49177.619999999988</v>
      </c>
      <c r="W46" s="86">
        <f t="shared" si="167"/>
        <v>5.3118512510215492</v>
      </c>
      <c r="X46" s="86">
        <f t="shared" si="168"/>
        <v>1.6181038255587588E-2</v>
      </c>
      <c r="Y46" s="86">
        <f t="shared" si="169"/>
        <v>-1.071851251021549</v>
      </c>
      <c r="Z46" s="144">
        <f t="shared" si="170"/>
        <v>1.0153277397239349</v>
      </c>
      <c r="AA46" s="7">
        <f>SUM(L$2:L47)-SUM(AB$2:AB47)</f>
        <v>-9366.2600000000384</v>
      </c>
      <c r="AB46" s="145"/>
      <c r="AC46" s="13">
        <f t="shared" si="171"/>
        <v>-2339.2307429245375</v>
      </c>
      <c r="AD46" s="13">
        <f t="shared" si="172"/>
        <v>-11739.230742924537</v>
      </c>
    </row>
    <row r="47" spans="1:30" x14ac:dyDescent="0.25">
      <c r="A47" s="147">
        <v>44014</v>
      </c>
      <c r="B47" s="148" t="s">
        <v>295</v>
      </c>
      <c r="C47" s="151" t="s">
        <v>200</v>
      </c>
      <c r="D47" s="152">
        <v>400</v>
      </c>
      <c r="E47" s="137">
        <v>4.3</v>
      </c>
      <c r="F47" s="152">
        <f t="shared" si="152"/>
        <v>9000</v>
      </c>
      <c r="G47" s="138">
        <f t="shared" si="153"/>
        <v>5.34069555555556</v>
      </c>
      <c r="H47" s="137">
        <f t="shared" si="154"/>
        <v>48066.260000000038</v>
      </c>
      <c r="I47" s="137">
        <f t="shared" si="155"/>
        <v>-9366.2600000000384</v>
      </c>
      <c r="J47" s="142">
        <f t="shared" si="156"/>
        <v>-0.19486142670555257</v>
      </c>
      <c r="K47" s="84">
        <f t="shared" si="157"/>
        <v>38700</v>
      </c>
      <c r="L47" s="84">
        <f t="shared" si="158"/>
        <v>557.04000000000087</v>
      </c>
      <c r="M47" s="84">
        <f t="shared" si="159"/>
        <v>5.24</v>
      </c>
      <c r="N47" s="84">
        <f t="shared" si="160"/>
        <v>1.72</v>
      </c>
      <c r="O47" s="84"/>
      <c r="P47" s="86">
        <f t="shared" si="161"/>
        <v>-1.0406955555555601</v>
      </c>
      <c r="Q47" s="84">
        <f t="shared" si="162"/>
        <v>1713.0400000000009</v>
      </c>
      <c r="R47" s="143"/>
      <c r="S47" s="143">
        <f t="shared" si="163"/>
        <v>1111.3599999999512</v>
      </c>
      <c r="T47" s="143">
        <f t="shared" si="164"/>
        <v>258.45581395347705</v>
      </c>
      <c r="U47" s="143">
        <f t="shared" si="165"/>
        <v>9258.4558139534765</v>
      </c>
      <c r="V47" s="84">
        <f t="shared" si="166"/>
        <v>49177.619999999988</v>
      </c>
      <c r="W47" s="86">
        <f t="shared" si="167"/>
        <v>5.3116438624553446</v>
      </c>
      <c r="X47" s="86">
        <f t="shared" si="168"/>
        <v>-2.9051693100215381E-2</v>
      </c>
      <c r="Y47" s="86">
        <f t="shared" si="169"/>
        <v>-1.0116438624553448</v>
      </c>
      <c r="Z47" s="144">
        <f t="shared" si="170"/>
        <v>0.97208434979362801</v>
      </c>
      <c r="AA47" s="7">
        <f>SUM(L$2:L48)-SUM(AB$2:AB48)</f>
        <v>-8113.2760000000344</v>
      </c>
      <c r="AB47" s="145"/>
      <c r="AC47" s="13">
        <f t="shared" si="171"/>
        <v>-2177.1109000000092</v>
      </c>
      <c r="AD47" s="13">
        <f t="shared" si="172"/>
        <v>-11177.110900000009</v>
      </c>
    </row>
    <row r="48" spans="1:30" x14ac:dyDescent="0.25">
      <c r="A48" s="147">
        <v>44018</v>
      </c>
      <c r="B48" s="148" t="s">
        <v>296</v>
      </c>
      <c r="C48" s="151" t="s">
        <v>200</v>
      </c>
      <c r="D48" s="152">
        <v>400</v>
      </c>
      <c r="E48" s="137">
        <v>4.4400000000000004</v>
      </c>
      <c r="F48" s="152">
        <f t="shared" si="152"/>
        <v>8600</v>
      </c>
      <c r="G48" s="138">
        <f t="shared" si="153"/>
        <v>5.3834041860465156</v>
      </c>
      <c r="H48" s="137">
        <f t="shared" si="154"/>
        <v>46297.276000000034</v>
      </c>
      <c r="I48" s="137">
        <f t="shared" si="155"/>
        <v>-8113.2760000000344</v>
      </c>
      <c r="J48" s="142">
        <f t="shared" si="156"/>
        <v>-0.17524305317660643</v>
      </c>
      <c r="K48" s="84">
        <f t="shared" si="157"/>
        <v>38184</v>
      </c>
      <c r="L48" s="84">
        <f t="shared" si="158"/>
        <v>1252.984000000004</v>
      </c>
      <c r="M48" s="84">
        <f t="shared" si="159"/>
        <v>5.24</v>
      </c>
      <c r="N48" s="84">
        <f t="shared" si="160"/>
        <v>1.7760000000000002</v>
      </c>
      <c r="O48" s="84"/>
      <c r="P48" s="86">
        <f t="shared" si="161"/>
        <v>-0.94340418604651521</v>
      </c>
      <c r="Q48" s="84">
        <f t="shared" si="162"/>
        <v>1768.984000000004</v>
      </c>
      <c r="R48" s="143"/>
      <c r="S48" s="143">
        <f t="shared" si="163"/>
        <v>2880.3439999999555</v>
      </c>
      <c r="T48" s="143">
        <f t="shared" si="164"/>
        <v>648.72612612611601</v>
      </c>
      <c r="U48" s="143">
        <f t="shared" si="165"/>
        <v>9248.7261261261156</v>
      </c>
      <c r="V48" s="84">
        <f t="shared" si="166"/>
        <v>49177.619999999988</v>
      </c>
      <c r="W48" s="86">
        <f t="shared" si="167"/>
        <v>5.3172317278464307</v>
      </c>
      <c r="X48" s="86">
        <f t="shared" si="168"/>
        <v>-6.6172458200084883E-2</v>
      </c>
      <c r="Y48" s="86">
        <f t="shared" si="169"/>
        <v>-0.87723172784643033</v>
      </c>
      <c r="Z48" s="144">
        <f t="shared" si="170"/>
        <v>0.9298577861124494</v>
      </c>
      <c r="AA48" s="7">
        <f>SUM(L$2:L49)-SUM(AB$2:AB49)</f>
        <v>-6831.3900000000285</v>
      </c>
      <c r="AB48" s="145"/>
      <c r="AC48" s="13">
        <f t="shared" si="171"/>
        <v>-1826.4007572072148</v>
      </c>
      <c r="AD48" s="13">
        <f t="shared" si="172"/>
        <v>-10426.400757207215</v>
      </c>
    </row>
    <row r="49" spans="1:30" x14ac:dyDescent="0.25">
      <c r="A49" s="147">
        <v>44018</v>
      </c>
      <c r="B49" s="148" t="s">
        <v>297</v>
      </c>
      <c r="C49" s="151" t="s">
        <v>200</v>
      </c>
      <c r="D49" s="152">
        <v>600</v>
      </c>
      <c r="E49" s="137">
        <f t="shared" ref="E49" si="173">E48+0.15</f>
        <v>4.5900000000000007</v>
      </c>
      <c r="F49" s="152">
        <f t="shared" si="152"/>
        <v>8000</v>
      </c>
      <c r="G49" s="138">
        <f t="shared" si="153"/>
        <v>5.4439237500000042</v>
      </c>
      <c r="H49" s="137">
        <f t="shared" si="154"/>
        <v>43551.390000000036</v>
      </c>
      <c r="I49" s="137">
        <f t="shared" si="155"/>
        <v>-6831.3900000000285</v>
      </c>
      <c r="J49" s="142">
        <f t="shared" si="156"/>
        <v>-0.15685813931541615</v>
      </c>
      <c r="K49" s="84">
        <f t="shared" si="157"/>
        <v>36720.000000000007</v>
      </c>
      <c r="L49" s="84">
        <f t="shared" si="158"/>
        <v>1281.8860000000059</v>
      </c>
      <c r="M49" s="84">
        <f t="shared" si="159"/>
        <v>5.36</v>
      </c>
      <c r="N49" s="84">
        <f t="shared" si="160"/>
        <v>2.7540000000000004</v>
      </c>
      <c r="O49" s="84"/>
      <c r="P49" s="86">
        <f t="shared" si="161"/>
        <v>-0.85392375000000342</v>
      </c>
      <c r="Q49" s="84">
        <f t="shared" si="162"/>
        <v>2745.8859999999986</v>
      </c>
      <c r="R49" s="143"/>
      <c r="S49" s="143">
        <f t="shared" si="163"/>
        <v>5626.2299999999541</v>
      </c>
      <c r="T49" s="143">
        <f t="shared" si="164"/>
        <v>1225.7581699346304</v>
      </c>
      <c r="U49" s="143">
        <f t="shared" si="165"/>
        <v>9225.7581699346301</v>
      </c>
      <c r="V49" s="84">
        <f t="shared" si="166"/>
        <v>49177.619999999988</v>
      </c>
      <c r="W49" s="86">
        <f t="shared" si="167"/>
        <v>5.3304692247692467</v>
      </c>
      <c r="X49" s="86">
        <f t="shared" si="168"/>
        <v>-0.1134545252307575</v>
      </c>
      <c r="Y49" s="86">
        <f t="shared" si="169"/>
        <v>-0.74046922476924593</v>
      </c>
      <c r="Z49" s="144">
        <f t="shared" si="170"/>
        <v>0.86713740514799176</v>
      </c>
      <c r="AA49" s="7">
        <f>SUM(L$2:L50)-SUM(AB$2:AB50)</f>
        <v>-5798.5180000000328</v>
      </c>
      <c r="AB49" s="145"/>
      <c r="AC49" s="13">
        <f t="shared" si="171"/>
        <v>-1487.5761013071956</v>
      </c>
      <c r="AD49" s="13">
        <f t="shared" si="172"/>
        <v>-9487.5761013071951</v>
      </c>
    </row>
    <row r="50" spans="1:30" x14ac:dyDescent="0.25">
      <c r="A50" s="147">
        <v>44018</v>
      </c>
      <c r="B50" s="148" t="s">
        <v>298</v>
      </c>
      <c r="C50" s="151" t="s">
        <v>200</v>
      </c>
      <c r="D50" s="152">
        <v>400</v>
      </c>
      <c r="E50" s="137">
        <v>4.72</v>
      </c>
      <c r="F50" s="152">
        <f t="shared" si="152"/>
        <v>7600</v>
      </c>
      <c r="G50" s="138">
        <f t="shared" si="153"/>
        <v>5.4829628947368461</v>
      </c>
      <c r="H50" s="137">
        <f t="shared" si="154"/>
        <v>41670.518000000033</v>
      </c>
      <c r="I50" s="137">
        <f t="shared" si="155"/>
        <v>-5798.5180000000328</v>
      </c>
      <c r="J50" s="142">
        <f t="shared" si="156"/>
        <v>-0.13915156994208777</v>
      </c>
      <c r="K50" s="84">
        <f t="shared" si="157"/>
        <v>35872</v>
      </c>
      <c r="L50" s="84">
        <f t="shared" si="158"/>
        <v>1032.8719999999958</v>
      </c>
      <c r="M50" s="84">
        <f t="shared" si="159"/>
        <v>5.24</v>
      </c>
      <c r="N50" s="84">
        <f t="shared" si="160"/>
        <v>1.8879999999999999</v>
      </c>
      <c r="O50" s="84"/>
      <c r="P50" s="86">
        <f t="shared" si="161"/>
        <v>-0.76296289473684631</v>
      </c>
      <c r="Q50" s="84">
        <f t="shared" si="162"/>
        <v>1880.872000000003</v>
      </c>
      <c r="R50" s="143"/>
      <c r="S50" s="143">
        <f t="shared" si="163"/>
        <v>7507.1019999999571</v>
      </c>
      <c r="T50" s="143">
        <f t="shared" si="164"/>
        <v>1590.4877118643979</v>
      </c>
      <c r="U50" s="143">
        <f t="shared" si="165"/>
        <v>9190.4877118643981</v>
      </c>
      <c r="V50" s="84">
        <f t="shared" si="166"/>
        <v>49177.619999999988</v>
      </c>
      <c r="W50" s="86">
        <f t="shared" si="167"/>
        <v>5.3509260380724379</v>
      </c>
      <c r="X50" s="86">
        <f t="shared" si="168"/>
        <v>-0.13203685666440812</v>
      </c>
      <c r="Y50" s="86">
        <f t="shared" si="169"/>
        <v>-0.63092603807243819</v>
      </c>
      <c r="Z50" s="144">
        <f t="shared" si="170"/>
        <v>0.82694196850824697</v>
      </c>
      <c r="AA50" s="7">
        <f>SUM(L$2:L51)-SUM(AB$2:AB51)</f>
        <v>-7627.7580000000307</v>
      </c>
      <c r="AB50" s="145"/>
      <c r="AC50" s="13">
        <f t="shared" si="171"/>
        <v>-1227.885326483058</v>
      </c>
      <c r="AD50" s="13">
        <f t="shared" si="172"/>
        <v>-8827.8853264830577</v>
      </c>
    </row>
    <row r="51" spans="1:30" x14ac:dyDescent="0.25">
      <c r="A51" s="147">
        <v>44028</v>
      </c>
      <c r="B51" s="148"/>
      <c r="C51" s="151" t="s">
        <v>46</v>
      </c>
      <c r="D51" s="152">
        <v>400</v>
      </c>
      <c r="E51" s="137">
        <v>4.4800000000000004</v>
      </c>
      <c r="F51" s="152">
        <f t="shared" si="152"/>
        <v>8000</v>
      </c>
      <c r="G51" s="138">
        <f t="shared" si="153"/>
        <v>5.433469750000004</v>
      </c>
      <c r="H51" s="137">
        <f t="shared" si="154"/>
        <v>43467.758000000031</v>
      </c>
      <c r="I51" s="137">
        <f t="shared" si="155"/>
        <v>-7627.7580000000307</v>
      </c>
      <c r="J51" s="142">
        <f t="shared" si="156"/>
        <v>-0.1754808242007794</v>
      </c>
      <c r="K51" s="84">
        <f t="shared" si="157"/>
        <v>35840</v>
      </c>
      <c r="L51" s="84">
        <f t="shared" si="158"/>
        <v>-1829.239999999998</v>
      </c>
      <c r="M51" s="84">
        <f t="shared" si="159"/>
        <v>5.24</v>
      </c>
      <c r="N51" s="84">
        <f t="shared" si="160"/>
        <v>0</v>
      </c>
      <c r="O51" s="84"/>
      <c r="P51" s="86">
        <f t="shared" si="161"/>
        <v>-0.95346975000000356</v>
      </c>
      <c r="Q51" s="84">
        <f t="shared" si="162"/>
        <v>-1797.239999999998</v>
      </c>
      <c r="R51" s="143"/>
      <c r="S51" s="143">
        <f t="shared" si="163"/>
        <v>5709.8619999999592</v>
      </c>
      <c r="T51" s="143">
        <f t="shared" si="164"/>
        <v>1274.5227678571337</v>
      </c>
      <c r="U51" s="143">
        <f t="shared" si="165"/>
        <v>9274.5227678571337</v>
      </c>
      <c r="V51" s="84">
        <f t="shared" si="166"/>
        <v>49177.619999999988</v>
      </c>
      <c r="W51" s="86">
        <f t="shared" si="167"/>
        <v>5.3024421019737726</v>
      </c>
      <c r="X51" s="86">
        <f t="shared" si="168"/>
        <v>-0.13102764802623135</v>
      </c>
      <c r="Y51" s="86">
        <f t="shared" si="169"/>
        <v>-0.82244210197377221</v>
      </c>
      <c r="Z51" s="144">
        <f t="shared" si="170"/>
        <v>0.86257807546990251</v>
      </c>
      <c r="AA51" s="7">
        <f>SUM(L$2:L52)-SUM(AB$2:AB52)</f>
        <v>-8192.9980000000287</v>
      </c>
      <c r="AB51" s="145"/>
      <c r="AC51" s="13">
        <f t="shared" si="171"/>
        <v>-1701.7732412946496</v>
      </c>
      <c r="AD51" s="13">
        <f t="shared" si="172"/>
        <v>-9701.7732412946498</v>
      </c>
    </row>
    <row r="52" spans="1:30" x14ac:dyDescent="0.25">
      <c r="A52" s="147">
        <v>44029</v>
      </c>
      <c r="B52" s="148"/>
      <c r="C52" s="151" t="s">
        <v>46</v>
      </c>
      <c r="D52" s="152">
        <v>400</v>
      </c>
      <c r="E52" s="137">
        <v>4.41</v>
      </c>
      <c r="F52" s="85">
        <f t="shared" si="152"/>
        <v>8400</v>
      </c>
      <c r="G52" s="86">
        <f t="shared" si="153"/>
        <v>5.3853569047619079</v>
      </c>
      <c r="H52" s="84">
        <f t="shared" si="154"/>
        <v>45236.998000000029</v>
      </c>
      <c r="I52" s="84">
        <f t="shared" si="155"/>
        <v>-8192.9980000000287</v>
      </c>
      <c r="J52" s="142">
        <f t="shared" si="156"/>
        <v>-0.18111276968467316</v>
      </c>
      <c r="K52" s="84">
        <f t="shared" si="157"/>
        <v>37044</v>
      </c>
      <c r="L52" s="84">
        <f t="shared" si="158"/>
        <v>-565.23999999999796</v>
      </c>
      <c r="M52" s="84">
        <f t="shared" si="159"/>
        <v>5.24</v>
      </c>
      <c r="N52" s="84">
        <f t="shared" si="160"/>
        <v>0</v>
      </c>
      <c r="O52" s="84"/>
      <c r="P52" s="86">
        <f t="shared" si="161"/>
        <v>-0.97535690476190773</v>
      </c>
      <c r="Q52" s="84">
        <f t="shared" si="162"/>
        <v>-1769.239999999998</v>
      </c>
      <c r="R52" s="143"/>
      <c r="S52" s="143">
        <f t="shared" si="163"/>
        <v>3940.6219999999612</v>
      </c>
      <c r="T52" s="143">
        <f t="shared" si="164"/>
        <v>893.56507936507057</v>
      </c>
      <c r="U52" s="143">
        <f t="shared" si="165"/>
        <v>9293.5650793650711</v>
      </c>
      <c r="V52" s="84">
        <f t="shared" si="166"/>
        <v>49177.619999999988</v>
      </c>
      <c r="W52" s="86">
        <f t="shared" si="167"/>
        <v>5.2915775141222516</v>
      </c>
      <c r="X52" s="86">
        <f t="shared" si="168"/>
        <v>-9.3779390639656235E-2</v>
      </c>
      <c r="Y52" s="86">
        <f t="shared" si="169"/>
        <v>-0.88157751412225149</v>
      </c>
      <c r="Z52" s="144">
        <f t="shared" si="170"/>
        <v>0.90385120545945341</v>
      </c>
      <c r="AA52" s="7">
        <f>SUM(L$2:L53)-SUM(AB$2:AB53)</f>
        <v>-7612.0300000000279</v>
      </c>
      <c r="AB52" s="145"/>
      <c r="AC52" s="13">
        <f t="shared" si="171"/>
        <v>-1856.8937643990996</v>
      </c>
      <c r="AD52" s="13">
        <f t="shared" si="172"/>
        <v>-10256.893764399099</v>
      </c>
    </row>
    <row r="53" spans="1:30" x14ac:dyDescent="0.25">
      <c r="A53" s="147">
        <v>44032</v>
      </c>
      <c r="B53" s="148" t="s">
        <v>315</v>
      </c>
      <c r="C53" s="151" t="s">
        <v>200</v>
      </c>
      <c r="D53" s="152">
        <v>400</v>
      </c>
      <c r="E53" s="137">
        <v>4.4800000000000004</v>
      </c>
      <c r="F53" s="85">
        <f t="shared" ref="F53:F56" si="174">IF(C53="买",F52+D53,F52-D53)</f>
        <v>8000</v>
      </c>
      <c r="G53" s="86">
        <f t="shared" ref="G53:G56" si="175">H53/F53</f>
        <v>5.4315037500000036</v>
      </c>
      <c r="H53" s="84">
        <f t="shared" ref="H53:H56" si="176">IF(C53="买",H52+D53*E53+M53+N53,H52+-1*D53*E53+M53+N53)+O53</f>
        <v>43452.030000000028</v>
      </c>
      <c r="I53" s="84">
        <f t="shared" ref="I53:I56" si="177">-H53+K53</f>
        <v>-7612.0300000000279</v>
      </c>
      <c r="J53" s="142">
        <f t="shared" ref="J53:J56" si="178">(E53-G53)/G53</f>
        <v>-0.17518237928124464</v>
      </c>
      <c r="K53" s="84">
        <f t="shared" ref="K53:K56" si="179">F53*E53</f>
        <v>35840</v>
      </c>
      <c r="L53" s="84">
        <f t="shared" ref="L53:L56" si="180">I53-I52</f>
        <v>580.96800000000076</v>
      </c>
      <c r="M53" s="84">
        <f t="shared" ref="M53:M56" si="181">IF(D53*E53*5/10000&gt;5,D53*E53*5/10000,5)+(D53/1000)*0.6</f>
        <v>5.24</v>
      </c>
      <c r="N53" s="84">
        <f t="shared" ref="N53:N56" si="182">IF(C53="卖",D53*E53/1000,0)</f>
        <v>1.7920000000000003</v>
      </c>
      <c r="O53" s="84"/>
      <c r="P53" s="86">
        <f t="shared" ref="P53:P56" si="183">E53-G53</f>
        <v>-0.9515037500000032</v>
      </c>
      <c r="Q53" s="84">
        <f t="shared" ref="Q53:Q56" si="184">(H53-H52)*-1</f>
        <v>1784.9680000000008</v>
      </c>
      <c r="R53" s="143"/>
      <c r="S53" s="143">
        <f t="shared" ref="S53:S56" si="185">S52+Q53+O53+R53</f>
        <v>5725.5899999999619</v>
      </c>
      <c r="T53" s="143">
        <f t="shared" ref="T53:T56" si="186">S53/E53</f>
        <v>1278.0334821428485</v>
      </c>
      <c r="U53" s="143">
        <f t="shared" ref="U53:U56" si="187">F53+T53</f>
        <v>9278.0334821428478</v>
      </c>
      <c r="V53" s="84">
        <f t="shared" ref="V53:V56" si="188">H53+S53</f>
        <v>49177.619999999988</v>
      </c>
      <c r="W53" s="86">
        <f t="shared" ref="W53:W56" si="189">V53/U53</f>
        <v>5.3004357113660641</v>
      </c>
      <c r="X53" s="86">
        <f t="shared" ref="X53:X56" si="190">W53-G53</f>
        <v>-0.13106803863393957</v>
      </c>
      <c r="Y53" s="86">
        <f t="shared" ref="Y53:Y56" si="191">(X53-P53)*-1</f>
        <v>-0.82043571136606364</v>
      </c>
      <c r="Z53" s="144">
        <f t="shared" ref="Z53:Z56" si="192">F53/U53</f>
        <v>0.86225168462663559</v>
      </c>
      <c r="AA53" s="7">
        <f>SUM(L$2:L54)-SUM(AB$2:AB54)</f>
        <v>-7139.0860000000248</v>
      </c>
      <c r="AB53" s="145"/>
      <c r="AC53" s="13">
        <f t="shared" ref="AC53:AC56" si="193">I53/E53*(1-0.0005)</f>
        <v>-1698.2642823660776</v>
      </c>
      <c r="AD53" s="13">
        <f t="shared" ref="AD53:AD56" si="194">AC53-F53</f>
        <v>-9698.2642823660772</v>
      </c>
    </row>
    <row r="54" spans="1:30" x14ac:dyDescent="0.25">
      <c r="A54" s="147">
        <v>44034</v>
      </c>
      <c r="B54" s="148" t="s">
        <v>316</v>
      </c>
      <c r="C54" s="151" t="s">
        <v>200</v>
      </c>
      <c r="D54" s="152">
        <v>400</v>
      </c>
      <c r="E54" s="137">
        <v>4.54</v>
      </c>
      <c r="F54" s="85">
        <f t="shared" si="174"/>
        <v>7600</v>
      </c>
      <c r="G54" s="86">
        <f t="shared" si="175"/>
        <v>5.4793534210526351</v>
      </c>
      <c r="H54" s="84">
        <f t="shared" si="176"/>
        <v>41643.086000000025</v>
      </c>
      <c r="I54" s="84">
        <f t="shared" si="177"/>
        <v>-7139.0860000000248</v>
      </c>
      <c r="J54" s="142">
        <f t="shared" si="178"/>
        <v>-0.17143508528642717</v>
      </c>
      <c r="K54" s="84">
        <f t="shared" si="179"/>
        <v>34504</v>
      </c>
      <c r="L54" s="84">
        <f t="shared" si="180"/>
        <v>472.94400000000314</v>
      </c>
      <c r="M54" s="84">
        <f t="shared" si="181"/>
        <v>5.24</v>
      </c>
      <c r="N54" s="84">
        <f t="shared" si="182"/>
        <v>1.8160000000000001</v>
      </c>
      <c r="O54" s="84"/>
      <c r="P54" s="86">
        <f t="shared" si="183"/>
        <v>-0.93935342105263508</v>
      </c>
      <c r="Q54" s="84">
        <f t="shared" si="184"/>
        <v>1808.9440000000031</v>
      </c>
      <c r="R54" s="143"/>
      <c r="S54" s="143">
        <f t="shared" si="185"/>
        <v>7534.5339999999651</v>
      </c>
      <c r="T54" s="143">
        <f t="shared" si="186"/>
        <v>1659.5889867841333</v>
      </c>
      <c r="U54" s="143">
        <f t="shared" si="187"/>
        <v>9259.5889867841324</v>
      </c>
      <c r="V54" s="84">
        <f t="shared" si="188"/>
        <v>49177.619999999988</v>
      </c>
      <c r="W54" s="86">
        <f t="shared" si="189"/>
        <v>5.3109938324680908</v>
      </c>
      <c r="X54" s="86">
        <f t="shared" si="190"/>
        <v>-0.16835958858454436</v>
      </c>
      <c r="Y54" s="86">
        <f t="shared" si="191"/>
        <v>-0.77099383246809072</v>
      </c>
      <c r="Z54" s="144">
        <f t="shared" si="192"/>
        <v>0.82077077188276903</v>
      </c>
      <c r="AA54" s="7">
        <f>SUM(L$2:L55)-SUM(AB$2:AB55)</f>
        <v>-6690.1660000000193</v>
      </c>
      <c r="AB54" s="145"/>
      <c r="AC54" s="13">
        <f t="shared" si="193"/>
        <v>-1571.6996601321641</v>
      </c>
      <c r="AD54" s="13">
        <f t="shared" si="194"/>
        <v>-9171.6996601321644</v>
      </c>
    </row>
    <row r="55" spans="1:30" x14ac:dyDescent="0.25">
      <c r="A55" s="147">
        <v>44034</v>
      </c>
      <c r="B55" s="148" t="s">
        <v>317</v>
      </c>
      <c r="C55" s="151" t="s">
        <v>200</v>
      </c>
      <c r="D55" s="152">
        <v>400</v>
      </c>
      <c r="E55" s="137">
        <v>4.5999999999999996</v>
      </c>
      <c r="F55" s="85">
        <f t="shared" si="174"/>
        <v>7200</v>
      </c>
      <c r="G55" s="86">
        <f t="shared" si="175"/>
        <v>5.5291897222222248</v>
      </c>
      <c r="H55" s="84">
        <f t="shared" si="176"/>
        <v>39810.166000000019</v>
      </c>
      <c r="I55" s="84">
        <f t="shared" si="177"/>
        <v>-6690.1660000000193</v>
      </c>
      <c r="J55" s="142">
        <f t="shared" si="178"/>
        <v>-0.16805169815167356</v>
      </c>
      <c r="K55" s="84">
        <f t="shared" si="179"/>
        <v>33120</v>
      </c>
      <c r="L55" s="84">
        <f t="shared" si="180"/>
        <v>448.92000000000553</v>
      </c>
      <c r="M55" s="84">
        <f t="shared" si="181"/>
        <v>5.24</v>
      </c>
      <c r="N55" s="84">
        <f t="shared" si="182"/>
        <v>1.8399999999999999</v>
      </c>
      <c r="O55" s="84"/>
      <c r="P55" s="86">
        <f t="shared" si="183"/>
        <v>-0.92918972222222518</v>
      </c>
      <c r="Q55" s="84">
        <f t="shared" si="184"/>
        <v>1832.9200000000055</v>
      </c>
      <c r="R55" s="143"/>
      <c r="S55" s="143">
        <f t="shared" si="185"/>
        <v>9367.4539999999706</v>
      </c>
      <c r="T55" s="143">
        <f t="shared" si="186"/>
        <v>2036.4030434782546</v>
      </c>
      <c r="U55" s="143">
        <f t="shared" si="187"/>
        <v>9236.4030434782544</v>
      </c>
      <c r="V55" s="84">
        <f t="shared" si="188"/>
        <v>49177.619999999988</v>
      </c>
      <c r="W55" s="86">
        <f t="shared" si="189"/>
        <v>5.324325905713251</v>
      </c>
      <c r="X55" s="86">
        <f t="shared" si="190"/>
        <v>-0.20486381650897378</v>
      </c>
      <c r="Y55" s="86">
        <f t="shared" si="191"/>
        <v>-0.72432590571325139</v>
      </c>
      <c r="Z55" s="144">
        <f t="shared" si="192"/>
        <v>0.77952423320070019</v>
      </c>
      <c r="AA55" s="7">
        <f>SUM(L$2:L56)-SUM(AB$2:AB56)</f>
        <v>-6337.2660000000142</v>
      </c>
      <c r="AB55" s="145"/>
      <c r="AC55" s="13">
        <f t="shared" si="193"/>
        <v>-1453.6567210869609</v>
      </c>
      <c r="AD55" s="13">
        <f t="shared" si="194"/>
        <v>-8653.6567210869616</v>
      </c>
    </row>
    <row r="56" spans="1:30" x14ac:dyDescent="0.25">
      <c r="A56" s="147">
        <v>44036</v>
      </c>
      <c r="B56" s="148" t="s">
        <v>319</v>
      </c>
      <c r="C56" s="151" t="s">
        <v>200</v>
      </c>
      <c r="D56" s="152">
        <v>400</v>
      </c>
      <c r="E56" s="137">
        <v>4.6500000000000004</v>
      </c>
      <c r="F56" s="85">
        <f t="shared" si="174"/>
        <v>6800</v>
      </c>
      <c r="G56" s="86">
        <f t="shared" si="175"/>
        <v>5.5819508823529436</v>
      </c>
      <c r="H56" s="84">
        <f t="shared" si="176"/>
        <v>37957.266000000018</v>
      </c>
      <c r="I56" s="84">
        <f t="shared" si="177"/>
        <v>-6337.2660000000142</v>
      </c>
      <c r="J56" s="142">
        <f t="shared" si="178"/>
        <v>-0.16695791525132531</v>
      </c>
      <c r="K56" s="84">
        <f t="shared" si="179"/>
        <v>31620.000000000004</v>
      </c>
      <c r="L56" s="84">
        <f t="shared" si="180"/>
        <v>352.90000000000509</v>
      </c>
      <c r="M56" s="84">
        <f t="shared" si="181"/>
        <v>5.24</v>
      </c>
      <c r="N56" s="84">
        <f t="shared" si="182"/>
        <v>1.8600000000000003</v>
      </c>
      <c r="O56" s="84"/>
      <c r="P56" s="86">
        <f t="shared" si="183"/>
        <v>-0.93195088235294321</v>
      </c>
      <c r="Q56" s="84">
        <f t="shared" si="184"/>
        <v>1852.9000000000015</v>
      </c>
      <c r="R56" s="143"/>
      <c r="S56" s="143">
        <f t="shared" si="185"/>
        <v>11220.353999999972</v>
      </c>
      <c r="T56" s="143">
        <f t="shared" si="186"/>
        <v>2412.9793548387033</v>
      </c>
      <c r="U56" s="143">
        <f t="shared" si="187"/>
        <v>9212.9793548387024</v>
      </c>
      <c r="V56" s="84">
        <f t="shared" si="188"/>
        <v>49177.619999999988</v>
      </c>
      <c r="W56" s="86">
        <f t="shared" si="189"/>
        <v>5.3378628243828263</v>
      </c>
      <c r="X56" s="86">
        <f t="shared" si="190"/>
        <v>-0.24408805797011723</v>
      </c>
      <c r="Y56" s="86">
        <f t="shared" si="191"/>
        <v>-0.68786282438282598</v>
      </c>
      <c r="Z56" s="144">
        <f t="shared" si="192"/>
        <v>0.73808913903932782</v>
      </c>
      <c r="AA56" s="7">
        <f>SUM(L$2:L57)-SUM(AB$2:AB57)</f>
        <v>-7634.5060000000158</v>
      </c>
      <c r="AB56" s="145"/>
      <c r="AC56" s="13">
        <f t="shared" si="193"/>
        <v>-1362.1714767741964</v>
      </c>
      <c r="AD56" s="13">
        <f t="shared" si="194"/>
        <v>-8162.171476774196</v>
      </c>
    </row>
    <row r="57" spans="1:30" s="1" customFormat="1" x14ac:dyDescent="0.25">
      <c r="A57" s="147">
        <v>44039</v>
      </c>
      <c r="B57" s="148"/>
      <c r="C57" s="151" t="s">
        <v>318</v>
      </c>
      <c r="D57" s="152">
        <v>400</v>
      </c>
      <c r="E57" s="137">
        <v>4.46</v>
      </c>
      <c r="F57" s="85">
        <f t="shared" ref="F57:F58" si="195">IF(C57="买",F56+D57,F56-D57)</f>
        <v>7200</v>
      </c>
      <c r="G57" s="86">
        <f t="shared" ref="G57:G58" si="196">H57/F57</f>
        <v>5.5203480555555577</v>
      </c>
      <c r="H57" s="84">
        <f t="shared" ref="H57:H58" si="197">IF(C57="买",H56+D57*E57+M57+N57,H56+-1*D57*E57+M57+N57)+O57</f>
        <v>39746.506000000016</v>
      </c>
      <c r="I57" s="137">
        <f t="shared" ref="I57:I63" si="198">-H57+K57</f>
        <v>-7634.5060000000158</v>
      </c>
      <c r="J57" s="142">
        <f t="shared" ref="J57:J59" si="199">(E57-G57)/G57</f>
        <v>-0.19207992773000004</v>
      </c>
      <c r="K57" s="84">
        <f t="shared" ref="K57:K59" si="200">F57*E57</f>
        <v>32112</v>
      </c>
      <c r="L57" s="84">
        <f t="shared" ref="L57:L59" si="201">I57-I56</f>
        <v>-1297.2400000000016</v>
      </c>
      <c r="M57" s="84">
        <f t="shared" ref="M57:M59" si="202">IF(D57*E57*5/10000&gt;5,D57*E57*5/10000,5)+(D57/1000)*0.6</f>
        <v>5.24</v>
      </c>
      <c r="N57" s="84">
        <f t="shared" ref="N57:N59" si="203">IF(C57="卖",D57*E57/1000,0)</f>
        <v>0</v>
      </c>
      <c r="O57" s="84"/>
      <c r="P57" s="86">
        <f t="shared" ref="P57:P59" si="204">E57-G57</f>
        <v>-1.0603480555555578</v>
      </c>
      <c r="Q57" s="84">
        <f t="shared" ref="Q57:Q59" si="205">(H57-H56)*-1</f>
        <v>-1789.239999999998</v>
      </c>
      <c r="R57" s="143"/>
      <c r="S57" s="143">
        <f t="shared" ref="S57:S59" si="206">S56+Q57+O57+R57</f>
        <v>9431.1139999999741</v>
      </c>
      <c r="T57" s="143">
        <f t="shared" ref="T57:T59" si="207">S57/E57</f>
        <v>2114.5995515695008</v>
      </c>
      <c r="U57" s="143">
        <f t="shared" ref="U57:U59" si="208">F57+T57</f>
        <v>9314.5995515695013</v>
      </c>
      <c r="V57" s="84">
        <f t="shared" ref="V57:V59" si="209">H57+S57</f>
        <v>49177.619999999988</v>
      </c>
      <c r="W57" s="86">
        <f t="shared" ref="W57:W59" si="210">V57/U57</f>
        <v>5.279627935450387</v>
      </c>
      <c r="X57" s="86">
        <f t="shared" ref="X57:X59" si="211">W57-G57</f>
        <v>-0.24072012010517074</v>
      </c>
      <c r="Y57" s="86">
        <f t="shared" ref="Y57:Y59" si="212">(X57-P57)*-1</f>
        <v>-0.81962793545038704</v>
      </c>
      <c r="Z57" s="144">
        <f t="shared" ref="Z57:Z59" si="213">F57/U57</f>
        <v>0.77298009003369417</v>
      </c>
      <c r="AA57" s="7">
        <f>SUM(L$2:L58)-SUM(AB$2:AB58)</f>
        <v>-7640.1060000000143</v>
      </c>
      <c r="AB57" s="145"/>
      <c r="AC57" s="13">
        <f t="shared" ref="AC57:AC59" si="214">I57/E57*(1-0.0005)</f>
        <v>-1710.9167594170442</v>
      </c>
      <c r="AD57" s="13">
        <f t="shared" ref="AD57:AD59" si="215">AC57-F57</f>
        <v>-8910.9167594170449</v>
      </c>
    </row>
    <row r="58" spans="1:30" s="1" customFormat="1" x14ac:dyDescent="0.25">
      <c r="A58" s="147">
        <v>44041</v>
      </c>
      <c r="B58" s="126"/>
      <c r="C58" s="151" t="s">
        <v>322</v>
      </c>
      <c r="D58" s="152">
        <v>1000</v>
      </c>
      <c r="E58" s="137">
        <v>4.46</v>
      </c>
      <c r="F58" s="85">
        <f t="shared" si="195"/>
        <v>8200</v>
      </c>
      <c r="G58" s="86">
        <f t="shared" si="196"/>
        <v>5.3917202439024408</v>
      </c>
      <c r="H58" s="84">
        <f t="shared" si="197"/>
        <v>44212.106000000014</v>
      </c>
      <c r="I58" s="137">
        <f t="shared" si="198"/>
        <v>-7640.1060000000143</v>
      </c>
      <c r="J58" s="142">
        <f t="shared" si="199"/>
        <v>-0.17280574691465753</v>
      </c>
      <c r="K58" s="84">
        <f t="shared" si="200"/>
        <v>36572</v>
      </c>
      <c r="L58" s="84">
        <f t="shared" si="201"/>
        <v>-5.5999999999985448</v>
      </c>
      <c r="M58" s="84">
        <f t="shared" si="202"/>
        <v>5.6</v>
      </c>
      <c r="N58" s="84">
        <f t="shared" si="203"/>
        <v>0</v>
      </c>
      <c r="O58" s="84"/>
      <c r="P58" s="86">
        <f t="shared" si="204"/>
        <v>-0.93172024390244079</v>
      </c>
      <c r="Q58" s="84">
        <f t="shared" si="205"/>
        <v>-4465.5999999999985</v>
      </c>
      <c r="R58" s="143"/>
      <c r="S58" s="143">
        <f t="shared" si="206"/>
        <v>4965.5139999999756</v>
      </c>
      <c r="T58" s="143">
        <f t="shared" si="207"/>
        <v>1113.3439461883354</v>
      </c>
      <c r="U58" s="143">
        <f t="shared" si="208"/>
        <v>9313.3439461883354</v>
      </c>
      <c r="V58" s="84">
        <f t="shared" si="209"/>
        <v>49177.619999999988</v>
      </c>
      <c r="W58" s="86">
        <f t="shared" si="210"/>
        <v>5.2803397237494778</v>
      </c>
      <c r="X58" s="86">
        <f t="shared" si="211"/>
        <v>-0.11138052015296296</v>
      </c>
      <c r="Y58" s="86">
        <f t="shared" si="212"/>
        <v>-0.82033972374947783</v>
      </c>
      <c r="Z58" s="144">
        <f t="shared" si="213"/>
        <v>0.88045712124225872</v>
      </c>
      <c r="AA58" s="7">
        <f>SUM(L$2:L59)-SUM(AB$2:AB59)</f>
        <v>-6991.1620000000112</v>
      </c>
      <c r="AB58" s="145"/>
      <c r="AC58" s="13">
        <f t="shared" si="214"/>
        <v>-1712.171736995519</v>
      </c>
      <c r="AD58" s="13">
        <f t="shared" si="215"/>
        <v>-9912.1717369955186</v>
      </c>
    </row>
    <row r="59" spans="1:30" s="1" customFormat="1" x14ac:dyDescent="0.25">
      <c r="A59" s="147">
        <v>44049</v>
      </c>
      <c r="B59" s="148" t="s">
        <v>325</v>
      </c>
      <c r="C59" s="151" t="s">
        <v>161</v>
      </c>
      <c r="D59" s="152">
        <v>400</v>
      </c>
      <c r="E59" s="137">
        <v>4.54</v>
      </c>
      <c r="F59" s="85">
        <f t="shared" ref="F59:F63" si="216">IF(C59="买",F58+D59,F58-D59)</f>
        <v>7800</v>
      </c>
      <c r="G59" s="86">
        <f t="shared" ref="G59:G63" si="217">H59/F59</f>
        <v>5.4363028205128217</v>
      </c>
      <c r="H59" s="84">
        <f t="shared" ref="H59:H63" si="218">IF(C59="买",H58+D59*E59+M59+N59,H58+-1*D59*E59+M59+N59)+O59</f>
        <v>42403.162000000011</v>
      </c>
      <c r="I59" s="137">
        <f t="shared" si="198"/>
        <v>-6991.1620000000112</v>
      </c>
      <c r="J59" s="142">
        <f t="shared" si="199"/>
        <v>-0.1648736006998725</v>
      </c>
      <c r="K59" s="84">
        <f t="shared" si="200"/>
        <v>35412</v>
      </c>
      <c r="L59" s="84">
        <f t="shared" si="201"/>
        <v>648.94400000000314</v>
      </c>
      <c r="M59" s="84">
        <f t="shared" si="202"/>
        <v>5.24</v>
      </c>
      <c r="N59" s="84">
        <f t="shared" si="203"/>
        <v>1.8160000000000001</v>
      </c>
      <c r="O59" s="84"/>
      <c r="P59" s="86">
        <f t="shared" si="204"/>
        <v>-0.89630282051282162</v>
      </c>
      <c r="Q59" s="84">
        <f t="shared" si="205"/>
        <v>1808.9440000000031</v>
      </c>
      <c r="R59" s="154"/>
      <c r="S59" s="154">
        <f t="shared" si="206"/>
        <v>6774.4579999999787</v>
      </c>
      <c r="T59" s="154">
        <f t="shared" si="207"/>
        <v>1492.1713656387619</v>
      </c>
      <c r="U59" s="154">
        <f t="shared" si="208"/>
        <v>9292.1713656387619</v>
      </c>
      <c r="V59" s="84">
        <f t="shared" si="209"/>
        <v>49177.619999999988</v>
      </c>
      <c r="W59" s="86">
        <f t="shared" si="210"/>
        <v>5.2923711869813781</v>
      </c>
      <c r="X59" s="86">
        <f t="shared" si="211"/>
        <v>-0.14393163353144356</v>
      </c>
      <c r="Y59" s="86">
        <f t="shared" si="212"/>
        <v>-0.75237118698137806</v>
      </c>
      <c r="Z59" s="155">
        <f t="shared" si="213"/>
        <v>0.83941628851609251</v>
      </c>
      <c r="AA59" s="7">
        <f>SUM(L$2:L60)-SUM(AB$2:AB60)</f>
        <v>-7776.4020000000091</v>
      </c>
      <c r="AB59" s="156"/>
      <c r="AC59" s="13">
        <f t="shared" si="214"/>
        <v>-1539.133572466963</v>
      </c>
      <c r="AD59" s="13">
        <f t="shared" si="215"/>
        <v>-9339.1335724669625</v>
      </c>
    </row>
    <row r="60" spans="1:30" s="1" customFormat="1" x14ac:dyDescent="0.25">
      <c r="A60" s="147">
        <v>44053</v>
      </c>
      <c r="B60" s="126"/>
      <c r="C60" s="151" t="s">
        <v>46</v>
      </c>
      <c r="D60" s="152">
        <v>400</v>
      </c>
      <c r="E60" s="137">
        <v>4.4400000000000004</v>
      </c>
      <c r="F60" s="85">
        <f t="shared" si="216"/>
        <v>8200</v>
      </c>
      <c r="G60" s="86">
        <f t="shared" si="217"/>
        <v>5.3883417073170738</v>
      </c>
      <c r="H60" s="84">
        <f t="shared" si="218"/>
        <v>44184.402000000009</v>
      </c>
      <c r="I60" s="137">
        <f t="shared" si="198"/>
        <v>-7776.4020000000091</v>
      </c>
      <c r="J60" s="142">
        <f t="shared" ref="J60:J63" si="219">(E60-G60)/G60</f>
        <v>-0.17599880609451274</v>
      </c>
      <c r="K60" s="84">
        <f t="shared" ref="K60:K63" si="220">F60*E60</f>
        <v>36408</v>
      </c>
      <c r="L60" s="84">
        <f t="shared" ref="L60:L63" si="221">I60-I59</f>
        <v>-785.23999999999796</v>
      </c>
      <c r="M60" s="84">
        <f t="shared" ref="M60:M63" si="222">IF(D60*E60*5/10000&gt;5,D60*E60*5/10000,5)+(D60/1000)*0.6</f>
        <v>5.24</v>
      </c>
      <c r="N60" s="84">
        <f t="shared" ref="N60:N63" si="223">IF(C60="卖",D60*E60/1000,0)</f>
        <v>0</v>
      </c>
      <c r="O60" s="84"/>
      <c r="P60" s="86">
        <f t="shared" ref="P60:P63" si="224">E60-G60</f>
        <v>-0.94834170731707346</v>
      </c>
      <c r="Q60" s="84">
        <f t="shared" ref="Q60:Q63" si="225">(H60-H59)*-1</f>
        <v>-1781.239999999998</v>
      </c>
      <c r="R60" s="154"/>
      <c r="S60" s="154">
        <f t="shared" ref="S60:S63" si="226">S59+Q60+O60+R60</f>
        <v>4993.2179999999807</v>
      </c>
      <c r="T60" s="154">
        <f t="shared" ref="T60:T63" si="227">S60/E60</f>
        <v>1124.5986486486443</v>
      </c>
      <c r="U60" s="154">
        <f t="shared" ref="U60:U63" si="228">F60+T60</f>
        <v>9324.5986486486436</v>
      </c>
      <c r="V60" s="84">
        <f t="shared" ref="V60:V63" si="229">H60+S60</f>
        <v>49177.619999999988</v>
      </c>
      <c r="W60" s="86">
        <f t="shared" ref="W60:W63" si="230">V60/U60</f>
        <v>5.2739664035971128</v>
      </c>
      <c r="X60" s="86">
        <f t="shared" ref="X60:X63" si="231">W60-G60</f>
        <v>-0.11437530371996107</v>
      </c>
      <c r="Y60" s="86">
        <f t="shared" ref="Y60:Y63" si="232">(X60-P60)*-1</f>
        <v>-0.83396640359711238</v>
      </c>
      <c r="Z60" s="155">
        <f t="shared" ref="Z60:Z63" si="233">F60/U60</f>
        <v>0.87939441781640382</v>
      </c>
      <c r="AA60" s="7">
        <f>SUM(L$2:L61)-SUM(AB$2:AB61)</f>
        <v>-6963.458000000006</v>
      </c>
      <c r="AB60" s="156"/>
      <c r="AC60" s="13">
        <f t="shared" ref="AC60:AC63" si="234">I60/E60*(1-0.0005)</f>
        <v>-1750.566170945948</v>
      </c>
      <c r="AD60" s="13">
        <f t="shared" ref="AD60:AD63" si="235">AC60-F60</f>
        <v>-9950.5661709459473</v>
      </c>
    </row>
    <row r="61" spans="1:30" s="1" customFormat="1" x14ac:dyDescent="0.25">
      <c r="A61" s="147">
        <v>44060</v>
      </c>
      <c r="B61" s="148" t="s">
        <v>326</v>
      </c>
      <c r="C61" s="151" t="s">
        <v>161</v>
      </c>
      <c r="D61" s="152">
        <v>400</v>
      </c>
      <c r="E61" s="137">
        <v>4.54</v>
      </c>
      <c r="F61" s="85">
        <f t="shared" si="216"/>
        <v>7800</v>
      </c>
      <c r="G61" s="86">
        <f t="shared" si="217"/>
        <v>5.4327510256410267</v>
      </c>
      <c r="H61" s="84">
        <f t="shared" si="218"/>
        <v>42375.458000000006</v>
      </c>
      <c r="I61" s="137">
        <f t="shared" si="198"/>
        <v>-6963.458000000006</v>
      </c>
      <c r="J61" s="142">
        <f t="shared" si="219"/>
        <v>-0.16432761623485007</v>
      </c>
      <c r="K61" s="84">
        <f t="shared" si="220"/>
        <v>35412</v>
      </c>
      <c r="L61" s="84">
        <f t="shared" si="221"/>
        <v>812.94400000000314</v>
      </c>
      <c r="M61" s="84">
        <f t="shared" si="222"/>
        <v>5.24</v>
      </c>
      <c r="N61" s="84">
        <f t="shared" si="223"/>
        <v>1.8160000000000001</v>
      </c>
      <c r="O61" s="84"/>
      <c r="P61" s="86">
        <f t="shared" si="224"/>
        <v>-0.89275102564102671</v>
      </c>
      <c r="Q61" s="84">
        <f t="shared" si="225"/>
        <v>1808.9440000000031</v>
      </c>
      <c r="R61" s="154"/>
      <c r="S61" s="154">
        <f t="shared" si="226"/>
        <v>6802.1619999999839</v>
      </c>
      <c r="T61" s="154">
        <f t="shared" si="227"/>
        <v>1498.2735682819348</v>
      </c>
      <c r="U61" s="154">
        <f t="shared" si="228"/>
        <v>9298.2735682819348</v>
      </c>
      <c r="V61" s="84">
        <f t="shared" si="229"/>
        <v>49177.619999999988</v>
      </c>
      <c r="W61" s="86">
        <f t="shared" si="230"/>
        <v>5.2888979485131085</v>
      </c>
      <c r="X61" s="86">
        <f t="shared" si="231"/>
        <v>-0.14385307712791828</v>
      </c>
      <c r="Y61" s="86">
        <f t="shared" si="232"/>
        <v>-0.74889794851310842</v>
      </c>
      <c r="Z61" s="155">
        <f t="shared" si="233"/>
        <v>0.83886540256324438</v>
      </c>
      <c r="AA61" s="7">
        <f>SUM(L$2:L62)-SUM(AB$2:AB62)</f>
        <v>-7592.698000000004</v>
      </c>
      <c r="AB61" s="156"/>
      <c r="AC61" s="13">
        <f t="shared" si="234"/>
        <v>-1533.0344209251116</v>
      </c>
      <c r="AD61" s="13">
        <f t="shared" si="235"/>
        <v>-9333.0344209251125</v>
      </c>
    </row>
    <row r="62" spans="1:30" s="1" customFormat="1" x14ac:dyDescent="0.25">
      <c r="A62" s="147">
        <v>44067</v>
      </c>
      <c r="B62" s="126"/>
      <c r="C62" s="151" t="s">
        <v>46</v>
      </c>
      <c r="D62" s="152">
        <v>400</v>
      </c>
      <c r="E62" s="137">
        <v>4.46</v>
      </c>
      <c r="F62" s="85">
        <f t="shared" si="216"/>
        <v>8200</v>
      </c>
      <c r="G62" s="86">
        <f t="shared" si="217"/>
        <v>5.3859387804878054</v>
      </c>
      <c r="H62" s="84">
        <f t="shared" si="218"/>
        <v>44164.698000000004</v>
      </c>
      <c r="I62" s="137">
        <f t="shared" si="198"/>
        <v>-7592.698000000004</v>
      </c>
      <c r="J62" s="142">
        <f t="shared" si="219"/>
        <v>-0.17191780638916637</v>
      </c>
      <c r="K62" s="84">
        <f t="shared" si="220"/>
        <v>36572</v>
      </c>
      <c r="L62" s="84">
        <f t="shared" si="221"/>
        <v>-629.23999999999796</v>
      </c>
      <c r="M62" s="84">
        <f t="shared" si="222"/>
        <v>5.24</v>
      </c>
      <c r="N62" s="84">
        <f t="shared" si="223"/>
        <v>0</v>
      </c>
      <c r="O62" s="84"/>
      <c r="P62" s="86">
        <f t="shared" si="224"/>
        <v>-0.92593878048780542</v>
      </c>
      <c r="Q62" s="84">
        <f t="shared" si="225"/>
        <v>-1789.239999999998</v>
      </c>
      <c r="R62" s="154"/>
      <c r="S62" s="154">
        <f t="shared" si="226"/>
        <v>5012.9219999999859</v>
      </c>
      <c r="T62" s="154">
        <f t="shared" si="227"/>
        <v>1123.9735426008938</v>
      </c>
      <c r="U62" s="154">
        <f t="shared" si="228"/>
        <v>9323.9735426008938</v>
      </c>
      <c r="V62" s="84">
        <f t="shared" si="229"/>
        <v>49177.619999999988</v>
      </c>
      <c r="W62" s="86">
        <f t="shared" si="230"/>
        <v>5.2743199854985905</v>
      </c>
      <c r="X62" s="86">
        <f t="shared" si="231"/>
        <v>-0.1116187949892149</v>
      </c>
      <c r="Y62" s="86">
        <f t="shared" si="232"/>
        <v>-0.81431998549859053</v>
      </c>
      <c r="Z62" s="155">
        <f t="shared" si="233"/>
        <v>0.87945337495162335</v>
      </c>
      <c r="AA62" s="7">
        <f>SUM(L$2:L63)-SUM(AB$2:AB63)</f>
        <v>-7843.9380000000019</v>
      </c>
      <c r="AB62" s="156"/>
      <c r="AC62" s="13">
        <f t="shared" si="234"/>
        <v>-1701.5474553811669</v>
      </c>
      <c r="AD62" s="13">
        <f t="shared" si="235"/>
        <v>-9901.5474553811673</v>
      </c>
    </row>
    <row r="63" spans="1:30" s="1" customFormat="1" x14ac:dyDescent="0.25">
      <c r="A63" s="147">
        <v>44070</v>
      </c>
      <c r="B63" s="126"/>
      <c r="C63" s="151" t="s">
        <v>159</v>
      </c>
      <c r="D63" s="152">
        <v>400</v>
      </c>
      <c r="E63" s="137">
        <v>4.43</v>
      </c>
      <c r="F63" s="85">
        <f t="shared" si="216"/>
        <v>8600</v>
      </c>
      <c r="G63" s="86">
        <f t="shared" si="217"/>
        <v>5.3420858139534886</v>
      </c>
      <c r="H63" s="84">
        <f t="shared" si="218"/>
        <v>45941.938000000002</v>
      </c>
      <c r="I63" s="137">
        <f t="shared" si="198"/>
        <v>-7843.9380000000019</v>
      </c>
      <c r="J63" s="142">
        <f t="shared" si="219"/>
        <v>-0.17073589712301654</v>
      </c>
      <c r="K63" s="84">
        <f t="shared" si="220"/>
        <v>38098</v>
      </c>
      <c r="L63" s="84">
        <f t="shared" si="221"/>
        <v>-251.23999999999796</v>
      </c>
      <c r="M63" s="84">
        <f t="shared" si="222"/>
        <v>5.24</v>
      </c>
      <c r="N63" s="84">
        <f t="shared" si="223"/>
        <v>0</v>
      </c>
      <c r="O63" s="84"/>
      <c r="P63" s="86">
        <f t="shared" si="224"/>
        <v>-0.91208581395348887</v>
      </c>
      <c r="Q63" s="84">
        <f t="shared" si="225"/>
        <v>-1777.239999999998</v>
      </c>
      <c r="R63" s="154"/>
      <c r="S63" s="154">
        <f t="shared" si="226"/>
        <v>3235.681999999988</v>
      </c>
      <c r="T63" s="154">
        <f t="shared" si="227"/>
        <v>730.40225733634043</v>
      </c>
      <c r="U63" s="154">
        <f t="shared" si="228"/>
        <v>9330.40225733634</v>
      </c>
      <c r="V63" s="84">
        <f t="shared" si="229"/>
        <v>49177.619999999988</v>
      </c>
      <c r="W63" s="86">
        <f t="shared" si="230"/>
        <v>5.2706859408266613</v>
      </c>
      <c r="X63" s="86">
        <f t="shared" si="231"/>
        <v>-7.1399873126827273E-2</v>
      </c>
      <c r="Y63" s="86">
        <f t="shared" si="232"/>
        <v>-0.84068594082666159</v>
      </c>
      <c r="Z63" s="155">
        <f t="shared" si="233"/>
        <v>0.92171803131402652</v>
      </c>
      <c r="AA63" s="7">
        <f>SUM(L$2:L64)-SUM(AB$2:AB64)</f>
        <v>-8537.1779999999999</v>
      </c>
      <c r="AB63" s="156"/>
      <c r="AC63" s="13">
        <f t="shared" si="234"/>
        <v>-1769.7553117381497</v>
      </c>
      <c r="AD63" s="13">
        <f t="shared" si="235"/>
        <v>-10369.75531173815</v>
      </c>
    </row>
    <row r="64" spans="1:30" s="1" customFormat="1" x14ac:dyDescent="0.25">
      <c r="A64" s="147">
        <v>44076</v>
      </c>
      <c r="B64" s="126"/>
      <c r="C64" s="151" t="s">
        <v>159</v>
      </c>
      <c r="D64" s="152">
        <v>400</v>
      </c>
      <c r="E64" s="137">
        <v>4.3499999999999996</v>
      </c>
      <c r="F64" s="85">
        <f t="shared" ref="F64:F67" si="236">IF(C64="买",F63+D64,F63-D64)</f>
        <v>9000</v>
      </c>
      <c r="G64" s="86">
        <f t="shared" ref="G64:G67" si="237">H64/F64</f>
        <v>5.298575333333333</v>
      </c>
      <c r="H64" s="84">
        <f t="shared" ref="H64:H67" si="238">IF(C64="买",H63+D64*E64+M64+N64,H63+-1*D64*E64+M64+N64)+O64</f>
        <v>47687.178</v>
      </c>
      <c r="I64" s="137">
        <f t="shared" ref="I64:I67" si="239">-H64+K64</f>
        <v>-8537.1779999999999</v>
      </c>
      <c r="J64" s="142">
        <f t="shared" ref="J64:J67" si="240">(E64-G64)/G64</f>
        <v>-0.1790246007008425</v>
      </c>
      <c r="K64" s="84">
        <f t="shared" ref="K64:K67" si="241">F64*E64</f>
        <v>39150</v>
      </c>
      <c r="L64" s="84">
        <f t="shared" ref="L64:L67" si="242">I64-I63</f>
        <v>-693.23999999999796</v>
      </c>
      <c r="M64" s="84">
        <f t="shared" ref="M64:M67" si="243">IF(D64*E64*5/10000&gt;5,D64*E64*5/10000,5)+(D64/1000)*0.6</f>
        <v>5.24</v>
      </c>
      <c r="N64" s="84">
        <f t="shared" ref="N64:N67" si="244">IF(C64="卖",D64*E64/1000,0)</f>
        <v>0</v>
      </c>
      <c r="O64" s="84"/>
      <c r="P64" s="86">
        <f t="shared" ref="P64:P67" si="245">E64-G64</f>
        <v>-0.94857533333333333</v>
      </c>
      <c r="Q64" s="84">
        <f t="shared" ref="Q64:Q67" si="246">(H64-H63)*-1</f>
        <v>-1745.239999999998</v>
      </c>
      <c r="R64" s="154"/>
      <c r="S64" s="154">
        <f t="shared" ref="S64:S67" si="247">S63+Q64+O64+R64</f>
        <v>1490.44199999999</v>
      </c>
      <c r="T64" s="154">
        <f t="shared" ref="T64:T67" si="248">S64/E64</f>
        <v>342.63034482758394</v>
      </c>
      <c r="U64" s="154">
        <f t="shared" ref="U64:U67" si="249">F64+T64</f>
        <v>9342.630344827583</v>
      </c>
      <c r="V64" s="84">
        <f t="shared" ref="V64:V67" si="250">H64+S64</f>
        <v>49177.619999999988</v>
      </c>
      <c r="W64" s="86">
        <f t="shared" ref="W64:W67" si="251">V64/U64</f>
        <v>5.2637874115640777</v>
      </c>
      <c r="X64" s="86">
        <f t="shared" ref="X64:X67" si="252">W64-G64</f>
        <v>-3.478792176925527E-2</v>
      </c>
      <c r="Y64" s="86">
        <f t="shared" ref="Y64:Y67" si="253">(X64-P64)*-1</f>
        <v>-0.91378741156407806</v>
      </c>
      <c r="Z64" s="155">
        <f t="shared" ref="Z64:Z67" si="254">F64/U64</f>
        <v>0.96332613705333259</v>
      </c>
      <c r="AA64" s="7">
        <f>SUM(L$2:L65)-SUM(AB$2:AB65)</f>
        <v>-9532.4179999999978</v>
      </c>
      <c r="AB64" s="156"/>
      <c r="AC64" s="13">
        <f t="shared" ref="AC64:AC67" si="255">I64/E64*(1-0.0005)</f>
        <v>-1961.5883703448278</v>
      </c>
      <c r="AD64" s="13">
        <f t="shared" ref="AD64:AD67" si="256">AC64-F64</f>
        <v>-10961.588370344827</v>
      </c>
    </row>
    <row r="65" spans="1:30" s="1" customFormat="1" x14ac:dyDescent="0.25">
      <c r="A65" s="147">
        <v>44085</v>
      </c>
      <c r="B65" s="148"/>
      <c r="C65" s="151" t="s">
        <v>159</v>
      </c>
      <c r="D65" s="152">
        <v>400</v>
      </c>
      <c r="E65" s="137">
        <v>4.24</v>
      </c>
      <c r="F65" s="85">
        <f t="shared" si="236"/>
        <v>9400</v>
      </c>
      <c r="G65" s="86">
        <f t="shared" si="237"/>
        <v>5.2540870212765958</v>
      </c>
      <c r="H65" s="84">
        <f t="shared" si="238"/>
        <v>49388.417999999998</v>
      </c>
      <c r="I65" s="137">
        <f t="shared" si="239"/>
        <v>-9532.4179999999978</v>
      </c>
      <c r="J65" s="142">
        <f t="shared" si="240"/>
        <v>-0.19300917879167537</v>
      </c>
      <c r="K65" s="84">
        <f t="shared" si="241"/>
        <v>39856</v>
      </c>
      <c r="L65" s="84">
        <f t="shared" si="242"/>
        <v>-995.23999999999796</v>
      </c>
      <c r="M65" s="84">
        <f t="shared" si="243"/>
        <v>5.24</v>
      </c>
      <c r="N65" s="84">
        <f t="shared" si="244"/>
        <v>0</v>
      </c>
      <c r="O65" s="84"/>
      <c r="P65" s="86">
        <f t="shared" si="245"/>
        <v>-1.0140870212765956</v>
      </c>
      <c r="Q65" s="84">
        <f t="shared" si="246"/>
        <v>-1701.239999999998</v>
      </c>
      <c r="R65" s="154"/>
      <c r="S65" s="154">
        <f t="shared" si="247"/>
        <v>-210.79800000000796</v>
      </c>
      <c r="T65" s="154">
        <f t="shared" si="248"/>
        <v>-49.716509433964141</v>
      </c>
      <c r="U65" s="154">
        <f t="shared" si="249"/>
        <v>9350.2834905660366</v>
      </c>
      <c r="V65" s="84">
        <f t="shared" si="250"/>
        <v>49177.619999999988</v>
      </c>
      <c r="W65" s="86">
        <f t="shared" si="251"/>
        <v>5.2594790360760424</v>
      </c>
      <c r="X65" s="86">
        <f t="shared" si="252"/>
        <v>5.3920147994466205E-3</v>
      </c>
      <c r="Y65" s="86">
        <f t="shared" si="253"/>
        <v>-1.0194790360760422</v>
      </c>
      <c r="Z65" s="155">
        <f t="shared" si="254"/>
        <v>1.0053171125222164</v>
      </c>
      <c r="AA65" s="7">
        <f>SUM(L$2:L66)-SUM(AB$2:AB66)</f>
        <v>-9373.9680000000008</v>
      </c>
      <c r="AB65" s="156"/>
      <c r="AC65" s="13">
        <f t="shared" si="255"/>
        <v>-2247.0876865566033</v>
      </c>
      <c r="AD65" s="13">
        <f t="shared" si="256"/>
        <v>-11647.087686556602</v>
      </c>
    </row>
    <row r="66" spans="1:30" s="1" customFormat="1" x14ac:dyDescent="0.25">
      <c r="A66" s="147">
        <v>44096</v>
      </c>
      <c r="B66" s="148"/>
      <c r="C66" s="151" t="s">
        <v>46</v>
      </c>
      <c r="D66" s="152">
        <v>500</v>
      </c>
      <c r="E66" s="137">
        <v>4.17</v>
      </c>
      <c r="F66" s="85">
        <f t="shared" si="236"/>
        <v>9900</v>
      </c>
      <c r="G66" s="86">
        <f t="shared" si="237"/>
        <v>5.1168654545454544</v>
      </c>
      <c r="H66" s="84">
        <f t="shared" si="238"/>
        <v>50656.968000000001</v>
      </c>
      <c r="I66" s="137">
        <f t="shared" si="239"/>
        <v>-9373.9680000000008</v>
      </c>
      <c r="J66" s="142">
        <f t="shared" si="240"/>
        <v>-0.18504794838885738</v>
      </c>
      <c r="K66" s="84">
        <f t="shared" si="241"/>
        <v>41283</v>
      </c>
      <c r="L66" s="84">
        <f t="shared" si="242"/>
        <v>158.44999999999709</v>
      </c>
      <c r="M66" s="84">
        <f t="shared" si="243"/>
        <v>5.3</v>
      </c>
      <c r="N66" s="84">
        <f t="shared" si="244"/>
        <v>0</v>
      </c>
      <c r="O66" s="84">
        <v>-821.75</v>
      </c>
      <c r="P66" s="86">
        <f t="shared" si="245"/>
        <v>-0.94686545454545445</v>
      </c>
      <c r="Q66" s="84">
        <f t="shared" si="246"/>
        <v>-1268.5500000000029</v>
      </c>
      <c r="R66" s="154"/>
      <c r="S66" s="154">
        <f t="shared" si="247"/>
        <v>-2301.0980000000109</v>
      </c>
      <c r="T66" s="154">
        <f t="shared" si="248"/>
        <v>-551.82206235012256</v>
      </c>
      <c r="U66" s="154">
        <f t="shared" si="249"/>
        <v>9348.177937649878</v>
      </c>
      <c r="V66" s="84">
        <f t="shared" si="250"/>
        <v>48355.869999999988</v>
      </c>
      <c r="W66" s="86">
        <f t="shared" si="251"/>
        <v>5.1727588330605316</v>
      </c>
      <c r="X66" s="86">
        <f t="shared" si="252"/>
        <v>5.5893378515077252E-2</v>
      </c>
      <c r="Y66" s="86">
        <f t="shared" si="253"/>
        <v>-1.0027588330605317</v>
      </c>
      <c r="Z66" s="155">
        <f t="shared" si="254"/>
        <v>1.0590299057239436</v>
      </c>
      <c r="AA66" s="7">
        <f>SUM(L$2:L67)-SUM(AB$2:AB67)</f>
        <v>-10072.208000000006</v>
      </c>
      <c r="AB66" s="156"/>
      <c r="AC66" s="13">
        <f t="shared" si="255"/>
        <v>-2246.8299798561156</v>
      </c>
      <c r="AD66" s="13">
        <f t="shared" si="256"/>
        <v>-12146.829979856117</v>
      </c>
    </row>
    <row r="67" spans="1:30" s="1" customFormat="1" x14ac:dyDescent="0.25">
      <c r="A67" s="147">
        <v>44102</v>
      </c>
      <c r="B67" s="126"/>
      <c r="C67" s="151" t="s">
        <v>327</v>
      </c>
      <c r="D67" s="152">
        <v>400</v>
      </c>
      <c r="E67" s="137">
        <v>4.0999999999999996</v>
      </c>
      <c r="F67" s="85">
        <f t="shared" si="236"/>
        <v>10300</v>
      </c>
      <c r="G67" s="86">
        <f t="shared" si="237"/>
        <v>5.0778842718446597</v>
      </c>
      <c r="H67" s="84">
        <f t="shared" si="238"/>
        <v>52302.207999999999</v>
      </c>
      <c r="I67" s="137">
        <f t="shared" si="239"/>
        <v>-10072.208000000006</v>
      </c>
      <c r="J67" s="142">
        <f t="shared" si="240"/>
        <v>-0.19257710879051224</v>
      </c>
      <c r="K67" s="84">
        <f t="shared" si="241"/>
        <v>42229.999999999993</v>
      </c>
      <c r="L67" s="84">
        <f t="shared" si="242"/>
        <v>-698.24000000000524</v>
      </c>
      <c r="M67" s="84">
        <f t="shared" si="243"/>
        <v>5.24</v>
      </c>
      <c r="N67" s="84">
        <f t="shared" si="244"/>
        <v>0</v>
      </c>
      <c r="O67" s="84"/>
      <c r="P67" s="86">
        <f t="shared" si="245"/>
        <v>-0.97788427184466009</v>
      </c>
      <c r="Q67" s="84">
        <f t="shared" si="246"/>
        <v>-1645.239999999998</v>
      </c>
      <c r="R67" s="154"/>
      <c r="S67" s="154">
        <f t="shared" si="247"/>
        <v>-3946.3380000000088</v>
      </c>
      <c r="T67" s="154">
        <f t="shared" si="248"/>
        <v>-962.5214634146364</v>
      </c>
      <c r="U67" s="154">
        <f t="shared" si="249"/>
        <v>9337.4785365853641</v>
      </c>
      <c r="V67" s="84">
        <f t="shared" si="250"/>
        <v>48355.869999999988</v>
      </c>
      <c r="W67" s="86">
        <f t="shared" si="251"/>
        <v>5.1786860671792576</v>
      </c>
      <c r="X67" s="86">
        <f t="shared" si="252"/>
        <v>0.10080179533459788</v>
      </c>
      <c r="Y67" s="86">
        <f t="shared" si="253"/>
        <v>-1.078686067179258</v>
      </c>
      <c r="Z67" s="155">
        <f t="shared" si="254"/>
        <v>1.1030815181682465</v>
      </c>
      <c r="AA67" s="7">
        <f>SUM(L$2:L68)-SUM(AB$2:AB68)</f>
        <v>-8431.1519999999946</v>
      </c>
      <c r="AB67" s="156"/>
      <c r="AC67" s="13">
        <f t="shared" si="255"/>
        <v>-2455.4077795121971</v>
      </c>
      <c r="AD67" s="13">
        <f t="shared" si="256"/>
        <v>-12755.407779512198</v>
      </c>
    </row>
    <row r="68" spans="1:30" x14ac:dyDescent="0.25">
      <c r="A68" s="147">
        <v>44145</v>
      </c>
      <c r="B68" s="148" t="s">
        <v>329</v>
      </c>
      <c r="C68" s="151" t="s">
        <v>161</v>
      </c>
      <c r="D68" s="152">
        <v>400</v>
      </c>
      <c r="E68" s="137">
        <v>4.26</v>
      </c>
      <c r="F68" s="85">
        <f t="shared" ref="F68" si="257">IF(C68="买",F67+D68,F67-D68)</f>
        <v>9900</v>
      </c>
      <c r="G68" s="86">
        <f t="shared" ref="G68:G71" si="258">H68/F68</f>
        <v>5.1116315151515144</v>
      </c>
      <c r="H68" s="84">
        <f t="shared" ref="H68:H73" si="259">IF(C68="买",H67+D68*E68+M68+N68,H67+-1*D68*E68+M68+N68)+O68</f>
        <v>50605.151999999995</v>
      </c>
      <c r="I68" s="137">
        <f t="shared" ref="I68:I73" si="260">-H68+K68</f>
        <v>-8431.1519999999946</v>
      </c>
      <c r="J68" s="142">
        <f t="shared" ref="J68:J73" si="261">(E68-G68)/G68</f>
        <v>-0.16660659373180017</v>
      </c>
      <c r="K68" s="84">
        <f t="shared" ref="K68:K73" si="262">F68*E68</f>
        <v>42174</v>
      </c>
      <c r="L68" s="84">
        <f t="shared" ref="L68:L73" si="263">I68-I67</f>
        <v>1641.0560000000114</v>
      </c>
      <c r="M68" s="84">
        <f t="shared" ref="M68:M73" si="264">IF(D68*E68*5/10000&gt;5,D68*E68*5/10000,5)+(D68/1000)*0.6</f>
        <v>5.24</v>
      </c>
      <c r="N68" s="84">
        <f t="shared" ref="N68:N73" si="265">IF(C68="卖",D68*E68/1000,0)</f>
        <v>1.704</v>
      </c>
      <c r="O68" s="84"/>
      <c r="P68" s="86">
        <f t="shared" ref="P68:P73" si="266">E68-G68</f>
        <v>-0.85163151515151458</v>
      </c>
      <c r="Q68" s="84">
        <f t="shared" ref="Q68:Q73" si="267">(H68-H67)*-1</f>
        <v>1697.0560000000041</v>
      </c>
      <c r="R68" s="154"/>
      <c r="S68" s="154">
        <f t="shared" ref="S68:S73" si="268">S67+Q68+O68+R68</f>
        <v>-2249.2820000000047</v>
      </c>
      <c r="T68" s="154">
        <f t="shared" ref="T68:T73" si="269">S68/E68</f>
        <v>-528.00046948356919</v>
      </c>
      <c r="U68" s="154">
        <f t="shared" ref="U68:U73" si="270">F68+T68</f>
        <v>9371.9995305164302</v>
      </c>
      <c r="V68" s="84">
        <f t="shared" ref="V68:V73" si="271">H68+S68</f>
        <v>48355.869999999988</v>
      </c>
      <c r="W68" s="86">
        <f t="shared" ref="W68:W73" si="272">V68/U68</f>
        <v>5.1596108005070942</v>
      </c>
      <c r="X68" s="86">
        <f t="shared" ref="X68:X73" si="273">W68-G68</f>
        <v>4.7979285355579826E-2</v>
      </c>
      <c r="Y68" s="86">
        <f t="shared" ref="Y68:Y73" si="274">(X68-P68)*-1</f>
        <v>-0.89961080050709441</v>
      </c>
      <c r="Z68" s="155">
        <f t="shared" ref="Z68:Z73" si="275">F68/U68</f>
        <v>1.0563380810855072</v>
      </c>
      <c r="AA68" s="7">
        <f>SUM(L$2:L69)-SUM(AB$2:AB69)</f>
        <v>-8042.1119999999937</v>
      </c>
      <c r="AB68" s="156"/>
      <c r="AC68" s="13">
        <f t="shared" ref="AC68:AC73" si="276">I68/E68*(1-0.0005)</f>
        <v>-1978.1540901408439</v>
      </c>
      <c r="AD68" s="13">
        <f t="shared" ref="AD68:AD73" si="277">AC68-F68</f>
        <v>-11878.154090140844</v>
      </c>
    </row>
    <row r="69" spans="1:30" x14ac:dyDescent="0.25">
      <c r="A69" s="147">
        <v>44152</v>
      </c>
      <c r="B69" s="148" t="s">
        <v>330</v>
      </c>
      <c r="C69" s="151" t="s">
        <v>200</v>
      </c>
      <c r="D69" s="152">
        <v>400</v>
      </c>
      <c r="E69" s="137">
        <v>4.3</v>
      </c>
      <c r="F69" s="85">
        <f t="shared" ref="F69:F71" si="278">IF(C69="买",F68+D69,F68-D69)</f>
        <v>9500</v>
      </c>
      <c r="G69" s="86">
        <f t="shared" si="258"/>
        <v>5.1465381052631569</v>
      </c>
      <c r="H69" s="84">
        <f t="shared" si="259"/>
        <v>48892.111999999994</v>
      </c>
      <c r="I69" s="137">
        <f t="shared" si="260"/>
        <v>-8042.1119999999937</v>
      </c>
      <c r="J69" s="142">
        <f t="shared" si="261"/>
        <v>-0.16448690128174445</v>
      </c>
      <c r="K69" s="84">
        <f t="shared" si="262"/>
        <v>40850</v>
      </c>
      <c r="L69" s="84">
        <f t="shared" si="263"/>
        <v>389.04000000000087</v>
      </c>
      <c r="M69" s="84">
        <f t="shared" si="264"/>
        <v>5.24</v>
      </c>
      <c r="N69" s="84">
        <f t="shared" si="265"/>
        <v>1.72</v>
      </c>
      <c r="O69" s="84"/>
      <c r="P69" s="86">
        <f t="shared" si="266"/>
        <v>-0.84653810526315709</v>
      </c>
      <c r="Q69" s="84">
        <f t="shared" si="267"/>
        <v>1713.0400000000009</v>
      </c>
      <c r="R69" s="154"/>
      <c r="S69" s="154">
        <f t="shared" si="268"/>
        <v>-536.24200000000383</v>
      </c>
      <c r="T69" s="154">
        <f t="shared" si="269"/>
        <v>-124.70744186046601</v>
      </c>
      <c r="U69" s="154">
        <f t="shared" si="270"/>
        <v>9375.2925581395339</v>
      </c>
      <c r="V69" s="84">
        <f t="shared" si="271"/>
        <v>48355.869999999988</v>
      </c>
      <c r="W69" s="86">
        <f t="shared" si="272"/>
        <v>5.1577985113667637</v>
      </c>
      <c r="X69" s="86">
        <f t="shared" si="273"/>
        <v>1.126040610360679E-2</v>
      </c>
      <c r="Y69" s="86">
        <f t="shared" si="274"/>
        <v>-0.85779851136676388</v>
      </c>
      <c r="Z69" s="155">
        <f t="shared" si="275"/>
        <v>1.0133017120358763</v>
      </c>
      <c r="AA69" s="7">
        <f>SUM(L$2:L70)-SUM(AB$2:AB70)</f>
        <v>-7004.1159999999945</v>
      </c>
      <c r="AB69" s="156"/>
      <c r="AC69" s="13">
        <f t="shared" si="276"/>
        <v>-1869.3234753488359</v>
      </c>
      <c r="AD69" s="13">
        <f t="shared" si="277"/>
        <v>-11369.323475348836</v>
      </c>
    </row>
    <row r="70" spans="1:30" x14ac:dyDescent="0.25">
      <c r="A70" s="147">
        <v>44160</v>
      </c>
      <c r="B70" s="148" t="s">
        <v>334</v>
      </c>
      <c r="C70" s="151" t="s">
        <v>161</v>
      </c>
      <c r="D70" s="152">
        <v>400</v>
      </c>
      <c r="E70" s="137">
        <v>4.41</v>
      </c>
      <c r="F70" s="85">
        <f t="shared" si="278"/>
        <v>9100</v>
      </c>
      <c r="G70" s="86">
        <f t="shared" si="258"/>
        <v>5.1796830769230766</v>
      </c>
      <c r="H70" s="84">
        <f t="shared" si="259"/>
        <v>47135.115999999995</v>
      </c>
      <c r="I70" s="137">
        <f t="shared" si="260"/>
        <v>-7004.1159999999945</v>
      </c>
      <c r="J70" s="142">
        <f t="shared" si="261"/>
        <v>-0.14859655803117142</v>
      </c>
      <c r="K70" s="84">
        <f t="shared" si="262"/>
        <v>40131</v>
      </c>
      <c r="L70" s="84">
        <f t="shared" si="263"/>
        <v>1037.9959999999992</v>
      </c>
      <c r="M70" s="84">
        <f t="shared" si="264"/>
        <v>5.24</v>
      </c>
      <c r="N70" s="84">
        <f t="shared" si="265"/>
        <v>1.764</v>
      </c>
      <c r="O70" s="84"/>
      <c r="P70" s="86">
        <f t="shared" si="266"/>
        <v>-0.76968307692307647</v>
      </c>
      <c r="Q70" s="84">
        <f t="shared" si="267"/>
        <v>1756.9959999999992</v>
      </c>
      <c r="R70" s="154"/>
      <c r="S70" s="154">
        <f t="shared" si="268"/>
        <v>1220.7539999999954</v>
      </c>
      <c r="T70" s="154">
        <f t="shared" si="269"/>
        <v>276.81496598639347</v>
      </c>
      <c r="U70" s="154">
        <f t="shared" si="270"/>
        <v>9376.8149659863939</v>
      </c>
      <c r="V70" s="84">
        <f t="shared" si="271"/>
        <v>48355.869999999988</v>
      </c>
      <c r="W70" s="86">
        <f t="shared" si="272"/>
        <v>5.1569610977082121</v>
      </c>
      <c r="X70" s="86">
        <f t="shared" si="273"/>
        <v>-2.2721979214864518E-2</v>
      </c>
      <c r="Y70" s="86">
        <f t="shared" si="274"/>
        <v>-0.74696109770821195</v>
      </c>
      <c r="Z70" s="155">
        <f t="shared" si="275"/>
        <v>0.97047878549480637</v>
      </c>
      <c r="AA70" s="7">
        <f>SUM(L$2:L71)-SUM(AB$2:AB71)</f>
        <v>-8101.3559999999925</v>
      </c>
      <c r="AB70" s="156"/>
      <c r="AC70" s="13">
        <f t="shared" si="276"/>
        <v>-1587.4408031746018</v>
      </c>
      <c r="AD70" s="13">
        <f t="shared" si="277"/>
        <v>-10687.440803174602</v>
      </c>
    </row>
    <row r="71" spans="1:30" x14ac:dyDescent="0.25">
      <c r="A71" s="147">
        <v>44166</v>
      </c>
      <c r="B71" s="126"/>
      <c r="C71" s="151" t="s">
        <v>46</v>
      </c>
      <c r="D71" s="152">
        <v>400</v>
      </c>
      <c r="E71" s="137">
        <v>4.29</v>
      </c>
      <c r="F71" s="85">
        <f t="shared" si="278"/>
        <v>9500</v>
      </c>
      <c r="G71" s="86">
        <f t="shared" si="258"/>
        <v>5.142774315789473</v>
      </c>
      <c r="H71" s="84">
        <f t="shared" si="259"/>
        <v>48856.355999999992</v>
      </c>
      <c r="I71" s="137">
        <f t="shared" si="260"/>
        <v>-8101.3559999999925</v>
      </c>
      <c r="J71" s="142">
        <f t="shared" si="261"/>
        <v>-0.16581989864327978</v>
      </c>
      <c r="K71" s="84">
        <f t="shared" si="262"/>
        <v>40755</v>
      </c>
      <c r="L71" s="84">
        <f t="shared" si="263"/>
        <v>-1097.239999999998</v>
      </c>
      <c r="M71" s="84">
        <f t="shared" si="264"/>
        <v>5.24</v>
      </c>
      <c r="N71" s="84">
        <f t="shared" si="265"/>
        <v>0</v>
      </c>
      <c r="O71" s="84"/>
      <c r="P71" s="86">
        <f t="shared" si="266"/>
        <v>-0.85277431578947294</v>
      </c>
      <c r="Q71" s="84">
        <f t="shared" si="267"/>
        <v>-1721.239999999998</v>
      </c>
      <c r="R71" s="154"/>
      <c r="S71" s="154">
        <f t="shared" si="268"/>
        <v>-500.4860000000026</v>
      </c>
      <c r="T71" s="154">
        <f t="shared" si="269"/>
        <v>-116.66340326340386</v>
      </c>
      <c r="U71" s="154">
        <f t="shared" si="270"/>
        <v>9383.3365967365953</v>
      </c>
      <c r="V71" s="84">
        <f t="shared" si="271"/>
        <v>48355.869999999988</v>
      </c>
      <c r="W71" s="86">
        <f t="shared" si="272"/>
        <v>5.1533768933342481</v>
      </c>
      <c r="X71" s="86">
        <f t="shared" si="273"/>
        <v>1.0602577544775116E-2</v>
      </c>
      <c r="Y71" s="86">
        <f t="shared" si="274"/>
        <v>-0.86337689333424805</v>
      </c>
      <c r="Z71" s="155">
        <f t="shared" si="275"/>
        <v>1.0124330404287083</v>
      </c>
      <c r="AA71" s="7">
        <f>SUM(L$2:L72)-SUM(AB$2:AB72)</f>
        <v>-9436.5959999999905</v>
      </c>
      <c r="AB71" s="156"/>
      <c r="AC71" s="13">
        <f t="shared" si="276"/>
        <v>-1887.4837580419564</v>
      </c>
      <c r="AD71" s="13">
        <f t="shared" si="277"/>
        <v>-11387.483758041957</v>
      </c>
    </row>
    <row r="72" spans="1:30" x14ac:dyDescent="0.25">
      <c r="A72" s="147">
        <v>44181</v>
      </c>
      <c r="B72" s="126"/>
      <c r="C72" s="151" t="s">
        <v>338</v>
      </c>
      <c r="D72" s="152">
        <v>400</v>
      </c>
      <c r="E72" s="137">
        <v>4.1500000000000004</v>
      </c>
      <c r="F72" s="85">
        <f t="shared" ref="F72:F77" si="279">IF(C72="买",F71+D72,F71-D72)</f>
        <v>9900</v>
      </c>
      <c r="G72" s="86">
        <f t="shared" ref="G72:G77" si="280">H72/F72</f>
        <v>5.1031915151515141</v>
      </c>
      <c r="H72" s="84">
        <f t="shared" si="259"/>
        <v>50521.59599999999</v>
      </c>
      <c r="I72" s="137">
        <f t="shared" si="260"/>
        <v>-9436.5959999999905</v>
      </c>
      <c r="J72" s="142">
        <f t="shared" si="261"/>
        <v>-0.18678341040532426</v>
      </c>
      <c r="K72" s="84">
        <f t="shared" si="262"/>
        <v>41085</v>
      </c>
      <c r="L72" s="84">
        <f t="shared" si="263"/>
        <v>-1335.239999999998</v>
      </c>
      <c r="M72" s="84">
        <f t="shared" si="264"/>
        <v>5.24</v>
      </c>
      <c r="N72" s="84">
        <f t="shared" si="265"/>
        <v>0</v>
      </c>
      <c r="O72" s="84"/>
      <c r="P72" s="86">
        <f t="shared" si="266"/>
        <v>-0.95319151515151379</v>
      </c>
      <c r="Q72" s="84">
        <f t="shared" si="267"/>
        <v>-1665.239999999998</v>
      </c>
      <c r="R72" s="154"/>
      <c r="S72" s="154">
        <f t="shared" si="268"/>
        <v>-2165.7260000000006</v>
      </c>
      <c r="T72" s="154">
        <f t="shared" si="269"/>
        <v>-521.86168674698808</v>
      </c>
      <c r="U72" s="154">
        <f t="shared" si="270"/>
        <v>9378.1383132530118</v>
      </c>
      <c r="V72" s="84">
        <f t="shared" si="271"/>
        <v>48355.869999999988</v>
      </c>
      <c r="W72" s="86">
        <f t="shared" si="272"/>
        <v>5.1562333999344379</v>
      </c>
      <c r="X72" s="86">
        <f t="shared" si="273"/>
        <v>5.3041884782923709E-2</v>
      </c>
      <c r="Y72" s="86">
        <f t="shared" si="274"/>
        <v>-1.0062333999344375</v>
      </c>
      <c r="Z72" s="155">
        <f t="shared" si="275"/>
        <v>1.0556466186907802</v>
      </c>
      <c r="AA72" s="7">
        <f>SUM(L$2:L73)-SUM(AB$2:AB73)</f>
        <v>-8354.5399999999863</v>
      </c>
      <c r="AB72" s="156"/>
      <c r="AC72" s="13">
        <f t="shared" si="276"/>
        <v>-2272.7416149397563</v>
      </c>
      <c r="AD72" s="13">
        <f t="shared" si="277"/>
        <v>-12172.741614939756</v>
      </c>
    </row>
    <row r="73" spans="1:30" x14ac:dyDescent="0.25">
      <c r="A73" s="147">
        <v>44183</v>
      </c>
      <c r="B73" s="148" t="s">
        <v>339</v>
      </c>
      <c r="C73" s="151" t="s">
        <v>161</v>
      </c>
      <c r="D73" s="152">
        <v>400</v>
      </c>
      <c r="E73" s="137">
        <v>4.26</v>
      </c>
      <c r="F73" s="85">
        <f t="shared" si="279"/>
        <v>9500</v>
      </c>
      <c r="G73" s="86">
        <f t="shared" si="280"/>
        <v>5.1394252631578929</v>
      </c>
      <c r="H73" s="84">
        <f t="shared" si="259"/>
        <v>48824.539999999986</v>
      </c>
      <c r="I73" s="137">
        <f t="shared" si="260"/>
        <v>-8354.5399999999863</v>
      </c>
      <c r="J73" s="142">
        <f t="shared" si="261"/>
        <v>-0.17111354249318045</v>
      </c>
      <c r="K73" s="84">
        <f t="shared" si="262"/>
        <v>40470</v>
      </c>
      <c r="L73" s="84">
        <f t="shared" si="263"/>
        <v>1082.0560000000041</v>
      </c>
      <c r="M73" s="84">
        <f t="shared" si="264"/>
        <v>5.24</v>
      </c>
      <c r="N73" s="84">
        <f t="shared" si="265"/>
        <v>1.704</v>
      </c>
      <c r="O73" s="84"/>
      <c r="P73" s="86">
        <f t="shared" si="266"/>
        <v>-0.87942526315789316</v>
      </c>
      <c r="Q73" s="84">
        <f t="shared" si="267"/>
        <v>1697.0560000000041</v>
      </c>
      <c r="R73" s="154"/>
      <c r="S73" s="154">
        <f t="shared" si="268"/>
        <v>-468.66999999999643</v>
      </c>
      <c r="T73" s="154">
        <f t="shared" si="269"/>
        <v>-110.0164319248818</v>
      </c>
      <c r="U73" s="154">
        <f t="shared" si="270"/>
        <v>9389.9835680751185</v>
      </c>
      <c r="V73" s="84">
        <f t="shared" si="271"/>
        <v>48355.869999999988</v>
      </c>
      <c r="W73" s="86">
        <f t="shared" si="272"/>
        <v>5.1497289265131911</v>
      </c>
      <c r="X73" s="86">
        <f t="shared" si="273"/>
        <v>1.0303663355298198E-2</v>
      </c>
      <c r="Y73" s="86">
        <f t="shared" si="274"/>
        <v>-0.88972892651319135</v>
      </c>
      <c r="Z73" s="155">
        <f t="shared" si="275"/>
        <v>1.0117163604310155</v>
      </c>
      <c r="AA73" s="7">
        <f>SUM(L$2:L74)-SUM(AB$2:AB74)</f>
        <v>-6936.5439999999871</v>
      </c>
      <c r="AB73" s="156"/>
      <c r="AC73" s="13">
        <f t="shared" si="276"/>
        <v>-1960.1790446009359</v>
      </c>
      <c r="AD73" s="13">
        <f t="shared" si="277"/>
        <v>-11460.179044600936</v>
      </c>
    </row>
    <row r="74" spans="1:30" x14ac:dyDescent="0.25">
      <c r="A74" s="147"/>
      <c r="B74" s="126"/>
      <c r="C74" s="151" t="s">
        <v>161</v>
      </c>
      <c r="D74" s="152">
        <v>400</v>
      </c>
      <c r="E74" s="137">
        <f t="shared" ref="E74:E77" si="281">E73+0.15</f>
        <v>4.41</v>
      </c>
      <c r="F74" s="85">
        <f t="shared" si="279"/>
        <v>9100</v>
      </c>
      <c r="G74" s="86">
        <f t="shared" si="280"/>
        <v>5.1722575824175809</v>
      </c>
      <c r="H74" s="163">
        <f t="shared" ref="H74:H77" si="282">IF(C74="买",H73+D74*E74+M74+N74,H73+-1*D74*E74+M74+N74)+O74</f>
        <v>47067.543999999987</v>
      </c>
      <c r="I74" s="163">
        <f t="shared" ref="I74:I77" si="283">-H74+K74</f>
        <v>-6936.5439999999871</v>
      </c>
      <c r="J74" s="142">
        <f t="shared" ref="J74:J77" si="284">(E74-G74)/G74</f>
        <v>-0.14737425007771782</v>
      </c>
      <c r="K74" s="84">
        <f t="shared" ref="K74:K77" si="285">F74*E74</f>
        <v>40131</v>
      </c>
      <c r="L74" s="84">
        <f t="shared" ref="L74:L77" si="286">I74-I73</f>
        <v>1417.9959999999992</v>
      </c>
      <c r="M74" s="84">
        <f t="shared" ref="M74:M77" si="287">IF(D74*E74*5/10000&gt;5,D74*E74*5/10000,5)+(D74/1000)*0.6</f>
        <v>5.24</v>
      </c>
      <c r="N74" s="84">
        <f t="shared" ref="N74:N77" si="288">IF(C74="卖",D74*E74/1000,0)</f>
        <v>1.764</v>
      </c>
      <c r="O74" s="84"/>
      <c r="P74" s="86">
        <f t="shared" ref="P74:P77" si="289">E74-G74</f>
        <v>-0.76225758241758079</v>
      </c>
      <c r="Q74" s="84">
        <f t="shared" ref="Q74:Q77" si="290">(H74-H73)*-1</f>
        <v>1756.9959999999992</v>
      </c>
      <c r="R74" s="154"/>
      <c r="S74" s="154">
        <f t="shared" ref="S74:S77" si="291">S73+Q74+O74+R74</f>
        <v>1288.3260000000028</v>
      </c>
      <c r="T74" s="154">
        <f t="shared" ref="T74:T77" si="292">S74/E74</f>
        <v>292.13741496598703</v>
      </c>
      <c r="U74" s="154">
        <f t="shared" ref="U74:U77" si="293">F74+T74</f>
        <v>9392.1374149659878</v>
      </c>
      <c r="V74" s="84">
        <f t="shared" ref="V74:V77" si="294">H74+S74</f>
        <v>48355.869999999988</v>
      </c>
      <c r="W74" s="86">
        <f t="shared" ref="W74:W77" si="295">V74/U74</f>
        <v>5.1485479676805923</v>
      </c>
      <c r="X74" s="86">
        <f t="shared" ref="X74:X77" si="296">W74-G74</f>
        <v>-2.3709614736988627E-2</v>
      </c>
      <c r="Y74" s="86">
        <f t="shared" ref="Y74:Y77" si="297">(X74-P74)*-1</f>
        <v>-0.73854796768059217</v>
      </c>
      <c r="Z74" s="155">
        <f t="shared" ref="Z74:Z77" si="298">F74/U74</f>
        <v>0.96889553441791865</v>
      </c>
      <c r="AA74" s="7">
        <f>SUM(L$2:L75)-SUM(AB$2:AB75)</f>
        <v>-5578.6079999999783</v>
      </c>
      <c r="AB74" s="156"/>
      <c r="AC74" s="13">
        <f t="shared" ref="AC74:AC77" si="299">I74/E74*(1-0.0005)</f>
        <v>-1572.1260154194983</v>
      </c>
      <c r="AD74" s="13">
        <f t="shared" ref="AD74:AD77" si="300">AC74-F74</f>
        <v>-10672.126015419499</v>
      </c>
    </row>
    <row r="75" spans="1:30" x14ac:dyDescent="0.25">
      <c r="A75" s="147"/>
      <c r="B75" s="126"/>
      <c r="C75" s="151" t="s">
        <v>161</v>
      </c>
      <c r="D75" s="152">
        <v>400</v>
      </c>
      <c r="E75" s="137">
        <f t="shared" si="281"/>
        <v>4.5600000000000005</v>
      </c>
      <c r="F75" s="85">
        <f t="shared" si="279"/>
        <v>8700</v>
      </c>
      <c r="G75" s="86">
        <f t="shared" si="280"/>
        <v>5.2012193103448263</v>
      </c>
      <c r="H75" s="163">
        <f t="shared" si="282"/>
        <v>45250.607999999986</v>
      </c>
      <c r="I75" s="163">
        <f t="shared" si="283"/>
        <v>-5578.6079999999783</v>
      </c>
      <c r="J75" s="142">
        <f t="shared" si="284"/>
        <v>-0.12328249821527229</v>
      </c>
      <c r="K75" s="84">
        <f t="shared" si="285"/>
        <v>39672.000000000007</v>
      </c>
      <c r="L75" s="84">
        <f t="shared" si="286"/>
        <v>1357.9360000000088</v>
      </c>
      <c r="M75" s="84">
        <f t="shared" si="287"/>
        <v>5.24</v>
      </c>
      <c r="N75" s="84">
        <f t="shared" si="288"/>
        <v>1.8240000000000003</v>
      </c>
      <c r="O75" s="84"/>
      <c r="P75" s="86">
        <f t="shared" si="289"/>
        <v>-0.64121931034482582</v>
      </c>
      <c r="Q75" s="84">
        <f t="shared" si="290"/>
        <v>1816.9360000000015</v>
      </c>
      <c r="R75" s="154"/>
      <c r="S75" s="154">
        <f t="shared" si="291"/>
        <v>3105.2620000000043</v>
      </c>
      <c r="T75" s="154">
        <f t="shared" si="292"/>
        <v>680.97850877193071</v>
      </c>
      <c r="U75" s="154">
        <f t="shared" si="293"/>
        <v>9380.9785087719301</v>
      </c>
      <c r="V75" s="84">
        <f t="shared" si="294"/>
        <v>48355.869999999988</v>
      </c>
      <c r="W75" s="86">
        <f t="shared" si="295"/>
        <v>5.154672292957879</v>
      </c>
      <c r="X75" s="86">
        <f t="shared" si="296"/>
        <v>-4.6547017386947331E-2</v>
      </c>
      <c r="Y75" s="86">
        <f t="shared" si="297"/>
        <v>-0.59467229295787849</v>
      </c>
      <c r="Z75" s="155">
        <f t="shared" si="298"/>
        <v>0.92740858449519281</v>
      </c>
      <c r="AA75" s="7">
        <f>SUM(L$2:L76)-SUM(AB$2:AB76)</f>
        <v>-4280.7319999999745</v>
      </c>
      <c r="AB75" s="156"/>
      <c r="AC75" s="13">
        <f t="shared" si="299"/>
        <v>-1222.767257894732</v>
      </c>
      <c r="AD75" s="13">
        <f t="shared" si="300"/>
        <v>-9922.7672578947313</v>
      </c>
    </row>
    <row r="76" spans="1:30" x14ac:dyDescent="0.25">
      <c r="A76" s="147"/>
      <c r="B76" s="126"/>
      <c r="C76" s="151" t="s">
        <v>161</v>
      </c>
      <c r="D76" s="152">
        <v>400</v>
      </c>
      <c r="E76" s="137">
        <f t="shared" si="281"/>
        <v>4.7100000000000009</v>
      </c>
      <c r="F76" s="85">
        <f t="shared" si="279"/>
        <v>8300</v>
      </c>
      <c r="G76" s="86">
        <f t="shared" si="280"/>
        <v>5.2257508433734916</v>
      </c>
      <c r="H76" s="163">
        <f t="shared" si="282"/>
        <v>43373.731999999982</v>
      </c>
      <c r="I76" s="163">
        <f t="shared" si="283"/>
        <v>-4280.7319999999745</v>
      </c>
      <c r="J76" s="142">
        <f t="shared" si="284"/>
        <v>-9.8694112833084671E-2</v>
      </c>
      <c r="K76" s="84">
        <f t="shared" si="285"/>
        <v>39093.000000000007</v>
      </c>
      <c r="L76" s="84">
        <f t="shared" si="286"/>
        <v>1297.8760000000038</v>
      </c>
      <c r="M76" s="84">
        <f t="shared" si="287"/>
        <v>5.24</v>
      </c>
      <c r="N76" s="84">
        <f t="shared" si="288"/>
        <v>1.8840000000000006</v>
      </c>
      <c r="O76" s="84"/>
      <c r="P76" s="86">
        <f t="shared" si="289"/>
        <v>-0.51575084337349075</v>
      </c>
      <c r="Q76" s="84">
        <f t="shared" si="290"/>
        <v>1876.8760000000038</v>
      </c>
      <c r="R76" s="154"/>
      <c r="S76" s="154">
        <f t="shared" si="291"/>
        <v>4982.1380000000081</v>
      </c>
      <c r="T76" s="154">
        <f t="shared" si="292"/>
        <v>1057.7787685774963</v>
      </c>
      <c r="U76" s="154">
        <f t="shared" si="293"/>
        <v>9357.7787685774965</v>
      </c>
      <c r="V76" s="84">
        <f t="shared" si="294"/>
        <v>48355.869999999988</v>
      </c>
      <c r="W76" s="86">
        <f t="shared" si="295"/>
        <v>5.1674517207410648</v>
      </c>
      <c r="X76" s="86">
        <f t="shared" si="296"/>
        <v>-5.8299122632426759E-2</v>
      </c>
      <c r="Y76" s="86">
        <f t="shared" si="297"/>
        <v>-0.45745172074106399</v>
      </c>
      <c r="Z76" s="155">
        <f t="shared" si="298"/>
        <v>0.88696262278293925</v>
      </c>
      <c r="AA76" s="7">
        <f>SUM(L$2:L77)-SUM(AB$2:AB77)</f>
        <v>-3042.9159999999756</v>
      </c>
      <c r="AB76" s="156"/>
      <c r="AC76" s="13">
        <f t="shared" si="299"/>
        <v>-908.40586709128968</v>
      </c>
      <c r="AD76" s="13">
        <f t="shared" si="300"/>
        <v>-9208.4058670912891</v>
      </c>
    </row>
    <row r="77" spans="1:30" x14ac:dyDescent="0.25">
      <c r="A77" s="147"/>
      <c r="B77" s="126"/>
      <c r="C77" s="151" t="s">
        <v>161</v>
      </c>
      <c r="D77" s="152">
        <v>400</v>
      </c>
      <c r="E77" s="137">
        <f t="shared" si="281"/>
        <v>4.8600000000000012</v>
      </c>
      <c r="F77" s="85">
        <f t="shared" si="279"/>
        <v>7900</v>
      </c>
      <c r="G77" s="86">
        <f t="shared" si="280"/>
        <v>5.2451792405063271</v>
      </c>
      <c r="H77" s="173">
        <f t="shared" si="282"/>
        <v>41436.915999999983</v>
      </c>
      <c r="I77" s="173">
        <f t="shared" si="283"/>
        <v>-3042.9159999999756</v>
      </c>
      <c r="J77" s="142">
        <f t="shared" si="284"/>
        <v>-7.3434905242464849E-2</v>
      </c>
      <c r="K77" s="84">
        <f t="shared" si="285"/>
        <v>38394.000000000007</v>
      </c>
      <c r="L77" s="84">
        <f t="shared" si="286"/>
        <v>1237.8159999999989</v>
      </c>
      <c r="M77" s="84">
        <f t="shared" si="287"/>
        <v>5.24</v>
      </c>
      <c r="N77" s="84">
        <f t="shared" si="288"/>
        <v>1.9440000000000004</v>
      </c>
      <c r="O77" s="84"/>
      <c r="P77" s="86">
        <f t="shared" si="289"/>
        <v>-0.3851792405063259</v>
      </c>
      <c r="Q77" s="84">
        <f t="shared" si="290"/>
        <v>1936.8159999999989</v>
      </c>
      <c r="R77" s="154"/>
      <c r="S77" s="154">
        <f t="shared" si="291"/>
        <v>6918.954000000007</v>
      </c>
      <c r="T77" s="154">
        <f t="shared" si="292"/>
        <v>1423.6530864197541</v>
      </c>
      <c r="U77" s="154">
        <f t="shared" si="293"/>
        <v>9323.6530864197539</v>
      </c>
      <c r="V77" s="84">
        <f t="shared" si="294"/>
        <v>48355.869999999988</v>
      </c>
      <c r="W77" s="86">
        <f t="shared" si="295"/>
        <v>5.1863652102663602</v>
      </c>
      <c r="X77" s="86">
        <f t="shared" si="296"/>
        <v>-5.8814030239966897E-2</v>
      </c>
      <c r="Y77" s="86">
        <f t="shared" si="297"/>
        <v>-0.32636521026635901</v>
      </c>
      <c r="Z77" s="155">
        <f t="shared" si="298"/>
        <v>0.84730737263344158</v>
      </c>
      <c r="AA77" s="7">
        <f>SUM(L$2:L78)-SUM(AB$2:AB78)</f>
        <v>-3042.9159999999756</v>
      </c>
      <c r="AB77" s="156"/>
      <c r="AC77" s="13">
        <f t="shared" si="299"/>
        <v>-625.80134609052982</v>
      </c>
      <c r="AD77" s="13">
        <f t="shared" si="300"/>
        <v>-8525.8013460905295</v>
      </c>
    </row>
    <row r="78" spans="1:30" x14ac:dyDescent="0.25">
      <c r="H78" s="150">
        <f>H26-H24</f>
        <v>-27.195999999996275</v>
      </c>
    </row>
  </sheetData>
  <phoneticPr fontId="10" type="noConversion"/>
  <conditionalFormatting sqref="Y1">
    <cfRule type="top10" dxfId="92" priority="1" bottom="1" rank="10"/>
  </conditionalFormatting>
  <dataValidations count="1">
    <dataValidation type="list" allowBlank="1" showInputMessage="1" showErrorMessage="1" sqref="C2:C77">
      <formula1>"买,卖"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D14"/>
  <sheetViews>
    <sheetView workbookViewId="0">
      <selection sqref="A1:XFD1048576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43644</v>
      </c>
      <c r="B2" s="20">
        <v>601009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43644</v>
      </c>
      <c r="B3" s="103"/>
      <c r="C3" s="84" t="s">
        <v>46</v>
      </c>
      <c r="D3" s="85">
        <v>100</v>
      </c>
      <c r="E3" s="84">
        <v>8.27</v>
      </c>
      <c r="F3" s="85">
        <f t="shared" ref="F3" si="5">IF(C3="买",F2+D3,F2-D3)</f>
        <v>100</v>
      </c>
      <c r="G3" s="86">
        <f t="shared" ref="G3" si="6">H3/F3</f>
        <v>8.3205999999999989</v>
      </c>
      <c r="H3" s="84">
        <f t="shared" ref="H3" si="7">IF(C3="买",H2+D3*E3+M3+N3,H2+-1*D3*E3+M3+N3)+O2</f>
        <v>832.06</v>
      </c>
      <c r="I3" s="84">
        <f t="shared" si="0"/>
        <v>-5.0599999999999454</v>
      </c>
      <c r="J3" s="87">
        <f t="shared" si="1"/>
        <v>-6.0812922145036799E-3</v>
      </c>
      <c r="K3" s="84">
        <f t="shared" si="2"/>
        <v>827</v>
      </c>
      <c r="L3" s="84">
        <f t="shared" ref="L3" si="8">I3-I2</f>
        <v>-5.0599999999999454</v>
      </c>
      <c r="M3" s="84">
        <f t="shared" ref="M3" si="9">IF(D3*E3*5/10000&gt;5,D3*E3*5/10000,5)+(D3/1000)*0.6</f>
        <v>5.0599999999999996</v>
      </c>
      <c r="N3" s="15">
        <f t="shared" ref="N3:N8" si="10">IF(C3="卖",D3*E3/1000,0)</f>
        <v>0</v>
      </c>
      <c r="O3" s="7"/>
      <c r="P3" s="8">
        <f t="shared" ref="P3:P8" si="11">E3-G3</f>
        <v>-5.0599999999999312E-2</v>
      </c>
      <c r="Q3" s="7">
        <f t="shared" ref="Q3:Q8" si="12">(H3-H2)*-1</f>
        <v>-832.06</v>
      </c>
      <c r="R3" s="9"/>
      <c r="S3" s="9">
        <f t="shared" ref="S3:S8" si="13">S2+Q3+O3+R3</f>
        <v>19167.939999999999</v>
      </c>
      <c r="T3" s="9">
        <f t="shared" ref="T3:T8" si="14">S3/E3</f>
        <v>2317.7678355501812</v>
      </c>
      <c r="U3" s="9">
        <f t="shared" ref="U3:U8" si="15">F3+T3</f>
        <v>2417.7678355501812</v>
      </c>
      <c r="V3" s="7">
        <f t="shared" ref="V3:V8" si="16">H3+S3</f>
        <v>20000</v>
      </c>
      <c r="W3" s="8">
        <f t="shared" ref="W3:W8" si="17">V3/U3</f>
        <v>8.2720928394883906</v>
      </c>
      <c r="X3" s="8">
        <f t="shared" ref="X3:X8" si="18">W3-G3</f>
        <v>-4.8507160511608305E-2</v>
      </c>
      <c r="Y3" s="8">
        <f t="shared" ref="Y3:Y8" si="19">(X3-P3)*-1</f>
        <v>-2.0928394883910073E-3</v>
      </c>
      <c r="Z3" s="12">
        <f t="shared" ref="Z3:Z8" si="20">F3/U3</f>
        <v>4.1360464197441958E-2</v>
      </c>
      <c r="AA3" s="7">
        <f>SUM(L$2:L8)-SUM(AB$2:AB8)</f>
        <v>-124.84200000000013</v>
      </c>
      <c r="AB3" s="88"/>
      <c r="AC3" s="13">
        <f t="shared" si="3"/>
        <v>-0.61154413542925579</v>
      </c>
      <c r="AD3" s="13">
        <f t="shared" si="4"/>
        <v>-100.61154413542926</v>
      </c>
    </row>
    <row r="4" spans="1:30" s="1" customFormat="1" x14ac:dyDescent="0.25">
      <c r="A4" s="101">
        <v>43649</v>
      </c>
      <c r="B4" s="126"/>
      <c r="C4" s="127" t="s">
        <v>203</v>
      </c>
      <c r="D4" s="85">
        <v>100</v>
      </c>
      <c r="E4" s="84">
        <v>8.57</v>
      </c>
      <c r="F4" s="85">
        <f>IF(C4="买",F3+D4,F3-D4)</f>
        <v>0</v>
      </c>
      <c r="G4" s="86" t="e">
        <f>H4/F4</f>
        <v>#DIV/0!</v>
      </c>
      <c r="H4" s="84">
        <f>IF(C4="买",H3+D4*E4+M4+N4,H3+-1*D4*E4+M4+N4)+O4</f>
        <v>-3.0000000000569571E-3</v>
      </c>
      <c r="I4" s="84">
        <f>-H4+K4</f>
        <v>3.0000000000569571E-3</v>
      </c>
      <c r="J4" s="142" t="e">
        <f>(E4-G4)/G4</f>
        <v>#DIV/0!</v>
      </c>
      <c r="K4" s="84">
        <f>F4*E4</f>
        <v>0</v>
      </c>
      <c r="L4" s="84">
        <f>I4-I3</f>
        <v>5.0630000000000024</v>
      </c>
      <c r="M4" s="84">
        <f>IF(D4*E4*5/10000&gt;5,D4*E4*5/10000,5)+(D4/1000)*0.6</f>
        <v>5.0599999999999996</v>
      </c>
      <c r="N4" s="84">
        <f t="shared" si="10"/>
        <v>0.85699999999999998</v>
      </c>
      <c r="O4" s="84">
        <v>19.02</v>
      </c>
      <c r="P4" s="86" t="e">
        <f t="shared" si="11"/>
        <v>#DIV/0!</v>
      </c>
      <c r="Q4" s="84">
        <f t="shared" si="12"/>
        <v>832.06299999999999</v>
      </c>
      <c r="R4" s="154"/>
      <c r="S4" s="154">
        <f t="shared" si="13"/>
        <v>20019.022999999997</v>
      </c>
      <c r="T4" s="154">
        <f t="shared" si="14"/>
        <v>2335.9420070011665</v>
      </c>
      <c r="U4" s="154">
        <f t="shared" si="15"/>
        <v>2335.9420070011665</v>
      </c>
      <c r="V4" s="84">
        <f t="shared" si="16"/>
        <v>20019.019999999997</v>
      </c>
      <c r="W4" s="86">
        <f t="shared" si="17"/>
        <v>8.5699987157215407</v>
      </c>
      <c r="X4" s="86" t="e">
        <f t="shared" si="18"/>
        <v>#DIV/0!</v>
      </c>
      <c r="Y4" s="86" t="e">
        <f t="shared" si="19"/>
        <v>#DIV/0!</v>
      </c>
      <c r="Z4" s="155">
        <f t="shared" si="20"/>
        <v>0</v>
      </c>
      <c r="AA4" s="84">
        <f>SUM(L$2:L8)-SUM(AB$2:AB8)</f>
        <v>-124.84200000000013</v>
      </c>
      <c r="AB4" s="156"/>
      <c r="AC4" s="13">
        <f>I4/E4*(1-0.0005)</f>
        <v>3.4988331389229041E-4</v>
      </c>
      <c r="AD4" s="13">
        <f>AC4-F4</f>
        <v>3.4988331389229041E-4</v>
      </c>
    </row>
    <row r="5" spans="1:30" s="1" customFormat="1" x14ac:dyDescent="0.25">
      <c r="A5" s="101">
        <v>43976</v>
      </c>
      <c r="B5" s="158"/>
      <c r="C5" s="151" t="s">
        <v>290</v>
      </c>
      <c r="D5" s="152">
        <v>500</v>
      </c>
      <c r="E5" s="137">
        <v>7.63</v>
      </c>
      <c r="F5" s="152">
        <f>IF(C5="买",F4+D5,F4-D5)</f>
        <v>500</v>
      </c>
      <c r="G5" s="138">
        <f>H5/F5</f>
        <v>7.6405940000000001</v>
      </c>
      <c r="H5" s="137">
        <f>IF(C5="买",H4+D5*E5+M5+N5,H4+-1*D5*E5+M5+N5)+O5</f>
        <v>3820.297</v>
      </c>
      <c r="I5" s="137">
        <f>-H5+K5</f>
        <v>-5.2970000000000255</v>
      </c>
      <c r="J5" s="136">
        <f>(E5-G5)/G5</f>
        <v>-1.3865414128797072E-3</v>
      </c>
      <c r="K5" s="137">
        <f>F5*E5</f>
        <v>3815</v>
      </c>
      <c r="L5" s="137">
        <f>I5-I4</f>
        <v>-5.3000000000000824</v>
      </c>
      <c r="M5" s="137">
        <f>IF(D5*E5*5/10000&gt;5,D5*E5*5/10000,5)+(D5/1000)*0.6</f>
        <v>5.3</v>
      </c>
      <c r="N5" s="137">
        <f t="shared" si="10"/>
        <v>0</v>
      </c>
      <c r="O5" s="137"/>
      <c r="P5" s="138">
        <f t="shared" si="11"/>
        <v>-1.0594000000000214E-2</v>
      </c>
      <c r="Q5" s="137">
        <f t="shared" si="12"/>
        <v>-3820.3</v>
      </c>
      <c r="R5" s="159"/>
      <c r="S5" s="159">
        <f t="shared" si="13"/>
        <v>16198.722999999998</v>
      </c>
      <c r="T5" s="159">
        <f t="shared" si="14"/>
        <v>2123.0305373525557</v>
      </c>
      <c r="U5" s="159">
        <f t="shared" si="15"/>
        <v>2623.0305373525557</v>
      </c>
      <c r="V5" s="137">
        <f t="shared" si="16"/>
        <v>20019.019999999997</v>
      </c>
      <c r="W5" s="138">
        <f t="shared" si="17"/>
        <v>7.6320194198750517</v>
      </c>
      <c r="X5" s="138">
        <f t="shared" si="18"/>
        <v>-8.5745801249483833E-3</v>
      </c>
      <c r="Y5" s="138">
        <f t="shared" si="19"/>
        <v>-2.0194198750518311E-3</v>
      </c>
      <c r="Z5" s="160">
        <f t="shared" si="20"/>
        <v>0.19061920663136989</v>
      </c>
      <c r="AA5" s="137">
        <f>SUM(L$2:L8)-SUM(AB$2:AB8)</f>
        <v>-124.84200000000013</v>
      </c>
      <c r="AB5" s="161"/>
      <c r="AC5" s="157">
        <f>I5/E5*(1-0.0005)</f>
        <v>-0.69388617300131405</v>
      </c>
      <c r="AD5" s="157">
        <f>AC5-F5</f>
        <v>-500.69388617300132</v>
      </c>
    </row>
    <row r="6" spans="1:30" s="1" customFormat="1" x14ac:dyDescent="0.25">
      <c r="A6" s="101">
        <v>43978</v>
      </c>
      <c r="B6" s="158"/>
      <c r="C6" s="151" t="s">
        <v>291</v>
      </c>
      <c r="D6" s="152">
        <v>500</v>
      </c>
      <c r="E6" s="137">
        <v>7.69</v>
      </c>
      <c r="F6" s="152">
        <f>IF(C6="买",F5+D6,F5-D6)</f>
        <v>0</v>
      </c>
      <c r="G6" s="138" t="e">
        <f>H6/F6</f>
        <v>#DIV/0!</v>
      </c>
      <c r="H6" s="137">
        <f>IF(C6="买",H5+D6*E6+M6+N6,H5+-1*D6*E6+M6+N6)+O6</f>
        <v>0.50200000000002554</v>
      </c>
      <c r="I6" s="137">
        <f>-H6+K6</f>
        <v>-0.50200000000002554</v>
      </c>
      <c r="J6" s="136" t="e">
        <f>(E6-G6)/G6</f>
        <v>#DIV/0!</v>
      </c>
      <c r="K6" s="137">
        <f>F6*E6</f>
        <v>0</v>
      </c>
      <c r="L6" s="137">
        <f>I6-I5</f>
        <v>4.7949999999999999</v>
      </c>
      <c r="M6" s="137">
        <f>IF(D6*E6*5/10000&gt;5,D6*E6*5/10000,5)+(D6/1000)*0.6</f>
        <v>5.3</v>
      </c>
      <c r="N6" s="137">
        <f t="shared" si="10"/>
        <v>3.8450000000000002</v>
      </c>
      <c r="O6" s="137">
        <v>16.059999999999999</v>
      </c>
      <c r="P6" s="138" t="e">
        <f t="shared" si="11"/>
        <v>#DIV/0!</v>
      </c>
      <c r="Q6" s="137">
        <f t="shared" si="12"/>
        <v>3819.7950000000001</v>
      </c>
      <c r="R6" s="159"/>
      <c r="S6" s="159">
        <f t="shared" si="13"/>
        <v>20034.577999999998</v>
      </c>
      <c r="T6" s="159">
        <f t="shared" si="14"/>
        <v>2605.2767230169047</v>
      </c>
      <c r="U6" s="159">
        <f t="shared" si="15"/>
        <v>2605.2767230169047</v>
      </c>
      <c r="V6" s="137">
        <f t="shared" si="16"/>
        <v>20035.079999999998</v>
      </c>
      <c r="W6" s="138">
        <f t="shared" si="17"/>
        <v>7.6901926858654077</v>
      </c>
      <c r="X6" s="138" t="e">
        <f t="shared" si="18"/>
        <v>#DIV/0!</v>
      </c>
      <c r="Y6" s="138" t="e">
        <f t="shared" si="19"/>
        <v>#DIV/0!</v>
      </c>
      <c r="Z6" s="160">
        <f t="shared" si="20"/>
        <v>0</v>
      </c>
      <c r="AA6" s="137">
        <f>SUM(L$2:L10)-SUM(AB$2:AB10)</f>
        <v>-124.84200000000013</v>
      </c>
      <c r="AB6" s="161"/>
      <c r="AC6" s="157">
        <f>I6/E6*(1-0.0005)</f>
        <v>-6.5246944083228287E-2</v>
      </c>
      <c r="AD6" s="157">
        <f>AC6-F6</f>
        <v>-6.5246944083228287E-2</v>
      </c>
    </row>
    <row r="7" spans="1:30" s="1" customFormat="1" x14ac:dyDescent="0.25">
      <c r="A7" s="101">
        <v>43993</v>
      </c>
      <c r="B7" s="162"/>
      <c r="C7" s="170" t="s">
        <v>293</v>
      </c>
      <c r="D7" s="164">
        <v>500</v>
      </c>
      <c r="E7" s="163">
        <v>7.7</v>
      </c>
      <c r="F7" s="164">
        <f>IF(C7="买",F6+D7,F6-D7)</f>
        <v>500</v>
      </c>
      <c r="G7" s="165">
        <f>H7/F7</f>
        <v>7.7116040000000003</v>
      </c>
      <c r="H7" s="163">
        <f>IF(C7="买",H6+D7*E7+M7+N7,H6+-1*D7*E7+M7+N7)+O7</f>
        <v>3855.8020000000001</v>
      </c>
      <c r="I7" s="163">
        <f>-H7+K7</f>
        <v>-5.8020000000001346</v>
      </c>
      <c r="J7" s="166">
        <f>(E7-G7)/G7</f>
        <v>-1.5047453162792292E-3</v>
      </c>
      <c r="K7" s="163">
        <f>F7*E7</f>
        <v>3850</v>
      </c>
      <c r="L7" s="163">
        <f>I7-I6</f>
        <v>-5.3000000000001091</v>
      </c>
      <c r="M7" s="163">
        <f>IF(D7*E7*5/10000&gt;5,D7*E7*5/10000,5)+(D7/1000)*0.6</f>
        <v>5.3</v>
      </c>
      <c r="N7" s="163">
        <f t="shared" si="10"/>
        <v>0</v>
      </c>
      <c r="O7" s="163"/>
      <c r="P7" s="165">
        <f t="shared" si="11"/>
        <v>-1.160400000000017E-2</v>
      </c>
      <c r="Q7" s="163">
        <f t="shared" si="12"/>
        <v>-3855.3</v>
      </c>
      <c r="R7" s="167"/>
      <c r="S7" s="167">
        <f t="shared" si="13"/>
        <v>16179.277999999998</v>
      </c>
      <c r="T7" s="167">
        <f t="shared" si="14"/>
        <v>2101.2049350649349</v>
      </c>
      <c r="U7" s="167">
        <f t="shared" si="15"/>
        <v>2601.2049350649349</v>
      </c>
      <c r="V7" s="163">
        <f t="shared" si="16"/>
        <v>20035.079999999998</v>
      </c>
      <c r="W7" s="165">
        <f t="shared" si="17"/>
        <v>7.7022305047640751</v>
      </c>
      <c r="X7" s="165">
        <f t="shared" si="18"/>
        <v>-9.3734952359252333E-3</v>
      </c>
      <c r="Y7" s="165">
        <f t="shared" si="19"/>
        <v>-2.2305047640749365E-3</v>
      </c>
      <c r="Z7" s="168">
        <f t="shared" si="20"/>
        <v>0.19221861117510078</v>
      </c>
      <c r="AA7" s="163">
        <f>SUM(L$2:L12)-SUM(AB$2:AB12)</f>
        <v>-124.84200000000013</v>
      </c>
      <c r="AB7" s="169"/>
      <c r="AC7" s="157">
        <f>I7/E7*(1-0.0005)</f>
        <v>-0.75312974025975776</v>
      </c>
      <c r="AD7" s="157">
        <f>AC7-F7</f>
        <v>-500.75312974025974</v>
      </c>
    </row>
    <row r="8" spans="1:30" s="1" customFormat="1" x14ac:dyDescent="0.25">
      <c r="A8" s="171">
        <v>44014</v>
      </c>
      <c r="B8" s="162"/>
      <c r="C8" s="170" t="s">
        <v>294</v>
      </c>
      <c r="D8" s="164">
        <v>500</v>
      </c>
      <c r="E8" s="163">
        <v>7.48</v>
      </c>
      <c r="F8" s="164">
        <f>IF(C8="买",F7+D8,F7-D8)</f>
        <v>0</v>
      </c>
      <c r="G8" s="165" t="e">
        <f>H8/F8</f>
        <v>#DIV/0!</v>
      </c>
      <c r="H8" s="163">
        <f>IF(C8="买",H7+D8*E8+M8+N8,H7+-1*D8*E8+M8+N8)+O8</f>
        <v>124.84200000000013</v>
      </c>
      <c r="I8" s="163">
        <f>-H8+K8</f>
        <v>-124.84200000000013</v>
      </c>
      <c r="J8" s="166" t="e">
        <f>(E8-G8)/G8</f>
        <v>#DIV/0!</v>
      </c>
      <c r="K8" s="163">
        <f>F8*E8</f>
        <v>0</v>
      </c>
      <c r="L8" s="163">
        <f>I8-I7</f>
        <v>-119.03999999999999</v>
      </c>
      <c r="M8" s="163">
        <f>IF(D8*E8*5/10000&gt;5,D8*E8*5/10000,5)+(D8/1000)*0.6</f>
        <v>5.3</v>
      </c>
      <c r="N8" s="163">
        <f t="shared" si="10"/>
        <v>3.74</v>
      </c>
      <c r="O8" s="163"/>
      <c r="P8" s="165" t="e">
        <f t="shared" si="11"/>
        <v>#DIV/0!</v>
      </c>
      <c r="Q8" s="163">
        <f t="shared" si="12"/>
        <v>3730.96</v>
      </c>
      <c r="R8" s="167"/>
      <c r="S8" s="167">
        <f t="shared" si="13"/>
        <v>19910.237999999998</v>
      </c>
      <c r="T8" s="167">
        <f t="shared" si="14"/>
        <v>2661.7965240641706</v>
      </c>
      <c r="U8" s="167">
        <f t="shared" si="15"/>
        <v>2661.7965240641706</v>
      </c>
      <c r="V8" s="163">
        <f t="shared" si="16"/>
        <v>20035.079999999998</v>
      </c>
      <c r="W8" s="165">
        <f t="shared" si="17"/>
        <v>7.5269014062011719</v>
      </c>
      <c r="X8" s="165" t="e">
        <f t="shared" si="18"/>
        <v>#DIV/0!</v>
      </c>
      <c r="Y8" s="165" t="e">
        <f t="shared" si="19"/>
        <v>#DIV/0!</v>
      </c>
      <c r="Z8" s="168">
        <f t="shared" si="20"/>
        <v>0</v>
      </c>
      <c r="AA8" s="163">
        <f>SUM(L$2:L14)-SUM(AB$2:AB14)</f>
        <v>-124.84200000000013</v>
      </c>
      <c r="AB8" s="169"/>
      <c r="AC8" s="157">
        <f>I8/E8*(1-0.0005)</f>
        <v>-16.681761898395738</v>
      </c>
      <c r="AD8" s="157">
        <f>AC8-F8</f>
        <v>-16.681761898395738</v>
      </c>
    </row>
    <row r="9" spans="1:30" s="1" customFormat="1" x14ac:dyDescent="0.25">
      <c r="A9" s="101"/>
      <c r="B9" s="5"/>
    </row>
    <row r="10" spans="1:30" s="1" customFormat="1" x14ac:dyDescent="0.25">
      <c r="A10" s="101"/>
      <c r="B10" s="5"/>
    </row>
    <row r="11" spans="1:30" s="1" customFormat="1" x14ac:dyDescent="0.25">
      <c r="A11" s="101"/>
      <c r="B11" s="5"/>
    </row>
    <row r="12" spans="1:30" x14ac:dyDescent="0.25">
      <c r="A12" s="101"/>
    </row>
    <row r="13" spans="1:30" x14ac:dyDescent="0.25">
      <c r="A13" s="101"/>
    </row>
    <row r="14" spans="1:30" x14ac:dyDescent="0.25">
      <c r="A14" s="101"/>
    </row>
  </sheetData>
  <phoneticPr fontId="10" type="noConversion"/>
  <conditionalFormatting sqref="Y1">
    <cfRule type="top10" dxfId="61" priority="1" bottom="1" rank="10"/>
  </conditionalFormatting>
  <dataValidations count="1">
    <dataValidation type="list" allowBlank="1" showInputMessage="1" showErrorMessage="1" sqref="C2:C8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1"/>
  <sheetViews>
    <sheetView workbookViewId="0">
      <selection activeCell="I41" sqref="I41"/>
    </sheetView>
  </sheetViews>
  <sheetFormatPr defaultColWidth="9" defaultRowHeight="14.4" x14ac:dyDescent="0.25"/>
  <cols>
    <col min="1" max="1" width="11.6640625" customWidth="1"/>
    <col min="2" max="2" width="9" style="102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4" max="14" width="9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3.44140625" customWidth="1"/>
  </cols>
  <sheetData>
    <row r="1" spans="1:30" ht="15" thickBot="1" x14ac:dyDescent="0.3">
      <c r="A1" s="2" t="s">
        <v>3</v>
      </c>
      <c r="B1" s="3" t="s">
        <v>129</v>
      </c>
      <c r="C1" s="3" t="s">
        <v>133</v>
      </c>
      <c r="D1" s="4" t="s">
        <v>134</v>
      </c>
      <c r="E1" s="89" t="s">
        <v>135</v>
      </c>
      <c r="F1" s="90" t="s">
        <v>136</v>
      </c>
      <c r="G1" s="91" t="s">
        <v>137</v>
      </c>
      <c r="H1" s="89" t="s">
        <v>138</v>
      </c>
      <c r="I1" s="3" t="s">
        <v>7</v>
      </c>
      <c r="J1" s="3" t="s">
        <v>139</v>
      </c>
      <c r="K1" s="3" t="s">
        <v>5</v>
      </c>
      <c r="L1" s="3" t="s">
        <v>140</v>
      </c>
      <c r="M1" s="3" t="s">
        <v>141</v>
      </c>
      <c r="N1" s="3" t="s">
        <v>142</v>
      </c>
      <c r="O1" s="3" t="s">
        <v>143</v>
      </c>
      <c r="P1" s="6" t="s">
        <v>144</v>
      </c>
      <c r="Q1" s="3" t="s">
        <v>145</v>
      </c>
      <c r="R1" s="3" t="s">
        <v>146</v>
      </c>
      <c r="S1" s="3" t="s">
        <v>147</v>
      </c>
      <c r="T1" s="3" t="s">
        <v>148</v>
      </c>
      <c r="U1" s="3" t="s">
        <v>149</v>
      </c>
      <c r="V1" s="3" t="s">
        <v>150</v>
      </c>
      <c r="W1" s="6" t="s">
        <v>151</v>
      </c>
      <c r="X1" s="6" t="s">
        <v>152</v>
      </c>
      <c r="Y1" s="6" t="s">
        <v>153</v>
      </c>
      <c r="Z1" s="6" t="s">
        <v>154</v>
      </c>
      <c r="AA1" s="3" t="s">
        <v>55</v>
      </c>
      <c r="AB1" s="10" t="s">
        <v>155</v>
      </c>
      <c r="AC1" s="11" t="s">
        <v>38</v>
      </c>
      <c r="AD1" s="11" t="s">
        <v>156</v>
      </c>
    </row>
    <row r="2" spans="1:30" ht="15" thickTop="1" x14ac:dyDescent="0.25">
      <c r="A2" s="92">
        <v>44155</v>
      </c>
      <c r="B2" s="181" t="s">
        <v>333</v>
      </c>
      <c r="C2" s="93"/>
      <c r="D2" s="94"/>
      <c r="E2" s="95">
        <v>0</v>
      </c>
      <c r="F2" s="95">
        <v>0</v>
      </c>
      <c r="G2" s="96">
        <v>0</v>
      </c>
      <c r="H2" s="95">
        <v>0</v>
      </c>
      <c r="I2" s="93">
        <f t="shared" ref="I2:I3" si="0">-H2+K2</f>
        <v>0</v>
      </c>
      <c r="J2" s="97" t="e">
        <f t="shared" ref="J2:J3" si="1">(E2-G2)/G2</f>
        <v>#DIV/0!</v>
      </c>
      <c r="K2" s="93">
        <f t="shared" ref="K2:K3" si="2">F2*E2</f>
        <v>0</v>
      </c>
      <c r="L2" s="93"/>
      <c r="M2" s="93"/>
      <c r="N2" s="93"/>
      <c r="O2" s="93"/>
      <c r="P2" s="98"/>
      <c r="Q2" s="93"/>
      <c r="R2" s="93"/>
      <c r="S2" s="93">
        <v>20000</v>
      </c>
      <c r="T2" s="93"/>
      <c r="U2" s="93"/>
      <c r="V2" s="93"/>
      <c r="W2" s="98"/>
      <c r="X2" s="98"/>
      <c r="Y2" s="98"/>
      <c r="Z2" s="99"/>
      <c r="AA2" s="93"/>
      <c r="AB2" s="100"/>
      <c r="AC2" s="13" t="e">
        <f t="shared" ref="AC2:AC3" si="3">I2/E2*(1-0.0005)</f>
        <v>#DIV/0!</v>
      </c>
      <c r="AD2" s="13" t="e">
        <f t="shared" ref="AD2:AD3" si="4">AC2-F2</f>
        <v>#DIV/0!</v>
      </c>
    </row>
    <row r="3" spans="1:30" s="1" customFormat="1" x14ac:dyDescent="0.25">
      <c r="A3" s="101">
        <v>44155</v>
      </c>
      <c r="B3" s="103"/>
      <c r="C3" s="84" t="s">
        <v>46</v>
      </c>
      <c r="D3" s="85">
        <v>800</v>
      </c>
      <c r="E3" s="84">
        <v>5.37</v>
      </c>
      <c r="F3" s="85">
        <f t="shared" ref="F3" si="5">IF(C3="买",F2+D3,F2-D3)</f>
        <v>800</v>
      </c>
      <c r="G3" s="86">
        <f t="shared" ref="G3" si="6">H3/F3</f>
        <v>5.3762499999999998</v>
      </c>
      <c r="H3" s="84">
        <f t="shared" ref="H3" si="7">IF(C3="买",H2+D3*E3+M3+N3,H2+-1*D3*E3+M3+N3)+O2</f>
        <v>4301</v>
      </c>
      <c r="I3" s="84">
        <f t="shared" si="0"/>
        <v>-5</v>
      </c>
      <c r="J3" s="87">
        <f t="shared" si="1"/>
        <v>-1.1625203441059558E-3</v>
      </c>
      <c r="K3" s="84">
        <f t="shared" si="2"/>
        <v>4296</v>
      </c>
      <c r="L3" s="84">
        <f t="shared" ref="L3" si="8">I3-I2</f>
        <v>-5</v>
      </c>
      <c r="M3" s="84">
        <f>IF(D3*E3*5/10000&gt;5,D3*E3*5/10000,5)</f>
        <v>5</v>
      </c>
      <c r="N3" s="15">
        <f t="shared" ref="N3:N8" si="9">IF(C3="卖",D3*E3/1000,0)</f>
        <v>0</v>
      </c>
      <c r="O3" s="7"/>
      <c r="P3" s="8">
        <f t="shared" ref="P3:P8" si="10">E3-G3</f>
        <v>-6.2499999999996447E-3</v>
      </c>
      <c r="Q3" s="7">
        <f t="shared" ref="Q3:Q8" si="11">(H3-H2)*-1</f>
        <v>-4301</v>
      </c>
      <c r="R3" s="9"/>
      <c r="S3" s="9">
        <f t="shared" ref="S3:S8" si="12">S2+Q3+O3+R3</f>
        <v>15699</v>
      </c>
      <c r="T3" s="9">
        <f t="shared" ref="T3:T8" si="13">S3/E3</f>
        <v>2923.4636871508378</v>
      </c>
      <c r="U3" s="9">
        <f t="shared" ref="U3:U8" si="14">F3+T3</f>
        <v>3723.4636871508378</v>
      </c>
      <c r="V3" s="7">
        <f t="shared" ref="V3:V8" si="15">H3+S3</f>
        <v>20000</v>
      </c>
      <c r="W3" s="8">
        <f t="shared" ref="W3:W8" si="16">V3/U3</f>
        <v>5.3713428357089272</v>
      </c>
      <c r="X3" s="8">
        <f t="shared" ref="X3:X8" si="17">W3-G3</f>
        <v>-4.9071642910725188E-3</v>
      </c>
      <c r="Y3" s="8">
        <f t="shared" ref="Y3:Y8" si="18">(X3-P3)*-1</f>
        <v>-1.3428357089271259E-3</v>
      </c>
      <c r="Z3" s="12">
        <f t="shared" ref="Z3:Z8" si="19">F3/U3</f>
        <v>0.2148537134283571</v>
      </c>
      <c r="AA3" s="7">
        <f>SUM(L$2:L15)-SUM(AB$2:AB15)</f>
        <v>-493.95699999999994</v>
      </c>
      <c r="AB3" s="88"/>
      <c r="AC3" s="13">
        <f t="shared" si="3"/>
        <v>-0.93063314711359413</v>
      </c>
      <c r="AD3" s="13">
        <f t="shared" si="4"/>
        <v>-800.93063314711355</v>
      </c>
    </row>
    <row r="4" spans="1:30" s="1" customFormat="1" x14ac:dyDescent="0.25">
      <c r="A4" s="101">
        <v>44160</v>
      </c>
      <c r="B4" s="126"/>
      <c r="C4" s="127" t="s">
        <v>335</v>
      </c>
      <c r="D4" s="85">
        <v>700</v>
      </c>
      <c r="E4" s="84">
        <v>5.43</v>
      </c>
      <c r="F4" s="85">
        <f t="shared" ref="F4" si="20">IF(C4="买",F3+D4,F3-D4)</f>
        <v>100</v>
      </c>
      <c r="G4" s="86">
        <f t="shared" ref="G4" si="21">H4/F4</f>
        <v>5.0880099999999997</v>
      </c>
      <c r="H4" s="84">
        <f t="shared" ref="H4" si="22">IF(C4="买",H3+D4*E4+M4+N4,H3+-1*D4*E4+M4+N4)+O3</f>
        <v>508.80099999999999</v>
      </c>
      <c r="I4" s="84">
        <f t="shared" ref="I4" si="23">-H4+K4</f>
        <v>34.199000000000012</v>
      </c>
      <c r="J4" s="87">
        <f t="shared" ref="J4" si="24">(E4-G4)/G4</f>
        <v>6.7214883618546356E-2</v>
      </c>
      <c r="K4" s="84">
        <f t="shared" ref="K4" si="25">F4*E4</f>
        <v>543</v>
      </c>
      <c r="L4" s="84">
        <f t="shared" ref="L4" si="26">I4-I3</f>
        <v>39.199000000000012</v>
      </c>
      <c r="M4" s="84">
        <f t="shared" ref="M4" si="27">IF(D4*E4*5/10000&gt;5,D4*E4*5/10000,5)</f>
        <v>5</v>
      </c>
      <c r="N4" s="84">
        <f t="shared" si="9"/>
        <v>3.8010000000000002</v>
      </c>
      <c r="O4" s="84"/>
      <c r="P4" s="86">
        <f t="shared" si="10"/>
        <v>0.34199000000000002</v>
      </c>
      <c r="Q4" s="84">
        <f t="shared" si="11"/>
        <v>3792.1990000000001</v>
      </c>
      <c r="R4" s="154"/>
      <c r="S4" s="154">
        <f t="shared" si="12"/>
        <v>19491.199000000001</v>
      </c>
      <c r="T4" s="154">
        <f t="shared" si="13"/>
        <v>3589.5394106814001</v>
      </c>
      <c r="U4" s="154">
        <f t="shared" si="14"/>
        <v>3689.5394106814001</v>
      </c>
      <c r="V4" s="84">
        <f t="shared" si="15"/>
        <v>20000</v>
      </c>
      <c r="W4" s="86">
        <f t="shared" si="16"/>
        <v>5.4207308213320626</v>
      </c>
      <c r="X4" s="86">
        <f t="shared" si="17"/>
        <v>0.33272082133206293</v>
      </c>
      <c r="Y4" s="86">
        <f t="shared" si="18"/>
        <v>9.2691786679370836E-3</v>
      </c>
      <c r="Z4" s="155">
        <f t="shared" si="19"/>
        <v>2.7103654106660314E-2</v>
      </c>
      <c r="AA4" s="84">
        <f>SUM(L$2:L15)-SUM(AB$2:AB15)</f>
        <v>-493.95699999999994</v>
      </c>
      <c r="AB4" s="156"/>
      <c r="AC4" s="13">
        <f>I4/E4*(1-0.0005)</f>
        <v>6.2950093001841649</v>
      </c>
      <c r="AD4" s="13">
        <f>AC4-F4</f>
        <v>-93.704990699815838</v>
      </c>
    </row>
    <row r="5" spans="1:30" s="1" customFormat="1" x14ac:dyDescent="0.25">
      <c r="A5" s="101">
        <v>44161</v>
      </c>
      <c r="B5" s="158"/>
      <c r="C5" s="151" t="s">
        <v>336</v>
      </c>
      <c r="D5" s="152">
        <v>400</v>
      </c>
      <c r="E5" s="137">
        <v>5.21</v>
      </c>
      <c r="F5" s="85">
        <f t="shared" ref="F5:F15" si="28">IF(C5="买",F4+D5,F4-D5)</f>
        <v>500</v>
      </c>
      <c r="G5" s="86">
        <f t="shared" ref="G5:G15" si="29">H5/F5</f>
        <v>5.1956020000000001</v>
      </c>
      <c r="H5" s="84">
        <f t="shared" ref="H5:H15" si="30">IF(C5="买",H4+D5*E5+M5+N5,H4+-1*D5*E5+M5+N5)+O4</f>
        <v>2597.8009999999999</v>
      </c>
      <c r="I5" s="84">
        <f t="shared" ref="I5:I15" si="31">-H5+K5</f>
        <v>7.1990000000000691</v>
      </c>
      <c r="J5" s="87">
        <f t="shared" ref="J5:J15" si="32">(E5-G5)/G5</f>
        <v>2.7711899410308776E-3</v>
      </c>
      <c r="K5" s="84">
        <f t="shared" ref="K5:K15" si="33">F5*E5</f>
        <v>2605</v>
      </c>
      <c r="L5" s="84">
        <f t="shared" ref="L5:L15" si="34">I5-I4</f>
        <v>-26.999999999999943</v>
      </c>
      <c r="M5" s="84">
        <f t="shared" ref="M5:M15" si="35">IF(D5*E5*5/10000&gt;5,D5*E5*5/10000,5)</f>
        <v>5</v>
      </c>
      <c r="N5" s="137">
        <f t="shared" si="9"/>
        <v>0</v>
      </c>
      <c r="O5" s="137"/>
      <c r="P5" s="138">
        <f t="shared" si="10"/>
        <v>1.4397999999999911E-2</v>
      </c>
      <c r="Q5" s="137">
        <f t="shared" si="11"/>
        <v>-2089</v>
      </c>
      <c r="R5" s="159"/>
      <c r="S5" s="159">
        <f t="shared" si="12"/>
        <v>17402.199000000001</v>
      </c>
      <c r="T5" s="159">
        <f t="shared" si="13"/>
        <v>3340.1533589251439</v>
      </c>
      <c r="U5" s="159">
        <f t="shared" si="14"/>
        <v>3840.1533589251439</v>
      </c>
      <c r="V5" s="137">
        <f t="shared" si="15"/>
        <v>20000</v>
      </c>
      <c r="W5" s="138">
        <f t="shared" si="16"/>
        <v>5.2081253352855637</v>
      </c>
      <c r="X5" s="138">
        <f t="shared" si="17"/>
        <v>1.2523335285563597E-2</v>
      </c>
      <c r="Y5" s="138">
        <f t="shared" si="18"/>
        <v>1.8746647144363138E-3</v>
      </c>
      <c r="Z5" s="160">
        <f t="shared" si="19"/>
        <v>0.1302031333821391</v>
      </c>
      <c r="AA5" s="137">
        <f>SUM(L$2:L15)-SUM(AB$2:AB15)</f>
        <v>-493.95699999999994</v>
      </c>
      <c r="AB5" s="161"/>
      <c r="AC5" s="157">
        <f>I5/E5*(1-0.0005)</f>
        <v>1.3810749520153685</v>
      </c>
      <c r="AD5" s="157">
        <f>AC5-F5</f>
        <v>-498.61892504798465</v>
      </c>
    </row>
    <row r="6" spans="1:30" s="1" customFormat="1" x14ac:dyDescent="0.25">
      <c r="A6" s="101">
        <v>44165</v>
      </c>
      <c r="B6" s="158"/>
      <c r="C6" s="151" t="s">
        <v>337</v>
      </c>
      <c r="D6" s="152">
        <v>400</v>
      </c>
      <c r="E6" s="137">
        <v>5.39</v>
      </c>
      <c r="F6" s="85">
        <f t="shared" si="28"/>
        <v>100</v>
      </c>
      <c r="G6" s="86">
        <f t="shared" si="29"/>
        <v>4.4895699999999996</v>
      </c>
      <c r="H6" s="84">
        <f t="shared" si="30"/>
        <v>448.95699999999994</v>
      </c>
      <c r="I6" s="84">
        <f t="shared" si="31"/>
        <v>90.043000000000063</v>
      </c>
      <c r="J6" s="87">
        <f t="shared" si="32"/>
        <v>0.20056041001699498</v>
      </c>
      <c r="K6" s="84">
        <f t="shared" si="33"/>
        <v>539</v>
      </c>
      <c r="L6" s="84">
        <f t="shared" si="34"/>
        <v>82.843999999999994</v>
      </c>
      <c r="M6" s="84">
        <f t="shared" si="35"/>
        <v>5</v>
      </c>
      <c r="N6" s="137">
        <f t="shared" si="9"/>
        <v>2.1560000000000001</v>
      </c>
      <c r="O6" s="137"/>
      <c r="P6" s="138">
        <f t="shared" si="10"/>
        <v>0.90043000000000006</v>
      </c>
      <c r="Q6" s="137">
        <f t="shared" si="11"/>
        <v>2148.8440000000001</v>
      </c>
      <c r="R6" s="159"/>
      <c r="S6" s="159">
        <f t="shared" si="12"/>
        <v>19551.043000000001</v>
      </c>
      <c r="T6" s="159">
        <f t="shared" si="13"/>
        <v>3627.280705009277</v>
      </c>
      <c r="U6" s="159">
        <f t="shared" si="14"/>
        <v>3727.280705009277</v>
      </c>
      <c r="V6" s="137">
        <f t="shared" si="15"/>
        <v>20000</v>
      </c>
      <c r="W6" s="138">
        <f t="shared" si="16"/>
        <v>5.3658421736578656</v>
      </c>
      <c r="X6" s="138">
        <f t="shared" si="17"/>
        <v>0.87627217365786603</v>
      </c>
      <c r="Y6" s="138">
        <f t="shared" si="18"/>
        <v>2.4157826342134037E-2</v>
      </c>
      <c r="Z6" s="160">
        <f t="shared" si="19"/>
        <v>2.6829210868289328E-2</v>
      </c>
      <c r="AA6" s="137">
        <f>SUM(L$2:L17)-SUM(AB$2:AB17)</f>
        <v>-493.95699999999994</v>
      </c>
      <c r="AB6" s="161"/>
      <c r="AC6" s="157">
        <f>I6/E6*(1-0.0005)</f>
        <v>16.697213079777377</v>
      </c>
      <c r="AD6" s="157">
        <f>AC6-F6</f>
        <v>-83.302786920222616</v>
      </c>
    </row>
    <row r="7" spans="1:30" s="1" customFormat="1" x14ac:dyDescent="0.25">
      <c r="A7" s="101"/>
      <c r="B7" s="158"/>
      <c r="C7" s="151"/>
      <c r="D7" s="152"/>
      <c r="E7" s="137"/>
      <c r="F7" s="85">
        <f t="shared" si="28"/>
        <v>100</v>
      </c>
      <c r="G7" s="86">
        <f t="shared" si="29"/>
        <v>4.5395699999999994</v>
      </c>
      <c r="H7" s="84">
        <f t="shared" si="30"/>
        <v>453.95699999999994</v>
      </c>
      <c r="I7" s="84">
        <f t="shared" si="31"/>
        <v>-453.95699999999994</v>
      </c>
      <c r="J7" s="87">
        <f t="shared" si="32"/>
        <v>-1</v>
      </c>
      <c r="K7" s="84">
        <f t="shared" si="33"/>
        <v>0</v>
      </c>
      <c r="L7" s="84">
        <f t="shared" si="34"/>
        <v>-544</v>
      </c>
      <c r="M7" s="84">
        <f t="shared" si="35"/>
        <v>5</v>
      </c>
      <c r="N7" s="163">
        <f t="shared" si="9"/>
        <v>0</v>
      </c>
      <c r="O7" s="163"/>
      <c r="P7" s="165">
        <f t="shared" si="10"/>
        <v>-4.5395699999999994</v>
      </c>
      <c r="Q7" s="163">
        <f t="shared" si="11"/>
        <v>-5</v>
      </c>
      <c r="R7" s="167"/>
      <c r="S7" s="167">
        <f t="shared" si="12"/>
        <v>19546.043000000001</v>
      </c>
      <c r="T7" s="167" t="e">
        <f t="shared" si="13"/>
        <v>#DIV/0!</v>
      </c>
      <c r="U7" s="167" t="e">
        <f t="shared" si="14"/>
        <v>#DIV/0!</v>
      </c>
      <c r="V7" s="163">
        <f t="shared" si="15"/>
        <v>20000</v>
      </c>
      <c r="W7" s="165" t="e">
        <f t="shared" si="16"/>
        <v>#DIV/0!</v>
      </c>
      <c r="X7" s="165" t="e">
        <f t="shared" si="17"/>
        <v>#DIV/0!</v>
      </c>
      <c r="Y7" s="165" t="e">
        <f t="shared" si="18"/>
        <v>#DIV/0!</v>
      </c>
      <c r="Z7" s="168" t="e">
        <f t="shared" si="19"/>
        <v>#DIV/0!</v>
      </c>
      <c r="AA7" s="163">
        <f>SUM(L$2:L19)-SUM(AB$2:AB19)</f>
        <v>-493.95699999999994</v>
      </c>
      <c r="AB7" s="169"/>
      <c r="AC7" s="157" t="e">
        <f>I7/E7*(1-0.0005)</f>
        <v>#DIV/0!</v>
      </c>
      <c r="AD7" s="157" t="e">
        <f>AC7-F7</f>
        <v>#DIV/0!</v>
      </c>
    </row>
    <row r="8" spans="1:30" s="1" customFormat="1" x14ac:dyDescent="0.25">
      <c r="A8" s="186"/>
      <c r="B8" s="158"/>
      <c r="C8" s="151"/>
      <c r="D8" s="152"/>
      <c r="E8" s="137"/>
      <c r="F8" s="85">
        <f t="shared" si="28"/>
        <v>100</v>
      </c>
      <c r="G8" s="86">
        <f t="shared" si="29"/>
        <v>4.5895699999999993</v>
      </c>
      <c r="H8" s="84">
        <f t="shared" si="30"/>
        <v>458.95699999999994</v>
      </c>
      <c r="I8" s="84">
        <f t="shared" si="31"/>
        <v>-458.95699999999994</v>
      </c>
      <c r="J8" s="87">
        <f t="shared" si="32"/>
        <v>-1</v>
      </c>
      <c r="K8" s="84">
        <f t="shared" si="33"/>
        <v>0</v>
      </c>
      <c r="L8" s="84">
        <f t="shared" si="34"/>
        <v>-5</v>
      </c>
      <c r="M8" s="84">
        <f t="shared" si="35"/>
        <v>5</v>
      </c>
      <c r="N8" s="163">
        <f t="shared" si="9"/>
        <v>0</v>
      </c>
      <c r="O8" s="163"/>
      <c r="P8" s="165">
        <f t="shared" si="10"/>
        <v>-4.5895699999999993</v>
      </c>
      <c r="Q8" s="163">
        <f t="shared" si="11"/>
        <v>-5</v>
      </c>
      <c r="R8" s="167"/>
      <c r="S8" s="167">
        <f t="shared" si="12"/>
        <v>19541.043000000001</v>
      </c>
      <c r="T8" s="167" t="e">
        <f t="shared" si="13"/>
        <v>#DIV/0!</v>
      </c>
      <c r="U8" s="167" t="e">
        <f t="shared" si="14"/>
        <v>#DIV/0!</v>
      </c>
      <c r="V8" s="163">
        <f t="shared" si="15"/>
        <v>20000</v>
      </c>
      <c r="W8" s="165" t="e">
        <f t="shared" si="16"/>
        <v>#DIV/0!</v>
      </c>
      <c r="X8" s="165" t="e">
        <f t="shared" si="17"/>
        <v>#DIV/0!</v>
      </c>
      <c r="Y8" s="165" t="e">
        <f t="shared" si="18"/>
        <v>#DIV/0!</v>
      </c>
      <c r="Z8" s="168" t="e">
        <f t="shared" si="19"/>
        <v>#DIV/0!</v>
      </c>
      <c r="AA8" s="163">
        <f>SUM(L$2:L21)-SUM(AB$2:AB21)</f>
        <v>-493.95699999999994</v>
      </c>
      <c r="AB8" s="169"/>
      <c r="AC8" s="157" t="e">
        <f>I8/E8*(1-0.0005)</f>
        <v>#DIV/0!</v>
      </c>
      <c r="AD8" s="157" t="e">
        <f>AC8-F8</f>
        <v>#DIV/0!</v>
      </c>
    </row>
    <row r="9" spans="1:30" s="1" customFormat="1" x14ac:dyDescent="0.25">
      <c r="A9" s="186"/>
      <c r="B9" s="158"/>
      <c r="C9" s="151"/>
      <c r="D9" s="152"/>
      <c r="E9" s="137"/>
      <c r="F9" s="85">
        <f t="shared" si="28"/>
        <v>100</v>
      </c>
      <c r="G9" s="86">
        <f t="shared" si="29"/>
        <v>4.6395699999999991</v>
      </c>
      <c r="H9" s="84">
        <f t="shared" si="30"/>
        <v>463.95699999999994</v>
      </c>
      <c r="I9" s="84">
        <f t="shared" si="31"/>
        <v>-463.95699999999994</v>
      </c>
      <c r="J9" s="87">
        <f t="shared" si="32"/>
        <v>-1</v>
      </c>
      <c r="K9" s="84">
        <f t="shared" si="33"/>
        <v>0</v>
      </c>
      <c r="L9" s="84">
        <f t="shared" si="34"/>
        <v>-5</v>
      </c>
      <c r="M9" s="84">
        <f t="shared" si="35"/>
        <v>5</v>
      </c>
      <c r="N9" s="163">
        <f t="shared" ref="N9:N15" si="36">IF(C9="卖",D9*E9/1000,0)</f>
        <v>0</v>
      </c>
      <c r="O9" s="163"/>
      <c r="P9" s="165">
        <f t="shared" ref="P9:P15" si="37">E9-G9</f>
        <v>-4.6395699999999991</v>
      </c>
      <c r="Q9" s="163">
        <f t="shared" ref="Q9:Q15" si="38">(H9-H8)*-1</f>
        <v>-5</v>
      </c>
      <c r="R9" s="167"/>
      <c r="S9" s="167">
        <f t="shared" ref="S9:S15" si="39">S8+Q9+O9+R9</f>
        <v>19536.043000000001</v>
      </c>
      <c r="T9" s="167" t="e">
        <f t="shared" ref="T9:T15" si="40">S9/E9</f>
        <v>#DIV/0!</v>
      </c>
      <c r="U9" s="167" t="e">
        <f t="shared" ref="U9:U15" si="41">F9+T9</f>
        <v>#DIV/0!</v>
      </c>
      <c r="V9" s="163">
        <f t="shared" ref="V9:V15" si="42">H9+S9</f>
        <v>20000</v>
      </c>
      <c r="W9" s="165" t="e">
        <f t="shared" ref="W9:W15" si="43">V9/U9</f>
        <v>#DIV/0!</v>
      </c>
      <c r="X9" s="165" t="e">
        <f t="shared" ref="X9:X15" si="44">W9-G9</f>
        <v>#DIV/0!</v>
      </c>
      <c r="Y9" s="165" t="e">
        <f t="shared" ref="Y9:Y15" si="45">(X9-P9)*-1</f>
        <v>#DIV/0!</v>
      </c>
      <c r="Z9" s="168" t="e">
        <f t="shared" ref="Z9:Z15" si="46">F9/U9</f>
        <v>#DIV/0!</v>
      </c>
      <c r="AA9" s="163">
        <f>SUM(L$2:L15)-SUM(AB$2:AB15)</f>
        <v>-493.95699999999994</v>
      </c>
      <c r="AB9" s="169"/>
      <c r="AC9" s="157" t="e">
        <f t="shared" ref="AC9:AC15" si="47">I9/E9*(1-0.0005)</f>
        <v>#DIV/0!</v>
      </c>
      <c r="AD9" s="157" t="e">
        <f t="shared" ref="AD9:AD15" si="48">AC9-F9</f>
        <v>#DIV/0!</v>
      </c>
    </row>
    <row r="10" spans="1:30" s="1" customFormat="1" x14ac:dyDescent="0.25">
      <c r="A10" s="186"/>
      <c r="B10" s="158"/>
      <c r="C10" s="151"/>
      <c r="D10" s="152"/>
      <c r="E10" s="137"/>
      <c r="F10" s="85">
        <f t="shared" si="28"/>
        <v>100</v>
      </c>
      <c r="G10" s="86">
        <f t="shared" si="29"/>
        <v>4.6895699999999998</v>
      </c>
      <c r="H10" s="84">
        <f t="shared" si="30"/>
        <v>468.95699999999994</v>
      </c>
      <c r="I10" s="84">
        <f t="shared" si="31"/>
        <v>-468.95699999999994</v>
      </c>
      <c r="J10" s="87">
        <f t="shared" si="32"/>
        <v>-1</v>
      </c>
      <c r="K10" s="84">
        <f t="shared" si="33"/>
        <v>0</v>
      </c>
      <c r="L10" s="84">
        <f t="shared" si="34"/>
        <v>-5</v>
      </c>
      <c r="M10" s="84">
        <f t="shared" si="35"/>
        <v>5</v>
      </c>
      <c r="N10" s="163">
        <f t="shared" si="36"/>
        <v>0</v>
      </c>
      <c r="O10" s="163"/>
      <c r="P10" s="165">
        <f t="shared" si="37"/>
        <v>-4.6895699999999998</v>
      </c>
      <c r="Q10" s="163">
        <f t="shared" si="38"/>
        <v>-5</v>
      </c>
      <c r="R10" s="167"/>
      <c r="S10" s="167">
        <f t="shared" si="39"/>
        <v>19531.043000000001</v>
      </c>
      <c r="T10" s="167" t="e">
        <f t="shared" si="40"/>
        <v>#DIV/0!</v>
      </c>
      <c r="U10" s="167" t="e">
        <f t="shared" si="41"/>
        <v>#DIV/0!</v>
      </c>
      <c r="V10" s="163">
        <f t="shared" si="42"/>
        <v>20000</v>
      </c>
      <c r="W10" s="165" t="e">
        <f t="shared" si="43"/>
        <v>#DIV/0!</v>
      </c>
      <c r="X10" s="165" t="e">
        <f t="shared" si="44"/>
        <v>#DIV/0!</v>
      </c>
      <c r="Y10" s="165" t="e">
        <f t="shared" si="45"/>
        <v>#DIV/0!</v>
      </c>
      <c r="Z10" s="168" t="e">
        <f t="shared" si="46"/>
        <v>#DIV/0!</v>
      </c>
      <c r="AA10" s="163">
        <f>SUM(L$2:L16)-SUM(AB$2:AB16)</f>
        <v>-493.95699999999994</v>
      </c>
      <c r="AB10" s="169"/>
      <c r="AC10" s="157" t="e">
        <f t="shared" si="47"/>
        <v>#DIV/0!</v>
      </c>
      <c r="AD10" s="157" t="e">
        <f t="shared" si="48"/>
        <v>#DIV/0!</v>
      </c>
    </row>
    <row r="11" spans="1:30" s="1" customFormat="1" x14ac:dyDescent="0.25">
      <c r="A11" s="186"/>
      <c r="B11" s="158"/>
      <c r="C11" s="151"/>
      <c r="D11" s="152"/>
      <c r="E11" s="137"/>
      <c r="F11" s="85">
        <f t="shared" si="28"/>
        <v>100</v>
      </c>
      <c r="G11" s="86">
        <f t="shared" si="29"/>
        <v>4.7395699999999996</v>
      </c>
      <c r="H11" s="84">
        <f t="shared" si="30"/>
        <v>473.95699999999994</v>
      </c>
      <c r="I11" s="84">
        <f t="shared" si="31"/>
        <v>-473.95699999999994</v>
      </c>
      <c r="J11" s="87">
        <f t="shared" si="32"/>
        <v>-1</v>
      </c>
      <c r="K11" s="84">
        <f t="shared" si="33"/>
        <v>0</v>
      </c>
      <c r="L11" s="84">
        <f t="shared" si="34"/>
        <v>-5</v>
      </c>
      <c r="M11" s="84">
        <f t="shared" si="35"/>
        <v>5</v>
      </c>
      <c r="N11" s="163">
        <f t="shared" si="36"/>
        <v>0</v>
      </c>
      <c r="O11" s="163"/>
      <c r="P11" s="165">
        <f t="shared" si="37"/>
        <v>-4.7395699999999996</v>
      </c>
      <c r="Q11" s="163">
        <f t="shared" si="38"/>
        <v>-5</v>
      </c>
      <c r="R11" s="167"/>
      <c r="S11" s="167">
        <f t="shared" si="39"/>
        <v>19526.043000000001</v>
      </c>
      <c r="T11" s="167" t="e">
        <f t="shared" si="40"/>
        <v>#DIV/0!</v>
      </c>
      <c r="U11" s="167" t="e">
        <f t="shared" si="41"/>
        <v>#DIV/0!</v>
      </c>
      <c r="V11" s="163">
        <f t="shared" si="42"/>
        <v>20000</v>
      </c>
      <c r="W11" s="165" t="e">
        <f t="shared" si="43"/>
        <v>#DIV/0!</v>
      </c>
      <c r="X11" s="165" t="e">
        <f t="shared" si="44"/>
        <v>#DIV/0!</v>
      </c>
      <c r="Y11" s="165" t="e">
        <f t="shared" si="45"/>
        <v>#DIV/0!</v>
      </c>
      <c r="Z11" s="168" t="e">
        <f t="shared" si="46"/>
        <v>#DIV/0!</v>
      </c>
      <c r="AA11" s="163">
        <f>SUM(L$2:L17)-SUM(AB$2:AB17)</f>
        <v>-493.95699999999994</v>
      </c>
      <c r="AB11" s="169"/>
      <c r="AC11" s="157" t="e">
        <f t="shared" si="47"/>
        <v>#DIV/0!</v>
      </c>
      <c r="AD11" s="157" t="e">
        <f t="shared" si="48"/>
        <v>#DIV/0!</v>
      </c>
    </row>
    <row r="12" spans="1:30" x14ac:dyDescent="0.25">
      <c r="A12" s="186"/>
      <c r="B12" s="158"/>
      <c r="C12" s="151"/>
      <c r="D12" s="152"/>
      <c r="E12" s="137"/>
      <c r="F12" s="85">
        <f t="shared" si="28"/>
        <v>100</v>
      </c>
      <c r="G12" s="86">
        <f t="shared" si="29"/>
        <v>4.7895699999999994</v>
      </c>
      <c r="H12" s="84">
        <f t="shared" si="30"/>
        <v>478.95699999999994</v>
      </c>
      <c r="I12" s="84">
        <f t="shared" si="31"/>
        <v>-478.95699999999994</v>
      </c>
      <c r="J12" s="87">
        <f t="shared" si="32"/>
        <v>-1</v>
      </c>
      <c r="K12" s="84">
        <f t="shared" si="33"/>
        <v>0</v>
      </c>
      <c r="L12" s="84">
        <f t="shared" si="34"/>
        <v>-5</v>
      </c>
      <c r="M12" s="84">
        <f t="shared" si="35"/>
        <v>5</v>
      </c>
      <c r="N12" s="163">
        <f t="shared" si="36"/>
        <v>0</v>
      </c>
      <c r="O12" s="163"/>
      <c r="P12" s="165">
        <f t="shared" si="37"/>
        <v>-4.7895699999999994</v>
      </c>
      <c r="Q12" s="163">
        <f t="shared" si="38"/>
        <v>-5</v>
      </c>
      <c r="R12" s="167"/>
      <c r="S12" s="167">
        <f t="shared" si="39"/>
        <v>19521.043000000001</v>
      </c>
      <c r="T12" s="167" t="e">
        <f t="shared" si="40"/>
        <v>#DIV/0!</v>
      </c>
      <c r="U12" s="167" t="e">
        <f t="shared" si="41"/>
        <v>#DIV/0!</v>
      </c>
      <c r="V12" s="163">
        <f t="shared" si="42"/>
        <v>20000</v>
      </c>
      <c r="W12" s="165" t="e">
        <f t="shared" si="43"/>
        <v>#DIV/0!</v>
      </c>
      <c r="X12" s="165" t="e">
        <f t="shared" si="44"/>
        <v>#DIV/0!</v>
      </c>
      <c r="Y12" s="165" t="e">
        <f t="shared" si="45"/>
        <v>#DIV/0!</v>
      </c>
      <c r="Z12" s="168" t="e">
        <f t="shared" si="46"/>
        <v>#DIV/0!</v>
      </c>
      <c r="AA12" s="163">
        <f>SUM(L$2:L18)-SUM(AB$2:AB18)</f>
        <v>-493.95699999999994</v>
      </c>
      <c r="AB12" s="169"/>
      <c r="AC12" s="157" t="e">
        <f t="shared" si="47"/>
        <v>#DIV/0!</v>
      </c>
      <c r="AD12" s="157" t="e">
        <f t="shared" si="48"/>
        <v>#DIV/0!</v>
      </c>
    </row>
    <row r="13" spans="1:30" x14ac:dyDescent="0.25">
      <c r="A13" s="186"/>
      <c r="B13" s="158"/>
      <c r="C13" s="151"/>
      <c r="D13" s="152"/>
      <c r="E13" s="137"/>
      <c r="F13" s="85">
        <f t="shared" si="28"/>
        <v>100</v>
      </c>
      <c r="G13" s="86">
        <f t="shared" si="29"/>
        <v>4.8395699999999993</v>
      </c>
      <c r="H13" s="84">
        <f t="shared" si="30"/>
        <v>483.95699999999994</v>
      </c>
      <c r="I13" s="84">
        <f t="shared" si="31"/>
        <v>-483.95699999999994</v>
      </c>
      <c r="J13" s="87">
        <f t="shared" si="32"/>
        <v>-1</v>
      </c>
      <c r="K13" s="84">
        <f t="shared" si="33"/>
        <v>0</v>
      </c>
      <c r="L13" s="84">
        <f t="shared" si="34"/>
        <v>-5</v>
      </c>
      <c r="M13" s="84">
        <f t="shared" si="35"/>
        <v>5</v>
      </c>
      <c r="N13" s="163">
        <f t="shared" si="36"/>
        <v>0</v>
      </c>
      <c r="O13" s="163"/>
      <c r="P13" s="165">
        <f t="shared" si="37"/>
        <v>-4.8395699999999993</v>
      </c>
      <c r="Q13" s="163">
        <f t="shared" si="38"/>
        <v>-5</v>
      </c>
      <c r="R13" s="167"/>
      <c r="S13" s="167">
        <f t="shared" si="39"/>
        <v>19516.043000000001</v>
      </c>
      <c r="T13" s="167" t="e">
        <f t="shared" si="40"/>
        <v>#DIV/0!</v>
      </c>
      <c r="U13" s="167" t="e">
        <f t="shared" si="41"/>
        <v>#DIV/0!</v>
      </c>
      <c r="V13" s="163">
        <f t="shared" si="42"/>
        <v>20000</v>
      </c>
      <c r="W13" s="165" t="e">
        <f t="shared" si="43"/>
        <v>#DIV/0!</v>
      </c>
      <c r="X13" s="165" t="e">
        <f t="shared" si="44"/>
        <v>#DIV/0!</v>
      </c>
      <c r="Y13" s="165" t="e">
        <f t="shared" si="45"/>
        <v>#DIV/0!</v>
      </c>
      <c r="Z13" s="168" t="e">
        <f t="shared" si="46"/>
        <v>#DIV/0!</v>
      </c>
      <c r="AA13" s="163">
        <f>SUM(L$2:L19)-SUM(AB$2:AB19)</f>
        <v>-493.95699999999994</v>
      </c>
      <c r="AB13" s="169"/>
      <c r="AC13" s="157" t="e">
        <f t="shared" si="47"/>
        <v>#DIV/0!</v>
      </c>
      <c r="AD13" s="157" t="e">
        <f t="shared" si="48"/>
        <v>#DIV/0!</v>
      </c>
    </row>
    <row r="14" spans="1:30" x14ac:dyDescent="0.25">
      <c r="A14" s="186"/>
      <c r="B14" s="158"/>
      <c r="C14" s="151"/>
      <c r="D14" s="152"/>
      <c r="E14" s="137"/>
      <c r="F14" s="85">
        <f t="shared" si="28"/>
        <v>100</v>
      </c>
      <c r="G14" s="86">
        <f t="shared" si="29"/>
        <v>4.8895699999999991</v>
      </c>
      <c r="H14" s="84">
        <f t="shared" si="30"/>
        <v>488.95699999999994</v>
      </c>
      <c r="I14" s="84">
        <f t="shared" si="31"/>
        <v>-488.95699999999994</v>
      </c>
      <c r="J14" s="87">
        <f t="shared" si="32"/>
        <v>-1</v>
      </c>
      <c r="K14" s="84">
        <f t="shared" si="33"/>
        <v>0</v>
      </c>
      <c r="L14" s="84">
        <f t="shared" si="34"/>
        <v>-5</v>
      </c>
      <c r="M14" s="84">
        <f t="shared" si="35"/>
        <v>5</v>
      </c>
      <c r="N14" s="163">
        <f t="shared" si="36"/>
        <v>0</v>
      </c>
      <c r="O14" s="163"/>
      <c r="P14" s="165">
        <f t="shared" si="37"/>
        <v>-4.8895699999999991</v>
      </c>
      <c r="Q14" s="163">
        <f t="shared" si="38"/>
        <v>-5</v>
      </c>
      <c r="R14" s="167"/>
      <c r="S14" s="167">
        <f t="shared" si="39"/>
        <v>19511.043000000001</v>
      </c>
      <c r="T14" s="167" t="e">
        <f t="shared" si="40"/>
        <v>#DIV/0!</v>
      </c>
      <c r="U14" s="167" t="e">
        <f t="shared" si="41"/>
        <v>#DIV/0!</v>
      </c>
      <c r="V14" s="163">
        <f t="shared" si="42"/>
        <v>20000</v>
      </c>
      <c r="W14" s="165" t="e">
        <f t="shared" si="43"/>
        <v>#DIV/0!</v>
      </c>
      <c r="X14" s="165" t="e">
        <f t="shared" si="44"/>
        <v>#DIV/0!</v>
      </c>
      <c r="Y14" s="165" t="e">
        <f t="shared" si="45"/>
        <v>#DIV/0!</v>
      </c>
      <c r="Z14" s="168" t="e">
        <f t="shared" si="46"/>
        <v>#DIV/0!</v>
      </c>
      <c r="AA14" s="163">
        <f>SUM(L$2:L20)-SUM(AB$2:AB20)</f>
        <v>-493.95699999999994</v>
      </c>
      <c r="AB14" s="169"/>
      <c r="AC14" s="157" t="e">
        <f t="shared" si="47"/>
        <v>#DIV/0!</v>
      </c>
      <c r="AD14" s="157" t="e">
        <f t="shared" si="48"/>
        <v>#DIV/0!</v>
      </c>
    </row>
    <row r="15" spans="1:30" x14ac:dyDescent="0.25">
      <c r="A15" s="153"/>
      <c r="B15" s="126"/>
      <c r="C15" s="127"/>
      <c r="D15" s="85"/>
      <c r="E15" s="84"/>
      <c r="F15" s="85">
        <f t="shared" si="28"/>
        <v>100</v>
      </c>
      <c r="G15" s="86">
        <f t="shared" si="29"/>
        <v>4.9395699999999998</v>
      </c>
      <c r="H15" s="84">
        <f t="shared" si="30"/>
        <v>493.95699999999994</v>
      </c>
      <c r="I15" s="84">
        <f t="shared" si="31"/>
        <v>-493.95699999999994</v>
      </c>
      <c r="J15" s="87">
        <f t="shared" si="32"/>
        <v>-1</v>
      </c>
      <c r="K15" s="84">
        <f t="shared" si="33"/>
        <v>0</v>
      </c>
      <c r="L15" s="84">
        <f t="shared" si="34"/>
        <v>-5</v>
      </c>
      <c r="M15" s="84">
        <f t="shared" si="35"/>
        <v>5</v>
      </c>
      <c r="N15" s="173">
        <f t="shared" si="36"/>
        <v>0</v>
      </c>
      <c r="O15" s="173"/>
      <c r="P15" s="182">
        <f t="shared" si="37"/>
        <v>-4.9395699999999998</v>
      </c>
      <c r="Q15" s="173">
        <f t="shared" si="38"/>
        <v>-5</v>
      </c>
      <c r="R15" s="183"/>
      <c r="S15" s="183">
        <f t="shared" si="39"/>
        <v>19506.043000000001</v>
      </c>
      <c r="T15" s="183" t="e">
        <f t="shared" si="40"/>
        <v>#DIV/0!</v>
      </c>
      <c r="U15" s="183" t="e">
        <f t="shared" si="41"/>
        <v>#DIV/0!</v>
      </c>
      <c r="V15" s="173">
        <f t="shared" si="42"/>
        <v>20000</v>
      </c>
      <c r="W15" s="182" t="e">
        <f t="shared" si="43"/>
        <v>#DIV/0!</v>
      </c>
      <c r="X15" s="182" t="e">
        <f t="shared" si="44"/>
        <v>#DIV/0!</v>
      </c>
      <c r="Y15" s="182" t="e">
        <f t="shared" si="45"/>
        <v>#DIV/0!</v>
      </c>
      <c r="Z15" s="184" t="e">
        <f t="shared" si="46"/>
        <v>#DIV/0!</v>
      </c>
      <c r="AA15" s="173">
        <f>SUM(L$2:L21)-SUM(AB$2:AB21)</f>
        <v>-493.95699999999994</v>
      </c>
      <c r="AB15" s="185"/>
      <c r="AC15" s="157" t="e">
        <f t="shared" si="47"/>
        <v>#DIV/0!</v>
      </c>
      <c r="AD15" s="157" t="e">
        <f t="shared" si="48"/>
        <v>#DIV/0!</v>
      </c>
    </row>
    <row r="16" spans="1:30" x14ac:dyDescent="0.25">
      <c r="A16" s="101"/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25">
      <c r="A17" s="101"/>
      <c r="B17" s="5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25">
      <c r="A18" s="101"/>
      <c r="B18" s="5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25">
      <c r="A19" s="101"/>
    </row>
    <row r="20" spans="1:30" x14ac:dyDescent="0.25">
      <c r="A20" s="101"/>
    </row>
    <row r="21" spans="1:30" x14ac:dyDescent="0.25">
      <c r="A21" s="101"/>
    </row>
  </sheetData>
  <phoneticPr fontId="10" type="noConversion"/>
  <conditionalFormatting sqref="Y1">
    <cfRule type="top10" dxfId="30" priority="1" bottom="1" rank="10"/>
  </conditionalFormatting>
  <dataValidations count="1">
    <dataValidation type="list" allowBlank="1" showInputMessage="1" showErrorMessage="1" sqref="C2:C15">
      <formula1>"买,卖"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2.xml>�� 
</file>

<file path=customXml/item3.xml>�� h� h� 
</file>

<file path=customXml/item4.xml>�� h� 
</file>

<file path=customXml/item5.xml>�� h� 
</file>

<file path=customXml/item6.xml>�� 
</file>

<file path=customXml/item7.xml>�� 
</file>

<file path=customXml/item8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9.xml>�� 
</file>

<file path=customXml/item10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1.xml>�� 
</file>

<file path=customXml/item12.xml>�� h�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F80A71CA-132A-4426-BCF0-8BF437557522}">
  <ds:schemaRefs/>
</ds:datastoreItem>
</file>

<file path=customXml/itemProps2.xml><?xml version="1.0" encoding="utf-8"?>
<ds:datastoreItem xmlns:ds="http://schemas.openxmlformats.org/officeDocument/2006/customXml" ds:itemID="{4011D944-39BD-479E-B152-D25CD02FA33E}">
  <ds:schemaRefs/>
</ds:datastoreItem>
</file>

<file path=customXml/itemProps3.xml><?xml version="1.0" encoding="utf-8"?>
<ds:datastoreItem xmlns:ds="http://schemas.openxmlformats.org/officeDocument/2006/customXml" ds:itemID="{5480C463-6B32-4718-9314-C38E6E6878E5}">
  <ds:schemaRefs/>
</ds:datastoreItem>
</file>

<file path=customXml/itemProps4.xml><?xml version="1.0" encoding="utf-8"?>
<ds:datastoreItem xmlns:ds="http://schemas.openxmlformats.org/officeDocument/2006/customXml" ds:itemID="{D8406731-E3E4-4F72-8D6B-6680D048408C}">
  <ds:schemaRefs/>
</ds:datastoreItem>
</file>

<file path=customXml/itemProps5.xml><?xml version="1.0" encoding="utf-8"?>
<ds:datastoreItem xmlns:ds="http://schemas.openxmlformats.org/officeDocument/2006/customXml" ds:itemID="{98CD9F19-936D-4D96-A61C-536EFA49F191}">
  <ds:schemaRefs/>
</ds:datastoreItem>
</file>

<file path=customXml/itemProps6.xml><?xml version="1.0" encoding="utf-8"?>
<ds:datastoreItem xmlns:ds="http://schemas.openxmlformats.org/officeDocument/2006/customXml" ds:itemID="{932919B5-8638-4DE0-AF39-49612B099223}">
  <ds:schemaRefs/>
</ds:datastoreItem>
</file>

<file path=customXml/itemProps7.xml><?xml version="1.0" encoding="utf-8"?>
<ds:datastoreItem xmlns:ds="http://schemas.openxmlformats.org/officeDocument/2006/customXml" ds:itemID="{CA37A915-5A25-44CE-8A72-D738C8B94EE3}">
  <ds:schemaRefs/>
</ds:datastoreItem>
</file>

<file path=customXml/itemProps8.xml><?xml version="1.0" encoding="utf-8"?>
<ds:datastoreItem xmlns:ds="http://schemas.openxmlformats.org/officeDocument/2006/customXml" ds:itemID="{9A0DCF82-8D57-40B9-96E7-7ECA9CB693FC}">
  <ds:schemaRefs/>
</ds:datastoreItem>
</file>

<file path=customXml/itemProps9.xml><?xml version="1.0" encoding="utf-8"?>
<ds:datastoreItem xmlns:ds="http://schemas.openxmlformats.org/officeDocument/2006/customXml" ds:itemID="{67E3CBE1-2D54-4F5C-86F4-9662252567ED}">
  <ds:schemaRefs/>
</ds:datastoreItem>
</file>

<file path=customXml/itemProps10.xml><?xml version="1.0" encoding="utf-8"?>
<ds:datastoreItem xmlns:ds="http://schemas.openxmlformats.org/officeDocument/2006/customXml" ds:itemID="{A7FDCFF7-ECFE-4D71-AA78-B42233536650}">
  <ds:schemaRefs/>
</ds:datastoreItem>
</file>

<file path=customXml/itemProps11.xml><?xml version="1.0" encoding="utf-8"?>
<ds:datastoreItem xmlns:ds="http://schemas.openxmlformats.org/officeDocument/2006/customXml" ds:itemID="{6E26BCB0-D2FC-4604-A11B-D4BB68DCDDBE}">
  <ds:schemaRefs/>
</ds:datastoreItem>
</file>

<file path=customXml/itemProps12.xml><?xml version="1.0" encoding="utf-8"?>
<ds:datastoreItem xmlns:ds="http://schemas.openxmlformats.org/officeDocument/2006/customXml" ds:itemID="{8AAFC91B-EDB4-44B5-BD66-4F070C418923}">
  <ds:schemaRefs/>
</ds:datastoreItem>
</file>

<file path=customXml/itemProps13.xml><?xml version="1.0" encoding="utf-8"?>
<ds:datastoreItem xmlns:ds="http://schemas.openxmlformats.org/officeDocument/2006/customXml" ds:itemID="{E0225DE7-A706-4D72-9F53-96F0A16CCB53}">
  <ds:schemaRefs/>
</ds:datastoreItem>
</file>

<file path=customXml/itemProps14.xml><?xml version="1.0" encoding="utf-8"?>
<ds:datastoreItem xmlns:ds="http://schemas.openxmlformats.org/officeDocument/2006/customXml" ds:itemID="{134BD6DB-B964-44B9-8149-27203CC2185C}">
  <ds:schemaRefs/>
</ds:datastoreItem>
</file>

<file path=customXml/itemProps15.xml><?xml version="1.0" encoding="utf-8"?>
<ds:datastoreItem xmlns:ds="http://schemas.openxmlformats.org/officeDocument/2006/customXml" ds:itemID="{F7C1776F-566E-4F53-A83E-B575E4FB1A6C}">
  <ds:schemaRefs/>
</ds:datastoreItem>
</file>

<file path=customXml/itemProps16.xml><?xml version="1.0" encoding="utf-8"?>
<ds:datastoreItem xmlns:ds="http://schemas.openxmlformats.org/officeDocument/2006/customXml" ds:itemID="{434DBB52-1781-4A54-900C-D9EE23BD1731}">
  <ds:schemaRefs/>
</ds:datastoreItem>
</file>

<file path=customXml/itemProps17.xml><?xml version="1.0" encoding="utf-8"?>
<ds:datastoreItem xmlns:ds="http://schemas.openxmlformats.org/officeDocument/2006/customXml" ds:itemID="{FDD43726-4BAC-4A33-955B-32D75ED685D0}">
  <ds:schemaRefs/>
</ds:datastoreItem>
</file>

<file path=customXml/itemProps18.xml><?xml version="1.0" encoding="utf-8"?>
<ds:datastoreItem xmlns:ds="http://schemas.openxmlformats.org/officeDocument/2006/customXml" ds:itemID="{BDEEE8EE-281E-492B-8EFB-8FF5B7B0B4D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账户总览</vt:lpstr>
      <vt:lpstr>总账户流水单</vt:lpstr>
      <vt:lpstr>资产负债表</vt:lpstr>
      <vt:lpstr>资产端序时</vt:lpstr>
      <vt:lpstr>负债端序时</vt:lpstr>
      <vt:lpstr>逐日资产统计</vt:lpstr>
      <vt:lpstr>中国石油</vt:lpstr>
      <vt:lpstr>南京银行</vt:lpstr>
      <vt:lpstr>京东方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2017-02-18T06:16:00Z</dcterms:created>
  <dcterms:modified xsi:type="dcterms:W3CDTF">2020-12-20T13:30:19Z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d1f4affa-93da-4fca-af66-80bf10a13502</vt:lpwstr>
  </property>
</Properties>
</file>