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OneDrive\国寿养老工作\财务部工作\财务分析\"/>
    </mc:Choice>
  </mc:AlternateContent>
  <bookViews>
    <workbookView xWindow="0" yWindow="0" windowWidth="23040" windowHeight="8520" activeTab="2"/>
  </bookViews>
  <sheets>
    <sheet name="资产负债表" sheetId="1" r:id="rId1"/>
    <sheet name="利润表" sheetId="2" r:id="rId2"/>
    <sheet name="现金流量表" sheetId="6" r:id="rId3"/>
    <sheet name="费用明细表" sheetId="3" r:id="rId4"/>
    <sheet name="统计中间体" sheetId="4" r:id="rId5"/>
    <sheet name="费用统计报表表格" sheetId="5" r:id="rId6"/>
  </sheets>
  <definedNames>
    <definedName name="_xlnm._FilterDatabase" localSheetId="3" hidden="1">费用明细表!$A$1:$F$577</definedName>
    <definedName name="_xlnm._FilterDatabase" localSheetId="1" hidden="1">利润表!$A$1:$F$540</definedName>
    <definedName name="_xlnm._FilterDatabase" localSheetId="0" hidden="1">资产负债表!$A$1:$E$1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40" i="5" l="1"/>
  <c r="V40" i="5"/>
  <c r="X27" i="5"/>
  <c r="X28" i="5"/>
  <c r="X29" i="5"/>
  <c r="X30" i="5"/>
  <c r="X31" i="5"/>
  <c r="X32" i="5"/>
  <c r="X33" i="5"/>
  <c r="X35" i="5"/>
  <c r="U34" i="5"/>
  <c r="X34" i="5" s="1"/>
  <c r="T34" i="5"/>
  <c r="V27" i="5"/>
  <c r="V28" i="5"/>
  <c r="V29" i="5"/>
  <c r="V30" i="5"/>
  <c r="V31" i="5"/>
  <c r="V32" i="5"/>
  <c r="V33" i="5"/>
  <c r="V34" i="5" l="1"/>
  <c r="AJ7" i="5" l="1"/>
  <c r="AA2" i="5" l="1"/>
  <c r="AB2" i="5"/>
  <c r="AC2" i="5"/>
  <c r="Z2" i="5"/>
  <c r="AI5" i="5" l="1"/>
  <c r="AI4" i="5"/>
  <c r="AI6" i="5" s="1"/>
  <c r="U26" i="5"/>
  <c r="T26" i="5"/>
  <c r="X26" i="5" l="1"/>
  <c r="V35" i="5"/>
  <c r="V26" i="5"/>
  <c r="AI9" i="5"/>
  <c r="I387" i="3"/>
  <c r="U4" i="5"/>
  <c r="U14" i="5" s="1"/>
  <c r="V4" i="5"/>
  <c r="V14" i="5" s="1"/>
  <c r="T4" i="5"/>
  <c r="T14" i="5" s="1"/>
  <c r="E132" i="3"/>
  <c r="F307" i="2"/>
  <c r="E307" i="2"/>
  <c r="D307" i="2"/>
  <c r="F297" i="2"/>
  <c r="F296" i="2" s="1"/>
  <c r="E297" i="2"/>
  <c r="E296" i="2" s="1"/>
  <c r="D297" i="2"/>
  <c r="D296" i="2" s="1"/>
  <c r="F388" i="3"/>
  <c r="E388" i="3"/>
  <c r="D388" i="3"/>
  <c r="I9" i="5"/>
  <c r="K8" i="5"/>
  <c r="K7" i="5"/>
  <c r="K6" i="5"/>
  <c r="K5" i="5"/>
  <c r="J9" i="5"/>
  <c r="D24" i="5"/>
  <c r="C23" i="5"/>
  <c r="C17" i="5"/>
  <c r="C4" i="5"/>
  <c r="C3" i="5"/>
  <c r="K4" i="5"/>
  <c r="F324" i="3"/>
  <c r="E324" i="3"/>
  <c r="F260" i="3"/>
  <c r="E260" i="3"/>
  <c r="F196" i="3"/>
  <c r="E196" i="3"/>
  <c r="F132" i="3"/>
  <c r="F68" i="3"/>
  <c r="E68" i="3"/>
  <c r="F4" i="3"/>
  <c r="E4" i="3"/>
  <c r="F258" i="2"/>
  <c r="E258" i="2"/>
  <c r="D258" i="2"/>
  <c r="F248" i="2"/>
  <c r="F247" i="2" s="1"/>
  <c r="E248" i="2"/>
  <c r="E247" i="2" s="1"/>
  <c r="D248" i="2"/>
  <c r="D247" i="2" s="1"/>
  <c r="F209" i="2"/>
  <c r="E209" i="2"/>
  <c r="D209" i="2"/>
  <c r="F199" i="2"/>
  <c r="F198" i="2" s="1"/>
  <c r="E199" i="2"/>
  <c r="E198" i="2" s="1"/>
  <c r="D199" i="2"/>
  <c r="D198" i="2" s="1"/>
  <c r="F160" i="2"/>
  <c r="E160" i="2"/>
  <c r="D160" i="2"/>
  <c r="F150" i="2"/>
  <c r="F149" i="2" s="1"/>
  <c r="E150" i="2"/>
  <c r="E149" i="2" s="1"/>
  <c r="D150" i="2"/>
  <c r="D149" i="2" s="1"/>
  <c r="F111" i="2"/>
  <c r="E111" i="2"/>
  <c r="D111" i="2"/>
  <c r="F101" i="2"/>
  <c r="F100" i="2" s="1"/>
  <c r="E101" i="2"/>
  <c r="E100" i="2" s="1"/>
  <c r="D101" i="2"/>
  <c r="D100" i="2" s="1"/>
  <c r="F62" i="2"/>
  <c r="E62" i="2"/>
  <c r="D62" i="2"/>
  <c r="F52" i="2"/>
  <c r="F51" i="2" s="1"/>
  <c r="E52" i="2"/>
  <c r="E51" i="2" s="1"/>
  <c r="D52" i="2"/>
  <c r="D51" i="2" s="1"/>
  <c r="F13" i="2"/>
  <c r="E13" i="2"/>
  <c r="D13" i="2"/>
  <c r="F3" i="2"/>
  <c r="F2" i="2" s="1"/>
  <c r="E3" i="2"/>
  <c r="E2" i="2" s="1"/>
  <c r="D3" i="2"/>
  <c r="D2" i="2" s="1"/>
  <c r="D324" i="3"/>
  <c r="D260" i="3"/>
  <c r="D196" i="3"/>
  <c r="D132" i="3"/>
  <c r="D68" i="3"/>
  <c r="D4" i="3"/>
  <c r="C24" i="5" l="1"/>
  <c r="K9" i="5"/>
  <c r="F333" i="2"/>
  <c r="F336" i="2" s="1"/>
  <c r="F338" i="2" s="1"/>
  <c r="E284" i="2"/>
  <c r="E287" i="2" s="1"/>
  <c r="E333" i="2"/>
  <c r="E336" i="2" s="1"/>
  <c r="E338" i="2" s="1"/>
  <c r="D137" i="2"/>
  <c r="D140" i="2" s="1"/>
  <c r="D142" i="2" s="1"/>
  <c r="F284" i="2"/>
  <c r="F287" i="2" s="1"/>
  <c r="F289" i="2" s="1"/>
  <c r="E137" i="2"/>
  <c r="E140" i="2" s="1"/>
  <c r="E142" i="2" s="1"/>
  <c r="D88" i="2"/>
  <c r="D91" i="2" s="1"/>
  <c r="D93" i="2" s="1"/>
  <c r="D186" i="2"/>
  <c r="D189" i="2" s="1"/>
  <c r="D191" i="2" s="1"/>
  <c r="F235" i="2"/>
  <c r="F238" i="2" s="1"/>
  <c r="F240" i="2" s="1"/>
  <c r="F88" i="2"/>
  <c r="F91" i="2" s="1"/>
  <c r="F93" i="2" s="1"/>
  <c r="E235" i="2"/>
  <c r="E238" i="2" s="1"/>
  <c r="E240" i="2" s="1"/>
  <c r="E39" i="2"/>
  <c r="E42" i="2" s="1"/>
  <c r="E44" i="2" s="1"/>
  <c r="F186" i="2"/>
  <c r="F189" i="2" s="1"/>
  <c r="F191" i="2" s="1"/>
  <c r="E88" i="2"/>
  <c r="E91" i="2" s="1"/>
  <c r="E93" i="2" s="1"/>
  <c r="F137" i="2"/>
  <c r="F140" i="2" s="1"/>
  <c r="F142" i="2" s="1"/>
  <c r="D39" i="2"/>
  <c r="D42" i="2" s="1"/>
  <c r="D44" i="2" s="1"/>
  <c r="F39" i="2"/>
  <c r="F42" i="2" s="1"/>
  <c r="F44" i="2" s="1"/>
  <c r="E186" i="2"/>
  <c r="E189" i="2" s="1"/>
  <c r="E191" i="2" s="1"/>
  <c r="D235" i="2"/>
  <c r="D238" i="2" s="1"/>
  <c r="D240" i="2" s="1"/>
  <c r="D333" i="2"/>
  <c r="D336" i="2" s="1"/>
  <c r="D338" i="2" s="1"/>
  <c r="D284" i="2"/>
  <c r="D287" i="2" s="1"/>
  <c r="D289" i="2" s="1"/>
  <c r="E289" i="2" l="1"/>
  <c r="AH4" i="5"/>
  <c r="AH6" i="5" l="1"/>
  <c r="AJ4" i="5"/>
  <c r="AH9" i="5" l="1"/>
  <c r="AJ9" i="5" s="1"/>
  <c r="AJ6" i="5"/>
</calcChain>
</file>

<file path=xl/sharedStrings.xml><?xml version="1.0" encoding="utf-8"?>
<sst xmlns="http://schemas.openxmlformats.org/spreadsheetml/2006/main" count="3123" uniqueCount="425">
  <si>
    <t>科     目</t>
  </si>
  <si>
    <t>行次</t>
  </si>
  <si>
    <t>本月金额</t>
  </si>
  <si>
    <t>本年累计金额</t>
  </si>
  <si>
    <t>上年同期累计金额</t>
  </si>
  <si>
    <t>一、手续费支出</t>
  </si>
  <si>
    <t>二、佣金支出</t>
  </si>
  <si>
    <t>三、业务及管理费</t>
  </si>
  <si>
    <t xml:space="preserve">    外事费</t>
  </si>
  <si>
    <t xml:space="preserve">    差旅费</t>
  </si>
  <si>
    <t xml:space="preserve">    水电费</t>
  </si>
  <si>
    <t xml:space="preserve">    会议费</t>
  </si>
  <si>
    <t xml:space="preserve">    董事会费</t>
  </si>
  <si>
    <t xml:space="preserve">    同业公会会费</t>
  </si>
  <si>
    <t xml:space="preserve">    学会会费</t>
  </si>
  <si>
    <t xml:space="preserve">    公杂费</t>
  </si>
  <si>
    <t xml:space="preserve">    固定资产折旧费</t>
  </si>
  <si>
    <t xml:space="preserve">    租赁费</t>
  </si>
  <si>
    <t xml:space="preserve">    电子设备运转费</t>
  </si>
  <si>
    <t xml:space="preserve">    修理费</t>
  </si>
  <si>
    <t xml:space="preserve">    待摊费用摊销</t>
  </si>
  <si>
    <t xml:space="preserve">    无形资产摊销</t>
  </si>
  <si>
    <t xml:space="preserve">    长期待摊费用摊销</t>
  </si>
  <si>
    <t xml:space="preserve">    场地取暖降温费</t>
  </si>
  <si>
    <t xml:space="preserve">    技术转让费</t>
  </si>
  <si>
    <t xml:space="preserve">    研究开发费</t>
  </si>
  <si>
    <t xml:space="preserve">    绿化费</t>
  </si>
  <si>
    <t xml:space="preserve">    财产保险费</t>
  </si>
  <si>
    <t xml:space="preserve">    物业费</t>
  </si>
  <si>
    <t xml:space="preserve">    车船使用费</t>
  </si>
  <si>
    <t xml:space="preserve">    低值易耗品摊销</t>
  </si>
  <si>
    <t xml:space="preserve">    业务宣传费</t>
  </si>
  <si>
    <t xml:space="preserve">    业务招待费</t>
  </si>
  <si>
    <t xml:space="preserve">    防预费</t>
  </si>
  <si>
    <t xml:space="preserve">    邮电费</t>
  </si>
  <si>
    <t xml:space="preserve">    印刷费</t>
  </si>
  <si>
    <t xml:space="preserve">    安全防卫费</t>
  </si>
  <si>
    <t>序时</t>
    <phoneticPr fontId="4" type="noConversion"/>
  </si>
  <si>
    <t xml:space="preserve">    银行结算费</t>
  </si>
  <si>
    <t xml:space="preserve">    赠与保单</t>
  </si>
  <si>
    <t xml:space="preserve">    职工工资</t>
  </si>
  <si>
    <t xml:space="preserve">    职工教育经费</t>
  </si>
  <si>
    <t xml:space="preserve">    工会经费</t>
  </si>
  <si>
    <t xml:space="preserve">    职工取暖降温费</t>
  </si>
  <si>
    <t xml:space="preserve">    劳动保险费</t>
  </si>
  <si>
    <t xml:space="preserve">    住房补贴</t>
  </si>
  <si>
    <t xml:space="preserve">    住房公积金</t>
  </si>
  <si>
    <t xml:space="preserve">    劳动保护费</t>
  </si>
  <si>
    <t xml:space="preserve">    社会统筹保险</t>
  </si>
  <si>
    <t xml:space="preserve">    职工福利费</t>
  </si>
  <si>
    <t xml:space="preserve">    非货币性福利费</t>
  </si>
  <si>
    <t xml:space="preserve">    辞退福利费</t>
  </si>
  <si>
    <t xml:space="preserve">    股份支付</t>
  </si>
  <si>
    <t xml:space="preserve">    房产税</t>
  </si>
  <si>
    <t xml:space="preserve">    车船使用税</t>
  </si>
  <si>
    <t xml:space="preserve">    土地使用税</t>
  </si>
  <si>
    <t xml:space="preserve">    印花税</t>
  </si>
  <si>
    <t xml:space="preserve">    监管费</t>
  </si>
  <si>
    <t xml:space="preserve">    保险保障基金</t>
  </si>
  <si>
    <t xml:space="preserve">    残疾人就业基金</t>
  </si>
  <si>
    <t xml:space="preserve">    其他地方性税费</t>
  </si>
  <si>
    <t xml:space="preserve">    咨询费</t>
  </si>
  <si>
    <t xml:space="preserve">    诉讼费</t>
  </si>
  <si>
    <t xml:space="preserve">    公证费</t>
  </si>
  <si>
    <t xml:space="preserve">    审计费</t>
  </si>
  <si>
    <t xml:space="preserve">    评估费</t>
  </si>
  <si>
    <t xml:space="preserve">    保单代理服务费</t>
  </si>
  <si>
    <t xml:space="preserve">    委托资产管理费</t>
  </si>
  <si>
    <t xml:space="preserve">    资产托管费</t>
  </si>
  <si>
    <t xml:space="preserve">    其他费用</t>
  </si>
  <si>
    <t>项        目</t>
  </si>
  <si>
    <t>序号</t>
  </si>
  <si>
    <t>一、营业收入</t>
  </si>
  <si>
    <t xml:space="preserve">  已赚保费</t>
  </si>
  <si>
    <t xml:space="preserve">    保险业务收入</t>
  </si>
  <si>
    <t xml:space="preserve">      其中：分保费收入</t>
  </si>
  <si>
    <t xml:space="preserve">    减：分出保费</t>
  </si>
  <si>
    <t xml:space="preserve">        提取未到期责任准备金</t>
  </si>
  <si>
    <t xml:space="preserve">  投资收益（损失以“-”号填列）</t>
  </si>
  <si>
    <t xml:space="preserve">    其中：对联营企业和合营企业的投资收益</t>
  </si>
  <si>
    <t xml:space="preserve">  公允价值变动收益（损失以“-”号填列）</t>
  </si>
  <si>
    <t xml:space="preserve">  汇兑收益（损失以“-”号填列）</t>
  </si>
  <si>
    <t xml:space="preserve">  其他业务收入</t>
  </si>
  <si>
    <t>二、营业支出</t>
  </si>
  <si>
    <t xml:space="preserve">  退保金</t>
  </si>
  <si>
    <t xml:space="preserve">  赔付支出</t>
  </si>
  <si>
    <t xml:space="preserve">     其中：死亡给付</t>
  </si>
  <si>
    <r>
      <rPr>
        <sz val="11"/>
        <rFont val="宋体"/>
        <family val="3"/>
        <charset val="134"/>
      </rPr>
      <t xml:space="preserve"> </t>
    </r>
    <r>
      <rPr>
        <sz val="11"/>
        <rFont val="宋体"/>
        <family val="3"/>
        <charset val="134"/>
      </rPr>
      <t xml:space="preserve">       </t>
    </r>
    <r>
      <rPr>
        <sz val="11"/>
        <rFont val="宋体"/>
        <family val="3"/>
        <charset val="134"/>
      </rPr>
      <t>伤残给付</t>
    </r>
  </si>
  <si>
    <r>
      <rPr>
        <sz val="11"/>
        <rFont val="宋体"/>
        <family val="3"/>
        <charset val="134"/>
      </rPr>
      <t xml:space="preserve"> </t>
    </r>
    <r>
      <rPr>
        <sz val="11"/>
        <rFont val="宋体"/>
        <family val="3"/>
        <charset val="134"/>
      </rPr>
      <t xml:space="preserve">       </t>
    </r>
    <r>
      <rPr>
        <sz val="11"/>
        <rFont val="宋体"/>
        <family val="3"/>
        <charset val="134"/>
      </rPr>
      <t>医疗给付</t>
    </r>
  </si>
  <si>
    <r>
      <rPr>
        <sz val="11"/>
        <rFont val="宋体"/>
        <family val="3"/>
        <charset val="134"/>
      </rPr>
      <t xml:space="preserve"> </t>
    </r>
    <r>
      <rPr>
        <sz val="11"/>
        <rFont val="宋体"/>
        <family val="3"/>
        <charset val="134"/>
      </rPr>
      <t xml:space="preserve">       </t>
    </r>
    <r>
      <rPr>
        <sz val="11"/>
        <rFont val="宋体"/>
        <family val="3"/>
        <charset val="134"/>
      </rPr>
      <t>满期给付</t>
    </r>
  </si>
  <si>
    <r>
      <rPr>
        <sz val="11"/>
        <rFont val="宋体"/>
        <family val="3"/>
        <charset val="134"/>
      </rPr>
      <t xml:space="preserve"> </t>
    </r>
    <r>
      <rPr>
        <sz val="11"/>
        <rFont val="宋体"/>
        <family val="3"/>
        <charset val="134"/>
      </rPr>
      <t xml:space="preserve">       </t>
    </r>
    <r>
      <rPr>
        <sz val="11"/>
        <rFont val="宋体"/>
        <family val="3"/>
        <charset val="134"/>
      </rPr>
      <t>年金给付</t>
    </r>
  </si>
  <si>
    <r>
      <rPr>
        <sz val="11"/>
        <rFont val="宋体"/>
        <family val="3"/>
        <charset val="134"/>
      </rPr>
      <t xml:space="preserve"> </t>
    </r>
    <r>
      <rPr>
        <sz val="11"/>
        <rFont val="宋体"/>
        <family val="3"/>
        <charset val="134"/>
      </rPr>
      <t xml:space="preserve">       </t>
    </r>
    <r>
      <rPr>
        <sz val="11"/>
        <rFont val="宋体"/>
        <family val="3"/>
        <charset val="134"/>
      </rPr>
      <t>赔款支出</t>
    </r>
  </si>
  <si>
    <r>
      <rPr>
        <sz val="11"/>
        <rFont val="宋体"/>
        <family val="3"/>
        <charset val="134"/>
      </rPr>
      <t xml:space="preserve"> </t>
    </r>
    <r>
      <rPr>
        <sz val="11"/>
        <rFont val="宋体"/>
        <family val="3"/>
        <charset val="134"/>
      </rPr>
      <t xml:space="preserve">       </t>
    </r>
    <r>
      <rPr>
        <sz val="11"/>
        <rFont val="宋体"/>
        <family val="3"/>
        <charset val="134"/>
      </rPr>
      <t>部分领取</t>
    </r>
  </si>
  <si>
    <t xml:space="preserve">  分保赔款</t>
  </si>
  <si>
    <t xml:space="preserve">    减：摊回赔付支出</t>
  </si>
  <si>
    <t xml:space="preserve">  提取保险责任准备金</t>
  </si>
  <si>
    <r>
      <rPr>
        <sz val="11"/>
        <rFont val="宋体"/>
        <family val="3"/>
        <charset val="134"/>
      </rPr>
      <t xml:space="preserve"> </t>
    </r>
    <r>
      <rPr>
        <sz val="11"/>
        <rFont val="宋体"/>
        <family val="3"/>
        <charset val="134"/>
      </rPr>
      <t xml:space="preserve">    其中：</t>
    </r>
    <r>
      <rPr>
        <sz val="11"/>
        <rFont val="宋体"/>
        <family val="3"/>
        <charset val="134"/>
      </rPr>
      <t>提取未决赔款准备金</t>
    </r>
  </si>
  <si>
    <r>
      <rPr>
        <sz val="11"/>
        <rFont val="宋体"/>
        <family val="3"/>
        <charset val="134"/>
      </rPr>
      <t xml:space="preserve"> </t>
    </r>
    <r>
      <rPr>
        <sz val="11"/>
        <rFont val="宋体"/>
        <family val="3"/>
        <charset val="134"/>
      </rPr>
      <t xml:space="preserve">         提取</t>
    </r>
    <r>
      <rPr>
        <sz val="11"/>
        <rFont val="宋体"/>
        <family val="3"/>
        <charset val="134"/>
      </rPr>
      <t>寿险责任准备金</t>
    </r>
  </si>
  <si>
    <r>
      <rPr>
        <sz val="11"/>
        <rFont val="宋体"/>
        <family val="3"/>
        <charset val="134"/>
      </rPr>
      <t xml:space="preserve"> </t>
    </r>
    <r>
      <rPr>
        <sz val="11"/>
        <rFont val="宋体"/>
        <family val="3"/>
        <charset val="134"/>
      </rPr>
      <t xml:space="preserve">         提取</t>
    </r>
    <r>
      <rPr>
        <sz val="11"/>
        <rFont val="宋体"/>
        <family val="3"/>
        <charset val="134"/>
      </rPr>
      <t>长期健康险责任准备金</t>
    </r>
  </si>
  <si>
    <t xml:space="preserve">    减：摊回保险责任准备金</t>
  </si>
  <si>
    <t xml:space="preserve">  保单红利支出</t>
  </si>
  <si>
    <t xml:space="preserve">  分保费用</t>
  </si>
  <si>
    <t xml:space="preserve">  税金及附加</t>
  </si>
  <si>
    <t xml:space="preserve">  手续费及佣金支出</t>
  </si>
  <si>
    <t xml:space="preserve">  业务及管理费</t>
  </si>
  <si>
    <r>
      <rPr>
        <sz val="11"/>
        <rFont val="宋体"/>
        <family val="3"/>
        <charset val="134"/>
      </rPr>
      <t xml:space="preserve"> </t>
    </r>
    <r>
      <rPr>
        <sz val="11"/>
        <rFont val="宋体"/>
        <family val="3"/>
        <charset val="134"/>
      </rPr>
      <t xml:space="preserve">    其中：</t>
    </r>
    <r>
      <rPr>
        <sz val="11"/>
        <rFont val="宋体"/>
        <family val="3"/>
        <charset val="134"/>
      </rPr>
      <t>保险保障基金</t>
    </r>
  </si>
  <si>
    <t xml:space="preserve">    减：摊回分保费用</t>
  </si>
  <si>
    <t xml:space="preserve">  其他业务支出</t>
  </si>
  <si>
    <t xml:space="preserve">  资产减值损失</t>
  </si>
  <si>
    <t>三、营业利润（亏损以“-”号填列）</t>
  </si>
  <si>
    <t xml:space="preserve">  加：营业外收入</t>
  </si>
  <si>
    <t xml:space="preserve">  减：营业外支出</t>
  </si>
  <si>
    <t>四、利润总额（亏损以“-”号填列）</t>
  </si>
  <si>
    <t xml:space="preserve">  减：所得税费用</t>
  </si>
  <si>
    <t>五、净利润（亏损以“-”号填列）</t>
  </si>
  <si>
    <r>
      <rPr>
        <sz val="11"/>
        <rFont val="宋体"/>
        <family val="3"/>
        <charset val="134"/>
      </rPr>
      <t xml:space="preserve"> </t>
    </r>
    <r>
      <rPr>
        <sz val="11"/>
        <rFont val="宋体"/>
        <family val="3"/>
        <charset val="134"/>
      </rPr>
      <t xml:space="preserve"> </t>
    </r>
    <r>
      <rPr>
        <sz val="11"/>
        <rFont val="宋体"/>
        <family val="3"/>
        <charset val="134"/>
      </rPr>
      <t>归属于母公司所有者的净利润</t>
    </r>
  </si>
  <si>
    <r>
      <rPr>
        <sz val="11"/>
        <rFont val="宋体"/>
        <family val="3"/>
        <charset val="134"/>
      </rPr>
      <t xml:space="preserve"> </t>
    </r>
    <r>
      <rPr>
        <sz val="11"/>
        <rFont val="宋体"/>
        <family val="3"/>
        <charset val="134"/>
      </rPr>
      <t xml:space="preserve"> 少数股东损益</t>
    </r>
  </si>
  <si>
    <t>六、每股收益</t>
  </si>
  <si>
    <t xml:space="preserve">  （一）基本每股收益</t>
  </si>
  <si>
    <t xml:space="preserve">  （二）稀释每股收益</t>
  </si>
  <si>
    <t>注：以前年度损益调整</t>
  </si>
  <si>
    <t>序时</t>
    <phoneticPr fontId="4" type="noConversion"/>
  </si>
  <si>
    <t>期末余额</t>
  </si>
  <si>
    <t>年初余额</t>
  </si>
  <si>
    <t>资产：</t>
  </si>
  <si>
    <t>负债：</t>
  </si>
  <si>
    <t>41</t>
  </si>
  <si>
    <t xml:space="preserve">  货币资金</t>
  </si>
  <si>
    <t xml:space="preserve">  短期借款</t>
  </si>
  <si>
    <t>42</t>
  </si>
  <si>
    <t xml:space="preserve">  拆出资金</t>
  </si>
  <si>
    <t xml:space="preserve">  存入保证金</t>
  </si>
  <si>
    <t>43</t>
  </si>
  <si>
    <t xml:space="preserve">  交易性金融资产</t>
  </si>
  <si>
    <t xml:space="preserve">  拆入资金</t>
  </si>
  <si>
    <t>44</t>
  </si>
  <si>
    <t xml:space="preserve">  衍生金融资产</t>
  </si>
  <si>
    <t xml:space="preserve">  交易性金融负债</t>
  </si>
  <si>
    <t>45</t>
  </si>
  <si>
    <t xml:space="preserve">  买入返售金融资产</t>
  </si>
  <si>
    <t xml:space="preserve">  衍生金融负债</t>
  </si>
  <si>
    <t>46</t>
  </si>
  <si>
    <t xml:space="preserve">  应收股利</t>
  </si>
  <si>
    <t xml:space="preserve">  卖出回购金融资产款</t>
  </si>
  <si>
    <t>47</t>
  </si>
  <si>
    <t xml:space="preserve">  应收利息</t>
  </si>
  <si>
    <t xml:space="preserve">  预收保费</t>
  </si>
  <si>
    <t>48</t>
  </si>
  <si>
    <t xml:space="preserve">  应收保费</t>
  </si>
  <si>
    <t xml:space="preserve">  应付手续费及佣金</t>
  </si>
  <si>
    <t>49</t>
  </si>
  <si>
    <t xml:space="preserve">  应收代位追偿款</t>
  </si>
  <si>
    <t xml:space="preserve">  应付分保账款</t>
  </si>
  <si>
    <t>50</t>
  </si>
  <si>
    <t xml:space="preserve">  应收分保账款</t>
  </si>
  <si>
    <t xml:space="preserve">  应付职工薪酬</t>
  </si>
  <si>
    <t>51</t>
  </si>
  <si>
    <t xml:space="preserve">  应收分保未到期责任准备金</t>
  </si>
  <si>
    <t xml:space="preserve">  应交税费</t>
  </si>
  <si>
    <t>52</t>
  </si>
  <si>
    <t xml:space="preserve">  应收分保未决赔款准备金</t>
  </si>
  <si>
    <t xml:space="preserve">  应付股利</t>
  </si>
  <si>
    <t>53</t>
  </si>
  <si>
    <t xml:space="preserve">  应收分保寿险责任准备金</t>
  </si>
  <si>
    <t xml:space="preserve">  其他应付款</t>
  </si>
  <si>
    <t>54</t>
  </si>
  <si>
    <t xml:space="preserve">  应收分保长期健康险责任准备金</t>
  </si>
  <si>
    <t xml:space="preserve">  应付赔付款</t>
  </si>
  <si>
    <t>55</t>
  </si>
  <si>
    <t xml:space="preserve">  预付赔付款</t>
  </si>
  <si>
    <t xml:space="preserve">  应付保单红利</t>
  </si>
  <si>
    <t>56</t>
  </si>
  <si>
    <t xml:space="preserve">  待摊费用</t>
  </si>
  <si>
    <t xml:space="preserve">  保户储金及投资款</t>
  </si>
  <si>
    <t>57</t>
  </si>
  <si>
    <t xml:space="preserve">  其他应收款</t>
  </si>
  <si>
    <t xml:space="preserve">  未到期责任准备金</t>
  </si>
  <si>
    <t>58</t>
  </si>
  <si>
    <t xml:space="preserve">  贷款</t>
  </si>
  <si>
    <t xml:space="preserve">  未决赔款准备金</t>
  </si>
  <si>
    <t>59</t>
  </si>
  <si>
    <t xml:space="preserve">    其中：保户质押贷款</t>
  </si>
  <si>
    <t xml:space="preserve">  寿险责任准备金</t>
  </si>
  <si>
    <t>60</t>
  </si>
  <si>
    <t xml:space="preserve">  系统往来</t>
  </si>
  <si>
    <t xml:space="preserve">  长期健康险责任准备金</t>
  </si>
  <si>
    <t>61</t>
  </si>
  <si>
    <t xml:space="preserve">  定期存款</t>
  </si>
  <si>
    <t xml:space="preserve">  代理业务负债</t>
  </si>
  <si>
    <t>62</t>
  </si>
  <si>
    <t xml:space="preserve">  代理业务资产</t>
  </si>
  <si>
    <t xml:space="preserve">  长期借款</t>
  </si>
  <si>
    <t>63</t>
  </si>
  <si>
    <t xml:space="preserve">  可供出售金融资产</t>
  </si>
  <si>
    <t>24</t>
  </si>
  <si>
    <t xml:space="preserve">  应付债券</t>
  </si>
  <si>
    <t>64</t>
  </si>
  <si>
    <t xml:space="preserve">  持有至到期投资</t>
  </si>
  <si>
    <t>25</t>
  </si>
  <si>
    <t xml:space="preserve">  内部往来</t>
  </si>
  <si>
    <t>65</t>
  </si>
  <si>
    <t xml:space="preserve">  长期股权投资</t>
  </si>
  <si>
    <t>26</t>
  </si>
  <si>
    <t xml:space="preserve">  独立账户负债</t>
  </si>
  <si>
    <t>66</t>
  </si>
  <si>
    <t xml:space="preserve">  存出资本保证金</t>
  </si>
  <si>
    <t>27</t>
  </si>
  <si>
    <t xml:space="preserve">  货币兑换</t>
  </si>
  <si>
    <t>67</t>
  </si>
  <si>
    <t xml:space="preserve">  投资性房地产</t>
  </si>
  <si>
    <t>28</t>
  </si>
  <si>
    <t xml:space="preserve">  递延所得税负债</t>
  </si>
  <si>
    <t>68</t>
  </si>
  <si>
    <t xml:space="preserve">  固定资产</t>
  </si>
  <si>
    <t>29</t>
  </si>
  <si>
    <t xml:space="preserve">  其他负债</t>
  </si>
  <si>
    <t>69</t>
  </si>
  <si>
    <t xml:space="preserve">  在建工程</t>
  </si>
  <si>
    <t>30</t>
  </si>
  <si>
    <t>负债合计</t>
  </si>
  <si>
    <t>70</t>
  </si>
  <si>
    <t xml:space="preserve">  无形资产</t>
  </si>
  <si>
    <t>31</t>
  </si>
  <si>
    <t>所有者权益（或股东权益）：</t>
  </si>
  <si>
    <t>71</t>
  </si>
  <si>
    <t>　长期待摊费用</t>
  </si>
  <si>
    <t>32</t>
  </si>
  <si>
    <t xml:space="preserve">  实收资本（或股本）</t>
  </si>
  <si>
    <t>72</t>
  </si>
  <si>
    <t xml:space="preserve">  独立帐户资产</t>
  </si>
  <si>
    <t>33</t>
  </si>
  <si>
    <t xml:space="preserve">  资本公积</t>
  </si>
  <si>
    <t>73</t>
  </si>
  <si>
    <t xml:space="preserve">  递延所得税资产</t>
  </si>
  <si>
    <t>34</t>
  </si>
  <si>
    <t xml:space="preserve">  减：库存股</t>
  </si>
  <si>
    <t>74</t>
  </si>
  <si>
    <t xml:space="preserve">  其他资产</t>
  </si>
  <si>
    <t>35</t>
  </si>
  <si>
    <t xml:space="preserve">  盈余公积</t>
  </si>
  <si>
    <t>75</t>
  </si>
  <si>
    <t>36</t>
  </si>
  <si>
    <t xml:space="preserve">  一般风险准备</t>
  </si>
  <si>
    <t>76</t>
  </si>
  <si>
    <t>37</t>
  </si>
  <si>
    <t xml:space="preserve">  未分配利润</t>
  </si>
  <si>
    <t>77</t>
  </si>
  <si>
    <t>38</t>
  </si>
  <si>
    <t xml:space="preserve">  少数股东权益</t>
  </si>
  <si>
    <t>78</t>
  </si>
  <si>
    <t>39</t>
  </si>
  <si>
    <t>所有者权益（或股东权益）合计</t>
  </si>
  <si>
    <t>79</t>
  </si>
  <si>
    <t>资产总计</t>
  </si>
  <si>
    <t>40</t>
  </si>
  <si>
    <t>负债和所有者权益（或股东权益）总计</t>
  </si>
  <si>
    <t>80</t>
  </si>
  <si>
    <t>序时</t>
    <phoneticPr fontId="4" type="noConversion"/>
  </si>
  <si>
    <t>项目明细</t>
    <phoneticPr fontId="4" type="noConversion"/>
  </si>
  <si>
    <t>合计</t>
    <phoneticPr fontId="4" type="noConversion"/>
  </si>
  <si>
    <t>员工人数</t>
    <phoneticPr fontId="4" type="noConversion"/>
  </si>
  <si>
    <t xml:space="preserve">      投资管理费收入</t>
    <phoneticPr fontId="4" type="noConversion"/>
  </si>
  <si>
    <t xml:space="preserve">      养老保障收入</t>
    <phoneticPr fontId="4" type="noConversion"/>
  </si>
  <si>
    <t xml:space="preserve">      养老金产品收入</t>
    <phoneticPr fontId="4" type="noConversion"/>
  </si>
  <si>
    <t>（一）业务拓展类费用</t>
    <phoneticPr fontId="4" type="noConversion"/>
  </si>
  <si>
    <t>（三）固定类费用</t>
    <phoneticPr fontId="4" type="noConversion"/>
  </si>
  <si>
    <t>（四）人员薪酬</t>
    <phoneticPr fontId="4" type="noConversion"/>
  </si>
  <si>
    <t>（五）其他营业支出</t>
    <phoneticPr fontId="4" type="noConversion"/>
  </si>
  <si>
    <t>小计</t>
    <phoneticPr fontId="4" type="noConversion"/>
  </si>
  <si>
    <t>2018年上半年费用收支总体情况表</t>
    <phoneticPr fontId="4" type="noConversion"/>
  </si>
  <si>
    <t>编制单位：财务会计部</t>
    <phoneticPr fontId="4" type="noConversion"/>
  </si>
  <si>
    <t>金额单位：万元</t>
    <phoneticPr fontId="4" type="noConversion"/>
  </si>
  <si>
    <t>一、可用费用（按管理费37%计提）</t>
    <phoneticPr fontId="4" type="noConversion"/>
  </si>
  <si>
    <t>（一）管理费收入（考核口径）</t>
    <phoneticPr fontId="4" type="noConversion"/>
  </si>
  <si>
    <t xml:space="preserve">      受托管理费收入</t>
    <phoneticPr fontId="4" type="noConversion"/>
  </si>
  <si>
    <t xml:space="preserve">      投资管理费收入</t>
    <phoneticPr fontId="4" type="noConversion"/>
  </si>
  <si>
    <t xml:space="preserve">      账户管理费收入</t>
    <phoneticPr fontId="4" type="noConversion"/>
  </si>
  <si>
    <t xml:space="preserve">      账户管理费收入</t>
    <phoneticPr fontId="4" type="noConversion"/>
  </si>
  <si>
    <t xml:space="preserve">      养老保障收入</t>
    <phoneticPr fontId="4" type="noConversion"/>
  </si>
  <si>
    <t xml:space="preserve">      养老金产品收入</t>
    <phoneticPr fontId="4" type="noConversion"/>
  </si>
  <si>
    <t>（二）加：职业年金等费用</t>
    <phoneticPr fontId="4" type="noConversion"/>
  </si>
  <si>
    <t>二、费用支出额</t>
    <phoneticPr fontId="4" type="noConversion"/>
  </si>
  <si>
    <t>按费用类型</t>
    <phoneticPr fontId="4" type="noConversion"/>
  </si>
  <si>
    <t>（二）办公行政类费用</t>
    <phoneticPr fontId="4" type="noConversion"/>
  </si>
  <si>
    <t>按部门</t>
    <phoneticPr fontId="4" type="noConversion"/>
  </si>
  <si>
    <t>（一）综合管理部（含薪酬）</t>
    <phoneticPr fontId="4" type="noConversion"/>
  </si>
  <si>
    <t>（二）财务会计部（含税金）</t>
    <phoneticPr fontId="4" type="noConversion"/>
  </si>
  <si>
    <t>（三）业务运营部</t>
    <phoneticPr fontId="4" type="noConversion"/>
  </si>
  <si>
    <t>（四）市场与客户中心（含手续费）</t>
    <phoneticPr fontId="4" type="noConversion"/>
  </si>
  <si>
    <t>（五）职业年金部</t>
    <phoneticPr fontId="4" type="noConversion"/>
  </si>
  <si>
    <t>小计</t>
    <phoneticPr fontId="4" type="noConversion"/>
  </si>
  <si>
    <r>
      <t>三、费用结超（</t>
    </r>
    <r>
      <rPr>
        <b/>
        <u/>
        <sz val="11"/>
        <color theme="1"/>
        <rFont val="仿宋"/>
        <family val="3"/>
        <charset val="134"/>
      </rPr>
      <t>+</t>
    </r>
    <r>
      <rPr>
        <b/>
        <sz val="11"/>
        <color theme="1"/>
        <rFont val="仿宋"/>
        <family val="3"/>
        <charset val="134"/>
      </rPr>
      <t>）</t>
    </r>
    <phoneticPr fontId="4" type="noConversion"/>
  </si>
  <si>
    <t>同比变动</t>
    <phoneticPr fontId="4" type="noConversion"/>
  </si>
  <si>
    <t>（一）受托管理费收入</t>
    <phoneticPr fontId="4" type="noConversion"/>
  </si>
  <si>
    <t>2018年上半年考核口径管理费收入同比情况表</t>
    <phoneticPr fontId="4" type="noConversion"/>
  </si>
  <si>
    <t>管理费收入（考核口径）</t>
    <phoneticPr fontId="4" type="noConversion"/>
  </si>
  <si>
    <t>（二）投资管理费收入</t>
    <phoneticPr fontId="4" type="noConversion"/>
  </si>
  <si>
    <t>（三）账户管理费收入</t>
    <phoneticPr fontId="4" type="noConversion"/>
  </si>
  <si>
    <t xml:space="preserve">      账户管理费收入</t>
    <phoneticPr fontId="4" type="noConversion"/>
  </si>
  <si>
    <t xml:space="preserve">      养老金产品收入</t>
    <phoneticPr fontId="4" type="noConversion"/>
  </si>
  <si>
    <t>合计</t>
    <phoneticPr fontId="4" type="noConversion"/>
  </si>
  <si>
    <t>费用预算执行率%</t>
    <phoneticPr fontId="4" type="noConversion"/>
  </si>
  <si>
    <t>2018年上半年费用预算执行情况表</t>
    <phoneticPr fontId="4" type="noConversion"/>
  </si>
  <si>
    <t>编制单位：财务会计部</t>
    <phoneticPr fontId="4" type="noConversion"/>
  </si>
  <si>
    <t>金额单位：%</t>
    <phoneticPr fontId="4" type="noConversion"/>
  </si>
  <si>
    <t>2018年上半年</t>
    <phoneticPr fontId="4" type="noConversion"/>
  </si>
  <si>
    <t>2017年上半年</t>
    <phoneticPr fontId="4" type="noConversion"/>
  </si>
  <si>
    <t>（一）综合管理部（含薪酬）</t>
    <phoneticPr fontId="4" type="noConversion"/>
  </si>
  <si>
    <t>（二）财务会计部（含税金）</t>
    <phoneticPr fontId="4" type="noConversion"/>
  </si>
  <si>
    <t>（三）业务运营部</t>
    <phoneticPr fontId="4" type="noConversion"/>
  </si>
  <si>
    <t>（四）市场与客户中心（含手续费）</t>
    <phoneticPr fontId="4" type="noConversion"/>
  </si>
  <si>
    <t>（五）职业年金部</t>
    <phoneticPr fontId="4" type="noConversion"/>
  </si>
  <si>
    <t>合计</t>
    <phoneticPr fontId="4" type="noConversion"/>
  </si>
  <si>
    <t xml:space="preserve">      招待费</t>
    <phoneticPr fontId="4" type="noConversion"/>
  </si>
  <si>
    <t xml:space="preserve">      宣传费</t>
    <phoneticPr fontId="4" type="noConversion"/>
  </si>
  <si>
    <t>（二）办公行政类费用</t>
    <phoneticPr fontId="4" type="noConversion"/>
  </si>
  <si>
    <t>费用支出额</t>
    <phoneticPr fontId="4" type="noConversion"/>
  </si>
  <si>
    <t xml:space="preserve">      会议费</t>
    <phoneticPr fontId="4" type="noConversion"/>
  </si>
  <si>
    <t xml:space="preserve">      差旅费</t>
    <phoneticPr fontId="4" type="noConversion"/>
  </si>
  <si>
    <t>编制单位：财务会计部</t>
    <phoneticPr fontId="4" type="noConversion"/>
  </si>
  <si>
    <t>2018-6</t>
    <phoneticPr fontId="4" type="noConversion"/>
  </si>
  <si>
    <t>格式规范：20XX-9</t>
    <phoneticPr fontId="4" type="noConversion"/>
  </si>
  <si>
    <t>格式规范：20XX/6/30</t>
    <phoneticPr fontId="4" type="noConversion"/>
  </si>
  <si>
    <t>人员薪酬里不包过陈健的江苏薪酬</t>
    <phoneticPr fontId="4" type="noConversion"/>
  </si>
  <si>
    <t xml:space="preserve">  税金及附加</t>
    <phoneticPr fontId="4" type="noConversion"/>
  </si>
  <si>
    <t xml:space="preserve">    公杂费</t>
    <phoneticPr fontId="4" type="noConversion"/>
  </si>
  <si>
    <t xml:space="preserve">        伤残给付</t>
  </si>
  <si>
    <t xml:space="preserve">        医疗给付</t>
  </si>
  <si>
    <t xml:space="preserve">        满期给付</t>
  </si>
  <si>
    <t xml:space="preserve">        年金给付</t>
  </si>
  <si>
    <t xml:space="preserve">        赔款支出</t>
  </si>
  <si>
    <t xml:space="preserve">        部分领取</t>
  </si>
  <si>
    <t xml:space="preserve">     其中：提取未决赔款准备金</t>
  </si>
  <si>
    <t xml:space="preserve">          提取寿险责任准备金</t>
  </si>
  <si>
    <t xml:space="preserve">          提取长期健康险责任准备金</t>
  </si>
  <si>
    <t xml:space="preserve">     其中：保险保障基金</t>
  </si>
  <si>
    <t xml:space="preserve">  归属于母公司所有者的净利润</t>
  </si>
  <si>
    <t xml:space="preserve">  少数股东损益</t>
  </si>
  <si>
    <t>（四）养老金产品收入</t>
    <phoneticPr fontId="4" type="noConversion"/>
  </si>
  <si>
    <t>（五）养老保障产品收入</t>
    <phoneticPr fontId="4" type="noConversion"/>
  </si>
  <si>
    <t>其他营业支出=（费用表）手续费支出+(利润表）税金及附加</t>
    <phoneticPr fontId="4" type="noConversion"/>
  </si>
  <si>
    <t>费用表64行其他费用是劳务派遣，计入人员薪酬</t>
    <phoneticPr fontId="4" type="noConversion"/>
  </si>
  <si>
    <t>同比变动</t>
    <phoneticPr fontId="4" type="noConversion"/>
  </si>
  <si>
    <t>（一）业务拓展类费用</t>
    <phoneticPr fontId="4" type="noConversion"/>
  </si>
  <si>
    <t xml:space="preserve">      招待费</t>
    <phoneticPr fontId="4" type="noConversion"/>
  </si>
  <si>
    <t xml:space="preserve">      会议费</t>
    <phoneticPr fontId="4" type="noConversion"/>
  </si>
  <si>
    <t>合计</t>
    <phoneticPr fontId="4" type="noConversion"/>
  </si>
  <si>
    <t>年度</t>
    <phoneticPr fontId="4" type="noConversion"/>
  </si>
  <si>
    <t>办公行政类费用</t>
    <phoneticPr fontId="4" type="noConversion"/>
  </si>
  <si>
    <t>固定类费用</t>
    <phoneticPr fontId="4" type="noConversion"/>
  </si>
  <si>
    <t>其他营业支出</t>
    <phoneticPr fontId="4" type="noConversion"/>
  </si>
  <si>
    <t>人员薪酬</t>
    <phoneticPr fontId="4" type="noConversion"/>
  </si>
  <si>
    <t>单位：万元</t>
    <phoneticPr fontId="4" type="noConversion"/>
  </si>
  <si>
    <t>项目明细</t>
    <phoneticPr fontId="4" type="noConversion"/>
  </si>
  <si>
    <t>同比变动</t>
    <phoneticPr fontId="4" type="noConversion"/>
  </si>
  <si>
    <t>利润总额(万元）</t>
    <phoneticPr fontId="4" type="noConversion"/>
  </si>
  <si>
    <t>所得税（万元）</t>
    <phoneticPr fontId="4" type="noConversion"/>
  </si>
  <si>
    <t>净利润（万元）</t>
    <phoneticPr fontId="4" type="noConversion"/>
  </si>
  <si>
    <t>人均净利（万元）</t>
    <phoneticPr fontId="4" type="noConversion"/>
  </si>
  <si>
    <t>-</t>
    <phoneticPr fontId="4" type="noConversion"/>
  </si>
  <si>
    <t>↑2</t>
    <phoneticPr fontId="4" type="noConversion"/>
  </si>
  <si>
    <t>员工人数（人）</t>
    <phoneticPr fontId="4" type="noConversion"/>
  </si>
  <si>
    <t>排名（名）</t>
    <phoneticPr fontId="4" type="noConversion"/>
  </si>
  <si>
    <t>年度</t>
    <phoneticPr fontId="4" type="noConversion"/>
  </si>
  <si>
    <t>日期</t>
    <phoneticPr fontId="4" type="noConversion"/>
  </si>
  <si>
    <t>利润情况表</t>
    <phoneticPr fontId="4" type="noConversion"/>
  </si>
  <si>
    <t>费用支出情况表</t>
    <phoneticPr fontId="4" type="noConversion"/>
  </si>
  <si>
    <t>净利率</t>
    <phoneticPr fontId="4" type="noConversion"/>
  </si>
  <si>
    <t>净利率</t>
    <phoneticPr fontId="4" type="noConversion"/>
  </si>
  <si>
    <t>固定类费用</t>
    <phoneticPr fontId="4" type="noConversion"/>
  </si>
  <si>
    <t>人员薪酬类费用</t>
    <phoneticPr fontId="4" type="noConversion"/>
  </si>
  <si>
    <t>劳务派遣费</t>
    <phoneticPr fontId="4" type="noConversion"/>
  </si>
  <si>
    <t>（五）手续费支出</t>
    <phoneticPr fontId="4" type="noConversion"/>
  </si>
  <si>
    <t>（六）税金及附加</t>
    <phoneticPr fontId="4" type="noConversion"/>
  </si>
  <si>
    <t>2019-6</t>
    <phoneticPr fontId="4" type="noConversion"/>
  </si>
  <si>
    <t>项           目</t>
  </si>
  <si>
    <t>金　额</t>
  </si>
  <si>
    <t>一、经营活动产生的现金流量：</t>
  </si>
  <si>
    <t xml:space="preserve">  收到原保险合同保费取得的现金</t>
  </si>
  <si>
    <t xml:space="preserve">  收到再保业务现金净额</t>
  </si>
  <si>
    <t xml:space="preserve">  保户储金及投资款净增加额</t>
  </si>
  <si>
    <t xml:space="preserve">  收到的系统往来的现金</t>
  </si>
  <si>
    <t xml:space="preserve">  收到其他与经营活动有关的现金</t>
  </si>
  <si>
    <t xml:space="preserve">  经营活动现金流入小计</t>
  </si>
  <si>
    <t xml:space="preserve">  支付原保险合同赔付款项的现金</t>
  </si>
  <si>
    <t xml:space="preserve">  支付原保险合同的退保金的现金</t>
  </si>
  <si>
    <t xml:space="preserve">  支付手续费及佣金的现金</t>
  </si>
  <si>
    <t xml:space="preserve">  支付保单红利的现金</t>
  </si>
  <si>
    <t xml:space="preserve">  支付给职工以及为职工支付的现金</t>
  </si>
  <si>
    <t xml:space="preserve">  支付的各项税费</t>
  </si>
  <si>
    <t xml:space="preserve">  支付的系统往来的现金</t>
  </si>
  <si>
    <t xml:space="preserve">  支付其他与经营活动有关的现金</t>
  </si>
  <si>
    <t xml:space="preserve">  经营活动现金流出小计</t>
  </si>
  <si>
    <t xml:space="preserve">  经营活动产生的现金流量净额</t>
  </si>
  <si>
    <t>二、投资活动产生的现金流量：</t>
  </si>
  <si>
    <t xml:space="preserve">  收回投资收到的现金</t>
  </si>
  <si>
    <t xml:space="preserve">  取得投资收益收到的现金</t>
  </si>
  <si>
    <t xml:space="preserve">  收到其他与投资活动有关的现金</t>
  </si>
  <si>
    <t xml:space="preserve">  投资活动现金流入小计</t>
  </si>
  <si>
    <t xml:space="preserve">  投资支付的现金</t>
  </si>
  <si>
    <t xml:space="preserve">  质押贷款净增加额</t>
  </si>
  <si>
    <t xml:space="preserve">  购建固定资产、无形资产和其他长期资产支付的现金</t>
  </si>
  <si>
    <t xml:space="preserve">  支付其他与投资活动有关的现金</t>
  </si>
  <si>
    <t xml:space="preserve">  投资活动现金流出小计</t>
  </si>
  <si>
    <t xml:space="preserve">  投资活动产生的现金流量净额</t>
  </si>
  <si>
    <t>三、筹资活动产生的现金流量：</t>
  </si>
  <si>
    <t xml:space="preserve">  吸收投资收到的现金</t>
  </si>
  <si>
    <t xml:space="preserve">  发行债券收到的现金</t>
  </si>
  <si>
    <t xml:space="preserve">  收到其他与筹资活动有关的现金</t>
  </si>
  <si>
    <t xml:space="preserve">  筹资活动现金流入小计</t>
  </si>
  <si>
    <t xml:space="preserve">  偿还债务支付的现金</t>
  </si>
  <si>
    <t xml:space="preserve">  分配股利、利润或偿付利息支付的现金</t>
  </si>
  <si>
    <t xml:space="preserve">  支付其他与筹资活动有关的现金</t>
  </si>
  <si>
    <t xml:space="preserve">  筹资活动现金流出小计</t>
  </si>
  <si>
    <t xml:space="preserve">  筹资活动产生的现金流量净额</t>
  </si>
  <si>
    <t>四、汇率变动对现金及现金等价物的影响</t>
  </si>
  <si>
    <t>五、现金及现金等价物净增加额</t>
  </si>
  <si>
    <t xml:space="preserve">  加：期初现金及现金等价物余额</t>
  </si>
  <si>
    <t>六、期末现金及现金等价物余额</t>
  </si>
  <si>
    <t>不计入现金流量表</t>
  </si>
  <si>
    <t>2018（二）</t>
    <phoneticPr fontId="4" type="noConversion"/>
  </si>
  <si>
    <t>2019（二）</t>
    <phoneticPr fontId="4" type="noConversion"/>
  </si>
  <si>
    <t>2017(二）</t>
    <phoneticPr fontId="4" type="noConversion"/>
  </si>
  <si>
    <t>2018（二）</t>
    <phoneticPr fontId="4" type="noConversion"/>
  </si>
  <si>
    <t>2019（二）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</si>
</sst>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 * #,##0.00_ ;_ * \-#,##0.00_ ;_ * &quot;-&quot;??_ ;_ @_ "/>
    <numFmt numFmtId="176" formatCode="#,##0.00_ "/>
    <numFmt numFmtId="177" formatCode="0.00_ "/>
    <numFmt numFmtId="178" formatCode="0_ "/>
  </numFmts>
  <fonts count="17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sz val="11"/>
      <name val="宋体"/>
      <family val="3"/>
      <charset val="134"/>
    </font>
    <font>
      <sz val="9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b/>
      <sz val="14"/>
      <color theme="1"/>
      <name val="黑体"/>
      <family val="3"/>
      <charset val="134"/>
    </font>
    <font>
      <b/>
      <sz val="11"/>
      <color theme="1"/>
      <name val="仿宋"/>
      <family val="3"/>
      <charset val="134"/>
    </font>
    <font>
      <sz val="11"/>
      <color theme="1"/>
      <name val="仿宋"/>
      <family val="3"/>
      <charset val="134"/>
    </font>
    <font>
      <b/>
      <u/>
      <sz val="11"/>
      <color theme="1"/>
      <name val="仿宋"/>
      <family val="3"/>
      <charset val="134"/>
    </font>
    <font>
      <i/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b/>
      <sz val="11"/>
      <color theme="1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2"/>
      <color theme="1"/>
      <name val="微软雅黑"/>
      <family val="2"/>
      <charset val="134"/>
    </font>
    <font>
      <sz val="12"/>
      <color theme="1"/>
      <name val="微软雅黑"/>
      <family val="2"/>
      <charset val="13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2" fillId="0" borderId="0"/>
    <xf numFmtId="9" fontId="1" fillId="0" borderId="0" applyFon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0" fontId="3" fillId="0" borderId="1" xfId="2" applyFont="1" applyBorder="1" applyAlignment="1">
      <alignment horizontal="center"/>
    </xf>
    <xf numFmtId="49" fontId="3" fillId="0" borderId="1" xfId="2" applyNumberFormat="1" applyFont="1" applyBorder="1" applyAlignment="1">
      <alignment horizontal="center"/>
    </xf>
    <xf numFmtId="176" fontId="3" fillId="0" borderId="1" xfId="2" applyNumberFormat="1" applyFont="1" applyBorder="1" applyAlignment="1">
      <alignment horizontal="center"/>
    </xf>
    <xf numFmtId="0" fontId="3" fillId="0" borderId="1" xfId="2" applyFont="1" applyBorder="1"/>
    <xf numFmtId="176" fontId="3" fillId="0" borderId="1" xfId="2" applyNumberFormat="1" applyFont="1" applyBorder="1" applyAlignment="1">
      <alignment horizontal="right"/>
    </xf>
    <xf numFmtId="176" fontId="3" fillId="0" borderId="1" xfId="2" applyNumberFormat="1" applyFont="1" applyBorder="1" applyAlignment="1">
      <alignment horizontal="right" wrapText="1"/>
    </xf>
    <xf numFmtId="176" fontId="3" fillId="0" borderId="1" xfId="2" applyNumberFormat="1" applyFont="1" applyFill="1" applyBorder="1" applyAlignment="1">
      <alignment horizontal="right"/>
    </xf>
    <xf numFmtId="0" fontId="3" fillId="0" borderId="1" xfId="0" applyNumberFormat="1" applyFont="1" applyFill="1" applyBorder="1" applyAlignment="1">
      <alignment horizontal="center" vertical="center"/>
    </xf>
    <xf numFmtId="0" fontId="3" fillId="0" borderId="1" xfId="0" applyNumberFormat="1" applyFont="1" applyFill="1" applyBorder="1" applyAlignment="1">
      <alignment vertical="center"/>
    </xf>
    <xf numFmtId="176" fontId="3" fillId="0" borderId="1" xfId="0" applyNumberFormat="1" applyFont="1" applyFill="1" applyBorder="1" applyAlignment="1">
      <alignment horizontal="right" vertical="center"/>
    </xf>
    <xf numFmtId="176" fontId="3" fillId="0" borderId="1" xfId="0" applyNumberFormat="1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 applyProtection="1"/>
    <xf numFmtId="0" fontId="3" fillId="0" borderId="1" xfId="0" applyNumberFormat="1" applyFont="1" applyFill="1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 applyAlignment="1">
      <alignment horizontal="center" vertical="center"/>
    </xf>
    <xf numFmtId="4" fontId="0" fillId="0" borderId="1" xfId="0" applyNumberFormat="1" applyBorder="1">
      <alignment vertical="center"/>
    </xf>
    <xf numFmtId="0" fontId="5" fillId="0" borderId="3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14" fontId="3" fillId="0" borderId="1" xfId="2" applyNumberFormat="1" applyFont="1" applyBorder="1" applyAlignment="1">
      <alignment horizontal="center"/>
    </xf>
    <xf numFmtId="14" fontId="3" fillId="0" borderId="2" xfId="2" applyNumberFormat="1" applyFont="1" applyFill="1" applyBorder="1" applyAlignment="1">
      <alignment horizont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right" vertical="center"/>
    </xf>
    <xf numFmtId="0" fontId="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horizontal="center" vertical="center"/>
    </xf>
    <xf numFmtId="0" fontId="9" fillId="2" borderId="1" xfId="0" applyFont="1" applyFill="1" applyBorder="1">
      <alignment vertical="center"/>
    </xf>
    <xf numFmtId="0" fontId="9" fillId="2" borderId="1" xfId="0" applyFont="1" applyFill="1" applyBorder="1" applyAlignment="1">
      <alignment horizontal="center" vertical="center"/>
    </xf>
    <xf numFmtId="0" fontId="9" fillId="0" borderId="1" xfId="0" applyFont="1" applyFill="1" applyBorder="1">
      <alignment vertical="center"/>
    </xf>
    <xf numFmtId="0" fontId="9" fillId="2" borderId="8" xfId="0" applyFont="1" applyFill="1" applyBorder="1" applyAlignment="1">
      <alignment horizontal="center" vertical="center" wrapText="1"/>
    </xf>
    <xf numFmtId="0" fontId="8" fillId="0" borderId="12" xfId="0" applyFont="1" applyFill="1" applyBorder="1">
      <alignment vertical="center"/>
    </xf>
    <xf numFmtId="0" fontId="8" fillId="0" borderId="13" xfId="0" applyFont="1" applyFill="1" applyBorder="1">
      <alignment vertical="center"/>
    </xf>
    <xf numFmtId="177" fontId="9" fillId="0" borderId="10" xfId="0" applyNumberFormat="1" applyFont="1" applyFill="1" applyBorder="1" applyAlignment="1">
      <alignment horizontal="center" vertical="center"/>
    </xf>
    <xf numFmtId="177" fontId="8" fillId="0" borderId="14" xfId="0" applyNumberFormat="1" applyFont="1" applyFill="1" applyBorder="1" applyAlignment="1">
      <alignment horizontal="center" vertical="center"/>
    </xf>
    <xf numFmtId="177" fontId="9" fillId="0" borderId="1" xfId="0" applyNumberFormat="1" applyFont="1" applyFill="1" applyBorder="1" applyAlignment="1">
      <alignment horizontal="center" vertical="center"/>
    </xf>
    <xf numFmtId="177" fontId="9" fillId="0" borderId="9" xfId="3" applyNumberFormat="1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177" fontId="8" fillId="0" borderId="18" xfId="0" applyNumberFormat="1" applyFont="1" applyFill="1" applyBorder="1" applyAlignment="1">
      <alignment horizontal="center" vertical="center"/>
    </xf>
    <xf numFmtId="177" fontId="8" fillId="0" borderId="19" xfId="0" applyNumberFormat="1" applyFont="1" applyFill="1" applyBorder="1" applyAlignment="1">
      <alignment horizontal="center" vertical="center"/>
    </xf>
    <xf numFmtId="0" fontId="9" fillId="2" borderId="8" xfId="0" applyFont="1" applyFill="1" applyBorder="1">
      <alignment vertical="center"/>
    </xf>
    <xf numFmtId="177" fontId="9" fillId="0" borderId="9" xfId="0" applyNumberFormat="1" applyFont="1" applyFill="1" applyBorder="1" applyAlignment="1">
      <alignment horizontal="center" vertical="center"/>
    </xf>
    <xf numFmtId="0" fontId="9" fillId="0" borderId="8" xfId="0" applyFont="1" applyFill="1" applyBorder="1">
      <alignment vertical="center"/>
    </xf>
    <xf numFmtId="0" fontId="8" fillId="2" borderId="12" xfId="0" applyFont="1" applyFill="1" applyBorder="1" applyAlignment="1">
      <alignment horizontal="center" vertical="center"/>
    </xf>
    <xf numFmtId="177" fontId="8" fillId="0" borderId="17" xfId="0" applyNumberFormat="1" applyFont="1" applyFill="1" applyBorder="1" applyAlignment="1">
      <alignment horizontal="center" vertical="center"/>
    </xf>
    <xf numFmtId="177" fontId="8" fillId="0" borderId="13" xfId="0" applyNumberFormat="1" applyFont="1" applyFill="1" applyBorder="1" applyAlignment="1">
      <alignment horizontal="center" vertical="center"/>
    </xf>
    <xf numFmtId="177" fontId="8" fillId="0" borderId="1" xfId="0" applyNumberFormat="1" applyFont="1" applyFill="1" applyBorder="1" applyAlignment="1">
      <alignment horizontal="center" vertical="center"/>
    </xf>
    <xf numFmtId="178" fontId="9" fillId="0" borderId="1" xfId="0" applyNumberFormat="1" applyFont="1" applyFill="1" applyBorder="1" applyAlignment="1">
      <alignment horizontal="center" vertical="center"/>
    </xf>
    <xf numFmtId="0" fontId="8" fillId="0" borderId="5" xfId="0" quotePrefix="1" applyNumberFormat="1" applyFont="1" applyFill="1" applyBorder="1" applyAlignment="1">
      <alignment horizontal="center" vertical="center"/>
    </xf>
    <xf numFmtId="43" fontId="0" fillId="0" borderId="0" xfId="0" applyNumberFormat="1">
      <alignment vertical="center"/>
    </xf>
    <xf numFmtId="0" fontId="3" fillId="3" borderId="1" xfId="2" applyFont="1" applyFill="1" applyBorder="1"/>
    <xf numFmtId="0" fontId="3" fillId="3" borderId="1" xfId="2" applyFont="1" applyFill="1" applyBorder="1" applyAlignment="1">
      <alignment horizontal="center"/>
    </xf>
    <xf numFmtId="176" fontId="3" fillId="3" borderId="1" xfId="2" applyNumberFormat="1" applyFont="1" applyFill="1" applyBorder="1" applyAlignment="1">
      <alignment horizontal="right"/>
    </xf>
    <xf numFmtId="0" fontId="3" fillId="4" borderId="1" xfId="2" applyFont="1" applyFill="1" applyBorder="1"/>
    <xf numFmtId="0" fontId="3" fillId="4" borderId="1" xfId="2" applyFont="1" applyFill="1" applyBorder="1" applyAlignment="1">
      <alignment horizontal="center"/>
    </xf>
    <xf numFmtId="176" fontId="3" fillId="4" borderId="1" xfId="2" applyNumberFormat="1" applyFont="1" applyFill="1" applyBorder="1" applyAlignment="1">
      <alignment horizontal="right"/>
    </xf>
    <xf numFmtId="176" fontId="3" fillId="3" borderId="1" xfId="2" applyNumberFormat="1" applyFont="1" applyFill="1" applyBorder="1" applyAlignment="1">
      <alignment horizontal="right" wrapText="1"/>
    </xf>
    <xf numFmtId="0" fontId="3" fillId="5" borderId="1" xfId="2" applyFont="1" applyFill="1" applyBorder="1"/>
    <xf numFmtId="0" fontId="3" fillId="5" borderId="1" xfId="2" applyFont="1" applyFill="1" applyBorder="1" applyAlignment="1">
      <alignment horizontal="center"/>
    </xf>
    <xf numFmtId="176" fontId="3" fillId="5" borderId="1" xfId="2" applyNumberFormat="1" applyFont="1" applyFill="1" applyBorder="1" applyAlignment="1">
      <alignment horizontal="right"/>
    </xf>
    <xf numFmtId="176" fontId="3" fillId="5" borderId="1" xfId="2" applyNumberFormat="1" applyFont="1" applyFill="1" applyBorder="1" applyAlignment="1">
      <alignment horizontal="right" wrapText="1"/>
    </xf>
    <xf numFmtId="14" fontId="0" fillId="3" borderId="0" xfId="0" applyNumberFormat="1" applyFill="1">
      <alignment vertical="center"/>
    </xf>
    <xf numFmtId="0" fontId="3" fillId="3" borderId="1" xfId="0" applyNumberFormat="1" applyFont="1" applyFill="1" applyBorder="1" applyAlignment="1">
      <alignment vertical="center"/>
    </xf>
    <xf numFmtId="0" fontId="3" fillId="3" borderId="1" xfId="0" applyNumberFormat="1" applyFont="1" applyFill="1" applyBorder="1" applyAlignment="1">
      <alignment horizontal="center" vertical="center"/>
    </xf>
    <xf numFmtId="176" fontId="3" fillId="3" borderId="1" xfId="0" applyNumberFormat="1" applyFont="1" applyFill="1" applyBorder="1" applyAlignment="1">
      <alignment horizontal="right" vertical="center"/>
    </xf>
    <xf numFmtId="0" fontId="0" fillId="3" borderId="0" xfId="0" applyFill="1">
      <alignment vertical="center"/>
    </xf>
    <xf numFmtId="0" fontId="11" fillId="0" borderId="0" xfId="0" applyFont="1">
      <alignment vertical="center"/>
    </xf>
    <xf numFmtId="177" fontId="8" fillId="0" borderId="16" xfId="0" applyNumberFormat="1" applyFont="1" applyFill="1" applyBorder="1" applyAlignment="1">
      <alignment horizontal="center" vertical="center"/>
    </xf>
    <xf numFmtId="4" fontId="0" fillId="0" borderId="0" xfId="0" applyNumberFormat="1">
      <alignment vertical="center"/>
    </xf>
    <xf numFmtId="43" fontId="3" fillId="0" borderId="1" xfId="1" applyFont="1" applyBorder="1" applyAlignment="1">
      <alignment horizontal="center"/>
    </xf>
    <xf numFmtId="0" fontId="0" fillId="6" borderId="0" xfId="0" applyFill="1">
      <alignment vertical="center"/>
    </xf>
    <xf numFmtId="177" fontId="9" fillId="0" borderId="1" xfId="3" applyNumberFormat="1" applyFont="1" applyFill="1" applyBorder="1" applyAlignment="1">
      <alignment horizontal="center" vertical="center"/>
    </xf>
    <xf numFmtId="177" fontId="8" fillId="0" borderId="13" xfId="3" applyNumberFormat="1" applyFont="1" applyFill="1" applyBorder="1" applyAlignment="1">
      <alignment horizontal="center" vertical="center"/>
    </xf>
    <xf numFmtId="43" fontId="8" fillId="0" borderId="13" xfId="1" applyFont="1" applyFill="1" applyBorder="1" applyAlignment="1">
      <alignment horizontal="center" vertical="center"/>
    </xf>
    <xf numFmtId="177" fontId="8" fillId="0" borderId="17" xfId="3" applyNumberFormat="1" applyFont="1" applyFill="1" applyBorder="1" applyAlignment="1">
      <alignment horizontal="center" vertical="center"/>
    </xf>
    <xf numFmtId="177" fontId="0" fillId="0" borderId="0" xfId="0" applyNumberFormat="1">
      <alignment vertical="center"/>
    </xf>
    <xf numFmtId="176" fontId="0" fillId="0" borderId="0" xfId="0" applyNumberFormat="1">
      <alignment vertical="center"/>
    </xf>
    <xf numFmtId="43" fontId="0" fillId="0" borderId="0" xfId="1" applyFont="1">
      <alignment vertical="center"/>
    </xf>
    <xf numFmtId="177" fontId="14" fillId="0" borderId="0" xfId="0" applyNumberFormat="1" applyFont="1" applyFill="1" applyBorder="1" applyAlignment="1">
      <alignment horizontal="center" vertical="center"/>
    </xf>
    <xf numFmtId="0" fontId="13" fillId="0" borderId="20" xfId="0" applyFont="1" applyBorder="1" applyAlignment="1">
      <alignment horizontal="center" vertical="center"/>
    </xf>
    <xf numFmtId="10" fontId="14" fillId="0" borderId="0" xfId="3" applyNumberFormat="1" applyFont="1" applyBorder="1" applyAlignment="1">
      <alignment horizontal="center" vertical="center"/>
    </xf>
    <xf numFmtId="0" fontId="15" fillId="0" borderId="20" xfId="0" applyFont="1" applyFill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6" fillId="2" borderId="0" xfId="0" applyFont="1" applyFill="1" applyBorder="1" applyAlignment="1">
      <alignment horizontal="left" vertical="center"/>
    </xf>
    <xf numFmtId="177" fontId="16" fillId="0" borderId="0" xfId="0" applyNumberFormat="1" applyFont="1" applyFill="1" applyBorder="1" applyAlignment="1">
      <alignment horizontal="center" vertical="center"/>
    </xf>
    <xf numFmtId="10" fontId="16" fillId="0" borderId="0" xfId="3" applyNumberFormat="1" applyFont="1" applyBorder="1" applyAlignment="1">
      <alignment horizontal="center" vertical="center"/>
    </xf>
    <xf numFmtId="0" fontId="15" fillId="2" borderId="20" xfId="0" applyFont="1" applyFill="1" applyBorder="1" applyAlignment="1">
      <alignment horizontal="center" vertical="center"/>
    </xf>
    <xf numFmtId="177" fontId="15" fillId="0" borderId="20" xfId="0" applyNumberFormat="1" applyFont="1" applyFill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4" fillId="0" borderId="21" xfId="0" applyFont="1" applyBorder="1" applyAlignment="1">
      <alignment horizontal="center" vertical="center"/>
    </xf>
    <xf numFmtId="2" fontId="14" fillId="0" borderId="0" xfId="0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0" fontId="8" fillId="0" borderId="1" xfId="0" applyFont="1" applyFill="1" applyBorder="1" applyAlignment="1">
      <alignment vertical="center"/>
    </xf>
    <xf numFmtId="177" fontId="8" fillId="0" borderId="1" xfId="0" applyNumberFormat="1" applyFont="1" applyFill="1" applyBorder="1" applyAlignment="1">
      <alignment vertical="center"/>
    </xf>
    <xf numFmtId="177" fontId="14" fillId="0" borderId="1" xfId="0" applyNumberFormat="1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14" fontId="8" fillId="0" borderId="1" xfId="0" applyNumberFormat="1" applyFont="1" applyFill="1" applyBorder="1" applyAlignment="1">
      <alignment vertical="center"/>
    </xf>
    <xf numFmtId="177" fontId="0" fillId="0" borderId="1" xfId="0" applyNumberFormat="1" applyBorder="1">
      <alignment vertical="center"/>
    </xf>
    <xf numFmtId="10" fontId="0" fillId="0" borderId="1" xfId="3" applyNumberFormat="1" applyFont="1" applyBorder="1">
      <alignment vertical="center"/>
    </xf>
    <xf numFmtId="0" fontId="3" fillId="7" borderId="1" xfId="2" applyFont="1" applyFill="1" applyBorder="1"/>
    <xf numFmtId="0" fontId="3" fillId="7" borderId="1" xfId="2" applyFont="1" applyFill="1" applyBorder="1" applyAlignment="1">
      <alignment horizontal="center"/>
    </xf>
    <xf numFmtId="0" fontId="0" fillId="7" borderId="0" xfId="0" applyFill="1">
      <alignment vertical="center"/>
    </xf>
    <xf numFmtId="14" fontId="3" fillId="8" borderId="2" xfId="2" applyNumberFormat="1" applyFont="1" applyFill="1" applyBorder="1" applyAlignment="1">
      <alignment horizontal="center"/>
    </xf>
    <xf numFmtId="0" fontId="3" fillId="9" borderId="1" xfId="2" applyFont="1" applyFill="1" applyBorder="1"/>
    <xf numFmtId="14" fontId="8" fillId="0" borderId="1" xfId="0" quotePrefix="1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10" fontId="15" fillId="0" borderId="20" xfId="3" applyNumberFormat="1" applyFont="1" applyBorder="1" applyAlignment="1">
      <alignment horizontal="center" vertical="center"/>
    </xf>
    <xf numFmtId="0" fontId="3" fillId="10" borderId="1" xfId="0" applyNumberFormat="1" applyFont="1" applyFill="1" applyBorder="1" applyAlignment="1">
      <alignment horizontal="center" vertical="center"/>
    </xf>
    <xf numFmtId="176" fontId="3" fillId="10" borderId="1" xfId="0" applyNumberFormat="1" applyFont="1" applyFill="1" applyBorder="1" applyAlignment="1">
      <alignment horizontal="right" vertical="center"/>
    </xf>
    <xf numFmtId="4" fontId="0" fillId="10" borderId="0" xfId="0" applyNumberFormat="1" applyFill="1">
      <alignment vertical="center"/>
    </xf>
    <xf numFmtId="0" fontId="0" fillId="10" borderId="0" xfId="0" applyFill="1">
      <alignment vertical="center"/>
    </xf>
    <xf numFmtId="0" fontId="0" fillId="0" borderId="0" xfId="0" applyNumberFormat="1">
      <alignment vertical="center"/>
    </xf>
    <xf numFmtId="0" fontId="7" fillId="0" borderId="0" xfId="0" applyFont="1" applyBorder="1" applyAlignment="1">
      <alignment horizontal="center" vertical="center"/>
    </xf>
    <xf numFmtId="177" fontId="8" fillId="0" borderId="10" xfId="0" applyNumberFormat="1" applyFont="1" applyFill="1" applyBorder="1" applyAlignment="1">
      <alignment horizontal="center" vertical="center"/>
    </xf>
    <xf numFmtId="177" fontId="8" fillId="0" borderId="11" xfId="0" applyNumberFormat="1" applyFont="1" applyFill="1" applyBorder="1" applyAlignment="1">
      <alignment horizontal="center" vertical="center"/>
    </xf>
    <xf numFmtId="177" fontId="8" fillId="0" borderId="14" xfId="0" applyNumberFormat="1" applyFont="1" applyFill="1" applyBorder="1" applyAlignment="1">
      <alignment horizontal="center" vertical="center"/>
    </xf>
    <xf numFmtId="177" fontId="8" fillId="0" borderId="15" xfId="0" applyNumberFormat="1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left" vertical="center"/>
    </xf>
    <xf numFmtId="0" fontId="8" fillId="0" borderId="5" xfId="0" applyFont="1" applyFill="1" applyBorder="1" applyAlignment="1">
      <alignment horizontal="left" vertical="center"/>
    </xf>
    <xf numFmtId="0" fontId="9" fillId="0" borderId="8" xfId="0" applyFont="1" applyFill="1" applyBorder="1" applyAlignment="1">
      <alignment horizontal="left" vertical="center"/>
    </xf>
    <xf numFmtId="0" fontId="9" fillId="0" borderId="1" xfId="0" applyFont="1" applyFill="1" applyBorder="1" applyAlignment="1">
      <alignment horizontal="left" vertical="center"/>
    </xf>
    <xf numFmtId="0" fontId="8" fillId="0" borderId="12" xfId="0" applyFont="1" applyFill="1" applyBorder="1" applyAlignment="1">
      <alignment horizontal="center" vertical="center"/>
    </xf>
    <xf numFmtId="0" fontId="8" fillId="0" borderId="13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left" vertical="center" wrapText="1"/>
    </xf>
    <xf numFmtId="0" fontId="8" fillId="0" borderId="5" xfId="0" applyFont="1" applyBorder="1" applyAlignment="1">
      <alignment horizontal="left" vertical="center" wrapText="1"/>
    </xf>
    <xf numFmtId="177" fontId="8" fillId="0" borderId="6" xfId="0" applyNumberFormat="1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177" fontId="8" fillId="0" borderId="9" xfId="0" applyNumberFormat="1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 wrapText="1"/>
    </xf>
    <xf numFmtId="177" fontId="9" fillId="0" borderId="10" xfId="0" applyNumberFormat="1" applyFont="1" applyFill="1" applyBorder="1" applyAlignment="1">
      <alignment horizontal="center" vertical="center"/>
    </xf>
    <xf numFmtId="177" fontId="9" fillId="0" borderId="11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/>
    </xf>
  </cellXfs>
  <cellStyles count="4">
    <cellStyle name="百分比" xfId="3" builtinId="5"/>
    <cellStyle name="常规" xfId="0" builtinId="0"/>
    <cellStyle name="常规_Sheet1" xfId="2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费用统计报表表格!$S$41</c:f>
              <c:strCache>
                <c:ptCount val="1"/>
                <c:pt idx="0">
                  <c:v>      招待费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费用统计报表表格!$T$39:$V$39</c:f>
              <c:strCache>
                <c:ptCount val="3"/>
                <c:pt idx="0">
                  <c:v>2017(二）</c:v>
                </c:pt>
                <c:pt idx="1">
                  <c:v>2018（二）</c:v>
                </c:pt>
                <c:pt idx="2">
                  <c:v>2019（二）</c:v>
                </c:pt>
              </c:strCache>
            </c:strRef>
          </c:cat>
          <c:val>
            <c:numRef>
              <c:f>费用统计报表表格!$T$41:$V$41</c:f>
              <c:numCache>
                <c:formatCode>0.00_ </c:formatCode>
                <c:ptCount val="3"/>
                <c:pt idx="0">
                  <c:v>34.745515000000005</c:v>
                </c:pt>
                <c:pt idx="1">
                  <c:v>35.496590999999995</c:v>
                </c:pt>
                <c:pt idx="2">
                  <c:v>49.839117999999999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E-4640-BBF5-4A6E06A585C1}"/>
            </c:ext>
          </c:extLst>
        </c:ser>
        <c:ser>
          <c:idx val="1"/>
          <c:order val="1"/>
          <c:tx>
            <c:strRef>
              <c:f>费用统计报表表格!$S$42</c:f>
              <c:strCache>
                <c:ptCount val="1"/>
                <c:pt idx="0">
                  <c:v>      宣传费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费用统计报表表格!$T$39:$V$39</c:f>
              <c:strCache>
                <c:ptCount val="3"/>
                <c:pt idx="0">
                  <c:v>2017(二）</c:v>
                </c:pt>
                <c:pt idx="1">
                  <c:v>2018（二）</c:v>
                </c:pt>
                <c:pt idx="2">
                  <c:v>2019（二）</c:v>
                </c:pt>
              </c:strCache>
            </c:strRef>
          </c:cat>
          <c:val>
            <c:numRef>
              <c:f>费用统计报表表格!$T$42:$V$42</c:f>
              <c:numCache>
                <c:formatCode>0.00_ </c:formatCode>
                <c:ptCount val="3"/>
                <c:pt idx="0">
                  <c:v>9.775936999999999</c:v>
                </c:pt>
                <c:pt idx="1">
                  <c:v>6.6009410000000006</c:v>
                </c:pt>
                <c:pt idx="2">
                  <c:v>5.067755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E-4640-BBF5-4A6E06A585C1}"/>
            </c:ext>
          </c:extLst>
        </c:ser>
        <c:ser>
          <c:idx val="2"/>
          <c:order val="2"/>
          <c:tx>
            <c:strRef>
              <c:f>费用统计报表表格!$S$43</c:f>
              <c:strCache>
                <c:ptCount val="1"/>
                <c:pt idx="0">
                  <c:v>      会议费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费用统计报表表格!$T$39:$V$39</c:f>
              <c:strCache>
                <c:ptCount val="3"/>
                <c:pt idx="0">
                  <c:v>2017(二）</c:v>
                </c:pt>
                <c:pt idx="1">
                  <c:v>2018（二）</c:v>
                </c:pt>
                <c:pt idx="2">
                  <c:v>2019（二）</c:v>
                </c:pt>
              </c:strCache>
            </c:strRef>
          </c:cat>
          <c:val>
            <c:numRef>
              <c:f>费用统计报表表格!$T$43:$V$43</c:f>
              <c:numCache>
                <c:formatCode>0.00_ </c:formatCode>
                <c:ptCount val="3"/>
                <c:pt idx="0">
                  <c:v>11.764206</c:v>
                </c:pt>
                <c:pt idx="1">
                  <c:v>0</c:v>
                </c:pt>
                <c:pt idx="2">
                  <c:v>1.6966110000000001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E-4640-BBF5-4A6E06A585C1}"/>
            </c:ext>
          </c:extLst>
        </c:ser>
        <c:ser>
          <c:idx val="3"/>
          <c:order val="3"/>
          <c:tx>
            <c:strRef>
              <c:f>费用统计报表表格!$S$44</c:f>
              <c:strCache>
                <c:ptCount val="1"/>
                <c:pt idx="0">
                  <c:v>      差旅费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费用统计报表表格!$T$39:$V$39</c:f>
              <c:strCache>
                <c:ptCount val="3"/>
                <c:pt idx="0">
                  <c:v>2017(二）</c:v>
                </c:pt>
                <c:pt idx="1">
                  <c:v>2018（二）</c:v>
                </c:pt>
                <c:pt idx="2">
                  <c:v>2019（二）</c:v>
                </c:pt>
              </c:strCache>
            </c:strRef>
          </c:cat>
          <c:val>
            <c:numRef>
              <c:f>费用统计报表表格!$T$44:$V$44</c:f>
              <c:numCache>
                <c:formatCode>0.00_ </c:formatCode>
                <c:ptCount val="3"/>
                <c:pt idx="0">
                  <c:v>10.217181</c:v>
                </c:pt>
                <c:pt idx="1">
                  <c:v>11.2784</c:v>
                </c:pt>
                <c:pt idx="2">
                  <c:v>10.746400999999999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0AE-4640-BBF5-4A6E06A585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09172511"/>
        <c:axId val="1673124223"/>
      </c:barChart>
      <c:catAx>
        <c:axId val="1409172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73124223"/>
        <c:crosses val="autoZero"/>
        <c:auto val="1"/>
        <c:lblAlgn val="ctr"/>
        <c:lblOffset val="100"/>
        <c:noMultiLvlLbl val="0"/>
      </c:catAx>
      <c:valAx>
        <c:axId val="1673124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409172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685800</xdr:colOff>
          <xdr:row>1</xdr:row>
          <xdr:rowOff>68580</xdr:rowOff>
        </xdr:from>
        <xdr:to>
          <xdr:col>5</xdr:col>
          <xdr:colOff>670560</xdr:colOff>
          <xdr:row>3</xdr:row>
          <xdr:rowOff>121920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管理费收入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464820</xdr:colOff>
          <xdr:row>1</xdr:row>
          <xdr:rowOff>167640</xdr:rowOff>
        </xdr:from>
        <xdr:to>
          <xdr:col>17</xdr:col>
          <xdr:colOff>632460</xdr:colOff>
          <xdr:row>4</xdr:row>
          <xdr:rowOff>15240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费用表统计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525780</xdr:colOff>
          <xdr:row>3</xdr:row>
          <xdr:rowOff>91440</xdr:rowOff>
        </xdr:from>
        <xdr:to>
          <xdr:col>23</xdr:col>
          <xdr:colOff>701040</xdr:colOff>
          <xdr:row>5</xdr:row>
          <xdr:rowOff>83820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统计利润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215900</xdr:colOff>
      <xdr:row>40</xdr:row>
      <xdr:rowOff>155575</xdr:rowOff>
    </xdr:from>
    <xdr:to>
      <xdr:col>27</xdr:col>
      <xdr:colOff>571500</xdr:colOff>
      <xdr:row>55</xdr:row>
      <xdr:rowOff>15875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61"/>
  <sheetViews>
    <sheetView workbookViewId="0">
      <pane ySplit="1" topLeftCell="A934" activePane="bottomLeft" state="frozen"/>
      <selection pane="bottomLeft" activeCell="A882" sqref="A882:A961"/>
    </sheetView>
  </sheetViews>
  <sheetFormatPr defaultRowHeight="13.8" x14ac:dyDescent="0.25"/>
  <cols>
    <col min="1" max="1" width="11.21875" bestFit="1" customWidth="1"/>
    <col min="2" max="2" width="38" bestFit="1" customWidth="1"/>
    <col min="3" max="3" width="5.5546875" bestFit="1" customWidth="1"/>
    <col min="4" max="5" width="14.21875" bestFit="1" customWidth="1"/>
  </cols>
  <sheetData>
    <row r="1" spans="1:5" x14ac:dyDescent="0.25">
      <c r="A1" t="s">
        <v>257</v>
      </c>
      <c r="B1" s="14" t="s">
        <v>258</v>
      </c>
      <c r="C1" s="15" t="s">
        <v>71</v>
      </c>
      <c r="D1" s="14" t="s">
        <v>122</v>
      </c>
      <c r="E1" s="14" t="s">
        <v>123</v>
      </c>
    </row>
    <row r="2" spans="1:5" x14ac:dyDescent="0.25">
      <c r="A2" s="21">
        <v>41274</v>
      </c>
      <c r="B2" s="16" t="s">
        <v>124</v>
      </c>
      <c r="C2" s="17">
        <v>1</v>
      </c>
      <c r="D2" s="16"/>
      <c r="E2" s="16"/>
    </row>
    <row r="3" spans="1:5" x14ac:dyDescent="0.25">
      <c r="A3" s="21">
        <v>41274</v>
      </c>
      <c r="B3" s="16" t="s">
        <v>127</v>
      </c>
      <c r="C3" s="17">
        <v>2</v>
      </c>
      <c r="D3" s="18">
        <v>56529.14</v>
      </c>
      <c r="E3" s="18">
        <v>24782.19</v>
      </c>
    </row>
    <row r="4" spans="1:5" x14ac:dyDescent="0.25">
      <c r="A4" s="21">
        <v>41274</v>
      </c>
      <c r="B4" s="16" t="s">
        <v>130</v>
      </c>
      <c r="C4" s="17">
        <v>3</v>
      </c>
      <c r="D4" s="16"/>
      <c r="E4" s="16"/>
    </row>
    <row r="5" spans="1:5" x14ac:dyDescent="0.25">
      <c r="A5" s="21">
        <v>41274</v>
      </c>
      <c r="B5" s="16" t="s">
        <v>133</v>
      </c>
      <c r="C5" s="17">
        <v>4</v>
      </c>
      <c r="D5" s="16"/>
      <c r="E5" s="16"/>
    </row>
    <row r="6" spans="1:5" x14ac:dyDescent="0.25">
      <c r="A6" s="21">
        <v>41274</v>
      </c>
      <c r="B6" s="16" t="s">
        <v>136</v>
      </c>
      <c r="C6" s="17">
        <v>5</v>
      </c>
      <c r="D6" s="16"/>
      <c r="E6" s="16"/>
    </row>
    <row r="7" spans="1:5" x14ac:dyDescent="0.25">
      <c r="A7" s="21">
        <v>41274</v>
      </c>
      <c r="B7" s="16" t="s">
        <v>139</v>
      </c>
      <c r="C7" s="17">
        <v>6</v>
      </c>
      <c r="D7" s="16"/>
      <c r="E7" s="16"/>
    </row>
    <row r="8" spans="1:5" x14ac:dyDescent="0.25">
      <c r="A8" s="21">
        <v>41274</v>
      </c>
      <c r="B8" s="16" t="s">
        <v>142</v>
      </c>
      <c r="C8" s="17">
        <v>7</v>
      </c>
      <c r="D8" s="16"/>
      <c r="E8" s="16"/>
    </row>
    <row r="9" spans="1:5" x14ac:dyDescent="0.25">
      <c r="A9" s="21">
        <v>41274</v>
      </c>
      <c r="B9" s="16" t="s">
        <v>145</v>
      </c>
      <c r="C9" s="17">
        <v>8</v>
      </c>
      <c r="D9" s="16"/>
      <c r="E9" s="16"/>
    </row>
    <row r="10" spans="1:5" x14ac:dyDescent="0.25">
      <c r="A10" s="21">
        <v>41274</v>
      </c>
      <c r="B10" s="16" t="s">
        <v>148</v>
      </c>
      <c r="C10" s="17">
        <v>9</v>
      </c>
      <c r="D10" s="16"/>
      <c r="E10" s="16"/>
    </row>
    <row r="11" spans="1:5" x14ac:dyDescent="0.25">
      <c r="A11" s="21">
        <v>41274</v>
      </c>
      <c r="B11" s="16" t="s">
        <v>151</v>
      </c>
      <c r="C11" s="17">
        <v>10</v>
      </c>
      <c r="D11" s="16"/>
      <c r="E11" s="16"/>
    </row>
    <row r="12" spans="1:5" x14ac:dyDescent="0.25">
      <c r="A12" s="21">
        <v>41274</v>
      </c>
      <c r="B12" s="16" t="s">
        <v>154</v>
      </c>
      <c r="C12" s="17">
        <v>11</v>
      </c>
      <c r="D12" s="16"/>
      <c r="E12" s="16"/>
    </row>
    <row r="13" spans="1:5" x14ac:dyDescent="0.25">
      <c r="A13" s="21">
        <v>41274</v>
      </c>
      <c r="B13" s="16" t="s">
        <v>157</v>
      </c>
      <c r="C13" s="17">
        <v>12</v>
      </c>
      <c r="D13" s="16"/>
      <c r="E13" s="16"/>
    </row>
    <row r="14" spans="1:5" x14ac:dyDescent="0.25">
      <c r="A14" s="21">
        <v>41274</v>
      </c>
      <c r="B14" s="16" t="s">
        <v>160</v>
      </c>
      <c r="C14" s="17">
        <v>13</v>
      </c>
      <c r="D14" s="16"/>
      <c r="E14" s="16"/>
    </row>
    <row r="15" spans="1:5" x14ac:dyDescent="0.25">
      <c r="A15" s="21">
        <v>41274</v>
      </c>
      <c r="B15" s="16" t="s">
        <v>163</v>
      </c>
      <c r="C15" s="17">
        <v>14</v>
      </c>
      <c r="D15" s="16"/>
      <c r="E15" s="16"/>
    </row>
    <row r="16" spans="1:5" x14ac:dyDescent="0.25">
      <c r="A16" s="21">
        <v>41274</v>
      </c>
      <c r="B16" s="16" t="s">
        <v>166</v>
      </c>
      <c r="C16" s="17">
        <v>15</v>
      </c>
      <c r="D16" s="16"/>
      <c r="E16" s="16"/>
    </row>
    <row r="17" spans="1:5" x14ac:dyDescent="0.25">
      <c r="A17" s="21">
        <v>41274</v>
      </c>
      <c r="B17" s="16" t="s">
        <v>169</v>
      </c>
      <c r="C17" s="17">
        <v>16</v>
      </c>
      <c r="D17" s="16"/>
      <c r="E17" s="16"/>
    </row>
    <row r="18" spans="1:5" x14ac:dyDescent="0.25">
      <c r="A18" s="21">
        <v>41274</v>
      </c>
      <c r="B18" s="16" t="s">
        <v>172</v>
      </c>
      <c r="C18" s="17">
        <v>17</v>
      </c>
      <c r="D18" s="18">
        <v>91440.8</v>
      </c>
      <c r="E18" s="18">
        <v>81988.41</v>
      </c>
    </row>
    <row r="19" spans="1:5" x14ac:dyDescent="0.25">
      <c r="A19" s="21">
        <v>41274</v>
      </c>
      <c r="B19" s="16" t="s">
        <v>175</v>
      </c>
      <c r="C19" s="17">
        <v>18</v>
      </c>
      <c r="D19" s="18">
        <v>4669387.83</v>
      </c>
      <c r="E19" s="18">
        <v>-699609.59999999998</v>
      </c>
    </row>
    <row r="20" spans="1:5" x14ac:dyDescent="0.25">
      <c r="A20" s="21">
        <v>41274</v>
      </c>
      <c r="B20" s="16" t="s">
        <v>178</v>
      </c>
      <c r="C20" s="17">
        <v>19</v>
      </c>
      <c r="D20" s="16"/>
      <c r="E20" s="16"/>
    </row>
    <row r="21" spans="1:5" x14ac:dyDescent="0.25">
      <c r="A21" s="21">
        <v>41274</v>
      </c>
      <c r="B21" s="16" t="s">
        <v>181</v>
      </c>
      <c r="C21" s="17">
        <v>20</v>
      </c>
      <c r="D21" s="16"/>
      <c r="E21" s="16"/>
    </row>
    <row r="22" spans="1:5" x14ac:dyDescent="0.25">
      <c r="A22" s="21">
        <v>41274</v>
      </c>
      <c r="B22" s="16" t="s">
        <v>184</v>
      </c>
      <c r="C22" s="17">
        <v>21</v>
      </c>
      <c r="D22" s="18">
        <v>-16724502.73</v>
      </c>
      <c r="E22" s="18">
        <v>-12226728.369999999</v>
      </c>
    </row>
    <row r="23" spans="1:5" x14ac:dyDescent="0.25">
      <c r="A23" s="21">
        <v>41274</v>
      </c>
      <c r="B23" s="16" t="s">
        <v>187</v>
      </c>
      <c r="C23" s="17">
        <v>22</v>
      </c>
      <c r="D23" s="16"/>
      <c r="E23" s="16"/>
    </row>
    <row r="24" spans="1:5" x14ac:dyDescent="0.25">
      <c r="A24" s="21">
        <v>41274</v>
      </c>
      <c r="B24" s="16" t="s">
        <v>190</v>
      </c>
      <c r="C24" s="17">
        <v>23</v>
      </c>
      <c r="D24" s="16"/>
      <c r="E24" s="16"/>
    </row>
    <row r="25" spans="1:5" x14ac:dyDescent="0.25">
      <c r="A25" s="21">
        <v>41274</v>
      </c>
      <c r="B25" s="16" t="s">
        <v>193</v>
      </c>
      <c r="C25" s="17" t="s">
        <v>194</v>
      </c>
      <c r="D25" s="16"/>
      <c r="E25" s="16"/>
    </row>
    <row r="26" spans="1:5" x14ac:dyDescent="0.25">
      <c r="A26" s="21">
        <v>41274</v>
      </c>
      <c r="B26" s="16" t="s">
        <v>197</v>
      </c>
      <c r="C26" s="17" t="s">
        <v>198</v>
      </c>
      <c r="D26" s="16"/>
      <c r="E26" s="16"/>
    </row>
    <row r="27" spans="1:5" x14ac:dyDescent="0.25">
      <c r="A27" s="21">
        <v>41274</v>
      </c>
      <c r="B27" s="16" t="s">
        <v>201</v>
      </c>
      <c r="C27" s="17" t="s">
        <v>202</v>
      </c>
      <c r="D27" s="16"/>
      <c r="E27" s="16"/>
    </row>
    <row r="28" spans="1:5" x14ac:dyDescent="0.25">
      <c r="A28" s="21">
        <v>41274</v>
      </c>
      <c r="B28" s="16" t="s">
        <v>205</v>
      </c>
      <c r="C28" s="17" t="s">
        <v>206</v>
      </c>
      <c r="D28" s="16"/>
      <c r="E28" s="16"/>
    </row>
    <row r="29" spans="1:5" x14ac:dyDescent="0.25">
      <c r="A29" s="21">
        <v>41274</v>
      </c>
      <c r="B29" s="16" t="s">
        <v>209</v>
      </c>
      <c r="C29" s="17" t="s">
        <v>210</v>
      </c>
      <c r="D29" s="16"/>
      <c r="E29" s="16"/>
    </row>
    <row r="30" spans="1:5" x14ac:dyDescent="0.25">
      <c r="A30" s="21">
        <v>41274</v>
      </c>
      <c r="B30" s="16" t="s">
        <v>213</v>
      </c>
      <c r="C30" s="17" t="s">
        <v>214</v>
      </c>
      <c r="D30" s="18">
        <v>97372.51</v>
      </c>
      <c r="E30" s="18">
        <v>118847.86</v>
      </c>
    </row>
    <row r="31" spans="1:5" x14ac:dyDescent="0.25">
      <c r="A31" s="21">
        <v>41274</v>
      </c>
      <c r="B31" s="16" t="s">
        <v>217</v>
      </c>
      <c r="C31" s="17" t="s">
        <v>218</v>
      </c>
      <c r="D31" s="16"/>
      <c r="E31" s="16"/>
    </row>
    <row r="32" spans="1:5" x14ac:dyDescent="0.25">
      <c r="A32" s="21">
        <v>41274</v>
      </c>
      <c r="B32" s="16" t="s">
        <v>221</v>
      </c>
      <c r="C32" s="17" t="s">
        <v>222</v>
      </c>
      <c r="D32" s="16"/>
      <c r="E32" s="16"/>
    </row>
    <row r="33" spans="1:5" x14ac:dyDescent="0.25">
      <c r="A33" s="21">
        <v>41274</v>
      </c>
      <c r="B33" s="16" t="s">
        <v>225</v>
      </c>
      <c r="C33" s="17" t="s">
        <v>226</v>
      </c>
      <c r="D33" s="18">
        <v>207473.75</v>
      </c>
      <c r="E33" s="18">
        <v>282918.75</v>
      </c>
    </row>
    <row r="34" spans="1:5" x14ac:dyDescent="0.25">
      <c r="A34" s="21">
        <v>41274</v>
      </c>
      <c r="B34" s="16" t="s">
        <v>229</v>
      </c>
      <c r="C34" s="17" t="s">
        <v>230</v>
      </c>
      <c r="D34" s="16"/>
      <c r="E34" s="16"/>
    </row>
    <row r="35" spans="1:5" x14ac:dyDescent="0.25">
      <c r="A35" s="21">
        <v>41274</v>
      </c>
      <c r="B35" s="16" t="s">
        <v>233</v>
      </c>
      <c r="C35" s="17" t="s">
        <v>234</v>
      </c>
      <c r="D35" s="16"/>
      <c r="E35" s="16"/>
    </row>
    <row r="36" spans="1:5" x14ac:dyDescent="0.25">
      <c r="A36" s="21">
        <v>41274</v>
      </c>
      <c r="B36" s="16" t="s">
        <v>237</v>
      </c>
      <c r="C36" s="17" t="s">
        <v>238</v>
      </c>
      <c r="D36" s="16"/>
      <c r="E36" s="16"/>
    </row>
    <row r="37" spans="1:5" x14ac:dyDescent="0.25">
      <c r="A37" s="21">
        <v>41274</v>
      </c>
      <c r="B37" s="16"/>
      <c r="C37" s="17" t="s">
        <v>241</v>
      </c>
      <c r="D37" s="16"/>
      <c r="E37" s="16"/>
    </row>
    <row r="38" spans="1:5" x14ac:dyDescent="0.25">
      <c r="A38" s="21">
        <v>41274</v>
      </c>
      <c r="B38" s="16"/>
      <c r="C38" s="17" t="s">
        <v>244</v>
      </c>
      <c r="D38" s="16"/>
      <c r="E38" s="16"/>
    </row>
    <row r="39" spans="1:5" x14ac:dyDescent="0.25">
      <c r="A39" s="21">
        <v>41274</v>
      </c>
      <c r="B39" s="16"/>
      <c r="C39" s="17" t="s">
        <v>247</v>
      </c>
      <c r="D39" s="16"/>
      <c r="E39" s="16"/>
    </row>
    <row r="40" spans="1:5" x14ac:dyDescent="0.25">
      <c r="A40" s="21">
        <v>41274</v>
      </c>
      <c r="B40" s="16"/>
      <c r="C40" s="17" t="s">
        <v>250</v>
      </c>
      <c r="D40" s="16"/>
      <c r="E40" s="16"/>
    </row>
    <row r="41" spans="1:5" x14ac:dyDescent="0.25">
      <c r="A41" s="21">
        <v>41274</v>
      </c>
      <c r="B41" s="14" t="s">
        <v>253</v>
      </c>
      <c r="C41" s="17" t="s">
        <v>254</v>
      </c>
      <c r="D41" s="18">
        <v>-11602298.699999999</v>
      </c>
      <c r="E41" s="18">
        <v>-12417800.76</v>
      </c>
    </row>
    <row r="42" spans="1:5" x14ac:dyDescent="0.25">
      <c r="A42" s="21">
        <v>41274</v>
      </c>
      <c r="B42" s="16" t="s">
        <v>125</v>
      </c>
      <c r="C42" s="14" t="s">
        <v>126</v>
      </c>
      <c r="D42" s="16"/>
      <c r="E42" s="16"/>
    </row>
    <row r="43" spans="1:5" x14ac:dyDescent="0.25">
      <c r="A43" s="21">
        <v>41274</v>
      </c>
      <c r="B43" s="16" t="s">
        <v>128</v>
      </c>
      <c r="C43" s="14" t="s">
        <v>129</v>
      </c>
      <c r="D43" s="16"/>
      <c r="E43" s="16"/>
    </row>
    <row r="44" spans="1:5" x14ac:dyDescent="0.25">
      <c r="A44" s="21">
        <v>41274</v>
      </c>
      <c r="B44" s="16" t="s">
        <v>131</v>
      </c>
      <c r="C44" s="14" t="s">
        <v>132</v>
      </c>
      <c r="D44" s="16"/>
      <c r="E44" s="16"/>
    </row>
    <row r="45" spans="1:5" x14ac:dyDescent="0.25">
      <c r="A45" s="21">
        <v>41274</v>
      </c>
      <c r="B45" s="16" t="s">
        <v>134</v>
      </c>
      <c r="C45" s="14" t="s">
        <v>135</v>
      </c>
      <c r="D45" s="16"/>
      <c r="E45" s="16"/>
    </row>
    <row r="46" spans="1:5" x14ac:dyDescent="0.25">
      <c r="A46" s="21">
        <v>41274</v>
      </c>
      <c r="B46" s="16" t="s">
        <v>137</v>
      </c>
      <c r="C46" s="14" t="s">
        <v>138</v>
      </c>
      <c r="D46" s="16"/>
      <c r="E46" s="16"/>
    </row>
    <row r="47" spans="1:5" x14ac:dyDescent="0.25">
      <c r="A47" s="21">
        <v>41274</v>
      </c>
      <c r="B47" s="16" t="s">
        <v>140</v>
      </c>
      <c r="C47" s="14" t="s">
        <v>141</v>
      </c>
      <c r="D47" s="16"/>
      <c r="E47" s="16"/>
    </row>
    <row r="48" spans="1:5" x14ac:dyDescent="0.25">
      <c r="A48" s="21">
        <v>41274</v>
      </c>
      <c r="B48" s="16" t="s">
        <v>143</v>
      </c>
      <c r="C48" s="14" t="s">
        <v>144</v>
      </c>
      <c r="D48" s="16"/>
      <c r="E48" s="16"/>
    </row>
    <row r="49" spans="1:5" x14ac:dyDescent="0.25">
      <c r="A49" s="21">
        <v>41274</v>
      </c>
      <c r="B49" s="16" t="s">
        <v>146</v>
      </c>
      <c r="C49" s="14" t="s">
        <v>147</v>
      </c>
      <c r="D49" s="16"/>
      <c r="E49" s="16"/>
    </row>
    <row r="50" spans="1:5" x14ac:dyDescent="0.25">
      <c r="A50" s="21">
        <v>41274</v>
      </c>
      <c r="B50" s="16" t="s">
        <v>149</v>
      </c>
      <c r="C50" s="14" t="s">
        <v>150</v>
      </c>
      <c r="D50" s="16"/>
      <c r="E50" s="16"/>
    </row>
    <row r="51" spans="1:5" x14ac:dyDescent="0.25">
      <c r="A51" s="21">
        <v>41274</v>
      </c>
      <c r="B51" s="16" t="s">
        <v>152</v>
      </c>
      <c r="C51" s="14" t="s">
        <v>153</v>
      </c>
      <c r="D51" s="16"/>
      <c r="E51" s="16"/>
    </row>
    <row r="52" spans="1:5" x14ac:dyDescent="0.25">
      <c r="A52" s="21">
        <v>41274</v>
      </c>
      <c r="B52" s="16" t="s">
        <v>155</v>
      </c>
      <c r="C52" s="14" t="s">
        <v>156</v>
      </c>
      <c r="D52" s="18">
        <v>144799.96</v>
      </c>
      <c r="E52" s="18">
        <v>256885.73</v>
      </c>
    </row>
    <row r="53" spans="1:5" x14ac:dyDescent="0.25">
      <c r="A53" s="21">
        <v>41274</v>
      </c>
      <c r="B53" s="16" t="s">
        <v>158</v>
      </c>
      <c r="C53" s="14" t="s">
        <v>159</v>
      </c>
      <c r="D53" s="16"/>
      <c r="E53" s="16"/>
    </row>
    <row r="54" spans="1:5" x14ac:dyDescent="0.25">
      <c r="A54" s="21">
        <v>41274</v>
      </c>
      <c r="B54" s="16" t="s">
        <v>161</v>
      </c>
      <c r="C54" s="14" t="s">
        <v>162</v>
      </c>
      <c r="D54" s="16"/>
      <c r="E54" s="16"/>
    </row>
    <row r="55" spans="1:5" x14ac:dyDescent="0.25">
      <c r="A55" s="21">
        <v>41274</v>
      </c>
      <c r="B55" s="16" t="s">
        <v>164</v>
      </c>
      <c r="C55" s="14" t="s">
        <v>165</v>
      </c>
      <c r="D55" s="18">
        <v>237214.75</v>
      </c>
      <c r="E55" s="18">
        <v>118989.45</v>
      </c>
    </row>
    <row r="56" spans="1:5" x14ac:dyDescent="0.25">
      <c r="A56" s="21">
        <v>41274</v>
      </c>
      <c r="B56" s="16" t="s">
        <v>167</v>
      </c>
      <c r="C56" s="14" t="s">
        <v>168</v>
      </c>
      <c r="D56" s="16"/>
      <c r="E56" s="16"/>
    </row>
    <row r="57" spans="1:5" x14ac:dyDescent="0.25">
      <c r="A57" s="21">
        <v>41274</v>
      </c>
      <c r="B57" s="16" t="s">
        <v>170</v>
      </c>
      <c r="C57" s="14" t="s">
        <v>171</v>
      </c>
      <c r="D57" s="16"/>
      <c r="E57" s="16"/>
    </row>
    <row r="58" spans="1:5" x14ac:dyDescent="0.25">
      <c r="A58" s="21">
        <v>41274</v>
      </c>
      <c r="B58" s="16" t="s">
        <v>173</v>
      </c>
      <c r="C58" s="14" t="s">
        <v>174</v>
      </c>
      <c r="D58" s="16"/>
      <c r="E58" s="16"/>
    </row>
    <row r="59" spans="1:5" x14ac:dyDescent="0.25">
      <c r="A59" s="21">
        <v>41274</v>
      </c>
      <c r="B59" s="16" t="s">
        <v>176</v>
      </c>
      <c r="C59" s="14" t="s">
        <v>177</v>
      </c>
      <c r="D59" s="16"/>
      <c r="E59" s="16"/>
    </row>
    <row r="60" spans="1:5" x14ac:dyDescent="0.25">
      <c r="A60" s="21">
        <v>41274</v>
      </c>
      <c r="B60" s="16" t="s">
        <v>179</v>
      </c>
      <c r="C60" s="14" t="s">
        <v>180</v>
      </c>
      <c r="D60" s="16"/>
      <c r="E60" s="16"/>
    </row>
    <row r="61" spans="1:5" x14ac:dyDescent="0.25">
      <c r="A61" s="21">
        <v>41274</v>
      </c>
      <c r="B61" s="16" t="s">
        <v>182</v>
      </c>
      <c r="C61" s="14" t="s">
        <v>183</v>
      </c>
      <c r="D61" s="16"/>
      <c r="E61" s="16"/>
    </row>
    <row r="62" spans="1:5" x14ac:dyDescent="0.25">
      <c r="A62" s="21">
        <v>41274</v>
      </c>
      <c r="B62" s="16" t="s">
        <v>185</v>
      </c>
      <c r="C62" s="14" t="s">
        <v>186</v>
      </c>
      <c r="D62" s="16"/>
      <c r="E62" s="16"/>
    </row>
    <row r="63" spans="1:5" x14ac:dyDescent="0.25">
      <c r="A63" s="21">
        <v>41274</v>
      </c>
      <c r="B63" s="16" t="s">
        <v>188</v>
      </c>
      <c r="C63" s="14" t="s">
        <v>189</v>
      </c>
      <c r="D63" s="16"/>
      <c r="E63" s="16"/>
    </row>
    <row r="64" spans="1:5" x14ac:dyDescent="0.25">
      <c r="A64" s="21">
        <v>41274</v>
      </c>
      <c r="B64" s="16" t="s">
        <v>191</v>
      </c>
      <c r="C64" s="14" t="s">
        <v>192</v>
      </c>
      <c r="D64" s="16"/>
      <c r="E64" s="16"/>
    </row>
    <row r="65" spans="1:5" x14ac:dyDescent="0.25">
      <c r="A65" s="21">
        <v>41274</v>
      </c>
      <c r="B65" s="16" t="s">
        <v>195</v>
      </c>
      <c r="C65" s="14" t="s">
        <v>196</v>
      </c>
      <c r="D65" s="16"/>
      <c r="E65" s="16"/>
    </row>
    <row r="66" spans="1:5" x14ac:dyDescent="0.25">
      <c r="A66" s="21">
        <v>41274</v>
      </c>
      <c r="B66" s="16" t="s">
        <v>199</v>
      </c>
      <c r="C66" s="14" t="s">
        <v>200</v>
      </c>
      <c r="D66" s="16"/>
      <c r="E66" s="16"/>
    </row>
    <row r="67" spans="1:5" x14ac:dyDescent="0.25">
      <c r="A67" s="21">
        <v>41274</v>
      </c>
      <c r="B67" s="16" t="s">
        <v>203</v>
      </c>
      <c r="C67" s="14" t="s">
        <v>204</v>
      </c>
      <c r="D67" s="16"/>
      <c r="E67" s="16"/>
    </row>
    <row r="68" spans="1:5" x14ac:dyDescent="0.25">
      <c r="A68" s="21">
        <v>41274</v>
      </c>
      <c r="B68" s="16" t="s">
        <v>207</v>
      </c>
      <c r="C68" s="14" t="s">
        <v>208</v>
      </c>
      <c r="D68" s="16"/>
      <c r="E68" s="16"/>
    </row>
    <row r="69" spans="1:5" x14ac:dyDescent="0.25">
      <c r="A69" s="21">
        <v>41274</v>
      </c>
      <c r="B69" s="16" t="s">
        <v>211</v>
      </c>
      <c r="C69" s="14" t="s">
        <v>212</v>
      </c>
      <c r="D69" s="16"/>
      <c r="E69" s="16"/>
    </row>
    <row r="70" spans="1:5" x14ac:dyDescent="0.25">
      <c r="A70" s="21">
        <v>41274</v>
      </c>
      <c r="B70" s="16" t="s">
        <v>215</v>
      </c>
      <c r="C70" s="14" t="s">
        <v>216</v>
      </c>
      <c r="D70" s="16"/>
      <c r="E70" s="16"/>
    </row>
    <row r="71" spans="1:5" x14ac:dyDescent="0.25">
      <c r="A71" s="21">
        <v>41274</v>
      </c>
      <c r="B71" s="16" t="s">
        <v>219</v>
      </c>
      <c r="C71" s="14" t="s">
        <v>220</v>
      </c>
      <c r="D71" s="18">
        <v>382014.71</v>
      </c>
      <c r="E71" s="18">
        <v>375875.18</v>
      </c>
    </row>
    <row r="72" spans="1:5" x14ac:dyDescent="0.25">
      <c r="A72" s="21">
        <v>41274</v>
      </c>
      <c r="B72" s="16" t="s">
        <v>223</v>
      </c>
      <c r="C72" s="14" t="s">
        <v>224</v>
      </c>
      <c r="D72" s="16"/>
      <c r="E72" s="16"/>
    </row>
    <row r="73" spans="1:5" x14ac:dyDescent="0.25">
      <c r="A73" s="21">
        <v>41274</v>
      </c>
      <c r="B73" s="16" t="s">
        <v>227</v>
      </c>
      <c r="C73" s="14" t="s">
        <v>228</v>
      </c>
      <c r="D73" s="16"/>
      <c r="E73" s="16"/>
    </row>
    <row r="74" spans="1:5" x14ac:dyDescent="0.25">
      <c r="A74" s="21">
        <v>41274</v>
      </c>
      <c r="B74" s="16" t="s">
        <v>231</v>
      </c>
      <c r="C74" s="14" t="s">
        <v>232</v>
      </c>
      <c r="D74" s="16"/>
      <c r="E74" s="16"/>
    </row>
    <row r="75" spans="1:5" x14ac:dyDescent="0.25">
      <c r="A75" s="21">
        <v>41274</v>
      </c>
      <c r="B75" s="16" t="s">
        <v>235</v>
      </c>
      <c r="C75" s="14" t="s">
        <v>236</v>
      </c>
      <c r="D75" s="16"/>
      <c r="E75" s="16"/>
    </row>
    <row r="76" spans="1:5" x14ac:dyDescent="0.25">
      <c r="A76" s="21">
        <v>41274</v>
      </c>
      <c r="B76" s="16" t="s">
        <v>239</v>
      </c>
      <c r="C76" s="14" t="s">
        <v>240</v>
      </c>
      <c r="D76" s="16"/>
      <c r="E76" s="16"/>
    </row>
    <row r="77" spans="1:5" x14ac:dyDescent="0.25">
      <c r="A77" s="21">
        <v>41274</v>
      </c>
      <c r="B77" s="16" t="s">
        <v>242</v>
      </c>
      <c r="C77" s="14" t="s">
        <v>243</v>
      </c>
      <c r="D77" s="16"/>
      <c r="E77" s="16"/>
    </row>
    <row r="78" spans="1:5" x14ac:dyDescent="0.25">
      <c r="A78" s="21">
        <v>41274</v>
      </c>
      <c r="B78" s="16" t="s">
        <v>245</v>
      </c>
      <c r="C78" s="14" t="s">
        <v>246</v>
      </c>
      <c r="D78" s="18">
        <v>-11984313.41</v>
      </c>
      <c r="E78" s="18">
        <v>-12793675.939999999</v>
      </c>
    </row>
    <row r="79" spans="1:5" x14ac:dyDescent="0.25">
      <c r="A79" s="21">
        <v>41274</v>
      </c>
      <c r="B79" s="16" t="s">
        <v>248</v>
      </c>
      <c r="C79" s="14" t="s">
        <v>249</v>
      </c>
      <c r="D79" s="16"/>
      <c r="E79" s="16"/>
    </row>
    <row r="80" spans="1:5" x14ac:dyDescent="0.25">
      <c r="A80" s="21">
        <v>41274</v>
      </c>
      <c r="B80" s="16" t="s">
        <v>251</v>
      </c>
      <c r="C80" s="14" t="s">
        <v>252</v>
      </c>
      <c r="D80" s="18">
        <v>-11984313.41</v>
      </c>
      <c r="E80" s="18">
        <v>-12793675.939999999</v>
      </c>
    </row>
    <row r="81" spans="1:5" x14ac:dyDescent="0.25">
      <c r="A81" s="21">
        <v>41274</v>
      </c>
      <c r="B81" s="14" t="s">
        <v>255</v>
      </c>
      <c r="C81" s="14" t="s">
        <v>256</v>
      </c>
      <c r="D81" s="18">
        <v>-11602298.699999999</v>
      </c>
      <c r="E81" s="18">
        <v>-12417800.76</v>
      </c>
    </row>
    <row r="82" spans="1:5" x14ac:dyDescent="0.25">
      <c r="A82" s="21">
        <v>41639</v>
      </c>
      <c r="B82" s="16" t="s">
        <v>124</v>
      </c>
      <c r="C82" s="17">
        <v>1</v>
      </c>
      <c r="D82" s="16"/>
      <c r="E82" s="16"/>
    </row>
    <row r="83" spans="1:5" x14ac:dyDescent="0.25">
      <c r="A83" s="21">
        <v>41639</v>
      </c>
      <c r="B83" s="16" t="s">
        <v>127</v>
      </c>
      <c r="C83" s="17">
        <v>2</v>
      </c>
      <c r="D83" s="18">
        <v>750350.13</v>
      </c>
      <c r="E83" s="18">
        <v>56529.14</v>
      </c>
    </row>
    <row r="84" spans="1:5" x14ac:dyDescent="0.25">
      <c r="A84" s="21">
        <v>41639</v>
      </c>
      <c r="B84" s="16" t="s">
        <v>130</v>
      </c>
      <c r="C84" s="17">
        <v>3</v>
      </c>
      <c r="D84" s="16"/>
      <c r="E84" s="16"/>
    </row>
    <row r="85" spans="1:5" x14ac:dyDescent="0.25">
      <c r="A85" s="21">
        <v>41639</v>
      </c>
      <c r="B85" s="16" t="s">
        <v>133</v>
      </c>
      <c r="C85" s="17">
        <v>4</v>
      </c>
      <c r="D85" s="16"/>
      <c r="E85" s="16"/>
    </row>
    <row r="86" spans="1:5" x14ac:dyDescent="0.25">
      <c r="A86" s="21">
        <v>41639</v>
      </c>
      <c r="B86" s="16" t="s">
        <v>136</v>
      </c>
      <c r="C86" s="17">
        <v>5</v>
      </c>
      <c r="D86" s="16"/>
      <c r="E86" s="16"/>
    </row>
    <row r="87" spans="1:5" x14ac:dyDescent="0.25">
      <c r="A87" s="21">
        <v>41639</v>
      </c>
      <c r="B87" s="16" t="s">
        <v>139</v>
      </c>
      <c r="C87" s="17">
        <v>6</v>
      </c>
      <c r="D87" s="16"/>
      <c r="E87" s="16"/>
    </row>
    <row r="88" spans="1:5" x14ac:dyDescent="0.25">
      <c r="A88" s="21">
        <v>41639</v>
      </c>
      <c r="B88" s="16" t="s">
        <v>142</v>
      </c>
      <c r="C88" s="17">
        <v>7</v>
      </c>
      <c r="D88" s="16"/>
      <c r="E88" s="16"/>
    </row>
    <row r="89" spans="1:5" x14ac:dyDescent="0.25">
      <c r="A89" s="21">
        <v>41639</v>
      </c>
      <c r="B89" s="16" t="s">
        <v>145</v>
      </c>
      <c r="C89" s="17">
        <v>8</v>
      </c>
      <c r="D89" s="16"/>
      <c r="E89" s="16"/>
    </row>
    <row r="90" spans="1:5" x14ac:dyDescent="0.25">
      <c r="A90" s="21">
        <v>41639</v>
      </c>
      <c r="B90" s="16" t="s">
        <v>148</v>
      </c>
      <c r="C90" s="17">
        <v>9</v>
      </c>
      <c r="D90" s="16"/>
      <c r="E90" s="16"/>
    </row>
    <row r="91" spans="1:5" x14ac:dyDescent="0.25">
      <c r="A91" s="21">
        <v>41639</v>
      </c>
      <c r="B91" s="16" t="s">
        <v>151</v>
      </c>
      <c r="C91" s="17">
        <v>10</v>
      </c>
      <c r="D91" s="16"/>
      <c r="E91" s="16"/>
    </row>
    <row r="92" spans="1:5" x14ac:dyDescent="0.25">
      <c r="A92" s="21">
        <v>41639</v>
      </c>
      <c r="B92" s="16" t="s">
        <v>154</v>
      </c>
      <c r="C92" s="17">
        <v>11</v>
      </c>
      <c r="D92" s="16"/>
      <c r="E92" s="16"/>
    </row>
    <row r="93" spans="1:5" x14ac:dyDescent="0.25">
      <c r="A93" s="21">
        <v>41639</v>
      </c>
      <c r="B93" s="16" t="s">
        <v>157</v>
      </c>
      <c r="C93" s="17">
        <v>12</v>
      </c>
      <c r="D93" s="16"/>
      <c r="E93" s="16"/>
    </row>
    <row r="94" spans="1:5" x14ac:dyDescent="0.25">
      <c r="A94" s="21">
        <v>41639</v>
      </c>
      <c r="B94" s="16" t="s">
        <v>160</v>
      </c>
      <c r="C94" s="17">
        <v>13</v>
      </c>
      <c r="D94" s="16"/>
      <c r="E94" s="16"/>
    </row>
    <row r="95" spans="1:5" x14ac:dyDescent="0.25">
      <c r="A95" s="21">
        <v>41639</v>
      </c>
      <c r="B95" s="16" t="s">
        <v>163</v>
      </c>
      <c r="C95" s="17">
        <v>14</v>
      </c>
      <c r="D95" s="16"/>
      <c r="E95" s="16"/>
    </row>
    <row r="96" spans="1:5" x14ac:dyDescent="0.25">
      <c r="A96" s="21">
        <v>41639</v>
      </c>
      <c r="B96" s="16" t="s">
        <v>166</v>
      </c>
      <c r="C96" s="17">
        <v>15</v>
      </c>
      <c r="D96" s="16"/>
      <c r="E96" s="16"/>
    </row>
    <row r="97" spans="1:5" x14ac:dyDescent="0.25">
      <c r="A97" s="21">
        <v>41639</v>
      </c>
      <c r="B97" s="16" t="s">
        <v>169</v>
      </c>
      <c r="C97" s="17">
        <v>16</v>
      </c>
      <c r="D97" s="16"/>
      <c r="E97" s="16"/>
    </row>
    <row r="98" spans="1:5" x14ac:dyDescent="0.25">
      <c r="A98" s="21">
        <v>41639</v>
      </c>
      <c r="B98" s="16" t="s">
        <v>172</v>
      </c>
      <c r="C98" s="17">
        <v>17</v>
      </c>
      <c r="D98" s="18">
        <v>100584.8</v>
      </c>
      <c r="E98" s="18">
        <v>91440.8</v>
      </c>
    </row>
    <row r="99" spans="1:5" x14ac:dyDescent="0.25">
      <c r="A99" s="21">
        <v>41639</v>
      </c>
      <c r="B99" s="16" t="s">
        <v>175</v>
      </c>
      <c r="C99" s="17">
        <v>18</v>
      </c>
      <c r="D99" s="18">
        <v>2810253.57</v>
      </c>
      <c r="E99" s="18">
        <v>4669387.83</v>
      </c>
    </row>
    <row r="100" spans="1:5" x14ac:dyDescent="0.25">
      <c r="A100" s="21">
        <v>41639</v>
      </c>
      <c r="B100" s="16" t="s">
        <v>178</v>
      </c>
      <c r="C100" s="17">
        <v>19</v>
      </c>
      <c r="D100" s="16"/>
      <c r="E100" s="16"/>
    </row>
    <row r="101" spans="1:5" x14ac:dyDescent="0.25">
      <c r="A101" s="21">
        <v>41639</v>
      </c>
      <c r="B101" s="16" t="s">
        <v>181</v>
      </c>
      <c r="C101" s="17">
        <v>20</v>
      </c>
      <c r="D101" s="16"/>
      <c r="E101" s="16"/>
    </row>
    <row r="102" spans="1:5" x14ac:dyDescent="0.25">
      <c r="A102" s="21">
        <v>41639</v>
      </c>
      <c r="B102" s="16" t="s">
        <v>184</v>
      </c>
      <c r="C102" s="17">
        <v>21</v>
      </c>
      <c r="D102" s="18">
        <v>-11050639.949999999</v>
      </c>
      <c r="E102" s="18">
        <v>-16555229.43</v>
      </c>
    </row>
    <row r="103" spans="1:5" x14ac:dyDescent="0.25">
      <c r="A103" s="21">
        <v>41639</v>
      </c>
      <c r="B103" s="16" t="s">
        <v>187</v>
      </c>
      <c r="C103" s="17">
        <v>22</v>
      </c>
      <c r="D103" s="16"/>
      <c r="E103" s="16"/>
    </row>
    <row r="104" spans="1:5" x14ac:dyDescent="0.25">
      <c r="A104" s="21">
        <v>41639</v>
      </c>
      <c r="B104" s="16" t="s">
        <v>190</v>
      </c>
      <c r="C104" s="17">
        <v>23</v>
      </c>
      <c r="D104" s="16"/>
      <c r="E104" s="16"/>
    </row>
    <row r="105" spans="1:5" x14ac:dyDescent="0.25">
      <c r="A105" s="21">
        <v>41639</v>
      </c>
      <c r="B105" s="16" t="s">
        <v>193</v>
      </c>
      <c r="C105" s="17" t="s">
        <v>194</v>
      </c>
      <c r="D105" s="16"/>
      <c r="E105" s="16"/>
    </row>
    <row r="106" spans="1:5" x14ac:dyDescent="0.25">
      <c r="A106" s="21">
        <v>41639</v>
      </c>
      <c r="B106" s="16" t="s">
        <v>197</v>
      </c>
      <c r="C106" s="17" t="s">
        <v>198</v>
      </c>
      <c r="D106" s="16"/>
      <c r="E106" s="16"/>
    </row>
    <row r="107" spans="1:5" x14ac:dyDescent="0.25">
      <c r="A107" s="21">
        <v>41639</v>
      </c>
      <c r="B107" s="16" t="s">
        <v>201</v>
      </c>
      <c r="C107" s="17" t="s">
        <v>202</v>
      </c>
      <c r="D107" s="16"/>
      <c r="E107" s="16"/>
    </row>
    <row r="108" spans="1:5" x14ac:dyDescent="0.25">
      <c r="A108" s="21">
        <v>41639</v>
      </c>
      <c r="B108" s="16" t="s">
        <v>205</v>
      </c>
      <c r="C108" s="17" t="s">
        <v>206</v>
      </c>
      <c r="D108" s="16"/>
      <c r="E108" s="16"/>
    </row>
    <row r="109" spans="1:5" x14ac:dyDescent="0.25">
      <c r="A109" s="21">
        <v>41639</v>
      </c>
      <c r="B109" s="16" t="s">
        <v>209</v>
      </c>
      <c r="C109" s="17" t="s">
        <v>210</v>
      </c>
      <c r="D109" s="16"/>
      <c r="E109" s="16"/>
    </row>
    <row r="110" spans="1:5" x14ac:dyDescent="0.25">
      <c r="A110" s="21">
        <v>41639</v>
      </c>
      <c r="B110" s="16" t="s">
        <v>213</v>
      </c>
      <c r="C110" s="17" t="s">
        <v>214</v>
      </c>
      <c r="D110" s="18">
        <v>74169.399999999994</v>
      </c>
      <c r="E110" s="18">
        <v>97372.51</v>
      </c>
    </row>
    <row r="111" spans="1:5" x14ac:dyDescent="0.25">
      <c r="A111" s="21">
        <v>41639</v>
      </c>
      <c r="B111" s="16" t="s">
        <v>217</v>
      </c>
      <c r="C111" s="17" t="s">
        <v>218</v>
      </c>
      <c r="D111" s="16"/>
      <c r="E111" s="16"/>
    </row>
    <row r="112" spans="1:5" x14ac:dyDescent="0.25">
      <c r="A112" s="21">
        <v>41639</v>
      </c>
      <c r="B112" s="16" t="s">
        <v>221</v>
      </c>
      <c r="C112" s="17" t="s">
        <v>222</v>
      </c>
      <c r="D112" s="16"/>
      <c r="E112" s="16"/>
    </row>
    <row r="113" spans="1:5" x14ac:dyDescent="0.25">
      <c r="A113" s="21">
        <v>41639</v>
      </c>
      <c r="B113" s="16" t="s">
        <v>225</v>
      </c>
      <c r="C113" s="17" t="s">
        <v>226</v>
      </c>
      <c r="D113" s="18">
        <v>132028.75</v>
      </c>
      <c r="E113" s="18">
        <v>207473.75</v>
      </c>
    </row>
    <row r="114" spans="1:5" x14ac:dyDescent="0.25">
      <c r="A114" s="21">
        <v>41639</v>
      </c>
      <c r="B114" s="16" t="s">
        <v>229</v>
      </c>
      <c r="C114" s="17" t="s">
        <v>230</v>
      </c>
      <c r="D114" s="16"/>
      <c r="E114" s="16"/>
    </row>
    <row r="115" spans="1:5" x14ac:dyDescent="0.25">
      <c r="A115" s="21">
        <v>41639</v>
      </c>
      <c r="B115" s="16" t="s">
        <v>233</v>
      </c>
      <c r="C115" s="17" t="s">
        <v>234</v>
      </c>
      <c r="D115" s="16"/>
      <c r="E115" s="16"/>
    </row>
    <row r="116" spans="1:5" x14ac:dyDescent="0.25">
      <c r="A116" s="21">
        <v>41639</v>
      </c>
      <c r="B116" s="16" t="s">
        <v>237</v>
      </c>
      <c r="C116" s="17" t="s">
        <v>238</v>
      </c>
      <c r="D116" s="16"/>
      <c r="E116" s="16"/>
    </row>
    <row r="117" spans="1:5" x14ac:dyDescent="0.25">
      <c r="A117" s="21">
        <v>41639</v>
      </c>
      <c r="B117" s="16"/>
      <c r="C117" s="17" t="s">
        <v>241</v>
      </c>
      <c r="D117" s="16"/>
      <c r="E117" s="16"/>
    </row>
    <row r="118" spans="1:5" x14ac:dyDescent="0.25">
      <c r="A118" s="21">
        <v>41639</v>
      </c>
      <c r="B118" s="16"/>
      <c r="C118" s="17" t="s">
        <v>244</v>
      </c>
      <c r="D118" s="16"/>
      <c r="E118" s="16"/>
    </row>
    <row r="119" spans="1:5" x14ac:dyDescent="0.25">
      <c r="A119" s="21">
        <v>41639</v>
      </c>
      <c r="B119" s="16"/>
      <c r="C119" s="17" t="s">
        <v>247</v>
      </c>
      <c r="D119" s="16"/>
      <c r="E119" s="16"/>
    </row>
    <row r="120" spans="1:5" x14ac:dyDescent="0.25">
      <c r="A120" s="21">
        <v>41639</v>
      </c>
      <c r="B120" s="16"/>
      <c r="C120" s="17" t="s">
        <v>250</v>
      </c>
      <c r="D120" s="16"/>
      <c r="E120" s="16"/>
    </row>
    <row r="121" spans="1:5" x14ac:dyDescent="0.25">
      <c r="A121" s="21">
        <v>41639</v>
      </c>
      <c r="B121" s="14" t="s">
        <v>253</v>
      </c>
      <c r="C121" s="17" t="s">
        <v>254</v>
      </c>
      <c r="D121" s="18">
        <v>-7183253.2999999998</v>
      </c>
      <c r="E121" s="18">
        <v>-11433025.4</v>
      </c>
    </row>
    <row r="122" spans="1:5" x14ac:dyDescent="0.25">
      <c r="A122" s="21">
        <v>41639</v>
      </c>
      <c r="B122" s="16" t="s">
        <v>125</v>
      </c>
      <c r="C122" s="14" t="s">
        <v>126</v>
      </c>
      <c r="D122" s="16"/>
      <c r="E122" s="16"/>
    </row>
    <row r="123" spans="1:5" x14ac:dyDescent="0.25">
      <c r="A123" s="21">
        <v>41639</v>
      </c>
      <c r="B123" s="16" t="s">
        <v>128</v>
      </c>
      <c r="C123" s="14" t="s">
        <v>129</v>
      </c>
      <c r="D123" s="16"/>
      <c r="E123" s="16"/>
    </row>
    <row r="124" spans="1:5" x14ac:dyDescent="0.25">
      <c r="A124" s="21">
        <v>41639</v>
      </c>
      <c r="B124" s="16" t="s">
        <v>131</v>
      </c>
      <c r="C124" s="14" t="s">
        <v>132</v>
      </c>
      <c r="D124" s="16"/>
      <c r="E124" s="16"/>
    </row>
    <row r="125" spans="1:5" x14ac:dyDescent="0.25">
      <c r="A125" s="21">
        <v>41639</v>
      </c>
      <c r="B125" s="16" t="s">
        <v>134</v>
      </c>
      <c r="C125" s="14" t="s">
        <v>135</v>
      </c>
      <c r="D125" s="16"/>
      <c r="E125" s="16"/>
    </row>
    <row r="126" spans="1:5" x14ac:dyDescent="0.25">
      <c r="A126" s="21">
        <v>41639</v>
      </c>
      <c r="B126" s="16" t="s">
        <v>137</v>
      </c>
      <c r="C126" s="14" t="s">
        <v>138</v>
      </c>
      <c r="D126" s="16"/>
      <c r="E126" s="16"/>
    </row>
    <row r="127" spans="1:5" x14ac:dyDescent="0.25">
      <c r="A127" s="21">
        <v>41639</v>
      </c>
      <c r="B127" s="16" t="s">
        <v>140</v>
      </c>
      <c r="C127" s="14" t="s">
        <v>141</v>
      </c>
      <c r="D127" s="16"/>
      <c r="E127" s="16"/>
    </row>
    <row r="128" spans="1:5" x14ac:dyDescent="0.25">
      <c r="A128" s="21">
        <v>41639</v>
      </c>
      <c r="B128" s="16" t="s">
        <v>143</v>
      </c>
      <c r="C128" s="14" t="s">
        <v>144</v>
      </c>
      <c r="D128" s="16"/>
      <c r="E128" s="16"/>
    </row>
    <row r="129" spans="1:5" x14ac:dyDescent="0.25">
      <c r="A129" s="21">
        <v>41639</v>
      </c>
      <c r="B129" s="16" t="s">
        <v>146</v>
      </c>
      <c r="C129" s="14" t="s">
        <v>147</v>
      </c>
      <c r="D129" s="18">
        <v>3288</v>
      </c>
      <c r="E129" s="16"/>
    </row>
    <row r="130" spans="1:5" x14ac:dyDescent="0.25">
      <c r="A130" s="21">
        <v>41639</v>
      </c>
      <c r="B130" s="16" t="s">
        <v>149</v>
      </c>
      <c r="C130" s="14" t="s">
        <v>150</v>
      </c>
      <c r="D130" s="16"/>
      <c r="E130" s="16"/>
    </row>
    <row r="131" spans="1:5" x14ac:dyDescent="0.25">
      <c r="A131" s="21">
        <v>41639</v>
      </c>
      <c r="B131" s="16" t="s">
        <v>152</v>
      </c>
      <c r="C131" s="14" t="s">
        <v>153</v>
      </c>
      <c r="D131" s="16"/>
      <c r="E131" s="16"/>
    </row>
    <row r="132" spans="1:5" x14ac:dyDescent="0.25">
      <c r="A132" s="21">
        <v>41639</v>
      </c>
      <c r="B132" s="16" t="s">
        <v>155</v>
      </c>
      <c r="C132" s="14" t="s">
        <v>156</v>
      </c>
      <c r="D132" s="18">
        <v>400764.97</v>
      </c>
      <c r="E132" s="18">
        <v>144799.96</v>
      </c>
    </row>
    <row r="133" spans="1:5" x14ac:dyDescent="0.25">
      <c r="A133" s="21">
        <v>41639</v>
      </c>
      <c r="B133" s="16" t="s">
        <v>158</v>
      </c>
      <c r="C133" s="14" t="s">
        <v>159</v>
      </c>
      <c r="D133" s="16"/>
      <c r="E133" s="16"/>
    </row>
    <row r="134" spans="1:5" x14ac:dyDescent="0.25">
      <c r="A134" s="21">
        <v>41639</v>
      </c>
      <c r="B134" s="16" t="s">
        <v>161</v>
      </c>
      <c r="C134" s="14" t="s">
        <v>162</v>
      </c>
      <c r="D134" s="16"/>
      <c r="E134" s="16"/>
    </row>
    <row r="135" spans="1:5" x14ac:dyDescent="0.25">
      <c r="A135" s="21">
        <v>41639</v>
      </c>
      <c r="B135" s="16" t="s">
        <v>164</v>
      </c>
      <c r="C135" s="14" t="s">
        <v>165</v>
      </c>
      <c r="D135" s="18">
        <v>216889.60000000001</v>
      </c>
      <c r="E135" s="18">
        <v>237214.75</v>
      </c>
    </row>
    <row r="136" spans="1:5" x14ac:dyDescent="0.25">
      <c r="A136" s="21">
        <v>41639</v>
      </c>
      <c r="B136" s="16" t="s">
        <v>167</v>
      </c>
      <c r="C136" s="14" t="s">
        <v>168</v>
      </c>
      <c r="D136" s="16"/>
      <c r="E136" s="16"/>
    </row>
    <row r="137" spans="1:5" x14ac:dyDescent="0.25">
      <c r="A137" s="21">
        <v>41639</v>
      </c>
      <c r="B137" s="16" t="s">
        <v>170</v>
      </c>
      <c r="C137" s="14" t="s">
        <v>171</v>
      </c>
      <c r="D137" s="16"/>
      <c r="E137" s="16"/>
    </row>
    <row r="138" spans="1:5" x14ac:dyDescent="0.25">
      <c r="A138" s="21">
        <v>41639</v>
      </c>
      <c r="B138" s="16" t="s">
        <v>173</v>
      </c>
      <c r="C138" s="14" t="s">
        <v>174</v>
      </c>
      <c r="D138" s="16"/>
      <c r="E138" s="16"/>
    </row>
    <row r="139" spans="1:5" x14ac:dyDescent="0.25">
      <c r="A139" s="21">
        <v>41639</v>
      </c>
      <c r="B139" s="16" t="s">
        <v>176</v>
      </c>
      <c r="C139" s="14" t="s">
        <v>177</v>
      </c>
      <c r="D139" s="16"/>
      <c r="E139" s="16"/>
    </row>
    <row r="140" spans="1:5" x14ac:dyDescent="0.25">
      <c r="A140" s="21">
        <v>41639</v>
      </c>
      <c r="B140" s="16" t="s">
        <v>179</v>
      </c>
      <c r="C140" s="14" t="s">
        <v>180</v>
      </c>
      <c r="D140" s="16"/>
      <c r="E140" s="16"/>
    </row>
    <row r="141" spans="1:5" x14ac:dyDescent="0.25">
      <c r="A141" s="21">
        <v>41639</v>
      </c>
      <c r="B141" s="16" t="s">
        <v>182</v>
      </c>
      <c r="C141" s="14" t="s">
        <v>183</v>
      </c>
      <c r="D141" s="16"/>
      <c r="E141" s="16"/>
    </row>
    <row r="142" spans="1:5" x14ac:dyDescent="0.25">
      <c r="A142" s="21">
        <v>41639</v>
      </c>
      <c r="B142" s="16" t="s">
        <v>185</v>
      </c>
      <c r="C142" s="14" t="s">
        <v>186</v>
      </c>
      <c r="D142" s="16"/>
      <c r="E142" s="16"/>
    </row>
    <row r="143" spans="1:5" x14ac:dyDescent="0.25">
      <c r="A143" s="21">
        <v>41639</v>
      </c>
      <c r="B143" s="16" t="s">
        <v>188</v>
      </c>
      <c r="C143" s="14" t="s">
        <v>189</v>
      </c>
      <c r="D143" s="16"/>
      <c r="E143" s="16"/>
    </row>
    <row r="144" spans="1:5" x14ac:dyDescent="0.25">
      <c r="A144" s="21">
        <v>41639</v>
      </c>
      <c r="B144" s="16" t="s">
        <v>191</v>
      </c>
      <c r="C144" s="14" t="s">
        <v>192</v>
      </c>
      <c r="D144" s="16"/>
      <c r="E144" s="16"/>
    </row>
    <row r="145" spans="1:5" x14ac:dyDescent="0.25">
      <c r="A145" s="21">
        <v>41639</v>
      </c>
      <c r="B145" s="16" t="s">
        <v>195</v>
      </c>
      <c r="C145" s="14" t="s">
        <v>196</v>
      </c>
      <c r="D145" s="16"/>
      <c r="E145" s="16"/>
    </row>
    <row r="146" spans="1:5" x14ac:dyDescent="0.25">
      <c r="A146" s="21">
        <v>41639</v>
      </c>
      <c r="B146" s="16" t="s">
        <v>199</v>
      </c>
      <c r="C146" s="14" t="s">
        <v>200</v>
      </c>
      <c r="D146" s="16"/>
      <c r="E146" s="16"/>
    </row>
    <row r="147" spans="1:5" x14ac:dyDescent="0.25">
      <c r="A147" s="21">
        <v>41639</v>
      </c>
      <c r="B147" s="16" t="s">
        <v>203</v>
      </c>
      <c r="C147" s="14" t="s">
        <v>204</v>
      </c>
      <c r="D147" s="16"/>
      <c r="E147" s="16"/>
    </row>
    <row r="148" spans="1:5" x14ac:dyDescent="0.25">
      <c r="A148" s="21">
        <v>41639</v>
      </c>
      <c r="B148" s="16" t="s">
        <v>207</v>
      </c>
      <c r="C148" s="14" t="s">
        <v>208</v>
      </c>
      <c r="D148" s="16"/>
      <c r="E148" s="16"/>
    </row>
    <row r="149" spans="1:5" x14ac:dyDescent="0.25">
      <c r="A149" s="21">
        <v>41639</v>
      </c>
      <c r="B149" s="16" t="s">
        <v>211</v>
      </c>
      <c r="C149" s="14" t="s">
        <v>212</v>
      </c>
      <c r="D149" s="16"/>
      <c r="E149" s="16"/>
    </row>
    <row r="150" spans="1:5" x14ac:dyDescent="0.25">
      <c r="A150" s="21">
        <v>41639</v>
      </c>
      <c r="B150" s="16" t="s">
        <v>215</v>
      </c>
      <c r="C150" s="14" t="s">
        <v>216</v>
      </c>
      <c r="D150" s="16"/>
      <c r="E150" s="16"/>
    </row>
    <row r="151" spans="1:5" x14ac:dyDescent="0.25">
      <c r="A151" s="21">
        <v>41639</v>
      </c>
      <c r="B151" s="16" t="s">
        <v>219</v>
      </c>
      <c r="C151" s="14" t="s">
        <v>220</v>
      </c>
      <c r="D151" s="18">
        <v>620942.56999999995</v>
      </c>
      <c r="E151" s="18">
        <v>382014.71</v>
      </c>
    </row>
    <row r="152" spans="1:5" x14ac:dyDescent="0.25">
      <c r="A152" s="21">
        <v>41639</v>
      </c>
      <c r="B152" s="16" t="s">
        <v>223</v>
      </c>
      <c r="C152" s="14" t="s">
        <v>224</v>
      </c>
      <c r="D152" s="16"/>
      <c r="E152" s="16"/>
    </row>
    <row r="153" spans="1:5" x14ac:dyDescent="0.25">
      <c r="A153" s="21">
        <v>41639</v>
      </c>
      <c r="B153" s="16" t="s">
        <v>227</v>
      </c>
      <c r="C153" s="14" t="s">
        <v>228</v>
      </c>
      <c r="D153" s="16"/>
      <c r="E153" s="16"/>
    </row>
    <row r="154" spans="1:5" x14ac:dyDescent="0.25">
      <c r="A154" s="21">
        <v>41639</v>
      </c>
      <c r="B154" s="16" t="s">
        <v>231</v>
      </c>
      <c r="C154" s="14" t="s">
        <v>232</v>
      </c>
      <c r="D154" s="16"/>
      <c r="E154" s="16"/>
    </row>
    <row r="155" spans="1:5" x14ac:dyDescent="0.25">
      <c r="A155" s="21">
        <v>41639</v>
      </c>
      <c r="B155" s="16" t="s">
        <v>235</v>
      </c>
      <c r="C155" s="14" t="s">
        <v>236</v>
      </c>
      <c r="D155" s="16"/>
      <c r="E155" s="16"/>
    </row>
    <row r="156" spans="1:5" x14ac:dyDescent="0.25">
      <c r="A156" s="21">
        <v>41639</v>
      </c>
      <c r="B156" s="16" t="s">
        <v>239</v>
      </c>
      <c r="C156" s="14" t="s">
        <v>240</v>
      </c>
      <c r="D156" s="16"/>
      <c r="E156" s="16"/>
    </row>
    <row r="157" spans="1:5" x14ac:dyDescent="0.25">
      <c r="A157" s="21">
        <v>41639</v>
      </c>
      <c r="B157" s="16" t="s">
        <v>242</v>
      </c>
      <c r="C157" s="14" t="s">
        <v>243</v>
      </c>
      <c r="D157" s="16"/>
      <c r="E157" s="16"/>
    </row>
    <row r="158" spans="1:5" x14ac:dyDescent="0.25">
      <c r="A158" s="21">
        <v>41639</v>
      </c>
      <c r="B158" s="16" t="s">
        <v>245</v>
      </c>
      <c r="C158" s="14" t="s">
        <v>246</v>
      </c>
      <c r="D158" s="18">
        <v>-7804195.8700000001</v>
      </c>
      <c r="E158" s="18">
        <v>-11815040.109999999</v>
      </c>
    </row>
    <row r="159" spans="1:5" x14ac:dyDescent="0.25">
      <c r="A159" s="21">
        <v>41639</v>
      </c>
      <c r="B159" s="16" t="s">
        <v>248</v>
      </c>
      <c r="C159" s="14" t="s">
        <v>249</v>
      </c>
      <c r="D159" s="16"/>
      <c r="E159" s="16"/>
    </row>
    <row r="160" spans="1:5" x14ac:dyDescent="0.25">
      <c r="A160" s="21">
        <v>41639</v>
      </c>
      <c r="B160" s="16" t="s">
        <v>251</v>
      </c>
      <c r="C160" s="14" t="s">
        <v>252</v>
      </c>
      <c r="D160" s="18">
        <v>-7804195.8700000001</v>
      </c>
      <c r="E160" s="18">
        <v>-11815040.109999999</v>
      </c>
    </row>
    <row r="161" spans="1:5" x14ac:dyDescent="0.25">
      <c r="A161" s="21">
        <v>41639</v>
      </c>
      <c r="B161" s="14" t="s">
        <v>255</v>
      </c>
      <c r="C161" s="14" t="s">
        <v>256</v>
      </c>
      <c r="D161" s="18">
        <v>-7183253.2999999998</v>
      </c>
      <c r="E161" s="18">
        <v>-11433025.4</v>
      </c>
    </row>
    <row r="162" spans="1:5" x14ac:dyDescent="0.25">
      <c r="A162" s="21">
        <v>42004</v>
      </c>
      <c r="B162" s="16" t="s">
        <v>124</v>
      </c>
      <c r="C162" s="17">
        <v>1</v>
      </c>
      <c r="D162" s="16"/>
      <c r="E162" s="16"/>
    </row>
    <row r="163" spans="1:5" x14ac:dyDescent="0.25">
      <c r="A163" s="21">
        <v>42004</v>
      </c>
      <c r="B163" s="16" t="s">
        <v>127</v>
      </c>
      <c r="C163" s="17">
        <v>2</v>
      </c>
      <c r="D163" s="18">
        <v>365971.77</v>
      </c>
      <c r="E163" s="18">
        <v>750350.13</v>
      </c>
    </row>
    <row r="164" spans="1:5" x14ac:dyDescent="0.25">
      <c r="A164" s="21">
        <v>42004</v>
      </c>
      <c r="B164" s="16" t="s">
        <v>130</v>
      </c>
      <c r="C164" s="17">
        <v>3</v>
      </c>
      <c r="D164" s="16"/>
      <c r="E164" s="16"/>
    </row>
    <row r="165" spans="1:5" x14ac:dyDescent="0.25">
      <c r="A165" s="21">
        <v>42004</v>
      </c>
      <c r="B165" s="16" t="s">
        <v>133</v>
      </c>
      <c r="C165" s="17">
        <v>4</v>
      </c>
      <c r="D165" s="16"/>
      <c r="E165" s="16"/>
    </row>
    <row r="166" spans="1:5" x14ac:dyDescent="0.25">
      <c r="A166" s="21">
        <v>42004</v>
      </c>
      <c r="B166" s="16" t="s">
        <v>136</v>
      </c>
      <c r="C166" s="17">
        <v>5</v>
      </c>
      <c r="D166" s="16"/>
      <c r="E166" s="16"/>
    </row>
    <row r="167" spans="1:5" x14ac:dyDescent="0.25">
      <c r="A167" s="21">
        <v>42004</v>
      </c>
      <c r="B167" s="16" t="s">
        <v>139</v>
      </c>
      <c r="C167" s="17">
        <v>6</v>
      </c>
      <c r="D167" s="16"/>
      <c r="E167" s="16"/>
    </row>
    <row r="168" spans="1:5" x14ac:dyDescent="0.25">
      <c r="A168" s="21">
        <v>42004</v>
      </c>
      <c r="B168" s="16" t="s">
        <v>142</v>
      </c>
      <c r="C168" s="17">
        <v>7</v>
      </c>
      <c r="D168" s="16"/>
      <c r="E168" s="16"/>
    </row>
    <row r="169" spans="1:5" x14ac:dyDescent="0.25">
      <c r="A169" s="21">
        <v>42004</v>
      </c>
      <c r="B169" s="16" t="s">
        <v>145</v>
      </c>
      <c r="C169" s="17">
        <v>8</v>
      </c>
      <c r="D169" s="16"/>
      <c r="E169" s="16"/>
    </row>
    <row r="170" spans="1:5" x14ac:dyDescent="0.25">
      <c r="A170" s="21">
        <v>42004</v>
      </c>
      <c r="B170" s="16" t="s">
        <v>148</v>
      </c>
      <c r="C170" s="17">
        <v>9</v>
      </c>
      <c r="D170" s="16"/>
      <c r="E170" s="16"/>
    </row>
    <row r="171" spans="1:5" x14ac:dyDescent="0.25">
      <c r="A171" s="21">
        <v>42004</v>
      </c>
      <c r="B171" s="16" t="s">
        <v>151</v>
      </c>
      <c r="C171" s="17">
        <v>10</v>
      </c>
      <c r="D171" s="16"/>
      <c r="E171" s="16"/>
    </row>
    <row r="172" spans="1:5" x14ac:dyDescent="0.25">
      <c r="A172" s="21">
        <v>42004</v>
      </c>
      <c r="B172" s="16" t="s">
        <v>154</v>
      </c>
      <c r="C172" s="17">
        <v>11</v>
      </c>
      <c r="D172" s="16"/>
      <c r="E172" s="16"/>
    </row>
    <row r="173" spans="1:5" x14ac:dyDescent="0.25">
      <c r="A173" s="21">
        <v>42004</v>
      </c>
      <c r="B173" s="16" t="s">
        <v>157</v>
      </c>
      <c r="C173" s="17">
        <v>12</v>
      </c>
      <c r="D173" s="16"/>
      <c r="E173" s="16"/>
    </row>
    <row r="174" spans="1:5" x14ac:dyDescent="0.25">
      <c r="A174" s="21">
        <v>42004</v>
      </c>
      <c r="B174" s="16" t="s">
        <v>160</v>
      </c>
      <c r="C174" s="17">
        <v>13</v>
      </c>
      <c r="D174" s="16"/>
      <c r="E174" s="16"/>
    </row>
    <row r="175" spans="1:5" x14ac:dyDescent="0.25">
      <c r="A175" s="21">
        <v>42004</v>
      </c>
      <c r="B175" s="16" t="s">
        <v>163</v>
      </c>
      <c r="C175" s="17">
        <v>14</v>
      </c>
      <c r="D175" s="16"/>
      <c r="E175" s="16"/>
    </row>
    <row r="176" spans="1:5" x14ac:dyDescent="0.25">
      <c r="A176" s="21">
        <v>42004</v>
      </c>
      <c r="B176" s="16" t="s">
        <v>166</v>
      </c>
      <c r="C176" s="17">
        <v>15</v>
      </c>
      <c r="D176" s="16"/>
      <c r="E176" s="16"/>
    </row>
    <row r="177" spans="1:5" x14ac:dyDescent="0.25">
      <c r="A177" s="21">
        <v>42004</v>
      </c>
      <c r="B177" s="16" t="s">
        <v>169</v>
      </c>
      <c r="C177" s="17">
        <v>16</v>
      </c>
      <c r="D177" s="16"/>
      <c r="E177" s="16"/>
    </row>
    <row r="178" spans="1:5" x14ac:dyDescent="0.25">
      <c r="A178" s="21">
        <v>42004</v>
      </c>
      <c r="B178" s="16" t="s">
        <v>172</v>
      </c>
      <c r="C178" s="17">
        <v>17</v>
      </c>
      <c r="D178" s="18">
        <v>110643.2</v>
      </c>
      <c r="E178" s="18">
        <v>100584.8</v>
      </c>
    </row>
    <row r="179" spans="1:5" x14ac:dyDescent="0.25">
      <c r="A179" s="21">
        <v>42004</v>
      </c>
      <c r="B179" s="16" t="s">
        <v>175</v>
      </c>
      <c r="C179" s="17">
        <v>18</v>
      </c>
      <c r="D179" s="18">
        <v>10687083.9</v>
      </c>
      <c r="E179" s="18">
        <v>2810253.57</v>
      </c>
    </row>
    <row r="180" spans="1:5" x14ac:dyDescent="0.25">
      <c r="A180" s="21">
        <v>42004</v>
      </c>
      <c r="B180" s="16" t="s">
        <v>178</v>
      </c>
      <c r="C180" s="17">
        <v>19</v>
      </c>
      <c r="D180" s="16"/>
      <c r="E180" s="16"/>
    </row>
    <row r="181" spans="1:5" x14ac:dyDescent="0.25">
      <c r="A181" s="21">
        <v>42004</v>
      </c>
      <c r="B181" s="16" t="s">
        <v>181</v>
      </c>
      <c r="C181" s="17">
        <v>20</v>
      </c>
      <c r="D181" s="16"/>
      <c r="E181" s="16"/>
    </row>
    <row r="182" spans="1:5" x14ac:dyDescent="0.25">
      <c r="A182" s="21">
        <v>42004</v>
      </c>
      <c r="B182" s="16" t="s">
        <v>184</v>
      </c>
      <c r="C182" s="17">
        <v>21</v>
      </c>
      <c r="D182" s="18">
        <v>-7421624.5300000003</v>
      </c>
      <c r="E182" s="18">
        <v>-11050639.949999999</v>
      </c>
    </row>
    <row r="183" spans="1:5" x14ac:dyDescent="0.25">
      <c r="A183" s="21">
        <v>42004</v>
      </c>
      <c r="B183" s="16" t="s">
        <v>187</v>
      </c>
      <c r="C183" s="17">
        <v>22</v>
      </c>
      <c r="D183" s="16"/>
      <c r="E183" s="16"/>
    </row>
    <row r="184" spans="1:5" x14ac:dyDescent="0.25">
      <c r="A184" s="21">
        <v>42004</v>
      </c>
      <c r="B184" s="16" t="s">
        <v>190</v>
      </c>
      <c r="C184" s="17">
        <v>23</v>
      </c>
      <c r="D184" s="16"/>
      <c r="E184" s="16"/>
    </row>
    <row r="185" spans="1:5" x14ac:dyDescent="0.25">
      <c r="A185" s="21">
        <v>42004</v>
      </c>
      <c r="B185" s="16" t="s">
        <v>193</v>
      </c>
      <c r="C185" s="17" t="s">
        <v>194</v>
      </c>
      <c r="D185" s="16"/>
      <c r="E185" s="16"/>
    </row>
    <row r="186" spans="1:5" x14ac:dyDescent="0.25">
      <c r="A186" s="21">
        <v>42004</v>
      </c>
      <c r="B186" s="16" t="s">
        <v>197</v>
      </c>
      <c r="C186" s="17" t="s">
        <v>198</v>
      </c>
      <c r="D186" s="16"/>
      <c r="E186" s="16"/>
    </row>
    <row r="187" spans="1:5" x14ac:dyDescent="0.25">
      <c r="A187" s="21">
        <v>42004</v>
      </c>
      <c r="B187" s="16" t="s">
        <v>201</v>
      </c>
      <c r="C187" s="17" t="s">
        <v>202</v>
      </c>
      <c r="D187" s="16"/>
      <c r="E187" s="16"/>
    </row>
    <row r="188" spans="1:5" x14ac:dyDescent="0.25">
      <c r="A188" s="21">
        <v>42004</v>
      </c>
      <c r="B188" s="16" t="s">
        <v>205</v>
      </c>
      <c r="C188" s="17" t="s">
        <v>206</v>
      </c>
      <c r="D188" s="16"/>
      <c r="E188" s="16"/>
    </row>
    <row r="189" spans="1:5" x14ac:dyDescent="0.25">
      <c r="A189" s="21">
        <v>42004</v>
      </c>
      <c r="B189" s="16" t="s">
        <v>209</v>
      </c>
      <c r="C189" s="17" t="s">
        <v>210</v>
      </c>
      <c r="D189" s="16"/>
      <c r="E189" s="16"/>
    </row>
    <row r="190" spans="1:5" x14ac:dyDescent="0.25">
      <c r="A190" s="21">
        <v>42004</v>
      </c>
      <c r="B190" s="16" t="s">
        <v>213</v>
      </c>
      <c r="C190" s="17" t="s">
        <v>214</v>
      </c>
      <c r="D190" s="18">
        <v>118277.45</v>
      </c>
      <c r="E190" s="18">
        <v>74169.399999999994</v>
      </c>
    </row>
    <row r="191" spans="1:5" x14ac:dyDescent="0.25">
      <c r="A191" s="21">
        <v>42004</v>
      </c>
      <c r="B191" s="16" t="s">
        <v>217</v>
      </c>
      <c r="C191" s="17" t="s">
        <v>218</v>
      </c>
      <c r="D191" s="16"/>
      <c r="E191" s="16"/>
    </row>
    <row r="192" spans="1:5" x14ac:dyDescent="0.25">
      <c r="A192" s="21">
        <v>42004</v>
      </c>
      <c r="B192" s="16" t="s">
        <v>221</v>
      </c>
      <c r="C192" s="17" t="s">
        <v>222</v>
      </c>
      <c r="D192" s="16"/>
      <c r="E192" s="16"/>
    </row>
    <row r="193" spans="1:5" x14ac:dyDescent="0.25">
      <c r="A193" s="21">
        <v>42004</v>
      </c>
      <c r="B193" s="16" t="s">
        <v>225</v>
      </c>
      <c r="C193" s="17" t="s">
        <v>226</v>
      </c>
      <c r="D193" s="18">
        <v>56583.75</v>
      </c>
      <c r="E193" s="18">
        <v>132028.75</v>
      </c>
    </row>
    <row r="194" spans="1:5" x14ac:dyDescent="0.25">
      <c r="A194" s="21">
        <v>42004</v>
      </c>
      <c r="B194" s="16" t="s">
        <v>229</v>
      </c>
      <c r="C194" s="17" t="s">
        <v>230</v>
      </c>
      <c r="D194" s="16"/>
      <c r="E194" s="16"/>
    </row>
    <row r="195" spans="1:5" x14ac:dyDescent="0.25">
      <c r="A195" s="21">
        <v>42004</v>
      </c>
      <c r="B195" s="16" t="s">
        <v>233</v>
      </c>
      <c r="C195" s="17" t="s">
        <v>234</v>
      </c>
      <c r="D195" s="16"/>
      <c r="E195" s="16"/>
    </row>
    <row r="196" spans="1:5" x14ac:dyDescent="0.25">
      <c r="A196" s="21">
        <v>42004</v>
      </c>
      <c r="B196" s="16" t="s">
        <v>237</v>
      </c>
      <c r="C196" s="17" t="s">
        <v>238</v>
      </c>
      <c r="D196" s="16"/>
      <c r="E196" s="16"/>
    </row>
    <row r="197" spans="1:5" x14ac:dyDescent="0.25">
      <c r="A197" s="21">
        <v>42004</v>
      </c>
      <c r="B197" s="16"/>
      <c r="C197" s="17" t="s">
        <v>241</v>
      </c>
      <c r="D197" s="16"/>
      <c r="E197" s="16"/>
    </row>
    <row r="198" spans="1:5" x14ac:dyDescent="0.25">
      <c r="A198" s="21">
        <v>42004</v>
      </c>
      <c r="B198" s="16"/>
      <c r="C198" s="17" t="s">
        <v>244</v>
      </c>
      <c r="D198" s="16"/>
      <c r="E198" s="16"/>
    </row>
    <row r="199" spans="1:5" x14ac:dyDescent="0.25">
      <c r="A199" s="21">
        <v>42004</v>
      </c>
      <c r="B199" s="16"/>
      <c r="C199" s="17" t="s">
        <v>247</v>
      </c>
      <c r="D199" s="16"/>
      <c r="E199" s="16"/>
    </row>
    <row r="200" spans="1:5" x14ac:dyDescent="0.25">
      <c r="A200" s="21">
        <v>42004</v>
      </c>
      <c r="B200" s="16"/>
      <c r="C200" s="17" t="s">
        <v>250</v>
      </c>
      <c r="D200" s="16"/>
      <c r="E200" s="16"/>
    </row>
    <row r="201" spans="1:5" x14ac:dyDescent="0.25">
      <c r="A201" s="21">
        <v>42004</v>
      </c>
      <c r="B201" s="14" t="s">
        <v>253</v>
      </c>
      <c r="C201" s="17" t="s">
        <v>254</v>
      </c>
      <c r="D201" s="18">
        <v>3916935.54</v>
      </c>
      <c r="E201" s="18">
        <v>-7183253.2999999998</v>
      </c>
    </row>
    <row r="202" spans="1:5" x14ac:dyDescent="0.25">
      <c r="A202" s="21">
        <v>42004</v>
      </c>
      <c r="B202" s="16" t="s">
        <v>125</v>
      </c>
      <c r="C202" s="14" t="s">
        <v>126</v>
      </c>
      <c r="D202" s="16"/>
      <c r="E202" s="16"/>
    </row>
    <row r="203" spans="1:5" x14ac:dyDescent="0.25">
      <c r="A203" s="21">
        <v>42004</v>
      </c>
      <c r="B203" s="16" t="s">
        <v>128</v>
      </c>
      <c r="C203" s="14" t="s">
        <v>129</v>
      </c>
      <c r="D203" s="16"/>
      <c r="E203" s="16"/>
    </row>
    <row r="204" spans="1:5" x14ac:dyDescent="0.25">
      <c r="A204" s="21">
        <v>42004</v>
      </c>
      <c r="B204" s="16" t="s">
        <v>131</v>
      </c>
      <c r="C204" s="14" t="s">
        <v>132</v>
      </c>
      <c r="D204" s="16"/>
      <c r="E204" s="16"/>
    </row>
    <row r="205" spans="1:5" x14ac:dyDescent="0.25">
      <c r="A205" s="21">
        <v>42004</v>
      </c>
      <c r="B205" s="16" t="s">
        <v>134</v>
      </c>
      <c r="C205" s="14" t="s">
        <v>135</v>
      </c>
      <c r="D205" s="16"/>
      <c r="E205" s="16"/>
    </row>
    <row r="206" spans="1:5" x14ac:dyDescent="0.25">
      <c r="A206" s="21">
        <v>42004</v>
      </c>
      <c r="B206" s="16" t="s">
        <v>137</v>
      </c>
      <c r="C206" s="14" t="s">
        <v>138</v>
      </c>
      <c r="D206" s="16"/>
      <c r="E206" s="16"/>
    </row>
    <row r="207" spans="1:5" x14ac:dyDescent="0.25">
      <c r="A207" s="21">
        <v>42004</v>
      </c>
      <c r="B207" s="16" t="s">
        <v>140</v>
      </c>
      <c r="C207" s="14" t="s">
        <v>141</v>
      </c>
      <c r="D207" s="16"/>
      <c r="E207" s="16"/>
    </row>
    <row r="208" spans="1:5" x14ac:dyDescent="0.25">
      <c r="A208" s="21">
        <v>42004</v>
      </c>
      <c r="B208" s="16" t="s">
        <v>143</v>
      </c>
      <c r="C208" s="14" t="s">
        <v>144</v>
      </c>
      <c r="D208" s="16"/>
      <c r="E208" s="16"/>
    </row>
    <row r="209" spans="1:5" x14ac:dyDescent="0.25">
      <c r="A209" s="21">
        <v>42004</v>
      </c>
      <c r="B209" s="16" t="s">
        <v>146</v>
      </c>
      <c r="C209" s="14" t="s">
        <v>147</v>
      </c>
      <c r="D209" s="18">
        <v>3288</v>
      </c>
      <c r="E209" s="18">
        <v>3288</v>
      </c>
    </row>
    <row r="210" spans="1:5" x14ac:dyDescent="0.25">
      <c r="A210" s="21">
        <v>42004</v>
      </c>
      <c r="B210" s="16" t="s">
        <v>149</v>
      </c>
      <c r="C210" s="14" t="s">
        <v>150</v>
      </c>
      <c r="D210" s="18">
        <v>74810.490000000005</v>
      </c>
      <c r="E210" s="16"/>
    </row>
    <row r="211" spans="1:5" x14ac:dyDescent="0.25">
      <c r="A211" s="21">
        <v>42004</v>
      </c>
      <c r="B211" s="16" t="s">
        <v>152</v>
      </c>
      <c r="C211" s="14" t="s">
        <v>153</v>
      </c>
      <c r="D211" s="16"/>
      <c r="E211" s="16"/>
    </row>
    <row r="212" spans="1:5" x14ac:dyDescent="0.25">
      <c r="A212" s="21">
        <v>42004</v>
      </c>
      <c r="B212" s="16" t="s">
        <v>155</v>
      </c>
      <c r="C212" s="14" t="s">
        <v>156</v>
      </c>
      <c r="D212" s="18">
        <v>149339.07999999999</v>
      </c>
      <c r="E212" s="18">
        <v>400764.97</v>
      </c>
    </row>
    <row r="213" spans="1:5" x14ac:dyDescent="0.25">
      <c r="A213" s="21">
        <v>42004</v>
      </c>
      <c r="B213" s="16" t="s">
        <v>158</v>
      </c>
      <c r="C213" s="14" t="s">
        <v>159</v>
      </c>
      <c r="D213" s="16"/>
      <c r="E213" s="16"/>
    </row>
    <row r="214" spans="1:5" x14ac:dyDescent="0.25">
      <c r="A214" s="21">
        <v>42004</v>
      </c>
      <c r="B214" s="16" t="s">
        <v>161</v>
      </c>
      <c r="C214" s="14" t="s">
        <v>162</v>
      </c>
      <c r="D214" s="16"/>
      <c r="E214" s="16"/>
    </row>
    <row r="215" spans="1:5" x14ac:dyDescent="0.25">
      <c r="A215" s="21">
        <v>42004</v>
      </c>
      <c r="B215" s="16" t="s">
        <v>164</v>
      </c>
      <c r="C215" s="14" t="s">
        <v>165</v>
      </c>
      <c r="D215" s="18">
        <v>204441.72</v>
      </c>
      <c r="E215" s="18">
        <v>216889.60000000001</v>
      </c>
    </row>
    <row r="216" spans="1:5" x14ac:dyDescent="0.25">
      <c r="A216" s="21">
        <v>42004</v>
      </c>
      <c r="B216" s="16" t="s">
        <v>167</v>
      </c>
      <c r="C216" s="14" t="s">
        <v>168</v>
      </c>
      <c r="D216" s="16"/>
      <c r="E216" s="16"/>
    </row>
    <row r="217" spans="1:5" x14ac:dyDescent="0.25">
      <c r="A217" s="21">
        <v>42004</v>
      </c>
      <c r="B217" s="16" t="s">
        <v>170</v>
      </c>
      <c r="C217" s="14" t="s">
        <v>171</v>
      </c>
      <c r="D217" s="16"/>
      <c r="E217" s="16"/>
    </row>
    <row r="218" spans="1:5" x14ac:dyDescent="0.25">
      <c r="A218" s="21">
        <v>42004</v>
      </c>
      <c r="B218" s="16" t="s">
        <v>173</v>
      </c>
      <c r="C218" s="14" t="s">
        <v>174</v>
      </c>
      <c r="D218" s="16"/>
      <c r="E218" s="16"/>
    </row>
    <row r="219" spans="1:5" x14ac:dyDescent="0.25">
      <c r="A219" s="21">
        <v>42004</v>
      </c>
      <c r="B219" s="16" t="s">
        <v>176</v>
      </c>
      <c r="C219" s="14" t="s">
        <v>177</v>
      </c>
      <c r="D219" s="16"/>
      <c r="E219" s="16"/>
    </row>
    <row r="220" spans="1:5" x14ac:dyDescent="0.25">
      <c r="A220" s="21">
        <v>42004</v>
      </c>
      <c r="B220" s="16" t="s">
        <v>179</v>
      </c>
      <c r="C220" s="14" t="s">
        <v>180</v>
      </c>
      <c r="D220" s="16"/>
      <c r="E220" s="16"/>
    </row>
    <row r="221" spans="1:5" x14ac:dyDescent="0.25">
      <c r="A221" s="21">
        <v>42004</v>
      </c>
      <c r="B221" s="16" t="s">
        <v>182</v>
      </c>
      <c r="C221" s="14" t="s">
        <v>183</v>
      </c>
      <c r="D221" s="16"/>
      <c r="E221" s="16"/>
    </row>
    <row r="222" spans="1:5" x14ac:dyDescent="0.25">
      <c r="A222" s="21">
        <v>42004</v>
      </c>
      <c r="B222" s="16" t="s">
        <v>185</v>
      </c>
      <c r="C222" s="14" t="s">
        <v>186</v>
      </c>
      <c r="D222" s="16"/>
      <c r="E222" s="16"/>
    </row>
    <row r="223" spans="1:5" x14ac:dyDescent="0.25">
      <c r="A223" s="21">
        <v>42004</v>
      </c>
      <c r="B223" s="16" t="s">
        <v>188</v>
      </c>
      <c r="C223" s="14" t="s">
        <v>189</v>
      </c>
      <c r="D223" s="16"/>
      <c r="E223" s="16"/>
    </row>
    <row r="224" spans="1:5" x14ac:dyDescent="0.25">
      <c r="A224" s="21">
        <v>42004</v>
      </c>
      <c r="B224" s="16" t="s">
        <v>191</v>
      </c>
      <c r="C224" s="14" t="s">
        <v>192</v>
      </c>
      <c r="D224" s="16"/>
      <c r="E224" s="16"/>
    </row>
    <row r="225" spans="1:5" x14ac:dyDescent="0.25">
      <c r="A225" s="21">
        <v>42004</v>
      </c>
      <c r="B225" s="16" t="s">
        <v>195</v>
      </c>
      <c r="C225" s="14" t="s">
        <v>196</v>
      </c>
      <c r="D225" s="16"/>
      <c r="E225" s="16"/>
    </row>
    <row r="226" spans="1:5" x14ac:dyDescent="0.25">
      <c r="A226" s="21">
        <v>42004</v>
      </c>
      <c r="B226" s="16" t="s">
        <v>199</v>
      </c>
      <c r="C226" s="14" t="s">
        <v>200</v>
      </c>
      <c r="D226" s="16"/>
      <c r="E226" s="16"/>
    </row>
    <row r="227" spans="1:5" x14ac:dyDescent="0.25">
      <c r="A227" s="21">
        <v>42004</v>
      </c>
      <c r="B227" s="16" t="s">
        <v>203</v>
      </c>
      <c r="C227" s="14" t="s">
        <v>204</v>
      </c>
      <c r="D227" s="16"/>
      <c r="E227" s="16"/>
    </row>
    <row r="228" spans="1:5" x14ac:dyDescent="0.25">
      <c r="A228" s="21">
        <v>42004</v>
      </c>
      <c r="B228" s="16" t="s">
        <v>207</v>
      </c>
      <c r="C228" s="14" t="s">
        <v>208</v>
      </c>
      <c r="D228" s="16"/>
      <c r="E228" s="16"/>
    </row>
    <row r="229" spans="1:5" x14ac:dyDescent="0.25">
      <c r="A229" s="21">
        <v>42004</v>
      </c>
      <c r="B229" s="16" t="s">
        <v>211</v>
      </c>
      <c r="C229" s="14" t="s">
        <v>212</v>
      </c>
      <c r="D229" s="16"/>
      <c r="E229" s="16"/>
    </row>
    <row r="230" spans="1:5" x14ac:dyDescent="0.25">
      <c r="A230" s="21">
        <v>42004</v>
      </c>
      <c r="B230" s="16" t="s">
        <v>215</v>
      </c>
      <c r="C230" s="14" t="s">
        <v>216</v>
      </c>
      <c r="D230" s="16"/>
      <c r="E230" s="16"/>
    </row>
    <row r="231" spans="1:5" x14ac:dyDescent="0.25">
      <c r="A231" s="21">
        <v>42004</v>
      </c>
      <c r="B231" s="16" t="s">
        <v>219</v>
      </c>
      <c r="C231" s="14" t="s">
        <v>220</v>
      </c>
      <c r="D231" s="18">
        <v>431879.29</v>
      </c>
      <c r="E231" s="18">
        <v>620942.56999999995</v>
      </c>
    </row>
    <row r="232" spans="1:5" x14ac:dyDescent="0.25">
      <c r="A232" s="21">
        <v>42004</v>
      </c>
      <c r="B232" s="16" t="s">
        <v>223</v>
      </c>
      <c r="C232" s="14" t="s">
        <v>224</v>
      </c>
      <c r="D232" s="16"/>
      <c r="E232" s="16"/>
    </row>
    <row r="233" spans="1:5" x14ac:dyDescent="0.25">
      <c r="A233" s="21">
        <v>42004</v>
      </c>
      <c r="B233" s="16" t="s">
        <v>227</v>
      </c>
      <c r="C233" s="14" t="s">
        <v>228</v>
      </c>
      <c r="D233" s="16"/>
      <c r="E233" s="16"/>
    </row>
    <row r="234" spans="1:5" x14ac:dyDescent="0.25">
      <c r="A234" s="21">
        <v>42004</v>
      </c>
      <c r="B234" s="16" t="s">
        <v>231</v>
      </c>
      <c r="C234" s="14" t="s">
        <v>232</v>
      </c>
      <c r="D234" s="16"/>
      <c r="E234" s="16"/>
    </row>
    <row r="235" spans="1:5" x14ac:dyDescent="0.25">
      <c r="A235" s="21">
        <v>42004</v>
      </c>
      <c r="B235" s="16" t="s">
        <v>235</v>
      </c>
      <c r="C235" s="14" t="s">
        <v>236</v>
      </c>
      <c r="D235" s="16"/>
      <c r="E235" s="16"/>
    </row>
    <row r="236" spans="1:5" x14ac:dyDescent="0.25">
      <c r="A236" s="21">
        <v>42004</v>
      </c>
      <c r="B236" s="16" t="s">
        <v>239</v>
      </c>
      <c r="C236" s="14" t="s">
        <v>240</v>
      </c>
      <c r="D236" s="16"/>
      <c r="E236" s="16"/>
    </row>
    <row r="237" spans="1:5" x14ac:dyDescent="0.25">
      <c r="A237" s="21">
        <v>42004</v>
      </c>
      <c r="B237" s="16" t="s">
        <v>242</v>
      </c>
      <c r="C237" s="14" t="s">
        <v>243</v>
      </c>
      <c r="D237" s="16"/>
      <c r="E237" s="16"/>
    </row>
    <row r="238" spans="1:5" x14ac:dyDescent="0.25">
      <c r="A238" s="21">
        <v>42004</v>
      </c>
      <c r="B238" s="16" t="s">
        <v>245</v>
      </c>
      <c r="C238" s="14" t="s">
        <v>246</v>
      </c>
      <c r="D238" s="18">
        <v>3485056.25</v>
      </c>
      <c r="E238" s="18">
        <v>-7804195.8700000001</v>
      </c>
    </row>
    <row r="239" spans="1:5" x14ac:dyDescent="0.25">
      <c r="A239" s="21">
        <v>42004</v>
      </c>
      <c r="B239" s="16" t="s">
        <v>248</v>
      </c>
      <c r="C239" s="14" t="s">
        <v>249</v>
      </c>
      <c r="D239" s="16"/>
      <c r="E239" s="16"/>
    </row>
    <row r="240" spans="1:5" x14ac:dyDescent="0.25">
      <c r="A240" s="21">
        <v>42004</v>
      </c>
      <c r="B240" s="16" t="s">
        <v>251</v>
      </c>
      <c r="C240" s="14" t="s">
        <v>252</v>
      </c>
      <c r="D240" s="18">
        <v>3485056.25</v>
      </c>
      <c r="E240" s="18">
        <v>-7804195.8700000001</v>
      </c>
    </row>
    <row r="241" spans="1:5" x14ac:dyDescent="0.25">
      <c r="A241" s="21">
        <v>42004</v>
      </c>
      <c r="B241" s="14" t="s">
        <v>255</v>
      </c>
      <c r="C241" s="14" t="s">
        <v>256</v>
      </c>
      <c r="D241" s="18">
        <v>3916935.54</v>
      </c>
      <c r="E241" s="18">
        <v>-7183253.2999999998</v>
      </c>
    </row>
    <row r="242" spans="1:5" x14ac:dyDescent="0.25">
      <c r="A242" s="21">
        <v>42369</v>
      </c>
      <c r="B242" s="16" t="s">
        <v>124</v>
      </c>
      <c r="C242" s="17">
        <v>1</v>
      </c>
      <c r="D242" s="16"/>
      <c r="E242" s="16"/>
    </row>
    <row r="243" spans="1:5" x14ac:dyDescent="0.25">
      <c r="A243" s="21">
        <v>42369</v>
      </c>
      <c r="B243" s="16" t="s">
        <v>127</v>
      </c>
      <c r="C243" s="17">
        <v>2</v>
      </c>
      <c r="D243" s="18">
        <v>1275955.03</v>
      </c>
      <c r="E243" s="18">
        <v>365971.77</v>
      </c>
    </row>
    <row r="244" spans="1:5" x14ac:dyDescent="0.25">
      <c r="A244" s="21">
        <v>42369</v>
      </c>
      <c r="B244" s="16" t="s">
        <v>130</v>
      </c>
      <c r="C244" s="17">
        <v>3</v>
      </c>
      <c r="D244" s="16"/>
      <c r="E244" s="16"/>
    </row>
    <row r="245" spans="1:5" x14ac:dyDescent="0.25">
      <c r="A245" s="21">
        <v>42369</v>
      </c>
      <c r="B245" s="16" t="s">
        <v>133</v>
      </c>
      <c r="C245" s="17">
        <v>4</v>
      </c>
      <c r="D245" s="16"/>
      <c r="E245" s="16"/>
    </row>
    <row r="246" spans="1:5" x14ac:dyDescent="0.25">
      <c r="A246" s="21">
        <v>42369</v>
      </c>
      <c r="B246" s="16" t="s">
        <v>136</v>
      </c>
      <c r="C246" s="17">
        <v>5</v>
      </c>
      <c r="D246" s="16"/>
      <c r="E246" s="16"/>
    </row>
    <row r="247" spans="1:5" x14ac:dyDescent="0.25">
      <c r="A247" s="21">
        <v>42369</v>
      </c>
      <c r="B247" s="16" t="s">
        <v>139</v>
      </c>
      <c r="C247" s="17">
        <v>6</v>
      </c>
      <c r="D247" s="16"/>
      <c r="E247" s="16"/>
    </row>
    <row r="248" spans="1:5" x14ac:dyDescent="0.25">
      <c r="A248" s="21">
        <v>42369</v>
      </c>
      <c r="B248" s="16" t="s">
        <v>142</v>
      </c>
      <c r="C248" s="17">
        <v>7</v>
      </c>
      <c r="D248" s="16"/>
      <c r="E248" s="16"/>
    </row>
    <row r="249" spans="1:5" x14ac:dyDescent="0.25">
      <c r="A249" s="21">
        <v>42369</v>
      </c>
      <c r="B249" s="16" t="s">
        <v>145</v>
      </c>
      <c r="C249" s="17">
        <v>8</v>
      </c>
      <c r="D249" s="16"/>
      <c r="E249" s="16"/>
    </row>
    <row r="250" spans="1:5" x14ac:dyDescent="0.25">
      <c r="A250" s="21">
        <v>42369</v>
      </c>
      <c r="B250" s="16" t="s">
        <v>148</v>
      </c>
      <c r="C250" s="17">
        <v>9</v>
      </c>
      <c r="D250" s="16"/>
      <c r="E250" s="16"/>
    </row>
    <row r="251" spans="1:5" x14ac:dyDescent="0.25">
      <c r="A251" s="21">
        <v>42369</v>
      </c>
      <c r="B251" s="16" t="s">
        <v>151</v>
      </c>
      <c r="C251" s="17">
        <v>10</v>
      </c>
      <c r="D251" s="16"/>
      <c r="E251" s="16"/>
    </row>
    <row r="252" spans="1:5" x14ac:dyDescent="0.25">
      <c r="A252" s="21">
        <v>42369</v>
      </c>
      <c r="B252" s="16" t="s">
        <v>154</v>
      </c>
      <c r="C252" s="17">
        <v>11</v>
      </c>
      <c r="D252" s="16"/>
      <c r="E252" s="16"/>
    </row>
    <row r="253" spans="1:5" x14ac:dyDescent="0.25">
      <c r="A253" s="21">
        <v>42369</v>
      </c>
      <c r="B253" s="16" t="s">
        <v>157</v>
      </c>
      <c r="C253" s="17">
        <v>12</v>
      </c>
      <c r="D253" s="16"/>
      <c r="E253" s="16"/>
    </row>
    <row r="254" spans="1:5" x14ac:dyDescent="0.25">
      <c r="A254" s="21">
        <v>42369</v>
      </c>
      <c r="B254" s="16" t="s">
        <v>160</v>
      </c>
      <c r="C254" s="17">
        <v>13</v>
      </c>
      <c r="D254" s="16"/>
      <c r="E254" s="16"/>
    </row>
    <row r="255" spans="1:5" x14ac:dyDescent="0.25">
      <c r="A255" s="21">
        <v>42369</v>
      </c>
      <c r="B255" s="16" t="s">
        <v>163</v>
      </c>
      <c r="C255" s="17">
        <v>14</v>
      </c>
      <c r="D255" s="16"/>
      <c r="E255" s="16"/>
    </row>
    <row r="256" spans="1:5" x14ac:dyDescent="0.25">
      <c r="A256" s="21">
        <v>42369</v>
      </c>
      <c r="B256" s="16" t="s">
        <v>166</v>
      </c>
      <c r="C256" s="17">
        <v>15</v>
      </c>
      <c r="D256" s="16"/>
      <c r="E256" s="16"/>
    </row>
    <row r="257" spans="1:5" x14ac:dyDescent="0.25">
      <c r="A257" s="21">
        <v>42369</v>
      </c>
      <c r="B257" s="16" t="s">
        <v>169</v>
      </c>
      <c r="C257" s="17">
        <v>16</v>
      </c>
      <c r="D257" s="16"/>
      <c r="E257" s="16"/>
    </row>
    <row r="258" spans="1:5" x14ac:dyDescent="0.25">
      <c r="A258" s="21">
        <v>42369</v>
      </c>
      <c r="B258" s="16" t="s">
        <v>172</v>
      </c>
      <c r="C258" s="17">
        <v>17</v>
      </c>
      <c r="D258" s="18">
        <v>175476.2</v>
      </c>
      <c r="E258" s="18">
        <v>110643.2</v>
      </c>
    </row>
    <row r="259" spans="1:5" x14ac:dyDescent="0.25">
      <c r="A259" s="21">
        <v>42369</v>
      </c>
      <c r="B259" s="16" t="s">
        <v>175</v>
      </c>
      <c r="C259" s="17">
        <v>18</v>
      </c>
      <c r="D259" s="18">
        <v>17356964.289999999</v>
      </c>
      <c r="E259" s="18">
        <v>10687083.9</v>
      </c>
    </row>
    <row r="260" spans="1:5" x14ac:dyDescent="0.25">
      <c r="A260" s="21">
        <v>42369</v>
      </c>
      <c r="B260" s="16" t="s">
        <v>178</v>
      </c>
      <c r="C260" s="17">
        <v>19</v>
      </c>
      <c r="D260" s="16"/>
      <c r="E260" s="16"/>
    </row>
    <row r="261" spans="1:5" x14ac:dyDescent="0.25">
      <c r="A261" s="21">
        <v>42369</v>
      </c>
      <c r="B261" s="16" t="s">
        <v>181</v>
      </c>
      <c r="C261" s="17">
        <v>20</v>
      </c>
      <c r="D261" s="16"/>
      <c r="E261" s="16"/>
    </row>
    <row r="262" spans="1:5" x14ac:dyDescent="0.25">
      <c r="A262" s="21">
        <v>42369</v>
      </c>
      <c r="B262" s="16" t="s">
        <v>184</v>
      </c>
      <c r="C262" s="17">
        <v>21</v>
      </c>
      <c r="D262" s="18">
        <v>2054989.89</v>
      </c>
      <c r="E262" s="18">
        <v>-7421624.5300000003</v>
      </c>
    </row>
    <row r="263" spans="1:5" x14ac:dyDescent="0.25">
      <c r="A263" s="21">
        <v>42369</v>
      </c>
      <c r="B263" s="16" t="s">
        <v>187</v>
      </c>
      <c r="C263" s="17">
        <v>22</v>
      </c>
      <c r="D263" s="16"/>
      <c r="E263" s="16"/>
    </row>
    <row r="264" spans="1:5" x14ac:dyDescent="0.25">
      <c r="A264" s="21">
        <v>42369</v>
      </c>
      <c r="B264" s="16" t="s">
        <v>190</v>
      </c>
      <c r="C264" s="17">
        <v>23</v>
      </c>
      <c r="D264" s="16"/>
      <c r="E264" s="16"/>
    </row>
    <row r="265" spans="1:5" x14ac:dyDescent="0.25">
      <c r="A265" s="21">
        <v>42369</v>
      </c>
      <c r="B265" s="16" t="s">
        <v>193</v>
      </c>
      <c r="C265" s="17" t="s">
        <v>194</v>
      </c>
      <c r="D265" s="16"/>
      <c r="E265" s="16"/>
    </row>
    <row r="266" spans="1:5" x14ac:dyDescent="0.25">
      <c r="A266" s="21">
        <v>42369</v>
      </c>
      <c r="B266" s="16" t="s">
        <v>197</v>
      </c>
      <c r="C266" s="17" t="s">
        <v>198</v>
      </c>
      <c r="D266" s="16"/>
      <c r="E266" s="16"/>
    </row>
    <row r="267" spans="1:5" x14ac:dyDescent="0.25">
      <c r="A267" s="21">
        <v>42369</v>
      </c>
      <c r="B267" s="16" t="s">
        <v>201</v>
      </c>
      <c r="C267" s="17" t="s">
        <v>202</v>
      </c>
      <c r="D267" s="16"/>
      <c r="E267" s="16"/>
    </row>
    <row r="268" spans="1:5" x14ac:dyDescent="0.25">
      <c r="A268" s="21">
        <v>42369</v>
      </c>
      <c r="B268" s="16" t="s">
        <v>205</v>
      </c>
      <c r="C268" s="17" t="s">
        <v>206</v>
      </c>
      <c r="D268" s="16"/>
      <c r="E268" s="16"/>
    </row>
    <row r="269" spans="1:5" x14ac:dyDescent="0.25">
      <c r="A269" s="21">
        <v>42369</v>
      </c>
      <c r="B269" s="16" t="s">
        <v>209</v>
      </c>
      <c r="C269" s="17" t="s">
        <v>210</v>
      </c>
      <c r="D269" s="16"/>
      <c r="E269" s="16"/>
    </row>
    <row r="270" spans="1:5" x14ac:dyDescent="0.25">
      <c r="A270" s="21">
        <v>42369</v>
      </c>
      <c r="B270" s="16" t="s">
        <v>213</v>
      </c>
      <c r="C270" s="17" t="s">
        <v>214</v>
      </c>
      <c r="D270" s="18">
        <v>81099.03</v>
      </c>
      <c r="E270" s="18">
        <v>118277.45</v>
      </c>
    </row>
    <row r="271" spans="1:5" x14ac:dyDescent="0.25">
      <c r="A271" s="21">
        <v>42369</v>
      </c>
      <c r="B271" s="16" t="s">
        <v>217</v>
      </c>
      <c r="C271" s="17" t="s">
        <v>218</v>
      </c>
      <c r="D271" s="16"/>
      <c r="E271" s="16"/>
    </row>
    <row r="272" spans="1:5" x14ac:dyDescent="0.25">
      <c r="A272" s="21">
        <v>42369</v>
      </c>
      <c r="B272" s="16" t="s">
        <v>221</v>
      </c>
      <c r="C272" s="17" t="s">
        <v>222</v>
      </c>
      <c r="D272" s="16"/>
      <c r="E272" s="16"/>
    </row>
    <row r="273" spans="1:5" x14ac:dyDescent="0.25">
      <c r="A273" s="21">
        <v>42369</v>
      </c>
      <c r="B273" s="16" t="s">
        <v>225</v>
      </c>
      <c r="C273" s="17" t="s">
        <v>226</v>
      </c>
      <c r="D273" s="18">
        <v>432853.27</v>
      </c>
      <c r="E273" s="18">
        <v>56583.75</v>
      </c>
    </row>
    <row r="274" spans="1:5" x14ac:dyDescent="0.25">
      <c r="A274" s="21">
        <v>42369</v>
      </c>
      <c r="B274" s="16" t="s">
        <v>229</v>
      </c>
      <c r="C274" s="17" t="s">
        <v>230</v>
      </c>
      <c r="D274" s="16"/>
      <c r="E274" s="16"/>
    </row>
    <row r="275" spans="1:5" x14ac:dyDescent="0.25">
      <c r="A275" s="21">
        <v>42369</v>
      </c>
      <c r="B275" s="16" t="s">
        <v>233</v>
      </c>
      <c r="C275" s="17" t="s">
        <v>234</v>
      </c>
      <c r="D275" s="16"/>
      <c r="E275" s="16"/>
    </row>
    <row r="276" spans="1:5" x14ac:dyDescent="0.25">
      <c r="A276" s="21">
        <v>42369</v>
      </c>
      <c r="B276" s="16" t="s">
        <v>237</v>
      </c>
      <c r="C276" s="17" t="s">
        <v>238</v>
      </c>
      <c r="D276" s="16"/>
      <c r="E276" s="16"/>
    </row>
    <row r="277" spans="1:5" x14ac:dyDescent="0.25">
      <c r="A277" s="21">
        <v>42369</v>
      </c>
      <c r="B277" s="16"/>
      <c r="C277" s="17" t="s">
        <v>241</v>
      </c>
      <c r="D277" s="16"/>
      <c r="E277" s="16"/>
    </row>
    <row r="278" spans="1:5" x14ac:dyDescent="0.25">
      <c r="A278" s="21">
        <v>42369</v>
      </c>
      <c r="B278" s="16"/>
      <c r="C278" s="17" t="s">
        <v>244</v>
      </c>
      <c r="D278" s="16"/>
      <c r="E278" s="16"/>
    </row>
    <row r="279" spans="1:5" x14ac:dyDescent="0.25">
      <c r="A279" s="21">
        <v>42369</v>
      </c>
      <c r="B279" s="16"/>
      <c r="C279" s="17" t="s">
        <v>247</v>
      </c>
      <c r="D279" s="16"/>
      <c r="E279" s="16"/>
    </row>
    <row r="280" spans="1:5" x14ac:dyDescent="0.25">
      <c r="A280" s="21">
        <v>42369</v>
      </c>
      <c r="B280" s="16"/>
      <c r="C280" s="17" t="s">
        <v>250</v>
      </c>
      <c r="D280" s="16"/>
      <c r="E280" s="16"/>
    </row>
    <row r="281" spans="1:5" x14ac:dyDescent="0.25">
      <c r="A281" s="21">
        <v>42369</v>
      </c>
      <c r="B281" s="14" t="s">
        <v>253</v>
      </c>
      <c r="C281" s="17" t="s">
        <v>254</v>
      </c>
      <c r="D281" s="18">
        <v>21377337.710000001</v>
      </c>
      <c r="E281" s="18">
        <v>3916935.54</v>
      </c>
    </row>
    <row r="282" spans="1:5" x14ac:dyDescent="0.25">
      <c r="A282" s="21">
        <v>42369</v>
      </c>
      <c r="B282" s="16" t="s">
        <v>125</v>
      </c>
      <c r="C282" s="14" t="s">
        <v>126</v>
      </c>
      <c r="D282" s="16"/>
      <c r="E282" s="16"/>
    </row>
    <row r="283" spans="1:5" x14ac:dyDescent="0.25">
      <c r="A283" s="21">
        <v>42369</v>
      </c>
      <c r="B283" s="16" t="s">
        <v>128</v>
      </c>
      <c r="C283" s="14" t="s">
        <v>129</v>
      </c>
      <c r="D283" s="16"/>
      <c r="E283" s="16"/>
    </row>
    <row r="284" spans="1:5" x14ac:dyDescent="0.25">
      <c r="A284" s="21">
        <v>42369</v>
      </c>
      <c r="B284" s="16" t="s">
        <v>131</v>
      </c>
      <c r="C284" s="14" t="s">
        <v>132</v>
      </c>
      <c r="D284" s="16"/>
      <c r="E284" s="16"/>
    </row>
    <row r="285" spans="1:5" x14ac:dyDescent="0.25">
      <c r="A285" s="21">
        <v>42369</v>
      </c>
      <c r="B285" s="16" t="s">
        <v>134</v>
      </c>
      <c r="C285" s="14" t="s">
        <v>135</v>
      </c>
      <c r="D285" s="16"/>
      <c r="E285" s="16"/>
    </row>
    <row r="286" spans="1:5" x14ac:dyDescent="0.25">
      <c r="A286" s="21">
        <v>42369</v>
      </c>
      <c r="B286" s="16" t="s">
        <v>137</v>
      </c>
      <c r="C286" s="14" t="s">
        <v>138</v>
      </c>
      <c r="D286" s="16"/>
      <c r="E286" s="16"/>
    </row>
    <row r="287" spans="1:5" x14ac:dyDescent="0.25">
      <c r="A287" s="21">
        <v>42369</v>
      </c>
      <c r="B287" s="16" t="s">
        <v>140</v>
      </c>
      <c r="C287" s="14" t="s">
        <v>141</v>
      </c>
      <c r="D287" s="16"/>
      <c r="E287" s="16"/>
    </row>
    <row r="288" spans="1:5" x14ac:dyDescent="0.25">
      <c r="A288" s="21">
        <v>42369</v>
      </c>
      <c r="B288" s="16" t="s">
        <v>143</v>
      </c>
      <c r="C288" s="14" t="s">
        <v>144</v>
      </c>
      <c r="D288" s="16"/>
      <c r="E288" s="16"/>
    </row>
    <row r="289" spans="1:5" x14ac:dyDescent="0.25">
      <c r="A289" s="21">
        <v>42369</v>
      </c>
      <c r="B289" s="16" t="s">
        <v>146</v>
      </c>
      <c r="C289" s="14" t="s">
        <v>147</v>
      </c>
      <c r="D289" s="18">
        <v>3288</v>
      </c>
      <c r="E289" s="18">
        <v>3288</v>
      </c>
    </row>
    <row r="290" spans="1:5" x14ac:dyDescent="0.25">
      <c r="A290" s="21">
        <v>42369</v>
      </c>
      <c r="B290" s="16" t="s">
        <v>149</v>
      </c>
      <c r="C290" s="14" t="s">
        <v>150</v>
      </c>
      <c r="D290" s="18">
        <v>631593.16</v>
      </c>
      <c r="E290" s="18">
        <v>74810.490000000005</v>
      </c>
    </row>
    <row r="291" spans="1:5" x14ac:dyDescent="0.25">
      <c r="A291" s="21">
        <v>42369</v>
      </c>
      <c r="B291" s="16" t="s">
        <v>152</v>
      </c>
      <c r="C291" s="14" t="s">
        <v>153</v>
      </c>
      <c r="D291" s="16"/>
      <c r="E291" s="16"/>
    </row>
    <row r="292" spans="1:5" x14ac:dyDescent="0.25">
      <c r="A292" s="21">
        <v>42369</v>
      </c>
      <c r="B292" s="16" t="s">
        <v>155</v>
      </c>
      <c r="C292" s="14" t="s">
        <v>156</v>
      </c>
      <c r="D292" s="18">
        <v>411099.33</v>
      </c>
      <c r="E292" s="18">
        <v>149339.07999999999</v>
      </c>
    </row>
    <row r="293" spans="1:5" x14ac:dyDescent="0.25">
      <c r="A293" s="21">
        <v>42369</v>
      </c>
      <c r="B293" s="16" t="s">
        <v>158</v>
      </c>
      <c r="C293" s="14" t="s">
        <v>159</v>
      </c>
      <c r="D293" s="16"/>
      <c r="E293" s="16"/>
    </row>
    <row r="294" spans="1:5" x14ac:dyDescent="0.25">
      <c r="A294" s="21">
        <v>42369</v>
      </c>
      <c r="B294" s="16" t="s">
        <v>161</v>
      </c>
      <c r="C294" s="14" t="s">
        <v>162</v>
      </c>
      <c r="D294" s="16"/>
      <c r="E294" s="16"/>
    </row>
    <row r="295" spans="1:5" x14ac:dyDescent="0.25">
      <c r="A295" s="21">
        <v>42369</v>
      </c>
      <c r="B295" s="16" t="s">
        <v>164</v>
      </c>
      <c r="C295" s="14" t="s">
        <v>165</v>
      </c>
      <c r="D295" s="18">
        <v>1155291.98</v>
      </c>
      <c r="E295" s="18">
        <v>204441.72</v>
      </c>
    </row>
    <row r="296" spans="1:5" x14ac:dyDescent="0.25">
      <c r="A296" s="21">
        <v>42369</v>
      </c>
      <c r="B296" s="16" t="s">
        <v>167</v>
      </c>
      <c r="C296" s="14" t="s">
        <v>168</v>
      </c>
      <c r="D296" s="16"/>
      <c r="E296" s="16"/>
    </row>
    <row r="297" spans="1:5" x14ac:dyDescent="0.25">
      <c r="A297" s="21">
        <v>42369</v>
      </c>
      <c r="B297" s="16" t="s">
        <v>170</v>
      </c>
      <c r="C297" s="14" t="s">
        <v>171</v>
      </c>
      <c r="D297" s="16"/>
      <c r="E297" s="16"/>
    </row>
    <row r="298" spans="1:5" x14ac:dyDescent="0.25">
      <c r="A298" s="21">
        <v>42369</v>
      </c>
      <c r="B298" s="16" t="s">
        <v>173</v>
      </c>
      <c r="C298" s="14" t="s">
        <v>174</v>
      </c>
      <c r="D298" s="16"/>
      <c r="E298" s="16"/>
    </row>
    <row r="299" spans="1:5" x14ac:dyDescent="0.25">
      <c r="A299" s="21">
        <v>42369</v>
      </c>
      <c r="B299" s="16" t="s">
        <v>176</v>
      </c>
      <c r="C299" s="14" t="s">
        <v>177</v>
      </c>
      <c r="D299" s="16"/>
      <c r="E299" s="16"/>
    </row>
    <row r="300" spans="1:5" x14ac:dyDescent="0.25">
      <c r="A300" s="21">
        <v>42369</v>
      </c>
      <c r="B300" s="16" t="s">
        <v>179</v>
      </c>
      <c r="C300" s="14" t="s">
        <v>180</v>
      </c>
      <c r="D300" s="16"/>
      <c r="E300" s="16"/>
    </row>
    <row r="301" spans="1:5" x14ac:dyDescent="0.25">
      <c r="A301" s="21">
        <v>42369</v>
      </c>
      <c r="B301" s="16" t="s">
        <v>182</v>
      </c>
      <c r="C301" s="14" t="s">
        <v>183</v>
      </c>
      <c r="D301" s="16"/>
      <c r="E301" s="16"/>
    </row>
    <row r="302" spans="1:5" x14ac:dyDescent="0.25">
      <c r="A302" s="21">
        <v>42369</v>
      </c>
      <c r="B302" s="16" t="s">
        <v>185</v>
      </c>
      <c r="C302" s="14" t="s">
        <v>186</v>
      </c>
      <c r="D302" s="16"/>
      <c r="E302" s="16"/>
    </row>
    <row r="303" spans="1:5" x14ac:dyDescent="0.25">
      <c r="A303" s="21">
        <v>42369</v>
      </c>
      <c r="B303" s="16" t="s">
        <v>188</v>
      </c>
      <c r="C303" s="14" t="s">
        <v>189</v>
      </c>
      <c r="D303" s="16"/>
      <c r="E303" s="16"/>
    </row>
    <row r="304" spans="1:5" x14ac:dyDescent="0.25">
      <c r="A304" s="21">
        <v>42369</v>
      </c>
      <c r="B304" s="16" t="s">
        <v>191</v>
      </c>
      <c r="C304" s="14" t="s">
        <v>192</v>
      </c>
      <c r="D304" s="16"/>
      <c r="E304" s="16"/>
    </row>
    <row r="305" spans="1:5" x14ac:dyDescent="0.25">
      <c r="A305" s="21">
        <v>42369</v>
      </c>
      <c r="B305" s="16" t="s">
        <v>195</v>
      </c>
      <c r="C305" s="14" t="s">
        <v>196</v>
      </c>
      <c r="D305" s="16"/>
      <c r="E305" s="16"/>
    </row>
    <row r="306" spans="1:5" x14ac:dyDescent="0.25">
      <c r="A306" s="21">
        <v>42369</v>
      </c>
      <c r="B306" s="16" t="s">
        <v>199</v>
      </c>
      <c r="C306" s="14" t="s">
        <v>200</v>
      </c>
      <c r="D306" s="16"/>
      <c r="E306" s="16"/>
    </row>
    <row r="307" spans="1:5" x14ac:dyDescent="0.25">
      <c r="A307" s="21">
        <v>42369</v>
      </c>
      <c r="B307" s="16" t="s">
        <v>203</v>
      </c>
      <c r="C307" s="14" t="s">
        <v>204</v>
      </c>
      <c r="D307" s="16"/>
      <c r="E307" s="16"/>
    </row>
    <row r="308" spans="1:5" x14ac:dyDescent="0.25">
      <c r="A308" s="21">
        <v>42369</v>
      </c>
      <c r="B308" s="16" t="s">
        <v>207</v>
      </c>
      <c r="C308" s="14" t="s">
        <v>208</v>
      </c>
      <c r="D308" s="16"/>
      <c r="E308" s="16"/>
    </row>
    <row r="309" spans="1:5" x14ac:dyDescent="0.25">
      <c r="A309" s="21">
        <v>42369</v>
      </c>
      <c r="B309" s="16" t="s">
        <v>211</v>
      </c>
      <c r="C309" s="14" t="s">
        <v>212</v>
      </c>
      <c r="D309" s="16"/>
      <c r="E309" s="16"/>
    </row>
    <row r="310" spans="1:5" x14ac:dyDescent="0.25">
      <c r="A310" s="21">
        <v>42369</v>
      </c>
      <c r="B310" s="16" t="s">
        <v>215</v>
      </c>
      <c r="C310" s="14" t="s">
        <v>216</v>
      </c>
      <c r="D310" s="16"/>
      <c r="E310" s="16"/>
    </row>
    <row r="311" spans="1:5" x14ac:dyDescent="0.25">
      <c r="A311" s="21">
        <v>42369</v>
      </c>
      <c r="B311" s="16" t="s">
        <v>219</v>
      </c>
      <c r="C311" s="14" t="s">
        <v>220</v>
      </c>
      <c r="D311" s="18">
        <v>2201272.4700000002</v>
      </c>
      <c r="E311" s="18">
        <v>431879.29</v>
      </c>
    </row>
    <row r="312" spans="1:5" x14ac:dyDescent="0.25">
      <c r="A312" s="21">
        <v>42369</v>
      </c>
      <c r="B312" s="16" t="s">
        <v>223</v>
      </c>
      <c r="C312" s="14" t="s">
        <v>224</v>
      </c>
      <c r="D312" s="16"/>
      <c r="E312" s="16"/>
    </row>
    <row r="313" spans="1:5" x14ac:dyDescent="0.25">
      <c r="A313" s="21">
        <v>42369</v>
      </c>
      <c r="B313" s="16" t="s">
        <v>227</v>
      </c>
      <c r="C313" s="14" t="s">
        <v>228</v>
      </c>
      <c r="D313" s="16"/>
      <c r="E313" s="16"/>
    </row>
    <row r="314" spans="1:5" x14ac:dyDescent="0.25">
      <c r="A314" s="21">
        <v>42369</v>
      </c>
      <c r="B314" s="16" t="s">
        <v>231</v>
      </c>
      <c r="C314" s="14" t="s">
        <v>232</v>
      </c>
      <c r="D314" s="16"/>
      <c r="E314" s="16"/>
    </row>
    <row r="315" spans="1:5" x14ac:dyDescent="0.25">
      <c r="A315" s="21">
        <v>42369</v>
      </c>
      <c r="B315" s="16" t="s">
        <v>235</v>
      </c>
      <c r="C315" s="14" t="s">
        <v>236</v>
      </c>
      <c r="D315" s="16"/>
      <c r="E315" s="16"/>
    </row>
    <row r="316" spans="1:5" x14ac:dyDescent="0.25">
      <c r="A316" s="21">
        <v>42369</v>
      </c>
      <c r="B316" s="16" t="s">
        <v>239</v>
      </c>
      <c r="C316" s="14" t="s">
        <v>240</v>
      </c>
      <c r="D316" s="16"/>
      <c r="E316" s="16"/>
    </row>
    <row r="317" spans="1:5" x14ac:dyDescent="0.25">
      <c r="A317" s="21">
        <v>42369</v>
      </c>
      <c r="B317" s="16" t="s">
        <v>242</v>
      </c>
      <c r="C317" s="14" t="s">
        <v>243</v>
      </c>
      <c r="D317" s="16"/>
      <c r="E317" s="16"/>
    </row>
    <row r="318" spans="1:5" x14ac:dyDescent="0.25">
      <c r="A318" s="21">
        <v>42369</v>
      </c>
      <c r="B318" s="16" t="s">
        <v>245</v>
      </c>
      <c r="C318" s="14" t="s">
        <v>246</v>
      </c>
      <c r="D318" s="18">
        <v>19176065.239999998</v>
      </c>
      <c r="E318" s="18">
        <v>3485056.25</v>
      </c>
    </row>
    <row r="319" spans="1:5" x14ac:dyDescent="0.25">
      <c r="A319" s="21">
        <v>42369</v>
      </c>
      <c r="B319" s="16" t="s">
        <v>248</v>
      </c>
      <c r="C319" s="14" t="s">
        <v>249</v>
      </c>
      <c r="D319" s="16"/>
      <c r="E319" s="16"/>
    </row>
    <row r="320" spans="1:5" x14ac:dyDescent="0.25">
      <c r="A320" s="21">
        <v>42369</v>
      </c>
      <c r="B320" s="16" t="s">
        <v>251</v>
      </c>
      <c r="C320" s="14" t="s">
        <v>252</v>
      </c>
      <c r="D320" s="18">
        <v>19176065.239999998</v>
      </c>
      <c r="E320" s="18">
        <v>3485056.25</v>
      </c>
    </row>
    <row r="321" spans="1:5" x14ac:dyDescent="0.25">
      <c r="A321" s="21">
        <v>42369</v>
      </c>
      <c r="B321" s="14" t="s">
        <v>255</v>
      </c>
      <c r="C321" s="14" t="s">
        <v>256</v>
      </c>
      <c r="D321" s="18">
        <v>21377337.710000001</v>
      </c>
      <c r="E321" s="18">
        <v>3916935.54</v>
      </c>
    </row>
    <row r="322" spans="1:5" x14ac:dyDescent="0.25">
      <c r="A322" s="21">
        <v>42735</v>
      </c>
      <c r="B322" s="16" t="s">
        <v>124</v>
      </c>
      <c r="C322" s="17">
        <v>1</v>
      </c>
      <c r="D322" s="16"/>
      <c r="E322" s="16"/>
    </row>
    <row r="323" spans="1:5" x14ac:dyDescent="0.25">
      <c r="A323" s="21">
        <v>42735</v>
      </c>
      <c r="B323" s="16" t="s">
        <v>127</v>
      </c>
      <c r="C323" s="17">
        <v>2</v>
      </c>
      <c r="D323" s="18">
        <v>29293.759999999998</v>
      </c>
      <c r="E323" s="18">
        <v>1275955.03</v>
      </c>
    </row>
    <row r="324" spans="1:5" x14ac:dyDescent="0.25">
      <c r="A324" s="21">
        <v>42735</v>
      </c>
      <c r="B324" s="16" t="s">
        <v>130</v>
      </c>
      <c r="C324" s="17">
        <v>3</v>
      </c>
      <c r="D324" s="16"/>
      <c r="E324" s="16"/>
    </row>
    <row r="325" spans="1:5" x14ac:dyDescent="0.25">
      <c r="A325" s="21">
        <v>42735</v>
      </c>
      <c r="B325" s="16" t="s">
        <v>133</v>
      </c>
      <c r="C325" s="17">
        <v>4</v>
      </c>
      <c r="D325" s="16"/>
      <c r="E325" s="16"/>
    </row>
    <row r="326" spans="1:5" x14ac:dyDescent="0.25">
      <c r="A326" s="21">
        <v>42735</v>
      </c>
      <c r="B326" s="16" t="s">
        <v>136</v>
      </c>
      <c r="C326" s="17">
        <v>5</v>
      </c>
      <c r="D326" s="16"/>
      <c r="E326" s="16"/>
    </row>
    <row r="327" spans="1:5" x14ac:dyDescent="0.25">
      <c r="A327" s="21">
        <v>42735</v>
      </c>
      <c r="B327" s="16" t="s">
        <v>139</v>
      </c>
      <c r="C327" s="17">
        <v>6</v>
      </c>
      <c r="D327" s="16"/>
      <c r="E327" s="16"/>
    </row>
    <row r="328" spans="1:5" x14ac:dyDescent="0.25">
      <c r="A328" s="21">
        <v>42735</v>
      </c>
      <c r="B328" s="16" t="s">
        <v>142</v>
      </c>
      <c r="C328" s="17">
        <v>7</v>
      </c>
      <c r="D328" s="16"/>
      <c r="E328" s="16"/>
    </row>
    <row r="329" spans="1:5" x14ac:dyDescent="0.25">
      <c r="A329" s="21">
        <v>42735</v>
      </c>
      <c r="B329" s="16" t="s">
        <v>145</v>
      </c>
      <c r="C329" s="17">
        <v>8</v>
      </c>
      <c r="D329" s="16"/>
      <c r="E329" s="16"/>
    </row>
    <row r="330" spans="1:5" x14ac:dyDescent="0.25">
      <c r="A330" s="21">
        <v>42735</v>
      </c>
      <c r="B330" s="16" t="s">
        <v>148</v>
      </c>
      <c r="C330" s="17">
        <v>9</v>
      </c>
      <c r="D330" s="16"/>
      <c r="E330" s="16"/>
    </row>
    <row r="331" spans="1:5" x14ac:dyDescent="0.25">
      <c r="A331" s="21">
        <v>42735</v>
      </c>
      <c r="B331" s="16" t="s">
        <v>151</v>
      </c>
      <c r="C331" s="17">
        <v>10</v>
      </c>
      <c r="D331" s="16"/>
      <c r="E331" s="16"/>
    </row>
    <row r="332" spans="1:5" x14ac:dyDescent="0.25">
      <c r="A332" s="21">
        <v>42735</v>
      </c>
      <c r="B332" s="16" t="s">
        <v>154</v>
      </c>
      <c r="C332" s="17">
        <v>11</v>
      </c>
      <c r="D332" s="16"/>
      <c r="E332" s="16"/>
    </row>
    <row r="333" spans="1:5" x14ac:dyDescent="0.25">
      <c r="A333" s="21">
        <v>42735</v>
      </c>
      <c r="B333" s="16" t="s">
        <v>157</v>
      </c>
      <c r="C333" s="17">
        <v>12</v>
      </c>
      <c r="D333" s="16"/>
      <c r="E333" s="16"/>
    </row>
    <row r="334" spans="1:5" x14ac:dyDescent="0.25">
      <c r="A334" s="21">
        <v>42735</v>
      </c>
      <c r="B334" s="16" t="s">
        <v>160</v>
      </c>
      <c r="C334" s="17">
        <v>13</v>
      </c>
      <c r="D334" s="16"/>
      <c r="E334" s="16"/>
    </row>
    <row r="335" spans="1:5" x14ac:dyDescent="0.25">
      <c r="A335" s="21">
        <v>42735</v>
      </c>
      <c r="B335" s="16" t="s">
        <v>163</v>
      </c>
      <c r="C335" s="17">
        <v>14</v>
      </c>
      <c r="D335" s="16"/>
      <c r="E335" s="16"/>
    </row>
    <row r="336" spans="1:5" x14ac:dyDescent="0.25">
      <c r="A336" s="21">
        <v>42735</v>
      </c>
      <c r="B336" s="16" t="s">
        <v>166</v>
      </c>
      <c r="C336" s="17">
        <v>15</v>
      </c>
      <c r="D336" s="16"/>
      <c r="E336" s="16"/>
    </row>
    <row r="337" spans="1:5" x14ac:dyDescent="0.25">
      <c r="A337" s="21">
        <v>42735</v>
      </c>
      <c r="B337" s="16" t="s">
        <v>169</v>
      </c>
      <c r="C337" s="17">
        <v>16</v>
      </c>
      <c r="D337" s="16"/>
      <c r="E337" s="16"/>
    </row>
    <row r="338" spans="1:5" x14ac:dyDescent="0.25">
      <c r="A338" s="21">
        <v>42735</v>
      </c>
      <c r="B338" s="16" t="s">
        <v>172</v>
      </c>
      <c r="C338" s="17">
        <v>17</v>
      </c>
      <c r="D338" s="18">
        <v>227945.2</v>
      </c>
      <c r="E338" s="18">
        <v>175476.2</v>
      </c>
    </row>
    <row r="339" spans="1:5" x14ac:dyDescent="0.25">
      <c r="A339" s="21">
        <v>42735</v>
      </c>
      <c r="B339" s="16" t="s">
        <v>175</v>
      </c>
      <c r="C339" s="17">
        <v>18</v>
      </c>
      <c r="D339" s="18">
        <v>12120515.199999999</v>
      </c>
      <c r="E339" s="18">
        <v>17356964.289999999</v>
      </c>
    </row>
    <row r="340" spans="1:5" x14ac:dyDescent="0.25">
      <c r="A340" s="21">
        <v>42735</v>
      </c>
      <c r="B340" s="16" t="s">
        <v>178</v>
      </c>
      <c r="C340" s="17">
        <v>19</v>
      </c>
      <c r="D340" s="16"/>
      <c r="E340" s="16"/>
    </row>
    <row r="341" spans="1:5" x14ac:dyDescent="0.25">
      <c r="A341" s="21">
        <v>42735</v>
      </c>
      <c r="B341" s="16" t="s">
        <v>181</v>
      </c>
      <c r="C341" s="17">
        <v>20</v>
      </c>
      <c r="D341" s="16"/>
      <c r="E341" s="16"/>
    </row>
    <row r="342" spans="1:5" x14ac:dyDescent="0.25">
      <c r="A342" s="21">
        <v>42735</v>
      </c>
      <c r="B342" s="16" t="s">
        <v>184</v>
      </c>
      <c r="C342" s="17">
        <v>21</v>
      </c>
      <c r="D342" s="18">
        <v>18938124.93</v>
      </c>
      <c r="E342" s="18">
        <v>2054989.89</v>
      </c>
    </row>
    <row r="343" spans="1:5" x14ac:dyDescent="0.25">
      <c r="A343" s="21">
        <v>42735</v>
      </c>
      <c r="B343" s="16" t="s">
        <v>187</v>
      </c>
      <c r="C343" s="17">
        <v>22</v>
      </c>
      <c r="D343" s="16"/>
      <c r="E343" s="16"/>
    </row>
    <row r="344" spans="1:5" x14ac:dyDescent="0.25">
      <c r="A344" s="21">
        <v>42735</v>
      </c>
      <c r="B344" s="16" t="s">
        <v>190</v>
      </c>
      <c r="C344" s="17">
        <v>23</v>
      </c>
      <c r="D344" s="16"/>
      <c r="E344" s="16"/>
    </row>
    <row r="345" spans="1:5" x14ac:dyDescent="0.25">
      <c r="A345" s="21">
        <v>42735</v>
      </c>
      <c r="B345" s="16" t="s">
        <v>193</v>
      </c>
      <c r="C345" s="17" t="s">
        <v>194</v>
      </c>
      <c r="D345" s="16"/>
      <c r="E345" s="16"/>
    </row>
    <row r="346" spans="1:5" x14ac:dyDescent="0.25">
      <c r="A346" s="21">
        <v>42735</v>
      </c>
      <c r="B346" s="16" t="s">
        <v>197</v>
      </c>
      <c r="C346" s="17" t="s">
        <v>198</v>
      </c>
      <c r="D346" s="16"/>
      <c r="E346" s="16"/>
    </row>
    <row r="347" spans="1:5" x14ac:dyDescent="0.25">
      <c r="A347" s="21">
        <v>42735</v>
      </c>
      <c r="B347" s="16" t="s">
        <v>201</v>
      </c>
      <c r="C347" s="17" t="s">
        <v>202</v>
      </c>
      <c r="D347" s="16"/>
      <c r="E347" s="16"/>
    </row>
    <row r="348" spans="1:5" x14ac:dyDescent="0.25">
      <c r="A348" s="21">
        <v>42735</v>
      </c>
      <c r="B348" s="16" t="s">
        <v>205</v>
      </c>
      <c r="C348" s="17" t="s">
        <v>206</v>
      </c>
      <c r="D348" s="16"/>
      <c r="E348" s="16"/>
    </row>
    <row r="349" spans="1:5" x14ac:dyDescent="0.25">
      <c r="A349" s="21">
        <v>42735</v>
      </c>
      <c r="B349" s="16" t="s">
        <v>209</v>
      </c>
      <c r="C349" s="17" t="s">
        <v>210</v>
      </c>
      <c r="D349" s="16"/>
      <c r="E349" s="16"/>
    </row>
    <row r="350" spans="1:5" x14ac:dyDescent="0.25">
      <c r="A350" s="21">
        <v>42735</v>
      </c>
      <c r="B350" s="16" t="s">
        <v>213</v>
      </c>
      <c r="C350" s="17" t="s">
        <v>214</v>
      </c>
      <c r="D350" s="18">
        <v>161594.57</v>
      </c>
      <c r="E350" s="18">
        <v>81099.03</v>
      </c>
    </row>
    <row r="351" spans="1:5" x14ac:dyDescent="0.25">
      <c r="A351" s="21">
        <v>42735</v>
      </c>
      <c r="B351" s="16" t="s">
        <v>217</v>
      </c>
      <c r="C351" s="17" t="s">
        <v>218</v>
      </c>
      <c r="D351" s="16"/>
      <c r="E351" s="16"/>
    </row>
    <row r="352" spans="1:5" x14ac:dyDescent="0.25">
      <c r="A352" s="21">
        <v>42735</v>
      </c>
      <c r="B352" s="16" t="s">
        <v>221</v>
      </c>
      <c r="C352" s="17" t="s">
        <v>222</v>
      </c>
      <c r="D352" s="16"/>
      <c r="E352" s="16"/>
    </row>
    <row r="353" spans="1:5" x14ac:dyDescent="0.25">
      <c r="A353" s="21">
        <v>42735</v>
      </c>
      <c r="B353" s="16" t="s">
        <v>225</v>
      </c>
      <c r="C353" s="17" t="s">
        <v>226</v>
      </c>
      <c r="D353" s="18">
        <v>477736.54</v>
      </c>
      <c r="E353" s="18">
        <v>432853.27</v>
      </c>
    </row>
    <row r="354" spans="1:5" x14ac:dyDescent="0.25">
      <c r="A354" s="21">
        <v>42735</v>
      </c>
      <c r="B354" s="16" t="s">
        <v>229</v>
      </c>
      <c r="C354" s="17" t="s">
        <v>230</v>
      </c>
      <c r="D354" s="16"/>
      <c r="E354" s="16"/>
    </row>
    <row r="355" spans="1:5" x14ac:dyDescent="0.25">
      <c r="A355" s="21">
        <v>42735</v>
      </c>
      <c r="B355" s="16" t="s">
        <v>233</v>
      </c>
      <c r="C355" s="17" t="s">
        <v>234</v>
      </c>
      <c r="D355" s="16"/>
      <c r="E355" s="16"/>
    </row>
    <row r="356" spans="1:5" x14ac:dyDescent="0.25">
      <c r="A356" s="21">
        <v>42735</v>
      </c>
      <c r="B356" s="16" t="s">
        <v>237</v>
      </c>
      <c r="C356" s="17" t="s">
        <v>238</v>
      </c>
      <c r="D356" s="16"/>
      <c r="E356" s="16"/>
    </row>
    <row r="357" spans="1:5" x14ac:dyDescent="0.25">
      <c r="A357" s="21">
        <v>42735</v>
      </c>
      <c r="B357" s="16"/>
      <c r="C357" s="17" t="s">
        <v>241</v>
      </c>
      <c r="D357" s="16"/>
      <c r="E357" s="16"/>
    </row>
    <row r="358" spans="1:5" x14ac:dyDescent="0.25">
      <c r="A358" s="21">
        <v>42735</v>
      </c>
      <c r="B358" s="16"/>
      <c r="C358" s="17" t="s">
        <v>244</v>
      </c>
      <c r="D358" s="16"/>
      <c r="E358" s="16"/>
    </row>
    <row r="359" spans="1:5" x14ac:dyDescent="0.25">
      <c r="A359" s="21">
        <v>42735</v>
      </c>
      <c r="B359" s="16"/>
      <c r="C359" s="17" t="s">
        <v>247</v>
      </c>
      <c r="D359" s="16"/>
      <c r="E359" s="16"/>
    </row>
    <row r="360" spans="1:5" x14ac:dyDescent="0.25">
      <c r="A360" s="21">
        <v>42735</v>
      </c>
      <c r="B360" s="16"/>
      <c r="C360" s="17" t="s">
        <v>250</v>
      </c>
      <c r="D360" s="16"/>
      <c r="E360" s="16"/>
    </row>
    <row r="361" spans="1:5" x14ac:dyDescent="0.25">
      <c r="A361" s="21">
        <v>42735</v>
      </c>
      <c r="B361" s="14" t="s">
        <v>253</v>
      </c>
      <c r="C361" s="17" t="s">
        <v>254</v>
      </c>
      <c r="D361" s="18">
        <v>31955210.199999999</v>
      </c>
      <c r="E361" s="18">
        <v>21377337.710000001</v>
      </c>
    </row>
    <row r="362" spans="1:5" x14ac:dyDescent="0.25">
      <c r="A362" s="21">
        <v>42735</v>
      </c>
      <c r="B362" s="16" t="s">
        <v>125</v>
      </c>
      <c r="C362" s="14" t="s">
        <v>126</v>
      </c>
      <c r="D362" s="16"/>
      <c r="E362" s="16"/>
    </row>
    <row r="363" spans="1:5" x14ac:dyDescent="0.25">
      <c r="A363" s="21">
        <v>42735</v>
      </c>
      <c r="B363" s="16" t="s">
        <v>128</v>
      </c>
      <c r="C363" s="14" t="s">
        <v>129</v>
      </c>
      <c r="D363" s="16"/>
      <c r="E363" s="16"/>
    </row>
    <row r="364" spans="1:5" x14ac:dyDescent="0.25">
      <c r="A364" s="21">
        <v>42735</v>
      </c>
      <c r="B364" s="16" t="s">
        <v>131</v>
      </c>
      <c r="C364" s="14" t="s">
        <v>132</v>
      </c>
      <c r="D364" s="16"/>
      <c r="E364" s="16"/>
    </row>
    <row r="365" spans="1:5" x14ac:dyDescent="0.25">
      <c r="A365" s="21">
        <v>42735</v>
      </c>
      <c r="B365" s="16" t="s">
        <v>134</v>
      </c>
      <c r="C365" s="14" t="s">
        <v>135</v>
      </c>
      <c r="D365" s="16"/>
      <c r="E365" s="16"/>
    </row>
    <row r="366" spans="1:5" x14ac:dyDescent="0.25">
      <c r="A366" s="21">
        <v>42735</v>
      </c>
      <c r="B366" s="16" t="s">
        <v>137</v>
      </c>
      <c r="C366" s="14" t="s">
        <v>138</v>
      </c>
      <c r="D366" s="16"/>
      <c r="E366" s="16"/>
    </row>
    <row r="367" spans="1:5" x14ac:dyDescent="0.25">
      <c r="A367" s="21">
        <v>42735</v>
      </c>
      <c r="B367" s="16" t="s">
        <v>140</v>
      </c>
      <c r="C367" s="14" t="s">
        <v>141</v>
      </c>
      <c r="D367" s="16"/>
      <c r="E367" s="16"/>
    </row>
    <row r="368" spans="1:5" x14ac:dyDescent="0.25">
      <c r="A368" s="21">
        <v>42735</v>
      </c>
      <c r="B368" s="16" t="s">
        <v>143</v>
      </c>
      <c r="C368" s="14" t="s">
        <v>144</v>
      </c>
      <c r="D368" s="16"/>
      <c r="E368" s="16"/>
    </row>
    <row r="369" spans="1:5" x14ac:dyDescent="0.25">
      <c r="A369" s="21">
        <v>42735</v>
      </c>
      <c r="B369" s="16" t="s">
        <v>146</v>
      </c>
      <c r="C369" s="14" t="s">
        <v>147</v>
      </c>
      <c r="D369" s="18">
        <v>3288</v>
      </c>
      <c r="E369" s="18">
        <v>3288</v>
      </c>
    </row>
    <row r="370" spans="1:5" x14ac:dyDescent="0.25">
      <c r="A370" s="21">
        <v>42735</v>
      </c>
      <c r="B370" s="16" t="s">
        <v>149</v>
      </c>
      <c r="C370" s="14" t="s">
        <v>150</v>
      </c>
      <c r="D370" s="18">
        <v>288000</v>
      </c>
      <c r="E370" s="18">
        <v>631593.16</v>
      </c>
    </row>
    <row r="371" spans="1:5" x14ac:dyDescent="0.25">
      <c r="A371" s="21">
        <v>42735</v>
      </c>
      <c r="B371" s="16" t="s">
        <v>152</v>
      </c>
      <c r="C371" s="14" t="s">
        <v>153</v>
      </c>
      <c r="D371" s="16"/>
      <c r="E371" s="16"/>
    </row>
    <row r="372" spans="1:5" x14ac:dyDescent="0.25">
      <c r="A372" s="21">
        <v>42735</v>
      </c>
      <c r="B372" s="16" t="s">
        <v>155</v>
      </c>
      <c r="C372" s="14" t="s">
        <v>156</v>
      </c>
      <c r="D372" s="18">
        <v>1857340.23</v>
      </c>
      <c r="E372" s="18">
        <v>411099.33</v>
      </c>
    </row>
    <row r="373" spans="1:5" x14ac:dyDescent="0.25">
      <c r="A373" s="21">
        <v>42735</v>
      </c>
      <c r="B373" s="16" t="s">
        <v>158</v>
      </c>
      <c r="C373" s="14" t="s">
        <v>159</v>
      </c>
      <c r="D373" s="18">
        <v>21094.23</v>
      </c>
      <c r="E373" s="16"/>
    </row>
    <row r="374" spans="1:5" x14ac:dyDescent="0.25">
      <c r="A374" s="21">
        <v>42735</v>
      </c>
      <c r="B374" s="16" t="s">
        <v>161</v>
      </c>
      <c r="C374" s="14" t="s">
        <v>162</v>
      </c>
      <c r="D374" s="16"/>
      <c r="E374" s="16"/>
    </row>
    <row r="375" spans="1:5" x14ac:dyDescent="0.25">
      <c r="A375" s="21">
        <v>42735</v>
      </c>
      <c r="B375" s="16" t="s">
        <v>164</v>
      </c>
      <c r="C375" s="14" t="s">
        <v>165</v>
      </c>
      <c r="D375" s="18">
        <v>-9662.39</v>
      </c>
      <c r="E375" s="18">
        <v>1155291.98</v>
      </c>
    </row>
    <row r="376" spans="1:5" x14ac:dyDescent="0.25">
      <c r="A376" s="21">
        <v>42735</v>
      </c>
      <c r="B376" s="16" t="s">
        <v>167</v>
      </c>
      <c r="C376" s="14" t="s">
        <v>168</v>
      </c>
      <c r="D376" s="16"/>
      <c r="E376" s="16"/>
    </row>
    <row r="377" spans="1:5" x14ac:dyDescent="0.25">
      <c r="A377" s="21">
        <v>42735</v>
      </c>
      <c r="B377" s="16" t="s">
        <v>170</v>
      </c>
      <c r="C377" s="14" t="s">
        <v>171</v>
      </c>
      <c r="D377" s="16"/>
      <c r="E377" s="16"/>
    </row>
    <row r="378" spans="1:5" x14ac:dyDescent="0.25">
      <c r="A378" s="21">
        <v>42735</v>
      </c>
      <c r="B378" s="16" t="s">
        <v>173</v>
      </c>
      <c r="C378" s="14" t="s">
        <v>174</v>
      </c>
      <c r="D378" s="16"/>
      <c r="E378" s="16"/>
    </row>
    <row r="379" spans="1:5" x14ac:dyDescent="0.25">
      <c r="A379" s="21">
        <v>42735</v>
      </c>
      <c r="B379" s="16" t="s">
        <v>176</v>
      </c>
      <c r="C379" s="14" t="s">
        <v>177</v>
      </c>
      <c r="D379" s="16"/>
      <c r="E379" s="16"/>
    </row>
    <row r="380" spans="1:5" x14ac:dyDescent="0.25">
      <c r="A380" s="21">
        <v>42735</v>
      </c>
      <c r="B380" s="16" t="s">
        <v>179</v>
      </c>
      <c r="C380" s="14" t="s">
        <v>180</v>
      </c>
      <c r="D380" s="16"/>
      <c r="E380" s="16"/>
    </row>
    <row r="381" spans="1:5" x14ac:dyDescent="0.25">
      <c r="A381" s="21">
        <v>42735</v>
      </c>
      <c r="B381" s="16" t="s">
        <v>182</v>
      </c>
      <c r="C381" s="14" t="s">
        <v>183</v>
      </c>
      <c r="D381" s="16"/>
      <c r="E381" s="16"/>
    </row>
    <row r="382" spans="1:5" x14ac:dyDescent="0.25">
      <c r="A382" s="21">
        <v>42735</v>
      </c>
      <c r="B382" s="16" t="s">
        <v>185</v>
      </c>
      <c r="C382" s="14" t="s">
        <v>186</v>
      </c>
      <c r="D382" s="16"/>
      <c r="E382" s="16"/>
    </row>
    <row r="383" spans="1:5" x14ac:dyDescent="0.25">
      <c r="A383" s="21">
        <v>42735</v>
      </c>
      <c r="B383" s="16" t="s">
        <v>188</v>
      </c>
      <c r="C383" s="14" t="s">
        <v>189</v>
      </c>
      <c r="D383" s="16"/>
      <c r="E383" s="16"/>
    </row>
    <row r="384" spans="1:5" x14ac:dyDescent="0.25">
      <c r="A384" s="21">
        <v>42735</v>
      </c>
      <c r="B384" s="16" t="s">
        <v>191</v>
      </c>
      <c r="C384" s="14" t="s">
        <v>192</v>
      </c>
      <c r="D384" s="16"/>
      <c r="E384" s="16"/>
    </row>
    <row r="385" spans="1:5" x14ac:dyDescent="0.25">
      <c r="A385" s="21">
        <v>42735</v>
      </c>
      <c r="B385" s="16" t="s">
        <v>195</v>
      </c>
      <c r="C385" s="14" t="s">
        <v>196</v>
      </c>
      <c r="D385" s="16"/>
      <c r="E385" s="16"/>
    </row>
    <row r="386" spans="1:5" x14ac:dyDescent="0.25">
      <c r="A386" s="21">
        <v>42735</v>
      </c>
      <c r="B386" s="16" t="s">
        <v>199</v>
      </c>
      <c r="C386" s="14" t="s">
        <v>200</v>
      </c>
      <c r="D386" s="16"/>
      <c r="E386" s="16"/>
    </row>
    <row r="387" spans="1:5" x14ac:dyDescent="0.25">
      <c r="A387" s="21">
        <v>42735</v>
      </c>
      <c r="B387" s="16" t="s">
        <v>203</v>
      </c>
      <c r="C387" s="14" t="s">
        <v>204</v>
      </c>
      <c r="D387" s="16"/>
      <c r="E387" s="16"/>
    </row>
    <row r="388" spans="1:5" x14ac:dyDescent="0.25">
      <c r="A388" s="21">
        <v>42735</v>
      </c>
      <c r="B388" s="16" t="s">
        <v>207</v>
      </c>
      <c r="C388" s="14" t="s">
        <v>208</v>
      </c>
      <c r="D388" s="16"/>
      <c r="E388" s="16"/>
    </row>
    <row r="389" spans="1:5" x14ac:dyDescent="0.25">
      <c r="A389" s="21">
        <v>42735</v>
      </c>
      <c r="B389" s="16" t="s">
        <v>211</v>
      </c>
      <c r="C389" s="14" t="s">
        <v>212</v>
      </c>
      <c r="D389" s="16"/>
      <c r="E389" s="16"/>
    </row>
    <row r="390" spans="1:5" x14ac:dyDescent="0.25">
      <c r="A390" s="21">
        <v>42735</v>
      </c>
      <c r="B390" s="16" t="s">
        <v>215</v>
      </c>
      <c r="C390" s="14" t="s">
        <v>216</v>
      </c>
      <c r="D390" s="16"/>
      <c r="E390" s="16"/>
    </row>
    <row r="391" spans="1:5" x14ac:dyDescent="0.25">
      <c r="A391" s="21">
        <v>42735</v>
      </c>
      <c r="B391" s="16" t="s">
        <v>219</v>
      </c>
      <c r="C391" s="14" t="s">
        <v>220</v>
      </c>
      <c r="D391" s="18">
        <v>2160060.0699999998</v>
      </c>
      <c r="E391" s="18">
        <v>2201272.4700000002</v>
      </c>
    </row>
    <row r="392" spans="1:5" x14ac:dyDescent="0.25">
      <c r="A392" s="21">
        <v>42735</v>
      </c>
      <c r="B392" s="16" t="s">
        <v>223</v>
      </c>
      <c r="C392" s="14" t="s">
        <v>224</v>
      </c>
      <c r="D392" s="16"/>
      <c r="E392" s="16"/>
    </row>
    <row r="393" spans="1:5" x14ac:dyDescent="0.25">
      <c r="A393" s="21">
        <v>42735</v>
      </c>
      <c r="B393" s="16" t="s">
        <v>227</v>
      </c>
      <c r="C393" s="14" t="s">
        <v>228</v>
      </c>
      <c r="D393" s="16"/>
      <c r="E393" s="16"/>
    </row>
    <row r="394" spans="1:5" x14ac:dyDescent="0.25">
      <c r="A394" s="21">
        <v>42735</v>
      </c>
      <c r="B394" s="16" t="s">
        <v>231</v>
      </c>
      <c r="C394" s="14" t="s">
        <v>232</v>
      </c>
      <c r="D394" s="16"/>
      <c r="E394" s="16"/>
    </row>
    <row r="395" spans="1:5" x14ac:dyDescent="0.25">
      <c r="A395" s="21">
        <v>42735</v>
      </c>
      <c r="B395" s="16" t="s">
        <v>235</v>
      </c>
      <c r="C395" s="14" t="s">
        <v>236</v>
      </c>
      <c r="D395" s="16"/>
      <c r="E395" s="16"/>
    </row>
    <row r="396" spans="1:5" x14ac:dyDescent="0.25">
      <c r="A396" s="21">
        <v>42735</v>
      </c>
      <c r="B396" s="16" t="s">
        <v>239</v>
      </c>
      <c r="C396" s="14" t="s">
        <v>240</v>
      </c>
      <c r="D396" s="16"/>
      <c r="E396" s="16"/>
    </row>
    <row r="397" spans="1:5" x14ac:dyDescent="0.25">
      <c r="A397" s="21">
        <v>42735</v>
      </c>
      <c r="B397" s="16" t="s">
        <v>242</v>
      </c>
      <c r="C397" s="14" t="s">
        <v>243</v>
      </c>
      <c r="D397" s="16"/>
      <c r="E397" s="16"/>
    </row>
    <row r="398" spans="1:5" x14ac:dyDescent="0.25">
      <c r="A398" s="21">
        <v>42735</v>
      </c>
      <c r="B398" s="16" t="s">
        <v>245</v>
      </c>
      <c r="C398" s="14" t="s">
        <v>246</v>
      </c>
      <c r="D398" s="18">
        <v>29795150.129999999</v>
      </c>
      <c r="E398" s="18">
        <v>19176065.239999998</v>
      </c>
    </row>
    <row r="399" spans="1:5" x14ac:dyDescent="0.25">
      <c r="A399" s="21">
        <v>42735</v>
      </c>
      <c r="B399" s="16" t="s">
        <v>248</v>
      </c>
      <c r="C399" s="14" t="s">
        <v>249</v>
      </c>
      <c r="D399" s="16"/>
      <c r="E399" s="16"/>
    </row>
    <row r="400" spans="1:5" x14ac:dyDescent="0.25">
      <c r="A400" s="21">
        <v>42735</v>
      </c>
      <c r="B400" s="16" t="s">
        <v>251</v>
      </c>
      <c r="C400" s="14" t="s">
        <v>252</v>
      </c>
      <c r="D400" s="18">
        <v>29795150.129999999</v>
      </c>
      <c r="E400" s="18">
        <v>19176065.239999998</v>
      </c>
    </row>
    <row r="401" spans="1:5" x14ac:dyDescent="0.25">
      <c r="A401" s="21">
        <v>42735</v>
      </c>
      <c r="B401" s="14" t="s">
        <v>255</v>
      </c>
      <c r="C401" s="14" t="s">
        <v>256</v>
      </c>
      <c r="D401" s="18">
        <v>31955210.199999999</v>
      </c>
      <c r="E401" s="18">
        <v>21377337.710000001</v>
      </c>
    </row>
    <row r="402" spans="1:5" x14ac:dyDescent="0.25">
      <c r="A402" s="21">
        <v>43100</v>
      </c>
      <c r="B402" s="16" t="s">
        <v>124</v>
      </c>
      <c r="C402" s="17">
        <v>1</v>
      </c>
      <c r="D402" s="16"/>
      <c r="E402" s="16"/>
    </row>
    <row r="403" spans="1:5" x14ac:dyDescent="0.25">
      <c r="A403" s="21">
        <v>43100</v>
      </c>
      <c r="B403" s="16" t="s">
        <v>127</v>
      </c>
      <c r="C403" s="17">
        <v>2</v>
      </c>
      <c r="D403" s="18">
        <v>845226.35</v>
      </c>
      <c r="E403" s="18">
        <v>29293.759999999998</v>
      </c>
    </row>
    <row r="404" spans="1:5" x14ac:dyDescent="0.25">
      <c r="A404" s="21">
        <v>43100</v>
      </c>
      <c r="B404" s="16" t="s">
        <v>130</v>
      </c>
      <c r="C404" s="17">
        <v>3</v>
      </c>
      <c r="D404" s="16"/>
      <c r="E404" s="16"/>
    </row>
    <row r="405" spans="1:5" x14ac:dyDescent="0.25">
      <c r="A405" s="21">
        <v>43100</v>
      </c>
      <c r="B405" s="16" t="s">
        <v>133</v>
      </c>
      <c r="C405" s="17">
        <v>4</v>
      </c>
      <c r="D405" s="16"/>
      <c r="E405" s="16"/>
    </row>
    <row r="406" spans="1:5" x14ac:dyDescent="0.25">
      <c r="A406" s="21">
        <v>43100</v>
      </c>
      <c r="B406" s="16" t="s">
        <v>136</v>
      </c>
      <c r="C406" s="17">
        <v>5</v>
      </c>
      <c r="D406" s="16"/>
      <c r="E406" s="16"/>
    </row>
    <row r="407" spans="1:5" x14ac:dyDescent="0.25">
      <c r="A407" s="21">
        <v>43100</v>
      </c>
      <c r="B407" s="16" t="s">
        <v>139</v>
      </c>
      <c r="C407" s="17">
        <v>6</v>
      </c>
      <c r="D407" s="16"/>
      <c r="E407" s="16"/>
    </row>
    <row r="408" spans="1:5" x14ac:dyDescent="0.25">
      <c r="A408" s="21">
        <v>43100</v>
      </c>
      <c r="B408" s="16" t="s">
        <v>142</v>
      </c>
      <c r="C408" s="17">
        <v>7</v>
      </c>
      <c r="D408" s="16"/>
      <c r="E408" s="16"/>
    </row>
    <row r="409" spans="1:5" x14ac:dyDescent="0.25">
      <c r="A409" s="21">
        <v>43100</v>
      </c>
      <c r="B409" s="16" t="s">
        <v>145</v>
      </c>
      <c r="C409" s="17">
        <v>8</v>
      </c>
      <c r="D409" s="16"/>
      <c r="E409" s="16"/>
    </row>
    <row r="410" spans="1:5" x14ac:dyDescent="0.25">
      <c r="A410" s="21">
        <v>43100</v>
      </c>
      <c r="B410" s="16" t="s">
        <v>148</v>
      </c>
      <c r="C410" s="17">
        <v>9</v>
      </c>
      <c r="D410" s="16"/>
      <c r="E410" s="16"/>
    </row>
    <row r="411" spans="1:5" x14ac:dyDescent="0.25">
      <c r="A411" s="21">
        <v>43100</v>
      </c>
      <c r="B411" s="16" t="s">
        <v>151</v>
      </c>
      <c r="C411" s="17">
        <v>10</v>
      </c>
      <c r="D411" s="16"/>
      <c r="E411" s="16"/>
    </row>
    <row r="412" spans="1:5" x14ac:dyDescent="0.25">
      <c r="A412" s="21">
        <v>43100</v>
      </c>
      <c r="B412" s="16" t="s">
        <v>154</v>
      </c>
      <c r="C412" s="17">
        <v>11</v>
      </c>
      <c r="D412" s="16"/>
      <c r="E412" s="16"/>
    </row>
    <row r="413" spans="1:5" x14ac:dyDescent="0.25">
      <c r="A413" s="21">
        <v>43100</v>
      </c>
      <c r="B413" s="16" t="s">
        <v>157</v>
      </c>
      <c r="C413" s="17">
        <v>12</v>
      </c>
      <c r="D413" s="16"/>
      <c r="E413" s="16"/>
    </row>
    <row r="414" spans="1:5" x14ac:dyDescent="0.25">
      <c r="A414" s="21">
        <v>43100</v>
      </c>
      <c r="B414" s="16" t="s">
        <v>160</v>
      </c>
      <c r="C414" s="17">
        <v>13</v>
      </c>
      <c r="D414" s="16"/>
      <c r="E414" s="16"/>
    </row>
    <row r="415" spans="1:5" x14ac:dyDescent="0.25">
      <c r="A415" s="21">
        <v>43100</v>
      </c>
      <c r="B415" s="16" t="s">
        <v>163</v>
      </c>
      <c r="C415" s="17">
        <v>14</v>
      </c>
      <c r="D415" s="16"/>
      <c r="E415" s="16"/>
    </row>
    <row r="416" spans="1:5" x14ac:dyDescent="0.25">
      <c r="A416" s="21">
        <v>43100</v>
      </c>
      <c r="B416" s="16" t="s">
        <v>166</v>
      </c>
      <c r="C416" s="17">
        <v>15</v>
      </c>
      <c r="D416" s="16"/>
      <c r="E416" s="16"/>
    </row>
    <row r="417" spans="1:5" x14ac:dyDescent="0.25">
      <c r="A417" s="21">
        <v>43100</v>
      </c>
      <c r="B417" s="16" t="s">
        <v>169</v>
      </c>
      <c r="C417" s="17">
        <v>16</v>
      </c>
      <c r="D417" s="16"/>
      <c r="E417" s="16"/>
    </row>
    <row r="418" spans="1:5" x14ac:dyDescent="0.25">
      <c r="A418" s="21">
        <v>43100</v>
      </c>
      <c r="B418" s="16" t="s">
        <v>172</v>
      </c>
      <c r="C418" s="17">
        <v>17</v>
      </c>
      <c r="D418" s="18">
        <v>234131.13</v>
      </c>
      <c r="E418" s="18">
        <v>227945.2</v>
      </c>
    </row>
    <row r="419" spans="1:5" x14ac:dyDescent="0.25">
      <c r="A419" s="21">
        <v>43100</v>
      </c>
      <c r="B419" s="16" t="s">
        <v>175</v>
      </c>
      <c r="C419" s="17">
        <v>18</v>
      </c>
      <c r="D419" s="18">
        <v>8494725.4199999999</v>
      </c>
      <c r="E419" s="18">
        <v>12120515.199999999</v>
      </c>
    </row>
    <row r="420" spans="1:5" x14ac:dyDescent="0.25">
      <c r="A420" s="21">
        <v>43100</v>
      </c>
      <c r="B420" s="16" t="s">
        <v>178</v>
      </c>
      <c r="C420" s="17">
        <v>19</v>
      </c>
      <c r="D420" s="16"/>
      <c r="E420" s="16"/>
    </row>
    <row r="421" spans="1:5" x14ac:dyDescent="0.25">
      <c r="A421" s="21">
        <v>43100</v>
      </c>
      <c r="B421" s="16" t="s">
        <v>181</v>
      </c>
      <c r="C421" s="17">
        <v>20</v>
      </c>
      <c r="D421" s="16"/>
      <c r="E421" s="16"/>
    </row>
    <row r="422" spans="1:5" x14ac:dyDescent="0.25">
      <c r="A422" s="21">
        <v>43100</v>
      </c>
      <c r="B422" s="16" t="s">
        <v>184</v>
      </c>
      <c r="C422" s="17">
        <v>21</v>
      </c>
      <c r="D422" s="18">
        <v>37082736.700000003</v>
      </c>
      <c r="E422" s="18">
        <v>18938124.93</v>
      </c>
    </row>
    <row r="423" spans="1:5" x14ac:dyDescent="0.25">
      <c r="A423" s="21">
        <v>43100</v>
      </c>
      <c r="B423" s="16" t="s">
        <v>187</v>
      </c>
      <c r="C423" s="17">
        <v>22</v>
      </c>
      <c r="D423" s="16"/>
      <c r="E423" s="16"/>
    </row>
    <row r="424" spans="1:5" x14ac:dyDescent="0.25">
      <c r="A424" s="21">
        <v>43100</v>
      </c>
      <c r="B424" s="16" t="s">
        <v>190</v>
      </c>
      <c r="C424" s="17">
        <v>23</v>
      </c>
      <c r="D424" s="16"/>
      <c r="E424" s="16"/>
    </row>
    <row r="425" spans="1:5" x14ac:dyDescent="0.25">
      <c r="A425" s="21">
        <v>43100</v>
      </c>
      <c r="B425" s="16" t="s">
        <v>193</v>
      </c>
      <c r="C425" s="17" t="s">
        <v>194</v>
      </c>
      <c r="D425" s="16"/>
      <c r="E425" s="16"/>
    </row>
    <row r="426" spans="1:5" x14ac:dyDescent="0.25">
      <c r="A426" s="21">
        <v>43100</v>
      </c>
      <c r="B426" s="16" t="s">
        <v>197</v>
      </c>
      <c r="C426" s="17" t="s">
        <v>198</v>
      </c>
      <c r="D426" s="16"/>
      <c r="E426" s="16"/>
    </row>
    <row r="427" spans="1:5" x14ac:dyDescent="0.25">
      <c r="A427" s="21">
        <v>43100</v>
      </c>
      <c r="B427" s="16" t="s">
        <v>201</v>
      </c>
      <c r="C427" s="17" t="s">
        <v>202</v>
      </c>
      <c r="D427" s="16"/>
      <c r="E427" s="16"/>
    </row>
    <row r="428" spans="1:5" x14ac:dyDescent="0.25">
      <c r="A428" s="21">
        <v>43100</v>
      </c>
      <c r="B428" s="16" t="s">
        <v>205</v>
      </c>
      <c r="C428" s="17" t="s">
        <v>206</v>
      </c>
      <c r="D428" s="16"/>
      <c r="E428" s="16"/>
    </row>
    <row r="429" spans="1:5" x14ac:dyDescent="0.25">
      <c r="A429" s="21">
        <v>43100</v>
      </c>
      <c r="B429" s="16" t="s">
        <v>209</v>
      </c>
      <c r="C429" s="17" t="s">
        <v>210</v>
      </c>
      <c r="D429" s="16"/>
      <c r="E429" s="16"/>
    </row>
    <row r="430" spans="1:5" x14ac:dyDescent="0.25">
      <c r="A430" s="21">
        <v>43100</v>
      </c>
      <c r="B430" s="16" t="s">
        <v>213</v>
      </c>
      <c r="C430" s="17" t="s">
        <v>214</v>
      </c>
      <c r="D430" s="18">
        <v>461300.93</v>
      </c>
      <c r="E430" s="18">
        <v>161594.57</v>
      </c>
    </row>
    <row r="431" spans="1:5" x14ac:dyDescent="0.25">
      <c r="A431" s="21">
        <v>43100</v>
      </c>
      <c r="B431" s="16" t="s">
        <v>217</v>
      </c>
      <c r="C431" s="17" t="s">
        <v>218</v>
      </c>
      <c r="D431" s="16"/>
      <c r="E431" s="16"/>
    </row>
    <row r="432" spans="1:5" x14ac:dyDescent="0.25">
      <c r="A432" s="21">
        <v>43100</v>
      </c>
      <c r="B432" s="16" t="s">
        <v>221</v>
      </c>
      <c r="C432" s="17" t="s">
        <v>222</v>
      </c>
      <c r="D432" s="16"/>
      <c r="E432" s="16"/>
    </row>
    <row r="433" spans="1:5" x14ac:dyDescent="0.25">
      <c r="A433" s="21">
        <v>43100</v>
      </c>
      <c r="B433" s="16" t="s">
        <v>225</v>
      </c>
      <c r="C433" s="17" t="s">
        <v>226</v>
      </c>
      <c r="D433" s="18">
        <v>368943.85</v>
      </c>
      <c r="E433" s="18">
        <v>477736.54</v>
      </c>
    </row>
    <row r="434" spans="1:5" x14ac:dyDescent="0.25">
      <c r="A434" s="21">
        <v>43100</v>
      </c>
      <c r="B434" s="16" t="s">
        <v>229</v>
      </c>
      <c r="C434" s="17" t="s">
        <v>230</v>
      </c>
      <c r="D434" s="16"/>
      <c r="E434" s="16"/>
    </row>
    <row r="435" spans="1:5" x14ac:dyDescent="0.25">
      <c r="A435" s="21">
        <v>43100</v>
      </c>
      <c r="B435" s="16" t="s">
        <v>233</v>
      </c>
      <c r="C435" s="17" t="s">
        <v>234</v>
      </c>
      <c r="D435" s="16"/>
      <c r="E435" s="16"/>
    </row>
    <row r="436" spans="1:5" x14ac:dyDescent="0.25">
      <c r="A436" s="21">
        <v>43100</v>
      </c>
      <c r="B436" s="16" t="s">
        <v>237</v>
      </c>
      <c r="C436" s="17" t="s">
        <v>238</v>
      </c>
      <c r="D436" s="16"/>
      <c r="E436" s="16"/>
    </row>
    <row r="437" spans="1:5" x14ac:dyDescent="0.25">
      <c r="A437" s="21">
        <v>43100</v>
      </c>
      <c r="B437" s="16"/>
      <c r="C437" s="17" t="s">
        <v>241</v>
      </c>
      <c r="D437" s="16"/>
      <c r="E437" s="16"/>
    </row>
    <row r="438" spans="1:5" x14ac:dyDescent="0.25">
      <c r="A438" s="21">
        <v>43100</v>
      </c>
      <c r="B438" s="16"/>
      <c r="C438" s="17" t="s">
        <v>244</v>
      </c>
      <c r="D438" s="16"/>
      <c r="E438" s="16"/>
    </row>
    <row r="439" spans="1:5" x14ac:dyDescent="0.25">
      <c r="A439" s="21">
        <v>43100</v>
      </c>
      <c r="B439" s="16"/>
      <c r="C439" s="17" t="s">
        <v>247</v>
      </c>
      <c r="D439" s="16"/>
      <c r="E439" s="16"/>
    </row>
    <row r="440" spans="1:5" x14ac:dyDescent="0.25">
      <c r="A440" s="21">
        <v>43100</v>
      </c>
      <c r="B440" s="16"/>
      <c r="C440" s="17" t="s">
        <v>250</v>
      </c>
      <c r="D440" s="16"/>
      <c r="E440" s="16"/>
    </row>
    <row r="441" spans="1:5" x14ac:dyDescent="0.25">
      <c r="A441" s="21">
        <v>43100</v>
      </c>
      <c r="B441" s="14" t="s">
        <v>253</v>
      </c>
      <c r="C441" s="17" t="s">
        <v>254</v>
      </c>
      <c r="D441" s="18">
        <v>47487064.380000003</v>
      </c>
      <c r="E441" s="18">
        <v>31955210.199999999</v>
      </c>
    </row>
    <row r="442" spans="1:5" x14ac:dyDescent="0.25">
      <c r="A442" s="21">
        <v>43100</v>
      </c>
      <c r="B442" s="16" t="s">
        <v>125</v>
      </c>
      <c r="C442" s="14" t="s">
        <v>126</v>
      </c>
      <c r="D442" s="16"/>
      <c r="E442" s="16"/>
    </row>
    <row r="443" spans="1:5" x14ac:dyDescent="0.25">
      <c r="A443" s="21">
        <v>43100</v>
      </c>
      <c r="B443" s="16" t="s">
        <v>128</v>
      </c>
      <c r="C443" s="14" t="s">
        <v>129</v>
      </c>
      <c r="D443" s="16"/>
      <c r="E443" s="16"/>
    </row>
    <row r="444" spans="1:5" x14ac:dyDescent="0.25">
      <c r="A444" s="21">
        <v>43100</v>
      </c>
      <c r="B444" s="16" t="s">
        <v>131</v>
      </c>
      <c r="C444" s="14" t="s">
        <v>132</v>
      </c>
      <c r="D444" s="16"/>
      <c r="E444" s="16"/>
    </row>
    <row r="445" spans="1:5" x14ac:dyDescent="0.25">
      <c r="A445" s="21">
        <v>43100</v>
      </c>
      <c r="B445" s="16" t="s">
        <v>134</v>
      </c>
      <c r="C445" s="14" t="s">
        <v>135</v>
      </c>
      <c r="D445" s="16"/>
      <c r="E445" s="16"/>
    </row>
    <row r="446" spans="1:5" x14ac:dyDescent="0.25">
      <c r="A446" s="21">
        <v>43100</v>
      </c>
      <c r="B446" s="16" t="s">
        <v>137</v>
      </c>
      <c r="C446" s="14" t="s">
        <v>138</v>
      </c>
      <c r="D446" s="16"/>
      <c r="E446" s="16"/>
    </row>
    <row r="447" spans="1:5" x14ac:dyDescent="0.25">
      <c r="A447" s="21">
        <v>43100</v>
      </c>
      <c r="B447" s="16" t="s">
        <v>140</v>
      </c>
      <c r="C447" s="14" t="s">
        <v>141</v>
      </c>
      <c r="D447" s="16"/>
      <c r="E447" s="16"/>
    </row>
    <row r="448" spans="1:5" x14ac:dyDescent="0.25">
      <c r="A448" s="21">
        <v>43100</v>
      </c>
      <c r="B448" s="16" t="s">
        <v>143</v>
      </c>
      <c r="C448" s="14" t="s">
        <v>144</v>
      </c>
      <c r="D448" s="16"/>
      <c r="E448" s="16"/>
    </row>
    <row r="449" spans="1:5" x14ac:dyDescent="0.25">
      <c r="A449" s="21">
        <v>43100</v>
      </c>
      <c r="B449" s="16" t="s">
        <v>146</v>
      </c>
      <c r="C449" s="14" t="s">
        <v>147</v>
      </c>
      <c r="D449" s="18">
        <v>3293</v>
      </c>
      <c r="E449" s="18">
        <v>3288</v>
      </c>
    </row>
    <row r="450" spans="1:5" x14ac:dyDescent="0.25">
      <c r="A450" s="21">
        <v>43100</v>
      </c>
      <c r="B450" s="16" t="s">
        <v>149</v>
      </c>
      <c r="C450" s="14" t="s">
        <v>150</v>
      </c>
      <c r="D450" s="18">
        <v>419600</v>
      </c>
      <c r="E450" s="18">
        <v>288000</v>
      </c>
    </row>
    <row r="451" spans="1:5" x14ac:dyDescent="0.25">
      <c r="A451" s="21">
        <v>43100</v>
      </c>
      <c r="B451" s="16" t="s">
        <v>152</v>
      </c>
      <c r="C451" s="14" t="s">
        <v>153</v>
      </c>
      <c r="D451" s="16"/>
      <c r="E451" s="16"/>
    </row>
    <row r="452" spans="1:5" x14ac:dyDescent="0.25">
      <c r="A452" s="21">
        <v>43100</v>
      </c>
      <c r="B452" s="16" t="s">
        <v>155</v>
      </c>
      <c r="C452" s="14" t="s">
        <v>156</v>
      </c>
      <c r="D452" s="18">
        <v>2681905.38</v>
      </c>
      <c r="E452" s="18">
        <v>1857340.23</v>
      </c>
    </row>
    <row r="453" spans="1:5" x14ac:dyDescent="0.25">
      <c r="A453" s="21">
        <v>43100</v>
      </c>
      <c r="B453" s="16" t="s">
        <v>158</v>
      </c>
      <c r="C453" s="14" t="s">
        <v>159</v>
      </c>
      <c r="D453" s="18">
        <v>854775.04</v>
      </c>
      <c r="E453" s="18">
        <v>21094.23</v>
      </c>
    </row>
    <row r="454" spans="1:5" x14ac:dyDescent="0.25">
      <c r="A454" s="21">
        <v>43100</v>
      </c>
      <c r="B454" s="16" t="s">
        <v>161</v>
      </c>
      <c r="C454" s="14" t="s">
        <v>162</v>
      </c>
      <c r="D454" s="16"/>
      <c r="E454" s="16"/>
    </row>
    <row r="455" spans="1:5" x14ac:dyDescent="0.25">
      <c r="A455" s="21">
        <v>43100</v>
      </c>
      <c r="B455" s="16" t="s">
        <v>164</v>
      </c>
      <c r="C455" s="14" t="s">
        <v>165</v>
      </c>
      <c r="D455" s="18">
        <v>52517.95</v>
      </c>
      <c r="E455" s="18">
        <v>-9662.39</v>
      </c>
    </row>
    <row r="456" spans="1:5" x14ac:dyDescent="0.25">
      <c r="A456" s="21">
        <v>43100</v>
      </c>
      <c r="B456" s="16" t="s">
        <v>167</v>
      </c>
      <c r="C456" s="14" t="s">
        <v>168</v>
      </c>
      <c r="D456" s="16"/>
      <c r="E456" s="16"/>
    </row>
    <row r="457" spans="1:5" x14ac:dyDescent="0.25">
      <c r="A457" s="21">
        <v>43100</v>
      </c>
      <c r="B457" s="16" t="s">
        <v>170</v>
      </c>
      <c r="C457" s="14" t="s">
        <v>171</v>
      </c>
      <c r="D457" s="16"/>
      <c r="E457" s="16"/>
    </row>
    <row r="458" spans="1:5" x14ac:dyDescent="0.25">
      <c r="A458" s="21">
        <v>43100</v>
      </c>
      <c r="B458" s="16" t="s">
        <v>173</v>
      </c>
      <c r="C458" s="14" t="s">
        <v>174</v>
      </c>
      <c r="D458" s="16"/>
      <c r="E458" s="16"/>
    </row>
    <row r="459" spans="1:5" x14ac:dyDescent="0.25">
      <c r="A459" s="21">
        <v>43100</v>
      </c>
      <c r="B459" s="16" t="s">
        <v>176</v>
      </c>
      <c r="C459" s="14" t="s">
        <v>177</v>
      </c>
      <c r="D459" s="16"/>
      <c r="E459" s="16"/>
    </row>
    <row r="460" spans="1:5" x14ac:dyDescent="0.25">
      <c r="A460" s="21">
        <v>43100</v>
      </c>
      <c r="B460" s="16" t="s">
        <v>179</v>
      </c>
      <c r="C460" s="14" t="s">
        <v>180</v>
      </c>
      <c r="D460" s="16"/>
      <c r="E460" s="16"/>
    </row>
    <row r="461" spans="1:5" x14ac:dyDescent="0.25">
      <c r="A461" s="21">
        <v>43100</v>
      </c>
      <c r="B461" s="16" t="s">
        <v>182</v>
      </c>
      <c r="C461" s="14" t="s">
        <v>183</v>
      </c>
      <c r="D461" s="16"/>
      <c r="E461" s="16"/>
    </row>
    <row r="462" spans="1:5" x14ac:dyDescent="0.25">
      <c r="A462" s="21">
        <v>43100</v>
      </c>
      <c r="B462" s="16" t="s">
        <v>185</v>
      </c>
      <c r="C462" s="14" t="s">
        <v>186</v>
      </c>
      <c r="D462" s="16"/>
      <c r="E462" s="16"/>
    </row>
    <row r="463" spans="1:5" x14ac:dyDescent="0.25">
      <c r="A463" s="21">
        <v>43100</v>
      </c>
      <c r="B463" s="16" t="s">
        <v>188</v>
      </c>
      <c r="C463" s="14" t="s">
        <v>189</v>
      </c>
      <c r="D463" s="16"/>
      <c r="E463" s="16"/>
    </row>
    <row r="464" spans="1:5" x14ac:dyDescent="0.25">
      <c r="A464" s="21">
        <v>43100</v>
      </c>
      <c r="B464" s="16" t="s">
        <v>191</v>
      </c>
      <c r="C464" s="14" t="s">
        <v>192</v>
      </c>
      <c r="D464" s="16"/>
      <c r="E464" s="16"/>
    </row>
    <row r="465" spans="1:5" x14ac:dyDescent="0.25">
      <c r="A465" s="21">
        <v>43100</v>
      </c>
      <c r="B465" s="16" t="s">
        <v>195</v>
      </c>
      <c r="C465" s="14" t="s">
        <v>196</v>
      </c>
      <c r="D465" s="16"/>
      <c r="E465" s="16"/>
    </row>
    <row r="466" spans="1:5" x14ac:dyDescent="0.25">
      <c r="A466" s="21">
        <v>43100</v>
      </c>
      <c r="B466" s="16" t="s">
        <v>199</v>
      </c>
      <c r="C466" s="14" t="s">
        <v>200</v>
      </c>
      <c r="D466" s="16"/>
      <c r="E466" s="16"/>
    </row>
    <row r="467" spans="1:5" x14ac:dyDescent="0.25">
      <c r="A467" s="21">
        <v>43100</v>
      </c>
      <c r="B467" s="16" t="s">
        <v>203</v>
      </c>
      <c r="C467" s="14" t="s">
        <v>204</v>
      </c>
      <c r="D467" s="16"/>
      <c r="E467" s="16"/>
    </row>
    <row r="468" spans="1:5" x14ac:dyDescent="0.25">
      <c r="A468" s="21">
        <v>43100</v>
      </c>
      <c r="B468" s="16" t="s">
        <v>207</v>
      </c>
      <c r="C468" s="14" t="s">
        <v>208</v>
      </c>
      <c r="D468" s="16"/>
      <c r="E468" s="16"/>
    </row>
    <row r="469" spans="1:5" x14ac:dyDescent="0.25">
      <c r="A469" s="21">
        <v>43100</v>
      </c>
      <c r="B469" s="16" t="s">
        <v>211</v>
      </c>
      <c r="C469" s="14" t="s">
        <v>212</v>
      </c>
      <c r="D469" s="16"/>
      <c r="E469" s="16"/>
    </row>
    <row r="470" spans="1:5" x14ac:dyDescent="0.25">
      <c r="A470" s="21">
        <v>43100</v>
      </c>
      <c r="B470" s="16" t="s">
        <v>215</v>
      </c>
      <c r="C470" s="14" t="s">
        <v>216</v>
      </c>
      <c r="D470" s="16"/>
      <c r="E470" s="16"/>
    </row>
    <row r="471" spans="1:5" x14ac:dyDescent="0.25">
      <c r="A471" s="21">
        <v>43100</v>
      </c>
      <c r="B471" s="16" t="s">
        <v>219</v>
      </c>
      <c r="C471" s="14" t="s">
        <v>220</v>
      </c>
      <c r="D471" s="18">
        <v>4012091.37</v>
      </c>
      <c r="E471" s="18">
        <v>2160060.0699999998</v>
      </c>
    </row>
    <row r="472" spans="1:5" x14ac:dyDescent="0.25">
      <c r="A472" s="21">
        <v>43100</v>
      </c>
      <c r="B472" s="16" t="s">
        <v>223</v>
      </c>
      <c r="C472" s="14" t="s">
        <v>224</v>
      </c>
      <c r="D472" s="16"/>
      <c r="E472" s="16"/>
    </row>
    <row r="473" spans="1:5" x14ac:dyDescent="0.25">
      <c r="A473" s="21">
        <v>43100</v>
      </c>
      <c r="B473" s="16" t="s">
        <v>227</v>
      </c>
      <c r="C473" s="14" t="s">
        <v>228</v>
      </c>
      <c r="D473" s="16"/>
      <c r="E473" s="16"/>
    </row>
    <row r="474" spans="1:5" x14ac:dyDescent="0.25">
      <c r="A474" s="21">
        <v>43100</v>
      </c>
      <c r="B474" s="16" t="s">
        <v>231</v>
      </c>
      <c r="C474" s="14" t="s">
        <v>232</v>
      </c>
      <c r="D474" s="16"/>
      <c r="E474" s="16"/>
    </row>
    <row r="475" spans="1:5" x14ac:dyDescent="0.25">
      <c r="A475" s="21">
        <v>43100</v>
      </c>
      <c r="B475" s="16" t="s">
        <v>235</v>
      </c>
      <c r="C475" s="14" t="s">
        <v>236</v>
      </c>
      <c r="D475" s="16"/>
      <c r="E475" s="16"/>
    </row>
    <row r="476" spans="1:5" x14ac:dyDescent="0.25">
      <c r="A476" s="21">
        <v>43100</v>
      </c>
      <c r="B476" s="16" t="s">
        <v>239</v>
      </c>
      <c r="C476" s="14" t="s">
        <v>240</v>
      </c>
      <c r="D476" s="16"/>
      <c r="E476" s="16"/>
    </row>
    <row r="477" spans="1:5" x14ac:dyDescent="0.25">
      <c r="A477" s="21">
        <v>43100</v>
      </c>
      <c r="B477" s="16" t="s">
        <v>242</v>
      </c>
      <c r="C477" s="14" t="s">
        <v>243</v>
      </c>
      <c r="D477" s="16"/>
      <c r="E477" s="16"/>
    </row>
    <row r="478" spans="1:5" x14ac:dyDescent="0.25">
      <c r="A478" s="21">
        <v>43100</v>
      </c>
      <c r="B478" s="16" t="s">
        <v>245</v>
      </c>
      <c r="C478" s="14" t="s">
        <v>246</v>
      </c>
      <c r="D478" s="18">
        <v>43474973.009999998</v>
      </c>
      <c r="E478" s="18">
        <v>29795150.129999999</v>
      </c>
    </row>
    <row r="479" spans="1:5" x14ac:dyDescent="0.25">
      <c r="A479" s="21">
        <v>43100</v>
      </c>
      <c r="B479" s="16" t="s">
        <v>248</v>
      </c>
      <c r="C479" s="14" t="s">
        <v>249</v>
      </c>
      <c r="D479" s="16"/>
      <c r="E479" s="16"/>
    </row>
    <row r="480" spans="1:5" x14ac:dyDescent="0.25">
      <c r="A480" s="21">
        <v>43100</v>
      </c>
      <c r="B480" s="16" t="s">
        <v>251</v>
      </c>
      <c r="C480" s="14" t="s">
        <v>252</v>
      </c>
      <c r="D480" s="18">
        <v>43474973.009999998</v>
      </c>
      <c r="E480" s="18">
        <v>29795150.129999999</v>
      </c>
    </row>
    <row r="481" spans="1:5" x14ac:dyDescent="0.25">
      <c r="A481" s="21">
        <v>43100</v>
      </c>
      <c r="B481" s="14" t="s">
        <v>255</v>
      </c>
      <c r="C481" s="14" t="s">
        <v>256</v>
      </c>
      <c r="D481" s="18">
        <v>47487064.380000003</v>
      </c>
      <c r="E481" s="18">
        <v>31955210.199999999</v>
      </c>
    </row>
    <row r="482" spans="1:5" x14ac:dyDescent="0.25">
      <c r="A482" s="21">
        <v>43281</v>
      </c>
      <c r="B482" s="16" t="s">
        <v>124</v>
      </c>
      <c r="C482" s="17">
        <v>1</v>
      </c>
      <c r="D482" s="16"/>
      <c r="E482" s="16"/>
    </row>
    <row r="483" spans="1:5" x14ac:dyDescent="0.25">
      <c r="A483" s="21">
        <v>43281</v>
      </c>
      <c r="B483" s="16" t="s">
        <v>127</v>
      </c>
      <c r="C483" s="17">
        <v>2</v>
      </c>
      <c r="D483" s="18">
        <v>283595.59000000003</v>
      </c>
      <c r="E483" s="18">
        <v>845226.35</v>
      </c>
    </row>
    <row r="484" spans="1:5" x14ac:dyDescent="0.25">
      <c r="A484" s="21">
        <v>43281</v>
      </c>
      <c r="B484" s="16" t="s">
        <v>130</v>
      </c>
      <c r="C484" s="17">
        <v>3</v>
      </c>
      <c r="D484" s="16"/>
      <c r="E484" s="16"/>
    </row>
    <row r="485" spans="1:5" x14ac:dyDescent="0.25">
      <c r="A485" s="21">
        <v>43281</v>
      </c>
      <c r="B485" s="16" t="s">
        <v>133</v>
      </c>
      <c r="C485" s="17">
        <v>4</v>
      </c>
      <c r="D485" s="16"/>
      <c r="E485" s="16"/>
    </row>
    <row r="486" spans="1:5" x14ac:dyDescent="0.25">
      <c r="A486" s="21">
        <v>43281</v>
      </c>
      <c r="B486" s="16" t="s">
        <v>136</v>
      </c>
      <c r="C486" s="17">
        <v>5</v>
      </c>
      <c r="D486" s="16"/>
      <c r="E486" s="16"/>
    </row>
    <row r="487" spans="1:5" x14ac:dyDescent="0.25">
      <c r="A487" s="21">
        <v>43281</v>
      </c>
      <c r="B487" s="16" t="s">
        <v>139</v>
      </c>
      <c r="C487" s="17">
        <v>6</v>
      </c>
      <c r="D487" s="16"/>
      <c r="E487" s="16"/>
    </row>
    <row r="488" spans="1:5" x14ac:dyDescent="0.25">
      <c r="A488" s="21">
        <v>43281</v>
      </c>
      <c r="B488" s="16" t="s">
        <v>142</v>
      </c>
      <c r="C488" s="17">
        <v>7</v>
      </c>
      <c r="D488" s="16"/>
      <c r="E488" s="16"/>
    </row>
    <row r="489" spans="1:5" x14ac:dyDescent="0.25">
      <c r="A489" s="21">
        <v>43281</v>
      </c>
      <c r="B489" s="16" t="s">
        <v>145</v>
      </c>
      <c r="C489" s="17">
        <v>8</v>
      </c>
      <c r="D489" s="16"/>
      <c r="E489" s="16"/>
    </row>
    <row r="490" spans="1:5" x14ac:dyDescent="0.25">
      <c r="A490" s="21">
        <v>43281</v>
      </c>
      <c r="B490" s="16" t="s">
        <v>148</v>
      </c>
      <c r="C490" s="17">
        <v>9</v>
      </c>
      <c r="D490" s="16"/>
      <c r="E490" s="16"/>
    </row>
    <row r="491" spans="1:5" x14ac:dyDescent="0.25">
      <c r="A491" s="21">
        <v>43281</v>
      </c>
      <c r="B491" s="16" t="s">
        <v>151</v>
      </c>
      <c r="C491" s="17">
        <v>10</v>
      </c>
      <c r="D491" s="16"/>
      <c r="E491" s="16"/>
    </row>
    <row r="492" spans="1:5" x14ac:dyDescent="0.25">
      <c r="A492" s="21">
        <v>43281</v>
      </c>
      <c r="B492" s="16" t="s">
        <v>154</v>
      </c>
      <c r="C492" s="17">
        <v>11</v>
      </c>
      <c r="D492" s="16"/>
      <c r="E492" s="16"/>
    </row>
    <row r="493" spans="1:5" x14ac:dyDescent="0.25">
      <c r="A493" s="21">
        <v>43281</v>
      </c>
      <c r="B493" s="16" t="s">
        <v>157</v>
      </c>
      <c r="C493" s="17">
        <v>12</v>
      </c>
      <c r="D493" s="16"/>
      <c r="E493" s="16"/>
    </row>
    <row r="494" spans="1:5" x14ac:dyDescent="0.25">
      <c r="A494" s="21">
        <v>43281</v>
      </c>
      <c r="B494" s="16" t="s">
        <v>160</v>
      </c>
      <c r="C494" s="17">
        <v>13</v>
      </c>
      <c r="D494" s="16"/>
      <c r="E494" s="16"/>
    </row>
    <row r="495" spans="1:5" x14ac:dyDescent="0.25">
      <c r="A495" s="21">
        <v>43281</v>
      </c>
      <c r="B495" s="16" t="s">
        <v>163</v>
      </c>
      <c r="C495" s="17">
        <v>14</v>
      </c>
      <c r="D495" s="16"/>
      <c r="E495" s="16"/>
    </row>
    <row r="496" spans="1:5" x14ac:dyDescent="0.25">
      <c r="A496" s="21">
        <v>43281</v>
      </c>
      <c r="B496" s="16" t="s">
        <v>166</v>
      </c>
      <c r="C496" s="17">
        <v>15</v>
      </c>
      <c r="D496" s="16"/>
      <c r="E496" s="16"/>
    </row>
    <row r="497" spans="1:5" x14ac:dyDescent="0.25">
      <c r="A497" s="21">
        <v>43281</v>
      </c>
      <c r="B497" s="16" t="s">
        <v>169</v>
      </c>
      <c r="C497" s="17">
        <v>16</v>
      </c>
      <c r="D497" s="16"/>
      <c r="E497" s="16"/>
    </row>
    <row r="498" spans="1:5" x14ac:dyDescent="0.25">
      <c r="A498" s="21">
        <v>43281</v>
      </c>
      <c r="B498" s="16" t="s">
        <v>172</v>
      </c>
      <c r="C498" s="17">
        <v>17</v>
      </c>
      <c r="D498" s="18">
        <v>189125.43</v>
      </c>
      <c r="E498" s="18">
        <v>234131.13</v>
      </c>
    </row>
    <row r="499" spans="1:5" x14ac:dyDescent="0.25">
      <c r="A499" s="21">
        <v>43281</v>
      </c>
      <c r="B499" s="16" t="s">
        <v>175</v>
      </c>
      <c r="C499" s="17">
        <v>18</v>
      </c>
      <c r="D499" s="18">
        <v>6346686.25</v>
      </c>
      <c r="E499" s="18">
        <v>8494725.4199999999</v>
      </c>
    </row>
    <row r="500" spans="1:5" x14ac:dyDescent="0.25">
      <c r="A500" s="21">
        <v>43281</v>
      </c>
      <c r="B500" s="16" t="s">
        <v>178</v>
      </c>
      <c r="C500" s="17">
        <v>19</v>
      </c>
      <c r="D500" s="16"/>
      <c r="E500" s="16"/>
    </row>
    <row r="501" spans="1:5" x14ac:dyDescent="0.25">
      <c r="A501" s="21">
        <v>43281</v>
      </c>
      <c r="B501" s="16" t="s">
        <v>181</v>
      </c>
      <c r="C501" s="17">
        <v>20</v>
      </c>
      <c r="D501" s="16"/>
      <c r="E501" s="16"/>
    </row>
    <row r="502" spans="1:5" x14ac:dyDescent="0.25">
      <c r="A502" s="21">
        <v>43281</v>
      </c>
      <c r="B502" s="16" t="s">
        <v>184</v>
      </c>
      <c r="C502" s="17">
        <v>21</v>
      </c>
      <c r="D502" s="18">
        <v>43726058</v>
      </c>
      <c r="E502" s="18">
        <v>37082736.700000003</v>
      </c>
    </row>
    <row r="503" spans="1:5" x14ac:dyDescent="0.25">
      <c r="A503" s="21">
        <v>43281</v>
      </c>
      <c r="B503" s="16" t="s">
        <v>187</v>
      </c>
      <c r="C503" s="17">
        <v>22</v>
      </c>
      <c r="D503" s="16"/>
      <c r="E503" s="16"/>
    </row>
    <row r="504" spans="1:5" x14ac:dyDescent="0.25">
      <c r="A504" s="21">
        <v>43281</v>
      </c>
      <c r="B504" s="16" t="s">
        <v>190</v>
      </c>
      <c r="C504" s="17">
        <v>23</v>
      </c>
      <c r="D504" s="16"/>
      <c r="E504" s="16"/>
    </row>
    <row r="505" spans="1:5" x14ac:dyDescent="0.25">
      <c r="A505" s="21">
        <v>43281</v>
      </c>
      <c r="B505" s="16" t="s">
        <v>193</v>
      </c>
      <c r="C505" s="17" t="s">
        <v>194</v>
      </c>
      <c r="D505" s="16"/>
      <c r="E505" s="16"/>
    </row>
    <row r="506" spans="1:5" x14ac:dyDescent="0.25">
      <c r="A506" s="21">
        <v>43281</v>
      </c>
      <c r="B506" s="16" t="s">
        <v>197</v>
      </c>
      <c r="C506" s="17" t="s">
        <v>198</v>
      </c>
      <c r="D506" s="16"/>
      <c r="E506" s="16"/>
    </row>
    <row r="507" spans="1:5" x14ac:dyDescent="0.25">
      <c r="A507" s="21">
        <v>43281</v>
      </c>
      <c r="B507" s="16" t="s">
        <v>201</v>
      </c>
      <c r="C507" s="17" t="s">
        <v>202</v>
      </c>
      <c r="D507" s="16"/>
      <c r="E507" s="16"/>
    </row>
    <row r="508" spans="1:5" x14ac:dyDescent="0.25">
      <c r="A508" s="21">
        <v>43281</v>
      </c>
      <c r="B508" s="16" t="s">
        <v>205</v>
      </c>
      <c r="C508" s="17" t="s">
        <v>206</v>
      </c>
      <c r="D508" s="16"/>
      <c r="E508" s="16"/>
    </row>
    <row r="509" spans="1:5" x14ac:dyDescent="0.25">
      <c r="A509" s="21">
        <v>43281</v>
      </c>
      <c r="B509" s="16" t="s">
        <v>209</v>
      </c>
      <c r="C509" s="17" t="s">
        <v>210</v>
      </c>
      <c r="D509" s="16"/>
      <c r="E509" s="16"/>
    </row>
    <row r="510" spans="1:5" x14ac:dyDescent="0.25">
      <c r="A510" s="21">
        <v>43281</v>
      </c>
      <c r="B510" s="16" t="s">
        <v>213</v>
      </c>
      <c r="C510" s="17" t="s">
        <v>214</v>
      </c>
      <c r="D510" s="18">
        <v>421015.91</v>
      </c>
      <c r="E510" s="18">
        <v>461300.93</v>
      </c>
    </row>
    <row r="511" spans="1:5" x14ac:dyDescent="0.25">
      <c r="A511" s="21">
        <v>43281</v>
      </c>
      <c r="B511" s="16" t="s">
        <v>217</v>
      </c>
      <c r="C511" s="17" t="s">
        <v>218</v>
      </c>
      <c r="D511" s="16"/>
      <c r="E511" s="16"/>
    </row>
    <row r="512" spans="1:5" x14ac:dyDescent="0.25">
      <c r="A512" s="21">
        <v>43281</v>
      </c>
      <c r="B512" s="16" t="s">
        <v>221</v>
      </c>
      <c r="C512" s="17" t="s">
        <v>222</v>
      </c>
      <c r="D512" s="16"/>
      <c r="E512" s="16"/>
    </row>
    <row r="513" spans="1:5" x14ac:dyDescent="0.25">
      <c r="A513" s="21">
        <v>43281</v>
      </c>
      <c r="B513" s="16" t="s">
        <v>225</v>
      </c>
      <c r="C513" s="17" t="s">
        <v>226</v>
      </c>
      <c r="D513" s="18">
        <v>314547.5</v>
      </c>
      <c r="E513" s="18">
        <v>368943.85</v>
      </c>
    </row>
    <row r="514" spans="1:5" x14ac:dyDescent="0.25">
      <c r="A514" s="21">
        <v>43281</v>
      </c>
      <c r="B514" s="16" t="s">
        <v>229</v>
      </c>
      <c r="C514" s="17" t="s">
        <v>230</v>
      </c>
      <c r="D514" s="16"/>
      <c r="E514" s="16"/>
    </row>
    <row r="515" spans="1:5" x14ac:dyDescent="0.25">
      <c r="A515" s="21">
        <v>43281</v>
      </c>
      <c r="B515" s="16" t="s">
        <v>233</v>
      </c>
      <c r="C515" s="17" t="s">
        <v>234</v>
      </c>
      <c r="D515" s="16"/>
      <c r="E515" s="16"/>
    </row>
    <row r="516" spans="1:5" x14ac:dyDescent="0.25">
      <c r="A516" s="21">
        <v>43281</v>
      </c>
      <c r="B516" s="16" t="s">
        <v>237</v>
      </c>
      <c r="C516" s="17" t="s">
        <v>238</v>
      </c>
      <c r="D516" s="16"/>
      <c r="E516" s="16"/>
    </row>
    <row r="517" spans="1:5" x14ac:dyDescent="0.25">
      <c r="A517" s="21">
        <v>43281</v>
      </c>
      <c r="B517" s="16"/>
      <c r="C517" s="17" t="s">
        <v>241</v>
      </c>
      <c r="D517" s="16"/>
      <c r="E517" s="16"/>
    </row>
    <row r="518" spans="1:5" x14ac:dyDescent="0.25">
      <c r="A518" s="21">
        <v>43281</v>
      </c>
      <c r="B518" s="16"/>
      <c r="C518" s="17" t="s">
        <v>244</v>
      </c>
      <c r="D518" s="16"/>
      <c r="E518" s="16"/>
    </row>
    <row r="519" spans="1:5" x14ac:dyDescent="0.25">
      <c r="A519" s="21">
        <v>43281</v>
      </c>
      <c r="B519" s="16"/>
      <c r="C519" s="17" t="s">
        <v>247</v>
      </c>
      <c r="D519" s="16"/>
      <c r="E519" s="16"/>
    </row>
    <row r="520" spans="1:5" x14ac:dyDescent="0.25">
      <c r="A520" s="21">
        <v>43281</v>
      </c>
      <c r="B520" s="16"/>
      <c r="C520" s="17" t="s">
        <v>250</v>
      </c>
      <c r="D520" s="16"/>
      <c r="E520" s="16"/>
    </row>
    <row r="521" spans="1:5" x14ac:dyDescent="0.25">
      <c r="A521" s="21">
        <v>43281</v>
      </c>
      <c r="B521" s="14" t="s">
        <v>253</v>
      </c>
      <c r="C521" s="17" t="s">
        <v>254</v>
      </c>
      <c r="D521" s="18">
        <v>51281028.68</v>
      </c>
      <c r="E521" s="18">
        <v>47487064.380000003</v>
      </c>
    </row>
    <row r="522" spans="1:5" x14ac:dyDescent="0.25">
      <c r="A522" s="21">
        <v>43281</v>
      </c>
      <c r="B522" s="16" t="s">
        <v>125</v>
      </c>
      <c r="C522" s="14" t="s">
        <v>126</v>
      </c>
      <c r="D522" s="16"/>
      <c r="E522" s="16"/>
    </row>
    <row r="523" spans="1:5" x14ac:dyDescent="0.25">
      <c r="A523" s="21">
        <v>43281</v>
      </c>
      <c r="B523" s="16" t="s">
        <v>128</v>
      </c>
      <c r="C523" s="14" t="s">
        <v>129</v>
      </c>
      <c r="D523" s="16"/>
      <c r="E523" s="16"/>
    </row>
    <row r="524" spans="1:5" x14ac:dyDescent="0.25">
      <c r="A524" s="21">
        <v>43281</v>
      </c>
      <c r="B524" s="16" t="s">
        <v>131</v>
      </c>
      <c r="C524" s="14" t="s">
        <v>132</v>
      </c>
      <c r="D524" s="16"/>
      <c r="E524" s="16"/>
    </row>
    <row r="525" spans="1:5" x14ac:dyDescent="0.25">
      <c r="A525" s="21">
        <v>43281</v>
      </c>
      <c r="B525" s="16" t="s">
        <v>134</v>
      </c>
      <c r="C525" s="14" t="s">
        <v>135</v>
      </c>
      <c r="D525" s="16"/>
      <c r="E525" s="16"/>
    </row>
    <row r="526" spans="1:5" x14ac:dyDescent="0.25">
      <c r="A526" s="21">
        <v>43281</v>
      </c>
      <c r="B526" s="16" t="s">
        <v>137</v>
      </c>
      <c r="C526" s="14" t="s">
        <v>138</v>
      </c>
      <c r="D526" s="16"/>
      <c r="E526" s="16"/>
    </row>
    <row r="527" spans="1:5" x14ac:dyDescent="0.25">
      <c r="A527" s="21">
        <v>43281</v>
      </c>
      <c r="B527" s="16" t="s">
        <v>140</v>
      </c>
      <c r="C527" s="14" t="s">
        <v>141</v>
      </c>
      <c r="D527" s="16"/>
      <c r="E527" s="16"/>
    </row>
    <row r="528" spans="1:5" x14ac:dyDescent="0.25">
      <c r="A528" s="21">
        <v>43281</v>
      </c>
      <c r="B528" s="16" t="s">
        <v>143</v>
      </c>
      <c r="C528" s="14" t="s">
        <v>144</v>
      </c>
      <c r="D528" s="16"/>
      <c r="E528" s="16"/>
    </row>
    <row r="529" spans="1:5" x14ac:dyDescent="0.25">
      <c r="A529" s="21">
        <v>43281</v>
      </c>
      <c r="B529" s="16" t="s">
        <v>146</v>
      </c>
      <c r="C529" s="14" t="s">
        <v>147</v>
      </c>
      <c r="D529" s="18">
        <v>11255</v>
      </c>
      <c r="E529" s="18">
        <v>3293</v>
      </c>
    </row>
    <row r="530" spans="1:5" x14ac:dyDescent="0.25">
      <c r="A530" s="21">
        <v>43281</v>
      </c>
      <c r="B530" s="16" t="s">
        <v>149</v>
      </c>
      <c r="C530" s="14" t="s">
        <v>150</v>
      </c>
      <c r="D530" s="18">
        <v>382000</v>
      </c>
      <c r="E530" s="18">
        <v>419600</v>
      </c>
    </row>
    <row r="531" spans="1:5" x14ac:dyDescent="0.25">
      <c r="A531" s="21">
        <v>43281</v>
      </c>
      <c r="B531" s="16" t="s">
        <v>152</v>
      </c>
      <c r="C531" s="14" t="s">
        <v>153</v>
      </c>
      <c r="D531" s="16"/>
      <c r="E531" s="16"/>
    </row>
    <row r="532" spans="1:5" x14ac:dyDescent="0.25">
      <c r="A532" s="21">
        <v>43281</v>
      </c>
      <c r="B532" s="16" t="s">
        <v>155</v>
      </c>
      <c r="C532" s="14" t="s">
        <v>156</v>
      </c>
      <c r="D532" s="18">
        <v>1119161.81</v>
      </c>
      <c r="E532" s="18">
        <v>2681905.38</v>
      </c>
    </row>
    <row r="533" spans="1:5" x14ac:dyDescent="0.25">
      <c r="A533" s="21">
        <v>43281</v>
      </c>
      <c r="B533" s="16" t="s">
        <v>158</v>
      </c>
      <c r="C533" s="14" t="s">
        <v>159</v>
      </c>
      <c r="D533" s="18">
        <v>78855.58</v>
      </c>
      <c r="E533" s="18">
        <v>854775.04</v>
      </c>
    </row>
    <row r="534" spans="1:5" x14ac:dyDescent="0.25">
      <c r="A534" s="21">
        <v>43281</v>
      </c>
      <c r="B534" s="16" t="s">
        <v>161</v>
      </c>
      <c r="C534" s="14" t="s">
        <v>162</v>
      </c>
      <c r="D534" s="16"/>
      <c r="E534" s="16"/>
    </row>
    <row r="535" spans="1:5" x14ac:dyDescent="0.25">
      <c r="A535" s="21">
        <v>43281</v>
      </c>
      <c r="B535" s="16" t="s">
        <v>164</v>
      </c>
      <c r="C535" s="14" t="s">
        <v>165</v>
      </c>
      <c r="D535" s="18">
        <v>372127.2</v>
      </c>
      <c r="E535" s="18">
        <v>52517.95</v>
      </c>
    </row>
    <row r="536" spans="1:5" x14ac:dyDescent="0.25">
      <c r="A536" s="21">
        <v>43281</v>
      </c>
      <c r="B536" s="16" t="s">
        <v>167</v>
      </c>
      <c r="C536" s="14" t="s">
        <v>168</v>
      </c>
      <c r="D536" s="16"/>
      <c r="E536" s="16"/>
    </row>
    <row r="537" spans="1:5" x14ac:dyDescent="0.25">
      <c r="A537" s="21">
        <v>43281</v>
      </c>
      <c r="B537" s="16" t="s">
        <v>170</v>
      </c>
      <c r="C537" s="14" t="s">
        <v>171</v>
      </c>
      <c r="D537" s="16"/>
      <c r="E537" s="16"/>
    </row>
    <row r="538" spans="1:5" x14ac:dyDescent="0.25">
      <c r="A538" s="21">
        <v>43281</v>
      </c>
      <c r="B538" s="16" t="s">
        <v>173</v>
      </c>
      <c r="C538" s="14" t="s">
        <v>174</v>
      </c>
      <c r="D538" s="16"/>
      <c r="E538" s="16"/>
    </row>
    <row r="539" spans="1:5" x14ac:dyDescent="0.25">
      <c r="A539" s="21">
        <v>43281</v>
      </c>
      <c r="B539" s="16" t="s">
        <v>176</v>
      </c>
      <c r="C539" s="14" t="s">
        <v>177</v>
      </c>
      <c r="D539" s="16"/>
      <c r="E539" s="16"/>
    </row>
    <row r="540" spans="1:5" x14ac:dyDescent="0.25">
      <c r="A540" s="21">
        <v>43281</v>
      </c>
      <c r="B540" s="16" t="s">
        <v>179</v>
      </c>
      <c r="C540" s="14" t="s">
        <v>180</v>
      </c>
      <c r="D540" s="16"/>
      <c r="E540" s="16"/>
    </row>
    <row r="541" spans="1:5" x14ac:dyDescent="0.25">
      <c r="A541" s="21">
        <v>43281</v>
      </c>
      <c r="B541" s="16" t="s">
        <v>182</v>
      </c>
      <c r="C541" s="14" t="s">
        <v>183</v>
      </c>
      <c r="D541" s="16"/>
      <c r="E541" s="16"/>
    </row>
    <row r="542" spans="1:5" x14ac:dyDescent="0.25">
      <c r="A542" s="21">
        <v>43281</v>
      </c>
      <c r="B542" s="16" t="s">
        <v>185</v>
      </c>
      <c r="C542" s="14" t="s">
        <v>186</v>
      </c>
      <c r="D542" s="16"/>
      <c r="E542" s="16"/>
    </row>
    <row r="543" spans="1:5" x14ac:dyDescent="0.25">
      <c r="A543" s="21">
        <v>43281</v>
      </c>
      <c r="B543" s="16" t="s">
        <v>188</v>
      </c>
      <c r="C543" s="14" t="s">
        <v>189</v>
      </c>
      <c r="D543" s="16"/>
      <c r="E543" s="16"/>
    </row>
    <row r="544" spans="1:5" x14ac:dyDescent="0.25">
      <c r="A544" s="21">
        <v>43281</v>
      </c>
      <c r="B544" s="16" t="s">
        <v>191</v>
      </c>
      <c r="C544" s="14" t="s">
        <v>192</v>
      </c>
      <c r="D544" s="16"/>
      <c r="E544" s="16"/>
    </row>
    <row r="545" spans="1:5" x14ac:dyDescent="0.25">
      <c r="A545" s="21">
        <v>43281</v>
      </c>
      <c r="B545" s="16" t="s">
        <v>195</v>
      </c>
      <c r="C545" s="14" t="s">
        <v>196</v>
      </c>
      <c r="D545" s="16"/>
      <c r="E545" s="16"/>
    </row>
    <row r="546" spans="1:5" x14ac:dyDescent="0.25">
      <c r="A546" s="21">
        <v>43281</v>
      </c>
      <c r="B546" s="16" t="s">
        <v>199</v>
      </c>
      <c r="C546" s="14" t="s">
        <v>200</v>
      </c>
      <c r="D546" s="16"/>
      <c r="E546" s="16"/>
    </row>
    <row r="547" spans="1:5" x14ac:dyDescent="0.25">
      <c r="A547" s="21">
        <v>43281</v>
      </c>
      <c r="B547" s="16" t="s">
        <v>203</v>
      </c>
      <c r="C547" s="14" t="s">
        <v>204</v>
      </c>
      <c r="D547" s="16"/>
      <c r="E547" s="16"/>
    </row>
    <row r="548" spans="1:5" x14ac:dyDescent="0.25">
      <c r="A548" s="21">
        <v>43281</v>
      </c>
      <c r="B548" s="16" t="s">
        <v>207</v>
      </c>
      <c r="C548" s="14" t="s">
        <v>208</v>
      </c>
      <c r="D548" s="16"/>
      <c r="E548" s="16"/>
    </row>
    <row r="549" spans="1:5" x14ac:dyDescent="0.25">
      <c r="A549" s="21">
        <v>43281</v>
      </c>
      <c r="B549" s="16" t="s">
        <v>211</v>
      </c>
      <c r="C549" s="14" t="s">
        <v>212</v>
      </c>
      <c r="D549" s="16"/>
      <c r="E549" s="16"/>
    </row>
    <row r="550" spans="1:5" x14ac:dyDescent="0.25">
      <c r="A550" s="21">
        <v>43281</v>
      </c>
      <c r="B550" s="16" t="s">
        <v>215</v>
      </c>
      <c r="C550" s="14" t="s">
        <v>216</v>
      </c>
      <c r="D550" s="16"/>
      <c r="E550" s="16"/>
    </row>
    <row r="551" spans="1:5" x14ac:dyDescent="0.25">
      <c r="A551" s="21">
        <v>43281</v>
      </c>
      <c r="B551" s="16" t="s">
        <v>219</v>
      </c>
      <c r="C551" s="14" t="s">
        <v>220</v>
      </c>
      <c r="D551" s="18">
        <v>1963399.59</v>
      </c>
      <c r="E551" s="18">
        <v>4012091.37</v>
      </c>
    </row>
    <row r="552" spans="1:5" x14ac:dyDescent="0.25">
      <c r="A552" s="21">
        <v>43281</v>
      </c>
      <c r="B552" s="16" t="s">
        <v>223</v>
      </c>
      <c r="C552" s="14" t="s">
        <v>224</v>
      </c>
      <c r="D552" s="16"/>
      <c r="E552" s="16"/>
    </row>
    <row r="553" spans="1:5" x14ac:dyDescent="0.25">
      <c r="A553" s="21">
        <v>43281</v>
      </c>
      <c r="B553" s="16" t="s">
        <v>227</v>
      </c>
      <c r="C553" s="14" t="s">
        <v>228</v>
      </c>
      <c r="D553" s="16"/>
      <c r="E553" s="16"/>
    </row>
    <row r="554" spans="1:5" x14ac:dyDescent="0.25">
      <c r="A554" s="21">
        <v>43281</v>
      </c>
      <c r="B554" s="16" t="s">
        <v>231</v>
      </c>
      <c r="C554" s="14" t="s">
        <v>232</v>
      </c>
      <c r="D554" s="16"/>
      <c r="E554" s="16"/>
    </row>
    <row r="555" spans="1:5" x14ac:dyDescent="0.25">
      <c r="A555" s="21">
        <v>43281</v>
      </c>
      <c r="B555" s="16" t="s">
        <v>235</v>
      </c>
      <c r="C555" s="14" t="s">
        <v>236</v>
      </c>
      <c r="D555" s="16"/>
      <c r="E555" s="16"/>
    </row>
    <row r="556" spans="1:5" x14ac:dyDescent="0.25">
      <c r="A556" s="21">
        <v>43281</v>
      </c>
      <c r="B556" s="16" t="s">
        <v>239</v>
      </c>
      <c r="C556" s="14" t="s">
        <v>240</v>
      </c>
      <c r="D556" s="16"/>
      <c r="E556" s="16"/>
    </row>
    <row r="557" spans="1:5" x14ac:dyDescent="0.25">
      <c r="A557" s="21">
        <v>43281</v>
      </c>
      <c r="B557" s="16" t="s">
        <v>242</v>
      </c>
      <c r="C557" s="14" t="s">
        <v>243</v>
      </c>
      <c r="D557" s="16"/>
      <c r="E557" s="16"/>
    </row>
    <row r="558" spans="1:5" x14ac:dyDescent="0.25">
      <c r="A558" s="21">
        <v>43281</v>
      </c>
      <c r="B558" s="16" t="s">
        <v>245</v>
      </c>
      <c r="C558" s="14" t="s">
        <v>246</v>
      </c>
      <c r="D558" s="18">
        <v>49317629.090000004</v>
      </c>
      <c r="E558" s="18">
        <v>43474973.009999998</v>
      </c>
    </row>
    <row r="559" spans="1:5" x14ac:dyDescent="0.25">
      <c r="A559" s="21">
        <v>43281</v>
      </c>
      <c r="B559" s="16" t="s">
        <v>248</v>
      </c>
      <c r="C559" s="14" t="s">
        <v>249</v>
      </c>
      <c r="D559" s="16"/>
      <c r="E559" s="16"/>
    </row>
    <row r="560" spans="1:5" x14ac:dyDescent="0.25">
      <c r="A560" s="21">
        <v>43281</v>
      </c>
      <c r="B560" s="16" t="s">
        <v>251</v>
      </c>
      <c r="C560" s="14" t="s">
        <v>252</v>
      </c>
      <c r="D560" s="18">
        <v>49317629.090000004</v>
      </c>
      <c r="E560" s="18">
        <v>43474973.009999998</v>
      </c>
    </row>
    <row r="561" spans="1:5" x14ac:dyDescent="0.25">
      <c r="A561" s="21">
        <v>43281</v>
      </c>
      <c r="B561" s="14" t="s">
        <v>255</v>
      </c>
      <c r="C561" s="14" t="s">
        <v>256</v>
      </c>
      <c r="D561" s="18">
        <v>51281028.68</v>
      </c>
      <c r="E561" s="18">
        <v>47487064.380000003</v>
      </c>
    </row>
    <row r="562" spans="1:5" x14ac:dyDescent="0.25">
      <c r="A562" s="21">
        <v>43465</v>
      </c>
      <c r="B562" s="16" t="s">
        <v>124</v>
      </c>
      <c r="C562" s="17">
        <v>1</v>
      </c>
      <c r="D562" s="16"/>
      <c r="E562" s="16"/>
    </row>
    <row r="563" spans="1:5" x14ac:dyDescent="0.25">
      <c r="A563" s="21">
        <v>43465</v>
      </c>
      <c r="B563" s="16" t="s">
        <v>127</v>
      </c>
      <c r="C563" s="17">
        <v>2</v>
      </c>
      <c r="D563" s="18">
        <v>162496.35</v>
      </c>
      <c r="E563" s="18">
        <v>845226.35</v>
      </c>
    </row>
    <row r="564" spans="1:5" x14ac:dyDescent="0.25">
      <c r="A564" s="21">
        <v>43465</v>
      </c>
      <c r="B564" s="16" t="s">
        <v>130</v>
      </c>
      <c r="C564" s="17">
        <v>3</v>
      </c>
      <c r="D564" s="16"/>
      <c r="E564" s="16"/>
    </row>
    <row r="565" spans="1:5" x14ac:dyDescent="0.25">
      <c r="A565" s="21">
        <v>43465</v>
      </c>
      <c r="B565" s="16" t="s">
        <v>133</v>
      </c>
      <c r="C565" s="17">
        <v>4</v>
      </c>
      <c r="D565" s="16"/>
      <c r="E565" s="16"/>
    </row>
    <row r="566" spans="1:5" x14ac:dyDescent="0.25">
      <c r="A566" s="21">
        <v>43465</v>
      </c>
      <c r="B566" s="16" t="s">
        <v>136</v>
      </c>
      <c r="C566" s="17">
        <v>5</v>
      </c>
      <c r="D566" s="16"/>
      <c r="E566" s="16"/>
    </row>
    <row r="567" spans="1:5" x14ac:dyDescent="0.25">
      <c r="A567" s="21">
        <v>43465</v>
      </c>
      <c r="B567" s="16" t="s">
        <v>139</v>
      </c>
      <c r="C567" s="17">
        <v>6</v>
      </c>
      <c r="D567" s="16"/>
      <c r="E567" s="16"/>
    </row>
    <row r="568" spans="1:5" x14ac:dyDescent="0.25">
      <c r="A568" s="21">
        <v>43465</v>
      </c>
      <c r="B568" s="16" t="s">
        <v>142</v>
      </c>
      <c r="C568" s="17">
        <v>7</v>
      </c>
      <c r="D568" s="16"/>
      <c r="E568" s="16"/>
    </row>
    <row r="569" spans="1:5" x14ac:dyDescent="0.25">
      <c r="A569" s="21">
        <v>43465</v>
      </c>
      <c r="B569" s="16" t="s">
        <v>145</v>
      </c>
      <c r="C569" s="17">
        <v>8</v>
      </c>
      <c r="D569" s="16"/>
      <c r="E569" s="16"/>
    </row>
    <row r="570" spans="1:5" x14ac:dyDescent="0.25">
      <c r="A570" s="21">
        <v>43465</v>
      </c>
      <c r="B570" s="16" t="s">
        <v>148</v>
      </c>
      <c r="C570" s="17">
        <v>9</v>
      </c>
      <c r="D570" s="16"/>
      <c r="E570" s="16"/>
    </row>
    <row r="571" spans="1:5" x14ac:dyDescent="0.25">
      <c r="A571" s="21">
        <v>43465</v>
      </c>
      <c r="B571" s="16" t="s">
        <v>151</v>
      </c>
      <c r="C571" s="17">
        <v>10</v>
      </c>
      <c r="D571" s="16"/>
      <c r="E571" s="16"/>
    </row>
    <row r="572" spans="1:5" x14ac:dyDescent="0.25">
      <c r="A572" s="21">
        <v>43465</v>
      </c>
      <c r="B572" s="16" t="s">
        <v>154</v>
      </c>
      <c r="C572" s="17">
        <v>11</v>
      </c>
      <c r="D572" s="16"/>
      <c r="E572" s="16"/>
    </row>
    <row r="573" spans="1:5" x14ac:dyDescent="0.25">
      <c r="A573" s="21">
        <v>43465</v>
      </c>
      <c r="B573" s="16" t="s">
        <v>157</v>
      </c>
      <c r="C573" s="17">
        <v>12</v>
      </c>
      <c r="D573" s="16"/>
      <c r="E573" s="16"/>
    </row>
    <row r="574" spans="1:5" x14ac:dyDescent="0.25">
      <c r="A574" s="21">
        <v>43465</v>
      </c>
      <c r="B574" s="16" t="s">
        <v>160</v>
      </c>
      <c r="C574" s="17">
        <v>13</v>
      </c>
      <c r="D574" s="16"/>
      <c r="E574" s="16"/>
    </row>
    <row r="575" spans="1:5" x14ac:dyDescent="0.25">
      <c r="A575" s="21">
        <v>43465</v>
      </c>
      <c r="B575" s="16" t="s">
        <v>163</v>
      </c>
      <c r="C575" s="17">
        <v>14</v>
      </c>
      <c r="D575" s="16"/>
      <c r="E575" s="16"/>
    </row>
    <row r="576" spans="1:5" x14ac:dyDescent="0.25">
      <c r="A576" s="21">
        <v>43465</v>
      </c>
      <c r="B576" s="16" t="s">
        <v>166</v>
      </c>
      <c r="C576" s="17">
        <v>15</v>
      </c>
      <c r="D576" s="16"/>
      <c r="E576" s="16"/>
    </row>
    <row r="577" spans="1:5" x14ac:dyDescent="0.25">
      <c r="A577" s="21">
        <v>43465</v>
      </c>
      <c r="B577" s="16" t="s">
        <v>169</v>
      </c>
      <c r="C577" s="17">
        <v>16</v>
      </c>
      <c r="D577" s="16"/>
      <c r="E577" s="16"/>
    </row>
    <row r="578" spans="1:5" x14ac:dyDescent="0.25">
      <c r="A578" s="21">
        <v>43465</v>
      </c>
      <c r="B578" s="16" t="s">
        <v>172</v>
      </c>
      <c r="C578" s="17">
        <v>17</v>
      </c>
      <c r="D578" s="18">
        <v>248168.64</v>
      </c>
      <c r="E578" s="18">
        <v>234131.13</v>
      </c>
    </row>
    <row r="579" spans="1:5" x14ac:dyDescent="0.25">
      <c r="A579" s="21">
        <v>43465</v>
      </c>
      <c r="B579" s="16" t="s">
        <v>175</v>
      </c>
      <c r="C579" s="17">
        <v>18</v>
      </c>
      <c r="D579" s="18">
        <v>5881306.9199999999</v>
      </c>
      <c r="E579" s="18">
        <v>8494725.4199999999</v>
      </c>
    </row>
    <row r="580" spans="1:5" x14ac:dyDescent="0.25">
      <c r="A580" s="21">
        <v>43465</v>
      </c>
      <c r="B580" s="16" t="s">
        <v>178</v>
      </c>
      <c r="C580" s="17">
        <v>19</v>
      </c>
      <c r="D580" s="16"/>
      <c r="E580" s="16"/>
    </row>
    <row r="581" spans="1:5" x14ac:dyDescent="0.25">
      <c r="A581" s="21">
        <v>43465</v>
      </c>
      <c r="B581" s="16" t="s">
        <v>181</v>
      </c>
      <c r="C581" s="17">
        <v>20</v>
      </c>
      <c r="D581" s="16"/>
      <c r="E581" s="16"/>
    </row>
    <row r="582" spans="1:5" x14ac:dyDescent="0.25">
      <c r="A582" s="21">
        <v>43465</v>
      </c>
      <c r="B582" s="16" t="s">
        <v>184</v>
      </c>
      <c r="C582" s="17">
        <v>21</v>
      </c>
      <c r="D582" s="18">
        <v>53679688.960000001</v>
      </c>
      <c r="E582" s="18">
        <v>37082736.700000003</v>
      </c>
    </row>
    <row r="583" spans="1:5" x14ac:dyDescent="0.25">
      <c r="A583" s="21">
        <v>43465</v>
      </c>
      <c r="B583" s="16" t="s">
        <v>187</v>
      </c>
      <c r="C583" s="17">
        <v>22</v>
      </c>
      <c r="D583" s="16"/>
      <c r="E583" s="16"/>
    </row>
    <row r="584" spans="1:5" x14ac:dyDescent="0.25">
      <c r="A584" s="21">
        <v>43465</v>
      </c>
      <c r="B584" s="16" t="s">
        <v>190</v>
      </c>
      <c r="C584" s="17">
        <v>23</v>
      </c>
      <c r="D584" s="16"/>
      <c r="E584" s="16"/>
    </row>
    <row r="585" spans="1:5" x14ac:dyDescent="0.25">
      <c r="A585" s="21">
        <v>43465</v>
      </c>
      <c r="B585" s="16" t="s">
        <v>193</v>
      </c>
      <c r="C585" s="17" t="s">
        <v>194</v>
      </c>
      <c r="D585" s="16"/>
      <c r="E585" s="16"/>
    </row>
    <row r="586" spans="1:5" x14ac:dyDescent="0.25">
      <c r="A586" s="21">
        <v>43465</v>
      </c>
      <c r="B586" s="16" t="s">
        <v>197</v>
      </c>
      <c r="C586" s="17" t="s">
        <v>198</v>
      </c>
      <c r="D586" s="16"/>
      <c r="E586" s="16"/>
    </row>
    <row r="587" spans="1:5" x14ac:dyDescent="0.25">
      <c r="A587" s="21">
        <v>43465</v>
      </c>
      <c r="B587" s="16" t="s">
        <v>201</v>
      </c>
      <c r="C587" s="17" t="s">
        <v>202</v>
      </c>
      <c r="D587" s="16"/>
      <c r="E587" s="16"/>
    </row>
    <row r="588" spans="1:5" x14ac:dyDescent="0.25">
      <c r="A588" s="21">
        <v>43465</v>
      </c>
      <c r="B588" s="16" t="s">
        <v>205</v>
      </c>
      <c r="C588" s="17" t="s">
        <v>206</v>
      </c>
      <c r="D588" s="16"/>
      <c r="E588" s="16"/>
    </row>
    <row r="589" spans="1:5" x14ac:dyDescent="0.25">
      <c r="A589" s="21">
        <v>43465</v>
      </c>
      <c r="B589" s="16" t="s">
        <v>209</v>
      </c>
      <c r="C589" s="17" t="s">
        <v>210</v>
      </c>
      <c r="D589" s="16"/>
      <c r="E589" s="16"/>
    </row>
    <row r="590" spans="1:5" x14ac:dyDescent="0.25">
      <c r="A590" s="21">
        <v>43465</v>
      </c>
      <c r="B590" s="16" t="s">
        <v>213</v>
      </c>
      <c r="C590" s="17" t="s">
        <v>214</v>
      </c>
      <c r="D590" s="18">
        <v>673727.19</v>
      </c>
      <c r="E590" s="18">
        <v>461300.93</v>
      </c>
    </row>
    <row r="591" spans="1:5" x14ac:dyDescent="0.25">
      <c r="A591" s="21">
        <v>43465</v>
      </c>
      <c r="B591" s="16" t="s">
        <v>217</v>
      </c>
      <c r="C591" s="17" t="s">
        <v>218</v>
      </c>
      <c r="D591" s="16"/>
      <c r="E591" s="16"/>
    </row>
    <row r="592" spans="1:5" x14ac:dyDescent="0.25">
      <c r="A592" s="21">
        <v>43465</v>
      </c>
      <c r="B592" s="16" t="s">
        <v>221</v>
      </c>
      <c r="C592" s="17" t="s">
        <v>222</v>
      </c>
      <c r="D592" s="16"/>
      <c r="E592" s="16"/>
    </row>
    <row r="593" spans="1:5" x14ac:dyDescent="0.25">
      <c r="A593" s="21">
        <v>43465</v>
      </c>
      <c r="B593" s="16" t="s">
        <v>225</v>
      </c>
      <c r="C593" s="17" t="s">
        <v>226</v>
      </c>
      <c r="D593" s="18">
        <v>260151.16</v>
      </c>
      <c r="E593" s="18">
        <v>368943.85</v>
      </c>
    </row>
    <row r="594" spans="1:5" x14ac:dyDescent="0.25">
      <c r="A594" s="21">
        <v>43465</v>
      </c>
      <c r="B594" s="16" t="s">
        <v>229</v>
      </c>
      <c r="C594" s="17" t="s">
        <v>230</v>
      </c>
      <c r="D594" s="16"/>
      <c r="E594" s="16"/>
    </row>
    <row r="595" spans="1:5" x14ac:dyDescent="0.25">
      <c r="A595" s="21">
        <v>43465</v>
      </c>
      <c r="B595" s="16" t="s">
        <v>233</v>
      </c>
      <c r="C595" s="17" t="s">
        <v>234</v>
      </c>
      <c r="D595" s="16"/>
      <c r="E595" s="16"/>
    </row>
    <row r="596" spans="1:5" x14ac:dyDescent="0.25">
      <c r="A596" s="21">
        <v>43465</v>
      </c>
      <c r="B596" s="16" t="s">
        <v>237</v>
      </c>
      <c r="C596" s="17" t="s">
        <v>238</v>
      </c>
      <c r="D596" s="16"/>
      <c r="E596" s="16"/>
    </row>
    <row r="597" spans="1:5" x14ac:dyDescent="0.25">
      <c r="A597" s="21">
        <v>43465</v>
      </c>
      <c r="B597" s="16"/>
      <c r="C597" s="17" t="s">
        <v>241</v>
      </c>
      <c r="D597" s="16"/>
      <c r="E597" s="16"/>
    </row>
    <row r="598" spans="1:5" x14ac:dyDescent="0.25">
      <c r="A598" s="21">
        <v>43465</v>
      </c>
      <c r="B598" s="16"/>
      <c r="C598" s="17" t="s">
        <v>244</v>
      </c>
      <c r="D598" s="16"/>
      <c r="E598" s="16"/>
    </row>
    <row r="599" spans="1:5" x14ac:dyDescent="0.25">
      <c r="A599" s="21">
        <v>43465</v>
      </c>
      <c r="B599" s="16"/>
      <c r="C599" s="17" t="s">
        <v>247</v>
      </c>
      <c r="D599" s="16"/>
      <c r="E599" s="16"/>
    </row>
    <row r="600" spans="1:5" x14ac:dyDescent="0.25">
      <c r="A600" s="21">
        <v>43465</v>
      </c>
      <c r="B600" s="16"/>
      <c r="C600" s="17" t="s">
        <v>250</v>
      </c>
      <c r="D600" s="16"/>
      <c r="E600" s="16"/>
    </row>
    <row r="601" spans="1:5" x14ac:dyDescent="0.25">
      <c r="A601" s="21">
        <v>43465</v>
      </c>
      <c r="B601" s="14" t="s">
        <v>253</v>
      </c>
      <c r="C601" s="17" t="s">
        <v>254</v>
      </c>
      <c r="D601" s="18">
        <v>60905539.219999999</v>
      </c>
      <c r="E601" s="18">
        <v>47487064.380000003</v>
      </c>
    </row>
    <row r="602" spans="1:5" x14ac:dyDescent="0.25">
      <c r="A602" s="21">
        <v>43465</v>
      </c>
      <c r="B602" s="16" t="s">
        <v>125</v>
      </c>
      <c r="C602" s="14" t="s">
        <v>126</v>
      </c>
      <c r="D602" s="16"/>
      <c r="E602" s="16"/>
    </row>
    <row r="603" spans="1:5" x14ac:dyDescent="0.25">
      <c r="A603" s="21">
        <v>43465</v>
      </c>
      <c r="B603" s="16" t="s">
        <v>128</v>
      </c>
      <c r="C603" s="14" t="s">
        <v>129</v>
      </c>
      <c r="D603" s="16"/>
      <c r="E603" s="16"/>
    </row>
    <row r="604" spans="1:5" x14ac:dyDescent="0.25">
      <c r="A604" s="21">
        <v>43465</v>
      </c>
      <c r="B604" s="16" t="s">
        <v>131</v>
      </c>
      <c r="C604" s="14" t="s">
        <v>132</v>
      </c>
      <c r="D604" s="16"/>
      <c r="E604" s="16"/>
    </row>
    <row r="605" spans="1:5" x14ac:dyDescent="0.25">
      <c r="A605" s="21">
        <v>43465</v>
      </c>
      <c r="B605" s="16" t="s">
        <v>134</v>
      </c>
      <c r="C605" s="14" t="s">
        <v>135</v>
      </c>
      <c r="D605" s="16"/>
      <c r="E605" s="16"/>
    </row>
    <row r="606" spans="1:5" x14ac:dyDescent="0.25">
      <c r="A606" s="21">
        <v>43465</v>
      </c>
      <c r="B606" s="16" t="s">
        <v>137</v>
      </c>
      <c r="C606" s="14" t="s">
        <v>138</v>
      </c>
      <c r="D606" s="16"/>
      <c r="E606" s="16"/>
    </row>
    <row r="607" spans="1:5" x14ac:dyDescent="0.25">
      <c r="A607" s="21">
        <v>43465</v>
      </c>
      <c r="B607" s="16" t="s">
        <v>140</v>
      </c>
      <c r="C607" s="14" t="s">
        <v>141</v>
      </c>
      <c r="D607" s="16"/>
      <c r="E607" s="16"/>
    </row>
    <row r="608" spans="1:5" x14ac:dyDescent="0.25">
      <c r="A608" s="21">
        <v>43465</v>
      </c>
      <c r="B608" s="16" t="s">
        <v>143</v>
      </c>
      <c r="C608" s="14" t="s">
        <v>144</v>
      </c>
      <c r="D608" s="16"/>
      <c r="E608" s="16"/>
    </row>
    <row r="609" spans="1:5" x14ac:dyDescent="0.25">
      <c r="A609" s="21">
        <v>43465</v>
      </c>
      <c r="B609" s="16" t="s">
        <v>146</v>
      </c>
      <c r="C609" s="14" t="s">
        <v>147</v>
      </c>
      <c r="D609" s="18">
        <v>11255</v>
      </c>
      <c r="E609" s="18">
        <v>3293</v>
      </c>
    </row>
    <row r="610" spans="1:5" x14ac:dyDescent="0.25">
      <c r="A610" s="21">
        <v>43465</v>
      </c>
      <c r="B610" s="16" t="s">
        <v>149</v>
      </c>
      <c r="C610" s="14" t="s">
        <v>150</v>
      </c>
      <c r="D610" s="18">
        <v>411000</v>
      </c>
      <c r="E610" s="18">
        <v>419600</v>
      </c>
    </row>
    <row r="611" spans="1:5" x14ac:dyDescent="0.25">
      <c r="A611" s="21">
        <v>43465</v>
      </c>
      <c r="B611" s="16" t="s">
        <v>152</v>
      </c>
      <c r="C611" s="14" t="s">
        <v>153</v>
      </c>
      <c r="D611" s="16"/>
      <c r="E611" s="16"/>
    </row>
    <row r="612" spans="1:5" x14ac:dyDescent="0.25">
      <c r="A612" s="21">
        <v>43465</v>
      </c>
      <c r="B612" s="16" t="s">
        <v>155</v>
      </c>
      <c r="C612" s="14" t="s">
        <v>156</v>
      </c>
      <c r="D612" s="18">
        <v>2953723.51</v>
      </c>
      <c r="E612" s="18">
        <v>2681905.38</v>
      </c>
    </row>
    <row r="613" spans="1:5" x14ac:dyDescent="0.25">
      <c r="A613" s="21">
        <v>43465</v>
      </c>
      <c r="B613" s="16" t="s">
        <v>158</v>
      </c>
      <c r="C613" s="14" t="s">
        <v>159</v>
      </c>
      <c r="D613" s="18">
        <v>774255.33</v>
      </c>
      <c r="E613" s="18">
        <v>854775.04</v>
      </c>
    </row>
    <row r="614" spans="1:5" x14ac:dyDescent="0.25">
      <c r="A614" s="21">
        <v>43465</v>
      </c>
      <c r="B614" s="16" t="s">
        <v>161</v>
      </c>
      <c r="C614" s="14" t="s">
        <v>162</v>
      </c>
      <c r="D614" s="16"/>
      <c r="E614" s="16"/>
    </row>
    <row r="615" spans="1:5" x14ac:dyDescent="0.25">
      <c r="A615" s="21">
        <v>43465</v>
      </c>
      <c r="B615" s="16" t="s">
        <v>164</v>
      </c>
      <c r="C615" s="14" t="s">
        <v>165</v>
      </c>
      <c r="D615" s="18">
        <v>294990.31</v>
      </c>
      <c r="E615" s="18">
        <v>52517.95</v>
      </c>
    </row>
    <row r="616" spans="1:5" x14ac:dyDescent="0.25">
      <c r="A616" s="21">
        <v>43465</v>
      </c>
      <c r="B616" s="16" t="s">
        <v>167</v>
      </c>
      <c r="C616" s="14" t="s">
        <v>168</v>
      </c>
      <c r="D616" s="16"/>
      <c r="E616" s="16"/>
    </row>
    <row r="617" spans="1:5" x14ac:dyDescent="0.25">
      <c r="A617" s="21">
        <v>43465</v>
      </c>
      <c r="B617" s="16" t="s">
        <v>170</v>
      </c>
      <c r="C617" s="14" t="s">
        <v>171</v>
      </c>
      <c r="D617" s="16"/>
      <c r="E617" s="16"/>
    </row>
    <row r="618" spans="1:5" x14ac:dyDescent="0.25">
      <c r="A618" s="21">
        <v>43465</v>
      </c>
      <c r="B618" s="16" t="s">
        <v>173</v>
      </c>
      <c r="C618" s="14" t="s">
        <v>174</v>
      </c>
      <c r="D618" s="16"/>
      <c r="E618" s="16"/>
    </row>
    <row r="619" spans="1:5" x14ac:dyDescent="0.25">
      <c r="A619" s="21">
        <v>43465</v>
      </c>
      <c r="B619" s="16" t="s">
        <v>176</v>
      </c>
      <c r="C619" s="14" t="s">
        <v>177</v>
      </c>
      <c r="D619" s="16"/>
      <c r="E619" s="16"/>
    </row>
    <row r="620" spans="1:5" x14ac:dyDescent="0.25">
      <c r="A620" s="21">
        <v>43465</v>
      </c>
      <c r="B620" s="16" t="s">
        <v>179</v>
      </c>
      <c r="C620" s="14" t="s">
        <v>180</v>
      </c>
      <c r="D620" s="16"/>
      <c r="E620" s="16"/>
    </row>
    <row r="621" spans="1:5" x14ac:dyDescent="0.25">
      <c r="A621" s="21">
        <v>43465</v>
      </c>
      <c r="B621" s="16" t="s">
        <v>182</v>
      </c>
      <c r="C621" s="14" t="s">
        <v>183</v>
      </c>
      <c r="D621" s="16"/>
      <c r="E621" s="16"/>
    </row>
    <row r="622" spans="1:5" x14ac:dyDescent="0.25">
      <c r="A622" s="21">
        <v>43465</v>
      </c>
      <c r="B622" s="16" t="s">
        <v>185</v>
      </c>
      <c r="C622" s="14" t="s">
        <v>186</v>
      </c>
      <c r="D622" s="16"/>
      <c r="E622" s="16"/>
    </row>
    <row r="623" spans="1:5" x14ac:dyDescent="0.25">
      <c r="A623" s="21">
        <v>43465</v>
      </c>
      <c r="B623" s="16" t="s">
        <v>188</v>
      </c>
      <c r="C623" s="14" t="s">
        <v>189</v>
      </c>
      <c r="D623" s="16"/>
      <c r="E623" s="16"/>
    </row>
    <row r="624" spans="1:5" x14ac:dyDescent="0.25">
      <c r="A624" s="21">
        <v>43465</v>
      </c>
      <c r="B624" s="16" t="s">
        <v>191</v>
      </c>
      <c r="C624" s="14" t="s">
        <v>192</v>
      </c>
      <c r="D624" s="16"/>
      <c r="E624" s="16"/>
    </row>
    <row r="625" spans="1:5" x14ac:dyDescent="0.25">
      <c r="A625" s="21">
        <v>43465</v>
      </c>
      <c r="B625" s="16" t="s">
        <v>195</v>
      </c>
      <c r="C625" s="14" t="s">
        <v>196</v>
      </c>
      <c r="D625" s="16"/>
      <c r="E625" s="16"/>
    </row>
    <row r="626" spans="1:5" x14ac:dyDescent="0.25">
      <c r="A626" s="21">
        <v>43465</v>
      </c>
      <c r="B626" s="16" t="s">
        <v>199</v>
      </c>
      <c r="C626" s="14" t="s">
        <v>200</v>
      </c>
      <c r="D626" s="16"/>
      <c r="E626" s="16"/>
    </row>
    <row r="627" spans="1:5" x14ac:dyDescent="0.25">
      <c r="A627" s="21">
        <v>43465</v>
      </c>
      <c r="B627" s="16" t="s">
        <v>203</v>
      </c>
      <c r="C627" s="14" t="s">
        <v>204</v>
      </c>
      <c r="D627" s="16"/>
      <c r="E627" s="16"/>
    </row>
    <row r="628" spans="1:5" x14ac:dyDescent="0.25">
      <c r="A628" s="21">
        <v>43465</v>
      </c>
      <c r="B628" s="16" t="s">
        <v>207</v>
      </c>
      <c r="C628" s="14" t="s">
        <v>208</v>
      </c>
      <c r="D628" s="16"/>
      <c r="E628" s="16"/>
    </row>
    <row r="629" spans="1:5" x14ac:dyDescent="0.25">
      <c r="A629" s="21">
        <v>43465</v>
      </c>
      <c r="B629" s="16" t="s">
        <v>211</v>
      </c>
      <c r="C629" s="14" t="s">
        <v>212</v>
      </c>
      <c r="D629" s="16"/>
      <c r="E629" s="16"/>
    </row>
    <row r="630" spans="1:5" x14ac:dyDescent="0.25">
      <c r="A630" s="21">
        <v>43465</v>
      </c>
      <c r="B630" s="16" t="s">
        <v>215</v>
      </c>
      <c r="C630" s="14" t="s">
        <v>216</v>
      </c>
      <c r="D630" s="16"/>
      <c r="E630" s="16"/>
    </row>
    <row r="631" spans="1:5" x14ac:dyDescent="0.25">
      <c r="A631" s="21">
        <v>43465</v>
      </c>
      <c r="B631" s="16" t="s">
        <v>219</v>
      </c>
      <c r="C631" s="14" t="s">
        <v>220</v>
      </c>
      <c r="D631" s="18">
        <v>4445224.1500000004</v>
      </c>
      <c r="E631" s="18">
        <v>4012091.37</v>
      </c>
    </row>
    <row r="632" spans="1:5" x14ac:dyDescent="0.25">
      <c r="A632" s="21">
        <v>43465</v>
      </c>
      <c r="B632" s="16" t="s">
        <v>223</v>
      </c>
      <c r="C632" s="14" t="s">
        <v>224</v>
      </c>
      <c r="D632" s="16"/>
      <c r="E632" s="16"/>
    </row>
    <row r="633" spans="1:5" x14ac:dyDescent="0.25">
      <c r="A633" s="21">
        <v>43465</v>
      </c>
      <c r="B633" s="16" t="s">
        <v>227</v>
      </c>
      <c r="C633" s="14" t="s">
        <v>228</v>
      </c>
      <c r="D633" s="16"/>
      <c r="E633" s="16"/>
    </row>
    <row r="634" spans="1:5" x14ac:dyDescent="0.25">
      <c r="A634" s="21">
        <v>43465</v>
      </c>
      <c r="B634" s="16" t="s">
        <v>231</v>
      </c>
      <c r="C634" s="14" t="s">
        <v>232</v>
      </c>
      <c r="D634" s="16"/>
      <c r="E634" s="16"/>
    </row>
    <row r="635" spans="1:5" x14ac:dyDescent="0.25">
      <c r="A635" s="21">
        <v>43465</v>
      </c>
      <c r="B635" s="16" t="s">
        <v>235</v>
      </c>
      <c r="C635" s="14" t="s">
        <v>236</v>
      </c>
      <c r="D635" s="16"/>
      <c r="E635" s="16"/>
    </row>
    <row r="636" spans="1:5" x14ac:dyDescent="0.25">
      <c r="A636" s="21">
        <v>43465</v>
      </c>
      <c r="B636" s="16" t="s">
        <v>239</v>
      </c>
      <c r="C636" s="14" t="s">
        <v>240</v>
      </c>
      <c r="D636" s="16"/>
      <c r="E636" s="16"/>
    </row>
    <row r="637" spans="1:5" x14ac:dyDescent="0.25">
      <c r="A637" s="21">
        <v>43465</v>
      </c>
      <c r="B637" s="16" t="s">
        <v>242</v>
      </c>
      <c r="C637" s="14" t="s">
        <v>243</v>
      </c>
      <c r="D637" s="16"/>
      <c r="E637" s="16"/>
    </row>
    <row r="638" spans="1:5" x14ac:dyDescent="0.25">
      <c r="A638" s="21">
        <v>43465</v>
      </c>
      <c r="B638" s="16" t="s">
        <v>245</v>
      </c>
      <c r="C638" s="14" t="s">
        <v>246</v>
      </c>
      <c r="D638" s="18">
        <v>56460315.07</v>
      </c>
      <c r="E638" s="18">
        <v>43474973.009999998</v>
      </c>
    </row>
    <row r="639" spans="1:5" x14ac:dyDescent="0.25">
      <c r="A639" s="21">
        <v>43465</v>
      </c>
      <c r="B639" s="16" t="s">
        <v>248</v>
      </c>
      <c r="C639" s="14" t="s">
        <v>249</v>
      </c>
      <c r="D639" s="16"/>
      <c r="E639" s="16"/>
    </row>
    <row r="640" spans="1:5" x14ac:dyDescent="0.25">
      <c r="A640" s="21">
        <v>43465</v>
      </c>
      <c r="B640" s="16" t="s">
        <v>251</v>
      </c>
      <c r="C640" s="14" t="s">
        <v>252</v>
      </c>
      <c r="D640" s="18">
        <v>56460315.07</v>
      </c>
      <c r="E640" s="18">
        <v>43474973.009999998</v>
      </c>
    </row>
    <row r="641" spans="1:5" x14ac:dyDescent="0.25">
      <c r="A641" s="21">
        <v>43465</v>
      </c>
      <c r="B641" s="14" t="s">
        <v>255</v>
      </c>
      <c r="C641" s="14" t="s">
        <v>256</v>
      </c>
      <c r="D641" s="18">
        <v>60905539.219999999</v>
      </c>
      <c r="E641" s="18">
        <v>47487064.380000003</v>
      </c>
    </row>
    <row r="642" spans="1:5" x14ac:dyDescent="0.25">
      <c r="A642" s="21">
        <v>43555</v>
      </c>
      <c r="B642" t="s">
        <v>124</v>
      </c>
      <c r="C642">
        <v>1</v>
      </c>
    </row>
    <row r="643" spans="1:5" x14ac:dyDescent="0.25">
      <c r="A643" s="21">
        <v>43555</v>
      </c>
      <c r="B643" t="s">
        <v>127</v>
      </c>
      <c r="C643">
        <v>2</v>
      </c>
      <c r="D643" s="69">
        <v>1269565.42</v>
      </c>
      <c r="E643" s="69">
        <v>162496.35</v>
      </c>
    </row>
    <row r="644" spans="1:5" x14ac:dyDescent="0.25">
      <c r="A644" s="21">
        <v>43555</v>
      </c>
      <c r="B644" t="s">
        <v>130</v>
      </c>
      <c r="C644">
        <v>3</v>
      </c>
    </row>
    <row r="645" spans="1:5" x14ac:dyDescent="0.25">
      <c r="A645" s="21">
        <v>43555</v>
      </c>
      <c r="B645" t="s">
        <v>133</v>
      </c>
      <c r="C645">
        <v>4</v>
      </c>
    </row>
    <row r="646" spans="1:5" x14ac:dyDescent="0.25">
      <c r="A646" s="21">
        <v>43555</v>
      </c>
      <c r="B646" t="s">
        <v>136</v>
      </c>
      <c r="C646">
        <v>5</v>
      </c>
    </row>
    <row r="647" spans="1:5" x14ac:dyDescent="0.25">
      <c r="A647" s="21">
        <v>43555</v>
      </c>
      <c r="B647" t="s">
        <v>139</v>
      </c>
      <c r="C647">
        <v>6</v>
      </c>
    </row>
    <row r="648" spans="1:5" x14ac:dyDescent="0.25">
      <c r="A648" s="21">
        <v>43555</v>
      </c>
      <c r="B648" t="s">
        <v>142</v>
      </c>
      <c r="C648">
        <v>7</v>
      </c>
    </row>
    <row r="649" spans="1:5" x14ac:dyDescent="0.25">
      <c r="A649" s="21">
        <v>43555</v>
      </c>
      <c r="B649" t="s">
        <v>145</v>
      </c>
      <c r="C649">
        <v>8</v>
      </c>
    </row>
    <row r="650" spans="1:5" x14ac:dyDescent="0.25">
      <c r="A650" s="21">
        <v>43555</v>
      </c>
      <c r="B650" t="s">
        <v>148</v>
      </c>
      <c r="C650">
        <v>9</v>
      </c>
    </row>
    <row r="651" spans="1:5" x14ac:dyDescent="0.25">
      <c r="A651" s="21">
        <v>43555</v>
      </c>
      <c r="B651" t="s">
        <v>151</v>
      </c>
      <c r="C651">
        <v>10</v>
      </c>
    </row>
    <row r="652" spans="1:5" x14ac:dyDescent="0.25">
      <c r="A652" s="21">
        <v>43555</v>
      </c>
      <c r="B652" t="s">
        <v>154</v>
      </c>
      <c r="C652">
        <v>11</v>
      </c>
    </row>
    <row r="653" spans="1:5" x14ac:dyDescent="0.25">
      <c r="A653" s="21">
        <v>43555</v>
      </c>
      <c r="B653" t="s">
        <v>157</v>
      </c>
      <c r="C653">
        <v>12</v>
      </c>
    </row>
    <row r="654" spans="1:5" x14ac:dyDescent="0.25">
      <c r="A654" s="21">
        <v>43555</v>
      </c>
      <c r="B654" t="s">
        <v>160</v>
      </c>
      <c r="C654">
        <v>13</v>
      </c>
    </row>
    <row r="655" spans="1:5" x14ac:dyDescent="0.25">
      <c r="A655" s="21">
        <v>43555</v>
      </c>
      <c r="B655" t="s">
        <v>163</v>
      </c>
      <c r="C655">
        <v>14</v>
      </c>
    </row>
    <row r="656" spans="1:5" x14ac:dyDescent="0.25">
      <c r="A656" s="21">
        <v>43555</v>
      </c>
      <c r="B656" t="s">
        <v>166</v>
      </c>
      <c r="C656">
        <v>15</v>
      </c>
    </row>
    <row r="657" spans="1:5" x14ac:dyDescent="0.25">
      <c r="A657" s="21">
        <v>43555</v>
      </c>
      <c r="B657" t="s">
        <v>169</v>
      </c>
      <c r="C657">
        <v>16</v>
      </c>
    </row>
    <row r="658" spans="1:5" x14ac:dyDescent="0.25">
      <c r="A658" s="21">
        <v>43555</v>
      </c>
      <c r="B658" t="s">
        <v>172</v>
      </c>
      <c r="C658">
        <v>17</v>
      </c>
      <c r="D658" s="69">
        <v>126398.69</v>
      </c>
      <c r="E658" s="69">
        <v>248168.64</v>
      </c>
    </row>
    <row r="659" spans="1:5" x14ac:dyDescent="0.25">
      <c r="A659" s="21">
        <v>43555</v>
      </c>
      <c r="B659" t="s">
        <v>175</v>
      </c>
      <c r="C659">
        <v>18</v>
      </c>
      <c r="D659" s="69">
        <v>7880008.1200000001</v>
      </c>
      <c r="E659" s="69">
        <v>5881306.9199999999</v>
      </c>
    </row>
    <row r="660" spans="1:5" x14ac:dyDescent="0.25">
      <c r="A660" s="21">
        <v>43555</v>
      </c>
      <c r="B660" t="s">
        <v>178</v>
      </c>
      <c r="C660">
        <v>19</v>
      </c>
    </row>
    <row r="661" spans="1:5" x14ac:dyDescent="0.25">
      <c r="A661" s="21">
        <v>43555</v>
      </c>
      <c r="B661" t="s">
        <v>181</v>
      </c>
      <c r="C661">
        <v>20</v>
      </c>
    </row>
    <row r="662" spans="1:5" x14ac:dyDescent="0.25">
      <c r="A662" s="21">
        <v>43555</v>
      </c>
      <c r="B662" t="s">
        <v>184</v>
      </c>
      <c r="C662">
        <v>21</v>
      </c>
      <c r="D662" s="69">
        <v>57063642.049999997</v>
      </c>
      <c r="E662" s="69">
        <v>53679688.960000001</v>
      </c>
    </row>
    <row r="663" spans="1:5" x14ac:dyDescent="0.25">
      <c r="A663" s="21">
        <v>43555</v>
      </c>
      <c r="B663" t="s">
        <v>187</v>
      </c>
      <c r="C663">
        <v>22</v>
      </c>
    </row>
    <row r="664" spans="1:5" x14ac:dyDescent="0.25">
      <c r="A664" s="21">
        <v>43555</v>
      </c>
      <c r="B664" t="s">
        <v>190</v>
      </c>
      <c r="C664">
        <v>23</v>
      </c>
    </row>
    <row r="665" spans="1:5" x14ac:dyDescent="0.25">
      <c r="A665" s="21">
        <v>43555</v>
      </c>
      <c r="B665" t="s">
        <v>193</v>
      </c>
      <c r="C665">
        <v>24</v>
      </c>
    </row>
    <row r="666" spans="1:5" x14ac:dyDescent="0.25">
      <c r="A666" s="21">
        <v>43555</v>
      </c>
      <c r="B666" t="s">
        <v>197</v>
      </c>
      <c r="C666">
        <v>25</v>
      </c>
    </row>
    <row r="667" spans="1:5" x14ac:dyDescent="0.25">
      <c r="A667" s="21">
        <v>43555</v>
      </c>
      <c r="B667" t="s">
        <v>201</v>
      </c>
      <c r="C667">
        <v>26</v>
      </c>
    </row>
    <row r="668" spans="1:5" x14ac:dyDescent="0.25">
      <c r="A668" s="21">
        <v>43555</v>
      </c>
      <c r="B668" t="s">
        <v>205</v>
      </c>
      <c r="C668">
        <v>27</v>
      </c>
    </row>
    <row r="669" spans="1:5" x14ac:dyDescent="0.25">
      <c r="A669" s="21">
        <v>43555</v>
      </c>
      <c r="B669" t="s">
        <v>209</v>
      </c>
      <c r="C669">
        <v>28</v>
      </c>
    </row>
    <row r="670" spans="1:5" x14ac:dyDescent="0.25">
      <c r="A670" s="21">
        <v>43555</v>
      </c>
      <c r="B670" t="s">
        <v>213</v>
      </c>
      <c r="C670">
        <v>29</v>
      </c>
      <c r="D670" s="69">
        <v>643555.94999999995</v>
      </c>
      <c r="E670" s="69">
        <v>673727.19</v>
      </c>
    </row>
    <row r="671" spans="1:5" x14ac:dyDescent="0.25">
      <c r="A671" s="21">
        <v>43555</v>
      </c>
      <c r="B671" t="s">
        <v>217</v>
      </c>
      <c r="C671">
        <v>30</v>
      </c>
    </row>
    <row r="672" spans="1:5" x14ac:dyDescent="0.25">
      <c r="A672" s="21">
        <v>43555</v>
      </c>
      <c r="B672" t="s">
        <v>221</v>
      </c>
      <c r="C672">
        <v>31</v>
      </c>
    </row>
    <row r="673" spans="1:5" x14ac:dyDescent="0.25">
      <c r="A673" s="21">
        <v>43555</v>
      </c>
      <c r="B673" t="s">
        <v>225</v>
      </c>
      <c r="C673">
        <v>32</v>
      </c>
      <c r="D673" s="69">
        <v>232952.99</v>
      </c>
      <c r="E673" s="69">
        <v>260151.16</v>
      </c>
    </row>
    <row r="674" spans="1:5" x14ac:dyDescent="0.25">
      <c r="A674" s="21">
        <v>43555</v>
      </c>
      <c r="B674" t="s">
        <v>229</v>
      </c>
      <c r="C674">
        <v>33</v>
      </c>
    </row>
    <row r="675" spans="1:5" x14ac:dyDescent="0.25">
      <c r="A675" s="21">
        <v>43555</v>
      </c>
      <c r="B675" t="s">
        <v>233</v>
      </c>
      <c r="C675">
        <v>34</v>
      </c>
    </row>
    <row r="676" spans="1:5" x14ac:dyDescent="0.25">
      <c r="A676" s="21">
        <v>43555</v>
      </c>
      <c r="B676" t="s">
        <v>237</v>
      </c>
      <c r="C676">
        <v>35</v>
      </c>
    </row>
    <row r="677" spans="1:5" x14ac:dyDescent="0.25">
      <c r="A677" s="21">
        <v>43555</v>
      </c>
      <c r="C677">
        <v>36</v>
      </c>
    </row>
    <row r="678" spans="1:5" x14ac:dyDescent="0.25">
      <c r="A678" s="21">
        <v>43555</v>
      </c>
      <c r="C678">
        <v>37</v>
      </c>
    </row>
    <row r="679" spans="1:5" x14ac:dyDescent="0.25">
      <c r="A679" s="21">
        <v>43555</v>
      </c>
      <c r="C679">
        <v>38</v>
      </c>
    </row>
    <row r="680" spans="1:5" x14ac:dyDescent="0.25">
      <c r="A680" s="21">
        <v>43555</v>
      </c>
      <c r="C680">
        <v>39</v>
      </c>
    </row>
    <row r="681" spans="1:5" x14ac:dyDescent="0.25">
      <c r="A681" s="21">
        <v>43555</v>
      </c>
      <c r="B681" t="s">
        <v>253</v>
      </c>
      <c r="C681">
        <v>40</v>
      </c>
      <c r="D681" s="69">
        <v>67216123.219999999</v>
      </c>
      <c r="E681" s="69">
        <v>60905539.219999999</v>
      </c>
    </row>
    <row r="682" spans="1:5" x14ac:dyDescent="0.25">
      <c r="A682" s="21">
        <v>43555</v>
      </c>
      <c r="B682" t="s">
        <v>125</v>
      </c>
      <c r="C682">
        <v>41</v>
      </c>
    </row>
    <row r="683" spans="1:5" x14ac:dyDescent="0.25">
      <c r="A683" s="21">
        <v>43555</v>
      </c>
      <c r="B683" t="s">
        <v>128</v>
      </c>
      <c r="C683">
        <v>42</v>
      </c>
    </row>
    <row r="684" spans="1:5" x14ac:dyDescent="0.25">
      <c r="A684" s="21">
        <v>43555</v>
      </c>
      <c r="B684" t="s">
        <v>131</v>
      </c>
      <c r="C684">
        <v>43</v>
      </c>
    </row>
    <row r="685" spans="1:5" x14ac:dyDescent="0.25">
      <c r="A685" s="21">
        <v>43555</v>
      </c>
      <c r="B685" t="s">
        <v>134</v>
      </c>
      <c r="C685">
        <v>44</v>
      </c>
    </row>
    <row r="686" spans="1:5" x14ac:dyDescent="0.25">
      <c r="A686" s="21">
        <v>43555</v>
      </c>
      <c r="B686" t="s">
        <v>137</v>
      </c>
      <c r="C686">
        <v>45</v>
      </c>
    </row>
    <row r="687" spans="1:5" x14ac:dyDescent="0.25">
      <c r="A687" s="21">
        <v>43555</v>
      </c>
      <c r="B687" t="s">
        <v>140</v>
      </c>
      <c r="C687">
        <v>46</v>
      </c>
    </row>
    <row r="688" spans="1:5" x14ac:dyDescent="0.25">
      <c r="A688" s="21">
        <v>43555</v>
      </c>
      <c r="B688" t="s">
        <v>143</v>
      </c>
      <c r="C688">
        <v>47</v>
      </c>
    </row>
    <row r="689" spans="1:5" x14ac:dyDescent="0.25">
      <c r="A689" s="21">
        <v>43555</v>
      </c>
      <c r="B689" t="s">
        <v>146</v>
      </c>
      <c r="C689">
        <v>48</v>
      </c>
      <c r="D689" s="69">
        <v>11255</v>
      </c>
      <c r="E689" s="69">
        <v>11255</v>
      </c>
    </row>
    <row r="690" spans="1:5" x14ac:dyDescent="0.25">
      <c r="A690" s="21">
        <v>43555</v>
      </c>
      <c r="B690" t="s">
        <v>149</v>
      </c>
      <c r="C690">
        <v>49</v>
      </c>
      <c r="D690" s="69">
        <v>1305000</v>
      </c>
      <c r="E690" s="69">
        <v>411000</v>
      </c>
    </row>
    <row r="691" spans="1:5" x14ac:dyDescent="0.25">
      <c r="A691" s="21">
        <v>43555</v>
      </c>
      <c r="B691" t="s">
        <v>152</v>
      </c>
      <c r="C691">
        <v>50</v>
      </c>
    </row>
    <row r="692" spans="1:5" x14ac:dyDescent="0.25">
      <c r="A692" s="21">
        <v>43555</v>
      </c>
      <c r="B692" t="s">
        <v>155</v>
      </c>
      <c r="C692">
        <v>51</v>
      </c>
      <c r="D692" s="69">
        <v>3469629.71</v>
      </c>
      <c r="E692" s="69">
        <v>2953723.51</v>
      </c>
    </row>
    <row r="693" spans="1:5" x14ac:dyDescent="0.25">
      <c r="A693" s="21">
        <v>43555</v>
      </c>
      <c r="B693" t="s">
        <v>158</v>
      </c>
      <c r="C693">
        <v>52</v>
      </c>
      <c r="D693" s="69">
        <v>1814924.33</v>
      </c>
      <c r="E693" s="69">
        <v>774255.33</v>
      </c>
    </row>
    <row r="694" spans="1:5" x14ac:dyDescent="0.25">
      <c r="A694" s="21">
        <v>43555</v>
      </c>
      <c r="B694" t="s">
        <v>161</v>
      </c>
      <c r="C694">
        <v>53</v>
      </c>
    </row>
    <row r="695" spans="1:5" x14ac:dyDescent="0.25">
      <c r="A695" s="21">
        <v>43555</v>
      </c>
      <c r="B695" t="s">
        <v>164</v>
      </c>
      <c r="C695">
        <v>54</v>
      </c>
      <c r="D695" s="69">
        <v>282951.95</v>
      </c>
      <c r="E695" s="69">
        <v>294990.31</v>
      </c>
    </row>
    <row r="696" spans="1:5" x14ac:dyDescent="0.25">
      <c r="A696" s="21">
        <v>43555</v>
      </c>
      <c r="B696" t="s">
        <v>167</v>
      </c>
      <c r="C696">
        <v>55</v>
      </c>
    </row>
    <row r="697" spans="1:5" x14ac:dyDescent="0.25">
      <c r="A697" s="21">
        <v>43555</v>
      </c>
      <c r="B697" t="s">
        <v>170</v>
      </c>
      <c r="C697">
        <v>56</v>
      </c>
    </row>
    <row r="698" spans="1:5" x14ac:dyDescent="0.25">
      <c r="A698" s="21">
        <v>43555</v>
      </c>
      <c r="B698" t="s">
        <v>173</v>
      </c>
      <c r="C698">
        <v>57</v>
      </c>
    </row>
    <row r="699" spans="1:5" x14ac:dyDescent="0.25">
      <c r="A699" s="21">
        <v>43555</v>
      </c>
      <c r="B699" t="s">
        <v>176</v>
      </c>
      <c r="C699">
        <v>58</v>
      </c>
    </row>
    <row r="700" spans="1:5" x14ac:dyDescent="0.25">
      <c r="A700" s="21">
        <v>43555</v>
      </c>
      <c r="B700" t="s">
        <v>179</v>
      </c>
      <c r="C700">
        <v>59</v>
      </c>
    </row>
    <row r="701" spans="1:5" x14ac:dyDescent="0.25">
      <c r="A701" s="21">
        <v>43555</v>
      </c>
      <c r="B701" t="s">
        <v>182</v>
      </c>
      <c r="C701">
        <v>60</v>
      </c>
    </row>
    <row r="702" spans="1:5" x14ac:dyDescent="0.25">
      <c r="A702" s="21">
        <v>43555</v>
      </c>
      <c r="B702" t="s">
        <v>185</v>
      </c>
      <c r="C702">
        <v>61</v>
      </c>
    </row>
    <row r="703" spans="1:5" x14ac:dyDescent="0.25">
      <c r="A703" s="21">
        <v>43555</v>
      </c>
      <c r="B703" t="s">
        <v>188</v>
      </c>
      <c r="C703">
        <v>62</v>
      </c>
    </row>
    <row r="704" spans="1:5" x14ac:dyDescent="0.25">
      <c r="A704" s="21">
        <v>43555</v>
      </c>
      <c r="B704" t="s">
        <v>191</v>
      </c>
      <c r="C704">
        <v>63</v>
      </c>
    </row>
    <row r="705" spans="1:5" x14ac:dyDescent="0.25">
      <c r="A705" s="21">
        <v>43555</v>
      </c>
      <c r="B705" t="s">
        <v>195</v>
      </c>
      <c r="C705">
        <v>64</v>
      </c>
    </row>
    <row r="706" spans="1:5" x14ac:dyDescent="0.25">
      <c r="A706" s="21">
        <v>43555</v>
      </c>
      <c r="B706" t="s">
        <v>199</v>
      </c>
      <c r="C706">
        <v>65</v>
      </c>
    </row>
    <row r="707" spans="1:5" x14ac:dyDescent="0.25">
      <c r="A707" s="21">
        <v>43555</v>
      </c>
      <c r="B707" t="s">
        <v>203</v>
      </c>
      <c r="C707">
        <v>66</v>
      </c>
    </row>
    <row r="708" spans="1:5" x14ac:dyDescent="0.25">
      <c r="A708" s="21">
        <v>43555</v>
      </c>
      <c r="B708" t="s">
        <v>207</v>
      </c>
      <c r="C708">
        <v>67</v>
      </c>
    </row>
    <row r="709" spans="1:5" x14ac:dyDescent="0.25">
      <c r="A709" s="21">
        <v>43555</v>
      </c>
      <c r="B709" t="s">
        <v>211</v>
      </c>
      <c r="C709">
        <v>68</v>
      </c>
    </row>
    <row r="710" spans="1:5" x14ac:dyDescent="0.25">
      <c r="A710" s="21">
        <v>43555</v>
      </c>
      <c r="B710" t="s">
        <v>215</v>
      </c>
      <c r="C710">
        <v>69</v>
      </c>
    </row>
    <row r="711" spans="1:5" x14ac:dyDescent="0.25">
      <c r="A711" s="21">
        <v>43555</v>
      </c>
      <c r="B711" t="s">
        <v>219</v>
      </c>
      <c r="C711">
        <v>70</v>
      </c>
      <c r="D711" s="69">
        <v>6883760.9900000002</v>
      </c>
      <c r="E711" s="69">
        <v>4445224.1500000004</v>
      </c>
    </row>
    <row r="712" spans="1:5" x14ac:dyDescent="0.25">
      <c r="A712" s="21">
        <v>43555</v>
      </c>
      <c r="B712" t="s">
        <v>223</v>
      </c>
      <c r="C712">
        <v>71</v>
      </c>
    </row>
    <row r="713" spans="1:5" x14ac:dyDescent="0.25">
      <c r="A713" s="21">
        <v>43555</v>
      </c>
      <c r="B713" t="s">
        <v>227</v>
      </c>
      <c r="C713">
        <v>72</v>
      </c>
    </row>
    <row r="714" spans="1:5" x14ac:dyDescent="0.25">
      <c r="A714" s="21">
        <v>43555</v>
      </c>
      <c r="B714" t="s">
        <v>231</v>
      </c>
      <c r="C714">
        <v>73</v>
      </c>
    </row>
    <row r="715" spans="1:5" x14ac:dyDescent="0.25">
      <c r="A715" s="21">
        <v>43555</v>
      </c>
      <c r="B715" t="s">
        <v>235</v>
      </c>
      <c r="C715">
        <v>74</v>
      </c>
    </row>
    <row r="716" spans="1:5" x14ac:dyDescent="0.25">
      <c r="A716" s="21">
        <v>43555</v>
      </c>
      <c r="B716" t="s">
        <v>239</v>
      </c>
      <c r="C716">
        <v>75</v>
      </c>
    </row>
    <row r="717" spans="1:5" x14ac:dyDescent="0.25">
      <c r="A717" s="21">
        <v>43555</v>
      </c>
      <c r="B717" t="s">
        <v>242</v>
      </c>
      <c r="C717">
        <v>76</v>
      </c>
    </row>
    <row r="718" spans="1:5" x14ac:dyDescent="0.25">
      <c r="A718" s="21">
        <v>43555</v>
      </c>
      <c r="B718" t="s">
        <v>245</v>
      </c>
      <c r="C718">
        <v>77</v>
      </c>
      <c r="D718" s="69">
        <v>60332362.229999997</v>
      </c>
      <c r="E718" s="69">
        <v>56460315.07</v>
      </c>
    </row>
    <row r="719" spans="1:5" x14ac:dyDescent="0.25">
      <c r="A719" s="21">
        <v>43555</v>
      </c>
      <c r="B719" t="s">
        <v>248</v>
      </c>
      <c r="C719">
        <v>78</v>
      </c>
    </row>
    <row r="720" spans="1:5" x14ac:dyDescent="0.25">
      <c r="A720" s="21">
        <v>43555</v>
      </c>
      <c r="B720" t="s">
        <v>251</v>
      </c>
      <c r="C720">
        <v>79</v>
      </c>
      <c r="D720" s="69">
        <v>60332362.229999997</v>
      </c>
      <c r="E720" s="69">
        <v>56460315.07</v>
      </c>
    </row>
    <row r="721" spans="1:5" x14ac:dyDescent="0.25">
      <c r="A721" s="21">
        <v>43555</v>
      </c>
      <c r="B721" t="s">
        <v>255</v>
      </c>
      <c r="C721">
        <v>80</v>
      </c>
      <c r="D721" s="69">
        <v>67216123.219999999</v>
      </c>
      <c r="E721" s="69">
        <v>60905539.219999999</v>
      </c>
    </row>
    <row r="722" spans="1:5" x14ac:dyDescent="0.25">
      <c r="A722" s="21">
        <v>43646</v>
      </c>
      <c r="B722" t="s">
        <v>124</v>
      </c>
      <c r="C722">
        <v>1</v>
      </c>
    </row>
    <row r="723" spans="1:5" x14ac:dyDescent="0.25">
      <c r="A723" s="21">
        <v>43646</v>
      </c>
      <c r="B723" t="s">
        <v>127</v>
      </c>
      <c r="C723">
        <v>2</v>
      </c>
      <c r="D723" s="69">
        <v>3733488.85</v>
      </c>
      <c r="E723" s="69">
        <v>162496.35</v>
      </c>
    </row>
    <row r="724" spans="1:5" x14ac:dyDescent="0.25">
      <c r="A724" s="21">
        <v>43646</v>
      </c>
      <c r="B724" t="s">
        <v>130</v>
      </c>
      <c r="C724">
        <v>3</v>
      </c>
    </row>
    <row r="725" spans="1:5" x14ac:dyDescent="0.25">
      <c r="A725" s="21">
        <v>43646</v>
      </c>
      <c r="B725" t="s">
        <v>133</v>
      </c>
      <c r="C725">
        <v>4</v>
      </c>
    </row>
    <row r="726" spans="1:5" x14ac:dyDescent="0.25">
      <c r="A726" s="21">
        <v>43646</v>
      </c>
      <c r="B726" t="s">
        <v>136</v>
      </c>
      <c r="C726">
        <v>5</v>
      </c>
    </row>
    <row r="727" spans="1:5" x14ac:dyDescent="0.25">
      <c r="A727" s="21">
        <v>43646</v>
      </c>
      <c r="B727" t="s">
        <v>139</v>
      </c>
      <c r="C727">
        <v>6</v>
      </c>
    </row>
    <row r="728" spans="1:5" x14ac:dyDescent="0.25">
      <c r="A728" s="21">
        <v>43646</v>
      </c>
      <c r="B728" t="s">
        <v>142</v>
      </c>
      <c r="C728">
        <v>7</v>
      </c>
    </row>
    <row r="729" spans="1:5" x14ac:dyDescent="0.25">
      <c r="A729" s="21">
        <v>43646</v>
      </c>
      <c r="B729" t="s">
        <v>145</v>
      </c>
      <c r="C729">
        <v>8</v>
      </c>
    </row>
    <row r="730" spans="1:5" x14ac:dyDescent="0.25">
      <c r="A730" s="21">
        <v>43646</v>
      </c>
      <c r="B730" t="s">
        <v>148</v>
      </c>
      <c r="C730">
        <v>9</v>
      </c>
    </row>
    <row r="731" spans="1:5" x14ac:dyDescent="0.25">
      <c r="A731" s="21">
        <v>43646</v>
      </c>
      <c r="B731" t="s">
        <v>151</v>
      </c>
      <c r="C731">
        <v>10</v>
      </c>
    </row>
    <row r="732" spans="1:5" x14ac:dyDescent="0.25">
      <c r="A732" s="21">
        <v>43646</v>
      </c>
      <c r="B732" t="s">
        <v>154</v>
      </c>
      <c r="C732">
        <v>11</v>
      </c>
    </row>
    <row r="733" spans="1:5" x14ac:dyDescent="0.25">
      <c r="A733" s="21">
        <v>43646</v>
      </c>
      <c r="B733" t="s">
        <v>157</v>
      </c>
      <c r="C733">
        <v>12</v>
      </c>
    </row>
    <row r="734" spans="1:5" x14ac:dyDescent="0.25">
      <c r="A734" s="21">
        <v>43646</v>
      </c>
      <c r="B734" t="s">
        <v>160</v>
      </c>
      <c r="C734">
        <v>13</v>
      </c>
    </row>
    <row r="735" spans="1:5" x14ac:dyDescent="0.25">
      <c r="A735" s="21">
        <v>43646</v>
      </c>
      <c r="B735" t="s">
        <v>163</v>
      </c>
      <c r="C735">
        <v>14</v>
      </c>
    </row>
    <row r="736" spans="1:5" x14ac:dyDescent="0.25">
      <c r="A736" s="21">
        <v>43646</v>
      </c>
      <c r="B736" t="s">
        <v>166</v>
      </c>
      <c r="C736">
        <v>15</v>
      </c>
    </row>
    <row r="737" spans="1:5" x14ac:dyDescent="0.25">
      <c r="A737" s="21">
        <v>43646</v>
      </c>
      <c r="B737" t="s">
        <v>169</v>
      </c>
      <c r="C737">
        <v>16</v>
      </c>
    </row>
    <row r="738" spans="1:5" x14ac:dyDescent="0.25">
      <c r="A738" s="21">
        <v>43646</v>
      </c>
      <c r="B738" t="s">
        <v>172</v>
      </c>
      <c r="C738">
        <v>17</v>
      </c>
      <c r="D738" s="69">
        <v>115357.34</v>
      </c>
      <c r="E738" s="69">
        <v>248168.64</v>
      </c>
    </row>
    <row r="739" spans="1:5" x14ac:dyDescent="0.25">
      <c r="A739" s="21">
        <v>43646</v>
      </c>
      <c r="B739" t="s">
        <v>175</v>
      </c>
      <c r="C739">
        <v>18</v>
      </c>
      <c r="D739" s="69">
        <v>7177492.3899999997</v>
      </c>
      <c r="E739" s="69">
        <v>5881306.9199999999</v>
      </c>
    </row>
    <row r="740" spans="1:5" x14ac:dyDescent="0.25">
      <c r="A740" s="21">
        <v>43646</v>
      </c>
      <c r="B740" t="s">
        <v>178</v>
      </c>
      <c r="C740">
        <v>19</v>
      </c>
    </row>
    <row r="741" spans="1:5" x14ac:dyDescent="0.25">
      <c r="A741" s="21">
        <v>43646</v>
      </c>
      <c r="B741" t="s">
        <v>181</v>
      </c>
      <c r="C741">
        <v>20</v>
      </c>
    </row>
    <row r="742" spans="1:5" x14ac:dyDescent="0.25">
      <c r="A742" s="21">
        <v>43646</v>
      </c>
      <c r="B742" t="s">
        <v>184</v>
      </c>
      <c r="C742">
        <v>21</v>
      </c>
      <c r="D742" s="69">
        <v>62090794.600000001</v>
      </c>
      <c r="E742" s="69">
        <v>53679688.960000001</v>
      </c>
    </row>
    <row r="743" spans="1:5" x14ac:dyDescent="0.25">
      <c r="A743" s="21">
        <v>43646</v>
      </c>
      <c r="B743" t="s">
        <v>187</v>
      </c>
      <c r="C743">
        <v>22</v>
      </c>
    </row>
    <row r="744" spans="1:5" x14ac:dyDescent="0.25">
      <c r="A744" s="21">
        <v>43646</v>
      </c>
      <c r="B744" t="s">
        <v>190</v>
      </c>
      <c r="C744">
        <v>23</v>
      </c>
    </row>
    <row r="745" spans="1:5" x14ac:dyDescent="0.25">
      <c r="A745" s="21">
        <v>43646</v>
      </c>
      <c r="B745" t="s">
        <v>193</v>
      </c>
      <c r="C745">
        <v>24</v>
      </c>
    </row>
    <row r="746" spans="1:5" x14ac:dyDescent="0.25">
      <c r="A746" s="21">
        <v>43646</v>
      </c>
      <c r="B746" t="s">
        <v>197</v>
      </c>
      <c r="C746">
        <v>25</v>
      </c>
    </row>
    <row r="747" spans="1:5" x14ac:dyDescent="0.25">
      <c r="A747" s="21">
        <v>43646</v>
      </c>
      <c r="B747" t="s">
        <v>201</v>
      </c>
      <c r="C747">
        <v>26</v>
      </c>
    </row>
    <row r="748" spans="1:5" x14ac:dyDescent="0.25">
      <c r="A748" s="21">
        <v>43646</v>
      </c>
      <c r="B748" t="s">
        <v>205</v>
      </c>
      <c r="C748">
        <v>27</v>
      </c>
    </row>
    <row r="749" spans="1:5" x14ac:dyDescent="0.25">
      <c r="A749" s="21">
        <v>43646</v>
      </c>
      <c r="B749" t="s">
        <v>209</v>
      </c>
      <c r="C749">
        <v>28</v>
      </c>
    </row>
    <row r="750" spans="1:5" x14ac:dyDescent="0.25">
      <c r="A750" s="21">
        <v>43646</v>
      </c>
      <c r="B750" t="s">
        <v>213</v>
      </c>
      <c r="C750">
        <v>29</v>
      </c>
      <c r="D750" s="69">
        <v>613384.88</v>
      </c>
      <c r="E750" s="69">
        <v>673727.19</v>
      </c>
    </row>
    <row r="751" spans="1:5" x14ac:dyDescent="0.25">
      <c r="A751" s="21">
        <v>43646</v>
      </c>
      <c r="B751" t="s">
        <v>217</v>
      </c>
      <c r="C751">
        <v>30</v>
      </c>
    </row>
    <row r="752" spans="1:5" x14ac:dyDescent="0.25">
      <c r="A752" s="21">
        <v>43646</v>
      </c>
      <c r="B752" t="s">
        <v>221</v>
      </c>
      <c r="C752">
        <v>31</v>
      </c>
    </row>
    <row r="753" spans="1:5" x14ac:dyDescent="0.25">
      <c r="A753" s="21">
        <v>43646</v>
      </c>
      <c r="B753" t="s">
        <v>225</v>
      </c>
      <c r="C753">
        <v>32</v>
      </c>
      <c r="D753" s="69">
        <v>205754.81</v>
      </c>
      <c r="E753" s="69">
        <v>260151.16</v>
      </c>
    </row>
    <row r="754" spans="1:5" x14ac:dyDescent="0.25">
      <c r="A754" s="21">
        <v>43646</v>
      </c>
      <c r="B754" t="s">
        <v>229</v>
      </c>
      <c r="C754">
        <v>33</v>
      </c>
    </row>
    <row r="755" spans="1:5" x14ac:dyDescent="0.25">
      <c r="A755" s="21">
        <v>43646</v>
      </c>
      <c r="B755" t="s">
        <v>233</v>
      </c>
      <c r="C755">
        <v>34</v>
      </c>
    </row>
    <row r="756" spans="1:5" x14ac:dyDescent="0.25">
      <c r="A756" s="21">
        <v>43646</v>
      </c>
      <c r="B756" t="s">
        <v>237</v>
      </c>
      <c r="C756">
        <v>35</v>
      </c>
    </row>
    <row r="757" spans="1:5" x14ac:dyDescent="0.25">
      <c r="A757" s="21">
        <v>43646</v>
      </c>
      <c r="C757">
        <v>36</v>
      </c>
    </row>
    <row r="758" spans="1:5" x14ac:dyDescent="0.25">
      <c r="A758" s="21">
        <v>43646</v>
      </c>
      <c r="C758">
        <v>37</v>
      </c>
    </row>
    <row r="759" spans="1:5" x14ac:dyDescent="0.25">
      <c r="A759" s="21">
        <v>43646</v>
      </c>
      <c r="C759">
        <v>38</v>
      </c>
    </row>
    <row r="760" spans="1:5" x14ac:dyDescent="0.25">
      <c r="A760" s="21">
        <v>43646</v>
      </c>
      <c r="C760">
        <v>39</v>
      </c>
    </row>
    <row r="761" spans="1:5" x14ac:dyDescent="0.25">
      <c r="A761" s="21">
        <v>43646</v>
      </c>
      <c r="B761" t="s">
        <v>253</v>
      </c>
      <c r="C761">
        <v>40</v>
      </c>
      <c r="D761" s="69">
        <v>73936272.870000005</v>
      </c>
      <c r="E761" s="69">
        <v>60905539.219999999</v>
      </c>
    </row>
    <row r="762" spans="1:5" x14ac:dyDescent="0.25">
      <c r="A762" s="21">
        <v>43646</v>
      </c>
      <c r="B762" t="s">
        <v>125</v>
      </c>
      <c r="C762">
        <v>41</v>
      </c>
    </row>
    <row r="763" spans="1:5" x14ac:dyDescent="0.25">
      <c r="A763" s="21">
        <v>43646</v>
      </c>
      <c r="B763" t="s">
        <v>128</v>
      </c>
      <c r="C763">
        <v>42</v>
      </c>
    </row>
    <row r="764" spans="1:5" x14ac:dyDescent="0.25">
      <c r="A764" s="21">
        <v>43646</v>
      </c>
      <c r="B764" t="s">
        <v>131</v>
      </c>
      <c r="C764">
        <v>43</v>
      </c>
    </row>
    <row r="765" spans="1:5" x14ac:dyDescent="0.25">
      <c r="A765" s="21">
        <v>43646</v>
      </c>
      <c r="B765" t="s">
        <v>134</v>
      </c>
      <c r="C765">
        <v>44</v>
      </c>
    </row>
    <row r="766" spans="1:5" x14ac:dyDescent="0.25">
      <c r="A766" s="21">
        <v>43646</v>
      </c>
      <c r="B766" t="s">
        <v>137</v>
      </c>
      <c r="C766">
        <v>45</v>
      </c>
    </row>
    <row r="767" spans="1:5" x14ac:dyDescent="0.25">
      <c r="A767" s="21">
        <v>43646</v>
      </c>
      <c r="B767" t="s">
        <v>140</v>
      </c>
      <c r="C767">
        <v>46</v>
      </c>
    </row>
    <row r="768" spans="1:5" x14ac:dyDescent="0.25">
      <c r="A768" s="21">
        <v>43646</v>
      </c>
      <c r="B768" t="s">
        <v>143</v>
      </c>
      <c r="C768">
        <v>47</v>
      </c>
      <c r="D768" s="69"/>
      <c r="E768" s="69"/>
    </row>
    <row r="769" spans="1:5" x14ac:dyDescent="0.25">
      <c r="A769" s="21">
        <v>43646</v>
      </c>
      <c r="B769" t="s">
        <v>146</v>
      </c>
      <c r="C769">
        <v>48</v>
      </c>
      <c r="D769" s="69">
        <v>11255</v>
      </c>
      <c r="E769" s="69">
        <v>11255</v>
      </c>
    </row>
    <row r="770" spans="1:5" x14ac:dyDescent="0.25">
      <c r="A770" s="21">
        <v>43646</v>
      </c>
      <c r="B770" t="s">
        <v>149</v>
      </c>
      <c r="C770">
        <v>49</v>
      </c>
      <c r="D770" s="69">
        <v>839000</v>
      </c>
      <c r="E770" s="69">
        <v>411000</v>
      </c>
    </row>
    <row r="771" spans="1:5" x14ac:dyDescent="0.25">
      <c r="A771" s="21">
        <v>43646</v>
      </c>
      <c r="B771" t="s">
        <v>152</v>
      </c>
      <c r="C771">
        <v>50</v>
      </c>
      <c r="D771" s="69"/>
      <c r="E771" s="69"/>
    </row>
    <row r="772" spans="1:5" x14ac:dyDescent="0.25">
      <c r="A772" s="21">
        <v>43646</v>
      </c>
      <c r="B772" t="s">
        <v>155</v>
      </c>
      <c r="C772">
        <v>51</v>
      </c>
      <c r="D772" s="69">
        <v>3941291.05</v>
      </c>
      <c r="E772" s="69">
        <v>2953723.51</v>
      </c>
    </row>
    <row r="773" spans="1:5" x14ac:dyDescent="0.25">
      <c r="A773" s="21">
        <v>43646</v>
      </c>
      <c r="B773" t="s">
        <v>158</v>
      </c>
      <c r="C773">
        <v>52</v>
      </c>
      <c r="D773" s="69">
        <v>1996324.7</v>
      </c>
      <c r="E773" s="69">
        <v>774255.33</v>
      </c>
    </row>
    <row r="774" spans="1:5" x14ac:dyDescent="0.25">
      <c r="A774" s="21">
        <v>43646</v>
      </c>
      <c r="B774" t="s">
        <v>161</v>
      </c>
      <c r="C774">
        <v>53</v>
      </c>
      <c r="D774" s="69"/>
      <c r="E774" s="69"/>
    </row>
    <row r="775" spans="1:5" x14ac:dyDescent="0.25">
      <c r="A775" s="21">
        <v>43646</v>
      </c>
      <c r="B775" t="s">
        <v>164</v>
      </c>
      <c r="C775">
        <v>54</v>
      </c>
      <c r="D775" s="69">
        <v>277345.71000000002</v>
      </c>
      <c r="E775" s="69">
        <v>294990.31</v>
      </c>
    </row>
    <row r="776" spans="1:5" x14ac:dyDescent="0.25">
      <c r="A776" s="21">
        <v>43646</v>
      </c>
      <c r="B776" t="s">
        <v>167</v>
      </c>
      <c r="C776">
        <v>55</v>
      </c>
    </row>
    <row r="777" spans="1:5" x14ac:dyDescent="0.25">
      <c r="A777" s="21">
        <v>43646</v>
      </c>
      <c r="B777" t="s">
        <v>170</v>
      </c>
      <c r="C777">
        <v>56</v>
      </c>
    </row>
    <row r="778" spans="1:5" x14ac:dyDescent="0.25">
      <c r="A778" s="21">
        <v>43646</v>
      </c>
      <c r="B778" t="s">
        <v>173</v>
      </c>
      <c r="C778">
        <v>57</v>
      </c>
    </row>
    <row r="779" spans="1:5" x14ac:dyDescent="0.25">
      <c r="A779" s="21">
        <v>43646</v>
      </c>
      <c r="B779" t="s">
        <v>176</v>
      </c>
      <c r="C779">
        <v>58</v>
      </c>
    </row>
    <row r="780" spans="1:5" x14ac:dyDescent="0.25">
      <c r="A780" s="21">
        <v>43646</v>
      </c>
      <c r="B780" t="s">
        <v>179</v>
      </c>
      <c r="C780">
        <v>59</v>
      </c>
    </row>
    <row r="781" spans="1:5" x14ac:dyDescent="0.25">
      <c r="A781" s="21">
        <v>43646</v>
      </c>
      <c r="B781" t="s">
        <v>182</v>
      </c>
      <c r="C781">
        <v>60</v>
      </c>
    </row>
    <row r="782" spans="1:5" x14ac:dyDescent="0.25">
      <c r="A782" s="21">
        <v>43646</v>
      </c>
      <c r="B782" t="s">
        <v>185</v>
      </c>
      <c r="C782">
        <v>61</v>
      </c>
    </row>
    <row r="783" spans="1:5" x14ac:dyDescent="0.25">
      <c r="A783" s="21">
        <v>43646</v>
      </c>
      <c r="B783" t="s">
        <v>188</v>
      </c>
      <c r="C783">
        <v>62</v>
      </c>
    </row>
    <row r="784" spans="1:5" x14ac:dyDescent="0.25">
      <c r="A784" s="21">
        <v>43646</v>
      </c>
      <c r="B784" t="s">
        <v>191</v>
      </c>
      <c r="C784">
        <v>63</v>
      </c>
    </row>
    <row r="785" spans="1:5" x14ac:dyDescent="0.25">
      <c r="A785" s="21">
        <v>43646</v>
      </c>
      <c r="B785" t="s">
        <v>195</v>
      </c>
      <c r="C785">
        <v>64</v>
      </c>
    </row>
    <row r="786" spans="1:5" x14ac:dyDescent="0.25">
      <c r="A786" s="21">
        <v>43646</v>
      </c>
      <c r="B786" t="s">
        <v>199</v>
      </c>
      <c r="C786">
        <v>65</v>
      </c>
    </row>
    <row r="787" spans="1:5" x14ac:dyDescent="0.25">
      <c r="A787" s="21">
        <v>43646</v>
      </c>
      <c r="B787" t="s">
        <v>203</v>
      </c>
      <c r="C787">
        <v>66</v>
      </c>
    </row>
    <row r="788" spans="1:5" x14ac:dyDescent="0.25">
      <c r="A788" s="21">
        <v>43646</v>
      </c>
      <c r="B788" t="s">
        <v>207</v>
      </c>
      <c r="C788">
        <v>67</v>
      </c>
    </row>
    <row r="789" spans="1:5" x14ac:dyDescent="0.25">
      <c r="A789" s="21">
        <v>43646</v>
      </c>
      <c r="B789" t="s">
        <v>211</v>
      </c>
      <c r="C789">
        <v>68</v>
      </c>
    </row>
    <row r="790" spans="1:5" x14ac:dyDescent="0.25">
      <c r="A790" s="21">
        <v>43646</v>
      </c>
      <c r="B790" t="s">
        <v>215</v>
      </c>
      <c r="C790">
        <v>69</v>
      </c>
      <c r="D790" s="69"/>
      <c r="E790" s="69"/>
    </row>
    <row r="791" spans="1:5" x14ac:dyDescent="0.25">
      <c r="A791" s="21">
        <v>43646</v>
      </c>
      <c r="B791" t="s">
        <v>219</v>
      </c>
      <c r="C791">
        <v>70</v>
      </c>
      <c r="D791" s="69">
        <v>7065216.46</v>
      </c>
      <c r="E791" s="69">
        <v>4445224.1500000004</v>
      </c>
    </row>
    <row r="792" spans="1:5" x14ac:dyDescent="0.25">
      <c r="A792" s="21">
        <v>43646</v>
      </c>
      <c r="B792" t="s">
        <v>223</v>
      </c>
      <c r="C792">
        <v>71</v>
      </c>
    </row>
    <row r="793" spans="1:5" x14ac:dyDescent="0.25">
      <c r="A793" s="21">
        <v>43646</v>
      </c>
      <c r="B793" t="s">
        <v>227</v>
      </c>
      <c r="C793">
        <v>72</v>
      </c>
    </row>
    <row r="794" spans="1:5" x14ac:dyDescent="0.25">
      <c r="A794" s="21">
        <v>43646</v>
      </c>
      <c r="B794" t="s">
        <v>231</v>
      </c>
      <c r="C794">
        <v>73</v>
      </c>
    </row>
    <row r="795" spans="1:5" x14ac:dyDescent="0.25">
      <c r="A795" s="21">
        <v>43646</v>
      </c>
      <c r="B795" t="s">
        <v>235</v>
      </c>
      <c r="C795">
        <v>74</v>
      </c>
    </row>
    <row r="796" spans="1:5" x14ac:dyDescent="0.25">
      <c r="A796" s="21">
        <v>43646</v>
      </c>
      <c r="B796" t="s">
        <v>239</v>
      </c>
      <c r="C796">
        <v>75</v>
      </c>
    </row>
    <row r="797" spans="1:5" x14ac:dyDescent="0.25">
      <c r="A797" s="21">
        <v>43646</v>
      </c>
      <c r="B797" t="s">
        <v>242</v>
      </c>
      <c r="C797">
        <v>76</v>
      </c>
      <c r="D797" s="69"/>
      <c r="E797" s="69"/>
    </row>
    <row r="798" spans="1:5" x14ac:dyDescent="0.25">
      <c r="A798" s="21">
        <v>43646</v>
      </c>
      <c r="B798" t="s">
        <v>245</v>
      </c>
      <c r="C798">
        <v>77</v>
      </c>
      <c r="D798" s="69">
        <v>66871056.409999996</v>
      </c>
      <c r="E798" s="69">
        <v>56460315.07</v>
      </c>
    </row>
    <row r="799" spans="1:5" x14ac:dyDescent="0.25">
      <c r="A799" s="21">
        <v>43646</v>
      </c>
      <c r="B799" t="s">
        <v>248</v>
      </c>
      <c r="C799">
        <v>78</v>
      </c>
      <c r="D799" s="69"/>
      <c r="E799" s="69"/>
    </row>
    <row r="800" spans="1:5" x14ac:dyDescent="0.25">
      <c r="A800" s="21">
        <v>43646</v>
      </c>
      <c r="B800" t="s">
        <v>251</v>
      </c>
      <c r="C800">
        <v>79</v>
      </c>
      <c r="D800" s="69">
        <v>66871056.409999996</v>
      </c>
      <c r="E800" s="69">
        <v>56460315.07</v>
      </c>
    </row>
    <row r="801" spans="1:5" x14ac:dyDescent="0.25">
      <c r="A801" s="21">
        <v>43646</v>
      </c>
      <c r="B801" t="s">
        <v>255</v>
      </c>
      <c r="C801">
        <v>80</v>
      </c>
      <c r="D801" s="69">
        <v>73936272.870000005</v>
      </c>
      <c r="E801" s="69">
        <v>60905539.219999999</v>
      </c>
    </row>
    <row r="802" spans="1:5" x14ac:dyDescent="0.25">
      <c r="A802" s="21">
        <v>43830</v>
      </c>
      <c r="B802" t="s">
        <v>124</v>
      </c>
      <c r="C802">
        <v>1</v>
      </c>
    </row>
    <row r="803" spans="1:5" x14ac:dyDescent="0.25">
      <c r="A803" s="21">
        <v>43830</v>
      </c>
      <c r="B803" t="s">
        <v>127</v>
      </c>
      <c r="C803">
        <v>2</v>
      </c>
      <c r="D803" s="69">
        <v>681163.86</v>
      </c>
      <c r="E803" s="69">
        <v>162496.35</v>
      </c>
    </row>
    <row r="804" spans="1:5" x14ac:dyDescent="0.25">
      <c r="A804" s="21">
        <v>43830</v>
      </c>
      <c r="B804" t="s">
        <v>130</v>
      </c>
      <c r="C804">
        <v>3</v>
      </c>
    </row>
    <row r="805" spans="1:5" x14ac:dyDescent="0.25">
      <c r="A805" s="21">
        <v>43830</v>
      </c>
      <c r="B805" t="s">
        <v>133</v>
      </c>
      <c r="C805">
        <v>4</v>
      </c>
    </row>
    <row r="806" spans="1:5" x14ac:dyDescent="0.25">
      <c r="A806" s="21">
        <v>43830</v>
      </c>
      <c r="B806" t="s">
        <v>136</v>
      </c>
      <c r="C806">
        <v>5</v>
      </c>
    </row>
    <row r="807" spans="1:5" x14ac:dyDescent="0.25">
      <c r="A807" s="21">
        <v>43830</v>
      </c>
      <c r="B807" t="s">
        <v>139</v>
      </c>
      <c r="C807">
        <v>6</v>
      </c>
    </row>
    <row r="808" spans="1:5" x14ac:dyDescent="0.25">
      <c r="A808" s="21">
        <v>43830</v>
      </c>
      <c r="B808" t="s">
        <v>142</v>
      </c>
      <c r="C808">
        <v>7</v>
      </c>
    </row>
    <row r="809" spans="1:5" x14ac:dyDescent="0.25">
      <c r="A809" s="21">
        <v>43830</v>
      </c>
      <c r="B809" t="s">
        <v>145</v>
      </c>
      <c r="C809">
        <v>8</v>
      </c>
    </row>
    <row r="810" spans="1:5" x14ac:dyDescent="0.25">
      <c r="A810" s="21">
        <v>43830</v>
      </c>
      <c r="B810" t="s">
        <v>148</v>
      </c>
      <c r="C810">
        <v>9</v>
      </c>
    </row>
    <row r="811" spans="1:5" x14ac:dyDescent="0.25">
      <c r="A811" s="21">
        <v>43830</v>
      </c>
      <c r="B811" t="s">
        <v>151</v>
      </c>
      <c r="C811">
        <v>10</v>
      </c>
    </row>
    <row r="812" spans="1:5" x14ac:dyDescent="0.25">
      <c r="A812" s="21">
        <v>43830</v>
      </c>
      <c r="B812" t="s">
        <v>154</v>
      </c>
      <c r="C812">
        <v>11</v>
      </c>
    </row>
    <row r="813" spans="1:5" x14ac:dyDescent="0.25">
      <c r="A813" s="21">
        <v>43830</v>
      </c>
      <c r="B813" t="s">
        <v>157</v>
      </c>
      <c r="C813">
        <v>12</v>
      </c>
    </row>
    <row r="814" spans="1:5" x14ac:dyDescent="0.25">
      <c r="A814" s="21">
        <v>43830</v>
      </c>
      <c r="B814" t="s">
        <v>160</v>
      </c>
      <c r="C814">
        <v>13</v>
      </c>
    </row>
    <row r="815" spans="1:5" x14ac:dyDescent="0.25">
      <c r="A815" s="21">
        <v>43830</v>
      </c>
      <c r="B815" t="s">
        <v>163</v>
      </c>
      <c r="C815">
        <v>14</v>
      </c>
    </row>
    <row r="816" spans="1:5" x14ac:dyDescent="0.25">
      <c r="A816" s="21">
        <v>43830</v>
      </c>
      <c r="B816" t="s">
        <v>166</v>
      </c>
      <c r="C816">
        <v>15</v>
      </c>
    </row>
    <row r="817" spans="1:5" x14ac:dyDescent="0.25">
      <c r="A817" s="21">
        <v>43830</v>
      </c>
      <c r="B817" t="s">
        <v>169</v>
      </c>
      <c r="C817">
        <v>16</v>
      </c>
    </row>
    <row r="818" spans="1:5" x14ac:dyDescent="0.25">
      <c r="A818" s="21">
        <v>43830</v>
      </c>
      <c r="B818" t="s">
        <v>172</v>
      </c>
      <c r="C818">
        <v>17</v>
      </c>
      <c r="D818" s="69">
        <v>88749.28</v>
      </c>
      <c r="E818" s="69">
        <v>248168.64</v>
      </c>
    </row>
    <row r="819" spans="1:5" x14ac:dyDescent="0.25">
      <c r="A819" s="21">
        <v>43830</v>
      </c>
      <c r="B819" t="s">
        <v>175</v>
      </c>
      <c r="C819">
        <v>18</v>
      </c>
      <c r="D819" s="69">
        <v>9556084.4000000004</v>
      </c>
      <c r="E819" s="69">
        <v>5881306.9199999999</v>
      </c>
    </row>
    <row r="820" spans="1:5" x14ac:dyDescent="0.25">
      <c r="A820" s="21">
        <v>43830</v>
      </c>
      <c r="B820" t="s">
        <v>178</v>
      </c>
      <c r="C820">
        <v>19</v>
      </c>
    </row>
    <row r="821" spans="1:5" x14ac:dyDescent="0.25">
      <c r="A821" s="21">
        <v>43830</v>
      </c>
      <c r="B821" t="s">
        <v>181</v>
      </c>
      <c r="C821">
        <v>20</v>
      </c>
    </row>
    <row r="822" spans="1:5" x14ac:dyDescent="0.25">
      <c r="A822" s="21">
        <v>43830</v>
      </c>
      <c r="B822" t="s">
        <v>184</v>
      </c>
      <c r="C822">
        <v>21</v>
      </c>
      <c r="D822" s="69">
        <v>79637139.549999997</v>
      </c>
      <c r="E822" s="69">
        <v>53679688.960000001</v>
      </c>
    </row>
    <row r="823" spans="1:5" x14ac:dyDescent="0.25">
      <c r="A823" s="21">
        <v>43830</v>
      </c>
      <c r="B823" t="s">
        <v>187</v>
      </c>
      <c r="C823">
        <v>22</v>
      </c>
    </row>
    <row r="824" spans="1:5" x14ac:dyDescent="0.25">
      <c r="A824" s="21">
        <v>43830</v>
      </c>
      <c r="B824" t="s">
        <v>190</v>
      </c>
      <c r="C824">
        <v>23</v>
      </c>
    </row>
    <row r="825" spans="1:5" x14ac:dyDescent="0.25">
      <c r="A825" s="21">
        <v>43830</v>
      </c>
      <c r="B825" t="s">
        <v>193</v>
      </c>
      <c r="C825">
        <v>24</v>
      </c>
    </row>
    <row r="826" spans="1:5" x14ac:dyDescent="0.25">
      <c r="A826" s="21">
        <v>43830</v>
      </c>
      <c r="B826" t="s">
        <v>197</v>
      </c>
      <c r="C826">
        <v>25</v>
      </c>
    </row>
    <row r="827" spans="1:5" x14ac:dyDescent="0.25">
      <c r="A827" s="21">
        <v>43830</v>
      </c>
      <c r="B827" t="s">
        <v>201</v>
      </c>
      <c r="C827">
        <v>26</v>
      </c>
    </row>
    <row r="828" spans="1:5" x14ac:dyDescent="0.25">
      <c r="A828" s="21">
        <v>43830</v>
      </c>
      <c r="B828" t="s">
        <v>205</v>
      </c>
      <c r="C828">
        <v>27</v>
      </c>
    </row>
    <row r="829" spans="1:5" x14ac:dyDescent="0.25">
      <c r="A829" s="21">
        <v>43830</v>
      </c>
      <c r="B829" t="s">
        <v>209</v>
      </c>
      <c r="C829">
        <v>28</v>
      </c>
    </row>
    <row r="830" spans="1:5" x14ac:dyDescent="0.25">
      <c r="A830" s="21">
        <v>43830</v>
      </c>
      <c r="B830" t="s">
        <v>213</v>
      </c>
      <c r="C830">
        <v>29</v>
      </c>
      <c r="D830" s="69">
        <v>578389.44999999995</v>
      </c>
      <c r="E830" s="69">
        <v>673727.19</v>
      </c>
    </row>
    <row r="831" spans="1:5" x14ac:dyDescent="0.25">
      <c r="A831" s="21">
        <v>43830</v>
      </c>
      <c r="B831" t="s">
        <v>217</v>
      </c>
      <c r="C831">
        <v>30</v>
      </c>
    </row>
    <row r="832" spans="1:5" x14ac:dyDescent="0.25">
      <c r="A832" s="21">
        <v>43830</v>
      </c>
      <c r="B832" t="s">
        <v>221</v>
      </c>
      <c r="C832">
        <v>31</v>
      </c>
    </row>
    <row r="833" spans="1:5" x14ac:dyDescent="0.25">
      <c r="A833" s="21">
        <v>43830</v>
      </c>
      <c r="B833" t="s">
        <v>225</v>
      </c>
      <c r="C833">
        <v>32</v>
      </c>
      <c r="D833" s="69">
        <v>151358.47</v>
      </c>
      <c r="E833" s="69">
        <v>260151.16</v>
      </c>
    </row>
    <row r="834" spans="1:5" x14ac:dyDescent="0.25">
      <c r="A834" s="21">
        <v>43830</v>
      </c>
      <c r="B834" t="s">
        <v>229</v>
      </c>
      <c r="C834">
        <v>33</v>
      </c>
    </row>
    <row r="835" spans="1:5" x14ac:dyDescent="0.25">
      <c r="A835" s="21">
        <v>43830</v>
      </c>
      <c r="B835" t="s">
        <v>233</v>
      </c>
      <c r="C835">
        <v>34</v>
      </c>
    </row>
    <row r="836" spans="1:5" x14ac:dyDescent="0.25">
      <c r="A836" s="21">
        <v>43830</v>
      </c>
      <c r="B836" t="s">
        <v>237</v>
      </c>
      <c r="C836">
        <v>35</v>
      </c>
    </row>
    <row r="837" spans="1:5" x14ac:dyDescent="0.25">
      <c r="A837" s="21">
        <v>43830</v>
      </c>
      <c r="C837">
        <v>36</v>
      </c>
    </row>
    <row r="838" spans="1:5" x14ac:dyDescent="0.25">
      <c r="A838" s="21">
        <v>43830</v>
      </c>
      <c r="C838">
        <v>37</v>
      </c>
    </row>
    <row r="839" spans="1:5" x14ac:dyDescent="0.25">
      <c r="A839" s="21">
        <v>43830</v>
      </c>
      <c r="C839">
        <v>38</v>
      </c>
    </row>
    <row r="840" spans="1:5" x14ac:dyDescent="0.25">
      <c r="A840" s="21">
        <v>43830</v>
      </c>
      <c r="C840">
        <v>39</v>
      </c>
    </row>
    <row r="841" spans="1:5" x14ac:dyDescent="0.25">
      <c r="A841" s="21">
        <v>43830</v>
      </c>
      <c r="B841" t="s">
        <v>253</v>
      </c>
      <c r="C841">
        <v>40</v>
      </c>
      <c r="D841" s="69">
        <v>90692885.010000005</v>
      </c>
      <c r="E841" s="69">
        <v>60905539.219999999</v>
      </c>
    </row>
    <row r="842" spans="1:5" x14ac:dyDescent="0.25">
      <c r="A842" s="21">
        <v>43830</v>
      </c>
      <c r="B842" t="s">
        <v>125</v>
      </c>
      <c r="C842">
        <v>41</v>
      </c>
    </row>
    <row r="843" spans="1:5" x14ac:dyDescent="0.25">
      <c r="A843" s="21">
        <v>43830</v>
      </c>
      <c r="B843" t="s">
        <v>128</v>
      </c>
      <c r="C843">
        <v>42</v>
      </c>
    </row>
    <row r="844" spans="1:5" x14ac:dyDescent="0.25">
      <c r="A844" s="21">
        <v>43830</v>
      </c>
      <c r="B844" t="s">
        <v>131</v>
      </c>
      <c r="C844">
        <v>43</v>
      </c>
    </row>
    <row r="845" spans="1:5" x14ac:dyDescent="0.25">
      <c r="A845" s="21">
        <v>43830</v>
      </c>
      <c r="B845" t="s">
        <v>134</v>
      </c>
      <c r="C845">
        <v>44</v>
      </c>
    </row>
    <row r="846" spans="1:5" x14ac:dyDescent="0.25">
      <c r="A846" s="21">
        <v>43830</v>
      </c>
      <c r="B846" t="s">
        <v>137</v>
      </c>
      <c r="C846">
        <v>45</v>
      </c>
    </row>
    <row r="847" spans="1:5" x14ac:dyDescent="0.25">
      <c r="A847" s="21">
        <v>43830</v>
      </c>
      <c r="B847" t="s">
        <v>140</v>
      </c>
      <c r="C847">
        <v>46</v>
      </c>
    </row>
    <row r="848" spans="1:5" x14ac:dyDescent="0.25">
      <c r="A848" s="21">
        <v>43830</v>
      </c>
      <c r="B848" t="s">
        <v>143</v>
      </c>
      <c r="C848">
        <v>47</v>
      </c>
    </row>
    <row r="849" spans="1:5" x14ac:dyDescent="0.25">
      <c r="A849" s="21">
        <v>43830</v>
      </c>
      <c r="B849" t="s">
        <v>146</v>
      </c>
      <c r="C849">
        <v>48</v>
      </c>
      <c r="D849" s="69">
        <v>15514</v>
      </c>
      <c r="E849" s="69">
        <v>11255</v>
      </c>
    </row>
    <row r="850" spans="1:5" x14ac:dyDescent="0.25">
      <c r="A850" s="21">
        <v>43830</v>
      </c>
      <c r="B850" t="s">
        <v>149</v>
      </c>
      <c r="C850">
        <v>49</v>
      </c>
      <c r="D850" s="69">
        <v>676000</v>
      </c>
      <c r="E850" s="69">
        <v>411000</v>
      </c>
    </row>
    <row r="851" spans="1:5" x14ac:dyDescent="0.25">
      <c r="A851" s="21">
        <v>43830</v>
      </c>
      <c r="B851" t="s">
        <v>152</v>
      </c>
      <c r="C851">
        <v>50</v>
      </c>
    </row>
    <row r="852" spans="1:5" x14ac:dyDescent="0.25">
      <c r="A852" s="21">
        <v>43830</v>
      </c>
      <c r="B852" t="s">
        <v>155</v>
      </c>
      <c r="C852">
        <v>51</v>
      </c>
      <c r="D852" s="69">
        <v>5450112.9900000002</v>
      </c>
      <c r="E852" s="69">
        <v>2953723.51</v>
      </c>
    </row>
    <row r="853" spans="1:5" x14ac:dyDescent="0.25">
      <c r="A853" s="21">
        <v>43830</v>
      </c>
      <c r="B853" t="s">
        <v>158</v>
      </c>
      <c r="C853">
        <v>52</v>
      </c>
      <c r="D853" s="69">
        <v>5717154.8600000003</v>
      </c>
      <c r="E853" s="69">
        <v>774255.33</v>
      </c>
    </row>
    <row r="854" spans="1:5" x14ac:dyDescent="0.25">
      <c r="A854" s="21">
        <v>43830</v>
      </c>
      <c r="B854" t="s">
        <v>161</v>
      </c>
      <c r="C854">
        <v>53</v>
      </c>
    </row>
    <row r="855" spans="1:5" x14ac:dyDescent="0.25">
      <c r="A855" s="21">
        <v>43830</v>
      </c>
      <c r="B855" t="s">
        <v>164</v>
      </c>
      <c r="C855">
        <v>54</v>
      </c>
      <c r="D855" s="69">
        <v>510510.71</v>
      </c>
      <c r="E855" s="69">
        <v>294990.31</v>
      </c>
    </row>
    <row r="856" spans="1:5" x14ac:dyDescent="0.25">
      <c r="A856" s="21">
        <v>43830</v>
      </c>
      <c r="B856" t="s">
        <v>167</v>
      </c>
      <c r="C856">
        <v>55</v>
      </c>
    </row>
    <row r="857" spans="1:5" x14ac:dyDescent="0.25">
      <c r="A857" s="21">
        <v>43830</v>
      </c>
      <c r="B857" t="s">
        <v>170</v>
      </c>
      <c r="C857">
        <v>56</v>
      </c>
    </row>
    <row r="858" spans="1:5" x14ac:dyDescent="0.25">
      <c r="A858" s="21">
        <v>43830</v>
      </c>
      <c r="B858" t="s">
        <v>173</v>
      </c>
      <c r="C858">
        <v>57</v>
      </c>
    </row>
    <row r="859" spans="1:5" x14ac:dyDescent="0.25">
      <c r="A859" s="21">
        <v>43830</v>
      </c>
      <c r="B859" t="s">
        <v>176</v>
      </c>
      <c r="C859">
        <v>58</v>
      </c>
    </row>
    <row r="860" spans="1:5" x14ac:dyDescent="0.25">
      <c r="A860" s="21">
        <v>43830</v>
      </c>
      <c r="B860" t="s">
        <v>179</v>
      </c>
      <c r="C860">
        <v>59</v>
      </c>
    </row>
    <row r="861" spans="1:5" x14ac:dyDescent="0.25">
      <c r="A861" s="21">
        <v>43830</v>
      </c>
      <c r="B861" t="s">
        <v>182</v>
      </c>
      <c r="C861">
        <v>60</v>
      </c>
    </row>
    <row r="862" spans="1:5" x14ac:dyDescent="0.25">
      <c r="A862" s="21">
        <v>43830</v>
      </c>
      <c r="B862" t="s">
        <v>185</v>
      </c>
      <c r="C862">
        <v>61</v>
      </c>
    </row>
    <row r="863" spans="1:5" x14ac:dyDescent="0.25">
      <c r="A863" s="21">
        <v>43830</v>
      </c>
      <c r="B863" t="s">
        <v>188</v>
      </c>
      <c r="C863">
        <v>62</v>
      </c>
    </row>
    <row r="864" spans="1:5" x14ac:dyDescent="0.25">
      <c r="A864" s="21">
        <v>43830</v>
      </c>
      <c r="B864" t="s">
        <v>191</v>
      </c>
      <c r="C864">
        <v>63</v>
      </c>
    </row>
    <row r="865" spans="1:5" x14ac:dyDescent="0.25">
      <c r="A865" s="21">
        <v>43830</v>
      </c>
      <c r="B865" t="s">
        <v>195</v>
      </c>
      <c r="C865">
        <v>64</v>
      </c>
    </row>
    <row r="866" spans="1:5" x14ac:dyDescent="0.25">
      <c r="A866" s="21">
        <v>43830</v>
      </c>
      <c r="B866" t="s">
        <v>199</v>
      </c>
      <c r="C866">
        <v>65</v>
      </c>
    </row>
    <row r="867" spans="1:5" x14ac:dyDescent="0.25">
      <c r="A867" s="21">
        <v>43830</v>
      </c>
      <c r="B867" t="s">
        <v>203</v>
      </c>
      <c r="C867">
        <v>66</v>
      </c>
    </row>
    <row r="868" spans="1:5" x14ac:dyDescent="0.25">
      <c r="A868" s="21">
        <v>43830</v>
      </c>
      <c r="B868" t="s">
        <v>207</v>
      </c>
      <c r="C868">
        <v>67</v>
      </c>
    </row>
    <row r="869" spans="1:5" x14ac:dyDescent="0.25">
      <c r="A869" s="21">
        <v>43830</v>
      </c>
      <c r="B869" t="s">
        <v>211</v>
      </c>
      <c r="C869">
        <v>68</v>
      </c>
    </row>
    <row r="870" spans="1:5" x14ac:dyDescent="0.25">
      <c r="A870" s="21">
        <v>43830</v>
      </c>
      <c r="B870" t="s">
        <v>215</v>
      </c>
      <c r="C870">
        <v>69</v>
      </c>
    </row>
    <row r="871" spans="1:5" x14ac:dyDescent="0.25">
      <c r="A871" s="21">
        <v>43830</v>
      </c>
      <c r="B871" t="s">
        <v>219</v>
      </c>
      <c r="C871">
        <v>70</v>
      </c>
      <c r="D871" s="69">
        <v>12369292.560000001</v>
      </c>
      <c r="E871" s="69">
        <v>4445224.1500000004</v>
      </c>
    </row>
    <row r="872" spans="1:5" x14ac:dyDescent="0.25">
      <c r="A872" s="21">
        <v>43830</v>
      </c>
      <c r="B872" t="s">
        <v>223</v>
      </c>
      <c r="C872">
        <v>71</v>
      </c>
    </row>
    <row r="873" spans="1:5" x14ac:dyDescent="0.25">
      <c r="A873" s="21">
        <v>43830</v>
      </c>
      <c r="B873" t="s">
        <v>227</v>
      </c>
      <c r="C873">
        <v>72</v>
      </c>
    </row>
    <row r="874" spans="1:5" x14ac:dyDescent="0.25">
      <c r="A874" s="21">
        <v>43830</v>
      </c>
      <c r="B874" t="s">
        <v>231</v>
      </c>
      <c r="C874">
        <v>73</v>
      </c>
    </row>
    <row r="875" spans="1:5" x14ac:dyDescent="0.25">
      <c r="A875" s="21">
        <v>43830</v>
      </c>
      <c r="B875" t="s">
        <v>235</v>
      </c>
      <c r="C875">
        <v>74</v>
      </c>
    </row>
    <row r="876" spans="1:5" x14ac:dyDescent="0.25">
      <c r="A876" s="21">
        <v>43830</v>
      </c>
      <c r="B876" t="s">
        <v>239</v>
      </c>
      <c r="C876">
        <v>75</v>
      </c>
    </row>
    <row r="877" spans="1:5" x14ac:dyDescent="0.25">
      <c r="A877" s="21">
        <v>43830</v>
      </c>
      <c r="B877" t="s">
        <v>242</v>
      </c>
      <c r="C877">
        <v>76</v>
      </c>
    </row>
    <row r="878" spans="1:5" x14ac:dyDescent="0.25">
      <c r="A878" s="21">
        <v>43830</v>
      </c>
      <c r="B878" t="s">
        <v>245</v>
      </c>
      <c r="C878">
        <v>77</v>
      </c>
      <c r="D878" s="69">
        <v>78323592.450000003</v>
      </c>
      <c r="E878" s="69">
        <v>56460315.07</v>
      </c>
    </row>
    <row r="879" spans="1:5" x14ac:dyDescent="0.25">
      <c r="A879" s="21">
        <v>43830</v>
      </c>
      <c r="B879" t="s">
        <v>248</v>
      </c>
      <c r="C879">
        <v>78</v>
      </c>
    </row>
    <row r="880" spans="1:5" x14ac:dyDescent="0.25">
      <c r="A880" s="21">
        <v>43830</v>
      </c>
      <c r="B880" t="s">
        <v>251</v>
      </c>
      <c r="C880">
        <v>79</v>
      </c>
      <c r="D880" s="69">
        <v>78323592.450000003</v>
      </c>
      <c r="E880" s="69">
        <v>56460315.07</v>
      </c>
    </row>
    <row r="881" spans="1:5" x14ac:dyDescent="0.25">
      <c r="A881" s="21">
        <v>43830</v>
      </c>
      <c r="B881" t="s">
        <v>255</v>
      </c>
      <c r="C881">
        <v>80</v>
      </c>
      <c r="D881" s="69">
        <v>90692885.010000005</v>
      </c>
      <c r="E881" s="69">
        <v>60905539.219999999</v>
      </c>
    </row>
    <row r="882" spans="1:5" x14ac:dyDescent="0.25">
      <c r="A882" s="21">
        <v>43921</v>
      </c>
      <c r="B882" t="s">
        <v>124</v>
      </c>
      <c r="C882">
        <v>1</v>
      </c>
    </row>
    <row r="883" spans="1:5" x14ac:dyDescent="0.25">
      <c r="A883" s="21">
        <v>43921</v>
      </c>
      <c r="B883" t="s">
        <v>127</v>
      </c>
      <c r="C883">
        <v>2</v>
      </c>
      <c r="D883">
        <v>354649.18</v>
      </c>
      <c r="E883">
        <v>681163.86</v>
      </c>
    </row>
    <row r="884" spans="1:5" x14ac:dyDescent="0.25">
      <c r="A884" s="21">
        <v>43921</v>
      </c>
      <c r="B884" t="s">
        <v>130</v>
      </c>
      <c r="C884">
        <v>3</v>
      </c>
    </row>
    <row r="885" spans="1:5" x14ac:dyDescent="0.25">
      <c r="A885" s="21">
        <v>43921</v>
      </c>
      <c r="B885" t="s">
        <v>133</v>
      </c>
      <c r="C885">
        <v>4</v>
      </c>
    </row>
    <row r="886" spans="1:5" x14ac:dyDescent="0.25">
      <c r="A886" s="21">
        <v>43921</v>
      </c>
      <c r="B886" t="s">
        <v>136</v>
      </c>
      <c r="C886">
        <v>5</v>
      </c>
    </row>
    <row r="887" spans="1:5" x14ac:dyDescent="0.25">
      <c r="A887" s="21">
        <v>43921</v>
      </c>
      <c r="B887" t="s">
        <v>139</v>
      </c>
      <c r="C887">
        <v>6</v>
      </c>
    </row>
    <row r="888" spans="1:5" x14ac:dyDescent="0.25">
      <c r="A888" s="21">
        <v>43921</v>
      </c>
      <c r="B888" t="s">
        <v>142</v>
      </c>
      <c r="C888">
        <v>7</v>
      </c>
    </row>
    <row r="889" spans="1:5" x14ac:dyDescent="0.25">
      <c r="A889" s="21">
        <v>43921</v>
      </c>
      <c r="B889" t="s">
        <v>145</v>
      </c>
      <c r="C889">
        <v>8</v>
      </c>
    </row>
    <row r="890" spans="1:5" x14ac:dyDescent="0.25">
      <c r="A890" s="21">
        <v>43921</v>
      </c>
      <c r="B890" t="s">
        <v>148</v>
      </c>
      <c r="C890">
        <v>9</v>
      </c>
    </row>
    <row r="891" spans="1:5" x14ac:dyDescent="0.25">
      <c r="A891" s="21">
        <v>43921</v>
      </c>
      <c r="B891" t="s">
        <v>151</v>
      </c>
      <c r="C891">
        <v>10</v>
      </c>
    </row>
    <row r="892" spans="1:5" x14ac:dyDescent="0.25">
      <c r="A892" s="21">
        <v>43921</v>
      </c>
      <c r="B892" t="s">
        <v>154</v>
      </c>
      <c r="C892">
        <v>11</v>
      </c>
    </row>
    <row r="893" spans="1:5" x14ac:dyDescent="0.25">
      <c r="A893" s="21">
        <v>43921</v>
      </c>
      <c r="B893" t="s">
        <v>157</v>
      </c>
      <c r="C893">
        <v>12</v>
      </c>
    </row>
    <row r="894" spans="1:5" x14ac:dyDescent="0.25">
      <c r="A894" s="21">
        <v>43921</v>
      </c>
      <c r="B894" t="s">
        <v>160</v>
      </c>
      <c r="C894">
        <v>13</v>
      </c>
    </row>
    <row r="895" spans="1:5" x14ac:dyDescent="0.25">
      <c r="A895" s="21">
        <v>43921</v>
      </c>
      <c r="B895" t="s">
        <v>163</v>
      </c>
      <c r="C895">
        <v>14</v>
      </c>
    </row>
    <row r="896" spans="1:5" x14ac:dyDescent="0.25">
      <c r="A896" s="21">
        <v>43921</v>
      </c>
      <c r="B896" t="s">
        <v>166</v>
      </c>
      <c r="C896">
        <v>15</v>
      </c>
    </row>
    <row r="897" spans="1:5" x14ac:dyDescent="0.25">
      <c r="A897" s="21">
        <v>43921</v>
      </c>
      <c r="B897" t="s">
        <v>169</v>
      </c>
      <c r="C897">
        <v>16</v>
      </c>
    </row>
    <row r="898" spans="1:5" x14ac:dyDescent="0.25">
      <c r="A898" s="21">
        <v>43921</v>
      </c>
      <c r="B898" t="s">
        <v>172</v>
      </c>
      <c r="C898">
        <v>17</v>
      </c>
      <c r="D898">
        <v>6824.11</v>
      </c>
      <c r="E898">
        <v>88749.28</v>
      </c>
    </row>
    <row r="899" spans="1:5" x14ac:dyDescent="0.25">
      <c r="A899" s="21">
        <v>43921</v>
      </c>
      <c r="B899" t="s">
        <v>175</v>
      </c>
      <c r="C899">
        <v>18</v>
      </c>
      <c r="D899">
        <v>11140139.189999999</v>
      </c>
      <c r="E899">
        <v>9556084.4000000004</v>
      </c>
    </row>
    <row r="900" spans="1:5" x14ac:dyDescent="0.25">
      <c r="A900" s="21">
        <v>43921</v>
      </c>
      <c r="B900" t="s">
        <v>178</v>
      </c>
      <c r="C900">
        <v>19</v>
      </c>
    </row>
    <row r="901" spans="1:5" x14ac:dyDescent="0.25">
      <c r="A901" s="21">
        <v>43921</v>
      </c>
      <c r="B901" t="s">
        <v>181</v>
      </c>
      <c r="C901">
        <v>20</v>
      </c>
    </row>
    <row r="902" spans="1:5" x14ac:dyDescent="0.25">
      <c r="A902" s="21">
        <v>43921</v>
      </c>
      <c r="B902" t="s">
        <v>184</v>
      </c>
      <c r="C902">
        <v>21</v>
      </c>
      <c r="D902">
        <v>85207178.959999993</v>
      </c>
      <c r="E902">
        <v>79637139.549999997</v>
      </c>
    </row>
    <row r="903" spans="1:5" x14ac:dyDescent="0.25">
      <c r="A903" s="21">
        <v>43921</v>
      </c>
      <c r="B903" t="s">
        <v>187</v>
      </c>
      <c r="C903">
        <v>22</v>
      </c>
    </row>
    <row r="904" spans="1:5" x14ac:dyDescent="0.25">
      <c r="A904" s="21">
        <v>43921</v>
      </c>
      <c r="B904" t="s">
        <v>190</v>
      </c>
      <c r="C904">
        <v>23</v>
      </c>
    </row>
    <row r="905" spans="1:5" x14ac:dyDescent="0.25">
      <c r="A905" s="21">
        <v>43921</v>
      </c>
      <c r="B905" t="s">
        <v>193</v>
      </c>
      <c r="C905" s="112">
        <v>24</v>
      </c>
    </row>
    <row r="906" spans="1:5" x14ac:dyDescent="0.25">
      <c r="A906" s="21">
        <v>43921</v>
      </c>
      <c r="B906" t="s">
        <v>197</v>
      </c>
      <c r="C906" s="112">
        <v>25</v>
      </c>
    </row>
    <row r="907" spans="1:5" x14ac:dyDescent="0.25">
      <c r="A907" s="21">
        <v>43921</v>
      </c>
      <c r="B907" t="s">
        <v>201</v>
      </c>
      <c r="C907" s="112">
        <v>26</v>
      </c>
    </row>
    <row r="908" spans="1:5" x14ac:dyDescent="0.25">
      <c r="A908" s="21">
        <v>43921</v>
      </c>
      <c r="B908" t="s">
        <v>205</v>
      </c>
      <c r="C908" s="112">
        <v>27</v>
      </c>
    </row>
    <row r="909" spans="1:5" x14ac:dyDescent="0.25">
      <c r="A909" s="21">
        <v>43921</v>
      </c>
      <c r="B909" t="s">
        <v>209</v>
      </c>
      <c r="C909" s="112">
        <v>28</v>
      </c>
    </row>
    <row r="910" spans="1:5" x14ac:dyDescent="0.25">
      <c r="A910" s="21">
        <v>43921</v>
      </c>
      <c r="B910" t="s">
        <v>213</v>
      </c>
      <c r="C910" s="112">
        <v>29</v>
      </c>
      <c r="D910">
        <v>550700.38</v>
      </c>
      <c r="E910">
        <v>578389.44999999995</v>
      </c>
    </row>
    <row r="911" spans="1:5" x14ac:dyDescent="0.25">
      <c r="A911" s="21">
        <v>43921</v>
      </c>
      <c r="B911" t="s">
        <v>217</v>
      </c>
      <c r="C911" s="112">
        <v>30</v>
      </c>
    </row>
    <row r="912" spans="1:5" x14ac:dyDescent="0.25">
      <c r="A912" s="21">
        <v>43921</v>
      </c>
      <c r="B912" t="s">
        <v>221</v>
      </c>
      <c r="C912" s="112">
        <v>31</v>
      </c>
    </row>
    <row r="913" spans="1:5" x14ac:dyDescent="0.25">
      <c r="A913" s="21">
        <v>43921</v>
      </c>
      <c r="B913" t="s">
        <v>225</v>
      </c>
      <c r="C913" s="112">
        <v>32</v>
      </c>
      <c r="D913">
        <v>124160.3</v>
      </c>
      <c r="E913">
        <v>151358.47</v>
      </c>
    </row>
    <row r="914" spans="1:5" x14ac:dyDescent="0.25">
      <c r="A914" s="21">
        <v>43921</v>
      </c>
      <c r="B914" t="s">
        <v>229</v>
      </c>
      <c r="C914" s="112">
        <v>33</v>
      </c>
    </row>
    <row r="915" spans="1:5" x14ac:dyDescent="0.25">
      <c r="A915" s="21">
        <v>43921</v>
      </c>
      <c r="B915" t="s">
        <v>233</v>
      </c>
      <c r="C915" s="112">
        <v>34</v>
      </c>
    </row>
    <row r="916" spans="1:5" x14ac:dyDescent="0.25">
      <c r="A916" s="21">
        <v>43921</v>
      </c>
      <c r="B916" t="s">
        <v>237</v>
      </c>
      <c r="C916" s="112">
        <v>35</v>
      </c>
    </row>
    <row r="917" spans="1:5" x14ac:dyDescent="0.25">
      <c r="A917" s="21">
        <v>43921</v>
      </c>
      <c r="C917" s="112">
        <v>36</v>
      </c>
    </row>
    <row r="918" spans="1:5" x14ac:dyDescent="0.25">
      <c r="A918" s="21">
        <v>43921</v>
      </c>
      <c r="C918" s="112">
        <v>37</v>
      </c>
    </row>
    <row r="919" spans="1:5" x14ac:dyDescent="0.25">
      <c r="A919" s="21">
        <v>43921</v>
      </c>
      <c r="C919" s="112">
        <v>38</v>
      </c>
    </row>
    <row r="920" spans="1:5" x14ac:dyDescent="0.25">
      <c r="A920" s="21">
        <v>43921</v>
      </c>
      <c r="C920" s="112">
        <v>39</v>
      </c>
    </row>
    <row r="921" spans="1:5" x14ac:dyDescent="0.25">
      <c r="A921" s="21">
        <v>43921</v>
      </c>
      <c r="B921" t="s">
        <v>253</v>
      </c>
      <c r="C921" s="112">
        <v>40</v>
      </c>
      <c r="D921">
        <v>97383652.120000005</v>
      </c>
      <c r="E921">
        <v>90692885.010000005</v>
      </c>
    </row>
    <row r="922" spans="1:5" x14ac:dyDescent="0.25">
      <c r="A922" s="21">
        <v>43921</v>
      </c>
      <c r="B922" t="s">
        <v>125</v>
      </c>
      <c r="C922" s="112">
        <v>41</v>
      </c>
    </row>
    <row r="923" spans="1:5" x14ac:dyDescent="0.25">
      <c r="A923" s="21">
        <v>43921</v>
      </c>
      <c r="B923" t="s">
        <v>128</v>
      </c>
      <c r="C923" s="112">
        <v>42</v>
      </c>
    </row>
    <row r="924" spans="1:5" x14ac:dyDescent="0.25">
      <c r="A924" s="21">
        <v>43921</v>
      </c>
      <c r="B924" t="s">
        <v>131</v>
      </c>
      <c r="C924" s="112">
        <v>43</v>
      </c>
    </row>
    <row r="925" spans="1:5" x14ac:dyDescent="0.25">
      <c r="A925" s="21">
        <v>43921</v>
      </c>
      <c r="B925" t="s">
        <v>134</v>
      </c>
      <c r="C925" s="112">
        <v>44</v>
      </c>
    </row>
    <row r="926" spans="1:5" x14ac:dyDescent="0.25">
      <c r="A926" s="21">
        <v>43921</v>
      </c>
      <c r="B926" t="s">
        <v>137</v>
      </c>
      <c r="C926" s="112">
        <v>45</v>
      </c>
    </row>
    <row r="927" spans="1:5" x14ac:dyDescent="0.25">
      <c r="A927" s="21">
        <v>43921</v>
      </c>
      <c r="B927" t="s">
        <v>140</v>
      </c>
      <c r="C927" s="112">
        <v>46</v>
      </c>
    </row>
    <row r="928" spans="1:5" x14ac:dyDescent="0.25">
      <c r="A928" s="21">
        <v>43921</v>
      </c>
      <c r="B928" t="s">
        <v>143</v>
      </c>
      <c r="C928" s="112">
        <v>47</v>
      </c>
    </row>
    <row r="929" spans="1:5" x14ac:dyDescent="0.25">
      <c r="A929" s="21">
        <v>43921</v>
      </c>
      <c r="B929" t="s">
        <v>146</v>
      </c>
      <c r="C929" s="112">
        <v>48</v>
      </c>
      <c r="D929">
        <v>15514</v>
      </c>
      <c r="E929">
        <v>15514</v>
      </c>
    </row>
    <row r="930" spans="1:5" x14ac:dyDescent="0.25">
      <c r="A930" s="21">
        <v>43921</v>
      </c>
      <c r="B930" t="s">
        <v>149</v>
      </c>
      <c r="C930" s="112">
        <v>49</v>
      </c>
      <c r="D930">
        <v>1176000</v>
      </c>
      <c r="E930">
        <v>676000</v>
      </c>
    </row>
    <row r="931" spans="1:5" x14ac:dyDescent="0.25">
      <c r="A931" s="21">
        <v>43921</v>
      </c>
      <c r="B931" t="s">
        <v>152</v>
      </c>
      <c r="C931" s="112">
        <v>50</v>
      </c>
    </row>
    <row r="932" spans="1:5" x14ac:dyDescent="0.25">
      <c r="A932" s="21">
        <v>43921</v>
      </c>
      <c r="B932" t="s">
        <v>155</v>
      </c>
      <c r="C932" s="112">
        <v>51</v>
      </c>
      <c r="D932">
        <v>6059173</v>
      </c>
      <c r="E932">
        <v>5450112.9900000002</v>
      </c>
    </row>
    <row r="933" spans="1:5" x14ac:dyDescent="0.25">
      <c r="A933" s="21">
        <v>43921</v>
      </c>
      <c r="B933" t="s">
        <v>158</v>
      </c>
      <c r="C933" s="112">
        <v>52</v>
      </c>
      <c r="D933">
        <v>5943025.0999999996</v>
      </c>
      <c r="E933">
        <v>5717154.8600000003</v>
      </c>
    </row>
    <row r="934" spans="1:5" x14ac:dyDescent="0.25">
      <c r="A934" s="21">
        <v>43921</v>
      </c>
      <c r="B934" t="s">
        <v>161</v>
      </c>
      <c r="C934" s="112">
        <v>53</v>
      </c>
    </row>
    <row r="935" spans="1:5" x14ac:dyDescent="0.25">
      <c r="A935" s="21">
        <v>43921</v>
      </c>
      <c r="B935" t="s">
        <v>164</v>
      </c>
      <c r="C935" s="112">
        <v>54</v>
      </c>
      <c r="D935">
        <v>635397.81999999995</v>
      </c>
      <c r="E935">
        <v>510510.71</v>
      </c>
    </row>
    <row r="936" spans="1:5" x14ac:dyDescent="0.25">
      <c r="A936" s="21">
        <v>43921</v>
      </c>
      <c r="B936" t="s">
        <v>167</v>
      </c>
      <c r="C936" s="112">
        <v>55</v>
      </c>
    </row>
    <row r="937" spans="1:5" x14ac:dyDescent="0.25">
      <c r="A937" s="21">
        <v>43921</v>
      </c>
      <c r="B937" t="s">
        <v>170</v>
      </c>
      <c r="C937" s="112">
        <v>56</v>
      </c>
    </row>
    <row r="938" spans="1:5" x14ac:dyDescent="0.25">
      <c r="A938" s="21">
        <v>43921</v>
      </c>
      <c r="B938" t="s">
        <v>173</v>
      </c>
      <c r="C938" s="112">
        <v>57</v>
      </c>
    </row>
    <row r="939" spans="1:5" x14ac:dyDescent="0.25">
      <c r="A939" s="21">
        <v>43921</v>
      </c>
      <c r="B939" t="s">
        <v>176</v>
      </c>
      <c r="C939" s="112">
        <v>58</v>
      </c>
    </row>
    <row r="940" spans="1:5" x14ac:dyDescent="0.25">
      <c r="A940" s="21">
        <v>43921</v>
      </c>
      <c r="B940" t="s">
        <v>179</v>
      </c>
      <c r="C940" s="112">
        <v>59</v>
      </c>
    </row>
    <row r="941" spans="1:5" x14ac:dyDescent="0.25">
      <c r="A941" s="21">
        <v>43921</v>
      </c>
      <c r="B941" t="s">
        <v>182</v>
      </c>
      <c r="C941" s="112">
        <v>60</v>
      </c>
    </row>
    <row r="942" spans="1:5" x14ac:dyDescent="0.25">
      <c r="A942" s="21">
        <v>43921</v>
      </c>
      <c r="B942" t="s">
        <v>185</v>
      </c>
      <c r="C942" s="112">
        <v>61</v>
      </c>
    </row>
    <row r="943" spans="1:5" x14ac:dyDescent="0.25">
      <c r="A943" s="21">
        <v>43921</v>
      </c>
      <c r="B943" t="s">
        <v>188</v>
      </c>
      <c r="C943" s="112">
        <v>62</v>
      </c>
    </row>
    <row r="944" spans="1:5" x14ac:dyDescent="0.25">
      <c r="A944" s="21">
        <v>43921</v>
      </c>
      <c r="B944" t="s">
        <v>191</v>
      </c>
      <c r="C944" s="112">
        <v>63</v>
      </c>
    </row>
    <row r="945" spans="1:5" x14ac:dyDescent="0.25">
      <c r="A945" s="21">
        <v>43921</v>
      </c>
      <c r="B945" t="s">
        <v>195</v>
      </c>
      <c r="C945" s="112">
        <v>64</v>
      </c>
    </row>
    <row r="946" spans="1:5" x14ac:dyDescent="0.25">
      <c r="A946" s="21">
        <v>43921</v>
      </c>
      <c r="B946" t="s">
        <v>199</v>
      </c>
      <c r="C946" s="112">
        <v>65</v>
      </c>
    </row>
    <row r="947" spans="1:5" x14ac:dyDescent="0.25">
      <c r="A947" s="21">
        <v>43921</v>
      </c>
      <c r="B947" t="s">
        <v>203</v>
      </c>
      <c r="C947" s="112">
        <v>66</v>
      </c>
    </row>
    <row r="948" spans="1:5" x14ac:dyDescent="0.25">
      <c r="A948" s="21">
        <v>43921</v>
      </c>
      <c r="B948" t="s">
        <v>207</v>
      </c>
      <c r="C948" s="112">
        <v>67</v>
      </c>
    </row>
    <row r="949" spans="1:5" x14ac:dyDescent="0.25">
      <c r="A949" s="21">
        <v>43921</v>
      </c>
      <c r="B949" t="s">
        <v>211</v>
      </c>
      <c r="C949" s="112">
        <v>68</v>
      </c>
    </row>
    <row r="950" spans="1:5" x14ac:dyDescent="0.25">
      <c r="A950" s="21">
        <v>43921</v>
      </c>
      <c r="B950" t="s">
        <v>215</v>
      </c>
      <c r="C950" s="112">
        <v>69</v>
      </c>
    </row>
    <row r="951" spans="1:5" x14ac:dyDescent="0.25">
      <c r="A951" s="21">
        <v>43921</v>
      </c>
      <c r="B951" t="s">
        <v>219</v>
      </c>
      <c r="C951" s="112">
        <v>70</v>
      </c>
      <c r="D951">
        <v>13829109.92</v>
      </c>
      <c r="E951">
        <v>12369292.560000001</v>
      </c>
    </row>
    <row r="952" spans="1:5" x14ac:dyDescent="0.25">
      <c r="A952" s="21">
        <v>43921</v>
      </c>
      <c r="B952" t="s">
        <v>223</v>
      </c>
      <c r="C952" s="112">
        <v>71</v>
      </c>
    </row>
    <row r="953" spans="1:5" x14ac:dyDescent="0.25">
      <c r="A953" s="21">
        <v>43921</v>
      </c>
      <c r="B953" t="s">
        <v>227</v>
      </c>
      <c r="C953" s="112">
        <v>72</v>
      </c>
    </row>
    <row r="954" spans="1:5" x14ac:dyDescent="0.25">
      <c r="A954" s="21">
        <v>43921</v>
      </c>
      <c r="B954" t="s">
        <v>231</v>
      </c>
      <c r="C954" s="112">
        <v>73</v>
      </c>
    </row>
    <row r="955" spans="1:5" x14ac:dyDescent="0.25">
      <c r="A955" s="21">
        <v>43921</v>
      </c>
      <c r="B955" t="s">
        <v>235</v>
      </c>
      <c r="C955" s="112">
        <v>74</v>
      </c>
    </row>
    <row r="956" spans="1:5" x14ac:dyDescent="0.25">
      <c r="A956" s="21">
        <v>43921</v>
      </c>
      <c r="B956" t="s">
        <v>239</v>
      </c>
      <c r="C956" s="112">
        <v>75</v>
      </c>
    </row>
    <row r="957" spans="1:5" x14ac:dyDescent="0.25">
      <c r="A957" s="21">
        <v>43921</v>
      </c>
      <c r="B957" t="s">
        <v>242</v>
      </c>
      <c r="C957" s="112">
        <v>76</v>
      </c>
    </row>
    <row r="958" spans="1:5" x14ac:dyDescent="0.25">
      <c r="A958" s="21">
        <v>43921</v>
      </c>
      <c r="B958" t="s">
        <v>245</v>
      </c>
      <c r="C958" s="112">
        <v>77</v>
      </c>
      <c r="D958">
        <v>83554542.200000003</v>
      </c>
      <c r="E958">
        <v>78323592.450000003</v>
      </c>
    </row>
    <row r="959" spans="1:5" x14ac:dyDescent="0.25">
      <c r="A959" s="21">
        <v>43921</v>
      </c>
      <c r="B959" t="s">
        <v>248</v>
      </c>
      <c r="C959" s="112">
        <v>78</v>
      </c>
    </row>
    <row r="960" spans="1:5" x14ac:dyDescent="0.25">
      <c r="A960" s="21">
        <v>43921</v>
      </c>
      <c r="B960" t="s">
        <v>251</v>
      </c>
      <c r="C960" s="112">
        <v>79</v>
      </c>
      <c r="D960">
        <v>83554542.200000003</v>
      </c>
      <c r="E960">
        <v>78323592.450000003</v>
      </c>
    </row>
    <row r="961" spans="1:5" x14ac:dyDescent="0.25">
      <c r="A961" s="21">
        <v>43921</v>
      </c>
      <c r="B961" t="s">
        <v>255</v>
      </c>
      <c r="C961" s="112">
        <v>80</v>
      </c>
      <c r="D961">
        <v>97383652.120000005</v>
      </c>
      <c r="E961">
        <v>90692885.010000005</v>
      </c>
    </row>
  </sheetData>
  <autoFilter ref="A1:E1"/>
  <phoneticPr fontId="4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638"/>
  <sheetViews>
    <sheetView zoomScale="120" zoomScaleNormal="120" workbookViewId="0">
      <pane ySplit="1" topLeftCell="A569" activePane="bottomLeft" state="frozen"/>
      <selection pane="bottomLeft" activeCell="E583" sqref="E583"/>
    </sheetView>
  </sheetViews>
  <sheetFormatPr defaultRowHeight="13.8" x14ac:dyDescent="0.25"/>
  <cols>
    <col min="1" max="1" width="11.21875" bestFit="1" customWidth="1"/>
    <col min="2" max="2" width="44.6640625" bestFit="1" customWidth="1"/>
    <col min="3" max="3" width="5.5546875" bestFit="1" customWidth="1"/>
    <col min="4" max="4" width="15" bestFit="1" customWidth="1"/>
    <col min="5" max="5" width="15" style="111" bestFit="1" customWidth="1"/>
    <col min="6" max="6" width="18.33203125" bestFit="1" customWidth="1"/>
    <col min="9" max="9" width="11.21875" bestFit="1" customWidth="1"/>
  </cols>
  <sheetData>
    <row r="1" spans="1:9" ht="14.4" x14ac:dyDescent="0.25">
      <c r="A1" t="s">
        <v>121</v>
      </c>
      <c r="B1" s="8" t="s">
        <v>70</v>
      </c>
      <c r="C1" s="8" t="s">
        <v>71</v>
      </c>
      <c r="D1" s="8" t="s">
        <v>2</v>
      </c>
      <c r="E1" s="108" t="s">
        <v>3</v>
      </c>
      <c r="F1" s="8" t="s">
        <v>4</v>
      </c>
      <c r="I1" s="21"/>
    </row>
    <row r="2" spans="1:9" ht="14.4" x14ac:dyDescent="0.25">
      <c r="A2" s="21">
        <v>41274</v>
      </c>
      <c r="B2" s="9" t="s">
        <v>72</v>
      </c>
      <c r="C2" s="8">
        <v>1</v>
      </c>
      <c r="D2" s="10">
        <f>D3+D8+D10+D11+D12</f>
        <v>5566235.9299999997</v>
      </c>
      <c r="E2" s="109">
        <f>E3+E8+E10+E11+E12</f>
        <v>6167476.4699999997</v>
      </c>
      <c r="F2" s="10">
        <f>F3+F8+F10+F11+F12</f>
        <v>373580.85</v>
      </c>
      <c r="I2" s="21"/>
    </row>
    <row r="3" spans="1:9" ht="14.4" x14ac:dyDescent="0.25">
      <c r="A3" s="21">
        <v>41274</v>
      </c>
      <c r="B3" s="11" t="s">
        <v>73</v>
      </c>
      <c r="C3" s="8">
        <v>2</v>
      </c>
      <c r="D3" s="10">
        <f>D4-D6-D7</f>
        <v>0</v>
      </c>
      <c r="E3" s="109">
        <f>E4-E6-E7</f>
        <v>0</v>
      </c>
      <c r="F3" s="10">
        <f>F4-F6-F7</f>
        <v>0</v>
      </c>
      <c r="I3" s="21"/>
    </row>
    <row r="4" spans="1:9" ht="14.4" x14ac:dyDescent="0.25">
      <c r="A4" s="21">
        <v>41274</v>
      </c>
      <c r="B4" s="9" t="s">
        <v>74</v>
      </c>
      <c r="C4" s="8">
        <v>3</v>
      </c>
      <c r="D4" s="10"/>
      <c r="E4" s="109"/>
      <c r="F4" s="10"/>
      <c r="I4" s="21"/>
    </row>
    <row r="5" spans="1:9" ht="14.4" x14ac:dyDescent="0.25">
      <c r="A5" s="21">
        <v>41274</v>
      </c>
      <c r="B5" s="9" t="s">
        <v>75</v>
      </c>
      <c r="C5" s="8">
        <v>4</v>
      </c>
      <c r="D5" s="10"/>
      <c r="E5" s="109"/>
      <c r="F5" s="10"/>
      <c r="I5" s="21"/>
    </row>
    <row r="6" spans="1:9" ht="14.4" x14ac:dyDescent="0.25">
      <c r="A6" s="21">
        <v>41274</v>
      </c>
      <c r="B6" s="9" t="s">
        <v>76</v>
      </c>
      <c r="C6" s="8">
        <v>5</v>
      </c>
      <c r="D6" s="10"/>
      <c r="E6" s="109"/>
      <c r="F6" s="10"/>
      <c r="I6" s="21"/>
    </row>
    <row r="7" spans="1:9" ht="14.4" x14ac:dyDescent="0.25">
      <c r="A7" s="21">
        <v>41274</v>
      </c>
      <c r="B7" s="9" t="s">
        <v>77</v>
      </c>
      <c r="C7" s="8">
        <v>6</v>
      </c>
      <c r="D7" s="10"/>
      <c r="E7" s="109"/>
      <c r="F7" s="10"/>
      <c r="I7" s="21"/>
    </row>
    <row r="8" spans="1:9" ht="14.4" x14ac:dyDescent="0.25">
      <c r="A8" s="21">
        <v>41274</v>
      </c>
      <c r="B8" s="9" t="s">
        <v>78</v>
      </c>
      <c r="C8" s="8">
        <v>7</v>
      </c>
      <c r="D8" s="10"/>
      <c r="E8" s="109">
        <v>738.14</v>
      </c>
      <c r="F8" s="10">
        <v>523.92999999999995</v>
      </c>
    </row>
    <row r="9" spans="1:9" ht="14.4" x14ac:dyDescent="0.25">
      <c r="A9" s="21">
        <v>41274</v>
      </c>
      <c r="B9" s="9" t="s">
        <v>79</v>
      </c>
      <c r="C9" s="8">
        <v>8</v>
      </c>
      <c r="D9" s="10"/>
      <c r="E9" s="109"/>
      <c r="F9" s="10"/>
    </row>
    <row r="10" spans="1:9" ht="14.4" x14ac:dyDescent="0.25">
      <c r="A10" s="21">
        <v>41274</v>
      </c>
      <c r="B10" s="9" t="s">
        <v>80</v>
      </c>
      <c r="C10" s="8">
        <v>9</v>
      </c>
      <c r="D10" s="10"/>
      <c r="E10" s="109"/>
      <c r="F10" s="10"/>
    </row>
    <row r="11" spans="1:9" ht="14.4" x14ac:dyDescent="0.25">
      <c r="A11" s="21">
        <v>41274</v>
      </c>
      <c r="B11" s="9" t="s">
        <v>81</v>
      </c>
      <c r="C11" s="8">
        <v>10</v>
      </c>
      <c r="D11" s="10"/>
      <c r="E11" s="109"/>
      <c r="F11" s="10"/>
    </row>
    <row r="12" spans="1:9" ht="14.4" x14ac:dyDescent="0.25">
      <c r="A12" s="21">
        <v>41274</v>
      </c>
      <c r="B12" s="9" t="s">
        <v>82</v>
      </c>
      <c r="C12" s="8">
        <v>11</v>
      </c>
      <c r="D12" s="10">
        <v>5566235.9299999997</v>
      </c>
      <c r="E12" s="109">
        <v>6166738.3300000001</v>
      </c>
      <c r="F12" s="10">
        <v>373056.92</v>
      </c>
    </row>
    <row r="13" spans="1:9" ht="14.4" x14ac:dyDescent="0.25">
      <c r="A13" s="21">
        <v>41274</v>
      </c>
      <c r="B13" s="9" t="s">
        <v>83</v>
      </c>
      <c r="C13" s="8">
        <v>12</v>
      </c>
      <c r="D13" s="10">
        <f>D14+D15+D23-D24+D25-D29+D30+D31+D32+D33+D34-D36+D37+D38</f>
        <v>2510</v>
      </c>
      <c r="E13" s="109">
        <f>E14+E15+E23-E24+E25-E29+E30+E31+E32+E33+E34-E36+E37+E38</f>
        <v>5358113.9400000004</v>
      </c>
      <c r="F13" s="10">
        <f>F14+F15+F23-F24+F25-F29+F30+F31+F32+F33+F34-F36+F37+F38</f>
        <v>4065168.37</v>
      </c>
    </row>
    <row r="14" spans="1:9" ht="14.4" x14ac:dyDescent="0.25">
      <c r="A14" s="21">
        <v>41274</v>
      </c>
      <c r="B14" s="9" t="s">
        <v>84</v>
      </c>
      <c r="C14" s="8">
        <v>13</v>
      </c>
      <c r="D14" s="10"/>
      <c r="E14" s="109"/>
      <c r="F14" s="10"/>
    </row>
    <row r="15" spans="1:9" ht="14.4" x14ac:dyDescent="0.25">
      <c r="A15" s="21">
        <v>41274</v>
      </c>
      <c r="B15" s="9" t="s">
        <v>85</v>
      </c>
      <c r="C15" s="8">
        <v>14</v>
      </c>
      <c r="D15" s="10"/>
      <c r="E15" s="109"/>
      <c r="F15" s="10"/>
    </row>
    <row r="16" spans="1:9" ht="14.4" x14ac:dyDescent="0.25">
      <c r="A16" s="21">
        <v>41274</v>
      </c>
      <c r="B16" s="12" t="s">
        <v>86</v>
      </c>
      <c r="C16" s="8">
        <v>15</v>
      </c>
      <c r="D16" s="10"/>
      <c r="E16" s="109"/>
      <c r="F16" s="10"/>
    </row>
    <row r="17" spans="1:6" ht="14.4" x14ac:dyDescent="0.25">
      <c r="A17" s="21">
        <v>41274</v>
      </c>
      <c r="B17" s="12" t="s">
        <v>87</v>
      </c>
      <c r="C17" s="8">
        <v>16</v>
      </c>
      <c r="D17" s="10"/>
      <c r="E17" s="109"/>
      <c r="F17" s="10"/>
    </row>
    <row r="18" spans="1:6" ht="14.4" x14ac:dyDescent="0.25">
      <c r="A18" s="21">
        <v>41274</v>
      </c>
      <c r="B18" s="12" t="s">
        <v>88</v>
      </c>
      <c r="C18" s="8">
        <v>17</v>
      </c>
      <c r="D18" s="10"/>
      <c r="E18" s="109"/>
      <c r="F18" s="10"/>
    </row>
    <row r="19" spans="1:6" ht="14.4" x14ac:dyDescent="0.25">
      <c r="A19" s="21">
        <v>41274</v>
      </c>
      <c r="B19" s="12" t="s">
        <v>89</v>
      </c>
      <c r="C19" s="8">
        <v>18</v>
      </c>
      <c r="D19" s="10"/>
      <c r="E19" s="109"/>
      <c r="F19" s="10"/>
    </row>
    <row r="20" spans="1:6" ht="14.4" x14ac:dyDescent="0.25">
      <c r="A20" s="21">
        <v>41274</v>
      </c>
      <c r="B20" s="12" t="s">
        <v>90</v>
      </c>
      <c r="C20" s="8">
        <v>19</v>
      </c>
      <c r="D20" s="10"/>
      <c r="E20" s="109"/>
      <c r="F20" s="10"/>
    </row>
    <row r="21" spans="1:6" ht="14.4" x14ac:dyDescent="0.25">
      <c r="A21" s="21">
        <v>41274</v>
      </c>
      <c r="B21" s="12" t="s">
        <v>91</v>
      </c>
      <c r="C21" s="8">
        <v>20</v>
      </c>
      <c r="D21" s="10"/>
      <c r="E21" s="109"/>
      <c r="F21" s="10"/>
    </row>
    <row r="22" spans="1:6" ht="14.4" x14ac:dyDescent="0.25">
      <c r="A22" s="21">
        <v>41274</v>
      </c>
      <c r="B22" s="12" t="s">
        <v>92</v>
      </c>
      <c r="C22" s="8">
        <v>21</v>
      </c>
      <c r="D22" s="10"/>
      <c r="E22" s="109"/>
      <c r="F22" s="10"/>
    </row>
    <row r="23" spans="1:6" ht="14.4" x14ac:dyDescent="0.25">
      <c r="A23" s="21">
        <v>41274</v>
      </c>
      <c r="B23" s="9" t="s">
        <v>93</v>
      </c>
      <c r="C23" s="8">
        <v>22</v>
      </c>
      <c r="D23" s="10"/>
      <c r="E23" s="109"/>
      <c r="F23" s="10"/>
    </row>
    <row r="24" spans="1:6" ht="14.4" x14ac:dyDescent="0.25">
      <c r="A24" s="21">
        <v>41274</v>
      </c>
      <c r="B24" s="9" t="s">
        <v>94</v>
      </c>
      <c r="C24" s="8">
        <v>23</v>
      </c>
      <c r="D24" s="10"/>
      <c r="E24" s="109"/>
      <c r="F24" s="10"/>
    </row>
    <row r="25" spans="1:6" ht="14.4" x14ac:dyDescent="0.25">
      <c r="A25" s="21">
        <v>41274</v>
      </c>
      <c r="B25" s="9" t="s">
        <v>95</v>
      </c>
      <c r="C25" s="8">
        <v>24</v>
      </c>
      <c r="D25" s="10"/>
      <c r="E25" s="109"/>
      <c r="F25" s="10"/>
    </row>
    <row r="26" spans="1:6" ht="14.4" x14ac:dyDescent="0.25">
      <c r="A26" s="21">
        <v>41274</v>
      </c>
      <c r="B26" s="9" t="s">
        <v>96</v>
      </c>
      <c r="C26" s="8">
        <v>25</v>
      </c>
      <c r="D26" s="10"/>
      <c r="E26" s="109"/>
      <c r="F26" s="10"/>
    </row>
    <row r="27" spans="1:6" ht="14.4" x14ac:dyDescent="0.25">
      <c r="A27" s="21">
        <v>41274</v>
      </c>
      <c r="B27" s="9" t="s">
        <v>97</v>
      </c>
      <c r="C27" s="8">
        <v>26</v>
      </c>
      <c r="D27" s="10"/>
      <c r="E27" s="109"/>
      <c r="F27" s="10"/>
    </row>
    <row r="28" spans="1:6" ht="14.4" x14ac:dyDescent="0.25">
      <c r="A28" s="21">
        <v>41274</v>
      </c>
      <c r="B28" s="9" t="s">
        <v>98</v>
      </c>
      <c r="C28" s="8">
        <v>27</v>
      </c>
      <c r="D28" s="10"/>
      <c r="E28" s="109"/>
      <c r="F28" s="10"/>
    </row>
    <row r="29" spans="1:6" ht="14.4" x14ac:dyDescent="0.25">
      <c r="A29" s="21">
        <v>41274</v>
      </c>
      <c r="B29" s="9" t="s">
        <v>99</v>
      </c>
      <c r="C29" s="8">
        <v>28</v>
      </c>
      <c r="D29" s="10"/>
      <c r="E29" s="109"/>
      <c r="F29" s="10"/>
    </row>
    <row r="30" spans="1:6" ht="14.4" x14ac:dyDescent="0.25">
      <c r="A30" s="21">
        <v>41274</v>
      </c>
      <c r="B30" s="9" t="s">
        <v>100</v>
      </c>
      <c r="C30" s="8">
        <v>29</v>
      </c>
      <c r="D30" s="10"/>
      <c r="E30" s="109"/>
      <c r="F30" s="10"/>
    </row>
    <row r="31" spans="1:6" ht="14.4" x14ac:dyDescent="0.25">
      <c r="A31" s="21">
        <v>41274</v>
      </c>
      <c r="B31" s="9" t="s">
        <v>101</v>
      </c>
      <c r="C31" s="8">
        <v>30</v>
      </c>
      <c r="D31" s="10"/>
      <c r="E31" s="109"/>
      <c r="F31" s="10"/>
    </row>
    <row r="32" spans="1:6" ht="14.4" x14ac:dyDescent="0.25">
      <c r="A32" s="21">
        <v>41274</v>
      </c>
      <c r="B32" s="9" t="s">
        <v>102</v>
      </c>
      <c r="C32" s="8">
        <v>31</v>
      </c>
      <c r="D32" s="10"/>
      <c r="E32" s="109"/>
      <c r="F32" s="10"/>
    </row>
    <row r="33" spans="1:6" ht="14.4" x14ac:dyDescent="0.25">
      <c r="A33" s="21">
        <v>41274</v>
      </c>
      <c r="B33" s="9" t="s">
        <v>103</v>
      </c>
      <c r="C33" s="8">
        <v>32</v>
      </c>
      <c r="D33" s="10"/>
      <c r="E33" s="109"/>
      <c r="F33" s="10"/>
    </row>
    <row r="34" spans="1:6" ht="14.4" x14ac:dyDescent="0.25">
      <c r="A34" s="21">
        <v>41274</v>
      </c>
      <c r="B34" s="9" t="s">
        <v>104</v>
      </c>
      <c r="C34" s="8">
        <v>33</v>
      </c>
      <c r="D34" s="10">
        <v>2510</v>
      </c>
      <c r="E34" s="109">
        <v>5358113.9400000004</v>
      </c>
      <c r="F34" s="10">
        <v>4065168.37</v>
      </c>
    </row>
    <row r="35" spans="1:6" ht="14.4" x14ac:dyDescent="0.25">
      <c r="A35" s="21">
        <v>41274</v>
      </c>
      <c r="B35" s="9" t="s">
        <v>105</v>
      </c>
      <c r="C35" s="8">
        <v>34</v>
      </c>
      <c r="D35" s="10"/>
      <c r="E35" s="109"/>
      <c r="F35" s="10"/>
    </row>
    <row r="36" spans="1:6" ht="14.4" x14ac:dyDescent="0.25">
      <c r="A36" s="21">
        <v>41274</v>
      </c>
      <c r="B36" s="9" t="s">
        <v>106</v>
      </c>
      <c r="C36" s="8">
        <v>35</v>
      </c>
      <c r="D36" s="10"/>
      <c r="E36" s="109"/>
      <c r="F36" s="10"/>
    </row>
    <row r="37" spans="1:6" ht="14.4" x14ac:dyDescent="0.25">
      <c r="A37" s="21">
        <v>41274</v>
      </c>
      <c r="B37" s="9" t="s">
        <v>107</v>
      </c>
      <c r="C37" s="8">
        <v>36</v>
      </c>
      <c r="D37" s="10"/>
      <c r="E37" s="109"/>
      <c r="F37" s="10"/>
    </row>
    <row r="38" spans="1:6" ht="14.4" x14ac:dyDescent="0.25">
      <c r="A38" s="21">
        <v>41274</v>
      </c>
      <c r="B38" s="9" t="s">
        <v>108</v>
      </c>
      <c r="C38" s="8">
        <v>37</v>
      </c>
      <c r="D38" s="10"/>
      <c r="E38" s="109"/>
      <c r="F38" s="10"/>
    </row>
    <row r="39" spans="1:6" ht="14.4" x14ac:dyDescent="0.25">
      <c r="A39" s="21">
        <v>41274</v>
      </c>
      <c r="B39" s="9" t="s">
        <v>109</v>
      </c>
      <c r="C39" s="8">
        <v>38</v>
      </c>
      <c r="D39" s="10">
        <f>D2-D13</f>
        <v>5563725.9299999997</v>
      </c>
      <c r="E39" s="109">
        <f>E2-E13</f>
        <v>809362.52999999933</v>
      </c>
      <c r="F39" s="10">
        <f>F2-F13</f>
        <v>-3691587.52</v>
      </c>
    </row>
    <row r="40" spans="1:6" ht="14.4" x14ac:dyDescent="0.25">
      <c r="A40" s="21">
        <v>41274</v>
      </c>
      <c r="B40" s="9" t="s">
        <v>110</v>
      </c>
      <c r="C40" s="8">
        <v>39</v>
      </c>
      <c r="D40" s="10"/>
      <c r="E40" s="109"/>
      <c r="F40" s="10"/>
    </row>
    <row r="41" spans="1:6" ht="14.4" x14ac:dyDescent="0.25">
      <c r="A41" s="21">
        <v>41274</v>
      </c>
      <c r="B41" s="9" t="s">
        <v>111</v>
      </c>
      <c r="C41" s="8">
        <v>40</v>
      </c>
      <c r="D41" s="10"/>
      <c r="E41" s="109"/>
      <c r="F41" s="10"/>
    </row>
    <row r="42" spans="1:6" ht="14.4" x14ac:dyDescent="0.25">
      <c r="A42" s="21">
        <v>41274</v>
      </c>
      <c r="B42" s="9" t="s">
        <v>112</v>
      </c>
      <c r="C42" s="8">
        <v>41</v>
      </c>
      <c r="D42" s="10">
        <f>D39+D40-D41</f>
        <v>5563725.9299999997</v>
      </c>
      <c r="E42" s="109">
        <f>E39+E40-E41</f>
        <v>809362.52999999933</v>
      </c>
      <c r="F42" s="10">
        <f>F39+F40-F41</f>
        <v>-3691587.52</v>
      </c>
    </row>
    <row r="43" spans="1:6" ht="14.4" x14ac:dyDescent="0.25">
      <c r="A43" s="21">
        <v>41274</v>
      </c>
      <c r="B43" s="9" t="s">
        <v>113</v>
      </c>
      <c r="C43" s="8">
        <v>42</v>
      </c>
      <c r="D43" s="10"/>
      <c r="E43" s="109"/>
      <c r="F43" s="10"/>
    </row>
    <row r="44" spans="1:6" ht="14.4" x14ac:dyDescent="0.25">
      <c r="A44" s="21">
        <v>41274</v>
      </c>
      <c r="B44" s="9" t="s">
        <v>114</v>
      </c>
      <c r="C44" s="8">
        <v>43</v>
      </c>
      <c r="D44" s="10">
        <f>D42-D43</f>
        <v>5563725.9299999997</v>
      </c>
      <c r="E44" s="109">
        <f>E42-E43</f>
        <v>809362.52999999933</v>
      </c>
      <c r="F44" s="10">
        <f>F42-F43</f>
        <v>-3691587.52</v>
      </c>
    </row>
    <row r="45" spans="1:6" ht="14.4" x14ac:dyDescent="0.25">
      <c r="A45" s="21">
        <v>41274</v>
      </c>
      <c r="B45" s="9" t="s">
        <v>115</v>
      </c>
      <c r="C45" s="8">
        <v>44</v>
      </c>
      <c r="D45" s="10"/>
      <c r="E45" s="109"/>
      <c r="F45" s="10"/>
    </row>
    <row r="46" spans="1:6" ht="14.4" x14ac:dyDescent="0.25">
      <c r="A46" s="21">
        <v>41274</v>
      </c>
      <c r="B46" s="13" t="s">
        <v>116</v>
      </c>
      <c r="C46" s="8">
        <v>45</v>
      </c>
      <c r="D46" s="10"/>
      <c r="E46" s="109"/>
      <c r="F46" s="10"/>
    </row>
    <row r="47" spans="1:6" ht="14.4" x14ac:dyDescent="0.25">
      <c r="A47" s="21">
        <v>41274</v>
      </c>
      <c r="B47" s="9" t="s">
        <v>117</v>
      </c>
      <c r="C47" s="8">
        <v>46</v>
      </c>
      <c r="D47" s="10"/>
      <c r="E47" s="109"/>
      <c r="F47" s="10"/>
    </row>
    <row r="48" spans="1:6" ht="14.4" x14ac:dyDescent="0.25">
      <c r="A48" s="21">
        <v>41274</v>
      </c>
      <c r="B48" s="9" t="s">
        <v>118</v>
      </c>
      <c r="C48" s="8">
        <v>47</v>
      </c>
      <c r="D48" s="10"/>
      <c r="E48" s="109"/>
      <c r="F48" s="10"/>
    </row>
    <row r="49" spans="1:6" ht="14.4" x14ac:dyDescent="0.25">
      <c r="A49" s="21">
        <v>41274</v>
      </c>
      <c r="B49" s="9" t="s">
        <v>119</v>
      </c>
      <c r="C49" s="8">
        <v>48</v>
      </c>
      <c r="D49" s="10"/>
      <c r="E49" s="109"/>
      <c r="F49" s="10"/>
    </row>
    <row r="50" spans="1:6" ht="14.4" x14ac:dyDescent="0.25">
      <c r="A50" s="21">
        <v>41274</v>
      </c>
      <c r="B50" s="9" t="s">
        <v>120</v>
      </c>
      <c r="C50" s="8">
        <v>49</v>
      </c>
      <c r="D50" s="10"/>
      <c r="E50" s="109"/>
      <c r="F50" s="10"/>
    </row>
    <row r="51" spans="1:6" ht="14.4" x14ac:dyDescent="0.25">
      <c r="A51" s="21">
        <v>41639</v>
      </c>
      <c r="B51" s="9" t="s">
        <v>72</v>
      </c>
      <c r="C51" s="8">
        <v>1</v>
      </c>
      <c r="D51" s="10">
        <f>D52+D57+D59+D60+D61</f>
        <v>1460421.14</v>
      </c>
      <c r="E51" s="109">
        <f>E52+E57+E59+E60+E61</f>
        <v>10145714.260000002</v>
      </c>
      <c r="F51" s="10">
        <f>F52+F57+F59+F60+F61</f>
        <v>6167476.4699999997</v>
      </c>
    </row>
    <row r="52" spans="1:6" ht="14.4" x14ac:dyDescent="0.25">
      <c r="A52" s="21">
        <v>41639</v>
      </c>
      <c r="B52" s="11" t="s">
        <v>73</v>
      </c>
      <c r="C52" s="8">
        <v>2</v>
      </c>
      <c r="D52" s="10">
        <f>D53-D55-D56</f>
        <v>0</v>
      </c>
      <c r="E52" s="109">
        <f>E53-E55-E56</f>
        <v>0</v>
      </c>
      <c r="F52" s="10">
        <f>F53-F55-F56</f>
        <v>0</v>
      </c>
    </row>
    <row r="53" spans="1:6" ht="14.4" x14ac:dyDescent="0.25">
      <c r="A53" s="21">
        <v>41639</v>
      </c>
      <c r="B53" s="9" t="s">
        <v>74</v>
      </c>
      <c r="C53" s="8">
        <v>3</v>
      </c>
      <c r="D53" s="10"/>
      <c r="E53" s="109"/>
      <c r="F53" s="10"/>
    </row>
    <row r="54" spans="1:6" ht="14.4" x14ac:dyDescent="0.25">
      <c r="A54" s="21">
        <v>41639</v>
      </c>
      <c r="B54" s="9" t="s">
        <v>75</v>
      </c>
      <c r="C54" s="8">
        <v>4</v>
      </c>
      <c r="D54" s="10"/>
      <c r="E54" s="109"/>
      <c r="F54" s="10"/>
    </row>
    <row r="55" spans="1:6" ht="14.4" x14ac:dyDescent="0.25">
      <c r="A55" s="21">
        <v>41639</v>
      </c>
      <c r="B55" s="9" t="s">
        <v>76</v>
      </c>
      <c r="C55" s="8">
        <v>5</v>
      </c>
      <c r="D55" s="10"/>
      <c r="E55" s="109"/>
      <c r="F55" s="10"/>
    </row>
    <row r="56" spans="1:6" ht="14.4" x14ac:dyDescent="0.25">
      <c r="A56" s="21">
        <v>41639</v>
      </c>
      <c r="B56" s="9" t="s">
        <v>77</v>
      </c>
      <c r="C56" s="8">
        <v>6</v>
      </c>
      <c r="D56" s="10"/>
      <c r="E56" s="109"/>
      <c r="F56" s="10"/>
    </row>
    <row r="57" spans="1:6" ht="14.4" x14ac:dyDescent="0.25">
      <c r="A57" s="21">
        <v>41639</v>
      </c>
      <c r="B57" s="9" t="s">
        <v>78</v>
      </c>
      <c r="C57" s="8">
        <v>7</v>
      </c>
      <c r="D57" s="10"/>
      <c r="E57" s="109">
        <v>1297.3</v>
      </c>
      <c r="F57" s="10">
        <v>738.14</v>
      </c>
    </row>
    <row r="58" spans="1:6" ht="14.4" x14ac:dyDescent="0.25">
      <c r="A58" s="21">
        <v>41639</v>
      </c>
      <c r="B58" s="9" t="s">
        <v>79</v>
      </c>
      <c r="C58" s="8">
        <v>8</v>
      </c>
      <c r="D58" s="10"/>
      <c r="E58" s="109"/>
      <c r="F58" s="10"/>
    </row>
    <row r="59" spans="1:6" ht="14.4" x14ac:dyDescent="0.25">
      <c r="A59" s="21">
        <v>41639</v>
      </c>
      <c r="B59" s="9" t="s">
        <v>80</v>
      </c>
      <c r="C59" s="8">
        <v>9</v>
      </c>
      <c r="D59" s="10"/>
      <c r="E59" s="109"/>
      <c r="F59" s="10"/>
    </row>
    <row r="60" spans="1:6" ht="14.4" x14ac:dyDescent="0.25">
      <c r="A60" s="21">
        <v>41639</v>
      </c>
      <c r="B60" s="9" t="s">
        <v>81</v>
      </c>
      <c r="C60" s="8">
        <v>10</v>
      </c>
      <c r="D60" s="10"/>
      <c r="E60" s="109"/>
      <c r="F60" s="10"/>
    </row>
    <row r="61" spans="1:6" ht="14.4" x14ac:dyDescent="0.25">
      <c r="A61" s="21">
        <v>41639</v>
      </c>
      <c r="B61" s="9" t="s">
        <v>82</v>
      </c>
      <c r="C61" s="8">
        <v>11</v>
      </c>
      <c r="D61" s="10">
        <v>1460421.14</v>
      </c>
      <c r="E61" s="109">
        <v>10144416.960000001</v>
      </c>
      <c r="F61" s="10">
        <v>6166738.3300000001</v>
      </c>
    </row>
    <row r="62" spans="1:6" ht="14.4" x14ac:dyDescent="0.25">
      <c r="A62" s="21">
        <v>41639</v>
      </c>
      <c r="B62" s="9" t="s">
        <v>83</v>
      </c>
      <c r="C62" s="8">
        <v>12</v>
      </c>
      <c r="D62" s="10">
        <f>D63+D64+D72-D73+D74-D78+D79+D80+D81+D82+D83-D85+D86+D87</f>
        <v>0</v>
      </c>
      <c r="E62" s="109">
        <f>E63+E64+E72-E73+E74-E78+E79+E80+E81+E82+E83-E85+E86+E87</f>
        <v>6134870.0199999996</v>
      </c>
      <c r="F62" s="10">
        <f>F63+F64+F72-F73+F74-F78+F79+F80+F81+F82+F83-F85+F86+F87</f>
        <v>5358113.9400000004</v>
      </c>
    </row>
    <row r="63" spans="1:6" ht="14.4" x14ac:dyDescent="0.25">
      <c r="A63" s="21">
        <v>41639</v>
      </c>
      <c r="B63" s="9" t="s">
        <v>84</v>
      </c>
      <c r="C63" s="8">
        <v>13</v>
      </c>
      <c r="D63" s="10"/>
      <c r="E63" s="109"/>
      <c r="F63" s="10"/>
    </row>
    <row r="64" spans="1:6" ht="14.4" x14ac:dyDescent="0.25">
      <c r="A64" s="21">
        <v>41639</v>
      </c>
      <c r="B64" s="9" t="s">
        <v>85</v>
      </c>
      <c r="C64" s="8">
        <v>14</v>
      </c>
      <c r="D64" s="10"/>
      <c r="E64" s="109"/>
      <c r="F64" s="10"/>
    </row>
    <row r="65" spans="1:6" ht="14.4" x14ac:dyDescent="0.25">
      <c r="A65" s="21">
        <v>41639</v>
      </c>
      <c r="B65" s="12" t="s">
        <v>86</v>
      </c>
      <c r="C65" s="8">
        <v>15</v>
      </c>
      <c r="D65" s="10"/>
      <c r="E65" s="109"/>
      <c r="F65" s="10"/>
    </row>
    <row r="66" spans="1:6" ht="14.4" x14ac:dyDescent="0.25">
      <c r="A66" s="21">
        <v>41639</v>
      </c>
      <c r="B66" s="12" t="s">
        <v>87</v>
      </c>
      <c r="C66" s="8">
        <v>16</v>
      </c>
      <c r="D66" s="10"/>
      <c r="E66" s="109"/>
      <c r="F66" s="10"/>
    </row>
    <row r="67" spans="1:6" ht="14.4" x14ac:dyDescent="0.25">
      <c r="A67" s="21">
        <v>41639</v>
      </c>
      <c r="B67" s="12" t="s">
        <v>88</v>
      </c>
      <c r="C67" s="8">
        <v>17</v>
      </c>
      <c r="D67" s="10"/>
      <c r="E67" s="109"/>
      <c r="F67" s="10"/>
    </row>
    <row r="68" spans="1:6" ht="14.4" x14ac:dyDescent="0.25">
      <c r="A68" s="21">
        <v>41639</v>
      </c>
      <c r="B68" s="12" t="s">
        <v>89</v>
      </c>
      <c r="C68" s="8">
        <v>18</v>
      </c>
      <c r="D68" s="10"/>
      <c r="E68" s="109"/>
      <c r="F68" s="10"/>
    </row>
    <row r="69" spans="1:6" ht="14.4" x14ac:dyDescent="0.25">
      <c r="A69" s="21">
        <v>41639</v>
      </c>
      <c r="B69" s="12" t="s">
        <v>90</v>
      </c>
      <c r="C69" s="8">
        <v>19</v>
      </c>
      <c r="D69" s="10"/>
      <c r="E69" s="109"/>
      <c r="F69" s="10"/>
    </row>
    <row r="70" spans="1:6" ht="14.4" x14ac:dyDescent="0.25">
      <c r="A70" s="21">
        <v>41639</v>
      </c>
      <c r="B70" s="12" t="s">
        <v>91</v>
      </c>
      <c r="C70" s="8">
        <v>20</v>
      </c>
      <c r="D70" s="10"/>
      <c r="E70" s="109"/>
      <c r="F70" s="10"/>
    </row>
    <row r="71" spans="1:6" ht="14.4" x14ac:dyDescent="0.25">
      <c r="A71" s="21">
        <v>41639</v>
      </c>
      <c r="B71" s="12" t="s">
        <v>92</v>
      </c>
      <c r="C71" s="8">
        <v>21</v>
      </c>
      <c r="D71" s="10"/>
      <c r="E71" s="109"/>
      <c r="F71" s="10"/>
    </row>
    <row r="72" spans="1:6" ht="14.4" x14ac:dyDescent="0.25">
      <c r="A72" s="21">
        <v>41639</v>
      </c>
      <c r="B72" s="9" t="s">
        <v>93</v>
      </c>
      <c r="C72" s="8">
        <v>22</v>
      </c>
      <c r="D72" s="10"/>
      <c r="E72" s="109"/>
      <c r="F72" s="10"/>
    </row>
    <row r="73" spans="1:6" ht="14.4" x14ac:dyDescent="0.25">
      <c r="A73" s="21">
        <v>41639</v>
      </c>
      <c r="B73" s="9" t="s">
        <v>94</v>
      </c>
      <c r="C73" s="8">
        <v>23</v>
      </c>
      <c r="D73" s="10"/>
      <c r="E73" s="109"/>
      <c r="F73" s="10"/>
    </row>
    <row r="74" spans="1:6" ht="14.4" x14ac:dyDescent="0.25">
      <c r="A74" s="21">
        <v>41639</v>
      </c>
      <c r="B74" s="9" t="s">
        <v>95</v>
      </c>
      <c r="C74" s="8">
        <v>24</v>
      </c>
      <c r="D74" s="10"/>
      <c r="E74" s="109"/>
      <c r="F74" s="10"/>
    </row>
    <row r="75" spans="1:6" ht="14.4" x14ac:dyDescent="0.25">
      <c r="A75" s="21">
        <v>41639</v>
      </c>
      <c r="B75" s="9" t="s">
        <v>96</v>
      </c>
      <c r="C75" s="8">
        <v>25</v>
      </c>
      <c r="D75" s="10"/>
      <c r="E75" s="109"/>
      <c r="F75" s="10"/>
    </row>
    <row r="76" spans="1:6" ht="14.4" x14ac:dyDescent="0.25">
      <c r="A76" s="21">
        <v>41639</v>
      </c>
      <c r="B76" s="9" t="s">
        <v>97</v>
      </c>
      <c r="C76" s="8">
        <v>26</v>
      </c>
      <c r="D76" s="10"/>
      <c r="E76" s="109"/>
      <c r="F76" s="10"/>
    </row>
    <row r="77" spans="1:6" ht="14.4" x14ac:dyDescent="0.25">
      <c r="A77" s="21">
        <v>41639</v>
      </c>
      <c r="B77" s="9" t="s">
        <v>98</v>
      </c>
      <c r="C77" s="8">
        <v>27</v>
      </c>
      <c r="D77" s="10"/>
      <c r="E77" s="109"/>
      <c r="F77" s="10"/>
    </row>
    <row r="78" spans="1:6" ht="14.4" x14ac:dyDescent="0.25">
      <c r="A78" s="21">
        <v>41639</v>
      </c>
      <c r="B78" s="9" t="s">
        <v>99</v>
      </c>
      <c r="C78" s="8">
        <v>28</v>
      </c>
      <c r="D78" s="10"/>
      <c r="E78" s="109"/>
      <c r="F78" s="10"/>
    </row>
    <row r="79" spans="1:6" ht="14.4" x14ac:dyDescent="0.25">
      <c r="A79" s="21">
        <v>41639</v>
      </c>
      <c r="B79" s="9" t="s">
        <v>100</v>
      </c>
      <c r="C79" s="8">
        <v>29</v>
      </c>
      <c r="D79" s="10"/>
      <c r="E79" s="109"/>
      <c r="F79" s="10"/>
    </row>
    <row r="80" spans="1:6" ht="14.4" x14ac:dyDescent="0.25">
      <c r="A80" s="21">
        <v>41639</v>
      </c>
      <c r="B80" s="9" t="s">
        <v>101</v>
      </c>
      <c r="C80" s="8">
        <v>30</v>
      </c>
      <c r="D80" s="10"/>
      <c r="E80" s="109"/>
      <c r="F80" s="10"/>
    </row>
    <row r="81" spans="1:6" ht="14.4" x14ac:dyDescent="0.25">
      <c r="A81" s="21">
        <v>41639</v>
      </c>
      <c r="B81" s="9" t="s">
        <v>102</v>
      </c>
      <c r="C81" s="8">
        <v>31</v>
      </c>
      <c r="D81" s="10"/>
      <c r="E81" s="109">
        <v>360</v>
      </c>
      <c r="F81" s="10"/>
    </row>
    <row r="82" spans="1:6" ht="14.4" x14ac:dyDescent="0.25">
      <c r="A82" s="21">
        <v>41639</v>
      </c>
      <c r="B82" s="9" t="s">
        <v>103</v>
      </c>
      <c r="C82" s="8">
        <v>32</v>
      </c>
      <c r="D82" s="10"/>
      <c r="E82" s="109">
        <v>246005.89</v>
      </c>
      <c r="F82" s="10"/>
    </row>
    <row r="83" spans="1:6" ht="14.4" x14ac:dyDescent="0.25">
      <c r="A83" s="21">
        <v>41639</v>
      </c>
      <c r="B83" s="9" t="s">
        <v>104</v>
      </c>
      <c r="C83" s="8">
        <v>33</v>
      </c>
      <c r="D83" s="10"/>
      <c r="E83" s="109">
        <v>5888504.1299999999</v>
      </c>
      <c r="F83" s="10">
        <v>5358113.9400000004</v>
      </c>
    </row>
    <row r="84" spans="1:6" ht="14.4" x14ac:dyDescent="0.25">
      <c r="A84" s="21">
        <v>41639</v>
      </c>
      <c r="B84" s="9" t="s">
        <v>105</v>
      </c>
      <c r="C84" s="8">
        <v>34</v>
      </c>
      <c r="D84" s="10"/>
      <c r="E84" s="109"/>
      <c r="F84" s="10"/>
    </row>
    <row r="85" spans="1:6" ht="14.4" x14ac:dyDescent="0.25">
      <c r="A85" s="21">
        <v>41639</v>
      </c>
      <c r="B85" s="9" t="s">
        <v>106</v>
      </c>
      <c r="C85" s="8">
        <v>35</v>
      </c>
      <c r="D85" s="10"/>
      <c r="E85" s="109"/>
      <c r="F85" s="10"/>
    </row>
    <row r="86" spans="1:6" ht="14.4" x14ac:dyDescent="0.25">
      <c r="A86" s="21">
        <v>41639</v>
      </c>
      <c r="B86" s="9" t="s">
        <v>107</v>
      </c>
      <c r="C86" s="8">
        <v>36</v>
      </c>
      <c r="D86" s="10"/>
      <c r="E86" s="109"/>
      <c r="F86" s="10"/>
    </row>
    <row r="87" spans="1:6" ht="14.4" x14ac:dyDescent="0.25">
      <c r="A87" s="21">
        <v>41639</v>
      </c>
      <c r="B87" s="9" t="s">
        <v>108</v>
      </c>
      <c r="C87" s="8">
        <v>37</v>
      </c>
      <c r="D87" s="10"/>
      <c r="E87" s="109"/>
      <c r="F87" s="10"/>
    </row>
    <row r="88" spans="1:6" ht="14.4" x14ac:dyDescent="0.25">
      <c r="A88" s="21">
        <v>41639</v>
      </c>
      <c r="B88" s="9" t="s">
        <v>109</v>
      </c>
      <c r="C88" s="8">
        <v>38</v>
      </c>
      <c r="D88" s="10">
        <f>D51-D62</f>
        <v>1460421.14</v>
      </c>
      <c r="E88" s="109">
        <f>E51-E62</f>
        <v>4010844.2400000021</v>
      </c>
      <c r="F88" s="10">
        <f>F51-F62</f>
        <v>809362.52999999933</v>
      </c>
    </row>
    <row r="89" spans="1:6" ht="14.4" x14ac:dyDescent="0.25">
      <c r="A89" s="21">
        <v>41639</v>
      </c>
      <c r="B89" s="9" t="s">
        <v>110</v>
      </c>
      <c r="C89" s="8">
        <v>39</v>
      </c>
      <c r="D89" s="10"/>
      <c r="E89" s="109"/>
      <c r="F89" s="10"/>
    </row>
    <row r="90" spans="1:6" ht="14.4" x14ac:dyDescent="0.25">
      <c r="A90" s="21">
        <v>41639</v>
      </c>
      <c r="B90" s="9" t="s">
        <v>111</v>
      </c>
      <c r="C90" s="8">
        <v>40</v>
      </c>
      <c r="D90" s="10"/>
      <c r="E90" s="109"/>
      <c r="F90" s="10"/>
    </row>
    <row r="91" spans="1:6" ht="14.4" x14ac:dyDescent="0.25">
      <c r="A91" s="21">
        <v>41639</v>
      </c>
      <c r="B91" s="9" t="s">
        <v>112</v>
      </c>
      <c r="C91" s="8">
        <v>41</v>
      </c>
      <c r="D91" s="10">
        <f>D88+D89-D90</f>
        <v>1460421.14</v>
      </c>
      <c r="E91" s="109">
        <f>E88+E89-E90</f>
        <v>4010844.2400000021</v>
      </c>
      <c r="F91" s="10">
        <f>F88+F89-F90</f>
        <v>809362.52999999933</v>
      </c>
    </row>
    <row r="92" spans="1:6" ht="14.4" x14ac:dyDescent="0.25">
      <c r="A92" s="21">
        <v>41639</v>
      </c>
      <c r="B92" s="9" t="s">
        <v>113</v>
      </c>
      <c r="C92" s="8">
        <v>42</v>
      </c>
      <c r="D92" s="10"/>
      <c r="E92" s="109"/>
      <c r="F92" s="10"/>
    </row>
    <row r="93" spans="1:6" ht="14.4" x14ac:dyDescent="0.25">
      <c r="A93" s="21">
        <v>41639</v>
      </c>
      <c r="B93" s="9" t="s">
        <v>114</v>
      </c>
      <c r="C93" s="8">
        <v>43</v>
      </c>
      <c r="D93" s="10">
        <f>D91-D92</f>
        <v>1460421.14</v>
      </c>
      <c r="E93" s="109">
        <f>E91-E92</f>
        <v>4010844.2400000021</v>
      </c>
      <c r="F93" s="10">
        <f>F91-F92</f>
        <v>809362.52999999933</v>
      </c>
    </row>
    <row r="94" spans="1:6" ht="14.4" x14ac:dyDescent="0.25">
      <c r="A94" s="21">
        <v>41639</v>
      </c>
      <c r="B94" s="9" t="s">
        <v>115</v>
      </c>
      <c r="C94" s="8">
        <v>44</v>
      </c>
      <c r="D94" s="10"/>
      <c r="E94" s="109"/>
      <c r="F94" s="10"/>
    </row>
    <row r="95" spans="1:6" ht="14.4" x14ac:dyDescent="0.25">
      <c r="A95" s="21">
        <v>41639</v>
      </c>
      <c r="B95" s="13" t="s">
        <v>116</v>
      </c>
      <c r="C95" s="8">
        <v>45</v>
      </c>
      <c r="D95" s="10"/>
      <c r="E95" s="109"/>
      <c r="F95" s="10"/>
    </row>
    <row r="96" spans="1:6" ht="14.4" x14ac:dyDescent="0.25">
      <c r="A96" s="21">
        <v>41639</v>
      </c>
      <c r="B96" s="9" t="s">
        <v>117</v>
      </c>
      <c r="C96" s="8">
        <v>46</v>
      </c>
      <c r="D96" s="10"/>
      <c r="E96" s="109"/>
      <c r="F96" s="10"/>
    </row>
    <row r="97" spans="1:6" ht="14.4" x14ac:dyDescent="0.25">
      <c r="A97" s="21">
        <v>41639</v>
      </c>
      <c r="B97" s="9" t="s">
        <v>118</v>
      </c>
      <c r="C97" s="8">
        <v>47</v>
      </c>
      <c r="D97" s="10"/>
      <c r="E97" s="109"/>
      <c r="F97" s="10"/>
    </row>
    <row r="98" spans="1:6" ht="14.4" x14ac:dyDescent="0.25">
      <c r="A98" s="21">
        <v>41639</v>
      </c>
      <c r="B98" s="9" t="s">
        <v>119</v>
      </c>
      <c r="C98" s="8">
        <v>48</v>
      </c>
      <c r="D98" s="10"/>
      <c r="E98" s="109"/>
      <c r="F98" s="10"/>
    </row>
    <row r="99" spans="1:6" ht="14.4" x14ac:dyDescent="0.25">
      <c r="A99" s="21">
        <v>41639</v>
      </c>
      <c r="B99" s="9" t="s">
        <v>120</v>
      </c>
      <c r="C99" s="8">
        <v>49</v>
      </c>
      <c r="D99" s="10"/>
      <c r="E99" s="109"/>
      <c r="F99" s="10"/>
    </row>
    <row r="100" spans="1:6" ht="14.4" x14ac:dyDescent="0.25">
      <c r="A100" s="21">
        <v>42004</v>
      </c>
      <c r="B100" s="9" t="s">
        <v>72</v>
      </c>
      <c r="C100" s="8">
        <v>1</v>
      </c>
      <c r="D100" s="10">
        <f>D101+D106+D108+D109+D110</f>
        <v>5617752.5300000003</v>
      </c>
      <c r="E100" s="109">
        <f>E101+E106+E108+E109+E110</f>
        <v>17494457.91</v>
      </c>
      <c r="F100" s="10">
        <f>F101+F106+F108+F109+F110</f>
        <v>10145714.260000002</v>
      </c>
    </row>
    <row r="101" spans="1:6" ht="14.4" x14ac:dyDescent="0.25">
      <c r="A101" s="21">
        <v>42004</v>
      </c>
      <c r="B101" s="11" t="s">
        <v>73</v>
      </c>
      <c r="C101" s="8">
        <v>2</v>
      </c>
      <c r="D101" s="10">
        <f>D102-D104-D105</f>
        <v>0</v>
      </c>
      <c r="E101" s="109">
        <f>E102-E104-E105</f>
        <v>0</v>
      </c>
      <c r="F101" s="10">
        <f>F102-F104-F105</f>
        <v>0</v>
      </c>
    </row>
    <row r="102" spans="1:6" ht="14.4" x14ac:dyDescent="0.25">
      <c r="A102" s="21">
        <v>42004</v>
      </c>
      <c r="B102" s="9" t="s">
        <v>74</v>
      </c>
      <c r="C102" s="8">
        <v>3</v>
      </c>
      <c r="D102" s="10"/>
      <c r="E102" s="109"/>
      <c r="F102" s="10"/>
    </row>
    <row r="103" spans="1:6" ht="14.4" x14ac:dyDescent="0.25">
      <c r="A103" s="21">
        <v>42004</v>
      </c>
      <c r="B103" s="9" t="s">
        <v>75</v>
      </c>
      <c r="C103" s="8">
        <v>4</v>
      </c>
      <c r="D103" s="10"/>
      <c r="E103" s="109"/>
      <c r="F103" s="10"/>
    </row>
    <row r="104" spans="1:6" ht="14.4" x14ac:dyDescent="0.25">
      <c r="A104" s="21">
        <v>42004</v>
      </c>
      <c r="B104" s="9" t="s">
        <v>76</v>
      </c>
      <c r="C104" s="8">
        <v>5</v>
      </c>
      <c r="D104" s="10"/>
      <c r="E104" s="109"/>
      <c r="F104" s="10"/>
    </row>
    <row r="105" spans="1:6" ht="14.4" x14ac:dyDescent="0.25">
      <c r="A105" s="21">
        <v>42004</v>
      </c>
      <c r="B105" s="9" t="s">
        <v>77</v>
      </c>
      <c r="C105" s="8">
        <v>6</v>
      </c>
      <c r="D105" s="10"/>
      <c r="E105" s="109"/>
      <c r="F105" s="10"/>
    </row>
    <row r="106" spans="1:6" ht="14.4" x14ac:dyDescent="0.25">
      <c r="A106" s="21">
        <v>42004</v>
      </c>
      <c r="B106" s="9" t="s">
        <v>78</v>
      </c>
      <c r="C106" s="8">
        <v>7</v>
      </c>
      <c r="D106" s="10"/>
      <c r="E106" s="109">
        <v>3604.16</v>
      </c>
      <c r="F106" s="10">
        <v>1297.3</v>
      </c>
    </row>
    <row r="107" spans="1:6" ht="14.4" x14ac:dyDescent="0.25">
      <c r="A107" s="21">
        <v>42004</v>
      </c>
      <c r="B107" s="9" t="s">
        <v>79</v>
      </c>
      <c r="C107" s="8">
        <v>8</v>
      </c>
      <c r="D107" s="10"/>
      <c r="E107" s="109"/>
      <c r="F107" s="10"/>
    </row>
    <row r="108" spans="1:6" ht="14.4" x14ac:dyDescent="0.25">
      <c r="A108" s="21">
        <v>42004</v>
      </c>
      <c r="B108" s="9" t="s">
        <v>80</v>
      </c>
      <c r="C108" s="8">
        <v>9</v>
      </c>
      <c r="D108" s="10"/>
      <c r="E108" s="109"/>
      <c r="F108" s="10"/>
    </row>
    <row r="109" spans="1:6" ht="14.4" x14ac:dyDescent="0.25">
      <c r="A109" s="21">
        <v>42004</v>
      </c>
      <c r="B109" s="9" t="s">
        <v>81</v>
      </c>
      <c r="C109" s="8">
        <v>10</v>
      </c>
      <c r="D109" s="10"/>
      <c r="E109" s="109"/>
      <c r="F109" s="10"/>
    </row>
    <row r="110" spans="1:6" ht="14.4" x14ac:dyDescent="0.25">
      <c r="A110" s="21">
        <v>42004</v>
      </c>
      <c r="B110" s="9" t="s">
        <v>82</v>
      </c>
      <c r="C110" s="8">
        <v>11</v>
      </c>
      <c r="D110" s="10">
        <v>5617752.5300000003</v>
      </c>
      <c r="E110" s="109">
        <v>17490853.75</v>
      </c>
      <c r="F110" s="10">
        <v>10144416.960000001</v>
      </c>
    </row>
    <row r="111" spans="1:6" ht="14.4" x14ac:dyDescent="0.25">
      <c r="A111" s="21">
        <v>42004</v>
      </c>
      <c r="B111" s="9" t="s">
        <v>83</v>
      </c>
      <c r="C111" s="8">
        <v>12</v>
      </c>
      <c r="D111" s="10">
        <f>D112+D113+D121-D122+D123-D127+D128+D129+D130+D131+D132-D134+D135+D136</f>
        <v>74810.490000000005</v>
      </c>
      <c r="E111" s="109">
        <f>E112+E113+E121-E122+E123-E127+E128+E129+E130+E131+E132-E134+E135+E136</f>
        <v>6205205.79</v>
      </c>
      <c r="F111" s="10">
        <f>F112+F113+F121-F122+F123-F127+F128+F129+F130+F131+F132-F134+F135+F136</f>
        <v>6134870.0199999996</v>
      </c>
    </row>
    <row r="112" spans="1:6" ht="14.4" x14ac:dyDescent="0.25">
      <c r="A112" s="21">
        <v>42004</v>
      </c>
      <c r="B112" s="9" t="s">
        <v>84</v>
      </c>
      <c r="C112" s="8">
        <v>13</v>
      </c>
      <c r="D112" s="10"/>
      <c r="E112" s="109"/>
      <c r="F112" s="10"/>
    </row>
    <row r="113" spans="1:6" ht="14.4" x14ac:dyDescent="0.25">
      <c r="A113" s="21">
        <v>42004</v>
      </c>
      <c r="B113" s="9" t="s">
        <v>85</v>
      </c>
      <c r="C113" s="8">
        <v>14</v>
      </c>
      <c r="D113" s="10"/>
      <c r="E113" s="109"/>
      <c r="F113" s="10"/>
    </row>
    <row r="114" spans="1:6" ht="14.4" x14ac:dyDescent="0.25">
      <c r="A114" s="21">
        <v>42004</v>
      </c>
      <c r="B114" s="12" t="s">
        <v>86</v>
      </c>
      <c r="C114" s="8">
        <v>15</v>
      </c>
      <c r="D114" s="10"/>
      <c r="E114" s="109"/>
      <c r="F114" s="10"/>
    </row>
    <row r="115" spans="1:6" ht="14.4" x14ac:dyDescent="0.25">
      <c r="A115" s="21">
        <v>42004</v>
      </c>
      <c r="B115" s="12" t="s">
        <v>87</v>
      </c>
      <c r="C115" s="8">
        <v>16</v>
      </c>
      <c r="D115" s="10"/>
      <c r="E115" s="109"/>
      <c r="F115" s="10"/>
    </row>
    <row r="116" spans="1:6" ht="14.4" x14ac:dyDescent="0.25">
      <c r="A116" s="21">
        <v>42004</v>
      </c>
      <c r="B116" s="12" t="s">
        <v>88</v>
      </c>
      <c r="C116" s="8">
        <v>17</v>
      </c>
      <c r="D116" s="10"/>
      <c r="E116" s="109"/>
      <c r="F116" s="10"/>
    </row>
    <row r="117" spans="1:6" ht="14.4" x14ac:dyDescent="0.25">
      <c r="A117" s="21">
        <v>42004</v>
      </c>
      <c r="B117" s="12" t="s">
        <v>89</v>
      </c>
      <c r="C117" s="8">
        <v>18</v>
      </c>
      <c r="D117" s="10"/>
      <c r="E117" s="109"/>
      <c r="F117" s="10"/>
    </row>
    <row r="118" spans="1:6" ht="14.4" x14ac:dyDescent="0.25">
      <c r="A118" s="21">
        <v>42004</v>
      </c>
      <c r="B118" s="12" t="s">
        <v>90</v>
      </c>
      <c r="C118" s="8">
        <v>19</v>
      </c>
      <c r="D118" s="10"/>
      <c r="E118" s="109"/>
      <c r="F118" s="10"/>
    </row>
    <row r="119" spans="1:6" ht="14.4" x14ac:dyDescent="0.25">
      <c r="A119" s="21">
        <v>42004</v>
      </c>
      <c r="B119" s="12" t="s">
        <v>91</v>
      </c>
      <c r="C119" s="8">
        <v>20</v>
      </c>
      <c r="D119" s="10"/>
      <c r="E119" s="109"/>
      <c r="F119" s="10"/>
    </row>
    <row r="120" spans="1:6" ht="14.4" x14ac:dyDescent="0.25">
      <c r="A120" s="21">
        <v>42004</v>
      </c>
      <c r="B120" s="12" t="s">
        <v>92</v>
      </c>
      <c r="C120" s="8">
        <v>21</v>
      </c>
      <c r="D120" s="10"/>
      <c r="E120" s="109"/>
      <c r="F120" s="10"/>
    </row>
    <row r="121" spans="1:6" ht="14.4" x14ac:dyDescent="0.25">
      <c r="A121" s="21">
        <v>42004</v>
      </c>
      <c r="B121" s="9" t="s">
        <v>93</v>
      </c>
      <c r="C121" s="8">
        <v>22</v>
      </c>
      <c r="D121" s="10"/>
      <c r="E121" s="109"/>
      <c r="F121" s="10"/>
    </row>
    <row r="122" spans="1:6" ht="14.4" x14ac:dyDescent="0.25">
      <c r="A122" s="21">
        <v>42004</v>
      </c>
      <c r="B122" s="9" t="s">
        <v>94</v>
      </c>
      <c r="C122" s="8">
        <v>23</v>
      </c>
      <c r="D122" s="10"/>
      <c r="E122" s="109"/>
      <c r="F122" s="10"/>
    </row>
    <row r="123" spans="1:6" ht="14.4" x14ac:dyDescent="0.25">
      <c r="A123" s="21">
        <v>42004</v>
      </c>
      <c r="B123" s="9" t="s">
        <v>95</v>
      </c>
      <c r="C123" s="8">
        <v>24</v>
      </c>
      <c r="D123" s="10"/>
      <c r="E123" s="109"/>
      <c r="F123" s="10"/>
    </row>
    <row r="124" spans="1:6" ht="14.4" x14ac:dyDescent="0.25">
      <c r="A124" s="21">
        <v>42004</v>
      </c>
      <c r="B124" s="9" t="s">
        <v>96</v>
      </c>
      <c r="C124" s="8">
        <v>25</v>
      </c>
      <c r="D124" s="10"/>
      <c r="E124" s="109"/>
      <c r="F124" s="10"/>
    </row>
    <row r="125" spans="1:6" ht="14.4" x14ac:dyDescent="0.25">
      <c r="A125" s="21">
        <v>42004</v>
      </c>
      <c r="B125" s="9" t="s">
        <v>97</v>
      </c>
      <c r="C125" s="8">
        <v>26</v>
      </c>
      <c r="D125" s="10"/>
      <c r="E125" s="109"/>
      <c r="F125" s="10"/>
    </row>
    <row r="126" spans="1:6" ht="14.4" x14ac:dyDescent="0.25">
      <c r="A126" s="21">
        <v>42004</v>
      </c>
      <c r="B126" s="9" t="s">
        <v>98</v>
      </c>
      <c r="C126" s="8">
        <v>27</v>
      </c>
      <c r="D126" s="10"/>
      <c r="E126" s="109"/>
      <c r="F126" s="10"/>
    </row>
    <row r="127" spans="1:6" ht="14.4" x14ac:dyDescent="0.25">
      <c r="A127" s="21">
        <v>42004</v>
      </c>
      <c r="B127" s="9" t="s">
        <v>99</v>
      </c>
      <c r="C127" s="8">
        <v>28</v>
      </c>
      <c r="D127" s="10"/>
      <c r="E127" s="109"/>
      <c r="F127" s="10"/>
    </row>
    <row r="128" spans="1:6" ht="14.4" x14ac:dyDescent="0.25">
      <c r="A128" s="21">
        <v>42004</v>
      </c>
      <c r="B128" s="9" t="s">
        <v>100</v>
      </c>
      <c r="C128" s="8">
        <v>29</v>
      </c>
      <c r="D128" s="10"/>
      <c r="E128" s="109"/>
      <c r="F128" s="10"/>
    </row>
    <row r="129" spans="1:6" ht="14.4" x14ac:dyDescent="0.25">
      <c r="A129" s="21">
        <v>42004</v>
      </c>
      <c r="B129" s="9" t="s">
        <v>101</v>
      </c>
      <c r="C129" s="8">
        <v>30</v>
      </c>
      <c r="D129" s="10"/>
      <c r="E129" s="109"/>
      <c r="F129" s="10"/>
    </row>
    <row r="130" spans="1:6" ht="14.4" x14ac:dyDescent="0.25">
      <c r="A130" s="21">
        <v>42004</v>
      </c>
      <c r="B130" s="9" t="s">
        <v>102</v>
      </c>
      <c r="C130" s="8">
        <v>31</v>
      </c>
      <c r="D130" s="10"/>
      <c r="E130" s="109"/>
      <c r="F130" s="10">
        <v>360</v>
      </c>
    </row>
    <row r="131" spans="1:6" ht="14.4" x14ac:dyDescent="0.25">
      <c r="A131" s="21">
        <v>42004</v>
      </c>
      <c r="B131" s="9" t="s">
        <v>103</v>
      </c>
      <c r="C131" s="8">
        <v>32</v>
      </c>
      <c r="D131" s="10">
        <v>74810.490000000005</v>
      </c>
      <c r="E131" s="109">
        <v>630164.65</v>
      </c>
      <c r="F131" s="10">
        <v>246005.89</v>
      </c>
    </row>
    <row r="132" spans="1:6" ht="14.4" x14ac:dyDescent="0.25">
      <c r="A132" s="21">
        <v>42004</v>
      </c>
      <c r="B132" s="9" t="s">
        <v>104</v>
      </c>
      <c r="C132" s="8">
        <v>33</v>
      </c>
      <c r="D132" s="10"/>
      <c r="E132" s="109">
        <v>5575041.1399999997</v>
      </c>
      <c r="F132" s="10">
        <v>5888504.1299999999</v>
      </c>
    </row>
    <row r="133" spans="1:6" ht="14.4" x14ac:dyDescent="0.25">
      <c r="A133" s="21">
        <v>42004</v>
      </c>
      <c r="B133" s="9" t="s">
        <v>105</v>
      </c>
      <c r="C133" s="8">
        <v>34</v>
      </c>
      <c r="D133" s="10"/>
      <c r="E133" s="109"/>
      <c r="F133" s="10"/>
    </row>
    <row r="134" spans="1:6" ht="14.4" x14ac:dyDescent="0.25">
      <c r="A134" s="21">
        <v>42004</v>
      </c>
      <c r="B134" s="9" t="s">
        <v>106</v>
      </c>
      <c r="C134" s="8">
        <v>35</v>
      </c>
      <c r="D134" s="10"/>
      <c r="E134" s="109"/>
      <c r="F134" s="10"/>
    </row>
    <row r="135" spans="1:6" ht="14.4" x14ac:dyDescent="0.25">
      <c r="A135" s="21">
        <v>42004</v>
      </c>
      <c r="B135" s="9" t="s">
        <v>107</v>
      </c>
      <c r="C135" s="8">
        <v>36</v>
      </c>
      <c r="D135" s="10"/>
      <c r="E135" s="109"/>
      <c r="F135" s="10"/>
    </row>
    <row r="136" spans="1:6" ht="14.4" x14ac:dyDescent="0.25">
      <c r="A136" s="21">
        <v>42004</v>
      </c>
      <c r="B136" s="9" t="s">
        <v>108</v>
      </c>
      <c r="C136" s="8">
        <v>37</v>
      </c>
      <c r="D136" s="10"/>
      <c r="E136" s="109"/>
      <c r="F136" s="10"/>
    </row>
    <row r="137" spans="1:6" ht="14.4" x14ac:dyDescent="0.25">
      <c r="A137" s="21">
        <v>42004</v>
      </c>
      <c r="B137" s="9" t="s">
        <v>109</v>
      </c>
      <c r="C137" s="8">
        <v>38</v>
      </c>
      <c r="D137" s="10">
        <f>D100-D111</f>
        <v>5542942.04</v>
      </c>
      <c r="E137" s="109">
        <f>E100-E111</f>
        <v>11289252.120000001</v>
      </c>
      <c r="F137" s="10">
        <f>F100-F111</f>
        <v>4010844.2400000021</v>
      </c>
    </row>
    <row r="138" spans="1:6" ht="14.4" x14ac:dyDescent="0.25">
      <c r="A138" s="21">
        <v>42004</v>
      </c>
      <c r="B138" s="9" t="s">
        <v>110</v>
      </c>
      <c r="C138" s="8">
        <v>39</v>
      </c>
      <c r="D138" s="10"/>
      <c r="E138" s="109"/>
      <c r="F138" s="10"/>
    </row>
    <row r="139" spans="1:6" ht="14.4" x14ac:dyDescent="0.25">
      <c r="A139" s="21">
        <v>42004</v>
      </c>
      <c r="B139" s="9" t="s">
        <v>111</v>
      </c>
      <c r="C139" s="8">
        <v>40</v>
      </c>
      <c r="D139" s="10"/>
      <c r="E139" s="109"/>
      <c r="F139" s="10"/>
    </row>
    <row r="140" spans="1:6" ht="14.4" x14ac:dyDescent="0.25">
      <c r="A140" s="21">
        <v>42004</v>
      </c>
      <c r="B140" s="9" t="s">
        <v>112</v>
      </c>
      <c r="C140" s="8">
        <v>41</v>
      </c>
      <c r="D140" s="10">
        <f>D137+D138-D139</f>
        <v>5542942.04</v>
      </c>
      <c r="E140" s="109">
        <f>E137+E138-E139</f>
        <v>11289252.120000001</v>
      </c>
      <c r="F140" s="10">
        <f>F137+F138-F139</f>
        <v>4010844.2400000021</v>
      </c>
    </row>
    <row r="141" spans="1:6" ht="14.4" x14ac:dyDescent="0.25">
      <c r="A141" s="21">
        <v>42004</v>
      </c>
      <c r="B141" s="9" t="s">
        <v>113</v>
      </c>
      <c r="C141" s="8">
        <v>42</v>
      </c>
      <c r="D141" s="10"/>
      <c r="E141" s="109"/>
      <c r="F141" s="10"/>
    </row>
    <row r="142" spans="1:6" ht="14.4" x14ac:dyDescent="0.25">
      <c r="A142" s="21">
        <v>42004</v>
      </c>
      <c r="B142" s="9" t="s">
        <v>114</v>
      </c>
      <c r="C142" s="8">
        <v>43</v>
      </c>
      <c r="D142" s="10">
        <f>D140-D141</f>
        <v>5542942.04</v>
      </c>
      <c r="E142" s="109">
        <f>E140-E141</f>
        <v>11289252.120000001</v>
      </c>
      <c r="F142" s="10">
        <f>F140-F141</f>
        <v>4010844.2400000021</v>
      </c>
    </row>
    <row r="143" spans="1:6" ht="14.4" x14ac:dyDescent="0.25">
      <c r="A143" s="21">
        <v>42004</v>
      </c>
      <c r="B143" s="9" t="s">
        <v>115</v>
      </c>
      <c r="C143" s="8">
        <v>44</v>
      </c>
      <c r="D143" s="10"/>
      <c r="E143" s="109"/>
      <c r="F143" s="10"/>
    </row>
    <row r="144" spans="1:6" ht="14.4" x14ac:dyDescent="0.25">
      <c r="A144" s="21">
        <v>42004</v>
      </c>
      <c r="B144" s="13" t="s">
        <v>116</v>
      </c>
      <c r="C144" s="8">
        <v>45</v>
      </c>
      <c r="D144" s="10"/>
      <c r="E144" s="109"/>
      <c r="F144" s="10"/>
    </row>
    <row r="145" spans="1:6" ht="14.4" x14ac:dyDescent="0.25">
      <c r="A145" s="21">
        <v>42004</v>
      </c>
      <c r="B145" s="9" t="s">
        <v>117</v>
      </c>
      <c r="C145" s="8">
        <v>46</v>
      </c>
      <c r="D145" s="10"/>
      <c r="E145" s="109"/>
      <c r="F145" s="10"/>
    </row>
    <row r="146" spans="1:6" ht="14.4" x14ac:dyDescent="0.25">
      <c r="A146" s="21">
        <v>42004</v>
      </c>
      <c r="B146" s="9" t="s">
        <v>118</v>
      </c>
      <c r="C146" s="8">
        <v>47</v>
      </c>
      <c r="D146" s="10"/>
      <c r="E146" s="109"/>
      <c r="F146" s="10"/>
    </row>
    <row r="147" spans="1:6" ht="14.4" x14ac:dyDescent="0.25">
      <c r="A147" s="21">
        <v>42004</v>
      </c>
      <c r="B147" s="9" t="s">
        <v>119</v>
      </c>
      <c r="C147" s="8">
        <v>48</v>
      </c>
      <c r="D147" s="10"/>
      <c r="E147" s="109"/>
      <c r="F147" s="10"/>
    </row>
    <row r="148" spans="1:6" ht="14.4" x14ac:dyDescent="0.25">
      <c r="A148" s="21">
        <v>42004</v>
      </c>
      <c r="B148" s="9" t="s">
        <v>120</v>
      </c>
      <c r="C148" s="8">
        <v>49</v>
      </c>
      <c r="D148" s="10"/>
      <c r="E148" s="109"/>
      <c r="F148" s="10"/>
    </row>
    <row r="149" spans="1:6" ht="14.4" x14ac:dyDescent="0.25">
      <c r="A149" s="21">
        <v>42369</v>
      </c>
      <c r="B149" s="9" t="s">
        <v>72</v>
      </c>
      <c r="C149" s="8">
        <v>1</v>
      </c>
      <c r="D149" s="10">
        <f>D150+D155+D157+D158+D159</f>
        <v>1369106.94</v>
      </c>
      <c r="E149" s="109">
        <f>E150+E155+E157+E158+E159</f>
        <v>24189404.540000003</v>
      </c>
      <c r="F149" s="10">
        <f>F150+F155+F157+F158+F159</f>
        <v>17494457.91</v>
      </c>
    </row>
    <row r="150" spans="1:6" ht="14.4" x14ac:dyDescent="0.25">
      <c r="A150" s="21">
        <v>42369</v>
      </c>
      <c r="B150" s="11" t="s">
        <v>73</v>
      </c>
      <c r="C150" s="8">
        <v>2</v>
      </c>
      <c r="D150" s="10">
        <f>D151-D153-D154</f>
        <v>0</v>
      </c>
      <c r="E150" s="109">
        <f>E151-E153-E154</f>
        <v>0</v>
      </c>
      <c r="F150" s="10">
        <f>F151-F153-F154</f>
        <v>0</v>
      </c>
    </row>
    <row r="151" spans="1:6" ht="14.4" x14ac:dyDescent="0.25">
      <c r="A151" s="21">
        <v>42369</v>
      </c>
      <c r="B151" s="9" t="s">
        <v>74</v>
      </c>
      <c r="C151" s="8">
        <v>3</v>
      </c>
      <c r="D151" s="10"/>
      <c r="E151" s="109"/>
      <c r="F151" s="10"/>
    </row>
    <row r="152" spans="1:6" ht="14.4" x14ac:dyDescent="0.25">
      <c r="A152" s="21">
        <v>42369</v>
      </c>
      <c r="B152" s="9" t="s">
        <v>75</v>
      </c>
      <c r="C152" s="8">
        <v>4</v>
      </c>
      <c r="D152" s="10"/>
      <c r="E152" s="109"/>
      <c r="F152" s="10"/>
    </row>
    <row r="153" spans="1:6" ht="14.4" x14ac:dyDescent="0.25">
      <c r="A153" s="21">
        <v>42369</v>
      </c>
      <c r="B153" s="9" t="s">
        <v>76</v>
      </c>
      <c r="C153" s="8">
        <v>5</v>
      </c>
      <c r="D153" s="10"/>
      <c r="E153" s="109"/>
      <c r="F153" s="10"/>
    </row>
    <row r="154" spans="1:6" ht="14.4" x14ac:dyDescent="0.25">
      <c r="A154" s="21">
        <v>42369</v>
      </c>
      <c r="B154" s="9" t="s">
        <v>77</v>
      </c>
      <c r="C154" s="8">
        <v>6</v>
      </c>
      <c r="D154" s="10"/>
      <c r="E154" s="109"/>
      <c r="F154" s="10"/>
    </row>
    <row r="155" spans="1:6" ht="14.4" x14ac:dyDescent="0.25">
      <c r="A155" s="21">
        <v>42369</v>
      </c>
      <c r="B155" s="9" t="s">
        <v>78</v>
      </c>
      <c r="C155" s="8">
        <v>7</v>
      </c>
      <c r="D155" s="10"/>
      <c r="E155" s="109">
        <v>2544.2600000000002</v>
      </c>
      <c r="F155" s="10">
        <v>3604.16</v>
      </c>
    </row>
    <row r="156" spans="1:6" ht="14.4" x14ac:dyDescent="0.25">
      <c r="A156" s="21">
        <v>42369</v>
      </c>
      <c r="B156" s="9" t="s">
        <v>79</v>
      </c>
      <c r="C156" s="8">
        <v>8</v>
      </c>
      <c r="D156" s="10"/>
      <c r="E156" s="109"/>
      <c r="F156" s="10"/>
    </row>
    <row r="157" spans="1:6" ht="14.4" x14ac:dyDescent="0.25">
      <c r="A157" s="21">
        <v>42369</v>
      </c>
      <c r="B157" s="9" t="s">
        <v>80</v>
      </c>
      <c r="C157" s="8">
        <v>9</v>
      </c>
      <c r="D157" s="10"/>
      <c r="E157" s="109"/>
      <c r="F157" s="10"/>
    </row>
    <row r="158" spans="1:6" ht="14.4" x14ac:dyDescent="0.25">
      <c r="A158" s="21">
        <v>42369</v>
      </c>
      <c r="B158" s="9" t="s">
        <v>81</v>
      </c>
      <c r="C158" s="8">
        <v>10</v>
      </c>
      <c r="D158" s="10"/>
      <c r="E158" s="109"/>
      <c r="F158" s="10"/>
    </row>
    <row r="159" spans="1:6" ht="14.4" x14ac:dyDescent="0.25">
      <c r="A159" s="21">
        <v>42369</v>
      </c>
      <c r="B159" s="9" t="s">
        <v>82</v>
      </c>
      <c r="C159" s="8">
        <v>11</v>
      </c>
      <c r="D159" s="10">
        <v>1369106.94</v>
      </c>
      <c r="E159" s="109">
        <v>24186860.280000001</v>
      </c>
      <c r="F159" s="10">
        <v>17490853.75</v>
      </c>
    </row>
    <row r="160" spans="1:6" ht="14.4" x14ac:dyDescent="0.25">
      <c r="A160" s="21">
        <v>42369</v>
      </c>
      <c r="B160" s="9" t="s">
        <v>83</v>
      </c>
      <c r="C160" s="8">
        <v>12</v>
      </c>
      <c r="D160" s="10">
        <f>D161+D162+D170-D171+D172-D176+D177+D178+D179+D180+D181-D183+D184+D185</f>
        <v>18127</v>
      </c>
      <c r="E160" s="109">
        <f>E161+E162+E170-E171+E172-E176+E177+E178+E179+E180+E181-E183+E184+E185</f>
        <v>8498395.5499999989</v>
      </c>
      <c r="F160" s="10">
        <f>F161+F162+F170-F171+F172-F176+F177+F178+F179+F180+F181-F183+F184+F185</f>
        <v>6205205.79</v>
      </c>
    </row>
    <row r="161" spans="1:6" ht="14.4" x14ac:dyDescent="0.25">
      <c r="A161" s="21">
        <v>42369</v>
      </c>
      <c r="B161" s="9" t="s">
        <v>84</v>
      </c>
      <c r="C161" s="8">
        <v>13</v>
      </c>
      <c r="D161" s="10"/>
      <c r="E161" s="109"/>
      <c r="F161" s="10"/>
    </row>
    <row r="162" spans="1:6" ht="14.4" x14ac:dyDescent="0.25">
      <c r="A162" s="21">
        <v>42369</v>
      </c>
      <c r="B162" s="9" t="s">
        <v>85</v>
      </c>
      <c r="C162" s="8">
        <v>14</v>
      </c>
      <c r="D162" s="10"/>
      <c r="E162" s="109"/>
      <c r="F162" s="10"/>
    </row>
    <row r="163" spans="1:6" ht="14.4" x14ac:dyDescent="0.25">
      <c r="A163" s="21">
        <v>42369</v>
      </c>
      <c r="B163" s="12" t="s">
        <v>86</v>
      </c>
      <c r="C163" s="8">
        <v>15</v>
      </c>
      <c r="D163" s="10"/>
      <c r="E163" s="109"/>
      <c r="F163" s="10"/>
    </row>
    <row r="164" spans="1:6" ht="14.4" x14ac:dyDescent="0.25">
      <c r="A164" s="21">
        <v>42369</v>
      </c>
      <c r="B164" s="12" t="s">
        <v>87</v>
      </c>
      <c r="C164" s="8">
        <v>16</v>
      </c>
      <c r="D164" s="10"/>
      <c r="E164" s="109"/>
      <c r="F164" s="10"/>
    </row>
    <row r="165" spans="1:6" ht="14.4" x14ac:dyDescent="0.25">
      <c r="A165" s="21">
        <v>42369</v>
      </c>
      <c r="B165" s="12" t="s">
        <v>88</v>
      </c>
      <c r="C165" s="8">
        <v>17</v>
      </c>
      <c r="D165" s="10"/>
      <c r="E165" s="109"/>
      <c r="F165" s="10"/>
    </row>
    <row r="166" spans="1:6" ht="14.4" x14ac:dyDescent="0.25">
      <c r="A166" s="21">
        <v>42369</v>
      </c>
      <c r="B166" s="12" t="s">
        <v>89</v>
      </c>
      <c r="C166" s="8">
        <v>18</v>
      </c>
      <c r="D166" s="10"/>
      <c r="E166" s="109"/>
      <c r="F166" s="10"/>
    </row>
    <row r="167" spans="1:6" ht="14.4" x14ac:dyDescent="0.25">
      <c r="A167" s="21">
        <v>42369</v>
      </c>
      <c r="B167" s="12" t="s">
        <v>90</v>
      </c>
      <c r="C167" s="8">
        <v>19</v>
      </c>
      <c r="D167" s="10"/>
      <c r="E167" s="109"/>
      <c r="F167" s="10"/>
    </row>
    <row r="168" spans="1:6" ht="14.4" x14ac:dyDescent="0.25">
      <c r="A168" s="21">
        <v>42369</v>
      </c>
      <c r="B168" s="12" t="s">
        <v>91</v>
      </c>
      <c r="C168" s="8">
        <v>20</v>
      </c>
      <c r="D168" s="10"/>
      <c r="E168" s="109"/>
      <c r="F168" s="10"/>
    </row>
    <row r="169" spans="1:6" ht="14.4" x14ac:dyDescent="0.25">
      <c r="A169" s="21">
        <v>42369</v>
      </c>
      <c r="B169" s="12" t="s">
        <v>92</v>
      </c>
      <c r="C169" s="8">
        <v>21</v>
      </c>
      <c r="D169" s="10"/>
      <c r="E169" s="109"/>
      <c r="F169" s="10"/>
    </row>
    <row r="170" spans="1:6" ht="14.4" x14ac:dyDescent="0.25">
      <c r="A170" s="21">
        <v>42369</v>
      </c>
      <c r="B170" s="9" t="s">
        <v>93</v>
      </c>
      <c r="C170" s="8">
        <v>22</v>
      </c>
      <c r="D170" s="10"/>
      <c r="E170" s="109"/>
      <c r="F170" s="10"/>
    </row>
    <row r="171" spans="1:6" ht="14.4" x14ac:dyDescent="0.25">
      <c r="A171" s="21">
        <v>42369</v>
      </c>
      <c r="B171" s="9" t="s">
        <v>94</v>
      </c>
      <c r="C171" s="8">
        <v>23</v>
      </c>
      <c r="D171" s="10"/>
      <c r="E171" s="109"/>
      <c r="F171" s="10"/>
    </row>
    <row r="172" spans="1:6" ht="14.4" x14ac:dyDescent="0.25">
      <c r="A172" s="21">
        <v>42369</v>
      </c>
      <c r="B172" s="9" t="s">
        <v>95</v>
      </c>
      <c r="C172" s="8">
        <v>24</v>
      </c>
      <c r="D172" s="10"/>
      <c r="E172" s="109"/>
      <c r="F172" s="10"/>
    </row>
    <row r="173" spans="1:6" ht="14.4" x14ac:dyDescent="0.25">
      <c r="A173" s="21">
        <v>42369</v>
      </c>
      <c r="B173" s="9" t="s">
        <v>96</v>
      </c>
      <c r="C173" s="8">
        <v>25</v>
      </c>
      <c r="D173" s="10"/>
      <c r="E173" s="109"/>
      <c r="F173" s="10"/>
    </row>
    <row r="174" spans="1:6" ht="14.4" x14ac:dyDescent="0.25">
      <c r="A174" s="21">
        <v>42369</v>
      </c>
      <c r="B174" s="9" t="s">
        <v>97</v>
      </c>
      <c r="C174" s="8">
        <v>26</v>
      </c>
      <c r="D174" s="10"/>
      <c r="E174" s="109"/>
      <c r="F174" s="10"/>
    </row>
    <row r="175" spans="1:6" ht="14.4" x14ac:dyDescent="0.25">
      <c r="A175" s="21">
        <v>42369</v>
      </c>
      <c r="B175" s="9" t="s">
        <v>98</v>
      </c>
      <c r="C175" s="8">
        <v>27</v>
      </c>
      <c r="D175" s="10"/>
      <c r="E175" s="109"/>
      <c r="F175" s="10"/>
    </row>
    <row r="176" spans="1:6" ht="14.4" x14ac:dyDescent="0.25">
      <c r="A176" s="21">
        <v>42369</v>
      </c>
      <c r="B176" s="9" t="s">
        <v>99</v>
      </c>
      <c r="C176" s="8">
        <v>28</v>
      </c>
      <c r="D176" s="10"/>
      <c r="E176" s="109"/>
      <c r="F176" s="10"/>
    </row>
    <row r="177" spans="1:6" ht="14.4" x14ac:dyDescent="0.25">
      <c r="A177" s="21">
        <v>42369</v>
      </c>
      <c r="B177" s="9" t="s">
        <v>100</v>
      </c>
      <c r="C177" s="8">
        <v>29</v>
      </c>
      <c r="D177" s="10"/>
      <c r="E177" s="109"/>
      <c r="F177" s="10"/>
    </row>
    <row r="178" spans="1:6" ht="14.4" x14ac:dyDescent="0.25">
      <c r="A178" s="21">
        <v>42369</v>
      </c>
      <c r="B178" s="9" t="s">
        <v>101</v>
      </c>
      <c r="C178" s="8">
        <v>30</v>
      </c>
      <c r="D178" s="10"/>
      <c r="E178" s="109"/>
      <c r="F178" s="10"/>
    </row>
    <row r="179" spans="1:6" ht="14.4" x14ac:dyDescent="0.25">
      <c r="A179" s="21">
        <v>42369</v>
      </c>
      <c r="B179" s="9" t="s">
        <v>102</v>
      </c>
      <c r="C179" s="8">
        <v>31</v>
      </c>
      <c r="D179" s="10"/>
      <c r="E179" s="109"/>
      <c r="F179" s="10"/>
    </row>
    <row r="180" spans="1:6" ht="14.4" x14ac:dyDescent="0.25">
      <c r="A180" s="21">
        <v>42369</v>
      </c>
      <c r="B180" s="9" t="s">
        <v>103</v>
      </c>
      <c r="C180" s="8">
        <v>32</v>
      </c>
      <c r="D180" s="10"/>
      <c r="E180" s="109">
        <v>1324156.24</v>
      </c>
      <c r="F180" s="10">
        <v>630164.65</v>
      </c>
    </row>
    <row r="181" spans="1:6" ht="14.4" x14ac:dyDescent="0.25">
      <c r="A181" s="21">
        <v>42369</v>
      </c>
      <c r="B181" s="9" t="s">
        <v>104</v>
      </c>
      <c r="C181" s="8">
        <v>33</v>
      </c>
      <c r="D181" s="10">
        <v>18127</v>
      </c>
      <c r="E181" s="109">
        <v>7174239.3099999996</v>
      </c>
      <c r="F181" s="10">
        <v>5575041.1399999997</v>
      </c>
    </row>
    <row r="182" spans="1:6" ht="14.4" x14ac:dyDescent="0.25">
      <c r="A182" s="21">
        <v>42369</v>
      </c>
      <c r="B182" s="9" t="s">
        <v>105</v>
      </c>
      <c r="C182" s="8">
        <v>34</v>
      </c>
      <c r="D182" s="10"/>
      <c r="E182" s="109"/>
      <c r="F182" s="10"/>
    </row>
    <row r="183" spans="1:6" ht="14.4" x14ac:dyDescent="0.25">
      <c r="A183" s="21">
        <v>42369</v>
      </c>
      <c r="B183" s="9" t="s">
        <v>106</v>
      </c>
      <c r="C183" s="8">
        <v>35</v>
      </c>
      <c r="D183" s="10"/>
      <c r="E183" s="109"/>
      <c r="F183" s="10"/>
    </row>
    <row r="184" spans="1:6" ht="14.4" x14ac:dyDescent="0.25">
      <c r="A184" s="21">
        <v>42369</v>
      </c>
      <c r="B184" s="9" t="s">
        <v>107</v>
      </c>
      <c r="C184" s="8">
        <v>36</v>
      </c>
      <c r="D184" s="10"/>
      <c r="E184" s="109"/>
      <c r="F184" s="10"/>
    </row>
    <row r="185" spans="1:6" ht="14.4" x14ac:dyDescent="0.25">
      <c r="A185" s="21">
        <v>42369</v>
      </c>
      <c r="B185" s="9" t="s">
        <v>108</v>
      </c>
      <c r="C185" s="8">
        <v>37</v>
      </c>
      <c r="D185" s="10"/>
      <c r="E185" s="109"/>
      <c r="F185" s="10"/>
    </row>
    <row r="186" spans="1:6" ht="14.4" x14ac:dyDescent="0.25">
      <c r="A186" s="21">
        <v>42369</v>
      </c>
      <c r="B186" s="9" t="s">
        <v>109</v>
      </c>
      <c r="C186" s="8">
        <v>38</v>
      </c>
      <c r="D186" s="10">
        <f>D149-D160</f>
        <v>1350979.94</v>
      </c>
      <c r="E186" s="109">
        <f>E149-E160</f>
        <v>15691008.990000004</v>
      </c>
      <c r="F186" s="10">
        <f>F149-F160</f>
        <v>11289252.120000001</v>
      </c>
    </row>
    <row r="187" spans="1:6" ht="14.4" x14ac:dyDescent="0.25">
      <c r="A187" s="21">
        <v>42369</v>
      </c>
      <c r="B187" s="9" t="s">
        <v>110</v>
      </c>
      <c r="C187" s="8">
        <v>39</v>
      </c>
      <c r="D187" s="10"/>
      <c r="E187" s="109"/>
      <c r="F187" s="10"/>
    </row>
    <row r="188" spans="1:6" ht="14.4" x14ac:dyDescent="0.25">
      <c r="A188" s="21">
        <v>42369</v>
      </c>
      <c r="B188" s="9" t="s">
        <v>111</v>
      </c>
      <c r="C188" s="8">
        <v>40</v>
      </c>
      <c r="D188" s="10"/>
      <c r="E188" s="109"/>
      <c r="F188" s="10"/>
    </row>
    <row r="189" spans="1:6" ht="14.4" x14ac:dyDescent="0.25">
      <c r="A189" s="21">
        <v>42369</v>
      </c>
      <c r="B189" s="9" t="s">
        <v>112</v>
      </c>
      <c r="C189" s="8">
        <v>41</v>
      </c>
      <c r="D189" s="10">
        <f>D186+D187-D188</f>
        <v>1350979.94</v>
      </c>
      <c r="E189" s="109">
        <f>E186+E187-E188</f>
        <v>15691008.990000004</v>
      </c>
      <c r="F189" s="10">
        <f>F186+F187-F188</f>
        <v>11289252.120000001</v>
      </c>
    </row>
    <row r="190" spans="1:6" ht="14.4" x14ac:dyDescent="0.25">
      <c r="A190" s="21">
        <v>42369</v>
      </c>
      <c r="B190" s="9" t="s">
        <v>113</v>
      </c>
      <c r="C190" s="8">
        <v>42</v>
      </c>
      <c r="D190" s="10"/>
      <c r="E190" s="109"/>
      <c r="F190" s="10"/>
    </row>
    <row r="191" spans="1:6" ht="14.4" x14ac:dyDescent="0.25">
      <c r="A191" s="21">
        <v>42369</v>
      </c>
      <c r="B191" s="9" t="s">
        <v>114</v>
      </c>
      <c r="C191" s="8">
        <v>43</v>
      </c>
      <c r="D191" s="10">
        <f>D189-D190</f>
        <v>1350979.94</v>
      </c>
      <c r="E191" s="109">
        <f>E189-E190</f>
        <v>15691008.990000004</v>
      </c>
      <c r="F191" s="10">
        <f>F189-F190</f>
        <v>11289252.120000001</v>
      </c>
    </row>
    <row r="192" spans="1:6" ht="14.4" x14ac:dyDescent="0.25">
      <c r="A192" s="21">
        <v>42369</v>
      </c>
      <c r="B192" s="9" t="s">
        <v>115</v>
      </c>
      <c r="C192" s="8">
        <v>44</v>
      </c>
      <c r="D192" s="10"/>
      <c r="E192" s="109"/>
      <c r="F192" s="10"/>
    </row>
    <row r="193" spans="1:6" ht="14.4" x14ac:dyDescent="0.25">
      <c r="A193" s="21">
        <v>42369</v>
      </c>
      <c r="B193" s="13" t="s">
        <v>116</v>
      </c>
      <c r="C193" s="8">
        <v>45</v>
      </c>
      <c r="D193" s="10"/>
      <c r="E193" s="109"/>
      <c r="F193" s="10"/>
    </row>
    <row r="194" spans="1:6" ht="14.4" x14ac:dyDescent="0.25">
      <c r="A194" s="21">
        <v>42369</v>
      </c>
      <c r="B194" s="9" t="s">
        <v>117</v>
      </c>
      <c r="C194" s="8">
        <v>46</v>
      </c>
      <c r="D194" s="10"/>
      <c r="E194" s="109"/>
      <c r="F194" s="10"/>
    </row>
    <row r="195" spans="1:6" ht="14.4" x14ac:dyDescent="0.25">
      <c r="A195" s="21">
        <v>42369</v>
      </c>
      <c r="B195" s="9" t="s">
        <v>118</v>
      </c>
      <c r="C195" s="8">
        <v>47</v>
      </c>
      <c r="D195" s="10"/>
      <c r="E195" s="109"/>
      <c r="F195" s="10"/>
    </row>
    <row r="196" spans="1:6" ht="14.4" x14ac:dyDescent="0.25">
      <c r="A196" s="21">
        <v>42369</v>
      </c>
      <c r="B196" s="9" t="s">
        <v>119</v>
      </c>
      <c r="C196" s="8">
        <v>48</v>
      </c>
      <c r="D196" s="10"/>
      <c r="E196" s="109"/>
      <c r="F196" s="10"/>
    </row>
    <row r="197" spans="1:6" ht="14.4" x14ac:dyDescent="0.25">
      <c r="A197" s="21">
        <v>42369</v>
      </c>
      <c r="B197" s="9" t="s">
        <v>120</v>
      </c>
      <c r="C197" s="8">
        <v>49</v>
      </c>
      <c r="D197" s="10"/>
      <c r="E197" s="109"/>
      <c r="F197" s="10"/>
    </row>
    <row r="198" spans="1:6" ht="14.4" x14ac:dyDescent="0.25">
      <c r="A198" s="21">
        <v>42735</v>
      </c>
      <c r="B198" s="9" t="s">
        <v>72</v>
      </c>
      <c r="C198" s="8">
        <v>1</v>
      </c>
      <c r="D198" s="10">
        <f>D199+D204+D206+D207+D208</f>
        <v>-2595296.9900000002</v>
      </c>
      <c r="E198" s="109">
        <f>E199+E204+E206+E207+E208</f>
        <v>21849016.469999999</v>
      </c>
      <c r="F198" s="10">
        <f>F199+F204+F206+F207+F208</f>
        <v>24189404.540000003</v>
      </c>
    </row>
    <row r="199" spans="1:6" ht="14.4" x14ac:dyDescent="0.25">
      <c r="A199" s="21">
        <v>42735</v>
      </c>
      <c r="B199" s="11" t="s">
        <v>73</v>
      </c>
      <c r="C199" s="8">
        <v>2</v>
      </c>
      <c r="D199" s="10">
        <f>D200-D202-D203</f>
        <v>0</v>
      </c>
      <c r="E199" s="109">
        <f>E200-E202-E203</f>
        <v>0</v>
      </c>
      <c r="F199" s="10">
        <f>F200-F202-F203</f>
        <v>0</v>
      </c>
    </row>
    <row r="200" spans="1:6" ht="14.4" x14ac:dyDescent="0.25">
      <c r="A200" s="21">
        <v>42735</v>
      </c>
      <c r="B200" s="9" t="s">
        <v>74</v>
      </c>
      <c r="C200" s="8">
        <v>3</v>
      </c>
      <c r="D200" s="10"/>
      <c r="E200" s="109"/>
      <c r="F200" s="10"/>
    </row>
    <row r="201" spans="1:6" ht="14.4" x14ac:dyDescent="0.25">
      <c r="A201" s="21">
        <v>42735</v>
      </c>
      <c r="B201" s="9" t="s">
        <v>75</v>
      </c>
      <c r="C201" s="8">
        <v>4</v>
      </c>
      <c r="D201" s="10"/>
      <c r="E201" s="109"/>
      <c r="F201" s="10"/>
    </row>
    <row r="202" spans="1:6" ht="14.4" x14ac:dyDescent="0.25">
      <c r="A202" s="21">
        <v>42735</v>
      </c>
      <c r="B202" s="9" t="s">
        <v>76</v>
      </c>
      <c r="C202" s="8">
        <v>5</v>
      </c>
      <c r="D202" s="10"/>
      <c r="E202" s="109"/>
      <c r="F202" s="10"/>
    </row>
    <row r="203" spans="1:6" ht="14.4" x14ac:dyDescent="0.25">
      <c r="A203" s="21">
        <v>42735</v>
      </c>
      <c r="B203" s="9" t="s">
        <v>77</v>
      </c>
      <c r="C203" s="8">
        <v>6</v>
      </c>
      <c r="D203" s="10"/>
      <c r="E203" s="109"/>
      <c r="F203" s="10"/>
    </row>
    <row r="204" spans="1:6" ht="14.4" x14ac:dyDescent="0.25">
      <c r="A204" s="21">
        <v>42735</v>
      </c>
      <c r="B204" s="9" t="s">
        <v>78</v>
      </c>
      <c r="C204" s="8">
        <v>7</v>
      </c>
      <c r="D204" s="10"/>
      <c r="E204" s="109">
        <v>2663.93</v>
      </c>
      <c r="F204" s="10">
        <v>2544.2600000000002</v>
      </c>
    </row>
    <row r="205" spans="1:6" ht="14.4" x14ac:dyDescent="0.25">
      <c r="A205" s="21">
        <v>42735</v>
      </c>
      <c r="B205" s="9" t="s">
        <v>79</v>
      </c>
      <c r="C205" s="8">
        <v>8</v>
      </c>
      <c r="D205" s="10"/>
      <c r="E205" s="109"/>
      <c r="F205" s="10"/>
    </row>
    <row r="206" spans="1:6" ht="14.4" x14ac:dyDescent="0.25">
      <c r="A206" s="21">
        <v>42735</v>
      </c>
      <c r="B206" s="9" t="s">
        <v>80</v>
      </c>
      <c r="C206" s="8">
        <v>9</v>
      </c>
      <c r="D206" s="10"/>
      <c r="E206" s="109"/>
      <c r="F206" s="10"/>
    </row>
    <row r="207" spans="1:6" ht="14.4" x14ac:dyDescent="0.25">
      <c r="A207" s="21">
        <v>42735</v>
      </c>
      <c r="B207" s="9" t="s">
        <v>81</v>
      </c>
      <c r="C207" s="8">
        <v>10</v>
      </c>
      <c r="D207" s="10"/>
      <c r="E207" s="109"/>
      <c r="F207" s="10"/>
    </row>
    <row r="208" spans="1:6" ht="14.4" x14ac:dyDescent="0.25">
      <c r="A208" s="21">
        <v>42735</v>
      </c>
      <c r="B208" s="9" t="s">
        <v>82</v>
      </c>
      <c r="C208" s="8">
        <v>11</v>
      </c>
      <c r="D208" s="10">
        <v>-2595296.9900000002</v>
      </c>
      <c r="E208" s="109">
        <v>21846352.539999999</v>
      </c>
      <c r="F208" s="10">
        <v>24186860.280000001</v>
      </c>
    </row>
    <row r="209" spans="1:6" ht="14.4" x14ac:dyDescent="0.25">
      <c r="A209" s="21">
        <v>42735</v>
      </c>
      <c r="B209" s="9" t="s">
        <v>83</v>
      </c>
      <c r="C209" s="8">
        <v>12</v>
      </c>
      <c r="D209" s="10">
        <f>D210+D211+D219-D220+D221-D225+D226+D227+D228+D229+D230-D232+D233+D234</f>
        <v>-32995.339999999997</v>
      </c>
      <c r="E209" s="109">
        <f>E210+E211+E219-E220+E221-E225+E226+E227+E228+E229+E230-E232+E233+E234</f>
        <v>11229931.579999998</v>
      </c>
      <c r="F209" s="10">
        <f>F210+F211+F219-F220+F221-F225+F226+F227+F228+F229+F230-F232+F233+F234</f>
        <v>8498395.5499999989</v>
      </c>
    </row>
    <row r="210" spans="1:6" ht="14.4" x14ac:dyDescent="0.25">
      <c r="A210" s="21">
        <v>42735</v>
      </c>
      <c r="B210" s="9" t="s">
        <v>84</v>
      </c>
      <c r="C210" s="8">
        <v>13</v>
      </c>
      <c r="D210" s="10"/>
      <c r="E210" s="109"/>
      <c r="F210" s="10"/>
    </row>
    <row r="211" spans="1:6" ht="14.4" x14ac:dyDescent="0.25">
      <c r="A211" s="21">
        <v>42735</v>
      </c>
      <c r="B211" s="9" t="s">
        <v>85</v>
      </c>
      <c r="C211" s="8">
        <v>14</v>
      </c>
      <c r="D211" s="10"/>
      <c r="E211" s="109"/>
      <c r="F211" s="10"/>
    </row>
    <row r="212" spans="1:6" ht="14.4" x14ac:dyDescent="0.25">
      <c r="A212" s="21">
        <v>42735</v>
      </c>
      <c r="B212" s="12" t="s">
        <v>86</v>
      </c>
      <c r="C212" s="8">
        <v>15</v>
      </c>
      <c r="D212" s="10"/>
      <c r="E212" s="109"/>
      <c r="F212" s="10"/>
    </row>
    <row r="213" spans="1:6" ht="14.4" x14ac:dyDescent="0.25">
      <c r="A213" s="21">
        <v>42735</v>
      </c>
      <c r="B213" s="12" t="s">
        <v>87</v>
      </c>
      <c r="C213" s="8">
        <v>16</v>
      </c>
      <c r="D213" s="10"/>
      <c r="E213" s="109"/>
      <c r="F213" s="10"/>
    </row>
    <row r="214" spans="1:6" ht="14.4" x14ac:dyDescent="0.25">
      <c r="A214" s="21">
        <v>42735</v>
      </c>
      <c r="B214" s="12" t="s">
        <v>88</v>
      </c>
      <c r="C214" s="8">
        <v>17</v>
      </c>
      <c r="D214" s="10"/>
      <c r="E214" s="109"/>
      <c r="F214" s="10"/>
    </row>
    <row r="215" spans="1:6" ht="14.4" x14ac:dyDescent="0.25">
      <c r="A215" s="21">
        <v>42735</v>
      </c>
      <c r="B215" s="12" t="s">
        <v>89</v>
      </c>
      <c r="C215" s="8">
        <v>18</v>
      </c>
      <c r="D215" s="10"/>
      <c r="E215" s="109"/>
      <c r="F215" s="10"/>
    </row>
    <row r="216" spans="1:6" ht="14.4" x14ac:dyDescent="0.25">
      <c r="A216" s="21">
        <v>42735</v>
      </c>
      <c r="B216" s="12" t="s">
        <v>90</v>
      </c>
      <c r="C216" s="8">
        <v>19</v>
      </c>
      <c r="D216" s="10"/>
      <c r="E216" s="109"/>
      <c r="F216" s="10"/>
    </row>
    <row r="217" spans="1:6" ht="14.4" x14ac:dyDescent="0.25">
      <c r="A217" s="21">
        <v>42735</v>
      </c>
      <c r="B217" s="12" t="s">
        <v>91</v>
      </c>
      <c r="C217" s="8">
        <v>20</v>
      </c>
      <c r="D217" s="10"/>
      <c r="E217" s="109"/>
      <c r="F217" s="10"/>
    </row>
    <row r="218" spans="1:6" ht="14.4" x14ac:dyDescent="0.25">
      <c r="A218" s="21">
        <v>42735</v>
      </c>
      <c r="B218" s="12" t="s">
        <v>92</v>
      </c>
      <c r="C218" s="8">
        <v>21</v>
      </c>
      <c r="D218" s="10"/>
      <c r="E218" s="109"/>
      <c r="F218" s="10"/>
    </row>
    <row r="219" spans="1:6" ht="14.4" x14ac:dyDescent="0.25">
      <c r="A219" s="21">
        <v>42735</v>
      </c>
      <c r="B219" s="9" t="s">
        <v>93</v>
      </c>
      <c r="C219" s="8">
        <v>22</v>
      </c>
      <c r="D219" s="10"/>
      <c r="E219" s="109"/>
      <c r="F219" s="10"/>
    </row>
    <row r="220" spans="1:6" ht="14.4" x14ac:dyDescent="0.25">
      <c r="A220" s="21">
        <v>42735</v>
      </c>
      <c r="B220" s="9" t="s">
        <v>94</v>
      </c>
      <c r="C220" s="8">
        <v>23</v>
      </c>
      <c r="D220" s="10"/>
      <c r="E220" s="109"/>
      <c r="F220" s="10"/>
    </row>
    <row r="221" spans="1:6" ht="14.4" x14ac:dyDescent="0.25">
      <c r="A221" s="21">
        <v>42735</v>
      </c>
      <c r="B221" s="9" t="s">
        <v>95</v>
      </c>
      <c r="C221" s="8">
        <v>24</v>
      </c>
      <c r="D221" s="10"/>
      <c r="E221" s="109"/>
      <c r="F221" s="10"/>
    </row>
    <row r="222" spans="1:6" ht="14.4" x14ac:dyDescent="0.25">
      <c r="A222" s="21">
        <v>42735</v>
      </c>
      <c r="B222" s="9" t="s">
        <v>96</v>
      </c>
      <c r="C222" s="8">
        <v>25</v>
      </c>
      <c r="D222" s="10"/>
      <c r="E222" s="109"/>
      <c r="F222" s="10"/>
    </row>
    <row r="223" spans="1:6" ht="14.4" x14ac:dyDescent="0.25">
      <c r="A223" s="21">
        <v>42735</v>
      </c>
      <c r="B223" s="9" t="s">
        <v>97</v>
      </c>
      <c r="C223" s="8">
        <v>26</v>
      </c>
      <c r="D223" s="10"/>
      <c r="E223" s="109"/>
      <c r="F223" s="10"/>
    </row>
    <row r="224" spans="1:6" ht="14.4" x14ac:dyDescent="0.25">
      <c r="A224" s="21">
        <v>42735</v>
      </c>
      <c r="B224" s="9" t="s">
        <v>98</v>
      </c>
      <c r="C224" s="8">
        <v>27</v>
      </c>
      <c r="D224" s="10"/>
      <c r="E224" s="109"/>
      <c r="F224" s="10"/>
    </row>
    <row r="225" spans="1:6" ht="14.4" x14ac:dyDescent="0.25">
      <c r="A225" s="21">
        <v>42735</v>
      </c>
      <c r="B225" s="9" t="s">
        <v>99</v>
      </c>
      <c r="C225" s="8">
        <v>28</v>
      </c>
      <c r="D225" s="10"/>
      <c r="E225" s="109"/>
      <c r="F225" s="10"/>
    </row>
    <row r="226" spans="1:6" ht="14.4" x14ac:dyDescent="0.25">
      <c r="A226" s="21">
        <v>42735</v>
      </c>
      <c r="B226" s="9" t="s">
        <v>100</v>
      </c>
      <c r="C226" s="8">
        <v>29</v>
      </c>
      <c r="D226" s="10"/>
      <c r="E226" s="109"/>
      <c r="F226" s="10"/>
    </row>
    <row r="227" spans="1:6" ht="14.4" x14ac:dyDescent="0.25">
      <c r="A227" s="21">
        <v>42735</v>
      </c>
      <c r="B227" s="9" t="s">
        <v>101</v>
      </c>
      <c r="C227" s="8">
        <v>30</v>
      </c>
      <c r="D227" s="10"/>
      <c r="E227" s="109"/>
      <c r="F227" s="10"/>
    </row>
    <row r="228" spans="1:6" ht="14.4" x14ac:dyDescent="0.25">
      <c r="A228" s="21">
        <v>42735</v>
      </c>
      <c r="B228" s="9" t="s">
        <v>102</v>
      </c>
      <c r="C228" s="8">
        <v>31</v>
      </c>
      <c r="D228" s="10">
        <v>-19399.54</v>
      </c>
      <c r="E228" s="109">
        <v>194272.57</v>
      </c>
      <c r="F228" s="10"/>
    </row>
    <row r="229" spans="1:6" ht="14.4" x14ac:dyDescent="0.25">
      <c r="A229" s="21">
        <v>42735</v>
      </c>
      <c r="B229" s="9" t="s">
        <v>103</v>
      </c>
      <c r="C229" s="8">
        <v>32</v>
      </c>
      <c r="D229" s="10">
        <v>-16301.89</v>
      </c>
      <c r="E229" s="109">
        <v>1534054.72</v>
      </c>
      <c r="F229" s="10">
        <v>1324156.24</v>
      </c>
    </row>
    <row r="230" spans="1:6" ht="14.4" x14ac:dyDescent="0.25">
      <c r="A230" s="21">
        <v>42735</v>
      </c>
      <c r="B230" s="9" t="s">
        <v>104</v>
      </c>
      <c r="C230" s="8">
        <v>33</v>
      </c>
      <c r="D230" s="10">
        <v>2706.09</v>
      </c>
      <c r="E230" s="109">
        <v>9501604.2899999991</v>
      </c>
      <c r="F230" s="10">
        <v>7174239.3099999996</v>
      </c>
    </row>
    <row r="231" spans="1:6" ht="14.4" x14ac:dyDescent="0.25">
      <c r="A231" s="21">
        <v>42735</v>
      </c>
      <c r="B231" s="9" t="s">
        <v>105</v>
      </c>
      <c r="C231" s="8">
        <v>34</v>
      </c>
      <c r="D231" s="10"/>
      <c r="E231" s="109"/>
      <c r="F231" s="10"/>
    </row>
    <row r="232" spans="1:6" ht="14.4" x14ac:dyDescent="0.25">
      <c r="A232" s="21">
        <v>42735</v>
      </c>
      <c r="B232" s="9" t="s">
        <v>106</v>
      </c>
      <c r="C232" s="8">
        <v>35</v>
      </c>
      <c r="D232" s="10"/>
      <c r="E232" s="109"/>
      <c r="F232" s="10"/>
    </row>
    <row r="233" spans="1:6" ht="14.4" x14ac:dyDescent="0.25">
      <c r="A233" s="21">
        <v>42735</v>
      </c>
      <c r="B233" s="9" t="s">
        <v>107</v>
      </c>
      <c r="C233" s="8">
        <v>36</v>
      </c>
      <c r="D233" s="10"/>
      <c r="E233" s="109"/>
      <c r="F233" s="10"/>
    </row>
    <row r="234" spans="1:6" ht="14.4" x14ac:dyDescent="0.25">
      <c r="A234" s="21">
        <v>42735</v>
      </c>
      <c r="B234" s="9" t="s">
        <v>108</v>
      </c>
      <c r="C234" s="8">
        <v>37</v>
      </c>
      <c r="D234" s="10"/>
      <c r="E234" s="109"/>
      <c r="F234" s="10"/>
    </row>
    <row r="235" spans="1:6" ht="14.4" x14ac:dyDescent="0.25">
      <c r="A235" s="21">
        <v>42735</v>
      </c>
      <c r="B235" s="9" t="s">
        <v>109</v>
      </c>
      <c r="C235" s="8">
        <v>38</v>
      </c>
      <c r="D235" s="10">
        <f>D198-D209</f>
        <v>-2562301.6500000004</v>
      </c>
      <c r="E235" s="109">
        <f>E198-E209</f>
        <v>10619084.890000001</v>
      </c>
      <c r="F235" s="10">
        <f>F198-F209</f>
        <v>15691008.990000004</v>
      </c>
    </row>
    <row r="236" spans="1:6" ht="14.4" x14ac:dyDescent="0.25">
      <c r="A236" s="21">
        <v>42735</v>
      </c>
      <c r="B236" s="9" t="s">
        <v>110</v>
      </c>
      <c r="C236" s="8">
        <v>39</v>
      </c>
      <c r="D236" s="10"/>
      <c r="E236" s="109"/>
      <c r="F236" s="10"/>
    </row>
    <row r="237" spans="1:6" ht="14.4" x14ac:dyDescent="0.25">
      <c r="A237" s="21">
        <v>42735</v>
      </c>
      <c r="B237" s="9" t="s">
        <v>111</v>
      </c>
      <c r="C237" s="8">
        <v>40</v>
      </c>
      <c r="D237" s="10"/>
      <c r="E237" s="109"/>
      <c r="F237" s="10"/>
    </row>
    <row r="238" spans="1:6" ht="14.4" x14ac:dyDescent="0.25">
      <c r="A238" s="21">
        <v>42735</v>
      </c>
      <c r="B238" s="9" t="s">
        <v>112</v>
      </c>
      <c r="C238" s="8">
        <v>41</v>
      </c>
      <c r="D238" s="10">
        <f>D235+D236-D237</f>
        <v>-2562301.6500000004</v>
      </c>
      <c r="E238" s="109">
        <f>E235+E236-E237</f>
        <v>10619084.890000001</v>
      </c>
      <c r="F238" s="10">
        <f>F235+F236-F237</f>
        <v>15691008.990000004</v>
      </c>
    </row>
    <row r="239" spans="1:6" ht="14.4" x14ac:dyDescent="0.25">
      <c r="A239" s="21">
        <v>42735</v>
      </c>
      <c r="B239" s="9" t="s">
        <v>113</v>
      </c>
      <c r="C239" s="8">
        <v>42</v>
      </c>
      <c r="D239" s="10"/>
      <c r="E239" s="109"/>
      <c r="F239" s="10"/>
    </row>
    <row r="240" spans="1:6" ht="14.4" x14ac:dyDescent="0.25">
      <c r="A240" s="21">
        <v>42735</v>
      </c>
      <c r="B240" s="9" t="s">
        <v>114</v>
      </c>
      <c r="C240" s="8">
        <v>43</v>
      </c>
      <c r="D240" s="10">
        <f>D238-D239</f>
        <v>-2562301.6500000004</v>
      </c>
      <c r="E240" s="109">
        <f>E238-E239</f>
        <v>10619084.890000001</v>
      </c>
      <c r="F240" s="10">
        <f>F238-F239</f>
        <v>15691008.990000004</v>
      </c>
    </row>
    <row r="241" spans="1:6" ht="14.4" x14ac:dyDescent="0.25">
      <c r="A241" s="21">
        <v>42735</v>
      </c>
      <c r="B241" s="9" t="s">
        <v>115</v>
      </c>
      <c r="C241" s="8">
        <v>44</v>
      </c>
      <c r="D241" s="10"/>
      <c r="E241" s="109"/>
      <c r="F241" s="10"/>
    </row>
    <row r="242" spans="1:6" ht="14.4" x14ac:dyDescent="0.25">
      <c r="A242" s="21">
        <v>42735</v>
      </c>
      <c r="B242" s="13" t="s">
        <v>116</v>
      </c>
      <c r="C242" s="8">
        <v>45</v>
      </c>
      <c r="D242" s="10"/>
      <c r="E242" s="109"/>
      <c r="F242" s="10"/>
    </row>
    <row r="243" spans="1:6" ht="14.4" x14ac:dyDescent="0.25">
      <c r="A243" s="21">
        <v>42735</v>
      </c>
      <c r="B243" s="9" t="s">
        <v>117</v>
      </c>
      <c r="C243" s="8">
        <v>46</v>
      </c>
      <c r="D243" s="10"/>
      <c r="E243" s="109"/>
      <c r="F243" s="10"/>
    </row>
    <row r="244" spans="1:6" ht="14.4" x14ac:dyDescent="0.25">
      <c r="A244" s="21">
        <v>42735</v>
      </c>
      <c r="B244" s="9" t="s">
        <v>118</v>
      </c>
      <c r="C244" s="8">
        <v>47</v>
      </c>
      <c r="D244" s="10"/>
      <c r="E244" s="109"/>
      <c r="F244" s="10"/>
    </row>
    <row r="245" spans="1:6" ht="14.4" x14ac:dyDescent="0.25">
      <c r="A245" s="21">
        <v>42735</v>
      </c>
      <c r="B245" s="9" t="s">
        <v>119</v>
      </c>
      <c r="C245" s="8">
        <v>48</v>
      </c>
      <c r="D245" s="10"/>
      <c r="E245" s="109"/>
      <c r="F245" s="10"/>
    </row>
    <row r="246" spans="1:6" ht="14.4" x14ac:dyDescent="0.25">
      <c r="A246" s="21">
        <v>42735</v>
      </c>
      <c r="B246" s="9" t="s">
        <v>120</v>
      </c>
      <c r="C246" s="8">
        <v>49</v>
      </c>
      <c r="D246" s="10"/>
      <c r="E246" s="109"/>
      <c r="F246" s="10"/>
    </row>
    <row r="247" spans="1:6" ht="14.4" x14ac:dyDescent="0.25">
      <c r="A247" s="21">
        <v>43100</v>
      </c>
      <c r="B247" s="9" t="s">
        <v>72</v>
      </c>
      <c r="C247" s="8">
        <v>1</v>
      </c>
      <c r="D247" s="10">
        <f>D248+D253+D255+D256+D257</f>
        <v>4365670.4000000004</v>
      </c>
      <c r="E247" s="109">
        <f>E248+E253+E255+E256+E257</f>
        <v>26589681.079999998</v>
      </c>
      <c r="F247" s="10">
        <f>F248+F253+F255+F256+F257</f>
        <v>21849016.469999999</v>
      </c>
    </row>
    <row r="248" spans="1:6" ht="14.4" x14ac:dyDescent="0.25">
      <c r="A248" s="21">
        <v>43100</v>
      </c>
      <c r="B248" s="11" t="s">
        <v>73</v>
      </c>
      <c r="C248" s="8">
        <v>2</v>
      </c>
      <c r="D248" s="10">
        <f>D249-D251-D252</f>
        <v>0</v>
      </c>
      <c r="E248" s="109">
        <f>E249-E251-E252</f>
        <v>0</v>
      </c>
      <c r="F248" s="10">
        <f>F249-F251-F252</f>
        <v>0</v>
      </c>
    </row>
    <row r="249" spans="1:6" ht="14.4" x14ac:dyDescent="0.25">
      <c r="A249" s="21">
        <v>43100</v>
      </c>
      <c r="B249" s="9" t="s">
        <v>74</v>
      </c>
      <c r="C249" s="8">
        <v>3</v>
      </c>
      <c r="D249" s="10"/>
      <c r="E249" s="109"/>
      <c r="F249" s="10"/>
    </row>
    <row r="250" spans="1:6" ht="14.4" x14ac:dyDescent="0.25">
      <c r="A250" s="21">
        <v>43100</v>
      </c>
      <c r="B250" s="9" t="s">
        <v>75</v>
      </c>
      <c r="C250" s="8">
        <v>4</v>
      </c>
      <c r="D250" s="10"/>
      <c r="E250" s="109"/>
      <c r="F250" s="10"/>
    </row>
    <row r="251" spans="1:6" ht="14.4" x14ac:dyDescent="0.25">
      <c r="A251" s="21">
        <v>43100</v>
      </c>
      <c r="B251" s="9" t="s">
        <v>76</v>
      </c>
      <c r="C251" s="8">
        <v>5</v>
      </c>
      <c r="D251" s="10"/>
      <c r="E251" s="109"/>
      <c r="F251" s="10"/>
    </row>
    <row r="252" spans="1:6" ht="14.4" x14ac:dyDescent="0.25">
      <c r="A252" s="21">
        <v>43100</v>
      </c>
      <c r="B252" s="9" t="s">
        <v>77</v>
      </c>
      <c r="C252" s="8">
        <v>6</v>
      </c>
      <c r="D252" s="10"/>
      <c r="E252" s="109"/>
      <c r="F252" s="10"/>
    </row>
    <row r="253" spans="1:6" ht="14.4" x14ac:dyDescent="0.25">
      <c r="A253" s="21">
        <v>43100</v>
      </c>
      <c r="B253" s="9" t="s">
        <v>78</v>
      </c>
      <c r="C253" s="8">
        <v>7</v>
      </c>
      <c r="D253" s="10"/>
      <c r="E253" s="109">
        <v>3233.84</v>
      </c>
      <c r="F253" s="10">
        <v>2663.93</v>
      </c>
    </row>
    <row r="254" spans="1:6" ht="14.4" x14ac:dyDescent="0.25">
      <c r="A254" s="21">
        <v>43100</v>
      </c>
      <c r="B254" s="9" t="s">
        <v>79</v>
      </c>
      <c r="C254" s="8">
        <v>8</v>
      </c>
      <c r="D254" s="10"/>
      <c r="E254" s="109"/>
      <c r="F254" s="10"/>
    </row>
    <row r="255" spans="1:6" ht="14.4" x14ac:dyDescent="0.25">
      <c r="A255" s="21">
        <v>43100</v>
      </c>
      <c r="B255" s="9" t="s">
        <v>80</v>
      </c>
      <c r="C255" s="8">
        <v>9</v>
      </c>
      <c r="D255" s="10"/>
      <c r="E255" s="109"/>
      <c r="F255" s="10"/>
    </row>
    <row r="256" spans="1:6" ht="14.4" x14ac:dyDescent="0.25">
      <c r="A256" s="21">
        <v>43100</v>
      </c>
      <c r="B256" s="9" t="s">
        <v>81</v>
      </c>
      <c r="C256" s="8">
        <v>10</v>
      </c>
      <c r="D256" s="10"/>
      <c r="E256" s="109"/>
      <c r="F256" s="10"/>
    </row>
    <row r="257" spans="1:6" ht="14.4" x14ac:dyDescent="0.25">
      <c r="A257" s="21">
        <v>43100</v>
      </c>
      <c r="B257" s="9" t="s">
        <v>82</v>
      </c>
      <c r="C257" s="8">
        <v>11</v>
      </c>
      <c r="D257" s="10">
        <v>4365670.4000000004</v>
      </c>
      <c r="E257" s="109">
        <v>26586447.239999998</v>
      </c>
      <c r="F257" s="10">
        <v>21846352.539999999</v>
      </c>
    </row>
    <row r="258" spans="1:6" ht="14.4" x14ac:dyDescent="0.25">
      <c r="A258" s="21">
        <v>43100</v>
      </c>
      <c r="B258" s="9" t="s">
        <v>83</v>
      </c>
      <c r="C258" s="8">
        <v>12</v>
      </c>
      <c r="D258" s="10">
        <f>D259+D260+D268-D269+D270-D274+D275+D276+D277+D278+D279-D281+D282+D283</f>
        <v>412214.68</v>
      </c>
      <c r="E258" s="109">
        <f>E259+E260+E268-E269+E270-E274+E275+E276+E277+E278+E279-E281+E282+E283</f>
        <v>12894858.200000001</v>
      </c>
      <c r="F258" s="10">
        <f>F259+F260+F268-F269+F270-F274+F275+F276+F277+F278+F279-F281+F282+F283</f>
        <v>11229931.579999998</v>
      </c>
    </row>
    <row r="259" spans="1:6" ht="14.4" x14ac:dyDescent="0.25">
      <c r="A259" s="21">
        <v>43100</v>
      </c>
      <c r="B259" s="9" t="s">
        <v>84</v>
      </c>
      <c r="C259" s="8">
        <v>13</v>
      </c>
      <c r="D259" s="10"/>
      <c r="E259" s="109"/>
      <c r="F259" s="10"/>
    </row>
    <row r="260" spans="1:6" ht="14.4" x14ac:dyDescent="0.25">
      <c r="A260" s="21">
        <v>43100</v>
      </c>
      <c r="B260" s="9" t="s">
        <v>85</v>
      </c>
      <c r="C260" s="8">
        <v>14</v>
      </c>
      <c r="D260" s="10"/>
      <c r="E260" s="109"/>
      <c r="F260" s="10"/>
    </row>
    <row r="261" spans="1:6" ht="14.4" x14ac:dyDescent="0.25">
      <c r="A261" s="21">
        <v>43100</v>
      </c>
      <c r="B261" s="12" t="s">
        <v>86</v>
      </c>
      <c r="C261" s="8">
        <v>15</v>
      </c>
      <c r="D261" s="10"/>
      <c r="E261" s="109"/>
      <c r="F261" s="10"/>
    </row>
    <row r="262" spans="1:6" ht="14.4" x14ac:dyDescent="0.25">
      <c r="A262" s="21">
        <v>43100</v>
      </c>
      <c r="B262" s="12" t="s">
        <v>87</v>
      </c>
      <c r="C262" s="8">
        <v>16</v>
      </c>
      <c r="D262" s="10"/>
      <c r="E262" s="109"/>
      <c r="F262" s="10"/>
    </row>
    <row r="263" spans="1:6" ht="14.4" x14ac:dyDescent="0.25">
      <c r="A263" s="21">
        <v>43100</v>
      </c>
      <c r="B263" s="12" t="s">
        <v>88</v>
      </c>
      <c r="C263" s="8">
        <v>17</v>
      </c>
      <c r="D263" s="10"/>
      <c r="E263" s="109"/>
      <c r="F263" s="10"/>
    </row>
    <row r="264" spans="1:6" ht="14.4" x14ac:dyDescent="0.25">
      <c r="A264" s="21">
        <v>43100</v>
      </c>
      <c r="B264" s="12" t="s">
        <v>89</v>
      </c>
      <c r="C264" s="8">
        <v>18</v>
      </c>
      <c r="D264" s="10"/>
      <c r="E264" s="109"/>
      <c r="F264" s="10"/>
    </row>
    <row r="265" spans="1:6" ht="14.4" x14ac:dyDescent="0.25">
      <c r="A265" s="21">
        <v>43100</v>
      </c>
      <c r="B265" s="12" t="s">
        <v>90</v>
      </c>
      <c r="C265" s="8">
        <v>19</v>
      </c>
      <c r="D265" s="10"/>
      <c r="E265" s="109"/>
      <c r="F265" s="10"/>
    </row>
    <row r="266" spans="1:6" ht="14.4" x14ac:dyDescent="0.25">
      <c r="A266" s="21">
        <v>43100</v>
      </c>
      <c r="B266" s="12" t="s">
        <v>91</v>
      </c>
      <c r="C266" s="8">
        <v>20</v>
      </c>
      <c r="D266" s="10"/>
      <c r="E266" s="109"/>
      <c r="F266" s="10"/>
    </row>
    <row r="267" spans="1:6" ht="14.4" x14ac:dyDescent="0.25">
      <c r="A267" s="21">
        <v>43100</v>
      </c>
      <c r="B267" s="12" t="s">
        <v>92</v>
      </c>
      <c r="C267" s="8">
        <v>21</v>
      </c>
      <c r="D267" s="10"/>
      <c r="E267" s="109"/>
      <c r="F267" s="10"/>
    </row>
    <row r="268" spans="1:6" ht="14.4" x14ac:dyDescent="0.25">
      <c r="A268" s="21">
        <v>43100</v>
      </c>
      <c r="B268" s="9" t="s">
        <v>93</v>
      </c>
      <c r="C268" s="8">
        <v>22</v>
      </c>
      <c r="D268" s="10"/>
      <c r="E268" s="109"/>
      <c r="F268" s="10"/>
    </row>
    <row r="269" spans="1:6" ht="14.4" x14ac:dyDescent="0.25">
      <c r="A269" s="21">
        <v>43100</v>
      </c>
      <c r="B269" s="9" t="s">
        <v>94</v>
      </c>
      <c r="C269" s="8">
        <v>23</v>
      </c>
      <c r="D269" s="10"/>
      <c r="E269" s="109"/>
      <c r="F269" s="10"/>
    </row>
    <row r="270" spans="1:6" ht="14.4" x14ac:dyDescent="0.25">
      <c r="A270" s="21">
        <v>43100</v>
      </c>
      <c r="B270" s="9" t="s">
        <v>95</v>
      </c>
      <c r="C270" s="8">
        <v>24</v>
      </c>
      <c r="D270" s="10"/>
      <c r="E270" s="109"/>
      <c r="F270" s="10"/>
    </row>
    <row r="271" spans="1:6" ht="14.4" x14ac:dyDescent="0.25">
      <c r="A271" s="21">
        <v>43100</v>
      </c>
      <c r="B271" s="9" t="s">
        <v>96</v>
      </c>
      <c r="C271" s="8">
        <v>25</v>
      </c>
      <c r="D271" s="10"/>
      <c r="E271" s="109"/>
      <c r="F271" s="10"/>
    </row>
    <row r="272" spans="1:6" ht="14.4" x14ac:dyDescent="0.25">
      <c r="A272" s="21">
        <v>43100</v>
      </c>
      <c r="B272" s="9" t="s">
        <v>97</v>
      </c>
      <c r="C272" s="8">
        <v>26</v>
      </c>
      <c r="D272" s="10"/>
      <c r="E272" s="109"/>
      <c r="F272" s="10"/>
    </row>
    <row r="273" spans="1:6" ht="14.4" x14ac:dyDescent="0.25">
      <c r="A273" s="21">
        <v>43100</v>
      </c>
      <c r="B273" s="9" t="s">
        <v>98</v>
      </c>
      <c r="C273" s="8">
        <v>27</v>
      </c>
      <c r="D273" s="10"/>
      <c r="E273" s="109"/>
      <c r="F273" s="10"/>
    </row>
    <row r="274" spans="1:6" ht="14.4" x14ac:dyDescent="0.25">
      <c r="A274" s="21">
        <v>43100</v>
      </c>
      <c r="B274" s="9" t="s">
        <v>99</v>
      </c>
      <c r="C274" s="8">
        <v>28</v>
      </c>
      <c r="D274" s="10"/>
      <c r="E274" s="109"/>
      <c r="F274" s="10"/>
    </row>
    <row r="275" spans="1:6" ht="14.4" x14ac:dyDescent="0.25">
      <c r="A275" s="21">
        <v>43100</v>
      </c>
      <c r="B275" s="9" t="s">
        <v>100</v>
      </c>
      <c r="C275" s="8">
        <v>29</v>
      </c>
      <c r="D275" s="10"/>
      <c r="E275" s="109"/>
      <c r="F275" s="10"/>
    </row>
    <row r="276" spans="1:6" ht="14.4" x14ac:dyDescent="0.25">
      <c r="A276" s="21">
        <v>43100</v>
      </c>
      <c r="B276" s="9" t="s">
        <v>101</v>
      </c>
      <c r="C276" s="8">
        <v>30</v>
      </c>
      <c r="D276" s="10"/>
      <c r="E276" s="109"/>
      <c r="F276" s="10"/>
    </row>
    <row r="277" spans="1:6" ht="14.4" x14ac:dyDescent="0.25">
      <c r="A277" s="21">
        <v>43100</v>
      </c>
      <c r="B277" s="9" t="s">
        <v>102</v>
      </c>
      <c r="C277" s="8">
        <v>31</v>
      </c>
      <c r="D277" s="10">
        <v>33179.1</v>
      </c>
      <c r="E277" s="109">
        <v>176200.49</v>
      </c>
      <c r="F277" s="10">
        <v>194272.57</v>
      </c>
    </row>
    <row r="278" spans="1:6" ht="14.4" x14ac:dyDescent="0.25">
      <c r="A278" s="21">
        <v>43100</v>
      </c>
      <c r="B278" s="9" t="s">
        <v>103</v>
      </c>
      <c r="C278" s="8">
        <v>32</v>
      </c>
      <c r="D278" s="10"/>
      <c r="E278" s="109">
        <v>1839569.33</v>
      </c>
      <c r="F278" s="10">
        <v>1534054.72</v>
      </c>
    </row>
    <row r="279" spans="1:6" ht="14.4" x14ac:dyDescent="0.25">
      <c r="A279" s="21">
        <v>43100</v>
      </c>
      <c r="B279" s="9" t="s">
        <v>104</v>
      </c>
      <c r="C279" s="8">
        <v>33</v>
      </c>
      <c r="D279" s="10">
        <v>379035.58</v>
      </c>
      <c r="E279" s="109">
        <v>10879088.380000001</v>
      </c>
      <c r="F279" s="10">
        <v>9501604.2899999991</v>
      </c>
    </row>
    <row r="280" spans="1:6" ht="14.4" x14ac:dyDescent="0.25">
      <c r="A280" s="21">
        <v>43100</v>
      </c>
      <c r="B280" s="9" t="s">
        <v>105</v>
      </c>
      <c r="C280" s="8">
        <v>34</v>
      </c>
      <c r="D280" s="10"/>
      <c r="E280" s="109"/>
      <c r="F280" s="10"/>
    </row>
    <row r="281" spans="1:6" ht="14.4" x14ac:dyDescent="0.25">
      <c r="A281" s="21">
        <v>43100</v>
      </c>
      <c r="B281" s="9" t="s">
        <v>106</v>
      </c>
      <c r="C281" s="8">
        <v>35</v>
      </c>
      <c r="D281" s="10"/>
      <c r="E281" s="109"/>
      <c r="F281" s="10"/>
    </row>
    <row r="282" spans="1:6" ht="14.4" x14ac:dyDescent="0.25">
      <c r="A282" s="21">
        <v>43100</v>
      </c>
      <c r="B282" s="9" t="s">
        <v>107</v>
      </c>
      <c r="C282" s="8">
        <v>36</v>
      </c>
      <c r="D282" s="10"/>
      <c r="E282" s="109"/>
      <c r="F282" s="10"/>
    </row>
    <row r="283" spans="1:6" ht="14.4" x14ac:dyDescent="0.25">
      <c r="A283" s="21">
        <v>43100</v>
      </c>
      <c r="B283" s="9" t="s">
        <v>108</v>
      </c>
      <c r="C283" s="8">
        <v>37</v>
      </c>
      <c r="D283" s="10"/>
      <c r="E283" s="109"/>
      <c r="F283" s="10"/>
    </row>
    <row r="284" spans="1:6" ht="14.4" x14ac:dyDescent="0.25">
      <c r="A284" s="21">
        <v>43100</v>
      </c>
      <c r="B284" s="9" t="s">
        <v>109</v>
      </c>
      <c r="C284" s="8">
        <v>38</v>
      </c>
      <c r="D284" s="10">
        <f>D247-D258</f>
        <v>3953455.72</v>
      </c>
      <c r="E284" s="109">
        <f>E247-E258</f>
        <v>13694822.879999997</v>
      </c>
      <c r="F284" s="10">
        <f>F247-F258</f>
        <v>10619084.890000001</v>
      </c>
    </row>
    <row r="285" spans="1:6" ht="14.4" x14ac:dyDescent="0.25">
      <c r="A285" s="21">
        <v>43100</v>
      </c>
      <c r="B285" s="9" t="s">
        <v>110</v>
      </c>
      <c r="C285" s="8">
        <v>39</v>
      </c>
      <c r="D285" s="10"/>
      <c r="E285" s="109"/>
      <c r="F285" s="10"/>
    </row>
    <row r="286" spans="1:6" ht="14.4" x14ac:dyDescent="0.25">
      <c r="A286" s="21">
        <v>43100</v>
      </c>
      <c r="B286" s="9" t="s">
        <v>111</v>
      </c>
      <c r="C286" s="8">
        <v>40</v>
      </c>
      <c r="D286" s="10"/>
      <c r="E286" s="109">
        <v>15000</v>
      </c>
      <c r="F286" s="10"/>
    </row>
    <row r="287" spans="1:6" ht="14.4" x14ac:dyDescent="0.25">
      <c r="A287" s="21">
        <v>43100</v>
      </c>
      <c r="B287" s="9" t="s">
        <v>112</v>
      </c>
      <c r="C287" s="8">
        <v>41</v>
      </c>
      <c r="D287" s="10">
        <f>D284+D285-D286</f>
        <v>3953455.72</v>
      </c>
      <c r="E287" s="109">
        <f>E284+E285-E286</f>
        <v>13679822.879999997</v>
      </c>
      <c r="F287" s="10">
        <f>F284+F285-F286</f>
        <v>10619084.890000001</v>
      </c>
    </row>
    <row r="288" spans="1:6" ht="14.4" x14ac:dyDescent="0.25">
      <c r="A288" s="21">
        <v>43100</v>
      </c>
      <c r="B288" s="9" t="s">
        <v>113</v>
      </c>
      <c r="C288" s="8">
        <v>42</v>
      </c>
      <c r="D288" s="10"/>
      <c r="E288" s="109"/>
      <c r="F288" s="10"/>
    </row>
    <row r="289" spans="1:6" ht="14.4" x14ac:dyDescent="0.25">
      <c r="A289" s="21">
        <v>43100</v>
      </c>
      <c r="B289" s="9" t="s">
        <v>114</v>
      </c>
      <c r="C289" s="8">
        <v>43</v>
      </c>
      <c r="D289" s="10">
        <f>D287-D288</f>
        <v>3953455.72</v>
      </c>
      <c r="E289" s="109">
        <f>E287-E288</f>
        <v>13679822.879999997</v>
      </c>
      <c r="F289" s="10">
        <f>F287-F288</f>
        <v>10619084.890000001</v>
      </c>
    </row>
    <row r="290" spans="1:6" ht="14.4" x14ac:dyDescent="0.25">
      <c r="A290" s="21">
        <v>43100</v>
      </c>
      <c r="B290" s="9" t="s">
        <v>115</v>
      </c>
      <c r="C290" s="8">
        <v>44</v>
      </c>
      <c r="D290" s="10"/>
      <c r="E290" s="109"/>
      <c r="F290" s="10"/>
    </row>
    <row r="291" spans="1:6" ht="14.4" x14ac:dyDescent="0.25">
      <c r="A291" s="21">
        <v>43100</v>
      </c>
      <c r="B291" s="13" t="s">
        <v>116</v>
      </c>
      <c r="C291" s="8">
        <v>45</v>
      </c>
      <c r="D291" s="10"/>
      <c r="E291" s="109"/>
      <c r="F291" s="10"/>
    </row>
    <row r="292" spans="1:6" ht="14.4" x14ac:dyDescent="0.25">
      <c r="A292" s="21">
        <v>43100</v>
      </c>
      <c r="B292" s="9" t="s">
        <v>117</v>
      </c>
      <c r="C292" s="8">
        <v>46</v>
      </c>
      <c r="D292" s="10"/>
      <c r="E292" s="109"/>
      <c r="F292" s="10"/>
    </row>
    <row r="293" spans="1:6" ht="14.4" x14ac:dyDescent="0.25">
      <c r="A293" s="21">
        <v>43100</v>
      </c>
      <c r="B293" s="9" t="s">
        <v>118</v>
      </c>
      <c r="C293" s="8">
        <v>47</v>
      </c>
      <c r="D293" s="10"/>
      <c r="E293" s="109"/>
      <c r="F293" s="10"/>
    </row>
    <row r="294" spans="1:6" ht="14.4" x14ac:dyDescent="0.25">
      <c r="A294" s="21">
        <v>43100</v>
      </c>
      <c r="B294" s="9" t="s">
        <v>119</v>
      </c>
      <c r="C294" s="8">
        <v>48</v>
      </c>
      <c r="D294" s="10"/>
      <c r="E294" s="109"/>
      <c r="F294" s="10"/>
    </row>
    <row r="295" spans="1:6" ht="14.4" x14ac:dyDescent="0.25">
      <c r="A295" s="21">
        <v>43100</v>
      </c>
      <c r="B295" s="9" t="s">
        <v>120</v>
      </c>
      <c r="C295" s="8">
        <v>49</v>
      </c>
      <c r="D295" s="10"/>
      <c r="E295" s="109"/>
      <c r="F295" s="10"/>
    </row>
    <row r="296" spans="1:6" ht="14.4" x14ac:dyDescent="0.25">
      <c r="A296" s="21">
        <v>43281</v>
      </c>
      <c r="B296" s="9" t="s">
        <v>72</v>
      </c>
      <c r="C296" s="8">
        <v>1</v>
      </c>
      <c r="D296" s="10">
        <f>D297+D302+D304+D305+D306</f>
        <v>1799106.3599999999</v>
      </c>
      <c r="E296" s="109">
        <f>E297+E302+E304+E305+E306</f>
        <v>11461621.01</v>
      </c>
      <c r="F296" s="10">
        <f>F297+F302+F304+F305+F306</f>
        <v>10290702.65</v>
      </c>
    </row>
    <row r="297" spans="1:6" ht="14.4" x14ac:dyDescent="0.25">
      <c r="A297" s="21">
        <v>43281</v>
      </c>
      <c r="B297" s="11" t="s">
        <v>73</v>
      </c>
      <c r="C297" s="8">
        <v>2</v>
      </c>
      <c r="D297" s="10">
        <f>D298-D300-D301</f>
        <v>0</v>
      </c>
      <c r="E297" s="109">
        <f>E298-E300-E301</f>
        <v>0</v>
      </c>
      <c r="F297" s="10">
        <f>F298-F300-F301</f>
        <v>0</v>
      </c>
    </row>
    <row r="298" spans="1:6" ht="14.4" x14ac:dyDescent="0.25">
      <c r="A298" s="21">
        <v>43281</v>
      </c>
      <c r="B298" s="9" t="s">
        <v>74</v>
      </c>
      <c r="C298" s="8">
        <v>3</v>
      </c>
      <c r="D298" s="10"/>
      <c r="E298" s="109"/>
      <c r="F298" s="10"/>
    </row>
    <row r="299" spans="1:6" ht="14.4" x14ac:dyDescent="0.25">
      <c r="A299" s="21">
        <v>43281</v>
      </c>
      <c r="B299" s="9" t="s">
        <v>75</v>
      </c>
      <c r="C299" s="8">
        <v>4</v>
      </c>
      <c r="D299" s="10"/>
      <c r="E299" s="109"/>
      <c r="F299" s="10"/>
    </row>
    <row r="300" spans="1:6" ht="14.4" x14ac:dyDescent="0.25">
      <c r="A300" s="21">
        <v>43281</v>
      </c>
      <c r="B300" s="9" t="s">
        <v>76</v>
      </c>
      <c r="C300" s="8">
        <v>5</v>
      </c>
      <c r="D300" s="10"/>
      <c r="E300" s="109"/>
      <c r="F300" s="10"/>
    </row>
    <row r="301" spans="1:6" ht="14.4" x14ac:dyDescent="0.25">
      <c r="A301" s="21">
        <v>43281</v>
      </c>
      <c r="B301" s="9" t="s">
        <v>77</v>
      </c>
      <c r="C301" s="8">
        <v>6</v>
      </c>
      <c r="D301" s="10"/>
      <c r="E301" s="109"/>
      <c r="F301" s="10"/>
    </row>
    <row r="302" spans="1:6" ht="14.4" x14ac:dyDescent="0.25">
      <c r="A302" s="21">
        <v>43281</v>
      </c>
      <c r="B302" s="9" t="s">
        <v>78</v>
      </c>
      <c r="C302" s="8">
        <v>7</v>
      </c>
      <c r="D302" s="10">
        <v>1361.41</v>
      </c>
      <c r="E302" s="109">
        <v>3031.1</v>
      </c>
      <c r="F302" s="10">
        <v>1477.08</v>
      </c>
    </row>
    <row r="303" spans="1:6" ht="14.4" x14ac:dyDescent="0.25">
      <c r="A303" s="21">
        <v>43281</v>
      </c>
      <c r="B303" s="9" t="s">
        <v>79</v>
      </c>
      <c r="C303" s="8">
        <v>8</v>
      </c>
      <c r="D303" s="10"/>
      <c r="E303" s="109"/>
      <c r="F303" s="10"/>
    </row>
    <row r="304" spans="1:6" ht="14.4" x14ac:dyDescent="0.25">
      <c r="A304" s="21">
        <v>43281</v>
      </c>
      <c r="B304" s="9" t="s">
        <v>80</v>
      </c>
      <c r="C304" s="8">
        <v>9</v>
      </c>
      <c r="D304" s="10"/>
      <c r="E304" s="109"/>
      <c r="F304" s="10"/>
    </row>
    <row r="305" spans="1:6" ht="14.4" x14ac:dyDescent="0.25">
      <c r="A305" s="21">
        <v>43281</v>
      </c>
      <c r="B305" s="9" t="s">
        <v>81</v>
      </c>
      <c r="C305" s="8">
        <v>10</v>
      </c>
      <c r="D305" s="10"/>
      <c r="E305" s="109"/>
      <c r="F305" s="10"/>
    </row>
    <row r="306" spans="1:6" ht="14.4" x14ac:dyDescent="0.25">
      <c r="A306" s="21">
        <v>43281</v>
      </c>
      <c r="B306" s="9" t="s">
        <v>82</v>
      </c>
      <c r="C306" s="8">
        <v>11</v>
      </c>
      <c r="D306" s="10">
        <v>1797744.95</v>
      </c>
      <c r="E306" s="109">
        <v>11458589.91</v>
      </c>
      <c r="F306" s="10">
        <v>10289225.57</v>
      </c>
    </row>
    <row r="307" spans="1:6" ht="14.4" x14ac:dyDescent="0.25">
      <c r="A307" s="21">
        <v>43281</v>
      </c>
      <c r="B307" s="9" t="s">
        <v>83</v>
      </c>
      <c r="C307" s="8">
        <v>12</v>
      </c>
      <c r="D307" s="10">
        <f>D308+D309+D317-D318+D319-D323+D324+D325+D326+D327+D328-D330+D331+D332</f>
        <v>3102465.49</v>
      </c>
      <c r="E307" s="109">
        <f>E308+E309+E317-E318+E319-E323+E324+E325+E326+E327+E328-E330+E331+E332</f>
        <v>5618964.9299999997</v>
      </c>
      <c r="F307" s="10">
        <f>F308+F309+F317-F318+F319-F323+F324+F325+F326+F327+F328-F330+F331+F332</f>
        <v>4293366.93</v>
      </c>
    </row>
    <row r="308" spans="1:6" ht="14.4" x14ac:dyDescent="0.25">
      <c r="A308" s="21">
        <v>43281</v>
      </c>
      <c r="B308" s="9" t="s">
        <v>84</v>
      </c>
      <c r="C308" s="8">
        <v>13</v>
      </c>
      <c r="D308" s="10"/>
      <c r="E308" s="109"/>
      <c r="F308" s="10"/>
    </row>
    <row r="309" spans="1:6" ht="14.4" x14ac:dyDescent="0.25">
      <c r="A309" s="21">
        <v>43281</v>
      </c>
      <c r="B309" s="9" t="s">
        <v>85</v>
      </c>
      <c r="C309" s="8">
        <v>14</v>
      </c>
      <c r="D309" s="10"/>
      <c r="E309" s="109"/>
      <c r="F309" s="10"/>
    </row>
    <row r="310" spans="1:6" ht="14.4" x14ac:dyDescent="0.25">
      <c r="A310" s="21">
        <v>43281</v>
      </c>
      <c r="B310" s="12" t="s">
        <v>86</v>
      </c>
      <c r="C310" s="8">
        <v>15</v>
      </c>
      <c r="D310" s="10"/>
      <c r="E310" s="109"/>
      <c r="F310" s="10"/>
    </row>
    <row r="311" spans="1:6" ht="14.4" x14ac:dyDescent="0.25">
      <c r="A311" s="21">
        <v>43281</v>
      </c>
      <c r="B311" s="12" t="s">
        <v>87</v>
      </c>
      <c r="C311" s="8">
        <v>16</v>
      </c>
      <c r="D311" s="10"/>
      <c r="E311" s="109"/>
      <c r="F311" s="10"/>
    </row>
    <row r="312" spans="1:6" ht="14.4" x14ac:dyDescent="0.25">
      <c r="A312" s="21">
        <v>43281</v>
      </c>
      <c r="B312" s="12" t="s">
        <v>88</v>
      </c>
      <c r="C312" s="8">
        <v>17</v>
      </c>
      <c r="D312" s="10"/>
      <c r="E312" s="109"/>
      <c r="F312" s="10"/>
    </row>
    <row r="313" spans="1:6" ht="14.4" x14ac:dyDescent="0.25">
      <c r="A313" s="21">
        <v>43281</v>
      </c>
      <c r="B313" s="12" t="s">
        <v>89</v>
      </c>
      <c r="C313" s="8">
        <v>18</v>
      </c>
      <c r="D313" s="10"/>
      <c r="E313" s="109"/>
      <c r="F313" s="10"/>
    </row>
    <row r="314" spans="1:6" ht="14.4" x14ac:dyDescent="0.25">
      <c r="A314" s="21">
        <v>43281</v>
      </c>
      <c r="B314" s="12" t="s">
        <v>90</v>
      </c>
      <c r="C314" s="8">
        <v>19</v>
      </c>
      <c r="D314" s="10"/>
      <c r="E314" s="109"/>
      <c r="F314" s="10"/>
    </row>
    <row r="315" spans="1:6" ht="14.4" x14ac:dyDescent="0.25">
      <c r="A315" s="21">
        <v>43281</v>
      </c>
      <c r="B315" s="12" t="s">
        <v>91</v>
      </c>
      <c r="C315" s="8">
        <v>20</v>
      </c>
      <c r="D315" s="10"/>
      <c r="E315" s="109"/>
      <c r="F315" s="10"/>
    </row>
    <row r="316" spans="1:6" ht="14.4" x14ac:dyDescent="0.25">
      <c r="A316" s="21">
        <v>43281</v>
      </c>
      <c r="B316" s="12" t="s">
        <v>92</v>
      </c>
      <c r="C316" s="8">
        <v>21</v>
      </c>
      <c r="D316" s="10"/>
      <c r="E316" s="109"/>
      <c r="F316" s="10"/>
    </row>
    <row r="317" spans="1:6" ht="14.4" x14ac:dyDescent="0.25">
      <c r="A317" s="21">
        <v>43281</v>
      </c>
      <c r="B317" s="9" t="s">
        <v>93</v>
      </c>
      <c r="C317" s="8">
        <v>22</v>
      </c>
      <c r="D317" s="10"/>
      <c r="E317" s="109"/>
      <c r="F317" s="10"/>
    </row>
    <row r="318" spans="1:6" ht="14.4" x14ac:dyDescent="0.25">
      <c r="A318" s="21">
        <v>43281</v>
      </c>
      <c r="B318" s="9" t="s">
        <v>94</v>
      </c>
      <c r="C318" s="8">
        <v>23</v>
      </c>
      <c r="D318" s="10"/>
      <c r="E318" s="109"/>
      <c r="F318" s="10"/>
    </row>
    <row r="319" spans="1:6" ht="14.4" x14ac:dyDescent="0.25">
      <c r="A319" s="21">
        <v>43281</v>
      </c>
      <c r="B319" s="9" t="s">
        <v>95</v>
      </c>
      <c r="C319" s="8">
        <v>24</v>
      </c>
      <c r="D319" s="10"/>
      <c r="E319" s="109"/>
      <c r="F319" s="10"/>
    </row>
    <row r="320" spans="1:6" ht="14.4" x14ac:dyDescent="0.25">
      <c r="A320" s="21">
        <v>43281</v>
      </c>
      <c r="B320" s="9" t="s">
        <v>96</v>
      </c>
      <c r="C320" s="8">
        <v>25</v>
      </c>
      <c r="D320" s="10"/>
      <c r="E320" s="109"/>
      <c r="F320" s="10"/>
    </row>
    <row r="321" spans="1:6" ht="14.4" x14ac:dyDescent="0.25">
      <c r="A321" s="21">
        <v>43281</v>
      </c>
      <c r="B321" s="9" t="s">
        <v>97</v>
      </c>
      <c r="C321" s="8">
        <v>26</v>
      </c>
      <c r="D321" s="10"/>
      <c r="E321" s="109"/>
      <c r="F321" s="10"/>
    </row>
    <row r="322" spans="1:6" ht="14.4" x14ac:dyDescent="0.25">
      <c r="A322" s="21">
        <v>43281</v>
      </c>
      <c r="B322" s="9" t="s">
        <v>98</v>
      </c>
      <c r="C322" s="8">
        <v>27</v>
      </c>
      <c r="D322" s="10"/>
      <c r="E322" s="109"/>
      <c r="F322" s="10"/>
    </row>
    <row r="323" spans="1:6" ht="14.4" x14ac:dyDescent="0.25">
      <c r="A323" s="21">
        <v>43281</v>
      </c>
      <c r="B323" s="9" t="s">
        <v>99</v>
      </c>
      <c r="C323" s="8">
        <v>28</v>
      </c>
      <c r="D323" s="10"/>
      <c r="E323" s="109"/>
      <c r="F323" s="10"/>
    </row>
    <row r="324" spans="1:6" ht="14.4" x14ac:dyDescent="0.25">
      <c r="A324" s="21">
        <v>43281</v>
      </c>
      <c r="B324" s="9" t="s">
        <v>100</v>
      </c>
      <c r="C324" s="8">
        <v>29</v>
      </c>
      <c r="D324" s="10"/>
      <c r="E324" s="109"/>
      <c r="F324" s="10"/>
    </row>
    <row r="325" spans="1:6" ht="14.4" x14ac:dyDescent="0.25">
      <c r="A325" s="21">
        <v>43281</v>
      </c>
      <c r="B325" s="9" t="s">
        <v>101</v>
      </c>
      <c r="C325" s="8">
        <v>30</v>
      </c>
      <c r="D325" s="10"/>
      <c r="E325" s="109"/>
      <c r="F325" s="10"/>
    </row>
    <row r="326" spans="1:6" ht="14.4" x14ac:dyDescent="0.25">
      <c r="A326" s="62">
        <v>43281</v>
      </c>
      <c r="B326" s="63" t="s">
        <v>324</v>
      </c>
      <c r="C326" s="64">
        <v>31</v>
      </c>
      <c r="D326" s="65">
        <v>6435.96</v>
      </c>
      <c r="E326" s="109">
        <v>77382.19</v>
      </c>
      <c r="F326" s="65">
        <v>64971.88</v>
      </c>
    </row>
    <row r="327" spans="1:6" ht="14.4" x14ac:dyDescent="0.25">
      <c r="A327" s="21">
        <v>43281</v>
      </c>
      <c r="B327" s="9" t="s">
        <v>103</v>
      </c>
      <c r="C327" s="8">
        <v>32</v>
      </c>
      <c r="D327" s="10">
        <v>1353525.42</v>
      </c>
      <c r="E327" s="109">
        <v>1205448.6399999999</v>
      </c>
      <c r="F327" s="10">
        <v>749181.1</v>
      </c>
    </row>
    <row r="328" spans="1:6" ht="14.4" x14ac:dyDescent="0.25">
      <c r="A328" s="21">
        <v>43281</v>
      </c>
      <c r="B328" s="9" t="s">
        <v>104</v>
      </c>
      <c r="C328" s="8">
        <v>33</v>
      </c>
      <c r="D328" s="10">
        <v>1742504.11</v>
      </c>
      <c r="E328" s="109">
        <v>4336134.0999999996</v>
      </c>
      <c r="F328" s="10">
        <v>3479213.95</v>
      </c>
    </row>
    <row r="329" spans="1:6" ht="14.4" x14ac:dyDescent="0.25">
      <c r="A329" s="21">
        <v>43281</v>
      </c>
      <c r="B329" s="9" t="s">
        <v>105</v>
      </c>
      <c r="C329" s="8">
        <v>34</v>
      </c>
      <c r="D329" s="10"/>
      <c r="E329" s="109"/>
      <c r="F329" s="10"/>
    </row>
    <row r="330" spans="1:6" ht="14.4" x14ac:dyDescent="0.25">
      <c r="A330" s="21">
        <v>43281</v>
      </c>
      <c r="B330" s="9" t="s">
        <v>106</v>
      </c>
      <c r="C330" s="8">
        <v>35</v>
      </c>
      <c r="D330" s="10"/>
      <c r="E330" s="109"/>
      <c r="F330" s="10"/>
    </row>
    <row r="331" spans="1:6" ht="14.4" x14ac:dyDescent="0.25">
      <c r="A331" s="21">
        <v>43281</v>
      </c>
      <c r="B331" s="9" t="s">
        <v>107</v>
      </c>
      <c r="C331" s="8">
        <v>36</v>
      </c>
      <c r="D331" s="10"/>
      <c r="E331" s="109"/>
      <c r="F331" s="10"/>
    </row>
    <row r="332" spans="1:6" ht="14.4" x14ac:dyDescent="0.25">
      <c r="A332" s="21">
        <v>43281</v>
      </c>
      <c r="B332" s="9" t="s">
        <v>108</v>
      </c>
      <c r="C332" s="8">
        <v>37</v>
      </c>
      <c r="D332" s="10"/>
      <c r="E332" s="109"/>
      <c r="F332" s="10"/>
    </row>
    <row r="333" spans="1:6" ht="14.4" x14ac:dyDescent="0.25">
      <c r="A333" s="21">
        <v>43281</v>
      </c>
      <c r="B333" s="9" t="s">
        <v>109</v>
      </c>
      <c r="C333" s="8">
        <v>38</v>
      </c>
      <c r="D333" s="10">
        <f>D296-D307</f>
        <v>-1303359.1300000004</v>
      </c>
      <c r="E333" s="109">
        <f>E296-E307</f>
        <v>5842656.0800000001</v>
      </c>
      <c r="F333" s="10">
        <f>F296-F307</f>
        <v>5997335.7200000007</v>
      </c>
    </row>
    <row r="334" spans="1:6" ht="14.4" x14ac:dyDescent="0.25">
      <c r="A334" s="21">
        <v>43281</v>
      </c>
      <c r="B334" s="9" t="s">
        <v>110</v>
      </c>
      <c r="C334" s="8">
        <v>39</v>
      </c>
      <c r="D334" s="10"/>
      <c r="E334" s="109"/>
      <c r="F334" s="10"/>
    </row>
    <row r="335" spans="1:6" ht="14.4" x14ac:dyDescent="0.25">
      <c r="A335" s="21">
        <v>43281</v>
      </c>
      <c r="B335" s="9" t="s">
        <v>111</v>
      </c>
      <c r="C335" s="8">
        <v>40</v>
      </c>
      <c r="D335" s="10"/>
      <c r="E335" s="109"/>
      <c r="F335" s="10"/>
    </row>
    <row r="336" spans="1:6" ht="14.4" x14ac:dyDescent="0.25">
      <c r="A336" s="21">
        <v>43281</v>
      </c>
      <c r="B336" s="9" t="s">
        <v>112</v>
      </c>
      <c r="C336" s="8">
        <v>41</v>
      </c>
      <c r="D336" s="10">
        <f>D333+D334-D335</f>
        <v>-1303359.1300000004</v>
      </c>
      <c r="E336" s="109">
        <f>E333+E334-E335</f>
        <v>5842656.0800000001</v>
      </c>
      <c r="F336" s="10">
        <f>F333+F334-F335</f>
        <v>5997335.7200000007</v>
      </c>
    </row>
    <row r="337" spans="1:6" ht="14.4" x14ac:dyDescent="0.25">
      <c r="A337" s="21">
        <v>43281</v>
      </c>
      <c r="B337" s="9" t="s">
        <v>113</v>
      </c>
      <c r="C337" s="8">
        <v>42</v>
      </c>
      <c r="D337" s="10"/>
      <c r="E337" s="109"/>
      <c r="F337" s="10"/>
    </row>
    <row r="338" spans="1:6" ht="14.4" x14ac:dyDescent="0.25">
      <c r="A338" s="21">
        <v>43281</v>
      </c>
      <c r="B338" s="9" t="s">
        <v>114</v>
      </c>
      <c r="C338" s="8">
        <v>43</v>
      </c>
      <c r="D338" s="10">
        <f>D336-D337</f>
        <v>-1303359.1300000004</v>
      </c>
      <c r="E338" s="109">
        <f>E336-E337</f>
        <v>5842656.0800000001</v>
      </c>
      <c r="F338" s="10">
        <f>F336-F337</f>
        <v>5997335.7200000007</v>
      </c>
    </row>
    <row r="339" spans="1:6" ht="14.4" x14ac:dyDescent="0.25">
      <c r="A339" s="21">
        <v>43281</v>
      </c>
      <c r="B339" s="9" t="s">
        <v>115</v>
      </c>
      <c r="C339" s="8">
        <v>44</v>
      </c>
      <c r="D339" s="10"/>
      <c r="E339" s="109"/>
      <c r="F339" s="10"/>
    </row>
    <row r="340" spans="1:6" ht="14.4" x14ac:dyDescent="0.25">
      <c r="A340" s="21">
        <v>43281</v>
      </c>
      <c r="B340" s="13" t="s">
        <v>116</v>
      </c>
      <c r="C340" s="8">
        <v>45</v>
      </c>
      <c r="D340" s="10"/>
      <c r="E340" s="109"/>
      <c r="F340" s="10"/>
    </row>
    <row r="341" spans="1:6" ht="14.4" x14ac:dyDescent="0.25">
      <c r="A341" s="21">
        <v>43281</v>
      </c>
      <c r="B341" s="9" t="s">
        <v>117</v>
      </c>
      <c r="C341" s="8">
        <v>46</v>
      </c>
      <c r="D341" s="10"/>
      <c r="E341" s="109"/>
      <c r="F341" s="10"/>
    </row>
    <row r="342" spans="1:6" ht="14.4" x14ac:dyDescent="0.25">
      <c r="A342" s="21">
        <v>43281</v>
      </c>
      <c r="B342" s="9" t="s">
        <v>118</v>
      </c>
      <c r="C342" s="8">
        <v>47</v>
      </c>
      <c r="D342" s="10"/>
      <c r="E342" s="109"/>
      <c r="F342" s="10"/>
    </row>
    <row r="343" spans="1:6" ht="14.4" x14ac:dyDescent="0.25">
      <c r="A343" s="21">
        <v>43281</v>
      </c>
      <c r="B343" s="9" t="s">
        <v>119</v>
      </c>
      <c r="C343" s="8">
        <v>48</v>
      </c>
      <c r="D343" s="10"/>
      <c r="E343" s="109"/>
      <c r="F343" s="10"/>
    </row>
    <row r="344" spans="1:6" ht="14.4" x14ac:dyDescent="0.25">
      <c r="A344" s="21">
        <v>43281</v>
      </c>
      <c r="B344" s="9" t="s">
        <v>120</v>
      </c>
      <c r="C344" s="8">
        <v>49</v>
      </c>
      <c r="D344" s="10"/>
      <c r="E344" s="109"/>
      <c r="F344" s="10"/>
    </row>
    <row r="345" spans="1:6" x14ac:dyDescent="0.25">
      <c r="A345" s="21">
        <v>42916</v>
      </c>
      <c r="B345" t="s">
        <v>72</v>
      </c>
      <c r="C345">
        <v>1</v>
      </c>
      <c r="D345" s="69">
        <v>1688706.34</v>
      </c>
      <c r="E345" s="110">
        <v>10290702.65</v>
      </c>
      <c r="F345" s="69">
        <v>9114243.4399999995</v>
      </c>
    </row>
    <row r="346" spans="1:6" x14ac:dyDescent="0.25">
      <c r="A346" s="21">
        <v>42916</v>
      </c>
      <c r="B346" t="s">
        <v>73</v>
      </c>
      <c r="C346">
        <v>2</v>
      </c>
      <c r="D346">
        <v>0</v>
      </c>
      <c r="E346" s="111">
        <v>0</v>
      </c>
      <c r="F346">
        <v>0</v>
      </c>
    </row>
    <row r="347" spans="1:6" x14ac:dyDescent="0.25">
      <c r="A347" s="21">
        <v>42916</v>
      </c>
      <c r="B347" t="s">
        <v>74</v>
      </c>
      <c r="C347">
        <v>3</v>
      </c>
    </row>
    <row r="348" spans="1:6" x14ac:dyDescent="0.25">
      <c r="A348" s="21">
        <v>42916</v>
      </c>
      <c r="B348" t="s">
        <v>75</v>
      </c>
      <c r="C348">
        <v>4</v>
      </c>
    </row>
    <row r="349" spans="1:6" x14ac:dyDescent="0.25">
      <c r="A349" s="21">
        <v>42916</v>
      </c>
      <c r="B349" t="s">
        <v>76</v>
      </c>
      <c r="C349">
        <v>5</v>
      </c>
    </row>
    <row r="350" spans="1:6" x14ac:dyDescent="0.25">
      <c r="A350" s="21">
        <v>42916</v>
      </c>
      <c r="B350" t="s">
        <v>77</v>
      </c>
      <c r="C350">
        <v>6</v>
      </c>
    </row>
    <row r="351" spans="1:6" x14ac:dyDescent="0.25">
      <c r="A351" s="21">
        <v>42916</v>
      </c>
      <c r="B351" t="s">
        <v>78</v>
      </c>
      <c r="C351">
        <v>7</v>
      </c>
      <c r="D351">
        <v>804.51</v>
      </c>
      <c r="E351" s="110">
        <v>1477.08</v>
      </c>
      <c r="F351" s="69">
        <v>1137.1099999999999</v>
      </c>
    </row>
    <row r="352" spans="1:6" x14ac:dyDescent="0.25">
      <c r="A352" s="21">
        <v>42916</v>
      </c>
      <c r="B352" t="s">
        <v>79</v>
      </c>
      <c r="C352">
        <v>8</v>
      </c>
    </row>
    <row r="353" spans="1:6" x14ac:dyDescent="0.25">
      <c r="A353" s="21">
        <v>42916</v>
      </c>
      <c r="B353" t="s">
        <v>80</v>
      </c>
      <c r="C353">
        <v>9</v>
      </c>
    </row>
    <row r="354" spans="1:6" x14ac:dyDescent="0.25">
      <c r="A354" s="21">
        <v>42916</v>
      </c>
      <c r="B354" t="s">
        <v>81</v>
      </c>
      <c r="C354">
        <v>10</v>
      </c>
    </row>
    <row r="355" spans="1:6" x14ac:dyDescent="0.25">
      <c r="A355" s="21">
        <v>42916</v>
      </c>
      <c r="B355" t="s">
        <v>82</v>
      </c>
      <c r="C355">
        <v>11</v>
      </c>
      <c r="D355" s="69">
        <v>1687901.83</v>
      </c>
      <c r="E355" s="110">
        <v>10289225.57</v>
      </c>
      <c r="F355" s="69">
        <v>9113106.3300000001</v>
      </c>
    </row>
    <row r="356" spans="1:6" x14ac:dyDescent="0.25">
      <c r="A356" s="21">
        <v>42916</v>
      </c>
      <c r="B356" t="s">
        <v>83</v>
      </c>
      <c r="C356">
        <v>12</v>
      </c>
      <c r="D356" s="69">
        <v>1385399.56</v>
      </c>
      <c r="E356" s="110">
        <v>4293366.93</v>
      </c>
      <c r="F356" s="69">
        <v>3660481.04</v>
      </c>
    </row>
    <row r="357" spans="1:6" x14ac:dyDescent="0.25">
      <c r="A357" s="21">
        <v>42916</v>
      </c>
      <c r="B357" t="s">
        <v>84</v>
      </c>
      <c r="C357">
        <v>13</v>
      </c>
    </row>
    <row r="358" spans="1:6" x14ac:dyDescent="0.25">
      <c r="A358" s="21">
        <v>42916</v>
      </c>
      <c r="B358" t="s">
        <v>85</v>
      </c>
      <c r="C358">
        <v>14</v>
      </c>
    </row>
    <row r="359" spans="1:6" x14ac:dyDescent="0.25">
      <c r="A359" s="21">
        <v>42916</v>
      </c>
      <c r="B359" t="s">
        <v>86</v>
      </c>
      <c r="C359">
        <v>15</v>
      </c>
    </row>
    <row r="360" spans="1:6" x14ac:dyDescent="0.25">
      <c r="A360" s="21">
        <v>42916</v>
      </c>
      <c r="B360" t="s">
        <v>326</v>
      </c>
      <c r="C360">
        <v>16</v>
      </c>
    </row>
    <row r="361" spans="1:6" x14ac:dyDescent="0.25">
      <c r="A361" s="21">
        <v>42916</v>
      </c>
      <c r="B361" t="s">
        <v>327</v>
      </c>
      <c r="C361">
        <v>17</v>
      </c>
    </row>
    <row r="362" spans="1:6" x14ac:dyDescent="0.25">
      <c r="A362" s="21">
        <v>42916</v>
      </c>
      <c r="B362" t="s">
        <v>328</v>
      </c>
      <c r="C362">
        <v>18</v>
      </c>
    </row>
    <row r="363" spans="1:6" x14ac:dyDescent="0.25">
      <c r="A363" s="21">
        <v>42916</v>
      </c>
      <c r="B363" t="s">
        <v>329</v>
      </c>
      <c r="C363">
        <v>19</v>
      </c>
    </row>
    <row r="364" spans="1:6" x14ac:dyDescent="0.25">
      <c r="A364" s="21">
        <v>42916</v>
      </c>
      <c r="B364" t="s">
        <v>330</v>
      </c>
      <c r="C364">
        <v>20</v>
      </c>
    </row>
    <row r="365" spans="1:6" x14ac:dyDescent="0.25">
      <c r="A365" s="21">
        <v>42916</v>
      </c>
      <c r="B365" t="s">
        <v>331</v>
      </c>
      <c r="C365">
        <v>21</v>
      </c>
    </row>
    <row r="366" spans="1:6" x14ac:dyDescent="0.25">
      <c r="A366" s="21">
        <v>42916</v>
      </c>
      <c r="B366" t="s">
        <v>93</v>
      </c>
      <c r="C366">
        <v>22</v>
      </c>
    </row>
    <row r="367" spans="1:6" x14ac:dyDescent="0.25">
      <c r="A367" s="21">
        <v>42916</v>
      </c>
      <c r="B367" t="s">
        <v>94</v>
      </c>
      <c r="C367">
        <v>23</v>
      </c>
    </row>
    <row r="368" spans="1:6" x14ac:dyDescent="0.25">
      <c r="A368" s="21">
        <v>42916</v>
      </c>
      <c r="B368" t="s">
        <v>95</v>
      </c>
      <c r="C368">
        <v>24</v>
      </c>
    </row>
    <row r="369" spans="1:6" x14ac:dyDescent="0.25">
      <c r="A369" s="21">
        <v>42916</v>
      </c>
      <c r="B369" t="s">
        <v>332</v>
      </c>
      <c r="C369">
        <v>25</v>
      </c>
    </row>
    <row r="370" spans="1:6" x14ac:dyDescent="0.25">
      <c r="A370" s="21">
        <v>42916</v>
      </c>
      <c r="B370" t="s">
        <v>333</v>
      </c>
      <c r="C370">
        <v>26</v>
      </c>
    </row>
    <row r="371" spans="1:6" x14ac:dyDescent="0.25">
      <c r="A371" s="21">
        <v>42916</v>
      </c>
      <c r="B371" t="s">
        <v>334</v>
      </c>
      <c r="C371">
        <v>27</v>
      </c>
    </row>
    <row r="372" spans="1:6" x14ac:dyDescent="0.25">
      <c r="A372" s="21">
        <v>42916</v>
      </c>
      <c r="B372" t="s">
        <v>99</v>
      </c>
      <c r="C372">
        <v>28</v>
      </c>
    </row>
    <row r="373" spans="1:6" x14ac:dyDescent="0.25">
      <c r="A373" s="21">
        <v>42916</v>
      </c>
      <c r="B373" t="s">
        <v>100</v>
      </c>
      <c r="C373">
        <v>29</v>
      </c>
    </row>
    <row r="374" spans="1:6" x14ac:dyDescent="0.25">
      <c r="A374" s="21">
        <v>42916</v>
      </c>
      <c r="B374" t="s">
        <v>101</v>
      </c>
      <c r="C374">
        <v>30</v>
      </c>
    </row>
    <row r="375" spans="1:6" x14ac:dyDescent="0.25">
      <c r="A375" s="21">
        <v>42916</v>
      </c>
      <c r="B375" t="s">
        <v>102</v>
      </c>
      <c r="C375">
        <v>31</v>
      </c>
      <c r="D375" s="69">
        <v>9598.31</v>
      </c>
      <c r="E375" s="110">
        <v>64971.88</v>
      </c>
      <c r="F375" s="69">
        <v>97530.66</v>
      </c>
    </row>
    <row r="376" spans="1:6" x14ac:dyDescent="0.25">
      <c r="A376" s="21">
        <v>42916</v>
      </c>
      <c r="B376" t="s">
        <v>103</v>
      </c>
      <c r="C376">
        <v>32</v>
      </c>
      <c r="D376" s="69">
        <v>669716.09</v>
      </c>
      <c r="E376" s="110">
        <v>749181.1</v>
      </c>
      <c r="F376" s="69">
        <v>256598.1</v>
      </c>
    </row>
    <row r="377" spans="1:6" x14ac:dyDescent="0.25">
      <c r="A377" s="21">
        <v>42916</v>
      </c>
      <c r="B377" t="s">
        <v>104</v>
      </c>
      <c r="C377">
        <v>33</v>
      </c>
      <c r="D377" s="69">
        <v>706085.16</v>
      </c>
      <c r="E377" s="110">
        <v>3479213.95</v>
      </c>
      <c r="F377" s="69">
        <v>3306352.28</v>
      </c>
    </row>
    <row r="378" spans="1:6" x14ac:dyDescent="0.25">
      <c r="A378" s="21">
        <v>42916</v>
      </c>
      <c r="B378" t="s">
        <v>335</v>
      </c>
      <c r="C378">
        <v>34</v>
      </c>
    </row>
    <row r="379" spans="1:6" x14ac:dyDescent="0.25">
      <c r="A379" s="21">
        <v>42916</v>
      </c>
      <c r="B379" t="s">
        <v>106</v>
      </c>
      <c r="C379">
        <v>35</v>
      </c>
    </row>
    <row r="380" spans="1:6" x14ac:dyDescent="0.25">
      <c r="A380" s="21">
        <v>42916</v>
      </c>
      <c r="B380" t="s">
        <v>107</v>
      </c>
      <c r="C380">
        <v>36</v>
      </c>
    </row>
    <row r="381" spans="1:6" x14ac:dyDescent="0.25">
      <c r="A381" s="21">
        <v>42916</v>
      </c>
      <c r="B381" t="s">
        <v>108</v>
      </c>
      <c r="C381">
        <v>37</v>
      </c>
    </row>
    <row r="382" spans="1:6" x14ac:dyDescent="0.25">
      <c r="A382" s="21">
        <v>42916</v>
      </c>
      <c r="B382" t="s">
        <v>109</v>
      </c>
      <c r="C382">
        <v>38</v>
      </c>
      <c r="D382" s="69">
        <v>303306.78000000003</v>
      </c>
      <c r="E382" s="110">
        <v>5997335.7199999997</v>
      </c>
      <c r="F382" s="69">
        <v>5453762.4000000004</v>
      </c>
    </row>
    <row r="383" spans="1:6" x14ac:dyDescent="0.25">
      <c r="A383" s="21">
        <v>42916</v>
      </c>
      <c r="B383" t="s">
        <v>110</v>
      </c>
      <c r="C383">
        <v>39</v>
      </c>
    </row>
    <row r="384" spans="1:6" x14ac:dyDescent="0.25">
      <c r="A384" s="21">
        <v>42916</v>
      </c>
      <c r="B384" t="s">
        <v>111</v>
      </c>
      <c r="C384">
        <v>40</v>
      </c>
    </row>
    <row r="385" spans="1:6" x14ac:dyDescent="0.25">
      <c r="A385" s="21">
        <v>42916</v>
      </c>
      <c r="B385" t="s">
        <v>112</v>
      </c>
      <c r="C385">
        <v>41</v>
      </c>
      <c r="D385" s="69">
        <v>303306.78000000003</v>
      </c>
      <c r="E385" s="110">
        <v>5997335.7199999997</v>
      </c>
      <c r="F385" s="69">
        <v>5453762.4000000004</v>
      </c>
    </row>
    <row r="386" spans="1:6" x14ac:dyDescent="0.25">
      <c r="A386" s="21">
        <v>42916</v>
      </c>
      <c r="B386" t="s">
        <v>113</v>
      </c>
      <c r="C386">
        <v>42</v>
      </c>
    </row>
    <row r="387" spans="1:6" x14ac:dyDescent="0.25">
      <c r="A387" s="21">
        <v>42916</v>
      </c>
      <c r="B387" t="s">
        <v>114</v>
      </c>
      <c r="C387">
        <v>43</v>
      </c>
      <c r="D387" s="69">
        <v>303306.78000000003</v>
      </c>
      <c r="E387" s="110">
        <v>5997335.7199999997</v>
      </c>
      <c r="F387" s="69">
        <v>5453762.4000000004</v>
      </c>
    </row>
    <row r="388" spans="1:6" x14ac:dyDescent="0.25">
      <c r="A388" s="21">
        <v>42916</v>
      </c>
      <c r="B388" t="s">
        <v>336</v>
      </c>
      <c r="C388">
        <v>44</v>
      </c>
    </row>
    <row r="389" spans="1:6" x14ac:dyDescent="0.25">
      <c r="A389" s="21">
        <v>42916</v>
      </c>
      <c r="B389" t="s">
        <v>337</v>
      </c>
      <c r="C389">
        <v>45</v>
      </c>
    </row>
    <row r="390" spans="1:6" x14ac:dyDescent="0.25">
      <c r="A390" s="21">
        <v>42916</v>
      </c>
      <c r="B390" t="s">
        <v>117</v>
      </c>
      <c r="C390">
        <v>46</v>
      </c>
    </row>
    <row r="391" spans="1:6" x14ac:dyDescent="0.25">
      <c r="A391" s="21">
        <v>42916</v>
      </c>
      <c r="B391" t="s">
        <v>118</v>
      </c>
      <c r="C391">
        <v>47</v>
      </c>
    </row>
    <row r="392" spans="1:6" x14ac:dyDescent="0.25">
      <c r="A392" s="21">
        <v>42916</v>
      </c>
      <c r="B392" t="s">
        <v>119</v>
      </c>
      <c r="C392">
        <v>48</v>
      </c>
    </row>
    <row r="393" spans="1:6" x14ac:dyDescent="0.25">
      <c r="A393" s="21">
        <v>42916</v>
      </c>
      <c r="B393" t="s">
        <v>120</v>
      </c>
      <c r="C393">
        <v>49</v>
      </c>
    </row>
    <row r="394" spans="1:6" x14ac:dyDescent="0.25">
      <c r="A394" s="21">
        <v>43465</v>
      </c>
      <c r="B394" t="s">
        <v>72</v>
      </c>
      <c r="C394">
        <v>1</v>
      </c>
      <c r="D394">
        <v>2679403.19</v>
      </c>
      <c r="E394" s="110">
        <v>27038070.289999999</v>
      </c>
      <c r="F394" s="69">
        <v>26589681.079999998</v>
      </c>
    </row>
    <row r="395" spans="1:6" x14ac:dyDescent="0.25">
      <c r="A395" s="21">
        <v>43465</v>
      </c>
      <c r="B395" t="s">
        <v>73</v>
      </c>
      <c r="C395">
        <v>2</v>
      </c>
      <c r="D395">
        <v>0</v>
      </c>
      <c r="E395" s="111">
        <v>0</v>
      </c>
      <c r="F395">
        <v>0</v>
      </c>
    </row>
    <row r="396" spans="1:6" x14ac:dyDescent="0.25">
      <c r="A396" s="21">
        <v>43465</v>
      </c>
      <c r="B396" t="s">
        <v>74</v>
      </c>
      <c r="C396">
        <v>3</v>
      </c>
    </row>
    <row r="397" spans="1:6" x14ac:dyDescent="0.25">
      <c r="A397" s="21">
        <v>43465</v>
      </c>
      <c r="B397" t="s">
        <v>75</v>
      </c>
      <c r="C397">
        <v>4</v>
      </c>
    </row>
    <row r="398" spans="1:6" x14ac:dyDescent="0.25">
      <c r="A398" s="21">
        <v>43465</v>
      </c>
      <c r="B398" t="s">
        <v>76</v>
      </c>
      <c r="C398">
        <v>5</v>
      </c>
    </row>
    <row r="399" spans="1:6" x14ac:dyDescent="0.25">
      <c r="A399" s="21">
        <v>43465</v>
      </c>
      <c r="B399" t="s">
        <v>77</v>
      </c>
      <c r="C399">
        <v>6</v>
      </c>
    </row>
    <row r="400" spans="1:6" x14ac:dyDescent="0.25">
      <c r="A400" s="21">
        <v>43465</v>
      </c>
      <c r="B400" t="s">
        <v>78</v>
      </c>
      <c r="C400">
        <v>7</v>
      </c>
      <c r="E400" s="110">
        <v>4533.96</v>
      </c>
      <c r="F400" s="69">
        <v>3233.84</v>
      </c>
    </row>
    <row r="401" spans="1:6" x14ac:dyDescent="0.25">
      <c r="A401" s="21">
        <v>43465</v>
      </c>
      <c r="B401" t="s">
        <v>79</v>
      </c>
      <c r="C401">
        <v>8</v>
      </c>
    </row>
    <row r="402" spans="1:6" x14ac:dyDescent="0.25">
      <c r="A402" s="21">
        <v>43465</v>
      </c>
      <c r="B402" t="s">
        <v>80</v>
      </c>
      <c r="C402">
        <v>9</v>
      </c>
    </row>
    <row r="403" spans="1:6" x14ac:dyDescent="0.25">
      <c r="A403" s="21">
        <v>43465</v>
      </c>
      <c r="B403" t="s">
        <v>81</v>
      </c>
      <c r="C403">
        <v>10</v>
      </c>
    </row>
    <row r="404" spans="1:6" x14ac:dyDescent="0.25">
      <c r="A404" s="21">
        <v>43465</v>
      </c>
      <c r="B404" t="s">
        <v>82</v>
      </c>
      <c r="C404">
        <v>11</v>
      </c>
      <c r="D404">
        <v>2679403.19</v>
      </c>
      <c r="E404" s="110">
        <v>27033536.329999998</v>
      </c>
      <c r="F404" s="69">
        <v>26586447.239999998</v>
      </c>
    </row>
    <row r="405" spans="1:6" x14ac:dyDescent="0.25">
      <c r="A405" s="21">
        <v>43465</v>
      </c>
      <c r="B405" t="s">
        <v>83</v>
      </c>
      <c r="C405">
        <v>12</v>
      </c>
      <c r="D405" s="69">
        <v>21364.02</v>
      </c>
      <c r="E405" s="110">
        <v>13593265.120000001</v>
      </c>
      <c r="F405" s="69">
        <v>12894858.200000001</v>
      </c>
    </row>
    <row r="406" spans="1:6" x14ac:dyDescent="0.25">
      <c r="A406" s="21">
        <v>43465</v>
      </c>
      <c r="B406" t="s">
        <v>84</v>
      </c>
      <c r="C406">
        <v>13</v>
      </c>
    </row>
    <row r="407" spans="1:6" x14ac:dyDescent="0.25">
      <c r="A407" s="21">
        <v>43465</v>
      </c>
      <c r="B407" t="s">
        <v>85</v>
      </c>
      <c r="C407">
        <v>14</v>
      </c>
    </row>
    <row r="408" spans="1:6" x14ac:dyDescent="0.25">
      <c r="A408" s="21">
        <v>43465</v>
      </c>
      <c r="B408" t="s">
        <v>86</v>
      </c>
      <c r="C408">
        <v>15</v>
      </c>
    </row>
    <row r="409" spans="1:6" x14ac:dyDescent="0.25">
      <c r="A409" s="21">
        <v>43465</v>
      </c>
      <c r="B409" t="s">
        <v>326</v>
      </c>
      <c r="C409">
        <v>16</v>
      </c>
    </row>
    <row r="410" spans="1:6" x14ac:dyDescent="0.25">
      <c r="A410" s="21">
        <v>43465</v>
      </c>
      <c r="B410" t="s">
        <v>327</v>
      </c>
      <c r="C410">
        <v>17</v>
      </c>
    </row>
    <row r="411" spans="1:6" x14ac:dyDescent="0.25">
      <c r="A411" s="21">
        <v>43465</v>
      </c>
      <c r="B411" t="s">
        <v>328</v>
      </c>
      <c r="C411">
        <v>18</v>
      </c>
    </row>
    <row r="412" spans="1:6" x14ac:dyDescent="0.25">
      <c r="A412" s="21">
        <v>43465</v>
      </c>
      <c r="B412" t="s">
        <v>329</v>
      </c>
      <c r="C412">
        <v>19</v>
      </c>
    </row>
    <row r="413" spans="1:6" x14ac:dyDescent="0.25">
      <c r="A413" s="21">
        <v>43465</v>
      </c>
      <c r="B413" t="s">
        <v>330</v>
      </c>
      <c r="C413">
        <v>20</v>
      </c>
    </row>
    <row r="414" spans="1:6" x14ac:dyDescent="0.25">
      <c r="A414" s="21">
        <v>43465</v>
      </c>
      <c r="B414" t="s">
        <v>331</v>
      </c>
      <c r="C414">
        <v>21</v>
      </c>
    </row>
    <row r="415" spans="1:6" x14ac:dyDescent="0.25">
      <c r="A415" s="21">
        <v>43465</v>
      </c>
      <c r="B415" t="s">
        <v>93</v>
      </c>
      <c r="C415">
        <v>22</v>
      </c>
    </row>
    <row r="416" spans="1:6" x14ac:dyDescent="0.25">
      <c r="A416" s="21">
        <v>43465</v>
      </c>
      <c r="B416" t="s">
        <v>94</v>
      </c>
      <c r="C416">
        <v>23</v>
      </c>
    </row>
    <row r="417" spans="1:6" x14ac:dyDescent="0.25">
      <c r="A417" s="21">
        <v>43465</v>
      </c>
      <c r="B417" t="s">
        <v>95</v>
      </c>
      <c r="C417">
        <v>24</v>
      </c>
    </row>
    <row r="418" spans="1:6" x14ac:dyDescent="0.25">
      <c r="A418" s="21">
        <v>43465</v>
      </c>
      <c r="B418" t="s">
        <v>332</v>
      </c>
      <c r="C418">
        <v>25</v>
      </c>
    </row>
    <row r="419" spans="1:6" x14ac:dyDescent="0.25">
      <c r="A419" s="21">
        <v>43465</v>
      </c>
      <c r="B419" t="s">
        <v>333</v>
      </c>
      <c r="C419">
        <v>26</v>
      </c>
    </row>
    <row r="420" spans="1:6" x14ac:dyDescent="0.25">
      <c r="A420" s="21">
        <v>43465</v>
      </c>
      <c r="B420" t="s">
        <v>334</v>
      </c>
      <c r="C420">
        <v>27</v>
      </c>
    </row>
    <row r="421" spans="1:6" x14ac:dyDescent="0.25">
      <c r="A421" s="21">
        <v>43465</v>
      </c>
      <c r="B421" t="s">
        <v>99</v>
      </c>
      <c r="C421">
        <v>28</v>
      </c>
    </row>
    <row r="422" spans="1:6" x14ac:dyDescent="0.25">
      <c r="A422" s="21">
        <v>43465</v>
      </c>
      <c r="B422" t="s">
        <v>100</v>
      </c>
      <c r="C422">
        <v>29</v>
      </c>
    </row>
    <row r="423" spans="1:6" x14ac:dyDescent="0.25">
      <c r="A423" s="21">
        <v>43465</v>
      </c>
      <c r="B423" t="s">
        <v>101</v>
      </c>
      <c r="C423">
        <v>30</v>
      </c>
    </row>
    <row r="424" spans="1:6" x14ac:dyDescent="0.25">
      <c r="A424" s="21">
        <v>43465</v>
      </c>
      <c r="B424" t="s">
        <v>102</v>
      </c>
      <c r="C424">
        <v>31</v>
      </c>
      <c r="D424">
        <v>20364.02</v>
      </c>
      <c r="E424" s="110">
        <v>179829.49</v>
      </c>
      <c r="F424" s="69">
        <v>176200.49</v>
      </c>
    </row>
    <row r="425" spans="1:6" x14ac:dyDescent="0.25">
      <c r="A425" s="21">
        <v>43465</v>
      </c>
      <c r="B425" t="s">
        <v>103</v>
      </c>
      <c r="C425">
        <v>32</v>
      </c>
      <c r="D425" s="69"/>
      <c r="E425" s="110">
        <v>2026167.42</v>
      </c>
      <c r="F425" s="69">
        <v>1839569.33</v>
      </c>
    </row>
    <row r="426" spans="1:6" x14ac:dyDescent="0.25">
      <c r="A426" s="21">
        <v>43465</v>
      </c>
      <c r="B426" t="s">
        <v>104</v>
      </c>
      <c r="C426">
        <v>33</v>
      </c>
      <c r="D426" s="69">
        <v>1000</v>
      </c>
      <c r="E426" s="110">
        <v>11387268.210000001</v>
      </c>
      <c r="F426" s="69">
        <v>10879088.380000001</v>
      </c>
    </row>
    <row r="427" spans="1:6" x14ac:dyDescent="0.25">
      <c r="A427" s="21">
        <v>43465</v>
      </c>
      <c r="B427" t="s">
        <v>335</v>
      </c>
      <c r="C427">
        <v>34</v>
      </c>
    </row>
    <row r="428" spans="1:6" x14ac:dyDescent="0.25">
      <c r="A428" s="21">
        <v>43465</v>
      </c>
      <c r="B428" t="s">
        <v>106</v>
      </c>
      <c r="C428">
        <v>35</v>
      </c>
    </row>
    <row r="429" spans="1:6" x14ac:dyDescent="0.25">
      <c r="A429" s="21">
        <v>43465</v>
      </c>
      <c r="B429" t="s">
        <v>107</v>
      </c>
      <c r="C429">
        <v>36</v>
      </c>
    </row>
    <row r="430" spans="1:6" x14ac:dyDescent="0.25">
      <c r="A430" s="21">
        <v>43465</v>
      </c>
      <c r="B430" t="s">
        <v>108</v>
      </c>
      <c r="C430">
        <v>37</v>
      </c>
    </row>
    <row r="431" spans="1:6" x14ac:dyDescent="0.25">
      <c r="A431" s="21">
        <v>43465</v>
      </c>
      <c r="B431" t="s">
        <v>109</v>
      </c>
      <c r="C431">
        <v>38</v>
      </c>
      <c r="D431" s="69">
        <v>2658039.17</v>
      </c>
      <c r="E431" s="110">
        <v>13444805.169999998</v>
      </c>
      <c r="F431" s="69">
        <v>13694822.879999997</v>
      </c>
    </row>
    <row r="432" spans="1:6" x14ac:dyDescent="0.25">
      <c r="A432" s="21">
        <v>43465</v>
      </c>
      <c r="B432" t="s">
        <v>110</v>
      </c>
      <c r="C432">
        <v>39</v>
      </c>
      <c r="E432" s="110">
        <v>10000</v>
      </c>
    </row>
    <row r="433" spans="1:6" x14ac:dyDescent="0.25">
      <c r="A433" s="21">
        <v>43465</v>
      </c>
      <c r="B433" t="s">
        <v>111</v>
      </c>
      <c r="C433">
        <v>40</v>
      </c>
      <c r="F433">
        <v>15000</v>
      </c>
    </row>
    <row r="434" spans="1:6" x14ac:dyDescent="0.25">
      <c r="A434" s="21">
        <v>43465</v>
      </c>
      <c r="B434" t="s">
        <v>112</v>
      </c>
      <c r="C434">
        <v>41</v>
      </c>
      <c r="D434" s="69">
        <v>2658039.17</v>
      </c>
      <c r="E434" s="110">
        <v>13454805.169999998</v>
      </c>
      <c r="F434" s="69">
        <v>13679822.879999997</v>
      </c>
    </row>
    <row r="435" spans="1:6" x14ac:dyDescent="0.25">
      <c r="A435" s="21">
        <v>43465</v>
      </c>
      <c r="B435" t="s">
        <v>113</v>
      </c>
      <c r="C435">
        <v>42</v>
      </c>
      <c r="D435">
        <v>-298193.25</v>
      </c>
      <c r="E435" s="111">
        <v>469463.11</v>
      </c>
    </row>
    <row r="436" spans="1:6" x14ac:dyDescent="0.25">
      <c r="A436" s="21">
        <v>43465</v>
      </c>
      <c r="B436" t="s">
        <v>114</v>
      </c>
      <c r="C436">
        <v>43</v>
      </c>
      <c r="D436" s="69">
        <v>2956232.42</v>
      </c>
      <c r="E436" s="110">
        <v>12985342.059999999</v>
      </c>
      <c r="F436" s="69">
        <v>13679822.879999997</v>
      </c>
    </row>
    <row r="437" spans="1:6" x14ac:dyDescent="0.25">
      <c r="A437" s="21">
        <v>43465</v>
      </c>
      <c r="B437" t="s">
        <v>336</v>
      </c>
      <c r="C437">
        <v>44</v>
      </c>
    </row>
    <row r="438" spans="1:6" x14ac:dyDescent="0.25">
      <c r="A438" s="21">
        <v>43465</v>
      </c>
      <c r="B438" t="s">
        <v>337</v>
      </c>
      <c r="C438">
        <v>45</v>
      </c>
    </row>
    <row r="439" spans="1:6" x14ac:dyDescent="0.25">
      <c r="A439" s="21">
        <v>43465</v>
      </c>
      <c r="B439" t="s">
        <v>117</v>
      </c>
      <c r="C439">
        <v>46</v>
      </c>
    </row>
    <row r="440" spans="1:6" x14ac:dyDescent="0.25">
      <c r="A440" s="21">
        <v>43465</v>
      </c>
      <c r="B440" t="s">
        <v>118</v>
      </c>
      <c r="C440">
        <v>47</v>
      </c>
    </row>
    <row r="441" spans="1:6" x14ac:dyDescent="0.25">
      <c r="A441" s="21">
        <v>43465</v>
      </c>
      <c r="B441" t="s">
        <v>119</v>
      </c>
      <c r="C441">
        <v>48</v>
      </c>
    </row>
    <row r="442" spans="1:6" x14ac:dyDescent="0.25">
      <c r="A442" s="21">
        <v>43465</v>
      </c>
      <c r="B442" t="s">
        <v>120</v>
      </c>
      <c r="C442">
        <v>49</v>
      </c>
    </row>
    <row r="443" spans="1:6" x14ac:dyDescent="0.25">
      <c r="A443" s="21">
        <v>43555</v>
      </c>
      <c r="B443" t="s">
        <v>72</v>
      </c>
      <c r="C443">
        <v>1</v>
      </c>
      <c r="D443" s="69">
        <v>2727016.43</v>
      </c>
      <c r="E443" s="110">
        <v>9339807.0399999991</v>
      </c>
      <c r="F443" s="69">
        <v>4632743.91</v>
      </c>
    </row>
    <row r="444" spans="1:6" x14ac:dyDescent="0.25">
      <c r="A444" s="21">
        <v>43555</v>
      </c>
      <c r="B444" t="s">
        <v>73</v>
      </c>
      <c r="C444">
        <v>2</v>
      </c>
      <c r="D444">
        <v>0</v>
      </c>
      <c r="E444" s="111">
        <v>0</v>
      </c>
      <c r="F444">
        <v>0</v>
      </c>
    </row>
    <row r="445" spans="1:6" x14ac:dyDescent="0.25">
      <c r="A445" s="21">
        <v>43555</v>
      </c>
      <c r="B445" t="s">
        <v>74</v>
      </c>
      <c r="C445">
        <v>3</v>
      </c>
    </row>
    <row r="446" spans="1:6" x14ac:dyDescent="0.25">
      <c r="A446" s="21">
        <v>43555</v>
      </c>
      <c r="B446" t="s">
        <v>75</v>
      </c>
      <c r="C446">
        <v>4</v>
      </c>
    </row>
    <row r="447" spans="1:6" x14ac:dyDescent="0.25">
      <c r="A447" s="21">
        <v>43555</v>
      </c>
      <c r="B447" t="s">
        <v>76</v>
      </c>
      <c r="C447">
        <v>5</v>
      </c>
    </row>
    <row r="448" spans="1:6" x14ac:dyDescent="0.25">
      <c r="A448" s="21">
        <v>43555</v>
      </c>
      <c r="B448" t="s">
        <v>77</v>
      </c>
      <c r="C448">
        <v>6</v>
      </c>
    </row>
    <row r="449" spans="1:6" x14ac:dyDescent="0.25">
      <c r="A449" s="21">
        <v>43555</v>
      </c>
      <c r="B449" t="s">
        <v>78</v>
      </c>
      <c r="C449">
        <v>7</v>
      </c>
      <c r="D449">
        <v>758.48</v>
      </c>
      <c r="E449" s="111">
        <v>758.94</v>
      </c>
      <c r="F449" s="69">
        <v>1669.69</v>
      </c>
    </row>
    <row r="450" spans="1:6" x14ac:dyDescent="0.25">
      <c r="A450" s="21">
        <v>43555</v>
      </c>
      <c r="B450" t="s">
        <v>79</v>
      </c>
      <c r="C450">
        <v>8</v>
      </c>
    </row>
    <row r="451" spans="1:6" x14ac:dyDescent="0.25">
      <c r="A451" s="21">
        <v>43555</v>
      </c>
      <c r="B451" t="s">
        <v>80</v>
      </c>
      <c r="C451">
        <v>9</v>
      </c>
    </row>
    <row r="452" spans="1:6" x14ac:dyDescent="0.25">
      <c r="A452" s="21">
        <v>43555</v>
      </c>
      <c r="B452" t="s">
        <v>81</v>
      </c>
      <c r="C452">
        <v>10</v>
      </c>
    </row>
    <row r="453" spans="1:6" x14ac:dyDescent="0.25">
      <c r="A453" s="21">
        <v>43555</v>
      </c>
      <c r="B453" t="s">
        <v>82</v>
      </c>
      <c r="C453">
        <v>11</v>
      </c>
      <c r="D453" s="69">
        <v>2726257.95</v>
      </c>
      <c r="E453" s="110">
        <v>9339048.0999999996</v>
      </c>
      <c r="F453" s="69">
        <v>4631074.22</v>
      </c>
    </row>
    <row r="454" spans="1:6" x14ac:dyDescent="0.25">
      <c r="A454" s="21">
        <v>43555</v>
      </c>
      <c r="B454" t="s">
        <v>83</v>
      </c>
      <c r="C454">
        <v>12</v>
      </c>
      <c r="D454" s="69">
        <v>1378877.35</v>
      </c>
      <c r="E454" s="110">
        <v>4177077.48</v>
      </c>
      <c r="F454" s="69">
        <v>1701638.27</v>
      </c>
    </row>
    <row r="455" spans="1:6" x14ac:dyDescent="0.25">
      <c r="A455" s="21">
        <v>43555</v>
      </c>
      <c r="B455" t="s">
        <v>84</v>
      </c>
      <c r="C455">
        <v>13</v>
      </c>
    </row>
    <row r="456" spans="1:6" x14ac:dyDescent="0.25">
      <c r="A456" s="21">
        <v>43555</v>
      </c>
      <c r="B456" t="s">
        <v>85</v>
      </c>
      <c r="C456">
        <v>14</v>
      </c>
    </row>
    <row r="457" spans="1:6" x14ac:dyDescent="0.25">
      <c r="A457" s="21">
        <v>43555</v>
      </c>
      <c r="B457" t="s">
        <v>86</v>
      </c>
      <c r="C457">
        <v>15</v>
      </c>
    </row>
    <row r="458" spans="1:6" x14ac:dyDescent="0.25">
      <c r="A458" s="21">
        <v>43555</v>
      </c>
      <c r="B458" t="s">
        <v>326</v>
      </c>
      <c r="C458">
        <v>16</v>
      </c>
    </row>
    <row r="459" spans="1:6" x14ac:dyDescent="0.25">
      <c r="A459" s="21">
        <v>43555</v>
      </c>
      <c r="B459" t="s">
        <v>327</v>
      </c>
      <c r="C459">
        <v>17</v>
      </c>
    </row>
    <row r="460" spans="1:6" x14ac:dyDescent="0.25">
      <c r="A460" s="21">
        <v>43555</v>
      </c>
      <c r="B460" t="s">
        <v>328</v>
      </c>
      <c r="C460">
        <v>18</v>
      </c>
    </row>
    <row r="461" spans="1:6" x14ac:dyDescent="0.25">
      <c r="A461" s="21">
        <v>43555</v>
      </c>
      <c r="B461" t="s">
        <v>329</v>
      </c>
      <c r="C461">
        <v>19</v>
      </c>
    </row>
    <row r="462" spans="1:6" x14ac:dyDescent="0.25">
      <c r="A462" s="21">
        <v>43555</v>
      </c>
      <c r="B462" t="s">
        <v>330</v>
      </c>
      <c r="C462">
        <v>20</v>
      </c>
    </row>
    <row r="463" spans="1:6" x14ac:dyDescent="0.25">
      <c r="A463" s="21">
        <v>43555</v>
      </c>
      <c r="B463" t="s">
        <v>331</v>
      </c>
      <c r="C463">
        <v>21</v>
      </c>
    </row>
    <row r="464" spans="1:6" x14ac:dyDescent="0.25">
      <c r="A464" s="21">
        <v>43555</v>
      </c>
      <c r="B464" t="s">
        <v>93</v>
      </c>
      <c r="C464">
        <v>22</v>
      </c>
    </row>
    <row r="465" spans="1:6" x14ac:dyDescent="0.25">
      <c r="A465" s="21">
        <v>43555</v>
      </c>
      <c r="B465" t="s">
        <v>94</v>
      </c>
      <c r="C465">
        <v>23</v>
      </c>
    </row>
    <row r="466" spans="1:6" x14ac:dyDescent="0.25">
      <c r="A466" s="21">
        <v>43555</v>
      </c>
      <c r="B466" t="s">
        <v>95</v>
      </c>
      <c r="C466">
        <v>24</v>
      </c>
    </row>
    <row r="467" spans="1:6" x14ac:dyDescent="0.25">
      <c r="A467" s="21">
        <v>43555</v>
      </c>
      <c r="B467" t="s">
        <v>332</v>
      </c>
      <c r="C467">
        <v>25</v>
      </c>
    </row>
    <row r="468" spans="1:6" x14ac:dyDescent="0.25">
      <c r="A468" s="21">
        <v>43555</v>
      </c>
      <c r="B468" t="s">
        <v>333</v>
      </c>
      <c r="C468">
        <v>26</v>
      </c>
    </row>
    <row r="469" spans="1:6" x14ac:dyDescent="0.25">
      <c r="A469" s="21">
        <v>43555</v>
      </c>
      <c r="B469" t="s">
        <v>334</v>
      </c>
      <c r="C469">
        <v>27</v>
      </c>
    </row>
    <row r="470" spans="1:6" x14ac:dyDescent="0.25">
      <c r="A470" s="21">
        <v>43555</v>
      </c>
      <c r="B470" t="s">
        <v>99</v>
      </c>
      <c r="C470">
        <v>28</v>
      </c>
    </row>
    <row r="471" spans="1:6" x14ac:dyDescent="0.25">
      <c r="A471" s="21">
        <v>43555</v>
      </c>
      <c r="B471" t="s">
        <v>100</v>
      </c>
      <c r="C471">
        <v>29</v>
      </c>
    </row>
    <row r="472" spans="1:6" x14ac:dyDescent="0.25">
      <c r="A472" s="21">
        <v>43555</v>
      </c>
      <c r="B472" t="s">
        <v>101</v>
      </c>
      <c r="C472">
        <v>30</v>
      </c>
    </row>
    <row r="473" spans="1:6" x14ac:dyDescent="0.25">
      <c r="A473" s="21">
        <v>43555</v>
      </c>
      <c r="B473" t="s">
        <v>102</v>
      </c>
      <c r="C473">
        <v>31</v>
      </c>
      <c r="D473" s="69">
        <v>20539.25</v>
      </c>
      <c r="E473" s="110">
        <v>67674.53</v>
      </c>
      <c r="F473" s="69">
        <v>32941.57</v>
      </c>
    </row>
    <row r="474" spans="1:6" x14ac:dyDescent="0.25">
      <c r="A474" s="21">
        <v>43555</v>
      </c>
      <c r="B474" t="s">
        <v>103</v>
      </c>
      <c r="C474">
        <v>32</v>
      </c>
      <c r="D474" s="69">
        <v>451500</v>
      </c>
      <c r="E474" s="110">
        <v>1296276.19</v>
      </c>
      <c r="F474" s="69">
        <v>-148076.78</v>
      </c>
    </row>
    <row r="475" spans="1:6" x14ac:dyDescent="0.25">
      <c r="A475" s="21">
        <v>43555</v>
      </c>
      <c r="B475" t="s">
        <v>104</v>
      </c>
      <c r="C475">
        <v>33</v>
      </c>
      <c r="D475" s="69">
        <v>906838.1</v>
      </c>
      <c r="E475" s="110">
        <v>2813126.76</v>
      </c>
      <c r="F475" s="69">
        <v>1816773.48</v>
      </c>
    </row>
    <row r="476" spans="1:6" x14ac:dyDescent="0.25">
      <c r="A476" s="21">
        <v>43555</v>
      </c>
      <c r="B476" t="s">
        <v>335</v>
      </c>
      <c r="C476">
        <v>34</v>
      </c>
    </row>
    <row r="477" spans="1:6" x14ac:dyDescent="0.25">
      <c r="A477" s="21">
        <v>43555</v>
      </c>
      <c r="B477" t="s">
        <v>106</v>
      </c>
      <c r="C477">
        <v>35</v>
      </c>
    </row>
    <row r="478" spans="1:6" x14ac:dyDescent="0.25">
      <c r="A478" s="21">
        <v>43555</v>
      </c>
      <c r="B478" t="s">
        <v>107</v>
      </c>
      <c r="C478">
        <v>36</v>
      </c>
    </row>
    <row r="479" spans="1:6" x14ac:dyDescent="0.25">
      <c r="A479" s="21">
        <v>43555</v>
      </c>
      <c r="B479" t="s">
        <v>108</v>
      </c>
      <c r="C479">
        <v>37</v>
      </c>
    </row>
    <row r="480" spans="1:6" x14ac:dyDescent="0.25">
      <c r="A480" s="21">
        <v>43555</v>
      </c>
      <c r="B480" t="s">
        <v>109</v>
      </c>
      <c r="C480">
        <v>38</v>
      </c>
      <c r="D480" s="69">
        <v>1348139.08</v>
      </c>
      <c r="E480" s="110">
        <v>5162729.5599999996</v>
      </c>
      <c r="F480" s="69">
        <v>2931105.64</v>
      </c>
    </row>
    <row r="481" spans="1:6" x14ac:dyDescent="0.25">
      <c r="A481" s="21">
        <v>43555</v>
      </c>
      <c r="B481" t="s">
        <v>110</v>
      </c>
      <c r="C481">
        <v>39</v>
      </c>
    </row>
    <row r="482" spans="1:6" x14ac:dyDescent="0.25">
      <c r="A482" s="21">
        <v>43555</v>
      </c>
      <c r="B482" t="s">
        <v>111</v>
      </c>
      <c r="C482">
        <v>40</v>
      </c>
    </row>
    <row r="483" spans="1:6" x14ac:dyDescent="0.25">
      <c r="A483" s="21">
        <v>43555</v>
      </c>
      <c r="B483" t="s">
        <v>112</v>
      </c>
      <c r="C483">
        <v>41</v>
      </c>
      <c r="D483" s="69">
        <v>1348139.08</v>
      </c>
      <c r="E483" s="110">
        <v>5162729.5599999996</v>
      </c>
      <c r="F483" s="69">
        <v>2931105.64</v>
      </c>
    </row>
    <row r="484" spans="1:6" x14ac:dyDescent="0.25">
      <c r="A484" s="21">
        <v>43555</v>
      </c>
      <c r="B484" t="s">
        <v>113</v>
      </c>
      <c r="C484">
        <v>42</v>
      </c>
      <c r="D484" s="69">
        <v>337034.77</v>
      </c>
      <c r="E484" s="110">
        <v>1290682.3999999999</v>
      </c>
    </row>
    <row r="485" spans="1:6" x14ac:dyDescent="0.25">
      <c r="A485" s="21">
        <v>43555</v>
      </c>
      <c r="B485" t="s">
        <v>114</v>
      </c>
      <c r="C485">
        <v>43</v>
      </c>
      <c r="D485" s="69">
        <v>1011104.31</v>
      </c>
      <c r="E485" s="110">
        <v>3872047.16</v>
      </c>
      <c r="F485" s="69">
        <v>2931105.64</v>
      </c>
    </row>
    <row r="486" spans="1:6" x14ac:dyDescent="0.25">
      <c r="A486" s="21">
        <v>43555</v>
      </c>
      <c r="B486" t="s">
        <v>336</v>
      </c>
      <c r="C486">
        <v>44</v>
      </c>
    </row>
    <row r="487" spans="1:6" x14ac:dyDescent="0.25">
      <c r="A487" s="21">
        <v>43555</v>
      </c>
      <c r="B487" t="s">
        <v>337</v>
      </c>
      <c r="C487">
        <v>45</v>
      </c>
    </row>
    <row r="488" spans="1:6" x14ac:dyDescent="0.25">
      <c r="A488" s="21">
        <v>43555</v>
      </c>
      <c r="B488" t="s">
        <v>117</v>
      </c>
      <c r="C488">
        <v>46</v>
      </c>
    </row>
    <row r="489" spans="1:6" x14ac:dyDescent="0.25">
      <c r="A489" s="21">
        <v>43555</v>
      </c>
      <c r="B489" t="s">
        <v>118</v>
      </c>
      <c r="C489">
        <v>47</v>
      </c>
    </row>
    <row r="490" spans="1:6" x14ac:dyDescent="0.25">
      <c r="A490" s="21">
        <v>43555</v>
      </c>
      <c r="B490" t="s">
        <v>119</v>
      </c>
      <c r="C490">
        <v>48</v>
      </c>
    </row>
    <row r="491" spans="1:6" x14ac:dyDescent="0.25">
      <c r="A491" s="21">
        <v>43555</v>
      </c>
      <c r="B491" t="s">
        <v>120</v>
      </c>
      <c r="C491">
        <v>49</v>
      </c>
    </row>
    <row r="492" spans="1:6" x14ac:dyDescent="0.25">
      <c r="A492" s="21">
        <v>43646</v>
      </c>
      <c r="B492" t="s">
        <v>72</v>
      </c>
      <c r="C492">
        <v>1</v>
      </c>
      <c r="D492" s="69">
        <v>2444450.34</v>
      </c>
      <c r="E492" s="110">
        <v>19645181.219999999</v>
      </c>
      <c r="F492" s="69">
        <v>11461621.01</v>
      </c>
    </row>
    <row r="493" spans="1:6" x14ac:dyDescent="0.25">
      <c r="A493" s="21">
        <v>43646</v>
      </c>
      <c r="B493" t="s">
        <v>73</v>
      </c>
      <c r="C493">
        <v>2</v>
      </c>
      <c r="D493">
        <v>0</v>
      </c>
      <c r="E493" s="111">
        <v>0</v>
      </c>
      <c r="F493">
        <v>0</v>
      </c>
    </row>
    <row r="494" spans="1:6" x14ac:dyDescent="0.25">
      <c r="A494" s="21">
        <v>43646</v>
      </c>
      <c r="B494" t="s">
        <v>74</v>
      </c>
      <c r="C494">
        <v>3</v>
      </c>
    </row>
    <row r="495" spans="1:6" x14ac:dyDescent="0.25">
      <c r="A495" s="21">
        <v>43646</v>
      </c>
      <c r="B495" t="s">
        <v>75</v>
      </c>
      <c r="C495">
        <v>4</v>
      </c>
    </row>
    <row r="496" spans="1:6" x14ac:dyDescent="0.25">
      <c r="A496" s="21">
        <v>43646</v>
      </c>
      <c r="B496" t="s">
        <v>76</v>
      </c>
      <c r="C496">
        <v>5</v>
      </c>
    </row>
    <row r="497" spans="1:6" x14ac:dyDescent="0.25">
      <c r="A497" s="21">
        <v>43646</v>
      </c>
      <c r="B497" t="s">
        <v>77</v>
      </c>
      <c r="C497">
        <v>6</v>
      </c>
    </row>
    <row r="498" spans="1:6" x14ac:dyDescent="0.25">
      <c r="A498" s="21">
        <v>43646</v>
      </c>
      <c r="B498" t="s">
        <v>78</v>
      </c>
      <c r="C498">
        <v>7</v>
      </c>
      <c r="D498" s="69">
        <v>2862.79</v>
      </c>
      <c r="E498" s="110">
        <v>3621.73</v>
      </c>
      <c r="F498" s="69">
        <v>3031.1</v>
      </c>
    </row>
    <row r="499" spans="1:6" x14ac:dyDescent="0.25">
      <c r="A499" s="21">
        <v>43646</v>
      </c>
      <c r="B499" t="s">
        <v>79</v>
      </c>
      <c r="C499">
        <v>8</v>
      </c>
    </row>
    <row r="500" spans="1:6" x14ac:dyDescent="0.25">
      <c r="A500" s="21">
        <v>43646</v>
      </c>
      <c r="B500" t="s">
        <v>80</v>
      </c>
      <c r="C500">
        <v>9</v>
      </c>
    </row>
    <row r="501" spans="1:6" x14ac:dyDescent="0.25">
      <c r="A501" s="21">
        <v>43646</v>
      </c>
      <c r="B501" t="s">
        <v>81</v>
      </c>
      <c r="C501">
        <v>10</v>
      </c>
    </row>
    <row r="502" spans="1:6" x14ac:dyDescent="0.25">
      <c r="A502" s="21">
        <v>43646</v>
      </c>
      <c r="B502" t="s">
        <v>82</v>
      </c>
      <c r="C502">
        <v>11</v>
      </c>
      <c r="D502" s="69">
        <v>2441587.5499999998</v>
      </c>
      <c r="E502" s="110">
        <v>19641559.489999998</v>
      </c>
      <c r="F502" s="69">
        <v>11458589.91</v>
      </c>
    </row>
    <row r="503" spans="1:6" x14ac:dyDescent="0.25">
      <c r="A503" s="21">
        <v>43646</v>
      </c>
      <c r="B503" t="s">
        <v>83</v>
      </c>
      <c r="C503">
        <v>12</v>
      </c>
      <c r="D503" s="69">
        <v>548921.93999999994</v>
      </c>
      <c r="E503" s="110">
        <v>7031065.3300000001</v>
      </c>
      <c r="F503" s="69">
        <v>5618964.9299999997</v>
      </c>
    </row>
    <row r="504" spans="1:6" x14ac:dyDescent="0.25">
      <c r="A504" s="21">
        <v>43646</v>
      </c>
      <c r="B504" t="s">
        <v>84</v>
      </c>
      <c r="C504">
        <v>13</v>
      </c>
    </row>
    <row r="505" spans="1:6" x14ac:dyDescent="0.25">
      <c r="A505" s="21">
        <v>43646</v>
      </c>
      <c r="B505" t="s">
        <v>85</v>
      </c>
      <c r="C505">
        <v>14</v>
      </c>
    </row>
    <row r="506" spans="1:6" x14ac:dyDescent="0.25">
      <c r="A506" s="21">
        <v>43646</v>
      </c>
      <c r="B506" t="s">
        <v>86</v>
      </c>
      <c r="C506">
        <v>15</v>
      </c>
    </row>
    <row r="507" spans="1:6" x14ac:dyDescent="0.25">
      <c r="A507" s="21">
        <v>43646</v>
      </c>
      <c r="B507" t="s">
        <v>326</v>
      </c>
      <c r="C507">
        <v>16</v>
      </c>
    </row>
    <row r="508" spans="1:6" x14ac:dyDescent="0.25">
      <c r="A508" s="21">
        <v>43646</v>
      </c>
      <c r="B508" t="s">
        <v>327</v>
      </c>
      <c r="C508">
        <v>17</v>
      </c>
    </row>
    <row r="509" spans="1:6" x14ac:dyDescent="0.25">
      <c r="A509" s="21">
        <v>43646</v>
      </c>
      <c r="B509" t="s">
        <v>328</v>
      </c>
      <c r="C509">
        <v>18</v>
      </c>
    </row>
    <row r="510" spans="1:6" x14ac:dyDescent="0.25">
      <c r="A510" s="21">
        <v>43646</v>
      </c>
      <c r="B510" t="s">
        <v>329</v>
      </c>
      <c r="C510">
        <v>19</v>
      </c>
    </row>
    <row r="511" spans="1:6" x14ac:dyDescent="0.25">
      <c r="A511" s="21">
        <v>43646</v>
      </c>
      <c r="B511" t="s">
        <v>330</v>
      </c>
      <c r="C511">
        <v>20</v>
      </c>
    </row>
    <row r="512" spans="1:6" x14ac:dyDescent="0.25">
      <c r="A512" s="21">
        <v>43646</v>
      </c>
      <c r="B512" t="s">
        <v>331</v>
      </c>
      <c r="C512">
        <v>21</v>
      </c>
    </row>
    <row r="513" spans="1:6" x14ac:dyDescent="0.25">
      <c r="A513" s="21">
        <v>43646</v>
      </c>
      <c r="B513" t="s">
        <v>93</v>
      </c>
      <c r="C513">
        <v>22</v>
      </c>
    </row>
    <row r="514" spans="1:6" x14ac:dyDescent="0.25">
      <c r="A514" s="21">
        <v>43646</v>
      </c>
      <c r="B514" t="s">
        <v>94</v>
      </c>
      <c r="C514">
        <v>23</v>
      </c>
    </row>
    <row r="515" spans="1:6" x14ac:dyDescent="0.25">
      <c r="A515" s="21">
        <v>43646</v>
      </c>
      <c r="B515" t="s">
        <v>95</v>
      </c>
      <c r="C515">
        <v>24</v>
      </c>
    </row>
    <row r="516" spans="1:6" x14ac:dyDescent="0.25">
      <c r="A516" s="21">
        <v>43646</v>
      </c>
      <c r="B516" t="s">
        <v>332</v>
      </c>
      <c r="C516">
        <v>25</v>
      </c>
    </row>
    <row r="517" spans="1:6" x14ac:dyDescent="0.25">
      <c r="A517" s="21">
        <v>43646</v>
      </c>
      <c r="B517" t="s">
        <v>333</v>
      </c>
      <c r="C517">
        <v>26</v>
      </c>
    </row>
    <row r="518" spans="1:6" x14ac:dyDescent="0.25">
      <c r="A518" s="21">
        <v>43646</v>
      </c>
      <c r="B518" t="s">
        <v>334</v>
      </c>
      <c r="C518">
        <v>27</v>
      </c>
    </row>
    <row r="519" spans="1:6" x14ac:dyDescent="0.25">
      <c r="A519" s="21">
        <v>43646</v>
      </c>
      <c r="B519" t="s">
        <v>99</v>
      </c>
      <c r="C519">
        <v>28</v>
      </c>
    </row>
    <row r="520" spans="1:6" x14ac:dyDescent="0.25">
      <c r="A520" s="21">
        <v>43646</v>
      </c>
      <c r="B520" t="s">
        <v>100</v>
      </c>
      <c r="C520">
        <v>29</v>
      </c>
    </row>
    <row r="521" spans="1:6" x14ac:dyDescent="0.25">
      <c r="A521" s="21">
        <v>43646</v>
      </c>
      <c r="B521" t="s">
        <v>101</v>
      </c>
      <c r="C521">
        <v>30</v>
      </c>
    </row>
    <row r="522" spans="1:6" x14ac:dyDescent="0.25">
      <c r="A522" s="21">
        <v>43646</v>
      </c>
      <c r="B522" t="s">
        <v>102</v>
      </c>
      <c r="C522">
        <v>31</v>
      </c>
      <c r="D522" s="69">
        <v>13793.74</v>
      </c>
      <c r="E522" s="110">
        <v>140953.16</v>
      </c>
      <c r="F522" s="69">
        <v>77382.19</v>
      </c>
    </row>
    <row r="523" spans="1:6" x14ac:dyDescent="0.25">
      <c r="A523" s="21">
        <v>43646</v>
      </c>
      <c r="B523" t="s">
        <v>103</v>
      </c>
      <c r="C523">
        <v>32</v>
      </c>
      <c r="D523" s="69">
        <v>-542986.34</v>
      </c>
      <c r="E523" s="110">
        <v>1455667.21</v>
      </c>
      <c r="F523" s="69">
        <v>1205448.6399999999</v>
      </c>
    </row>
    <row r="524" spans="1:6" x14ac:dyDescent="0.25">
      <c r="A524" s="21">
        <v>43646</v>
      </c>
      <c r="B524" t="s">
        <v>104</v>
      </c>
      <c r="C524">
        <v>33</v>
      </c>
      <c r="D524" s="69">
        <v>1078114.54</v>
      </c>
      <c r="E524" s="110">
        <v>5434444.96</v>
      </c>
      <c r="F524" s="69">
        <v>4336134.0999999996</v>
      </c>
    </row>
    <row r="525" spans="1:6" x14ac:dyDescent="0.25">
      <c r="A525" s="21">
        <v>43646</v>
      </c>
      <c r="B525" t="s">
        <v>335</v>
      </c>
      <c r="C525">
        <v>34</v>
      </c>
    </row>
    <row r="526" spans="1:6" x14ac:dyDescent="0.25">
      <c r="A526" s="21">
        <v>43646</v>
      </c>
      <c r="B526" t="s">
        <v>106</v>
      </c>
      <c r="C526">
        <v>35</v>
      </c>
    </row>
    <row r="527" spans="1:6" x14ac:dyDescent="0.25">
      <c r="A527" s="21">
        <v>43646</v>
      </c>
      <c r="B527" t="s">
        <v>107</v>
      </c>
      <c r="C527">
        <v>36</v>
      </c>
    </row>
    <row r="528" spans="1:6" x14ac:dyDescent="0.25">
      <c r="A528" s="21">
        <v>43646</v>
      </c>
      <c r="B528" t="s">
        <v>108</v>
      </c>
      <c r="C528">
        <v>37</v>
      </c>
    </row>
    <row r="529" spans="1:6" x14ac:dyDescent="0.25">
      <c r="A529" s="21">
        <v>43646</v>
      </c>
      <c r="B529" t="s">
        <v>109</v>
      </c>
      <c r="C529">
        <v>38</v>
      </c>
      <c r="D529" s="69">
        <v>1895528.4</v>
      </c>
      <c r="E529" s="110">
        <v>12614115.890000001</v>
      </c>
      <c r="F529" s="69">
        <v>5842656.0800000001</v>
      </c>
    </row>
    <row r="530" spans="1:6" x14ac:dyDescent="0.25">
      <c r="A530" s="21">
        <v>43646</v>
      </c>
      <c r="B530" t="s">
        <v>110</v>
      </c>
      <c r="C530">
        <v>39</v>
      </c>
    </row>
    <row r="531" spans="1:6" x14ac:dyDescent="0.25">
      <c r="A531" s="21">
        <v>43646</v>
      </c>
      <c r="B531" t="s">
        <v>111</v>
      </c>
      <c r="C531">
        <v>40</v>
      </c>
    </row>
    <row r="532" spans="1:6" x14ac:dyDescent="0.25">
      <c r="A532" s="21">
        <v>43646</v>
      </c>
      <c r="B532" t="s">
        <v>112</v>
      </c>
      <c r="C532">
        <v>41</v>
      </c>
      <c r="D532" s="69">
        <v>1895528.4</v>
      </c>
      <c r="E532" s="110">
        <v>12614115.890000001</v>
      </c>
      <c r="F532" s="69">
        <v>5842656.0800000001</v>
      </c>
    </row>
    <row r="533" spans="1:6" x14ac:dyDescent="0.25">
      <c r="A533" s="21">
        <v>43646</v>
      </c>
      <c r="B533" t="s">
        <v>113</v>
      </c>
      <c r="C533">
        <v>42</v>
      </c>
      <c r="D533" s="69">
        <v>473882.1</v>
      </c>
      <c r="E533" s="110">
        <v>2203374.5499999998</v>
      </c>
    </row>
    <row r="534" spans="1:6" x14ac:dyDescent="0.25">
      <c r="A534" s="21">
        <v>43646</v>
      </c>
      <c r="B534" t="s">
        <v>114</v>
      </c>
      <c r="C534">
        <v>43</v>
      </c>
      <c r="D534" s="69">
        <v>1421646.3</v>
      </c>
      <c r="E534" s="110">
        <v>10410741.34</v>
      </c>
      <c r="F534" s="69">
        <v>5842656.0800000001</v>
      </c>
    </row>
    <row r="535" spans="1:6" x14ac:dyDescent="0.25">
      <c r="A535" s="21">
        <v>43646</v>
      </c>
      <c r="B535" t="s">
        <v>336</v>
      </c>
      <c r="C535">
        <v>44</v>
      </c>
    </row>
    <row r="536" spans="1:6" x14ac:dyDescent="0.25">
      <c r="A536" s="21">
        <v>43646</v>
      </c>
      <c r="B536" t="s">
        <v>337</v>
      </c>
      <c r="C536">
        <v>45</v>
      </c>
    </row>
    <row r="537" spans="1:6" x14ac:dyDescent="0.25">
      <c r="A537" s="21">
        <v>43646</v>
      </c>
      <c r="B537" t="s">
        <v>117</v>
      </c>
      <c r="C537">
        <v>46</v>
      </c>
    </row>
    <row r="538" spans="1:6" x14ac:dyDescent="0.25">
      <c r="A538" s="21">
        <v>43646</v>
      </c>
      <c r="B538" t="s">
        <v>118</v>
      </c>
      <c r="C538">
        <v>47</v>
      </c>
    </row>
    <row r="539" spans="1:6" x14ac:dyDescent="0.25">
      <c r="A539" s="21">
        <v>43646</v>
      </c>
      <c r="B539" t="s">
        <v>119</v>
      </c>
      <c r="C539">
        <v>48</v>
      </c>
    </row>
    <row r="540" spans="1:6" x14ac:dyDescent="0.25">
      <c r="A540" s="21">
        <v>43646</v>
      </c>
      <c r="B540" t="s">
        <v>120</v>
      </c>
      <c r="C540">
        <v>49</v>
      </c>
    </row>
    <row r="541" spans="1:6" x14ac:dyDescent="0.25">
      <c r="A541" s="21">
        <v>43830</v>
      </c>
      <c r="B541" t="s">
        <v>72</v>
      </c>
      <c r="C541">
        <v>1</v>
      </c>
      <c r="D541" s="69">
        <v>8704443.3399999999</v>
      </c>
      <c r="E541" s="110">
        <v>45983891.329999998</v>
      </c>
      <c r="F541" s="69">
        <v>27038070.289999999</v>
      </c>
    </row>
    <row r="542" spans="1:6" x14ac:dyDescent="0.25">
      <c r="A542" s="21">
        <v>43830</v>
      </c>
      <c r="B542" t="s">
        <v>73</v>
      </c>
      <c r="C542">
        <v>2</v>
      </c>
      <c r="D542">
        <v>0</v>
      </c>
      <c r="E542" s="111">
        <v>0</v>
      </c>
      <c r="F542">
        <v>0</v>
      </c>
    </row>
    <row r="543" spans="1:6" x14ac:dyDescent="0.25">
      <c r="A543" s="21">
        <v>43830</v>
      </c>
      <c r="B543" t="s">
        <v>74</v>
      </c>
      <c r="C543">
        <v>3</v>
      </c>
    </row>
    <row r="544" spans="1:6" x14ac:dyDescent="0.25">
      <c r="A544" s="21">
        <v>43830</v>
      </c>
      <c r="B544" t="s">
        <v>75</v>
      </c>
      <c r="C544">
        <v>4</v>
      </c>
    </row>
    <row r="545" spans="1:6" x14ac:dyDescent="0.25">
      <c r="A545" s="21">
        <v>43830</v>
      </c>
      <c r="B545" t="s">
        <v>76</v>
      </c>
      <c r="C545">
        <v>5</v>
      </c>
    </row>
    <row r="546" spans="1:6" x14ac:dyDescent="0.25">
      <c r="A546" s="21">
        <v>43830</v>
      </c>
      <c r="B546" t="s">
        <v>77</v>
      </c>
      <c r="C546">
        <v>6</v>
      </c>
    </row>
    <row r="547" spans="1:6" x14ac:dyDescent="0.25">
      <c r="A547" s="21">
        <v>43830</v>
      </c>
      <c r="B547" t="s">
        <v>78</v>
      </c>
      <c r="C547">
        <v>7</v>
      </c>
      <c r="E547" s="110">
        <v>6753.44</v>
      </c>
      <c r="F547" s="69">
        <v>4533.96</v>
      </c>
    </row>
    <row r="548" spans="1:6" x14ac:dyDescent="0.25">
      <c r="A548" s="21">
        <v>43830</v>
      </c>
      <c r="B548" t="s">
        <v>79</v>
      </c>
      <c r="C548">
        <v>8</v>
      </c>
    </row>
    <row r="549" spans="1:6" x14ac:dyDescent="0.25">
      <c r="A549" s="21">
        <v>43830</v>
      </c>
      <c r="B549" t="s">
        <v>80</v>
      </c>
      <c r="C549">
        <v>9</v>
      </c>
    </row>
    <row r="550" spans="1:6" x14ac:dyDescent="0.25">
      <c r="A550" s="21">
        <v>43830</v>
      </c>
      <c r="B550" t="s">
        <v>81</v>
      </c>
      <c r="C550">
        <v>10</v>
      </c>
    </row>
    <row r="551" spans="1:6" x14ac:dyDescent="0.25">
      <c r="A551" s="21">
        <v>43830</v>
      </c>
      <c r="B551" t="s">
        <v>82</v>
      </c>
      <c r="C551">
        <v>11</v>
      </c>
      <c r="D551" s="69">
        <v>8704443.3399999999</v>
      </c>
      <c r="E551" s="110">
        <v>45977137.890000001</v>
      </c>
      <c r="F551" s="69">
        <v>27033536.329999998</v>
      </c>
    </row>
    <row r="552" spans="1:6" x14ac:dyDescent="0.25">
      <c r="A552" s="21">
        <v>43830</v>
      </c>
      <c r="B552" t="s">
        <v>83</v>
      </c>
      <c r="C552">
        <v>12</v>
      </c>
      <c r="D552" s="69">
        <v>46203.83</v>
      </c>
      <c r="E552" s="110">
        <v>18101727.370000001</v>
      </c>
      <c r="F552" s="69">
        <v>13593265.119999999</v>
      </c>
    </row>
    <row r="553" spans="1:6" x14ac:dyDescent="0.25">
      <c r="A553" s="21">
        <v>43830</v>
      </c>
      <c r="B553" t="s">
        <v>84</v>
      </c>
      <c r="C553">
        <v>13</v>
      </c>
    </row>
    <row r="554" spans="1:6" x14ac:dyDescent="0.25">
      <c r="A554" s="21">
        <v>43830</v>
      </c>
      <c r="B554" t="s">
        <v>85</v>
      </c>
      <c r="C554">
        <v>14</v>
      </c>
    </row>
    <row r="555" spans="1:6" x14ac:dyDescent="0.25">
      <c r="A555" s="21">
        <v>43830</v>
      </c>
      <c r="B555" t="s">
        <v>86</v>
      </c>
      <c r="C555">
        <v>15</v>
      </c>
    </row>
    <row r="556" spans="1:6" x14ac:dyDescent="0.25">
      <c r="A556" s="21">
        <v>43830</v>
      </c>
      <c r="B556" t="s">
        <v>326</v>
      </c>
      <c r="C556">
        <v>16</v>
      </c>
    </row>
    <row r="557" spans="1:6" x14ac:dyDescent="0.25">
      <c r="A557" s="21">
        <v>43830</v>
      </c>
      <c r="B557" t="s">
        <v>327</v>
      </c>
      <c r="C557">
        <v>17</v>
      </c>
    </row>
    <row r="558" spans="1:6" x14ac:dyDescent="0.25">
      <c r="A558" s="21">
        <v>43830</v>
      </c>
      <c r="B558" t="s">
        <v>328</v>
      </c>
      <c r="C558">
        <v>18</v>
      </c>
    </row>
    <row r="559" spans="1:6" x14ac:dyDescent="0.25">
      <c r="A559" s="21">
        <v>43830</v>
      </c>
      <c r="B559" t="s">
        <v>329</v>
      </c>
      <c r="C559">
        <v>19</v>
      </c>
    </row>
    <row r="560" spans="1:6" x14ac:dyDescent="0.25">
      <c r="A560" s="21">
        <v>43830</v>
      </c>
      <c r="B560" t="s">
        <v>330</v>
      </c>
      <c r="C560">
        <v>20</v>
      </c>
    </row>
    <row r="561" spans="1:6" x14ac:dyDescent="0.25">
      <c r="A561" s="21">
        <v>43830</v>
      </c>
      <c r="B561" t="s">
        <v>331</v>
      </c>
      <c r="C561">
        <v>21</v>
      </c>
    </row>
    <row r="562" spans="1:6" x14ac:dyDescent="0.25">
      <c r="A562" s="21">
        <v>43830</v>
      </c>
      <c r="B562" t="s">
        <v>93</v>
      </c>
      <c r="C562">
        <v>22</v>
      </c>
    </row>
    <row r="563" spans="1:6" x14ac:dyDescent="0.25">
      <c r="A563" s="21">
        <v>43830</v>
      </c>
      <c r="B563" t="s">
        <v>94</v>
      </c>
      <c r="C563">
        <v>23</v>
      </c>
    </row>
    <row r="564" spans="1:6" x14ac:dyDescent="0.25">
      <c r="A564" s="21">
        <v>43830</v>
      </c>
      <c r="B564" t="s">
        <v>95</v>
      </c>
      <c r="C564">
        <v>24</v>
      </c>
    </row>
    <row r="565" spans="1:6" x14ac:dyDescent="0.25">
      <c r="A565" s="21">
        <v>43830</v>
      </c>
      <c r="B565" t="s">
        <v>332</v>
      </c>
      <c r="C565">
        <v>25</v>
      </c>
    </row>
    <row r="566" spans="1:6" x14ac:dyDescent="0.25">
      <c r="A566" s="21">
        <v>43830</v>
      </c>
      <c r="B566" t="s">
        <v>333</v>
      </c>
      <c r="C566">
        <v>26</v>
      </c>
    </row>
    <row r="567" spans="1:6" x14ac:dyDescent="0.25">
      <c r="A567" s="21">
        <v>43830</v>
      </c>
      <c r="B567" t="s">
        <v>334</v>
      </c>
      <c r="C567">
        <v>27</v>
      </c>
    </row>
    <row r="568" spans="1:6" x14ac:dyDescent="0.25">
      <c r="A568" s="21">
        <v>43830</v>
      </c>
      <c r="B568" t="s">
        <v>99</v>
      </c>
      <c r="C568">
        <v>28</v>
      </c>
    </row>
    <row r="569" spans="1:6" x14ac:dyDescent="0.25">
      <c r="A569" s="21">
        <v>43830</v>
      </c>
      <c r="B569" t="s">
        <v>100</v>
      </c>
      <c r="C569">
        <v>29</v>
      </c>
    </row>
    <row r="570" spans="1:6" x14ac:dyDescent="0.25">
      <c r="A570" s="21">
        <v>43830</v>
      </c>
      <c r="B570" t="s">
        <v>101</v>
      </c>
      <c r="C570">
        <v>30</v>
      </c>
    </row>
    <row r="571" spans="1:6" x14ac:dyDescent="0.25">
      <c r="A571" s="21">
        <v>43830</v>
      </c>
      <c r="B571" t="s">
        <v>102</v>
      </c>
      <c r="C571">
        <v>31</v>
      </c>
      <c r="D571" s="69">
        <v>66153.75</v>
      </c>
      <c r="E571" s="110">
        <v>328693.74</v>
      </c>
      <c r="F571" s="69">
        <v>179829.49</v>
      </c>
    </row>
    <row r="572" spans="1:6" x14ac:dyDescent="0.25">
      <c r="A572" s="21">
        <v>43830</v>
      </c>
      <c r="B572" t="s">
        <v>103</v>
      </c>
      <c r="C572">
        <v>32</v>
      </c>
      <c r="E572" s="110">
        <v>2670438.34</v>
      </c>
      <c r="F572" s="69">
        <v>2026167.42</v>
      </c>
    </row>
    <row r="573" spans="1:6" x14ac:dyDescent="0.25">
      <c r="A573" s="21">
        <v>43830</v>
      </c>
      <c r="B573" t="s">
        <v>104</v>
      </c>
      <c r="C573">
        <v>33</v>
      </c>
      <c r="D573" s="69">
        <v>-19949.919999999998</v>
      </c>
      <c r="E573" s="110">
        <v>15102595.289999999</v>
      </c>
      <c r="F573" s="69">
        <v>11387268.210000001</v>
      </c>
    </row>
    <row r="574" spans="1:6" x14ac:dyDescent="0.25">
      <c r="A574" s="21">
        <v>43830</v>
      </c>
      <c r="B574" t="s">
        <v>335</v>
      </c>
      <c r="C574">
        <v>34</v>
      </c>
    </row>
    <row r="575" spans="1:6" x14ac:dyDescent="0.25">
      <c r="A575" s="21">
        <v>43830</v>
      </c>
      <c r="B575" t="s">
        <v>106</v>
      </c>
      <c r="C575">
        <v>35</v>
      </c>
    </row>
    <row r="576" spans="1:6" x14ac:dyDescent="0.25">
      <c r="A576" s="21">
        <v>43830</v>
      </c>
      <c r="B576" t="s">
        <v>107</v>
      </c>
      <c r="C576">
        <v>36</v>
      </c>
    </row>
    <row r="577" spans="1:6" x14ac:dyDescent="0.25">
      <c r="A577" s="21">
        <v>43830</v>
      </c>
      <c r="B577" t="s">
        <v>108</v>
      </c>
      <c r="C577">
        <v>37</v>
      </c>
    </row>
    <row r="578" spans="1:6" x14ac:dyDescent="0.25">
      <c r="A578" s="21">
        <v>43830</v>
      </c>
      <c r="B578" t="s">
        <v>109</v>
      </c>
      <c r="C578">
        <v>38</v>
      </c>
      <c r="D578" s="69">
        <v>8658239.5099999998</v>
      </c>
      <c r="E578" s="110">
        <v>27882163.960000001</v>
      </c>
      <c r="F578" s="69">
        <v>13444805.17</v>
      </c>
    </row>
    <row r="579" spans="1:6" x14ac:dyDescent="0.25">
      <c r="A579" s="21">
        <v>43830</v>
      </c>
      <c r="B579" t="s">
        <v>110</v>
      </c>
      <c r="C579">
        <v>39</v>
      </c>
      <c r="E579" s="110">
        <v>2000</v>
      </c>
      <c r="F579" s="69">
        <v>10000</v>
      </c>
    </row>
    <row r="580" spans="1:6" x14ac:dyDescent="0.25">
      <c r="A580" s="21">
        <v>43830</v>
      </c>
      <c r="B580" t="s">
        <v>111</v>
      </c>
      <c r="C580">
        <v>40</v>
      </c>
    </row>
    <row r="581" spans="1:6" x14ac:dyDescent="0.25">
      <c r="A581" s="21">
        <v>43830</v>
      </c>
      <c r="B581" t="s">
        <v>112</v>
      </c>
      <c r="C581">
        <v>41</v>
      </c>
      <c r="D581" s="69">
        <v>8658239.5099999998</v>
      </c>
      <c r="E581" s="110">
        <v>27884163.960000001</v>
      </c>
      <c r="F581" s="69">
        <v>13454805.17</v>
      </c>
    </row>
    <row r="582" spans="1:6" x14ac:dyDescent="0.25">
      <c r="A582" s="21">
        <v>43830</v>
      </c>
      <c r="B582" t="s">
        <v>113</v>
      </c>
      <c r="C582">
        <v>42</v>
      </c>
      <c r="D582" s="69">
        <v>2164559.88</v>
      </c>
      <c r="E582" s="110">
        <v>6020886.5800000001</v>
      </c>
      <c r="F582" s="69">
        <v>469463.11</v>
      </c>
    </row>
    <row r="583" spans="1:6" x14ac:dyDescent="0.25">
      <c r="A583" s="21">
        <v>43830</v>
      </c>
      <c r="B583" t="s">
        <v>114</v>
      </c>
      <c r="C583">
        <v>43</v>
      </c>
      <c r="D583" s="69">
        <v>6493679.6299999999</v>
      </c>
      <c r="E583" s="110">
        <v>21863277.379999999</v>
      </c>
      <c r="F583" s="69">
        <v>12985342.060000001</v>
      </c>
    </row>
    <row r="584" spans="1:6" x14ac:dyDescent="0.25">
      <c r="A584" s="21">
        <v>43830</v>
      </c>
      <c r="B584" t="s">
        <v>336</v>
      </c>
      <c r="C584">
        <v>44</v>
      </c>
    </row>
    <row r="585" spans="1:6" x14ac:dyDescent="0.25">
      <c r="A585" s="21">
        <v>43830</v>
      </c>
      <c r="B585" t="s">
        <v>337</v>
      </c>
      <c r="C585">
        <v>45</v>
      </c>
    </row>
    <row r="586" spans="1:6" x14ac:dyDescent="0.25">
      <c r="A586" s="21">
        <v>43830</v>
      </c>
      <c r="B586" t="s">
        <v>117</v>
      </c>
      <c r="C586">
        <v>46</v>
      </c>
    </row>
    <row r="587" spans="1:6" x14ac:dyDescent="0.25">
      <c r="A587" s="21">
        <v>43830</v>
      </c>
      <c r="B587" t="s">
        <v>118</v>
      </c>
      <c r="C587">
        <v>47</v>
      </c>
    </row>
    <row r="588" spans="1:6" x14ac:dyDescent="0.25">
      <c r="A588" s="21">
        <v>43830</v>
      </c>
      <c r="B588" t="s">
        <v>119</v>
      </c>
      <c r="C588">
        <v>48</v>
      </c>
    </row>
    <row r="589" spans="1:6" x14ac:dyDescent="0.25">
      <c r="A589" s="21">
        <v>43830</v>
      </c>
      <c r="B589" t="s">
        <v>120</v>
      </c>
      <c r="C589">
        <v>49</v>
      </c>
    </row>
    <row r="590" spans="1:6" x14ac:dyDescent="0.25">
      <c r="A590" s="21">
        <v>43921</v>
      </c>
      <c r="B590" t="s">
        <v>72</v>
      </c>
      <c r="C590">
        <v>1</v>
      </c>
      <c r="D590">
        <v>2906986.3299999996</v>
      </c>
      <c r="E590" s="111">
        <v>10144130.200000001</v>
      </c>
      <c r="F590">
        <v>9339807.0399999991</v>
      </c>
    </row>
    <row r="591" spans="1:6" x14ac:dyDescent="0.25">
      <c r="A591" s="21">
        <v>43921</v>
      </c>
      <c r="B591" t="s">
        <v>73</v>
      </c>
      <c r="C591">
        <v>2</v>
      </c>
      <c r="D591">
        <v>0</v>
      </c>
      <c r="E591" s="111">
        <v>0</v>
      </c>
      <c r="F591">
        <v>0</v>
      </c>
    </row>
    <row r="592" spans="1:6" x14ac:dyDescent="0.25">
      <c r="A592" s="21">
        <v>43921</v>
      </c>
      <c r="B592" t="s">
        <v>74</v>
      </c>
      <c r="C592">
        <v>3</v>
      </c>
    </row>
    <row r="593" spans="1:6" x14ac:dyDescent="0.25">
      <c r="A593" s="21">
        <v>43921</v>
      </c>
      <c r="B593" t="s">
        <v>75</v>
      </c>
      <c r="C593">
        <v>4</v>
      </c>
    </row>
    <row r="594" spans="1:6" x14ac:dyDescent="0.25">
      <c r="A594" s="21">
        <v>43921</v>
      </c>
      <c r="B594" t="s">
        <v>76</v>
      </c>
      <c r="C594">
        <v>5</v>
      </c>
    </row>
    <row r="595" spans="1:6" x14ac:dyDescent="0.25">
      <c r="A595" s="21">
        <v>43921</v>
      </c>
      <c r="B595" t="s">
        <v>77</v>
      </c>
      <c r="C595">
        <v>6</v>
      </c>
    </row>
    <row r="596" spans="1:6" x14ac:dyDescent="0.25">
      <c r="A596" s="21">
        <v>43921</v>
      </c>
      <c r="B596" t="s">
        <v>78</v>
      </c>
      <c r="C596">
        <v>7</v>
      </c>
      <c r="D596">
        <v>1028.07</v>
      </c>
      <c r="E596" s="111">
        <v>1028.07</v>
      </c>
      <c r="F596">
        <v>758.94</v>
      </c>
    </row>
    <row r="597" spans="1:6" x14ac:dyDescent="0.25">
      <c r="A597" s="21">
        <v>43921</v>
      </c>
      <c r="B597" t="s">
        <v>79</v>
      </c>
      <c r="C597">
        <v>8</v>
      </c>
    </row>
    <row r="598" spans="1:6" x14ac:dyDescent="0.25">
      <c r="A598" s="21">
        <v>43921</v>
      </c>
      <c r="B598" t="s">
        <v>80</v>
      </c>
      <c r="C598">
        <v>9</v>
      </c>
    </row>
    <row r="599" spans="1:6" x14ac:dyDescent="0.25">
      <c r="A599" s="21">
        <v>43921</v>
      </c>
      <c r="B599" t="s">
        <v>81</v>
      </c>
      <c r="C599">
        <v>10</v>
      </c>
    </row>
    <row r="600" spans="1:6" x14ac:dyDescent="0.25">
      <c r="A600" s="21">
        <v>43921</v>
      </c>
      <c r="B600" t="s">
        <v>82</v>
      </c>
      <c r="C600">
        <v>11</v>
      </c>
      <c r="D600">
        <v>2905958.26</v>
      </c>
      <c r="E600" s="111">
        <v>10143102.130000001</v>
      </c>
      <c r="F600">
        <v>9339048.0999999996</v>
      </c>
    </row>
    <row r="601" spans="1:6" x14ac:dyDescent="0.25">
      <c r="A601" s="21">
        <v>43921</v>
      </c>
      <c r="B601" t="s">
        <v>83</v>
      </c>
      <c r="C601">
        <v>12</v>
      </c>
      <c r="D601">
        <v>1186483.42</v>
      </c>
      <c r="E601" s="111">
        <v>3541676.9000000004</v>
      </c>
      <c r="F601">
        <v>4177077.4799999995</v>
      </c>
    </row>
    <row r="602" spans="1:6" x14ac:dyDescent="0.25">
      <c r="A602" s="21">
        <v>43921</v>
      </c>
      <c r="B602" t="s">
        <v>84</v>
      </c>
      <c r="C602">
        <v>13</v>
      </c>
    </row>
    <row r="603" spans="1:6" x14ac:dyDescent="0.25">
      <c r="A603" s="21">
        <v>43921</v>
      </c>
      <c r="B603" t="s">
        <v>85</v>
      </c>
      <c r="C603">
        <v>14</v>
      </c>
    </row>
    <row r="604" spans="1:6" x14ac:dyDescent="0.25">
      <c r="A604" s="21">
        <v>43921</v>
      </c>
      <c r="B604" t="s">
        <v>86</v>
      </c>
      <c r="C604">
        <v>15</v>
      </c>
    </row>
    <row r="605" spans="1:6" x14ac:dyDescent="0.25">
      <c r="A605" s="21">
        <v>43921</v>
      </c>
      <c r="B605" t="s">
        <v>326</v>
      </c>
      <c r="C605">
        <v>16</v>
      </c>
    </row>
    <row r="606" spans="1:6" x14ac:dyDescent="0.25">
      <c r="A606" s="21">
        <v>43921</v>
      </c>
      <c r="B606" t="s">
        <v>327</v>
      </c>
      <c r="C606">
        <v>17</v>
      </c>
    </row>
    <row r="607" spans="1:6" x14ac:dyDescent="0.25">
      <c r="A607" s="21">
        <v>43921</v>
      </c>
      <c r="B607" t="s">
        <v>328</v>
      </c>
      <c r="C607">
        <v>18</v>
      </c>
    </row>
    <row r="608" spans="1:6" x14ac:dyDescent="0.25">
      <c r="A608" s="21">
        <v>43921</v>
      </c>
      <c r="B608" t="s">
        <v>329</v>
      </c>
      <c r="C608">
        <v>19</v>
      </c>
    </row>
    <row r="609" spans="1:6" x14ac:dyDescent="0.25">
      <c r="A609" s="21">
        <v>43921</v>
      </c>
      <c r="B609" t="s">
        <v>330</v>
      </c>
      <c r="C609">
        <v>20</v>
      </c>
    </row>
    <row r="610" spans="1:6" x14ac:dyDescent="0.25">
      <c r="A610" s="21">
        <v>43921</v>
      </c>
      <c r="B610" t="s">
        <v>331</v>
      </c>
      <c r="C610">
        <v>21</v>
      </c>
    </row>
    <row r="611" spans="1:6" x14ac:dyDescent="0.25">
      <c r="A611" s="21">
        <v>43921</v>
      </c>
      <c r="B611" t="s">
        <v>93</v>
      </c>
      <c r="C611">
        <v>22</v>
      </c>
    </row>
    <row r="612" spans="1:6" x14ac:dyDescent="0.25">
      <c r="A612" s="21">
        <v>43921</v>
      </c>
      <c r="B612" t="s">
        <v>94</v>
      </c>
      <c r="C612">
        <v>23</v>
      </c>
    </row>
    <row r="613" spans="1:6" x14ac:dyDescent="0.25">
      <c r="A613" s="21">
        <v>43921</v>
      </c>
      <c r="B613" t="s">
        <v>95</v>
      </c>
      <c r="C613">
        <v>24</v>
      </c>
    </row>
    <row r="614" spans="1:6" x14ac:dyDescent="0.25">
      <c r="A614" s="21">
        <v>43921</v>
      </c>
      <c r="B614" t="s">
        <v>332</v>
      </c>
      <c r="C614">
        <v>25</v>
      </c>
    </row>
    <row r="615" spans="1:6" x14ac:dyDescent="0.25">
      <c r="A615" s="21">
        <v>43921</v>
      </c>
      <c r="B615" t="s">
        <v>333</v>
      </c>
      <c r="C615">
        <v>26</v>
      </c>
    </row>
    <row r="616" spans="1:6" x14ac:dyDescent="0.25">
      <c r="A616" s="21">
        <v>43921</v>
      </c>
      <c r="B616" t="s">
        <v>334</v>
      </c>
      <c r="C616">
        <v>27</v>
      </c>
    </row>
    <row r="617" spans="1:6" x14ac:dyDescent="0.25">
      <c r="A617" s="21">
        <v>43921</v>
      </c>
      <c r="B617" t="s">
        <v>99</v>
      </c>
      <c r="C617">
        <v>28</v>
      </c>
    </row>
    <row r="618" spans="1:6" x14ac:dyDescent="0.25">
      <c r="A618" s="21">
        <v>43921</v>
      </c>
      <c r="B618" t="s">
        <v>100</v>
      </c>
      <c r="C618">
        <v>29</v>
      </c>
    </row>
    <row r="619" spans="1:6" x14ac:dyDescent="0.25">
      <c r="A619" s="21">
        <v>43921</v>
      </c>
      <c r="B619" t="s">
        <v>101</v>
      </c>
      <c r="C619">
        <v>30</v>
      </c>
    </row>
    <row r="620" spans="1:6" x14ac:dyDescent="0.25">
      <c r="A620" s="21">
        <v>43921</v>
      </c>
      <c r="B620" t="s">
        <v>102</v>
      </c>
      <c r="C620">
        <v>31</v>
      </c>
      <c r="D620">
        <v>17204.73</v>
      </c>
      <c r="E620" s="111">
        <v>72120.800000000003</v>
      </c>
      <c r="F620">
        <v>67674.53</v>
      </c>
    </row>
    <row r="621" spans="1:6" x14ac:dyDescent="0.25">
      <c r="A621" s="21">
        <v>43921</v>
      </c>
      <c r="B621" t="s">
        <v>103</v>
      </c>
      <c r="C621">
        <v>32</v>
      </c>
      <c r="D621">
        <v>341192.88</v>
      </c>
      <c r="E621" s="111">
        <v>1095192.8799999999</v>
      </c>
      <c r="F621">
        <v>1296276.19</v>
      </c>
    </row>
    <row r="622" spans="1:6" x14ac:dyDescent="0.25">
      <c r="A622" s="21">
        <v>43921</v>
      </c>
      <c r="B622" t="s">
        <v>104</v>
      </c>
      <c r="C622">
        <v>33</v>
      </c>
      <c r="D622">
        <v>828085.81</v>
      </c>
      <c r="E622" s="111">
        <v>2374363.2200000002</v>
      </c>
      <c r="F622">
        <v>2813126.76</v>
      </c>
    </row>
    <row r="623" spans="1:6" x14ac:dyDescent="0.25">
      <c r="A623" s="21">
        <v>43921</v>
      </c>
      <c r="B623" t="s">
        <v>335</v>
      </c>
      <c r="C623">
        <v>34</v>
      </c>
    </row>
    <row r="624" spans="1:6" x14ac:dyDescent="0.25">
      <c r="A624" s="21">
        <v>43921</v>
      </c>
      <c r="B624" t="s">
        <v>106</v>
      </c>
      <c r="C624">
        <v>35</v>
      </c>
    </row>
    <row r="625" spans="1:6" x14ac:dyDescent="0.25">
      <c r="A625" s="21">
        <v>43921</v>
      </c>
      <c r="B625" t="s">
        <v>107</v>
      </c>
      <c r="C625">
        <v>36</v>
      </c>
    </row>
    <row r="626" spans="1:6" x14ac:dyDescent="0.25">
      <c r="A626" s="21">
        <v>43921</v>
      </c>
      <c r="B626" t="s">
        <v>108</v>
      </c>
      <c r="C626">
        <v>37</v>
      </c>
    </row>
    <row r="627" spans="1:6" x14ac:dyDescent="0.25">
      <c r="A627" s="21">
        <v>43921</v>
      </c>
      <c r="B627" t="s">
        <v>109</v>
      </c>
      <c r="C627">
        <v>38</v>
      </c>
      <c r="D627">
        <v>1720502.9099999997</v>
      </c>
      <c r="E627" s="111">
        <v>6602453.3000000007</v>
      </c>
      <c r="F627">
        <v>5162729.5599999996</v>
      </c>
    </row>
    <row r="628" spans="1:6" x14ac:dyDescent="0.25">
      <c r="A628" s="21">
        <v>43921</v>
      </c>
      <c r="B628" t="s">
        <v>110</v>
      </c>
      <c r="C628">
        <v>39</v>
      </c>
      <c r="E628" s="111">
        <v>440</v>
      </c>
    </row>
    <row r="629" spans="1:6" x14ac:dyDescent="0.25">
      <c r="A629" s="21">
        <v>43921</v>
      </c>
      <c r="B629" t="s">
        <v>111</v>
      </c>
      <c r="C629">
        <v>40</v>
      </c>
    </row>
    <row r="630" spans="1:6" x14ac:dyDescent="0.25">
      <c r="A630" s="21">
        <v>43921</v>
      </c>
      <c r="B630" t="s">
        <v>112</v>
      </c>
      <c r="C630">
        <v>41</v>
      </c>
      <c r="D630">
        <v>1720502.9099999997</v>
      </c>
      <c r="E630" s="111">
        <v>6602893.3000000007</v>
      </c>
      <c r="F630">
        <v>5162729.5599999996</v>
      </c>
    </row>
    <row r="631" spans="1:6" x14ac:dyDescent="0.25">
      <c r="A631" s="21">
        <v>43921</v>
      </c>
      <c r="B631" t="s">
        <v>113</v>
      </c>
      <c r="C631">
        <v>42</v>
      </c>
      <c r="D631">
        <v>430125.73</v>
      </c>
      <c r="E631" s="111">
        <v>1371943.55</v>
      </c>
      <c r="F631">
        <v>1290682.3999999999</v>
      </c>
    </row>
    <row r="632" spans="1:6" x14ac:dyDescent="0.25">
      <c r="A632" s="21">
        <v>43921</v>
      </c>
      <c r="B632" t="s">
        <v>114</v>
      </c>
      <c r="C632">
        <v>43</v>
      </c>
      <c r="D632">
        <v>1290377.1799999997</v>
      </c>
      <c r="E632" s="111">
        <v>5230949.7500000009</v>
      </c>
      <c r="F632">
        <v>3872047.1599999997</v>
      </c>
    </row>
    <row r="633" spans="1:6" x14ac:dyDescent="0.25">
      <c r="A633" s="21">
        <v>43921</v>
      </c>
      <c r="B633" t="s">
        <v>336</v>
      </c>
      <c r="C633">
        <v>44</v>
      </c>
    </row>
    <row r="634" spans="1:6" x14ac:dyDescent="0.25">
      <c r="A634" s="21">
        <v>43921</v>
      </c>
      <c r="B634" t="s">
        <v>337</v>
      </c>
      <c r="C634">
        <v>45</v>
      </c>
    </row>
    <row r="635" spans="1:6" x14ac:dyDescent="0.25">
      <c r="A635" s="21">
        <v>43921</v>
      </c>
      <c r="B635" t="s">
        <v>117</v>
      </c>
      <c r="C635">
        <v>46</v>
      </c>
    </row>
    <row r="636" spans="1:6" x14ac:dyDescent="0.25">
      <c r="A636" s="21">
        <v>43921</v>
      </c>
      <c r="B636" t="s">
        <v>118</v>
      </c>
      <c r="C636">
        <v>47</v>
      </c>
    </row>
    <row r="637" spans="1:6" x14ac:dyDescent="0.25">
      <c r="A637" s="21">
        <v>43921</v>
      </c>
      <c r="B637" t="s">
        <v>119</v>
      </c>
      <c r="C637">
        <v>48</v>
      </c>
    </row>
    <row r="638" spans="1:6" x14ac:dyDescent="0.25">
      <c r="A638" s="21">
        <v>43921</v>
      </c>
      <c r="B638" t="s">
        <v>120</v>
      </c>
      <c r="C638">
        <v>49</v>
      </c>
    </row>
  </sheetData>
  <autoFilter ref="A1:F540"/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30"/>
  <sheetViews>
    <sheetView tabSelected="1" topLeftCell="A70" workbookViewId="0">
      <selection activeCell="D54" sqref="D54"/>
    </sheetView>
  </sheetViews>
  <sheetFormatPr defaultRowHeight="13.8" x14ac:dyDescent="0.25"/>
  <cols>
    <col min="1" max="1" width="11.21875" bestFit="1" customWidth="1"/>
    <col min="2" max="2" width="52.44140625" bestFit="1" customWidth="1"/>
    <col min="3" max="3" width="5.5546875" bestFit="1" customWidth="1"/>
    <col min="4" max="4" width="13.109375" bestFit="1" customWidth="1"/>
  </cols>
  <sheetData>
    <row r="1" spans="1:4" x14ac:dyDescent="0.25">
      <c r="A1" t="s">
        <v>364</v>
      </c>
      <c r="B1" t="s">
        <v>375</v>
      </c>
      <c r="C1" t="s">
        <v>1</v>
      </c>
      <c r="D1" t="s">
        <v>376</v>
      </c>
    </row>
    <row r="2" spans="1:4" x14ac:dyDescent="0.25">
      <c r="A2" s="21">
        <v>43646</v>
      </c>
      <c r="B2" t="s">
        <v>377</v>
      </c>
      <c r="C2">
        <v>1</v>
      </c>
    </row>
    <row r="3" spans="1:4" x14ac:dyDescent="0.25">
      <c r="A3" s="21">
        <v>43646</v>
      </c>
      <c r="B3" t="s">
        <v>378</v>
      </c>
      <c r="C3">
        <v>2</v>
      </c>
    </row>
    <row r="4" spans="1:4" x14ac:dyDescent="0.25">
      <c r="A4" s="21">
        <v>43646</v>
      </c>
      <c r="B4" t="s">
        <v>379</v>
      </c>
      <c r="C4">
        <v>3</v>
      </c>
    </row>
    <row r="5" spans="1:4" x14ac:dyDescent="0.25">
      <c r="A5" s="21">
        <v>43646</v>
      </c>
      <c r="B5" t="s">
        <v>380</v>
      </c>
      <c r="C5">
        <v>4</v>
      </c>
    </row>
    <row r="6" spans="1:4" x14ac:dyDescent="0.25">
      <c r="A6" s="21">
        <v>43646</v>
      </c>
      <c r="B6" t="s">
        <v>381</v>
      </c>
      <c r="C6">
        <v>5</v>
      </c>
      <c r="D6" s="69">
        <v>11100000</v>
      </c>
    </row>
    <row r="7" spans="1:4" x14ac:dyDescent="0.25">
      <c r="A7" s="21">
        <v>43646</v>
      </c>
      <c r="B7" t="s">
        <v>382</v>
      </c>
      <c r="C7">
        <v>6</v>
      </c>
      <c r="D7" s="69">
        <v>35480.730000000003</v>
      </c>
    </row>
    <row r="8" spans="1:4" x14ac:dyDescent="0.25">
      <c r="A8" s="21">
        <v>43646</v>
      </c>
      <c r="B8" t="s">
        <v>383</v>
      </c>
      <c r="C8">
        <v>7</v>
      </c>
      <c r="D8" s="69">
        <v>11135480.73</v>
      </c>
    </row>
    <row r="9" spans="1:4" x14ac:dyDescent="0.25">
      <c r="A9" s="21">
        <v>43646</v>
      </c>
      <c r="B9" t="s">
        <v>384</v>
      </c>
      <c r="C9">
        <v>8</v>
      </c>
    </row>
    <row r="10" spans="1:4" x14ac:dyDescent="0.25">
      <c r="A10" s="21">
        <v>43646</v>
      </c>
      <c r="B10" t="s">
        <v>385</v>
      </c>
      <c r="C10">
        <v>9</v>
      </c>
    </row>
    <row r="11" spans="1:4" x14ac:dyDescent="0.25">
      <c r="A11" s="21">
        <v>43646</v>
      </c>
      <c r="B11" t="s">
        <v>386</v>
      </c>
      <c r="C11">
        <v>10</v>
      </c>
      <c r="D11" s="69">
        <v>1089327.25</v>
      </c>
    </row>
    <row r="12" spans="1:4" x14ac:dyDescent="0.25">
      <c r="A12" s="21">
        <v>43646</v>
      </c>
      <c r="B12" t="s">
        <v>387</v>
      </c>
      <c r="C12">
        <v>11</v>
      </c>
    </row>
    <row r="13" spans="1:4" x14ac:dyDescent="0.25">
      <c r="A13" s="21">
        <v>43646</v>
      </c>
      <c r="B13" t="s">
        <v>388</v>
      </c>
      <c r="C13">
        <v>12</v>
      </c>
      <c r="D13" s="69">
        <v>2929120.27</v>
      </c>
    </row>
    <row r="14" spans="1:4" x14ac:dyDescent="0.25">
      <c r="A14" s="21">
        <v>43646</v>
      </c>
      <c r="B14" t="s">
        <v>389</v>
      </c>
      <c r="C14">
        <v>13</v>
      </c>
      <c r="D14" s="69">
        <v>2278358.36</v>
      </c>
    </row>
    <row r="15" spans="1:4" x14ac:dyDescent="0.25">
      <c r="A15" s="21">
        <v>43646</v>
      </c>
      <c r="B15" t="s">
        <v>390</v>
      </c>
      <c r="C15">
        <v>14</v>
      </c>
    </row>
    <row r="16" spans="1:4" x14ac:dyDescent="0.25">
      <c r="A16" s="21">
        <v>43646</v>
      </c>
      <c r="B16" t="s">
        <v>391</v>
      </c>
      <c r="C16">
        <v>15</v>
      </c>
      <c r="D16" s="69">
        <v>1267682.3500000001</v>
      </c>
    </row>
    <row r="17" spans="1:4" x14ac:dyDescent="0.25">
      <c r="A17" s="21">
        <v>43646</v>
      </c>
      <c r="B17" t="s">
        <v>392</v>
      </c>
      <c r="C17">
        <v>16</v>
      </c>
      <c r="D17" s="69">
        <v>7564488.2300000004</v>
      </c>
    </row>
    <row r="18" spans="1:4" x14ac:dyDescent="0.25">
      <c r="A18" s="21">
        <v>43646</v>
      </c>
      <c r="B18" t="s">
        <v>393</v>
      </c>
      <c r="C18">
        <v>17</v>
      </c>
      <c r="D18" s="69">
        <v>3570992.5</v>
      </c>
    </row>
    <row r="19" spans="1:4" x14ac:dyDescent="0.25">
      <c r="A19" s="21">
        <v>43646</v>
      </c>
      <c r="B19" t="s">
        <v>394</v>
      </c>
      <c r="C19">
        <v>18</v>
      </c>
    </row>
    <row r="20" spans="1:4" x14ac:dyDescent="0.25">
      <c r="A20" s="21">
        <v>43646</v>
      </c>
      <c r="B20" t="s">
        <v>395</v>
      </c>
      <c r="C20">
        <v>19</v>
      </c>
    </row>
    <row r="21" spans="1:4" x14ac:dyDescent="0.25">
      <c r="A21" s="21">
        <v>43646</v>
      </c>
      <c r="B21" t="s">
        <v>396</v>
      </c>
      <c r="C21">
        <v>20</v>
      </c>
    </row>
    <row r="22" spans="1:4" x14ac:dyDescent="0.25">
      <c r="A22" s="21">
        <v>43646</v>
      </c>
      <c r="B22" t="s">
        <v>397</v>
      </c>
      <c r="C22">
        <v>21</v>
      </c>
    </row>
    <row r="23" spans="1:4" x14ac:dyDescent="0.25">
      <c r="A23" s="21">
        <v>43646</v>
      </c>
      <c r="B23" t="s">
        <v>398</v>
      </c>
      <c r="C23">
        <v>22</v>
      </c>
      <c r="D23">
        <v>0</v>
      </c>
    </row>
    <row r="24" spans="1:4" x14ac:dyDescent="0.25">
      <c r="A24" s="21">
        <v>43646</v>
      </c>
      <c r="B24" t="s">
        <v>399</v>
      </c>
      <c r="C24">
        <v>23</v>
      </c>
    </row>
    <row r="25" spans="1:4" x14ac:dyDescent="0.25">
      <c r="A25" s="21">
        <v>43646</v>
      </c>
      <c r="B25" t="s">
        <v>400</v>
      </c>
      <c r="C25">
        <v>24</v>
      </c>
    </row>
    <row r="26" spans="1:4" x14ac:dyDescent="0.25">
      <c r="A26" s="21">
        <v>43646</v>
      </c>
      <c r="B26" t="s">
        <v>401</v>
      </c>
      <c r="C26">
        <v>25</v>
      </c>
    </row>
    <row r="27" spans="1:4" x14ac:dyDescent="0.25">
      <c r="A27" s="21">
        <v>43646</v>
      </c>
      <c r="B27" t="s">
        <v>402</v>
      </c>
      <c r="C27">
        <v>26</v>
      </c>
    </row>
    <row r="28" spans="1:4" x14ac:dyDescent="0.25">
      <c r="A28" s="21">
        <v>43646</v>
      </c>
      <c r="B28" t="s">
        <v>403</v>
      </c>
      <c r="C28">
        <v>27</v>
      </c>
      <c r="D28">
        <v>0</v>
      </c>
    </row>
    <row r="29" spans="1:4" x14ac:dyDescent="0.25">
      <c r="A29" s="21">
        <v>43646</v>
      </c>
      <c r="B29" t="s">
        <v>404</v>
      </c>
      <c r="C29">
        <v>28</v>
      </c>
      <c r="D29">
        <v>0</v>
      </c>
    </row>
    <row r="30" spans="1:4" x14ac:dyDescent="0.25">
      <c r="A30" s="21">
        <v>43646</v>
      </c>
      <c r="B30" t="s">
        <v>405</v>
      </c>
      <c r="C30">
        <v>29</v>
      </c>
    </row>
    <row r="31" spans="1:4" x14ac:dyDescent="0.25">
      <c r="A31" s="21">
        <v>43646</v>
      </c>
      <c r="B31" t="s">
        <v>406</v>
      </c>
      <c r="C31">
        <v>30</v>
      </c>
    </row>
    <row r="32" spans="1:4" x14ac:dyDescent="0.25">
      <c r="A32" s="21">
        <v>43646</v>
      </c>
      <c r="B32" t="s">
        <v>407</v>
      </c>
      <c r="C32">
        <v>31</v>
      </c>
    </row>
    <row r="33" spans="1:4" x14ac:dyDescent="0.25">
      <c r="A33" s="21">
        <v>43646</v>
      </c>
      <c r="B33" t="s">
        <v>408</v>
      </c>
      <c r="C33">
        <v>32</v>
      </c>
    </row>
    <row r="34" spans="1:4" x14ac:dyDescent="0.25">
      <c r="A34" s="21">
        <v>43646</v>
      </c>
      <c r="B34" t="s">
        <v>409</v>
      </c>
      <c r="C34">
        <v>33</v>
      </c>
      <c r="D34">
        <v>0</v>
      </c>
    </row>
    <row r="35" spans="1:4" x14ac:dyDescent="0.25">
      <c r="A35" s="21">
        <v>43646</v>
      </c>
      <c r="B35" t="s">
        <v>410</v>
      </c>
      <c r="C35">
        <v>34</v>
      </c>
    </row>
    <row r="36" spans="1:4" x14ac:dyDescent="0.25">
      <c r="A36" s="21">
        <v>43646</v>
      </c>
      <c r="B36" t="s">
        <v>411</v>
      </c>
      <c r="C36">
        <v>35</v>
      </c>
    </row>
    <row r="37" spans="1:4" x14ac:dyDescent="0.25">
      <c r="A37" s="21">
        <v>43646</v>
      </c>
      <c r="B37" t="s">
        <v>412</v>
      </c>
      <c r="C37">
        <v>36</v>
      </c>
    </row>
    <row r="38" spans="1:4" x14ac:dyDescent="0.25">
      <c r="A38" s="21">
        <v>43646</v>
      </c>
      <c r="B38" t="s">
        <v>413</v>
      </c>
      <c r="C38">
        <v>37</v>
      </c>
      <c r="D38">
        <v>0</v>
      </c>
    </row>
    <row r="39" spans="1:4" x14ac:dyDescent="0.25">
      <c r="A39" s="21">
        <v>43646</v>
      </c>
      <c r="B39" t="s">
        <v>414</v>
      </c>
      <c r="C39">
        <v>38</v>
      </c>
      <c r="D39">
        <v>0</v>
      </c>
    </row>
    <row r="40" spans="1:4" x14ac:dyDescent="0.25">
      <c r="A40" s="21">
        <v>43646</v>
      </c>
      <c r="B40" t="s">
        <v>415</v>
      </c>
      <c r="C40">
        <v>39</v>
      </c>
    </row>
    <row r="41" spans="1:4" x14ac:dyDescent="0.25">
      <c r="A41" s="21">
        <v>43646</v>
      </c>
      <c r="B41" t="s">
        <v>416</v>
      </c>
      <c r="C41">
        <v>40</v>
      </c>
      <c r="D41" s="69">
        <v>3570992.5</v>
      </c>
    </row>
    <row r="42" spans="1:4" x14ac:dyDescent="0.25">
      <c r="A42" s="21">
        <v>43646</v>
      </c>
      <c r="B42" t="s">
        <v>417</v>
      </c>
      <c r="C42">
        <v>41</v>
      </c>
      <c r="D42" s="69">
        <v>162496.35</v>
      </c>
    </row>
    <row r="43" spans="1:4" x14ac:dyDescent="0.25">
      <c r="A43" s="21">
        <v>43646</v>
      </c>
      <c r="B43" t="s">
        <v>418</v>
      </c>
      <c r="C43">
        <v>42</v>
      </c>
      <c r="D43" s="69">
        <v>3733488.85</v>
      </c>
    </row>
    <row r="44" spans="1:4" x14ac:dyDescent="0.25">
      <c r="A44" s="21">
        <v>43646</v>
      </c>
      <c r="B44" t="s">
        <v>419</v>
      </c>
      <c r="C44">
        <v>43</v>
      </c>
    </row>
    <row r="45" spans="1:4" x14ac:dyDescent="0.25">
      <c r="A45" s="21">
        <v>43830</v>
      </c>
      <c r="B45" t="s">
        <v>377</v>
      </c>
      <c r="C45">
        <v>1</v>
      </c>
    </row>
    <row r="46" spans="1:4" x14ac:dyDescent="0.25">
      <c r="A46" s="21">
        <v>43830</v>
      </c>
      <c r="B46" t="s">
        <v>378</v>
      </c>
      <c r="C46">
        <v>2</v>
      </c>
    </row>
    <row r="47" spans="1:4" x14ac:dyDescent="0.25">
      <c r="A47" s="21">
        <v>43830</v>
      </c>
      <c r="B47" t="s">
        <v>379</v>
      </c>
      <c r="C47">
        <v>3</v>
      </c>
    </row>
    <row r="48" spans="1:4" x14ac:dyDescent="0.25">
      <c r="A48" s="21">
        <v>43830</v>
      </c>
      <c r="B48" t="s">
        <v>380</v>
      </c>
      <c r="C48">
        <v>4</v>
      </c>
    </row>
    <row r="49" spans="1:4" x14ac:dyDescent="0.25">
      <c r="A49" s="21">
        <v>43830</v>
      </c>
      <c r="B49" t="s">
        <v>381</v>
      </c>
      <c r="C49">
        <v>5</v>
      </c>
      <c r="D49" s="69">
        <v>19050000</v>
      </c>
    </row>
    <row r="50" spans="1:4" x14ac:dyDescent="0.25">
      <c r="A50" s="21">
        <v>43830</v>
      </c>
      <c r="B50" t="s">
        <v>382</v>
      </c>
      <c r="C50">
        <v>6</v>
      </c>
      <c r="D50" s="69">
        <v>369839.44</v>
      </c>
    </row>
    <row r="51" spans="1:4" x14ac:dyDescent="0.25">
      <c r="A51" s="21">
        <v>43830</v>
      </c>
      <c r="B51" t="s">
        <v>383</v>
      </c>
      <c r="C51">
        <v>7</v>
      </c>
      <c r="D51" s="69">
        <v>19419839.440000001</v>
      </c>
    </row>
    <row r="52" spans="1:4" x14ac:dyDescent="0.25">
      <c r="A52" s="21">
        <v>43830</v>
      </c>
      <c r="B52" t="s">
        <v>384</v>
      </c>
      <c r="C52">
        <v>8</v>
      </c>
    </row>
    <row r="53" spans="1:4" x14ac:dyDescent="0.25">
      <c r="A53" s="21">
        <v>43830</v>
      </c>
      <c r="B53" t="s">
        <v>385</v>
      </c>
      <c r="C53">
        <v>9</v>
      </c>
    </row>
    <row r="54" spans="1:4" x14ac:dyDescent="0.25">
      <c r="A54" s="21">
        <v>43830</v>
      </c>
      <c r="B54" t="s">
        <v>386</v>
      </c>
      <c r="C54">
        <v>10</v>
      </c>
      <c r="D54" s="69">
        <v>2549764.65</v>
      </c>
    </row>
    <row r="55" spans="1:4" x14ac:dyDescent="0.25">
      <c r="A55" s="21">
        <v>43830</v>
      </c>
      <c r="B55" t="s">
        <v>387</v>
      </c>
      <c r="C55">
        <v>11</v>
      </c>
    </row>
    <row r="56" spans="1:4" x14ac:dyDescent="0.25">
      <c r="A56" s="21">
        <v>43830</v>
      </c>
      <c r="B56" t="s">
        <v>388</v>
      </c>
      <c r="C56">
        <v>12</v>
      </c>
      <c r="D56" s="69">
        <v>8481427.1699999999</v>
      </c>
    </row>
    <row r="57" spans="1:4" x14ac:dyDescent="0.25">
      <c r="A57" s="21">
        <v>43830</v>
      </c>
      <c r="B57" t="s">
        <v>389</v>
      </c>
      <c r="C57">
        <v>13</v>
      </c>
      <c r="D57" s="69">
        <v>4616104.53</v>
      </c>
    </row>
    <row r="58" spans="1:4" x14ac:dyDescent="0.25">
      <c r="A58" s="21">
        <v>43830</v>
      </c>
      <c r="B58" t="s">
        <v>390</v>
      </c>
      <c r="C58">
        <v>14</v>
      </c>
    </row>
    <row r="59" spans="1:4" x14ac:dyDescent="0.25">
      <c r="A59" s="21">
        <v>43830</v>
      </c>
      <c r="B59" t="s">
        <v>391</v>
      </c>
      <c r="C59">
        <v>15</v>
      </c>
      <c r="D59" s="69">
        <v>3253875.58</v>
      </c>
    </row>
    <row r="60" spans="1:4" x14ac:dyDescent="0.25">
      <c r="A60" s="21">
        <v>43830</v>
      </c>
      <c r="B60" t="s">
        <v>392</v>
      </c>
      <c r="C60">
        <v>16</v>
      </c>
      <c r="D60" s="69">
        <v>18901171.93</v>
      </c>
    </row>
    <row r="61" spans="1:4" x14ac:dyDescent="0.25">
      <c r="A61" s="21">
        <v>43830</v>
      </c>
      <c r="B61" t="s">
        <v>393</v>
      </c>
      <c r="C61">
        <v>17</v>
      </c>
      <c r="D61" s="69">
        <v>518667.51</v>
      </c>
    </row>
    <row r="62" spans="1:4" x14ac:dyDescent="0.25">
      <c r="A62" s="21">
        <v>43830</v>
      </c>
      <c r="B62" t="s">
        <v>394</v>
      </c>
      <c r="C62">
        <v>18</v>
      </c>
    </row>
    <row r="63" spans="1:4" x14ac:dyDescent="0.25">
      <c r="A63" s="21">
        <v>43830</v>
      </c>
      <c r="B63" t="s">
        <v>395</v>
      </c>
      <c r="C63">
        <v>19</v>
      </c>
    </row>
    <row r="64" spans="1:4" x14ac:dyDescent="0.25">
      <c r="A64" s="21">
        <v>43830</v>
      </c>
      <c r="B64" t="s">
        <v>396</v>
      </c>
      <c r="C64">
        <v>20</v>
      </c>
    </row>
    <row r="65" spans="1:4" x14ac:dyDescent="0.25">
      <c r="A65" s="21">
        <v>43830</v>
      </c>
      <c r="B65" t="s">
        <v>397</v>
      </c>
      <c r="C65">
        <v>21</v>
      </c>
    </row>
    <row r="66" spans="1:4" x14ac:dyDescent="0.25">
      <c r="A66" s="21">
        <v>43830</v>
      </c>
      <c r="B66" t="s">
        <v>398</v>
      </c>
      <c r="C66">
        <v>22</v>
      </c>
      <c r="D66">
        <v>0</v>
      </c>
    </row>
    <row r="67" spans="1:4" x14ac:dyDescent="0.25">
      <c r="A67" s="21">
        <v>43830</v>
      </c>
      <c r="B67" t="s">
        <v>399</v>
      </c>
      <c r="C67">
        <v>23</v>
      </c>
    </row>
    <row r="68" spans="1:4" x14ac:dyDescent="0.25">
      <c r="A68" s="21">
        <v>43830</v>
      </c>
      <c r="B68" t="s">
        <v>400</v>
      </c>
      <c r="C68">
        <v>24</v>
      </c>
    </row>
    <row r="69" spans="1:4" x14ac:dyDescent="0.25">
      <c r="A69" s="21">
        <v>43830</v>
      </c>
      <c r="B69" t="s">
        <v>401</v>
      </c>
      <c r="C69">
        <v>25</v>
      </c>
    </row>
    <row r="70" spans="1:4" x14ac:dyDescent="0.25">
      <c r="A70" s="21">
        <v>43830</v>
      </c>
      <c r="B70" t="s">
        <v>402</v>
      </c>
      <c r="C70">
        <v>26</v>
      </c>
    </row>
    <row r="71" spans="1:4" x14ac:dyDescent="0.25">
      <c r="A71" s="21">
        <v>43830</v>
      </c>
      <c r="B71" t="s">
        <v>403</v>
      </c>
      <c r="C71">
        <v>27</v>
      </c>
      <c r="D71">
        <v>0</v>
      </c>
    </row>
    <row r="72" spans="1:4" x14ac:dyDescent="0.25">
      <c r="A72" s="21">
        <v>43830</v>
      </c>
      <c r="B72" t="s">
        <v>404</v>
      </c>
      <c r="C72">
        <v>28</v>
      </c>
      <c r="D72">
        <v>0</v>
      </c>
    </row>
    <row r="73" spans="1:4" x14ac:dyDescent="0.25">
      <c r="A73" s="21">
        <v>43830</v>
      </c>
      <c r="B73" t="s">
        <v>405</v>
      </c>
      <c r="C73">
        <v>29</v>
      </c>
    </row>
    <row r="74" spans="1:4" x14ac:dyDescent="0.25">
      <c r="A74" s="21">
        <v>43830</v>
      </c>
      <c r="B74" t="s">
        <v>406</v>
      </c>
      <c r="C74">
        <v>30</v>
      </c>
    </row>
    <row r="75" spans="1:4" x14ac:dyDescent="0.25">
      <c r="A75" s="21">
        <v>43830</v>
      </c>
      <c r="B75" t="s">
        <v>407</v>
      </c>
      <c r="C75">
        <v>31</v>
      </c>
    </row>
    <row r="76" spans="1:4" x14ac:dyDescent="0.25">
      <c r="A76" s="21">
        <v>43830</v>
      </c>
      <c r="B76" t="s">
        <v>408</v>
      </c>
      <c r="C76">
        <v>32</v>
      </c>
    </row>
    <row r="77" spans="1:4" x14ac:dyDescent="0.25">
      <c r="A77" s="21">
        <v>43830</v>
      </c>
      <c r="B77" t="s">
        <v>409</v>
      </c>
      <c r="C77">
        <v>33</v>
      </c>
      <c r="D77">
        <v>0</v>
      </c>
    </row>
    <row r="78" spans="1:4" x14ac:dyDescent="0.25">
      <c r="A78" s="21">
        <v>43830</v>
      </c>
      <c r="B78" t="s">
        <v>410</v>
      </c>
      <c r="C78">
        <v>34</v>
      </c>
    </row>
    <row r="79" spans="1:4" x14ac:dyDescent="0.25">
      <c r="A79" s="21">
        <v>43830</v>
      </c>
      <c r="B79" t="s">
        <v>411</v>
      </c>
      <c r="C79">
        <v>35</v>
      </c>
    </row>
    <row r="80" spans="1:4" x14ac:dyDescent="0.25">
      <c r="A80" s="21">
        <v>43830</v>
      </c>
      <c r="B80" t="s">
        <v>412</v>
      </c>
      <c r="C80">
        <v>36</v>
      </c>
    </row>
    <row r="81" spans="1:4" x14ac:dyDescent="0.25">
      <c r="A81" s="21">
        <v>43830</v>
      </c>
      <c r="B81" t="s">
        <v>413</v>
      </c>
      <c r="C81">
        <v>37</v>
      </c>
      <c r="D81">
        <v>0</v>
      </c>
    </row>
    <row r="82" spans="1:4" x14ac:dyDescent="0.25">
      <c r="A82" s="21">
        <v>43830</v>
      </c>
      <c r="B82" t="s">
        <v>414</v>
      </c>
      <c r="C82">
        <v>38</v>
      </c>
      <c r="D82">
        <v>0</v>
      </c>
    </row>
    <row r="83" spans="1:4" x14ac:dyDescent="0.25">
      <c r="A83" s="21">
        <v>43830</v>
      </c>
      <c r="B83" t="s">
        <v>415</v>
      </c>
      <c r="C83">
        <v>39</v>
      </c>
    </row>
    <row r="84" spans="1:4" x14ac:dyDescent="0.25">
      <c r="A84" s="21">
        <v>43830</v>
      </c>
      <c r="B84" t="s">
        <v>416</v>
      </c>
      <c r="C84">
        <v>40</v>
      </c>
      <c r="D84" s="69">
        <v>518667.51</v>
      </c>
    </row>
    <row r="85" spans="1:4" x14ac:dyDescent="0.25">
      <c r="A85" s="21">
        <v>43830</v>
      </c>
      <c r="B85" t="s">
        <v>417</v>
      </c>
      <c r="C85">
        <v>41</v>
      </c>
      <c r="D85" s="69">
        <v>162496.35</v>
      </c>
    </row>
    <row r="86" spans="1:4" x14ac:dyDescent="0.25">
      <c r="A86" s="21">
        <v>43830</v>
      </c>
      <c r="B86" t="s">
        <v>418</v>
      </c>
      <c r="C86">
        <v>42</v>
      </c>
      <c r="D86" s="69">
        <v>681163.86</v>
      </c>
    </row>
    <row r="87" spans="1:4" x14ac:dyDescent="0.25">
      <c r="A87" s="21">
        <v>43830</v>
      </c>
      <c r="B87" t="s">
        <v>419</v>
      </c>
      <c r="C87">
        <v>43</v>
      </c>
    </row>
    <row r="88" spans="1:4" x14ac:dyDescent="0.25">
      <c r="A88" s="21">
        <v>43921</v>
      </c>
      <c r="B88" t="s">
        <v>377</v>
      </c>
      <c r="C88" s="112">
        <v>1</v>
      </c>
    </row>
    <row r="89" spans="1:4" x14ac:dyDescent="0.25">
      <c r="A89" s="21">
        <v>43921</v>
      </c>
      <c r="B89" t="s">
        <v>378</v>
      </c>
      <c r="C89" s="112">
        <v>2</v>
      </c>
    </row>
    <row r="90" spans="1:4" x14ac:dyDescent="0.25">
      <c r="A90" s="21">
        <v>43921</v>
      </c>
      <c r="B90" t="s">
        <v>379</v>
      </c>
      <c r="C90" s="112">
        <v>3</v>
      </c>
    </row>
    <row r="91" spans="1:4" x14ac:dyDescent="0.25">
      <c r="A91" s="21">
        <v>43921</v>
      </c>
      <c r="B91" t="s">
        <v>380</v>
      </c>
      <c r="C91" s="112">
        <v>4</v>
      </c>
    </row>
    <row r="92" spans="1:4" x14ac:dyDescent="0.25">
      <c r="A92" s="21">
        <v>43921</v>
      </c>
      <c r="B92" t="s">
        <v>381</v>
      </c>
      <c r="C92" s="112">
        <v>5</v>
      </c>
      <c r="D92">
        <v>3600000</v>
      </c>
    </row>
    <row r="93" spans="1:4" x14ac:dyDescent="0.25">
      <c r="A93" s="21">
        <v>43921</v>
      </c>
      <c r="B93" t="s">
        <v>382</v>
      </c>
      <c r="C93" s="112">
        <v>6</v>
      </c>
      <c r="D93">
        <v>46229.03</v>
      </c>
    </row>
    <row r="94" spans="1:4" x14ac:dyDescent="0.25">
      <c r="A94" s="21">
        <v>43921</v>
      </c>
      <c r="B94" t="s">
        <v>383</v>
      </c>
      <c r="C94" s="112">
        <v>7</v>
      </c>
      <c r="D94">
        <v>3646229.03</v>
      </c>
    </row>
    <row r="95" spans="1:4" x14ac:dyDescent="0.25">
      <c r="A95" s="21">
        <v>43921</v>
      </c>
      <c r="B95" t="s">
        <v>384</v>
      </c>
      <c r="C95" s="112">
        <v>8</v>
      </c>
    </row>
    <row r="96" spans="1:4" x14ac:dyDescent="0.25">
      <c r="A96" s="21">
        <v>43921</v>
      </c>
      <c r="B96" t="s">
        <v>385</v>
      </c>
      <c r="C96" s="112">
        <v>9</v>
      </c>
    </row>
    <row r="97" spans="1:4" x14ac:dyDescent="0.25">
      <c r="A97" s="21">
        <v>43921</v>
      </c>
      <c r="B97" t="s">
        <v>386</v>
      </c>
      <c r="C97" s="112">
        <v>10</v>
      </c>
      <c r="D97">
        <v>630904.44999999995</v>
      </c>
    </row>
    <row r="98" spans="1:4" x14ac:dyDescent="0.25">
      <c r="A98" s="21">
        <v>43921</v>
      </c>
      <c r="B98" t="s">
        <v>387</v>
      </c>
      <c r="C98" s="112">
        <v>11</v>
      </c>
    </row>
    <row r="99" spans="1:4" x14ac:dyDescent="0.25">
      <c r="A99" s="21">
        <v>43921</v>
      </c>
      <c r="B99" t="s">
        <v>388</v>
      </c>
      <c r="C99" s="112">
        <v>12</v>
      </c>
      <c r="D99">
        <v>1154066.96</v>
      </c>
    </row>
    <row r="100" spans="1:4" x14ac:dyDescent="0.25">
      <c r="A100" s="21">
        <v>43921</v>
      </c>
      <c r="B100" t="s">
        <v>389</v>
      </c>
      <c r="C100" s="112">
        <v>13</v>
      </c>
      <c r="D100">
        <v>1792623.51</v>
      </c>
    </row>
    <row r="101" spans="1:4" x14ac:dyDescent="0.25">
      <c r="A101" s="21">
        <v>43921</v>
      </c>
      <c r="B101" t="s">
        <v>390</v>
      </c>
      <c r="C101" s="112">
        <v>14</v>
      </c>
    </row>
    <row r="102" spans="1:4" x14ac:dyDescent="0.25">
      <c r="A102" s="21">
        <v>43921</v>
      </c>
      <c r="B102" t="s">
        <v>391</v>
      </c>
      <c r="C102" s="112">
        <v>15</v>
      </c>
      <c r="D102">
        <v>386184.33</v>
      </c>
    </row>
    <row r="103" spans="1:4" x14ac:dyDescent="0.25">
      <c r="A103" s="21">
        <v>43921</v>
      </c>
      <c r="B103" t="s">
        <v>392</v>
      </c>
      <c r="C103" s="112">
        <v>16</v>
      </c>
      <c r="D103">
        <v>3963779.25</v>
      </c>
    </row>
    <row r="104" spans="1:4" x14ac:dyDescent="0.25">
      <c r="A104" s="21">
        <v>43921</v>
      </c>
      <c r="B104" t="s">
        <v>393</v>
      </c>
      <c r="C104" s="112">
        <v>17</v>
      </c>
      <c r="D104">
        <v>-317550.21999999997</v>
      </c>
    </row>
    <row r="105" spans="1:4" x14ac:dyDescent="0.25">
      <c r="A105" s="21">
        <v>43921</v>
      </c>
      <c r="B105" t="s">
        <v>394</v>
      </c>
      <c r="C105" s="112">
        <v>18</v>
      </c>
    </row>
    <row r="106" spans="1:4" x14ac:dyDescent="0.25">
      <c r="A106" s="21">
        <v>43921</v>
      </c>
      <c r="B106" t="s">
        <v>395</v>
      </c>
      <c r="C106" s="112">
        <v>19</v>
      </c>
    </row>
    <row r="107" spans="1:4" x14ac:dyDescent="0.25">
      <c r="A107" s="21">
        <v>43921</v>
      </c>
      <c r="B107" t="s">
        <v>396</v>
      </c>
      <c r="C107" s="112">
        <v>20</v>
      </c>
      <c r="D107">
        <v>135.54</v>
      </c>
    </row>
    <row r="108" spans="1:4" x14ac:dyDescent="0.25">
      <c r="A108" s="21">
        <v>43921</v>
      </c>
      <c r="B108" t="s">
        <v>397</v>
      </c>
      <c r="C108" s="112">
        <v>21</v>
      </c>
    </row>
    <row r="109" spans="1:4" x14ac:dyDescent="0.25">
      <c r="A109" s="21">
        <v>43921</v>
      </c>
      <c r="B109" t="s">
        <v>398</v>
      </c>
      <c r="C109" s="112">
        <v>22</v>
      </c>
      <c r="D109">
        <v>135.54</v>
      </c>
    </row>
    <row r="110" spans="1:4" x14ac:dyDescent="0.25">
      <c r="A110" s="21">
        <v>43921</v>
      </c>
      <c r="B110" t="s">
        <v>399</v>
      </c>
      <c r="C110" s="112">
        <v>23</v>
      </c>
    </row>
    <row r="111" spans="1:4" x14ac:dyDescent="0.25">
      <c r="A111" s="21">
        <v>43921</v>
      </c>
      <c r="B111" t="s">
        <v>400</v>
      </c>
      <c r="C111" s="112">
        <v>24</v>
      </c>
    </row>
    <row r="112" spans="1:4" x14ac:dyDescent="0.25">
      <c r="A112" s="21">
        <v>43921</v>
      </c>
      <c r="B112" t="s">
        <v>401</v>
      </c>
      <c r="C112" s="112">
        <v>25</v>
      </c>
    </row>
    <row r="113" spans="1:4" x14ac:dyDescent="0.25">
      <c r="A113" s="21">
        <v>43921</v>
      </c>
      <c r="B113" t="s">
        <v>402</v>
      </c>
      <c r="C113" s="112">
        <v>26</v>
      </c>
    </row>
    <row r="114" spans="1:4" x14ac:dyDescent="0.25">
      <c r="A114" s="21">
        <v>43921</v>
      </c>
      <c r="B114" t="s">
        <v>403</v>
      </c>
      <c r="C114" s="112">
        <v>27</v>
      </c>
      <c r="D114">
        <v>0</v>
      </c>
    </row>
    <row r="115" spans="1:4" x14ac:dyDescent="0.25">
      <c r="A115" s="21">
        <v>43921</v>
      </c>
      <c r="B115" t="s">
        <v>404</v>
      </c>
      <c r="C115" s="112">
        <v>28</v>
      </c>
      <c r="D115">
        <v>135.54</v>
      </c>
    </row>
    <row r="116" spans="1:4" x14ac:dyDescent="0.25">
      <c r="A116" s="21">
        <v>43921</v>
      </c>
      <c r="B116" t="s">
        <v>405</v>
      </c>
      <c r="C116" s="112">
        <v>29</v>
      </c>
    </row>
    <row r="117" spans="1:4" x14ac:dyDescent="0.25">
      <c r="A117" s="21">
        <v>43921</v>
      </c>
      <c r="B117" t="s">
        <v>406</v>
      </c>
      <c r="C117" s="112">
        <v>30</v>
      </c>
    </row>
    <row r="118" spans="1:4" x14ac:dyDescent="0.25">
      <c r="A118" s="21">
        <v>43921</v>
      </c>
      <c r="B118" t="s">
        <v>407</v>
      </c>
      <c r="C118" s="112">
        <v>31</v>
      </c>
    </row>
    <row r="119" spans="1:4" x14ac:dyDescent="0.25">
      <c r="A119" s="21">
        <v>43921</v>
      </c>
      <c r="B119" t="s">
        <v>408</v>
      </c>
      <c r="C119" s="112">
        <v>32</v>
      </c>
    </row>
    <row r="120" spans="1:4" x14ac:dyDescent="0.25">
      <c r="A120" s="21">
        <v>43921</v>
      </c>
      <c r="B120" t="s">
        <v>409</v>
      </c>
      <c r="C120" s="112">
        <v>33</v>
      </c>
      <c r="D120">
        <v>0</v>
      </c>
    </row>
    <row r="121" spans="1:4" x14ac:dyDescent="0.25">
      <c r="A121" s="21">
        <v>43921</v>
      </c>
      <c r="B121" t="s">
        <v>410</v>
      </c>
      <c r="C121" s="112">
        <v>34</v>
      </c>
    </row>
    <row r="122" spans="1:4" x14ac:dyDescent="0.25">
      <c r="A122" s="21">
        <v>43921</v>
      </c>
      <c r="B122" t="s">
        <v>411</v>
      </c>
      <c r="C122" s="112">
        <v>35</v>
      </c>
    </row>
    <row r="123" spans="1:4" x14ac:dyDescent="0.25">
      <c r="A123" s="21">
        <v>43921</v>
      </c>
      <c r="B123" t="s">
        <v>412</v>
      </c>
      <c r="C123" s="112">
        <v>36</v>
      </c>
    </row>
    <row r="124" spans="1:4" x14ac:dyDescent="0.25">
      <c r="A124" s="21">
        <v>43921</v>
      </c>
      <c r="B124" t="s">
        <v>413</v>
      </c>
      <c r="C124" s="112">
        <v>37</v>
      </c>
      <c r="D124">
        <v>0</v>
      </c>
    </row>
    <row r="125" spans="1:4" x14ac:dyDescent="0.25">
      <c r="A125" s="21">
        <v>43921</v>
      </c>
      <c r="B125" t="s">
        <v>414</v>
      </c>
      <c r="C125" s="112">
        <v>38</v>
      </c>
      <c r="D125">
        <v>0</v>
      </c>
    </row>
    <row r="126" spans="1:4" x14ac:dyDescent="0.25">
      <c r="A126" s="21">
        <v>43921</v>
      </c>
      <c r="B126" t="s">
        <v>415</v>
      </c>
      <c r="C126" s="112">
        <v>39</v>
      </c>
    </row>
    <row r="127" spans="1:4" x14ac:dyDescent="0.25">
      <c r="A127" s="21">
        <v>43921</v>
      </c>
      <c r="B127" t="s">
        <v>416</v>
      </c>
      <c r="C127" s="112">
        <v>40</v>
      </c>
      <c r="D127">
        <v>-317414.68</v>
      </c>
    </row>
    <row r="128" spans="1:4" x14ac:dyDescent="0.25">
      <c r="A128" s="21">
        <v>43921</v>
      </c>
      <c r="B128" t="s">
        <v>417</v>
      </c>
      <c r="C128" s="112">
        <v>41</v>
      </c>
      <c r="D128">
        <v>681163.86</v>
      </c>
    </row>
    <row r="129" spans="1:4" x14ac:dyDescent="0.25">
      <c r="A129" s="21">
        <v>43921</v>
      </c>
      <c r="B129" t="s">
        <v>418</v>
      </c>
      <c r="C129" s="112">
        <v>42</v>
      </c>
      <c r="D129">
        <v>354649.18</v>
      </c>
    </row>
    <row r="130" spans="1:4" x14ac:dyDescent="0.25">
      <c r="A130" s="21">
        <v>43921</v>
      </c>
      <c r="B130" t="s">
        <v>419</v>
      </c>
      <c r="C130" s="112">
        <v>43</v>
      </c>
      <c r="D130">
        <v>-9100</v>
      </c>
    </row>
  </sheetData>
  <phoneticPr fontId="4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833"/>
  <sheetViews>
    <sheetView zoomScale="110" zoomScaleNormal="110" workbookViewId="0">
      <pane ySplit="1" topLeftCell="A813" activePane="bottomLeft" state="frozen"/>
      <selection pane="bottomLeft" activeCell="A770" sqref="A770:A833"/>
    </sheetView>
  </sheetViews>
  <sheetFormatPr defaultRowHeight="13.8" x14ac:dyDescent="0.25"/>
  <cols>
    <col min="1" max="1" width="11.6640625" bestFit="1" customWidth="1"/>
    <col min="2" max="2" width="22.6640625" bestFit="1" customWidth="1"/>
    <col min="3" max="3" width="5.5546875" bestFit="1" customWidth="1"/>
    <col min="4" max="4" width="15" bestFit="1" customWidth="1"/>
    <col min="5" max="5" width="16.109375" bestFit="1" customWidth="1"/>
    <col min="6" max="6" width="18.33203125" bestFit="1" customWidth="1"/>
    <col min="9" max="9" width="11.77734375" bestFit="1" customWidth="1"/>
  </cols>
  <sheetData>
    <row r="1" spans="1:6" ht="14.4" x14ac:dyDescent="0.25">
      <c r="A1" s="1" t="s">
        <v>37</v>
      </c>
      <c r="B1" s="1" t="s">
        <v>0</v>
      </c>
      <c r="C1" s="1" t="s">
        <v>1</v>
      </c>
      <c r="D1" s="1" t="s">
        <v>2</v>
      </c>
      <c r="E1" s="2" t="s">
        <v>3</v>
      </c>
      <c r="F1" s="3" t="s">
        <v>4</v>
      </c>
    </row>
    <row r="2" spans="1:6" ht="14.4" x14ac:dyDescent="0.25">
      <c r="A2" s="22">
        <v>41274</v>
      </c>
      <c r="B2" s="4" t="s">
        <v>5</v>
      </c>
      <c r="C2" s="1">
        <v>1</v>
      </c>
      <c r="D2" s="5"/>
      <c r="E2" s="5"/>
      <c r="F2" s="5"/>
    </row>
    <row r="3" spans="1:6" ht="14.4" x14ac:dyDescent="0.25">
      <c r="A3" s="22">
        <v>41274</v>
      </c>
      <c r="B3" s="4" t="s">
        <v>6</v>
      </c>
      <c r="C3" s="1">
        <v>2</v>
      </c>
      <c r="D3" s="5"/>
      <c r="E3" s="5"/>
      <c r="F3" s="5"/>
    </row>
    <row r="4" spans="1:6" ht="14.4" x14ac:dyDescent="0.25">
      <c r="A4" s="22">
        <v>41274</v>
      </c>
      <c r="B4" s="4" t="s">
        <v>7</v>
      </c>
      <c r="C4" s="1">
        <v>3</v>
      </c>
      <c r="D4" s="5">
        <f>SUM(D5:D33)+SUM(I2:I33)</f>
        <v>0</v>
      </c>
      <c r="E4" s="5">
        <f>SUM(E6:E65)</f>
        <v>5358113.9400000004</v>
      </c>
      <c r="F4" s="5">
        <f>SUM(F6:F65)</f>
        <v>4065168.37</v>
      </c>
    </row>
    <row r="5" spans="1:6" ht="14.4" x14ac:dyDescent="0.25">
      <c r="A5" s="22">
        <v>41274</v>
      </c>
      <c r="B5" s="4" t="s">
        <v>8</v>
      </c>
      <c r="C5" s="1">
        <v>4</v>
      </c>
      <c r="D5" s="5"/>
      <c r="E5" s="5"/>
      <c r="F5" s="5"/>
    </row>
    <row r="6" spans="1:6" ht="14.4" x14ac:dyDescent="0.25">
      <c r="A6" s="22">
        <v>41274</v>
      </c>
      <c r="B6" s="4" t="s">
        <v>9</v>
      </c>
      <c r="C6" s="1">
        <v>5</v>
      </c>
      <c r="D6" s="5"/>
      <c r="E6" s="5">
        <v>233622</v>
      </c>
      <c r="F6" s="5">
        <v>154867.66</v>
      </c>
    </row>
    <row r="7" spans="1:6" ht="14.4" x14ac:dyDescent="0.25">
      <c r="A7" s="22">
        <v>41274</v>
      </c>
      <c r="B7" s="4" t="s">
        <v>10</v>
      </c>
      <c r="C7" s="1">
        <v>6</v>
      </c>
      <c r="D7" s="5"/>
      <c r="E7" s="5">
        <v>26498.5</v>
      </c>
      <c r="F7" s="5">
        <v>25822.1</v>
      </c>
    </row>
    <row r="8" spans="1:6" ht="14.4" x14ac:dyDescent="0.25">
      <c r="A8" s="22">
        <v>41274</v>
      </c>
      <c r="B8" s="4" t="s">
        <v>11</v>
      </c>
      <c r="C8" s="1">
        <v>7</v>
      </c>
      <c r="D8" s="5"/>
      <c r="E8" s="5">
        <v>471748.6</v>
      </c>
      <c r="F8" s="5">
        <v>120020</v>
      </c>
    </row>
    <row r="9" spans="1:6" ht="14.4" x14ac:dyDescent="0.25">
      <c r="A9" s="22">
        <v>41274</v>
      </c>
      <c r="B9" s="4" t="s">
        <v>12</v>
      </c>
      <c r="C9" s="1">
        <v>8</v>
      </c>
      <c r="D9" s="5"/>
      <c r="E9" s="5"/>
      <c r="F9" s="5"/>
    </row>
    <row r="10" spans="1:6" ht="14.4" x14ac:dyDescent="0.25">
      <c r="A10" s="22">
        <v>41274</v>
      </c>
      <c r="B10" s="4" t="s">
        <v>13</v>
      </c>
      <c r="C10" s="1">
        <v>9</v>
      </c>
      <c r="D10" s="5"/>
      <c r="E10" s="5"/>
      <c r="F10" s="5"/>
    </row>
    <row r="11" spans="1:6" ht="14.4" x14ac:dyDescent="0.25">
      <c r="A11" s="22">
        <v>41274</v>
      </c>
      <c r="B11" s="4" t="s">
        <v>14</v>
      </c>
      <c r="C11" s="1">
        <v>10</v>
      </c>
      <c r="D11" s="5"/>
      <c r="E11" s="5"/>
      <c r="F11" s="5"/>
    </row>
    <row r="12" spans="1:6" ht="14.4" x14ac:dyDescent="0.25">
      <c r="A12" s="22">
        <v>41274</v>
      </c>
      <c r="B12" s="4" t="s">
        <v>15</v>
      </c>
      <c r="C12" s="1">
        <v>11</v>
      </c>
      <c r="D12" s="5"/>
      <c r="E12" s="5">
        <v>107854.31</v>
      </c>
      <c r="F12" s="5">
        <v>134257.20000000001</v>
      </c>
    </row>
    <row r="13" spans="1:6" ht="14.4" x14ac:dyDescent="0.25">
      <c r="A13" s="22">
        <v>41274</v>
      </c>
      <c r="B13" s="4" t="s">
        <v>16</v>
      </c>
      <c r="C13" s="1">
        <v>12</v>
      </c>
      <c r="D13" s="5"/>
      <c r="E13" s="5">
        <v>37475.35</v>
      </c>
      <c r="F13" s="5">
        <v>36047.839999999997</v>
      </c>
    </row>
    <row r="14" spans="1:6" ht="14.4" x14ac:dyDescent="0.25">
      <c r="A14" s="22">
        <v>41274</v>
      </c>
      <c r="B14" s="4" t="s">
        <v>17</v>
      </c>
      <c r="C14" s="1">
        <v>13</v>
      </c>
      <c r="D14" s="5"/>
      <c r="E14" s="5">
        <v>266470.05</v>
      </c>
      <c r="F14" s="5">
        <v>248524.41</v>
      </c>
    </row>
    <row r="15" spans="1:6" ht="14.4" x14ac:dyDescent="0.25">
      <c r="A15" s="22">
        <v>41274</v>
      </c>
      <c r="B15" s="4" t="s">
        <v>18</v>
      </c>
      <c r="C15" s="1">
        <v>14</v>
      </c>
      <c r="D15" s="5"/>
      <c r="E15" s="5"/>
      <c r="F15" s="5"/>
    </row>
    <row r="16" spans="1:6" ht="14.4" x14ac:dyDescent="0.25">
      <c r="A16" s="22">
        <v>41274</v>
      </c>
      <c r="B16" s="4" t="s">
        <v>19</v>
      </c>
      <c r="C16" s="1">
        <v>15</v>
      </c>
      <c r="D16" s="5"/>
      <c r="E16" s="5">
        <v>18876</v>
      </c>
      <c r="F16" s="5">
        <v>26398</v>
      </c>
    </row>
    <row r="17" spans="1:6" ht="14.4" x14ac:dyDescent="0.25">
      <c r="A17" s="22">
        <v>41274</v>
      </c>
      <c r="B17" s="4" t="s">
        <v>20</v>
      </c>
      <c r="C17" s="1">
        <v>16</v>
      </c>
      <c r="D17" s="5"/>
      <c r="E17" s="5"/>
      <c r="F17" s="5"/>
    </row>
    <row r="18" spans="1:6" ht="14.4" x14ac:dyDescent="0.25">
      <c r="A18" s="22">
        <v>41274</v>
      </c>
      <c r="B18" s="4" t="s">
        <v>21</v>
      </c>
      <c r="C18" s="1">
        <v>17</v>
      </c>
      <c r="D18" s="5"/>
      <c r="E18" s="5"/>
      <c r="F18" s="5"/>
    </row>
    <row r="19" spans="1:6" ht="14.4" x14ac:dyDescent="0.25">
      <c r="A19" s="22">
        <v>41274</v>
      </c>
      <c r="B19" s="4" t="s">
        <v>22</v>
      </c>
      <c r="C19" s="1">
        <v>18</v>
      </c>
      <c r="D19" s="5"/>
      <c r="E19" s="5">
        <v>75445</v>
      </c>
      <c r="F19" s="5">
        <v>75445</v>
      </c>
    </row>
    <row r="20" spans="1:6" ht="14.4" x14ac:dyDescent="0.25">
      <c r="A20" s="22">
        <v>41274</v>
      </c>
      <c r="B20" s="4" t="s">
        <v>23</v>
      </c>
      <c r="C20" s="1">
        <v>19</v>
      </c>
      <c r="D20" s="5"/>
      <c r="E20" s="5"/>
      <c r="F20" s="5"/>
    </row>
    <row r="21" spans="1:6" ht="14.4" x14ac:dyDescent="0.25">
      <c r="A21" s="22">
        <v>41274</v>
      </c>
      <c r="B21" s="4" t="s">
        <v>24</v>
      </c>
      <c r="C21" s="1">
        <v>20</v>
      </c>
      <c r="D21" s="5"/>
      <c r="E21" s="5"/>
      <c r="F21" s="5"/>
    </row>
    <row r="22" spans="1:6" ht="14.4" x14ac:dyDescent="0.25">
      <c r="A22" s="22">
        <v>41274</v>
      </c>
      <c r="B22" s="4" t="s">
        <v>25</v>
      </c>
      <c r="C22" s="1">
        <v>21</v>
      </c>
      <c r="D22" s="5"/>
      <c r="E22" s="5"/>
      <c r="F22" s="5"/>
    </row>
    <row r="23" spans="1:6" ht="14.4" x14ac:dyDescent="0.25">
      <c r="A23" s="22">
        <v>41274</v>
      </c>
      <c r="B23" s="4" t="s">
        <v>26</v>
      </c>
      <c r="C23" s="1">
        <v>22</v>
      </c>
      <c r="D23" s="5"/>
      <c r="E23" s="5">
        <v>500</v>
      </c>
      <c r="F23" s="5">
        <v>150</v>
      </c>
    </row>
    <row r="24" spans="1:6" ht="14.4" x14ac:dyDescent="0.25">
      <c r="A24" s="22">
        <v>41274</v>
      </c>
      <c r="B24" s="4" t="s">
        <v>27</v>
      </c>
      <c r="C24" s="1">
        <v>23</v>
      </c>
      <c r="D24" s="5"/>
      <c r="E24" s="5"/>
      <c r="F24" s="5"/>
    </row>
    <row r="25" spans="1:6" ht="14.4" x14ac:dyDescent="0.25">
      <c r="A25" s="22">
        <v>41274</v>
      </c>
      <c r="B25" s="4" t="s">
        <v>28</v>
      </c>
      <c r="C25" s="1">
        <v>24</v>
      </c>
      <c r="D25" s="5"/>
      <c r="E25" s="5">
        <v>28143.200000000001</v>
      </c>
      <c r="F25" s="5">
        <v>28993.200000000001</v>
      </c>
    </row>
    <row r="26" spans="1:6" ht="14.4" x14ac:dyDescent="0.25">
      <c r="A26" s="22">
        <v>41274</v>
      </c>
      <c r="B26" s="4" t="s">
        <v>29</v>
      </c>
      <c r="C26" s="1">
        <v>25</v>
      </c>
      <c r="D26" s="5"/>
      <c r="E26" s="5">
        <v>141420.20000000001</v>
      </c>
      <c r="F26" s="5">
        <v>103896.36</v>
      </c>
    </row>
    <row r="27" spans="1:6" ht="14.4" x14ac:dyDescent="0.25">
      <c r="A27" s="22">
        <v>41274</v>
      </c>
      <c r="B27" s="4" t="s">
        <v>30</v>
      </c>
      <c r="C27" s="1">
        <v>26</v>
      </c>
      <c r="D27" s="5"/>
      <c r="E27" s="5"/>
      <c r="F27" s="5"/>
    </row>
    <row r="28" spans="1:6" ht="14.4" x14ac:dyDescent="0.25">
      <c r="A28" s="22">
        <v>41274</v>
      </c>
      <c r="B28" s="4" t="s">
        <v>31</v>
      </c>
      <c r="C28" s="1">
        <v>27</v>
      </c>
      <c r="D28" s="5"/>
      <c r="E28" s="6">
        <v>804164.1</v>
      </c>
      <c r="F28" s="5">
        <v>592578.4</v>
      </c>
    </row>
    <row r="29" spans="1:6" ht="14.4" x14ac:dyDescent="0.25">
      <c r="A29" s="22">
        <v>41274</v>
      </c>
      <c r="B29" s="4" t="s">
        <v>32</v>
      </c>
      <c r="C29" s="1">
        <v>28</v>
      </c>
      <c r="D29" s="5"/>
      <c r="E29" s="5">
        <v>1270264.55</v>
      </c>
      <c r="F29" s="5">
        <v>806751.71</v>
      </c>
    </row>
    <row r="30" spans="1:6" ht="14.4" x14ac:dyDescent="0.25">
      <c r="A30" s="22">
        <v>41274</v>
      </c>
      <c r="B30" s="4" t="s">
        <v>33</v>
      </c>
      <c r="C30" s="1">
        <v>29</v>
      </c>
      <c r="D30" s="5"/>
      <c r="E30" s="5"/>
      <c r="F30" s="5"/>
    </row>
    <row r="31" spans="1:6" ht="14.4" x14ac:dyDescent="0.25">
      <c r="A31" s="22">
        <v>41274</v>
      </c>
      <c r="B31" s="4" t="s">
        <v>34</v>
      </c>
      <c r="C31" s="1">
        <v>30</v>
      </c>
      <c r="D31" s="5"/>
      <c r="E31" s="5">
        <v>53003.08</v>
      </c>
      <c r="F31" s="5">
        <v>45780.29</v>
      </c>
    </row>
    <row r="32" spans="1:6" ht="14.4" x14ac:dyDescent="0.25">
      <c r="A32" s="22">
        <v>41274</v>
      </c>
      <c r="B32" s="4" t="s">
        <v>35</v>
      </c>
      <c r="C32" s="1">
        <v>31</v>
      </c>
      <c r="D32" s="5"/>
      <c r="E32" s="5">
        <v>7821</v>
      </c>
      <c r="F32" s="5">
        <v>18461</v>
      </c>
    </row>
    <row r="33" spans="1:6" ht="14.4" x14ac:dyDescent="0.25">
      <c r="A33" s="22">
        <v>41274</v>
      </c>
      <c r="B33" s="4" t="s">
        <v>36</v>
      </c>
      <c r="C33" s="1">
        <v>32</v>
      </c>
      <c r="D33" s="5"/>
      <c r="E33" s="7"/>
      <c r="F33" s="5"/>
    </row>
    <row r="34" spans="1:6" ht="14.4" x14ac:dyDescent="0.25">
      <c r="A34" s="22">
        <v>41274</v>
      </c>
      <c r="B34" s="4" t="s">
        <v>38</v>
      </c>
      <c r="C34" s="1">
        <v>33</v>
      </c>
      <c r="D34" s="5"/>
      <c r="E34" s="5">
        <v>1740.65</v>
      </c>
      <c r="F34" s="5">
        <v>1859.37</v>
      </c>
    </row>
    <row r="35" spans="1:6" ht="14.4" x14ac:dyDescent="0.25">
      <c r="A35" s="22">
        <v>41274</v>
      </c>
      <c r="B35" s="4" t="s">
        <v>39</v>
      </c>
      <c r="C35" s="1">
        <v>34</v>
      </c>
      <c r="D35" s="5"/>
      <c r="E35" s="5"/>
      <c r="F35" s="5"/>
    </row>
    <row r="36" spans="1:6" ht="14.4" x14ac:dyDescent="0.25">
      <c r="A36" s="22">
        <v>41274</v>
      </c>
      <c r="B36" s="4" t="s">
        <v>40</v>
      </c>
      <c r="C36" s="1">
        <v>35</v>
      </c>
      <c r="D36" s="5"/>
      <c r="E36" s="5">
        <v>1255711.3400000001</v>
      </c>
      <c r="F36" s="5">
        <v>1185077.94</v>
      </c>
    </row>
    <row r="37" spans="1:6" ht="14.4" x14ac:dyDescent="0.25">
      <c r="A37" s="22">
        <v>41274</v>
      </c>
      <c r="B37" s="4" t="s">
        <v>41</v>
      </c>
      <c r="C37" s="1">
        <v>36</v>
      </c>
      <c r="D37" s="5"/>
      <c r="E37" s="5">
        <v>1080</v>
      </c>
      <c r="F37" s="5">
        <v>47866</v>
      </c>
    </row>
    <row r="38" spans="1:6" ht="14.4" x14ac:dyDescent="0.25">
      <c r="A38" s="22">
        <v>41274</v>
      </c>
      <c r="B38" s="4" t="s">
        <v>42</v>
      </c>
      <c r="C38" s="1">
        <v>37</v>
      </c>
      <c r="D38" s="5"/>
      <c r="E38" s="5">
        <v>27914.23</v>
      </c>
      <c r="F38" s="5">
        <v>19704.21</v>
      </c>
    </row>
    <row r="39" spans="1:6" ht="14.4" x14ac:dyDescent="0.25">
      <c r="A39" s="22">
        <v>41274</v>
      </c>
      <c r="B39" s="4" t="s">
        <v>43</v>
      </c>
      <c r="C39" s="1">
        <v>38</v>
      </c>
      <c r="D39" s="5"/>
      <c r="E39" s="5"/>
      <c r="F39" s="5"/>
    </row>
    <row r="40" spans="1:6" ht="14.4" x14ac:dyDescent="0.25">
      <c r="A40" s="22">
        <v>41274</v>
      </c>
      <c r="B40" s="4" t="s">
        <v>44</v>
      </c>
      <c r="C40" s="1">
        <v>39</v>
      </c>
      <c r="D40" s="5"/>
      <c r="E40" s="5"/>
      <c r="F40" s="5"/>
    </row>
    <row r="41" spans="1:6" ht="14.4" x14ac:dyDescent="0.25">
      <c r="A41" s="22">
        <v>41274</v>
      </c>
      <c r="B41" s="4" t="s">
        <v>45</v>
      </c>
      <c r="C41" s="1">
        <v>40</v>
      </c>
      <c r="D41" s="5"/>
      <c r="E41" s="5"/>
      <c r="F41" s="5"/>
    </row>
    <row r="42" spans="1:6" ht="14.4" x14ac:dyDescent="0.25">
      <c r="A42" s="22">
        <v>41274</v>
      </c>
      <c r="B42" s="4" t="s">
        <v>46</v>
      </c>
      <c r="C42" s="1">
        <v>41</v>
      </c>
      <c r="D42" s="5"/>
      <c r="E42" s="5">
        <v>120600</v>
      </c>
      <c r="F42" s="5">
        <v>90730</v>
      </c>
    </row>
    <row r="43" spans="1:6" ht="14.4" x14ac:dyDescent="0.25">
      <c r="A43" s="22">
        <v>41274</v>
      </c>
      <c r="B43" s="4" t="s">
        <v>47</v>
      </c>
      <c r="C43" s="1">
        <v>42</v>
      </c>
      <c r="D43" s="5"/>
      <c r="E43" s="5"/>
      <c r="F43" s="5"/>
    </row>
    <row r="44" spans="1:6" ht="14.4" x14ac:dyDescent="0.25">
      <c r="A44" s="22">
        <v>41274</v>
      </c>
      <c r="B44" s="4" t="s">
        <v>48</v>
      </c>
      <c r="C44" s="1">
        <v>43</v>
      </c>
      <c r="D44" s="5"/>
      <c r="E44" s="6">
        <v>231333</v>
      </c>
      <c r="F44" s="5">
        <v>165614.1</v>
      </c>
    </row>
    <row r="45" spans="1:6" ht="14.4" x14ac:dyDescent="0.25">
      <c r="A45" s="22">
        <v>41274</v>
      </c>
      <c r="B45" s="4" t="s">
        <v>49</v>
      </c>
      <c r="C45" s="1">
        <v>44</v>
      </c>
      <c r="D45" s="5">
        <v>2510</v>
      </c>
      <c r="E45" s="5">
        <v>176428.78</v>
      </c>
      <c r="F45" s="5">
        <v>136323.57999999999</v>
      </c>
    </row>
    <row r="46" spans="1:6" ht="14.4" x14ac:dyDescent="0.25">
      <c r="A46" s="22">
        <v>41274</v>
      </c>
      <c r="B46" s="4" t="s">
        <v>50</v>
      </c>
      <c r="C46" s="1">
        <v>45</v>
      </c>
      <c r="D46" s="5"/>
      <c r="E46" s="5"/>
      <c r="F46" s="5"/>
    </row>
    <row r="47" spans="1:6" ht="14.4" x14ac:dyDescent="0.25">
      <c r="A47" s="22">
        <v>41274</v>
      </c>
      <c r="B47" s="4" t="s">
        <v>51</v>
      </c>
      <c r="C47" s="1">
        <v>46</v>
      </c>
      <c r="D47" s="5"/>
      <c r="E47" s="5"/>
      <c r="F47" s="5"/>
    </row>
    <row r="48" spans="1:6" ht="14.4" x14ac:dyDescent="0.25">
      <c r="A48" s="22">
        <v>41274</v>
      </c>
      <c r="B48" s="4" t="s">
        <v>52</v>
      </c>
      <c r="C48" s="1">
        <v>47</v>
      </c>
      <c r="D48" s="5"/>
      <c r="E48" s="5"/>
      <c r="F48" s="5"/>
    </row>
    <row r="49" spans="1:6" ht="14.4" x14ac:dyDescent="0.25">
      <c r="A49" s="22">
        <v>41274</v>
      </c>
      <c r="B49" s="4" t="s">
        <v>53</v>
      </c>
      <c r="C49" s="1">
        <v>48</v>
      </c>
      <c r="D49" s="5"/>
      <c r="E49" s="5"/>
      <c r="F49" s="5"/>
    </row>
    <row r="50" spans="1:6" ht="14.4" x14ac:dyDescent="0.25">
      <c r="A50" s="22">
        <v>41274</v>
      </c>
      <c r="B50" s="4" t="s">
        <v>54</v>
      </c>
      <c r="C50" s="1">
        <v>49</v>
      </c>
      <c r="D50" s="5"/>
      <c r="E50" s="5"/>
      <c r="F50" s="5"/>
    </row>
    <row r="51" spans="1:6" ht="14.4" x14ac:dyDescent="0.25">
      <c r="A51" s="22">
        <v>41274</v>
      </c>
      <c r="B51" s="4" t="s">
        <v>55</v>
      </c>
      <c r="C51" s="1">
        <v>50</v>
      </c>
      <c r="D51" s="5"/>
      <c r="E51" s="5"/>
      <c r="F51" s="5"/>
    </row>
    <row r="52" spans="1:6" ht="14.4" x14ac:dyDescent="0.25">
      <c r="A52" s="22">
        <v>41274</v>
      </c>
      <c r="B52" s="4" t="s">
        <v>56</v>
      </c>
      <c r="C52" s="1">
        <v>51</v>
      </c>
      <c r="D52" s="5"/>
      <c r="E52" s="5"/>
      <c r="F52" s="5"/>
    </row>
    <row r="53" spans="1:6" ht="14.4" x14ac:dyDescent="0.25">
      <c r="A53" s="22">
        <v>41274</v>
      </c>
      <c r="B53" s="4" t="s">
        <v>57</v>
      </c>
      <c r="C53" s="1">
        <v>52</v>
      </c>
      <c r="D53" s="5"/>
      <c r="E53" s="5"/>
      <c r="F53" s="5"/>
    </row>
    <row r="54" spans="1:6" ht="14.4" x14ac:dyDescent="0.25">
      <c r="A54" s="22">
        <v>41274</v>
      </c>
      <c r="B54" s="4" t="s">
        <v>58</v>
      </c>
      <c r="C54" s="1">
        <v>53</v>
      </c>
      <c r="D54" s="5"/>
      <c r="E54" s="5"/>
      <c r="F54" s="5"/>
    </row>
    <row r="55" spans="1:6" ht="14.4" x14ac:dyDescent="0.25">
      <c r="A55" s="22">
        <v>41274</v>
      </c>
      <c r="B55" s="4" t="s">
        <v>59</v>
      </c>
      <c r="C55" s="1">
        <v>54</v>
      </c>
      <c r="D55" s="5"/>
      <c r="E55" s="5"/>
      <c r="F55" s="5"/>
    </row>
    <row r="56" spans="1:6" ht="14.4" x14ac:dyDescent="0.25">
      <c r="A56" s="22">
        <v>41274</v>
      </c>
      <c r="B56" s="4" t="s">
        <v>60</v>
      </c>
      <c r="C56" s="1">
        <v>55</v>
      </c>
      <c r="D56" s="5"/>
      <c r="E56" s="5"/>
      <c r="F56" s="5"/>
    </row>
    <row r="57" spans="1:6" ht="14.4" x14ac:dyDescent="0.25">
      <c r="A57" s="22">
        <v>41274</v>
      </c>
      <c r="B57" s="4" t="s">
        <v>61</v>
      </c>
      <c r="C57" s="1">
        <v>56</v>
      </c>
      <c r="D57" s="5"/>
      <c r="E57" s="5"/>
      <c r="F57" s="5"/>
    </row>
    <row r="58" spans="1:6" ht="14.4" x14ac:dyDescent="0.25">
      <c r="A58" s="22">
        <v>41274</v>
      </c>
      <c r="B58" s="4" t="s">
        <v>62</v>
      </c>
      <c r="C58" s="1">
        <v>57</v>
      </c>
      <c r="D58" s="5"/>
      <c r="E58" s="5"/>
      <c r="F58" s="5"/>
    </row>
    <row r="59" spans="1:6" ht="14.4" x14ac:dyDescent="0.25">
      <c r="A59" s="22">
        <v>41274</v>
      </c>
      <c r="B59" s="4" t="s">
        <v>63</v>
      </c>
      <c r="C59" s="1">
        <v>58</v>
      </c>
      <c r="D59" s="5"/>
      <c r="E59" s="5"/>
      <c r="F59" s="5"/>
    </row>
    <row r="60" spans="1:6" ht="14.4" x14ac:dyDescent="0.25">
      <c r="A60" s="22">
        <v>41274</v>
      </c>
      <c r="B60" s="4" t="s">
        <v>64</v>
      </c>
      <c r="C60" s="1">
        <v>59</v>
      </c>
      <c r="D60" s="5"/>
      <c r="E60" s="5"/>
      <c r="F60" s="5"/>
    </row>
    <row r="61" spans="1:6" ht="14.4" x14ac:dyDescent="0.25">
      <c r="A61" s="22">
        <v>41274</v>
      </c>
      <c r="B61" s="4" t="s">
        <v>65</v>
      </c>
      <c r="C61" s="1">
        <v>60</v>
      </c>
      <c r="D61" s="5"/>
      <c r="E61" s="5"/>
      <c r="F61" s="5"/>
    </row>
    <row r="62" spans="1:6" ht="14.4" x14ac:dyDescent="0.25">
      <c r="A62" s="22">
        <v>41274</v>
      </c>
      <c r="B62" s="4" t="s">
        <v>66</v>
      </c>
      <c r="C62" s="1">
        <v>61</v>
      </c>
      <c r="D62" s="5"/>
      <c r="E62" s="5"/>
      <c r="F62" s="5"/>
    </row>
    <row r="63" spans="1:6" ht="14.4" x14ac:dyDescent="0.25">
      <c r="A63" s="22">
        <v>41274</v>
      </c>
      <c r="B63" s="4" t="s">
        <v>67</v>
      </c>
      <c r="C63" s="1">
        <v>62</v>
      </c>
      <c r="D63" s="5"/>
      <c r="E63" s="5"/>
      <c r="F63" s="5"/>
    </row>
    <row r="64" spans="1:6" ht="14.4" x14ac:dyDescent="0.25">
      <c r="A64" s="22">
        <v>41274</v>
      </c>
      <c r="B64" s="4" t="s">
        <v>68</v>
      </c>
      <c r="C64" s="1">
        <v>63</v>
      </c>
      <c r="D64" s="5"/>
      <c r="E64" s="5"/>
      <c r="F64" s="5"/>
    </row>
    <row r="65" spans="1:6" ht="14.4" x14ac:dyDescent="0.25">
      <c r="A65" s="22">
        <v>41274</v>
      </c>
      <c r="B65" s="4" t="s">
        <v>69</v>
      </c>
      <c r="C65" s="1">
        <v>64</v>
      </c>
      <c r="D65" s="5"/>
      <c r="E65" s="5"/>
      <c r="F65" s="5"/>
    </row>
    <row r="66" spans="1:6" ht="14.4" x14ac:dyDescent="0.25">
      <c r="A66" s="23">
        <v>41639</v>
      </c>
      <c r="B66" s="4" t="s">
        <v>5</v>
      </c>
      <c r="C66" s="1">
        <v>1</v>
      </c>
      <c r="D66" s="5"/>
      <c r="E66" s="5">
        <v>246005.89</v>
      </c>
      <c r="F66" s="5"/>
    </row>
    <row r="67" spans="1:6" ht="14.4" x14ac:dyDescent="0.25">
      <c r="A67" s="23">
        <v>41639</v>
      </c>
      <c r="B67" s="4" t="s">
        <v>6</v>
      </c>
      <c r="C67" s="1">
        <v>2</v>
      </c>
      <c r="D67" s="5"/>
      <c r="E67" s="5"/>
      <c r="F67" s="5"/>
    </row>
    <row r="68" spans="1:6" ht="14.4" x14ac:dyDescent="0.25">
      <c r="A68" s="23">
        <v>41639</v>
      </c>
      <c r="B68" s="4" t="s">
        <v>7</v>
      </c>
      <c r="C68" s="1">
        <v>3</v>
      </c>
      <c r="D68" s="5">
        <f>SUM(D69:D97)+SUM(I66:I97)</f>
        <v>0</v>
      </c>
      <c r="E68" s="5">
        <f>SUM(E69:E129)</f>
        <v>5888504.1300000008</v>
      </c>
      <c r="F68" s="5">
        <f>SUM(F69:F129)</f>
        <v>5358113.9400000004</v>
      </c>
    </row>
    <row r="69" spans="1:6" ht="14.4" x14ac:dyDescent="0.25">
      <c r="A69" s="23">
        <v>41639</v>
      </c>
      <c r="B69" s="4" t="s">
        <v>8</v>
      </c>
      <c r="C69" s="1">
        <v>4</v>
      </c>
      <c r="D69" s="5"/>
      <c r="E69" s="5"/>
      <c r="F69" s="5"/>
    </row>
    <row r="70" spans="1:6" ht="14.4" x14ac:dyDescent="0.25">
      <c r="A70" s="23">
        <v>41639</v>
      </c>
      <c r="B70" s="4" t="s">
        <v>9</v>
      </c>
      <c r="C70" s="1">
        <v>5</v>
      </c>
      <c r="D70" s="5"/>
      <c r="E70" s="5">
        <v>511826.3</v>
      </c>
      <c r="F70" s="5">
        <v>233622</v>
      </c>
    </row>
    <row r="71" spans="1:6" ht="14.4" x14ac:dyDescent="0.25">
      <c r="A71" s="23">
        <v>41639</v>
      </c>
      <c r="B71" s="4" t="s">
        <v>10</v>
      </c>
      <c r="C71" s="1">
        <v>6</v>
      </c>
      <c r="D71" s="5"/>
      <c r="E71" s="5">
        <v>33508.699999999997</v>
      </c>
      <c r="F71" s="5">
        <v>26498.5</v>
      </c>
    </row>
    <row r="72" spans="1:6" ht="14.4" x14ac:dyDescent="0.25">
      <c r="A72" s="23">
        <v>41639</v>
      </c>
      <c r="B72" s="4" t="s">
        <v>11</v>
      </c>
      <c r="C72" s="1">
        <v>7</v>
      </c>
      <c r="D72" s="5"/>
      <c r="E72" s="5">
        <v>689592.3</v>
      </c>
      <c r="F72" s="5">
        <v>471748.6</v>
      </c>
    </row>
    <row r="73" spans="1:6" ht="14.4" x14ac:dyDescent="0.25">
      <c r="A73" s="23">
        <v>41639</v>
      </c>
      <c r="B73" s="4" t="s">
        <v>12</v>
      </c>
      <c r="C73" s="1">
        <v>8</v>
      </c>
      <c r="D73" s="5"/>
      <c r="E73" s="5"/>
      <c r="F73" s="5"/>
    </row>
    <row r="74" spans="1:6" ht="14.4" x14ac:dyDescent="0.25">
      <c r="A74" s="23">
        <v>41639</v>
      </c>
      <c r="B74" s="4" t="s">
        <v>13</v>
      </c>
      <c r="C74" s="1">
        <v>9</v>
      </c>
      <c r="D74" s="5"/>
      <c r="E74" s="5"/>
      <c r="F74" s="5"/>
    </row>
    <row r="75" spans="1:6" ht="14.4" x14ac:dyDescent="0.25">
      <c r="A75" s="23">
        <v>41639</v>
      </c>
      <c r="B75" s="4" t="s">
        <v>14</v>
      </c>
      <c r="C75" s="1">
        <v>10</v>
      </c>
      <c r="D75" s="5"/>
      <c r="E75" s="5"/>
      <c r="F75" s="5"/>
    </row>
    <row r="76" spans="1:6" ht="14.4" x14ac:dyDescent="0.25">
      <c r="A76" s="23">
        <v>41639</v>
      </c>
      <c r="B76" s="4" t="s">
        <v>15</v>
      </c>
      <c r="C76" s="1">
        <v>11</v>
      </c>
      <c r="D76" s="5"/>
      <c r="E76" s="5">
        <v>109983.6</v>
      </c>
      <c r="F76" s="5">
        <v>107854.31</v>
      </c>
    </row>
    <row r="77" spans="1:6" ht="14.4" x14ac:dyDescent="0.25">
      <c r="A77" s="23">
        <v>41639</v>
      </c>
      <c r="B77" s="4" t="s">
        <v>16</v>
      </c>
      <c r="C77" s="1">
        <v>12</v>
      </c>
      <c r="D77" s="5"/>
      <c r="E77" s="5">
        <v>39793.11</v>
      </c>
      <c r="F77" s="5">
        <v>37475.35</v>
      </c>
    </row>
    <row r="78" spans="1:6" ht="14.4" x14ac:dyDescent="0.25">
      <c r="A78" s="23">
        <v>41639</v>
      </c>
      <c r="B78" s="4" t="s">
        <v>17</v>
      </c>
      <c r="C78" s="1">
        <v>13</v>
      </c>
      <c r="D78" s="5"/>
      <c r="E78" s="5">
        <v>293010.68</v>
      </c>
      <c r="F78" s="5">
        <v>266470.05</v>
      </c>
    </row>
    <row r="79" spans="1:6" ht="14.4" x14ac:dyDescent="0.25">
      <c r="A79" s="23">
        <v>41639</v>
      </c>
      <c r="B79" s="4" t="s">
        <v>18</v>
      </c>
      <c r="C79" s="1">
        <v>14</v>
      </c>
      <c r="D79" s="5"/>
      <c r="E79" s="5"/>
      <c r="F79" s="5"/>
    </row>
    <row r="80" spans="1:6" ht="14.4" x14ac:dyDescent="0.25">
      <c r="A80" s="23">
        <v>41639</v>
      </c>
      <c r="B80" s="4" t="s">
        <v>19</v>
      </c>
      <c r="C80" s="1">
        <v>15</v>
      </c>
      <c r="D80" s="5"/>
      <c r="E80" s="5">
        <v>17019</v>
      </c>
      <c r="F80" s="5">
        <v>18876</v>
      </c>
    </row>
    <row r="81" spans="1:6" ht="14.4" x14ac:dyDescent="0.25">
      <c r="A81" s="23">
        <v>41639</v>
      </c>
      <c r="B81" s="4" t="s">
        <v>20</v>
      </c>
      <c r="C81" s="1">
        <v>16</v>
      </c>
      <c r="D81" s="5"/>
      <c r="E81" s="5"/>
      <c r="F81" s="5"/>
    </row>
    <row r="82" spans="1:6" ht="14.4" x14ac:dyDescent="0.25">
      <c r="A82" s="23">
        <v>41639</v>
      </c>
      <c r="B82" s="4" t="s">
        <v>21</v>
      </c>
      <c r="C82" s="1">
        <v>17</v>
      </c>
      <c r="D82" s="5"/>
      <c r="E82" s="5"/>
      <c r="F82" s="5"/>
    </row>
    <row r="83" spans="1:6" ht="14.4" x14ac:dyDescent="0.25">
      <c r="A83" s="23">
        <v>41639</v>
      </c>
      <c r="B83" s="4" t="s">
        <v>22</v>
      </c>
      <c r="C83" s="1">
        <v>18</v>
      </c>
      <c r="D83" s="5"/>
      <c r="E83" s="5">
        <v>75445</v>
      </c>
      <c r="F83" s="5">
        <v>75445</v>
      </c>
    </row>
    <row r="84" spans="1:6" ht="14.4" x14ac:dyDescent="0.25">
      <c r="A84" s="23">
        <v>41639</v>
      </c>
      <c r="B84" s="4" t="s">
        <v>23</v>
      </c>
      <c r="C84" s="1">
        <v>19</v>
      </c>
      <c r="D84" s="5"/>
      <c r="E84" s="5"/>
      <c r="F84" s="5"/>
    </row>
    <row r="85" spans="1:6" ht="14.4" x14ac:dyDescent="0.25">
      <c r="A85" s="23">
        <v>41639</v>
      </c>
      <c r="B85" s="4" t="s">
        <v>24</v>
      </c>
      <c r="C85" s="1">
        <v>20</v>
      </c>
      <c r="D85" s="5"/>
      <c r="E85" s="5"/>
      <c r="F85" s="5"/>
    </row>
    <row r="86" spans="1:6" ht="14.4" x14ac:dyDescent="0.25">
      <c r="A86" s="23">
        <v>41639</v>
      </c>
      <c r="B86" s="4" t="s">
        <v>25</v>
      </c>
      <c r="C86" s="1">
        <v>21</v>
      </c>
      <c r="D86" s="5"/>
      <c r="E86" s="5"/>
      <c r="F86" s="5"/>
    </row>
    <row r="87" spans="1:6" ht="14.4" x14ac:dyDescent="0.25">
      <c r="A87" s="23">
        <v>41639</v>
      </c>
      <c r="B87" s="4" t="s">
        <v>26</v>
      </c>
      <c r="C87" s="1">
        <v>22</v>
      </c>
      <c r="D87" s="5"/>
      <c r="E87" s="5">
        <v>7011</v>
      </c>
      <c r="F87" s="5">
        <v>500</v>
      </c>
    </row>
    <row r="88" spans="1:6" ht="14.4" x14ac:dyDescent="0.25">
      <c r="A88" s="23">
        <v>41639</v>
      </c>
      <c r="B88" s="4" t="s">
        <v>27</v>
      </c>
      <c r="C88" s="1">
        <v>23</v>
      </c>
      <c r="D88" s="5"/>
      <c r="E88" s="5">
        <v>4897.08</v>
      </c>
      <c r="F88" s="5"/>
    </row>
    <row r="89" spans="1:6" ht="14.4" x14ac:dyDescent="0.25">
      <c r="A89" s="23">
        <v>41639</v>
      </c>
      <c r="B89" s="4" t="s">
        <v>28</v>
      </c>
      <c r="C89" s="1">
        <v>24</v>
      </c>
      <c r="D89" s="5"/>
      <c r="E89" s="5">
        <v>22843.200000000001</v>
      </c>
      <c r="F89" s="5">
        <v>28143.200000000001</v>
      </c>
    </row>
    <row r="90" spans="1:6" ht="14.4" x14ac:dyDescent="0.25">
      <c r="A90" s="23">
        <v>41639</v>
      </c>
      <c r="B90" s="4" t="s">
        <v>29</v>
      </c>
      <c r="C90" s="1">
        <v>25</v>
      </c>
      <c r="D90" s="5"/>
      <c r="E90" s="5">
        <v>143580.31</v>
      </c>
      <c r="F90" s="5">
        <v>141420.20000000001</v>
      </c>
    </row>
    <row r="91" spans="1:6" ht="14.4" x14ac:dyDescent="0.25">
      <c r="A91" s="23">
        <v>41639</v>
      </c>
      <c r="B91" s="4" t="s">
        <v>30</v>
      </c>
      <c r="C91" s="1">
        <v>26</v>
      </c>
      <c r="D91" s="5"/>
      <c r="E91" s="5"/>
      <c r="F91" s="5"/>
    </row>
    <row r="92" spans="1:6" ht="14.4" x14ac:dyDescent="0.25">
      <c r="A92" s="23">
        <v>41639</v>
      </c>
      <c r="B92" s="4" t="s">
        <v>31</v>
      </c>
      <c r="C92" s="1">
        <v>27</v>
      </c>
      <c r="D92" s="5"/>
      <c r="E92" s="6">
        <v>402992.1</v>
      </c>
      <c r="F92" s="5">
        <v>804164.1</v>
      </c>
    </row>
    <row r="93" spans="1:6" ht="14.4" x14ac:dyDescent="0.25">
      <c r="A93" s="23">
        <v>41639</v>
      </c>
      <c r="B93" s="4" t="s">
        <v>32</v>
      </c>
      <c r="C93" s="1">
        <v>28</v>
      </c>
      <c r="D93" s="5"/>
      <c r="E93" s="5">
        <v>1145227.1399999999</v>
      </c>
      <c r="F93" s="5">
        <v>1270264.55</v>
      </c>
    </row>
    <row r="94" spans="1:6" ht="14.4" x14ac:dyDescent="0.25">
      <c r="A94" s="23">
        <v>41639</v>
      </c>
      <c r="B94" s="4" t="s">
        <v>33</v>
      </c>
      <c r="C94" s="1">
        <v>29</v>
      </c>
      <c r="D94" s="5"/>
      <c r="E94" s="5"/>
      <c r="F94" s="5"/>
    </row>
    <row r="95" spans="1:6" ht="14.4" x14ac:dyDescent="0.25">
      <c r="A95" s="23">
        <v>41639</v>
      </c>
      <c r="B95" s="4" t="s">
        <v>34</v>
      </c>
      <c r="C95" s="1">
        <v>30</v>
      </c>
      <c r="D95" s="5"/>
      <c r="E95" s="5">
        <v>32522.05</v>
      </c>
      <c r="F95" s="5">
        <v>53003.08</v>
      </c>
    </row>
    <row r="96" spans="1:6" ht="14.4" x14ac:dyDescent="0.25">
      <c r="A96" s="23">
        <v>41639</v>
      </c>
      <c r="B96" s="4" t="s">
        <v>35</v>
      </c>
      <c r="C96" s="1">
        <v>31</v>
      </c>
      <c r="D96" s="5"/>
      <c r="E96" s="5">
        <v>9069</v>
      </c>
      <c r="F96" s="5">
        <v>7821</v>
      </c>
    </row>
    <row r="97" spans="1:6" ht="14.4" x14ac:dyDescent="0.25">
      <c r="A97" s="23">
        <v>41639</v>
      </c>
      <c r="B97" s="4" t="s">
        <v>36</v>
      </c>
      <c r="C97" s="1">
        <v>32</v>
      </c>
      <c r="D97" s="5"/>
      <c r="E97" s="7"/>
      <c r="F97" s="5"/>
    </row>
    <row r="98" spans="1:6" ht="14.4" x14ac:dyDescent="0.25">
      <c r="A98" s="23">
        <v>41639</v>
      </c>
      <c r="B98" s="4" t="s">
        <v>38</v>
      </c>
      <c r="C98" s="1">
        <v>33</v>
      </c>
      <c r="D98" s="5"/>
      <c r="E98" s="5">
        <v>2560.7399999999998</v>
      </c>
      <c r="F98" s="5">
        <v>1740.65</v>
      </c>
    </row>
    <row r="99" spans="1:6" ht="14.4" x14ac:dyDescent="0.25">
      <c r="A99" s="23">
        <v>41639</v>
      </c>
      <c r="B99" s="4" t="s">
        <v>39</v>
      </c>
      <c r="C99" s="1">
        <v>34</v>
      </c>
      <c r="D99" s="5"/>
      <c r="E99" s="5"/>
      <c r="F99" s="5"/>
    </row>
    <row r="100" spans="1:6" ht="14.4" x14ac:dyDescent="0.25">
      <c r="A100" s="23">
        <v>41639</v>
      </c>
      <c r="B100" s="4" t="s">
        <v>40</v>
      </c>
      <c r="C100" s="1">
        <v>35</v>
      </c>
      <c r="D100" s="5"/>
      <c r="E100" s="5">
        <v>1212750.24</v>
      </c>
      <c r="F100" s="5">
        <v>1255711.3400000001</v>
      </c>
    </row>
    <row r="101" spans="1:6" ht="14.4" x14ac:dyDescent="0.25">
      <c r="A101" s="23">
        <v>41639</v>
      </c>
      <c r="B101" s="4" t="s">
        <v>41</v>
      </c>
      <c r="C101" s="1">
        <v>36</v>
      </c>
      <c r="D101" s="5"/>
      <c r="E101" s="5"/>
      <c r="F101" s="5">
        <v>1080</v>
      </c>
    </row>
    <row r="102" spans="1:6" ht="14.4" x14ac:dyDescent="0.25">
      <c r="A102" s="23">
        <v>41639</v>
      </c>
      <c r="B102" s="4" t="s">
        <v>42</v>
      </c>
      <c r="C102" s="1">
        <v>37</v>
      </c>
      <c r="D102" s="5"/>
      <c r="E102" s="5">
        <v>19526.22</v>
      </c>
      <c r="F102" s="5">
        <v>27914.23</v>
      </c>
    </row>
    <row r="103" spans="1:6" ht="14.4" x14ac:dyDescent="0.25">
      <c r="A103" s="23">
        <v>41639</v>
      </c>
      <c r="B103" s="4" t="s">
        <v>43</v>
      </c>
      <c r="C103" s="1">
        <v>38</v>
      </c>
      <c r="D103" s="5"/>
      <c r="E103" s="5"/>
      <c r="F103" s="5"/>
    </row>
    <row r="104" spans="1:6" ht="14.4" x14ac:dyDescent="0.25">
      <c r="A104" s="23">
        <v>41639</v>
      </c>
      <c r="B104" s="4" t="s">
        <v>44</v>
      </c>
      <c r="C104" s="1">
        <v>39</v>
      </c>
      <c r="D104" s="5"/>
      <c r="E104" s="5"/>
      <c r="F104" s="5"/>
    </row>
    <row r="105" spans="1:6" ht="14.4" x14ac:dyDescent="0.25">
      <c r="A105" s="23">
        <v>41639</v>
      </c>
      <c r="B105" s="4" t="s">
        <v>45</v>
      </c>
      <c r="C105" s="1">
        <v>40</v>
      </c>
      <c r="D105" s="5"/>
      <c r="E105" s="5"/>
      <c r="F105" s="5"/>
    </row>
    <row r="106" spans="1:6" ht="14.4" x14ac:dyDescent="0.25">
      <c r="A106" s="23">
        <v>41639</v>
      </c>
      <c r="B106" s="4" t="s">
        <v>46</v>
      </c>
      <c r="C106" s="1">
        <v>41</v>
      </c>
      <c r="D106" s="5"/>
      <c r="E106" s="5">
        <v>153500</v>
      </c>
      <c r="F106" s="5">
        <v>120600</v>
      </c>
    </row>
    <row r="107" spans="1:6" ht="14.4" x14ac:dyDescent="0.25">
      <c r="A107" s="23">
        <v>41639</v>
      </c>
      <c r="B107" s="4" t="s">
        <v>47</v>
      </c>
      <c r="C107" s="1">
        <v>42</v>
      </c>
      <c r="D107" s="5"/>
      <c r="E107" s="5"/>
      <c r="F107" s="5"/>
    </row>
    <row r="108" spans="1:6" ht="14.4" x14ac:dyDescent="0.25">
      <c r="A108" s="23">
        <v>41639</v>
      </c>
      <c r="B108" s="4" t="s">
        <v>48</v>
      </c>
      <c r="C108" s="1">
        <v>43</v>
      </c>
      <c r="D108" s="5"/>
      <c r="E108" s="6">
        <v>261519.79</v>
      </c>
      <c r="F108" s="5">
        <v>231333</v>
      </c>
    </row>
    <row r="109" spans="1:6" ht="14.4" x14ac:dyDescent="0.25">
      <c r="A109" s="23">
        <v>41639</v>
      </c>
      <c r="B109" s="4" t="s">
        <v>49</v>
      </c>
      <c r="C109" s="1">
        <v>44</v>
      </c>
      <c r="D109" s="5"/>
      <c r="E109" s="5">
        <v>700326.57</v>
      </c>
      <c r="F109" s="5">
        <v>176428.78</v>
      </c>
    </row>
    <row r="110" spans="1:6" ht="14.4" x14ac:dyDescent="0.25">
      <c r="A110" s="23">
        <v>41639</v>
      </c>
      <c r="B110" s="4" t="s">
        <v>50</v>
      </c>
      <c r="C110" s="1">
        <v>45</v>
      </c>
      <c r="D110" s="5"/>
      <c r="E110" s="5"/>
      <c r="F110" s="5"/>
    </row>
    <row r="111" spans="1:6" ht="14.4" x14ac:dyDescent="0.25">
      <c r="A111" s="23">
        <v>41639</v>
      </c>
      <c r="B111" s="4" t="s">
        <v>51</v>
      </c>
      <c r="C111" s="1">
        <v>46</v>
      </c>
      <c r="D111" s="5"/>
      <c r="E111" s="5"/>
      <c r="F111" s="5"/>
    </row>
    <row r="112" spans="1:6" ht="14.4" x14ac:dyDescent="0.25">
      <c r="A112" s="23">
        <v>41639</v>
      </c>
      <c r="B112" s="4" t="s">
        <v>52</v>
      </c>
      <c r="C112" s="1">
        <v>47</v>
      </c>
      <c r="D112" s="5"/>
      <c r="E112" s="5"/>
      <c r="F112" s="5"/>
    </row>
    <row r="113" spans="1:6" ht="14.4" x14ac:dyDescent="0.25">
      <c r="A113" s="23">
        <v>41639</v>
      </c>
      <c r="B113" s="4" t="s">
        <v>53</v>
      </c>
      <c r="C113" s="1">
        <v>48</v>
      </c>
      <c r="D113" s="5"/>
      <c r="E113" s="5"/>
      <c r="F113" s="5"/>
    </row>
    <row r="114" spans="1:6" ht="14.4" x14ac:dyDescent="0.25">
      <c r="A114" s="23">
        <v>41639</v>
      </c>
      <c r="B114" s="4" t="s">
        <v>54</v>
      </c>
      <c r="C114" s="1">
        <v>49</v>
      </c>
      <c r="D114" s="5"/>
      <c r="E114" s="5"/>
      <c r="F114" s="5"/>
    </row>
    <row r="115" spans="1:6" ht="14.4" x14ac:dyDescent="0.25">
      <c r="A115" s="23">
        <v>41639</v>
      </c>
      <c r="B115" s="4" t="s">
        <v>55</v>
      </c>
      <c r="C115" s="1">
        <v>50</v>
      </c>
      <c r="D115" s="5"/>
      <c r="E115" s="5"/>
      <c r="F115" s="5"/>
    </row>
    <row r="116" spans="1:6" ht="14.4" x14ac:dyDescent="0.25">
      <c r="A116" s="23">
        <v>41639</v>
      </c>
      <c r="B116" s="4" t="s">
        <v>56</v>
      </c>
      <c r="C116" s="1">
        <v>51</v>
      </c>
      <c r="D116" s="5"/>
      <c r="E116" s="5"/>
      <c r="F116" s="5"/>
    </row>
    <row r="117" spans="1:6" ht="14.4" x14ac:dyDescent="0.25">
      <c r="A117" s="23">
        <v>41639</v>
      </c>
      <c r="B117" s="4" t="s">
        <v>57</v>
      </c>
      <c r="C117" s="1">
        <v>52</v>
      </c>
      <c r="D117" s="5"/>
      <c r="E117" s="5"/>
      <c r="F117" s="5"/>
    </row>
    <row r="118" spans="1:6" ht="14.4" x14ac:dyDescent="0.25">
      <c r="A118" s="23">
        <v>41639</v>
      </c>
      <c r="B118" s="4" t="s">
        <v>58</v>
      </c>
      <c r="C118" s="1">
        <v>53</v>
      </c>
      <c r="D118" s="5"/>
      <c r="E118" s="5"/>
      <c r="F118" s="5"/>
    </row>
    <row r="119" spans="1:6" ht="14.4" x14ac:dyDescent="0.25">
      <c r="A119" s="23">
        <v>41639</v>
      </c>
      <c r="B119" s="4" t="s">
        <v>59</v>
      </c>
      <c r="C119" s="1">
        <v>54</v>
      </c>
      <c r="D119" s="5"/>
      <c r="E119" s="5"/>
      <c r="F119" s="5"/>
    </row>
    <row r="120" spans="1:6" ht="14.4" x14ac:dyDescent="0.25">
      <c r="A120" s="23">
        <v>41639</v>
      </c>
      <c r="B120" s="4" t="s">
        <v>60</v>
      </c>
      <c r="C120" s="1">
        <v>55</v>
      </c>
      <c r="D120" s="5"/>
      <c r="E120" s="5"/>
      <c r="F120" s="5"/>
    </row>
    <row r="121" spans="1:6" ht="14.4" x14ac:dyDescent="0.25">
      <c r="A121" s="23">
        <v>41639</v>
      </c>
      <c r="B121" s="4" t="s">
        <v>61</v>
      </c>
      <c r="C121" s="1">
        <v>56</v>
      </c>
      <c r="D121" s="5"/>
      <c r="E121" s="5"/>
      <c r="F121" s="5"/>
    </row>
    <row r="122" spans="1:6" ht="14.4" x14ac:dyDescent="0.25">
      <c r="A122" s="23">
        <v>41639</v>
      </c>
      <c r="B122" s="4" t="s">
        <v>62</v>
      </c>
      <c r="C122" s="1">
        <v>57</v>
      </c>
      <c r="D122" s="5"/>
      <c r="E122" s="5"/>
      <c r="F122" s="5"/>
    </row>
    <row r="123" spans="1:6" ht="14.4" x14ac:dyDescent="0.25">
      <c r="A123" s="23">
        <v>41639</v>
      </c>
      <c r="B123" s="4" t="s">
        <v>63</v>
      </c>
      <c r="C123" s="1">
        <v>58</v>
      </c>
      <c r="D123" s="5"/>
      <c r="E123" s="5"/>
      <c r="F123" s="5"/>
    </row>
    <row r="124" spans="1:6" ht="14.4" x14ac:dyDescent="0.25">
      <c r="A124" s="23">
        <v>41639</v>
      </c>
      <c r="B124" s="4" t="s">
        <v>64</v>
      </c>
      <c r="C124" s="1">
        <v>59</v>
      </c>
      <c r="D124" s="5"/>
      <c r="E124" s="5"/>
      <c r="F124" s="5"/>
    </row>
    <row r="125" spans="1:6" ht="14.4" x14ac:dyDescent="0.25">
      <c r="A125" s="23">
        <v>41639</v>
      </c>
      <c r="B125" s="4" t="s">
        <v>65</v>
      </c>
      <c r="C125" s="1">
        <v>60</v>
      </c>
      <c r="D125" s="5"/>
      <c r="E125" s="5"/>
      <c r="F125" s="5"/>
    </row>
    <row r="126" spans="1:6" ht="14.4" x14ac:dyDescent="0.25">
      <c r="A126" s="23">
        <v>41639</v>
      </c>
      <c r="B126" s="4" t="s">
        <v>66</v>
      </c>
      <c r="C126" s="1">
        <v>61</v>
      </c>
      <c r="D126" s="5"/>
      <c r="E126" s="5"/>
      <c r="F126" s="5"/>
    </row>
    <row r="127" spans="1:6" ht="14.4" x14ac:dyDescent="0.25">
      <c r="A127" s="23">
        <v>41639</v>
      </c>
      <c r="B127" s="4" t="s">
        <v>67</v>
      </c>
      <c r="C127" s="1">
        <v>62</v>
      </c>
      <c r="D127" s="5"/>
      <c r="E127" s="5"/>
      <c r="F127" s="5"/>
    </row>
    <row r="128" spans="1:6" ht="14.4" x14ac:dyDescent="0.25">
      <c r="A128" s="23">
        <v>41639</v>
      </c>
      <c r="B128" s="4" t="s">
        <v>68</v>
      </c>
      <c r="C128" s="1">
        <v>63</v>
      </c>
      <c r="D128" s="5"/>
      <c r="E128" s="5"/>
      <c r="F128" s="5"/>
    </row>
    <row r="129" spans="1:6" ht="14.4" x14ac:dyDescent="0.25">
      <c r="A129" s="23">
        <v>41639</v>
      </c>
      <c r="B129" s="4" t="s">
        <v>69</v>
      </c>
      <c r="C129" s="1">
        <v>64</v>
      </c>
      <c r="D129" s="5"/>
      <c r="E129" s="5"/>
      <c r="F129" s="5"/>
    </row>
    <row r="130" spans="1:6" ht="14.4" x14ac:dyDescent="0.25">
      <c r="A130" s="23">
        <v>42004</v>
      </c>
      <c r="B130" s="4" t="s">
        <v>5</v>
      </c>
      <c r="C130" s="1">
        <v>1</v>
      </c>
      <c r="D130" s="5">
        <v>74810.490000000005</v>
      </c>
      <c r="E130" s="5">
        <v>630164.65</v>
      </c>
      <c r="F130" s="5">
        <v>246005.89</v>
      </c>
    </row>
    <row r="131" spans="1:6" ht="14.4" x14ac:dyDescent="0.25">
      <c r="A131" s="23">
        <v>42004</v>
      </c>
      <c r="B131" s="4" t="s">
        <v>6</v>
      </c>
      <c r="C131" s="1">
        <v>2</v>
      </c>
      <c r="D131" s="5"/>
      <c r="E131" s="5"/>
      <c r="F131" s="5"/>
    </row>
    <row r="132" spans="1:6" ht="14.4" x14ac:dyDescent="0.25">
      <c r="A132" s="23">
        <v>42004</v>
      </c>
      <c r="B132" s="4" t="s">
        <v>7</v>
      </c>
      <c r="C132" s="1">
        <v>3</v>
      </c>
      <c r="D132" s="5">
        <f>SUM(D133:D161)+SUM(I130:I161)</f>
        <v>0</v>
      </c>
      <c r="E132" s="5">
        <f>SUM(E133:E193)</f>
        <v>5575041.1400000006</v>
      </c>
      <c r="F132" s="5">
        <f>SUM(F133:F193)</f>
        <v>5888504.1300000008</v>
      </c>
    </row>
    <row r="133" spans="1:6" ht="14.4" x14ac:dyDescent="0.25">
      <c r="A133" s="23">
        <v>42004</v>
      </c>
      <c r="B133" s="4" t="s">
        <v>8</v>
      </c>
      <c r="C133" s="1">
        <v>4</v>
      </c>
      <c r="D133" s="5"/>
      <c r="E133" s="5"/>
      <c r="F133" s="5"/>
    </row>
    <row r="134" spans="1:6" ht="14.4" x14ac:dyDescent="0.25">
      <c r="A134" s="23">
        <v>42004</v>
      </c>
      <c r="B134" s="4" t="s">
        <v>9</v>
      </c>
      <c r="C134" s="1">
        <v>5</v>
      </c>
      <c r="D134" s="5"/>
      <c r="E134" s="5">
        <v>498547.8</v>
      </c>
      <c r="F134" s="5">
        <v>511826.3</v>
      </c>
    </row>
    <row r="135" spans="1:6" ht="14.4" x14ac:dyDescent="0.25">
      <c r="A135" s="23">
        <v>42004</v>
      </c>
      <c r="B135" s="4" t="s">
        <v>10</v>
      </c>
      <c r="C135" s="1">
        <v>6</v>
      </c>
      <c r="D135" s="5"/>
      <c r="E135" s="5">
        <v>44558.5</v>
      </c>
      <c r="F135" s="5">
        <v>33508.699999999997</v>
      </c>
    </row>
    <row r="136" spans="1:6" ht="14.4" x14ac:dyDescent="0.25">
      <c r="A136" s="23">
        <v>42004</v>
      </c>
      <c r="B136" s="4" t="s">
        <v>11</v>
      </c>
      <c r="C136" s="1">
        <v>7</v>
      </c>
      <c r="D136" s="5"/>
      <c r="E136" s="5">
        <v>228336.5</v>
      </c>
      <c r="F136" s="5">
        <v>689592.3</v>
      </c>
    </row>
    <row r="137" spans="1:6" ht="14.4" x14ac:dyDescent="0.25">
      <c r="A137" s="23">
        <v>42004</v>
      </c>
      <c r="B137" s="4" t="s">
        <v>12</v>
      </c>
      <c r="C137" s="1">
        <v>8</v>
      </c>
      <c r="D137" s="5"/>
      <c r="E137" s="5"/>
      <c r="F137" s="5"/>
    </row>
    <row r="138" spans="1:6" ht="14.4" x14ac:dyDescent="0.25">
      <c r="A138" s="23">
        <v>42004</v>
      </c>
      <c r="B138" s="4" t="s">
        <v>13</v>
      </c>
      <c r="C138" s="1">
        <v>9</v>
      </c>
      <c r="D138" s="5"/>
      <c r="E138" s="5"/>
      <c r="F138" s="5"/>
    </row>
    <row r="139" spans="1:6" ht="14.4" x14ac:dyDescent="0.25">
      <c r="A139" s="23">
        <v>42004</v>
      </c>
      <c r="B139" s="4" t="s">
        <v>14</v>
      </c>
      <c r="C139" s="1">
        <v>10</v>
      </c>
      <c r="D139" s="5"/>
      <c r="E139" s="5"/>
      <c r="F139" s="5"/>
    </row>
    <row r="140" spans="1:6" ht="14.4" x14ac:dyDescent="0.25">
      <c r="A140" s="23">
        <v>42004</v>
      </c>
      <c r="B140" s="4" t="s">
        <v>15</v>
      </c>
      <c r="C140" s="1">
        <v>11</v>
      </c>
      <c r="D140" s="5"/>
      <c r="E140" s="5">
        <v>293531.5</v>
      </c>
      <c r="F140" s="5">
        <v>109983.6</v>
      </c>
    </row>
    <row r="141" spans="1:6" ht="14.4" x14ac:dyDescent="0.25">
      <c r="A141" s="23">
        <v>42004</v>
      </c>
      <c r="B141" s="4" t="s">
        <v>16</v>
      </c>
      <c r="C141" s="1">
        <v>12</v>
      </c>
      <c r="D141" s="5"/>
      <c r="E141" s="5">
        <v>30899.95</v>
      </c>
      <c r="F141" s="5">
        <v>39793.11</v>
      </c>
    </row>
    <row r="142" spans="1:6" ht="14.4" x14ac:dyDescent="0.25">
      <c r="A142" s="23">
        <v>42004</v>
      </c>
      <c r="B142" s="4" t="s">
        <v>17</v>
      </c>
      <c r="C142" s="1">
        <v>13</v>
      </c>
      <c r="D142" s="5"/>
      <c r="E142" s="5">
        <v>427471.73</v>
      </c>
      <c r="F142" s="5">
        <v>293010.68</v>
      </c>
    </row>
    <row r="143" spans="1:6" ht="14.4" x14ac:dyDescent="0.25">
      <c r="A143" s="23">
        <v>42004</v>
      </c>
      <c r="B143" s="4" t="s">
        <v>18</v>
      </c>
      <c r="C143" s="1">
        <v>14</v>
      </c>
      <c r="D143" s="5"/>
      <c r="E143" s="5"/>
      <c r="F143" s="5"/>
    </row>
    <row r="144" spans="1:6" ht="14.4" x14ac:dyDescent="0.25">
      <c r="A144" s="23">
        <v>42004</v>
      </c>
      <c r="B144" s="4" t="s">
        <v>19</v>
      </c>
      <c r="C144" s="1">
        <v>15</v>
      </c>
      <c r="D144" s="5"/>
      <c r="E144" s="5">
        <v>4745</v>
      </c>
      <c r="F144" s="5">
        <v>17019</v>
      </c>
    </row>
    <row r="145" spans="1:6" ht="14.4" x14ac:dyDescent="0.25">
      <c r="A145" s="23">
        <v>42004</v>
      </c>
      <c r="B145" s="4" t="s">
        <v>20</v>
      </c>
      <c r="C145" s="1">
        <v>16</v>
      </c>
      <c r="D145" s="5"/>
      <c r="E145" s="5"/>
      <c r="F145" s="5"/>
    </row>
    <row r="146" spans="1:6" ht="14.4" x14ac:dyDescent="0.25">
      <c r="A146" s="23">
        <v>42004</v>
      </c>
      <c r="B146" s="4" t="s">
        <v>21</v>
      </c>
      <c r="C146" s="1">
        <v>17</v>
      </c>
      <c r="D146" s="5"/>
      <c r="E146" s="5"/>
      <c r="F146" s="5"/>
    </row>
    <row r="147" spans="1:6" ht="14.4" x14ac:dyDescent="0.25">
      <c r="A147" s="23">
        <v>42004</v>
      </c>
      <c r="B147" s="4" t="s">
        <v>22</v>
      </c>
      <c r="C147" s="1">
        <v>18</v>
      </c>
      <c r="D147" s="5"/>
      <c r="E147" s="5">
        <v>75445</v>
      </c>
      <c r="F147" s="5">
        <v>75445</v>
      </c>
    </row>
    <row r="148" spans="1:6" ht="14.4" x14ac:dyDescent="0.25">
      <c r="A148" s="23">
        <v>42004</v>
      </c>
      <c r="B148" s="4" t="s">
        <v>23</v>
      </c>
      <c r="C148" s="1">
        <v>19</v>
      </c>
      <c r="D148" s="5"/>
      <c r="E148" s="5"/>
      <c r="F148" s="5"/>
    </row>
    <row r="149" spans="1:6" ht="14.4" x14ac:dyDescent="0.25">
      <c r="A149" s="23">
        <v>42004</v>
      </c>
      <c r="B149" s="4" t="s">
        <v>24</v>
      </c>
      <c r="C149" s="1">
        <v>20</v>
      </c>
      <c r="D149" s="5"/>
      <c r="E149" s="5"/>
      <c r="F149" s="5"/>
    </row>
    <row r="150" spans="1:6" ht="14.4" x14ac:dyDescent="0.25">
      <c r="A150" s="23">
        <v>42004</v>
      </c>
      <c r="B150" s="4" t="s">
        <v>25</v>
      </c>
      <c r="C150" s="1">
        <v>21</v>
      </c>
      <c r="D150" s="5"/>
      <c r="E150" s="5"/>
      <c r="F150" s="5"/>
    </row>
    <row r="151" spans="1:6" ht="14.4" x14ac:dyDescent="0.25">
      <c r="A151" s="23">
        <v>42004</v>
      </c>
      <c r="B151" s="4" t="s">
        <v>26</v>
      </c>
      <c r="C151" s="1">
        <v>22</v>
      </c>
      <c r="D151" s="5"/>
      <c r="E151" s="5">
        <v>2900</v>
      </c>
      <c r="F151" s="5">
        <v>7011</v>
      </c>
    </row>
    <row r="152" spans="1:6" ht="14.4" x14ac:dyDescent="0.25">
      <c r="A152" s="23">
        <v>42004</v>
      </c>
      <c r="B152" s="4" t="s">
        <v>27</v>
      </c>
      <c r="C152" s="1">
        <v>23</v>
      </c>
      <c r="D152" s="5"/>
      <c r="E152" s="5"/>
      <c r="F152" s="5">
        <v>4897.08</v>
      </c>
    </row>
    <row r="153" spans="1:6" ht="14.4" x14ac:dyDescent="0.25">
      <c r="A153" s="23">
        <v>42004</v>
      </c>
      <c r="B153" s="4" t="s">
        <v>28</v>
      </c>
      <c r="C153" s="1">
        <v>24</v>
      </c>
      <c r="D153" s="5"/>
      <c r="E153" s="5">
        <v>22843.200000000001</v>
      </c>
      <c r="F153" s="5">
        <v>22843.200000000001</v>
      </c>
    </row>
    <row r="154" spans="1:6" ht="14.4" x14ac:dyDescent="0.25">
      <c r="A154" s="23">
        <v>42004</v>
      </c>
      <c r="B154" s="4" t="s">
        <v>29</v>
      </c>
      <c r="C154" s="1">
        <v>25</v>
      </c>
      <c r="D154" s="5"/>
      <c r="E154" s="5">
        <v>402598.03</v>
      </c>
      <c r="F154" s="5">
        <v>143580.31</v>
      </c>
    </row>
    <row r="155" spans="1:6" ht="14.4" x14ac:dyDescent="0.25">
      <c r="A155" s="23">
        <v>42004</v>
      </c>
      <c r="B155" s="4" t="s">
        <v>30</v>
      </c>
      <c r="C155" s="1">
        <v>26</v>
      </c>
      <c r="D155" s="5"/>
      <c r="E155" s="5"/>
      <c r="F155" s="5"/>
    </row>
    <row r="156" spans="1:6" ht="14.4" x14ac:dyDescent="0.25">
      <c r="A156" s="23">
        <v>42004</v>
      </c>
      <c r="B156" s="4" t="s">
        <v>31</v>
      </c>
      <c r="C156" s="1">
        <v>27</v>
      </c>
      <c r="D156" s="5"/>
      <c r="E156" s="6">
        <v>420237.6</v>
      </c>
      <c r="F156" s="5">
        <v>402992.1</v>
      </c>
    </row>
    <row r="157" spans="1:6" ht="14.4" x14ac:dyDescent="0.25">
      <c r="A157" s="23">
        <v>42004</v>
      </c>
      <c r="B157" s="4" t="s">
        <v>32</v>
      </c>
      <c r="C157" s="1">
        <v>28</v>
      </c>
      <c r="D157" s="5"/>
      <c r="E157" s="5">
        <v>1131273.6499999999</v>
      </c>
      <c r="F157" s="5">
        <v>1145227.1399999999</v>
      </c>
    </row>
    <row r="158" spans="1:6" ht="14.4" x14ac:dyDescent="0.25">
      <c r="A158" s="23">
        <v>42004</v>
      </c>
      <c r="B158" s="4" t="s">
        <v>33</v>
      </c>
      <c r="C158" s="1">
        <v>29</v>
      </c>
      <c r="D158" s="5"/>
      <c r="E158" s="5"/>
      <c r="F158" s="5"/>
    </row>
    <row r="159" spans="1:6" ht="14.4" x14ac:dyDescent="0.25">
      <c r="A159" s="23">
        <v>42004</v>
      </c>
      <c r="B159" s="4" t="s">
        <v>34</v>
      </c>
      <c r="C159" s="1">
        <v>30</v>
      </c>
      <c r="D159" s="5"/>
      <c r="E159" s="5">
        <v>90899.37</v>
      </c>
      <c r="F159" s="5">
        <v>32522.05</v>
      </c>
    </row>
    <row r="160" spans="1:6" ht="14.4" x14ac:dyDescent="0.25">
      <c r="A160" s="23">
        <v>42004</v>
      </c>
      <c r="B160" s="4" t="s">
        <v>35</v>
      </c>
      <c r="C160" s="1">
        <v>31</v>
      </c>
      <c r="D160" s="5"/>
      <c r="E160" s="5">
        <v>40693</v>
      </c>
      <c r="F160" s="5">
        <v>9069</v>
      </c>
    </row>
    <row r="161" spans="1:6" ht="14.4" x14ac:dyDescent="0.25">
      <c r="A161" s="23">
        <v>42004</v>
      </c>
      <c r="B161" s="4" t="s">
        <v>36</v>
      </c>
      <c r="C161" s="1">
        <v>32</v>
      </c>
      <c r="D161" s="5"/>
      <c r="E161" s="7"/>
      <c r="F161" s="5"/>
    </row>
    <row r="162" spans="1:6" ht="14.4" x14ac:dyDescent="0.25">
      <c r="A162" s="23">
        <v>42004</v>
      </c>
      <c r="B162" s="4" t="s">
        <v>38</v>
      </c>
      <c r="C162" s="1">
        <v>33</v>
      </c>
      <c r="D162" s="5"/>
      <c r="E162" s="5">
        <v>2663.42</v>
      </c>
      <c r="F162" s="5">
        <v>2560.7399999999998</v>
      </c>
    </row>
    <row r="163" spans="1:6" ht="14.4" x14ac:dyDescent="0.25">
      <c r="A163" s="23">
        <v>42004</v>
      </c>
      <c r="B163" s="4" t="s">
        <v>39</v>
      </c>
      <c r="C163" s="1">
        <v>34</v>
      </c>
      <c r="D163" s="5"/>
      <c r="E163" s="5"/>
      <c r="F163" s="5"/>
    </row>
    <row r="164" spans="1:6" ht="14.4" x14ac:dyDescent="0.25">
      <c r="A164" s="23">
        <v>42004</v>
      </c>
      <c r="B164" s="4" t="s">
        <v>40</v>
      </c>
      <c r="C164" s="1">
        <v>35</v>
      </c>
      <c r="D164" s="5"/>
      <c r="E164" s="5">
        <v>1121206.2</v>
      </c>
      <c r="F164" s="5">
        <v>1212750.24</v>
      </c>
    </row>
    <row r="165" spans="1:6" ht="14.4" x14ac:dyDescent="0.25">
      <c r="A165" s="23">
        <v>42004</v>
      </c>
      <c r="B165" s="4" t="s">
        <v>41</v>
      </c>
      <c r="C165" s="1">
        <v>36</v>
      </c>
      <c r="D165" s="5"/>
      <c r="E165" s="5"/>
      <c r="F165" s="5"/>
    </row>
    <row r="166" spans="1:6" ht="14.4" x14ac:dyDescent="0.25">
      <c r="A166" s="23">
        <v>42004</v>
      </c>
      <c r="B166" s="4" t="s">
        <v>42</v>
      </c>
      <c r="C166" s="1">
        <v>37</v>
      </c>
      <c r="D166" s="5"/>
      <c r="E166" s="5">
        <v>28012.9</v>
      </c>
      <c r="F166" s="5">
        <v>19526.22</v>
      </c>
    </row>
    <row r="167" spans="1:6" ht="14.4" x14ac:dyDescent="0.25">
      <c r="A167" s="23">
        <v>42004</v>
      </c>
      <c r="B167" s="4" t="s">
        <v>43</v>
      </c>
      <c r="C167" s="1">
        <v>38</v>
      </c>
      <c r="D167" s="5"/>
      <c r="E167" s="5"/>
      <c r="F167" s="5"/>
    </row>
    <row r="168" spans="1:6" ht="14.4" x14ac:dyDescent="0.25">
      <c r="A168" s="23">
        <v>42004</v>
      </c>
      <c r="B168" s="4" t="s">
        <v>44</v>
      </c>
      <c r="C168" s="1">
        <v>39</v>
      </c>
      <c r="D168" s="5"/>
      <c r="E168" s="5"/>
      <c r="F168" s="5"/>
    </row>
    <row r="169" spans="1:6" ht="14.4" x14ac:dyDescent="0.25">
      <c r="A169" s="23">
        <v>42004</v>
      </c>
      <c r="B169" s="4" t="s">
        <v>45</v>
      </c>
      <c r="C169" s="1">
        <v>40</v>
      </c>
      <c r="D169" s="5"/>
      <c r="E169" s="5"/>
      <c r="F169" s="5"/>
    </row>
    <row r="170" spans="1:6" ht="14.4" x14ac:dyDescent="0.25">
      <c r="A170" s="23">
        <v>42004</v>
      </c>
      <c r="B170" s="4" t="s">
        <v>46</v>
      </c>
      <c r="C170" s="1">
        <v>41</v>
      </c>
      <c r="D170" s="5"/>
      <c r="E170" s="5">
        <v>168250</v>
      </c>
      <c r="F170" s="5">
        <v>153500</v>
      </c>
    </row>
    <row r="171" spans="1:6" ht="14.4" x14ac:dyDescent="0.25">
      <c r="A171" s="23">
        <v>42004</v>
      </c>
      <c r="B171" s="4" t="s">
        <v>47</v>
      </c>
      <c r="C171" s="1">
        <v>42</v>
      </c>
      <c r="D171" s="5"/>
      <c r="E171" s="5"/>
      <c r="F171" s="5"/>
    </row>
    <row r="172" spans="1:6" ht="14.4" x14ac:dyDescent="0.25">
      <c r="A172" s="23">
        <v>42004</v>
      </c>
      <c r="B172" s="4" t="s">
        <v>48</v>
      </c>
      <c r="C172" s="1">
        <v>43</v>
      </c>
      <c r="D172" s="5"/>
      <c r="E172" s="6">
        <v>269662.64</v>
      </c>
      <c r="F172" s="5">
        <v>261519.79</v>
      </c>
    </row>
    <row r="173" spans="1:6" ht="14.4" x14ac:dyDescent="0.25">
      <c r="A173" s="23">
        <v>42004</v>
      </c>
      <c r="B173" s="4" t="s">
        <v>49</v>
      </c>
      <c r="C173" s="1">
        <v>44</v>
      </c>
      <c r="D173" s="5"/>
      <c r="E173" s="5">
        <v>270265.15000000002</v>
      </c>
      <c r="F173" s="5">
        <v>700326.57</v>
      </c>
    </row>
    <row r="174" spans="1:6" ht="14.4" x14ac:dyDescent="0.25">
      <c r="A174" s="23">
        <v>42004</v>
      </c>
      <c r="B174" s="4" t="s">
        <v>50</v>
      </c>
      <c r="C174" s="1">
        <v>45</v>
      </c>
      <c r="D174" s="5"/>
      <c r="E174" s="5"/>
      <c r="F174" s="5"/>
    </row>
    <row r="175" spans="1:6" ht="14.4" x14ac:dyDescent="0.25">
      <c r="A175" s="23">
        <v>42004</v>
      </c>
      <c r="B175" s="4" t="s">
        <v>51</v>
      </c>
      <c r="C175" s="1">
        <v>46</v>
      </c>
      <c r="D175" s="5"/>
      <c r="E175" s="5"/>
      <c r="F175" s="5"/>
    </row>
    <row r="176" spans="1:6" ht="14.4" x14ac:dyDescent="0.25">
      <c r="A176" s="23">
        <v>42004</v>
      </c>
      <c r="B176" s="4" t="s">
        <v>52</v>
      </c>
      <c r="C176" s="1">
        <v>47</v>
      </c>
      <c r="D176" s="5"/>
      <c r="E176" s="5"/>
      <c r="F176" s="5"/>
    </row>
    <row r="177" spans="1:6" ht="14.4" x14ac:dyDescent="0.25">
      <c r="A177" s="23">
        <v>42004</v>
      </c>
      <c r="B177" s="4" t="s">
        <v>53</v>
      </c>
      <c r="C177" s="1">
        <v>48</v>
      </c>
      <c r="D177" s="5"/>
      <c r="E177" s="5"/>
      <c r="F177" s="5"/>
    </row>
    <row r="178" spans="1:6" ht="14.4" x14ac:dyDescent="0.25">
      <c r="A178" s="23">
        <v>42004</v>
      </c>
      <c r="B178" s="4" t="s">
        <v>54</v>
      </c>
      <c r="C178" s="1">
        <v>49</v>
      </c>
      <c r="D178" s="5"/>
      <c r="E178" s="5"/>
      <c r="F178" s="5"/>
    </row>
    <row r="179" spans="1:6" ht="14.4" x14ac:dyDescent="0.25">
      <c r="A179" s="23">
        <v>42004</v>
      </c>
      <c r="B179" s="4" t="s">
        <v>55</v>
      </c>
      <c r="C179" s="1">
        <v>50</v>
      </c>
      <c r="D179" s="5"/>
      <c r="E179" s="5"/>
      <c r="F179" s="5"/>
    </row>
    <row r="180" spans="1:6" ht="14.4" x14ac:dyDescent="0.25">
      <c r="A180" s="23">
        <v>42004</v>
      </c>
      <c r="B180" s="4" t="s">
        <v>56</v>
      </c>
      <c r="C180" s="1">
        <v>51</v>
      </c>
      <c r="D180" s="5"/>
      <c r="E180" s="5"/>
      <c r="F180" s="5"/>
    </row>
    <row r="181" spans="1:6" ht="14.4" x14ac:dyDescent="0.25">
      <c r="A181" s="23">
        <v>42004</v>
      </c>
      <c r="B181" s="4" t="s">
        <v>57</v>
      </c>
      <c r="C181" s="1">
        <v>52</v>
      </c>
      <c r="D181" s="5"/>
      <c r="E181" s="5"/>
      <c r="F181" s="5"/>
    </row>
    <row r="182" spans="1:6" ht="14.4" x14ac:dyDescent="0.25">
      <c r="A182" s="23">
        <v>42004</v>
      </c>
      <c r="B182" s="4" t="s">
        <v>58</v>
      </c>
      <c r="C182" s="1">
        <v>53</v>
      </c>
      <c r="D182" s="5"/>
      <c r="E182" s="5"/>
      <c r="F182" s="5"/>
    </row>
    <row r="183" spans="1:6" ht="14.4" x14ac:dyDescent="0.25">
      <c r="A183" s="23">
        <v>42004</v>
      </c>
      <c r="B183" s="4" t="s">
        <v>59</v>
      </c>
      <c r="C183" s="1">
        <v>54</v>
      </c>
      <c r="D183" s="5"/>
      <c r="E183" s="5"/>
      <c r="F183" s="5"/>
    </row>
    <row r="184" spans="1:6" ht="14.4" x14ac:dyDescent="0.25">
      <c r="A184" s="23">
        <v>42004</v>
      </c>
      <c r="B184" s="4" t="s">
        <v>60</v>
      </c>
      <c r="C184" s="1">
        <v>55</v>
      </c>
      <c r="D184" s="5"/>
      <c r="E184" s="5"/>
      <c r="F184" s="5"/>
    </row>
    <row r="185" spans="1:6" ht="14.4" x14ac:dyDescent="0.25">
      <c r="A185" s="23">
        <v>42004</v>
      </c>
      <c r="B185" s="4" t="s">
        <v>61</v>
      </c>
      <c r="C185" s="1">
        <v>56</v>
      </c>
      <c r="D185" s="5"/>
      <c r="E185" s="5"/>
      <c r="F185" s="5"/>
    </row>
    <row r="186" spans="1:6" ht="14.4" x14ac:dyDescent="0.25">
      <c r="A186" s="23">
        <v>42004</v>
      </c>
      <c r="B186" s="4" t="s">
        <v>62</v>
      </c>
      <c r="C186" s="1">
        <v>57</v>
      </c>
      <c r="D186" s="5"/>
      <c r="E186" s="5"/>
      <c r="F186" s="5"/>
    </row>
    <row r="187" spans="1:6" ht="14.4" x14ac:dyDescent="0.25">
      <c r="A187" s="23">
        <v>42004</v>
      </c>
      <c r="B187" s="4" t="s">
        <v>63</v>
      </c>
      <c r="C187" s="1">
        <v>58</v>
      </c>
      <c r="D187" s="5"/>
      <c r="E187" s="5"/>
      <c r="F187" s="5"/>
    </row>
    <row r="188" spans="1:6" ht="14.4" x14ac:dyDescent="0.25">
      <c r="A188" s="23">
        <v>42004</v>
      </c>
      <c r="B188" s="4" t="s">
        <v>64</v>
      </c>
      <c r="C188" s="1">
        <v>59</v>
      </c>
      <c r="D188" s="5"/>
      <c r="E188" s="5"/>
      <c r="F188" s="5"/>
    </row>
    <row r="189" spans="1:6" ht="14.4" x14ac:dyDescent="0.25">
      <c r="A189" s="23">
        <v>42004</v>
      </c>
      <c r="B189" s="4" t="s">
        <v>65</v>
      </c>
      <c r="C189" s="1">
        <v>60</v>
      </c>
      <c r="D189" s="5"/>
      <c r="E189" s="5"/>
      <c r="F189" s="5"/>
    </row>
    <row r="190" spans="1:6" ht="14.4" x14ac:dyDescent="0.25">
      <c r="A190" s="23">
        <v>42004</v>
      </c>
      <c r="B190" s="4" t="s">
        <v>66</v>
      </c>
      <c r="C190" s="1">
        <v>61</v>
      </c>
      <c r="D190" s="5"/>
      <c r="E190" s="5"/>
      <c r="F190" s="5"/>
    </row>
    <row r="191" spans="1:6" ht="14.4" x14ac:dyDescent="0.25">
      <c r="A191" s="23">
        <v>42004</v>
      </c>
      <c r="B191" s="4" t="s">
        <v>67</v>
      </c>
      <c r="C191" s="1">
        <v>62</v>
      </c>
      <c r="D191" s="5"/>
      <c r="E191" s="5"/>
      <c r="F191" s="5"/>
    </row>
    <row r="192" spans="1:6" ht="14.4" x14ac:dyDescent="0.25">
      <c r="A192" s="23">
        <v>42004</v>
      </c>
      <c r="B192" s="4" t="s">
        <v>68</v>
      </c>
      <c r="C192" s="1">
        <v>63</v>
      </c>
      <c r="D192" s="5"/>
      <c r="E192" s="5"/>
      <c r="F192" s="5"/>
    </row>
    <row r="193" spans="1:6" ht="14.4" x14ac:dyDescent="0.25">
      <c r="A193" s="23">
        <v>42004</v>
      </c>
      <c r="B193" s="4" t="s">
        <v>69</v>
      </c>
      <c r="C193" s="1">
        <v>64</v>
      </c>
      <c r="D193" s="5"/>
      <c r="E193" s="5"/>
      <c r="F193" s="5"/>
    </row>
    <row r="194" spans="1:6" ht="14.4" x14ac:dyDescent="0.25">
      <c r="A194" s="23">
        <v>42369</v>
      </c>
      <c r="B194" s="4" t="s">
        <v>5</v>
      </c>
      <c r="C194" s="1">
        <v>1</v>
      </c>
      <c r="D194" s="5"/>
      <c r="E194" s="5">
        <v>1324156.24</v>
      </c>
      <c r="F194" s="5">
        <v>630164.65</v>
      </c>
    </row>
    <row r="195" spans="1:6" ht="14.4" x14ac:dyDescent="0.25">
      <c r="A195" s="23">
        <v>42369</v>
      </c>
      <c r="B195" s="4" t="s">
        <v>6</v>
      </c>
      <c r="C195" s="1">
        <v>2</v>
      </c>
      <c r="D195" s="5"/>
      <c r="E195" s="5"/>
      <c r="F195" s="5"/>
    </row>
    <row r="196" spans="1:6" ht="14.4" x14ac:dyDescent="0.25">
      <c r="A196" s="23">
        <v>42369</v>
      </c>
      <c r="B196" s="4" t="s">
        <v>7</v>
      </c>
      <c r="C196" s="1">
        <v>3</v>
      </c>
      <c r="D196" s="5">
        <f>SUM(D197:D225)+SUM(I194:I225)</f>
        <v>0</v>
      </c>
      <c r="E196" s="5">
        <f>SUM(E197:E257)</f>
        <v>7174239.3100000005</v>
      </c>
      <c r="F196" s="5">
        <f>SUM(F197:F257)</f>
        <v>5575041.1400000006</v>
      </c>
    </row>
    <row r="197" spans="1:6" ht="14.4" x14ac:dyDescent="0.25">
      <c r="A197" s="23">
        <v>42369</v>
      </c>
      <c r="B197" s="4" t="s">
        <v>8</v>
      </c>
      <c r="C197" s="1">
        <v>4</v>
      </c>
      <c r="D197" s="5"/>
      <c r="E197" s="5">
        <v>2800</v>
      </c>
      <c r="F197" s="5"/>
    </row>
    <row r="198" spans="1:6" ht="14.4" x14ac:dyDescent="0.25">
      <c r="A198" s="23">
        <v>42369</v>
      </c>
      <c r="B198" s="4" t="s">
        <v>9</v>
      </c>
      <c r="C198" s="1">
        <v>5</v>
      </c>
      <c r="D198" s="5"/>
      <c r="E198" s="5">
        <v>441587.37</v>
      </c>
      <c r="F198" s="5">
        <v>498547.8</v>
      </c>
    </row>
    <row r="199" spans="1:6" ht="14.4" x14ac:dyDescent="0.25">
      <c r="A199" s="23">
        <v>42369</v>
      </c>
      <c r="B199" s="4" t="s">
        <v>10</v>
      </c>
      <c r="C199" s="1">
        <v>6</v>
      </c>
      <c r="D199" s="5"/>
      <c r="E199" s="5">
        <v>53171.1</v>
      </c>
      <c r="F199" s="5">
        <v>44558.5</v>
      </c>
    </row>
    <row r="200" spans="1:6" ht="14.4" x14ac:dyDescent="0.25">
      <c r="A200" s="23">
        <v>42369</v>
      </c>
      <c r="B200" s="4" t="s">
        <v>11</v>
      </c>
      <c r="C200" s="1">
        <v>7</v>
      </c>
      <c r="D200" s="5"/>
      <c r="E200" s="5">
        <v>231660.83</v>
      </c>
      <c r="F200" s="5">
        <v>228336.5</v>
      </c>
    </row>
    <row r="201" spans="1:6" ht="14.4" x14ac:dyDescent="0.25">
      <c r="A201" s="23">
        <v>42369</v>
      </c>
      <c r="B201" s="4" t="s">
        <v>12</v>
      </c>
      <c r="C201" s="1">
        <v>8</v>
      </c>
      <c r="D201" s="5"/>
      <c r="E201" s="5"/>
      <c r="F201" s="5"/>
    </row>
    <row r="202" spans="1:6" ht="14.4" x14ac:dyDescent="0.25">
      <c r="A202" s="23">
        <v>42369</v>
      </c>
      <c r="B202" s="4" t="s">
        <v>13</v>
      </c>
      <c r="C202" s="1">
        <v>9</v>
      </c>
      <c r="D202" s="5"/>
      <c r="E202" s="5"/>
      <c r="F202" s="5"/>
    </row>
    <row r="203" spans="1:6" ht="14.4" x14ac:dyDescent="0.25">
      <c r="A203" s="23">
        <v>42369</v>
      </c>
      <c r="B203" s="4" t="s">
        <v>14</v>
      </c>
      <c r="C203" s="1">
        <v>10</v>
      </c>
      <c r="D203" s="5"/>
      <c r="E203" s="5"/>
      <c r="F203" s="5"/>
    </row>
    <row r="204" spans="1:6" ht="14.4" x14ac:dyDescent="0.25">
      <c r="A204" s="23">
        <v>42369</v>
      </c>
      <c r="B204" s="4" t="s">
        <v>15</v>
      </c>
      <c r="C204" s="1">
        <v>11</v>
      </c>
      <c r="D204" s="5"/>
      <c r="E204" s="5">
        <v>325205.58</v>
      </c>
      <c r="F204" s="5">
        <v>293531.5</v>
      </c>
    </row>
    <row r="205" spans="1:6" ht="14.4" x14ac:dyDescent="0.25">
      <c r="A205" s="23">
        <v>42369</v>
      </c>
      <c r="B205" s="4" t="s">
        <v>16</v>
      </c>
      <c r="C205" s="1">
        <v>12</v>
      </c>
      <c r="D205" s="5"/>
      <c r="E205" s="5">
        <v>37178.42</v>
      </c>
      <c r="F205" s="5">
        <v>30899.95</v>
      </c>
    </row>
    <row r="206" spans="1:6" ht="14.4" x14ac:dyDescent="0.25">
      <c r="A206" s="23">
        <v>42369</v>
      </c>
      <c r="B206" s="4" t="s">
        <v>17</v>
      </c>
      <c r="C206" s="1">
        <v>13</v>
      </c>
      <c r="D206" s="5"/>
      <c r="E206" s="5">
        <v>561195.6</v>
      </c>
      <c r="F206" s="5">
        <v>427471.73</v>
      </c>
    </row>
    <row r="207" spans="1:6" ht="14.4" x14ac:dyDescent="0.25">
      <c r="A207" s="23">
        <v>42369</v>
      </c>
      <c r="B207" s="4" t="s">
        <v>18</v>
      </c>
      <c r="C207" s="1">
        <v>14</v>
      </c>
      <c r="D207" s="5"/>
      <c r="E207" s="5"/>
      <c r="F207" s="5"/>
    </row>
    <row r="208" spans="1:6" ht="14.4" x14ac:dyDescent="0.25">
      <c r="A208" s="23">
        <v>42369</v>
      </c>
      <c r="B208" s="4" t="s">
        <v>19</v>
      </c>
      <c r="C208" s="1">
        <v>15</v>
      </c>
      <c r="D208" s="5"/>
      <c r="E208" s="5">
        <v>1610</v>
      </c>
      <c r="F208" s="5">
        <v>4745</v>
      </c>
    </row>
    <row r="209" spans="1:6" ht="14.4" x14ac:dyDescent="0.25">
      <c r="A209" s="23">
        <v>42369</v>
      </c>
      <c r="B209" s="4" t="s">
        <v>20</v>
      </c>
      <c r="C209" s="1">
        <v>16</v>
      </c>
      <c r="D209" s="5"/>
      <c r="E209" s="5"/>
      <c r="F209" s="5"/>
    </row>
    <row r="210" spans="1:6" ht="14.4" x14ac:dyDescent="0.25">
      <c r="A210" s="23">
        <v>42369</v>
      </c>
      <c r="B210" s="4" t="s">
        <v>21</v>
      </c>
      <c r="C210" s="1">
        <v>17</v>
      </c>
      <c r="D210" s="5"/>
      <c r="E210" s="5"/>
      <c r="F210" s="5"/>
    </row>
    <row r="211" spans="1:6" ht="14.4" x14ac:dyDescent="0.25">
      <c r="A211" s="23">
        <v>42369</v>
      </c>
      <c r="B211" s="4" t="s">
        <v>22</v>
      </c>
      <c r="C211" s="1">
        <v>18</v>
      </c>
      <c r="D211" s="5"/>
      <c r="E211" s="5">
        <v>118419.93</v>
      </c>
      <c r="F211" s="5">
        <v>75445</v>
      </c>
    </row>
    <row r="212" spans="1:6" ht="14.4" x14ac:dyDescent="0.25">
      <c r="A212" s="23">
        <v>42369</v>
      </c>
      <c r="B212" s="4" t="s">
        <v>23</v>
      </c>
      <c r="C212" s="1">
        <v>19</v>
      </c>
      <c r="D212" s="5"/>
      <c r="E212" s="5"/>
      <c r="F212" s="5"/>
    </row>
    <row r="213" spans="1:6" ht="14.4" x14ac:dyDescent="0.25">
      <c r="A213" s="23">
        <v>42369</v>
      </c>
      <c r="B213" s="4" t="s">
        <v>24</v>
      </c>
      <c r="C213" s="1">
        <v>20</v>
      </c>
      <c r="D213" s="5"/>
      <c r="E213" s="5"/>
      <c r="F213" s="5"/>
    </row>
    <row r="214" spans="1:6" ht="14.4" x14ac:dyDescent="0.25">
      <c r="A214" s="23">
        <v>42369</v>
      </c>
      <c r="B214" s="4" t="s">
        <v>25</v>
      </c>
      <c r="C214" s="1">
        <v>21</v>
      </c>
      <c r="D214" s="5"/>
      <c r="E214" s="5"/>
      <c r="F214" s="5"/>
    </row>
    <row r="215" spans="1:6" ht="14.4" x14ac:dyDescent="0.25">
      <c r="A215" s="23">
        <v>42369</v>
      </c>
      <c r="B215" s="4" t="s">
        <v>26</v>
      </c>
      <c r="C215" s="1">
        <v>22</v>
      </c>
      <c r="D215" s="5"/>
      <c r="E215" s="5">
        <v>3208</v>
      </c>
      <c r="F215" s="5">
        <v>2900</v>
      </c>
    </row>
    <row r="216" spans="1:6" ht="14.4" x14ac:dyDescent="0.25">
      <c r="A216" s="23">
        <v>42369</v>
      </c>
      <c r="B216" s="4" t="s">
        <v>27</v>
      </c>
      <c r="C216" s="1">
        <v>23</v>
      </c>
      <c r="D216" s="5"/>
      <c r="E216" s="5"/>
      <c r="F216" s="5"/>
    </row>
    <row r="217" spans="1:6" ht="14.4" x14ac:dyDescent="0.25">
      <c r="A217" s="23">
        <v>42369</v>
      </c>
      <c r="B217" s="4" t="s">
        <v>28</v>
      </c>
      <c r="C217" s="1">
        <v>24</v>
      </c>
      <c r="D217" s="5"/>
      <c r="E217" s="5">
        <v>31393.3</v>
      </c>
      <c r="F217" s="5">
        <v>22843.200000000001</v>
      </c>
    </row>
    <row r="218" spans="1:6" ht="14.4" x14ac:dyDescent="0.25">
      <c r="A218" s="23">
        <v>42369</v>
      </c>
      <c r="B218" s="4" t="s">
        <v>29</v>
      </c>
      <c r="C218" s="1">
        <v>25</v>
      </c>
      <c r="D218" s="5"/>
      <c r="E218" s="5">
        <v>246680.41</v>
      </c>
      <c r="F218" s="5">
        <v>402598.03</v>
      </c>
    </row>
    <row r="219" spans="1:6" ht="14.4" x14ac:dyDescent="0.25">
      <c r="A219" s="23">
        <v>42369</v>
      </c>
      <c r="B219" s="4" t="s">
        <v>30</v>
      </c>
      <c r="C219" s="1">
        <v>26</v>
      </c>
      <c r="D219" s="5"/>
      <c r="E219" s="5"/>
      <c r="F219" s="5"/>
    </row>
    <row r="220" spans="1:6" ht="14.4" x14ac:dyDescent="0.25">
      <c r="A220" s="23">
        <v>42369</v>
      </c>
      <c r="B220" s="4" t="s">
        <v>31</v>
      </c>
      <c r="C220" s="1">
        <v>27</v>
      </c>
      <c r="D220" s="5"/>
      <c r="E220" s="6">
        <v>297037.52</v>
      </c>
      <c r="F220" s="5">
        <v>420237.6</v>
      </c>
    </row>
    <row r="221" spans="1:6" ht="14.4" x14ac:dyDescent="0.25">
      <c r="A221" s="23">
        <v>42369</v>
      </c>
      <c r="B221" s="4" t="s">
        <v>32</v>
      </c>
      <c r="C221" s="1">
        <v>28</v>
      </c>
      <c r="D221" s="5"/>
      <c r="E221" s="5">
        <v>975688.81</v>
      </c>
      <c r="F221" s="5">
        <v>1131273.6499999999</v>
      </c>
    </row>
    <row r="222" spans="1:6" ht="14.4" x14ac:dyDescent="0.25">
      <c r="A222" s="23">
        <v>42369</v>
      </c>
      <c r="B222" s="4" t="s">
        <v>33</v>
      </c>
      <c r="C222" s="1">
        <v>29</v>
      </c>
      <c r="D222" s="5"/>
      <c r="E222" s="5"/>
      <c r="F222" s="5"/>
    </row>
    <row r="223" spans="1:6" ht="14.4" x14ac:dyDescent="0.25">
      <c r="A223" s="23">
        <v>42369</v>
      </c>
      <c r="B223" s="4" t="s">
        <v>34</v>
      </c>
      <c r="C223" s="1">
        <v>30</v>
      </c>
      <c r="D223" s="5"/>
      <c r="E223" s="5">
        <v>38367.24</v>
      </c>
      <c r="F223" s="5">
        <v>90899.37</v>
      </c>
    </row>
    <row r="224" spans="1:6" ht="14.4" x14ac:dyDescent="0.25">
      <c r="A224" s="23">
        <v>42369</v>
      </c>
      <c r="B224" s="4" t="s">
        <v>35</v>
      </c>
      <c r="C224" s="1">
        <v>31</v>
      </c>
      <c r="D224" s="5"/>
      <c r="E224" s="5">
        <v>42665</v>
      </c>
      <c r="F224" s="5">
        <v>40693</v>
      </c>
    </row>
    <row r="225" spans="1:6" ht="14.4" x14ac:dyDescent="0.25">
      <c r="A225" s="23">
        <v>42369</v>
      </c>
      <c r="B225" s="4" t="s">
        <v>36</v>
      </c>
      <c r="C225" s="1">
        <v>32</v>
      </c>
      <c r="D225" s="5"/>
      <c r="E225" s="7"/>
      <c r="F225" s="5"/>
    </row>
    <row r="226" spans="1:6" ht="14.4" x14ac:dyDescent="0.25">
      <c r="A226" s="23">
        <v>42369</v>
      </c>
      <c r="B226" s="4" t="s">
        <v>38</v>
      </c>
      <c r="C226" s="1">
        <v>33</v>
      </c>
      <c r="D226" s="5"/>
      <c r="E226" s="5">
        <v>1906.93</v>
      </c>
      <c r="F226" s="5">
        <v>2663.42</v>
      </c>
    </row>
    <row r="227" spans="1:6" ht="14.4" x14ac:dyDescent="0.25">
      <c r="A227" s="23">
        <v>42369</v>
      </c>
      <c r="B227" s="4" t="s">
        <v>39</v>
      </c>
      <c r="C227" s="1">
        <v>34</v>
      </c>
      <c r="D227" s="5"/>
      <c r="E227" s="5"/>
      <c r="F227" s="5"/>
    </row>
    <row r="228" spans="1:6" ht="14.4" x14ac:dyDescent="0.25">
      <c r="A228" s="23">
        <v>42369</v>
      </c>
      <c r="B228" s="4" t="s">
        <v>40</v>
      </c>
      <c r="C228" s="1">
        <v>35</v>
      </c>
      <c r="D228" s="5">
        <v>18127</v>
      </c>
      <c r="E228" s="5">
        <v>2477944</v>
      </c>
      <c r="F228" s="5">
        <v>1121206.2</v>
      </c>
    </row>
    <row r="229" spans="1:6" ht="14.4" x14ac:dyDescent="0.25">
      <c r="A229" s="23">
        <v>42369</v>
      </c>
      <c r="B229" s="4" t="s">
        <v>41</v>
      </c>
      <c r="C229" s="1">
        <v>36</v>
      </c>
      <c r="D229" s="5"/>
      <c r="E229" s="5"/>
      <c r="F229" s="5"/>
    </row>
    <row r="230" spans="1:6" ht="14.4" x14ac:dyDescent="0.25">
      <c r="A230" s="23">
        <v>42369</v>
      </c>
      <c r="B230" s="4" t="s">
        <v>42</v>
      </c>
      <c r="C230" s="1">
        <v>37</v>
      </c>
      <c r="D230" s="5"/>
      <c r="E230" s="5">
        <v>45228.25</v>
      </c>
      <c r="F230" s="5">
        <v>28012.9</v>
      </c>
    </row>
    <row r="231" spans="1:6" ht="14.4" x14ac:dyDescent="0.25">
      <c r="A231" s="23">
        <v>42369</v>
      </c>
      <c r="B231" s="4" t="s">
        <v>43</v>
      </c>
      <c r="C231" s="1">
        <v>38</v>
      </c>
      <c r="D231" s="5"/>
      <c r="E231" s="5"/>
      <c r="F231" s="5"/>
    </row>
    <row r="232" spans="1:6" ht="14.4" x14ac:dyDescent="0.25">
      <c r="A232" s="23">
        <v>42369</v>
      </c>
      <c r="B232" s="4" t="s">
        <v>44</v>
      </c>
      <c r="C232" s="1">
        <v>39</v>
      </c>
      <c r="D232" s="5"/>
      <c r="E232" s="5"/>
      <c r="F232" s="5"/>
    </row>
    <row r="233" spans="1:6" ht="14.4" x14ac:dyDescent="0.25">
      <c r="A233" s="23">
        <v>42369</v>
      </c>
      <c r="B233" s="4" t="s">
        <v>45</v>
      </c>
      <c r="C233" s="1">
        <v>40</v>
      </c>
      <c r="D233" s="5"/>
      <c r="E233" s="5"/>
      <c r="F233" s="5"/>
    </row>
    <row r="234" spans="1:6" ht="14.4" x14ac:dyDescent="0.25">
      <c r="A234" s="23">
        <v>42369</v>
      </c>
      <c r="B234" s="4" t="s">
        <v>46</v>
      </c>
      <c r="C234" s="1">
        <v>41</v>
      </c>
      <c r="D234" s="5"/>
      <c r="E234" s="5">
        <v>204000</v>
      </c>
      <c r="F234" s="5">
        <v>168250</v>
      </c>
    </row>
    <row r="235" spans="1:6" ht="14.4" x14ac:dyDescent="0.25">
      <c r="A235" s="23">
        <v>42369</v>
      </c>
      <c r="B235" s="4" t="s">
        <v>47</v>
      </c>
      <c r="C235" s="1">
        <v>42</v>
      </c>
      <c r="D235" s="5"/>
      <c r="E235" s="5"/>
      <c r="F235" s="5"/>
    </row>
    <row r="236" spans="1:6" ht="14.4" x14ac:dyDescent="0.25">
      <c r="A236" s="23">
        <v>42369</v>
      </c>
      <c r="B236" s="4" t="s">
        <v>48</v>
      </c>
      <c r="C236" s="1">
        <v>43</v>
      </c>
      <c r="D236" s="5"/>
      <c r="E236" s="6">
        <v>324446.86</v>
      </c>
      <c r="F236" s="5">
        <v>269662.64</v>
      </c>
    </row>
    <row r="237" spans="1:6" ht="14.4" x14ac:dyDescent="0.25">
      <c r="A237" s="23">
        <v>42369</v>
      </c>
      <c r="B237" s="4" t="s">
        <v>49</v>
      </c>
      <c r="C237" s="1">
        <v>44</v>
      </c>
      <c r="D237" s="5"/>
      <c r="E237" s="5">
        <v>712844.16</v>
      </c>
      <c r="F237" s="5">
        <v>270265.15000000002</v>
      </c>
    </row>
    <row r="238" spans="1:6" ht="14.4" x14ac:dyDescent="0.25">
      <c r="A238" s="23">
        <v>42369</v>
      </c>
      <c r="B238" s="4" t="s">
        <v>50</v>
      </c>
      <c r="C238" s="1">
        <v>45</v>
      </c>
      <c r="D238" s="5"/>
      <c r="E238" s="5"/>
      <c r="F238" s="5"/>
    </row>
    <row r="239" spans="1:6" ht="14.4" x14ac:dyDescent="0.25">
      <c r="A239" s="23">
        <v>42369</v>
      </c>
      <c r="B239" s="4" t="s">
        <v>51</v>
      </c>
      <c r="C239" s="1">
        <v>46</v>
      </c>
      <c r="D239" s="5"/>
      <c r="E239" s="5"/>
      <c r="F239" s="5"/>
    </row>
    <row r="240" spans="1:6" ht="14.4" x14ac:dyDescent="0.25">
      <c r="A240" s="23">
        <v>42369</v>
      </c>
      <c r="B240" s="4" t="s">
        <v>52</v>
      </c>
      <c r="C240" s="1">
        <v>47</v>
      </c>
      <c r="D240" s="5"/>
      <c r="E240" s="5"/>
      <c r="F240" s="5"/>
    </row>
    <row r="241" spans="1:6" ht="14.4" x14ac:dyDescent="0.25">
      <c r="A241" s="23">
        <v>42369</v>
      </c>
      <c r="B241" s="4" t="s">
        <v>53</v>
      </c>
      <c r="C241" s="1">
        <v>48</v>
      </c>
      <c r="D241" s="5"/>
      <c r="E241" s="5"/>
      <c r="F241" s="5"/>
    </row>
    <row r="242" spans="1:6" ht="14.4" x14ac:dyDescent="0.25">
      <c r="A242" s="23">
        <v>42369</v>
      </c>
      <c r="B242" s="4" t="s">
        <v>54</v>
      </c>
      <c r="C242" s="1">
        <v>49</v>
      </c>
      <c r="D242" s="5"/>
      <c r="E242" s="5"/>
      <c r="F242" s="5"/>
    </row>
    <row r="243" spans="1:6" ht="14.4" x14ac:dyDescent="0.25">
      <c r="A243" s="23">
        <v>42369</v>
      </c>
      <c r="B243" s="4" t="s">
        <v>55</v>
      </c>
      <c r="C243" s="1">
        <v>50</v>
      </c>
      <c r="D243" s="5"/>
      <c r="E243" s="5"/>
      <c r="F243" s="5"/>
    </row>
    <row r="244" spans="1:6" ht="14.4" x14ac:dyDescent="0.25">
      <c r="A244" s="23">
        <v>42369</v>
      </c>
      <c r="B244" s="4" t="s">
        <v>56</v>
      </c>
      <c r="C244" s="1">
        <v>51</v>
      </c>
      <c r="D244" s="5"/>
      <c r="E244" s="5"/>
      <c r="F244" s="5"/>
    </row>
    <row r="245" spans="1:6" ht="14.4" x14ac:dyDescent="0.25">
      <c r="A245" s="23">
        <v>42369</v>
      </c>
      <c r="B245" s="4" t="s">
        <v>57</v>
      </c>
      <c r="C245" s="1">
        <v>52</v>
      </c>
      <c r="D245" s="5"/>
      <c r="E245" s="5"/>
      <c r="F245" s="5"/>
    </row>
    <row r="246" spans="1:6" ht="14.4" x14ac:dyDescent="0.25">
      <c r="A246" s="23">
        <v>42369</v>
      </c>
      <c r="B246" s="4" t="s">
        <v>58</v>
      </c>
      <c r="C246" s="1">
        <v>53</v>
      </c>
      <c r="D246" s="5"/>
      <c r="E246" s="5"/>
      <c r="F246" s="5"/>
    </row>
    <row r="247" spans="1:6" ht="14.4" x14ac:dyDescent="0.25">
      <c r="A247" s="23">
        <v>42369</v>
      </c>
      <c r="B247" s="4" t="s">
        <v>59</v>
      </c>
      <c r="C247" s="1">
        <v>54</v>
      </c>
      <c r="D247" s="5"/>
      <c r="E247" s="5"/>
      <c r="F247" s="5"/>
    </row>
    <row r="248" spans="1:6" ht="14.4" x14ac:dyDescent="0.25">
      <c r="A248" s="23">
        <v>42369</v>
      </c>
      <c r="B248" s="4" t="s">
        <v>60</v>
      </c>
      <c r="C248" s="1">
        <v>55</v>
      </c>
      <c r="D248" s="5"/>
      <c r="E248" s="5"/>
      <c r="F248" s="5"/>
    </row>
    <row r="249" spans="1:6" ht="14.4" x14ac:dyDescent="0.25">
      <c r="A249" s="23">
        <v>42369</v>
      </c>
      <c r="B249" s="4" t="s">
        <v>61</v>
      </c>
      <c r="C249" s="1">
        <v>56</v>
      </c>
      <c r="D249" s="5"/>
      <c r="E249" s="5"/>
      <c r="F249" s="5"/>
    </row>
    <row r="250" spans="1:6" ht="14.4" x14ac:dyDescent="0.25">
      <c r="A250" s="23">
        <v>42369</v>
      </c>
      <c r="B250" s="4" t="s">
        <v>62</v>
      </c>
      <c r="C250" s="1">
        <v>57</v>
      </c>
      <c r="D250" s="5"/>
      <c r="E250" s="5"/>
      <c r="F250" s="5"/>
    </row>
    <row r="251" spans="1:6" ht="14.4" x14ac:dyDescent="0.25">
      <c r="A251" s="23">
        <v>42369</v>
      </c>
      <c r="B251" s="4" t="s">
        <v>63</v>
      </c>
      <c r="C251" s="1">
        <v>58</v>
      </c>
      <c r="D251" s="5"/>
      <c r="E251" s="5"/>
      <c r="F251" s="5"/>
    </row>
    <row r="252" spans="1:6" ht="14.4" x14ac:dyDescent="0.25">
      <c r="A252" s="23">
        <v>42369</v>
      </c>
      <c r="B252" s="4" t="s">
        <v>64</v>
      </c>
      <c r="C252" s="1">
        <v>59</v>
      </c>
      <c r="D252" s="5"/>
      <c r="E252" s="5"/>
      <c r="F252" s="5"/>
    </row>
    <row r="253" spans="1:6" ht="14.4" x14ac:dyDescent="0.25">
      <c r="A253" s="23">
        <v>42369</v>
      </c>
      <c r="B253" s="4" t="s">
        <v>65</v>
      </c>
      <c r="C253" s="1">
        <v>60</v>
      </c>
      <c r="D253" s="5"/>
      <c r="E253" s="5"/>
      <c r="F253" s="5"/>
    </row>
    <row r="254" spans="1:6" ht="14.4" x14ac:dyDescent="0.25">
      <c r="A254" s="23">
        <v>42369</v>
      </c>
      <c r="B254" s="4" t="s">
        <v>66</v>
      </c>
      <c r="C254" s="1">
        <v>61</v>
      </c>
      <c r="D254" s="5"/>
      <c r="E254" s="5"/>
      <c r="F254" s="5"/>
    </row>
    <row r="255" spans="1:6" ht="14.4" x14ac:dyDescent="0.25">
      <c r="A255" s="23">
        <v>42369</v>
      </c>
      <c r="B255" s="4" t="s">
        <v>67</v>
      </c>
      <c r="C255" s="1">
        <v>62</v>
      </c>
      <c r="D255" s="5"/>
      <c r="E255" s="5"/>
      <c r="F255" s="5"/>
    </row>
    <row r="256" spans="1:6" ht="14.4" x14ac:dyDescent="0.25">
      <c r="A256" s="23">
        <v>42369</v>
      </c>
      <c r="B256" s="4" t="s">
        <v>68</v>
      </c>
      <c r="C256" s="1">
        <v>63</v>
      </c>
      <c r="D256" s="5"/>
      <c r="E256" s="5"/>
      <c r="F256" s="5"/>
    </row>
    <row r="257" spans="1:6" ht="14.4" x14ac:dyDescent="0.25">
      <c r="A257" s="23">
        <v>42369</v>
      </c>
      <c r="B257" s="4" t="s">
        <v>69</v>
      </c>
      <c r="C257" s="1">
        <v>64</v>
      </c>
      <c r="D257" s="5"/>
      <c r="E257" s="5"/>
      <c r="F257" s="5"/>
    </row>
    <row r="258" spans="1:6" ht="14.4" x14ac:dyDescent="0.25">
      <c r="A258" s="23">
        <v>42735</v>
      </c>
      <c r="B258" s="4" t="s">
        <v>5</v>
      </c>
      <c r="C258" s="1">
        <v>1</v>
      </c>
      <c r="D258" s="5">
        <v>-16301.89</v>
      </c>
      <c r="E258" s="5">
        <v>1534054.72</v>
      </c>
      <c r="F258" s="5">
        <v>1324156.24</v>
      </c>
    </row>
    <row r="259" spans="1:6" ht="14.4" x14ac:dyDescent="0.25">
      <c r="A259" s="23">
        <v>42735</v>
      </c>
      <c r="B259" s="4" t="s">
        <v>6</v>
      </c>
      <c r="C259" s="1">
        <v>2</v>
      </c>
      <c r="D259" s="5"/>
      <c r="E259" s="5"/>
      <c r="F259" s="5"/>
    </row>
    <row r="260" spans="1:6" ht="14.4" x14ac:dyDescent="0.25">
      <c r="A260" s="23">
        <v>42735</v>
      </c>
      <c r="B260" s="4" t="s">
        <v>7</v>
      </c>
      <c r="C260" s="1">
        <v>3</v>
      </c>
      <c r="D260" s="5">
        <f>SUM(D261:D289)+SUM(I258:I289)</f>
        <v>2706.09</v>
      </c>
      <c r="E260" s="5">
        <f>SUM(E261:E321)</f>
        <v>9501604.2899999991</v>
      </c>
      <c r="F260" s="5">
        <f>SUM(F261:F321)</f>
        <v>7174239.3100000005</v>
      </c>
    </row>
    <row r="261" spans="1:6" ht="14.4" x14ac:dyDescent="0.25">
      <c r="A261" s="23">
        <v>42735</v>
      </c>
      <c r="B261" s="4" t="s">
        <v>8</v>
      </c>
      <c r="C261" s="1">
        <v>4</v>
      </c>
      <c r="D261" s="5"/>
      <c r="E261" s="5"/>
      <c r="F261" s="5">
        <v>2800</v>
      </c>
    </row>
    <row r="262" spans="1:6" ht="14.4" x14ac:dyDescent="0.25">
      <c r="A262" s="23">
        <v>42735</v>
      </c>
      <c r="B262" s="4" t="s">
        <v>9</v>
      </c>
      <c r="C262" s="1">
        <v>5</v>
      </c>
      <c r="D262" s="5"/>
      <c r="E262" s="5">
        <v>199358.42</v>
      </c>
      <c r="F262" s="5">
        <v>441587.37</v>
      </c>
    </row>
    <row r="263" spans="1:6" ht="14.4" x14ac:dyDescent="0.25">
      <c r="A263" s="23">
        <v>42735</v>
      </c>
      <c r="B263" s="4" t="s">
        <v>10</v>
      </c>
      <c r="C263" s="1">
        <v>6</v>
      </c>
      <c r="D263" s="5"/>
      <c r="E263" s="5">
        <v>61142.39</v>
      </c>
      <c r="F263" s="5">
        <v>53171.1</v>
      </c>
    </row>
    <row r="264" spans="1:6" ht="14.4" x14ac:dyDescent="0.25">
      <c r="A264" s="23">
        <v>42735</v>
      </c>
      <c r="B264" s="4" t="s">
        <v>11</v>
      </c>
      <c r="C264" s="1">
        <v>7</v>
      </c>
      <c r="D264" s="5"/>
      <c r="E264" s="5">
        <v>97019.95</v>
      </c>
      <c r="F264" s="5">
        <v>231660.83</v>
      </c>
    </row>
    <row r="265" spans="1:6" ht="14.4" x14ac:dyDescent="0.25">
      <c r="A265" s="23">
        <v>42735</v>
      </c>
      <c r="B265" s="4" t="s">
        <v>12</v>
      </c>
      <c r="C265" s="1">
        <v>8</v>
      </c>
      <c r="D265" s="5"/>
      <c r="E265" s="5"/>
      <c r="F265" s="5"/>
    </row>
    <row r="266" spans="1:6" ht="14.4" x14ac:dyDescent="0.25">
      <c r="A266" s="23">
        <v>42735</v>
      </c>
      <c r="B266" s="4" t="s">
        <v>13</v>
      </c>
      <c r="C266" s="1">
        <v>9</v>
      </c>
      <c r="D266" s="5"/>
      <c r="E266" s="5">
        <v>15000</v>
      </c>
      <c r="F266" s="5"/>
    </row>
    <row r="267" spans="1:6" ht="14.4" x14ac:dyDescent="0.25">
      <c r="A267" s="23">
        <v>42735</v>
      </c>
      <c r="B267" s="4" t="s">
        <v>14</v>
      </c>
      <c r="C267" s="1">
        <v>10</v>
      </c>
      <c r="D267" s="5"/>
      <c r="E267" s="5"/>
      <c r="F267" s="5"/>
    </row>
    <row r="268" spans="1:6" ht="14.4" x14ac:dyDescent="0.25">
      <c r="A268" s="23">
        <v>42735</v>
      </c>
      <c r="B268" s="4" t="s">
        <v>15</v>
      </c>
      <c r="C268" s="1">
        <v>11</v>
      </c>
      <c r="D268" s="5"/>
      <c r="E268" s="5">
        <v>180186.52</v>
      </c>
      <c r="F268" s="5">
        <v>325205.58</v>
      </c>
    </row>
    <row r="269" spans="1:6" ht="14.4" x14ac:dyDescent="0.25">
      <c r="A269" s="23">
        <v>42735</v>
      </c>
      <c r="B269" s="4" t="s">
        <v>16</v>
      </c>
      <c r="C269" s="1">
        <v>12</v>
      </c>
      <c r="D269" s="5"/>
      <c r="E269" s="5">
        <v>21894.07</v>
      </c>
      <c r="F269" s="5">
        <v>37178.42</v>
      </c>
    </row>
    <row r="270" spans="1:6" ht="14.4" x14ac:dyDescent="0.25">
      <c r="A270" s="23">
        <v>42735</v>
      </c>
      <c r="B270" s="4" t="s">
        <v>17</v>
      </c>
      <c r="C270" s="1">
        <v>13</v>
      </c>
      <c r="D270" s="5"/>
      <c r="E270" s="5">
        <v>713690.5</v>
      </c>
      <c r="F270" s="5">
        <v>561195.6</v>
      </c>
    </row>
    <row r="271" spans="1:6" ht="14.4" x14ac:dyDescent="0.25">
      <c r="A271" s="23">
        <v>42735</v>
      </c>
      <c r="B271" s="4" t="s">
        <v>18</v>
      </c>
      <c r="C271" s="1">
        <v>14</v>
      </c>
      <c r="D271" s="5"/>
      <c r="E271" s="5"/>
      <c r="F271" s="5"/>
    </row>
    <row r="272" spans="1:6" ht="14.4" x14ac:dyDescent="0.25">
      <c r="A272" s="23">
        <v>42735</v>
      </c>
      <c r="B272" s="4" t="s">
        <v>19</v>
      </c>
      <c r="C272" s="1">
        <v>15</v>
      </c>
      <c r="D272" s="5"/>
      <c r="E272" s="5">
        <v>8179.06</v>
      </c>
      <c r="F272" s="5">
        <v>1610</v>
      </c>
    </row>
    <row r="273" spans="1:6" ht="14.4" x14ac:dyDescent="0.25">
      <c r="A273" s="23">
        <v>42735</v>
      </c>
      <c r="B273" s="4" t="s">
        <v>20</v>
      </c>
      <c r="C273" s="1">
        <v>16</v>
      </c>
      <c r="D273" s="5"/>
      <c r="E273" s="5"/>
      <c r="F273" s="5"/>
    </row>
    <row r="274" spans="1:6" ht="14.4" x14ac:dyDescent="0.25">
      <c r="A274" s="23">
        <v>42735</v>
      </c>
      <c r="B274" s="4" t="s">
        <v>21</v>
      </c>
      <c r="C274" s="1">
        <v>17</v>
      </c>
      <c r="D274" s="5"/>
      <c r="E274" s="5"/>
      <c r="F274" s="5"/>
    </row>
    <row r="275" spans="1:6" ht="14.4" x14ac:dyDescent="0.25">
      <c r="A275" s="23">
        <v>42735</v>
      </c>
      <c r="B275" s="4" t="s">
        <v>22</v>
      </c>
      <c r="C275" s="1">
        <v>18</v>
      </c>
      <c r="D275" s="5"/>
      <c r="E275" s="5">
        <v>86838.98</v>
      </c>
      <c r="F275" s="5">
        <v>118419.93</v>
      </c>
    </row>
    <row r="276" spans="1:6" ht="14.4" x14ac:dyDescent="0.25">
      <c r="A276" s="23">
        <v>42735</v>
      </c>
      <c r="B276" s="4" t="s">
        <v>23</v>
      </c>
      <c r="C276" s="1">
        <v>19</v>
      </c>
      <c r="D276" s="5"/>
      <c r="E276" s="5"/>
      <c r="F276" s="5"/>
    </row>
    <row r="277" spans="1:6" ht="14.4" x14ac:dyDescent="0.25">
      <c r="A277" s="23">
        <v>42735</v>
      </c>
      <c r="B277" s="4" t="s">
        <v>24</v>
      </c>
      <c r="C277" s="1">
        <v>20</v>
      </c>
      <c r="D277" s="5"/>
      <c r="E277" s="5"/>
      <c r="F277" s="5"/>
    </row>
    <row r="278" spans="1:6" ht="14.4" x14ac:dyDescent="0.25">
      <c r="A278" s="23">
        <v>42735</v>
      </c>
      <c r="B278" s="4" t="s">
        <v>25</v>
      </c>
      <c r="C278" s="1">
        <v>21</v>
      </c>
      <c r="D278" s="5"/>
      <c r="E278" s="5"/>
      <c r="F278" s="5"/>
    </row>
    <row r="279" spans="1:6" ht="14.4" x14ac:dyDescent="0.25">
      <c r="A279" s="23">
        <v>42735</v>
      </c>
      <c r="B279" s="4" t="s">
        <v>26</v>
      </c>
      <c r="C279" s="1">
        <v>22</v>
      </c>
      <c r="D279" s="5"/>
      <c r="E279" s="5">
        <v>11490</v>
      </c>
      <c r="F279" s="5">
        <v>3208</v>
      </c>
    </row>
    <row r="280" spans="1:6" ht="14.4" x14ac:dyDescent="0.25">
      <c r="A280" s="23">
        <v>42735</v>
      </c>
      <c r="B280" s="4" t="s">
        <v>27</v>
      </c>
      <c r="C280" s="1">
        <v>23</v>
      </c>
      <c r="D280" s="5"/>
      <c r="E280" s="5"/>
      <c r="F280" s="5"/>
    </row>
    <row r="281" spans="1:6" ht="14.4" x14ac:dyDescent="0.25">
      <c r="A281" s="23">
        <v>42735</v>
      </c>
      <c r="B281" s="4" t="s">
        <v>28</v>
      </c>
      <c r="C281" s="1">
        <v>24</v>
      </c>
      <c r="D281" s="5"/>
      <c r="E281" s="5">
        <v>24874.18</v>
      </c>
      <c r="F281" s="5">
        <v>31393.3</v>
      </c>
    </row>
    <row r="282" spans="1:6" ht="14.4" x14ac:dyDescent="0.25">
      <c r="A282" s="23">
        <v>42735</v>
      </c>
      <c r="B282" s="4" t="s">
        <v>29</v>
      </c>
      <c r="C282" s="1">
        <v>25</v>
      </c>
      <c r="D282" s="5"/>
      <c r="E282" s="5">
        <v>47746.33</v>
      </c>
      <c r="F282" s="5">
        <v>246680.41</v>
      </c>
    </row>
    <row r="283" spans="1:6" ht="14.4" x14ac:dyDescent="0.25">
      <c r="A283" s="23">
        <v>42735</v>
      </c>
      <c r="B283" s="4" t="s">
        <v>30</v>
      </c>
      <c r="C283" s="1">
        <v>26</v>
      </c>
      <c r="D283" s="5"/>
      <c r="E283" s="5"/>
      <c r="F283" s="5"/>
    </row>
    <row r="284" spans="1:6" ht="14.4" x14ac:dyDescent="0.25">
      <c r="A284" s="23">
        <v>42735</v>
      </c>
      <c r="B284" s="4" t="s">
        <v>31</v>
      </c>
      <c r="C284" s="1">
        <v>27</v>
      </c>
      <c r="D284" s="5">
        <v>2706.09</v>
      </c>
      <c r="E284" s="6">
        <v>635739.64</v>
      </c>
      <c r="F284" s="5">
        <v>297037.52</v>
      </c>
    </row>
    <row r="285" spans="1:6" ht="14.4" x14ac:dyDescent="0.25">
      <c r="A285" s="23">
        <v>42735</v>
      </c>
      <c r="B285" s="4" t="s">
        <v>32</v>
      </c>
      <c r="C285" s="1">
        <v>28</v>
      </c>
      <c r="D285" s="5"/>
      <c r="E285" s="5">
        <v>521575.8</v>
      </c>
      <c r="F285" s="5">
        <v>975688.81</v>
      </c>
    </row>
    <row r="286" spans="1:6" ht="14.4" x14ac:dyDescent="0.25">
      <c r="A286" s="23">
        <v>42735</v>
      </c>
      <c r="B286" s="4" t="s">
        <v>33</v>
      </c>
      <c r="C286" s="1">
        <v>29</v>
      </c>
      <c r="D286" s="5"/>
      <c r="E286" s="5"/>
      <c r="F286" s="5"/>
    </row>
    <row r="287" spans="1:6" ht="14.4" x14ac:dyDescent="0.25">
      <c r="A287" s="23">
        <v>42735</v>
      </c>
      <c r="B287" s="4" t="s">
        <v>34</v>
      </c>
      <c r="C287" s="1">
        <v>30</v>
      </c>
      <c r="D287" s="5"/>
      <c r="E287" s="5">
        <v>43648.74</v>
      </c>
      <c r="F287" s="5">
        <v>38367.24</v>
      </c>
    </row>
    <row r="288" spans="1:6" ht="14.4" x14ac:dyDescent="0.25">
      <c r="A288" s="23">
        <v>42735</v>
      </c>
      <c r="B288" s="4" t="s">
        <v>35</v>
      </c>
      <c r="C288" s="1">
        <v>31</v>
      </c>
      <c r="D288" s="5"/>
      <c r="E288" s="5">
        <v>24730.01</v>
      </c>
      <c r="F288" s="5">
        <v>42665</v>
      </c>
    </row>
    <row r="289" spans="1:6" ht="14.4" x14ac:dyDescent="0.25">
      <c r="A289" s="23">
        <v>42735</v>
      </c>
      <c r="B289" s="4" t="s">
        <v>36</v>
      </c>
      <c r="C289" s="1">
        <v>32</v>
      </c>
      <c r="D289" s="5"/>
      <c r="E289" s="7"/>
      <c r="F289" s="5"/>
    </row>
    <row r="290" spans="1:6" ht="14.4" x14ac:dyDescent="0.25">
      <c r="A290" s="23">
        <v>42735</v>
      </c>
      <c r="B290" s="4" t="s">
        <v>38</v>
      </c>
      <c r="C290" s="1">
        <v>33</v>
      </c>
      <c r="D290" s="5"/>
      <c r="E290" s="5">
        <v>420</v>
      </c>
      <c r="F290" s="5">
        <v>1906.93</v>
      </c>
    </row>
    <row r="291" spans="1:6" ht="14.4" x14ac:dyDescent="0.25">
      <c r="A291" s="23">
        <v>42735</v>
      </c>
      <c r="B291" s="4" t="s">
        <v>39</v>
      </c>
      <c r="C291" s="1">
        <v>34</v>
      </c>
      <c r="D291" s="5"/>
      <c r="E291" s="5"/>
      <c r="F291" s="5"/>
    </row>
    <row r="292" spans="1:6" ht="14.4" x14ac:dyDescent="0.25">
      <c r="A292" s="23">
        <v>42735</v>
      </c>
      <c r="B292" s="4" t="s">
        <v>40</v>
      </c>
      <c r="C292" s="1">
        <v>35</v>
      </c>
      <c r="D292" s="5"/>
      <c r="E292" s="5">
        <v>5251795.05</v>
      </c>
      <c r="F292" s="5">
        <v>2477944</v>
      </c>
    </row>
    <row r="293" spans="1:6" ht="14.4" x14ac:dyDescent="0.25">
      <c r="A293" s="23">
        <v>42735</v>
      </c>
      <c r="B293" s="4" t="s">
        <v>41</v>
      </c>
      <c r="C293" s="1">
        <v>36</v>
      </c>
      <c r="D293" s="5"/>
      <c r="E293" s="5"/>
      <c r="F293" s="5"/>
    </row>
    <row r="294" spans="1:6" ht="14.4" x14ac:dyDescent="0.25">
      <c r="A294" s="23">
        <v>42735</v>
      </c>
      <c r="B294" s="4" t="s">
        <v>42</v>
      </c>
      <c r="C294" s="1">
        <v>37</v>
      </c>
      <c r="D294" s="5"/>
      <c r="E294" s="5">
        <v>105035.9</v>
      </c>
      <c r="F294" s="5">
        <v>45228.25</v>
      </c>
    </row>
    <row r="295" spans="1:6" ht="14.4" x14ac:dyDescent="0.25">
      <c r="A295" s="23">
        <v>42735</v>
      </c>
      <c r="B295" s="4" t="s">
        <v>43</v>
      </c>
      <c r="C295" s="1">
        <v>38</v>
      </c>
      <c r="D295" s="5"/>
      <c r="E295" s="5"/>
      <c r="F295" s="5"/>
    </row>
    <row r="296" spans="1:6" ht="14.4" x14ac:dyDescent="0.25">
      <c r="A296" s="23">
        <v>42735</v>
      </c>
      <c r="B296" s="4" t="s">
        <v>44</v>
      </c>
      <c r="C296" s="1">
        <v>39</v>
      </c>
      <c r="D296" s="5"/>
      <c r="E296" s="5"/>
      <c r="F296" s="5"/>
    </row>
    <row r="297" spans="1:6" ht="14.4" x14ac:dyDescent="0.25">
      <c r="A297" s="23">
        <v>42735</v>
      </c>
      <c r="B297" s="4" t="s">
        <v>45</v>
      </c>
      <c r="C297" s="1">
        <v>40</v>
      </c>
      <c r="D297" s="5"/>
      <c r="E297" s="5"/>
      <c r="F297" s="5"/>
    </row>
    <row r="298" spans="1:6" ht="14.4" x14ac:dyDescent="0.25">
      <c r="A298" s="23">
        <v>42735</v>
      </c>
      <c r="B298" s="4" t="s">
        <v>46</v>
      </c>
      <c r="C298" s="1">
        <v>41</v>
      </c>
      <c r="D298" s="5"/>
      <c r="E298" s="5">
        <v>207280</v>
      </c>
      <c r="F298" s="5">
        <v>204000</v>
      </c>
    </row>
    <row r="299" spans="1:6" ht="14.4" x14ac:dyDescent="0.25">
      <c r="A299" s="23">
        <v>42735</v>
      </c>
      <c r="B299" s="4" t="s">
        <v>47</v>
      </c>
      <c r="C299" s="1">
        <v>42</v>
      </c>
      <c r="D299" s="5"/>
      <c r="E299" s="5">
        <v>66755</v>
      </c>
      <c r="F299" s="5"/>
    </row>
    <row r="300" spans="1:6" ht="14.4" x14ac:dyDescent="0.25">
      <c r="A300" s="23">
        <v>42735</v>
      </c>
      <c r="B300" s="4" t="s">
        <v>48</v>
      </c>
      <c r="C300" s="1">
        <v>43</v>
      </c>
      <c r="D300" s="5"/>
      <c r="E300" s="6">
        <v>482339.48</v>
      </c>
      <c r="F300" s="5">
        <v>324446.86</v>
      </c>
    </row>
    <row r="301" spans="1:6" ht="14.4" x14ac:dyDescent="0.25">
      <c r="A301" s="23">
        <v>42735</v>
      </c>
      <c r="B301" s="4" t="s">
        <v>49</v>
      </c>
      <c r="C301" s="1">
        <v>44</v>
      </c>
      <c r="D301" s="5"/>
      <c r="E301" s="5">
        <v>694864.27</v>
      </c>
      <c r="F301" s="5">
        <v>712844.16</v>
      </c>
    </row>
    <row r="302" spans="1:6" ht="14.4" x14ac:dyDescent="0.25">
      <c r="A302" s="23">
        <v>42735</v>
      </c>
      <c r="B302" s="4" t="s">
        <v>50</v>
      </c>
      <c r="C302" s="1">
        <v>45</v>
      </c>
      <c r="D302" s="5"/>
      <c r="E302" s="5"/>
      <c r="F302" s="5"/>
    </row>
    <row r="303" spans="1:6" ht="14.4" x14ac:dyDescent="0.25">
      <c r="A303" s="23">
        <v>42735</v>
      </c>
      <c r="B303" s="4" t="s">
        <v>51</v>
      </c>
      <c r="C303" s="1">
        <v>46</v>
      </c>
      <c r="D303" s="5"/>
      <c r="E303" s="5"/>
      <c r="F303" s="5"/>
    </row>
    <row r="304" spans="1:6" ht="14.4" x14ac:dyDescent="0.25">
      <c r="A304" s="23">
        <v>42735</v>
      </c>
      <c r="B304" s="4" t="s">
        <v>52</v>
      </c>
      <c r="C304" s="1">
        <v>47</v>
      </c>
      <c r="D304" s="5"/>
      <c r="E304" s="5"/>
      <c r="F304" s="5"/>
    </row>
    <row r="305" spans="1:6" ht="14.4" x14ac:dyDescent="0.25">
      <c r="A305" s="23">
        <v>42735</v>
      </c>
      <c r="B305" s="4" t="s">
        <v>53</v>
      </c>
      <c r="C305" s="1">
        <v>48</v>
      </c>
      <c r="D305" s="5"/>
      <c r="E305" s="5"/>
      <c r="F305" s="5"/>
    </row>
    <row r="306" spans="1:6" ht="14.4" x14ac:dyDescent="0.25">
      <c r="A306" s="23">
        <v>42735</v>
      </c>
      <c r="B306" s="4" t="s">
        <v>54</v>
      </c>
      <c r="C306" s="1">
        <v>49</v>
      </c>
      <c r="D306" s="5"/>
      <c r="E306" s="5"/>
      <c r="F306" s="5"/>
    </row>
    <row r="307" spans="1:6" ht="14.4" x14ac:dyDescent="0.25">
      <c r="A307" s="23">
        <v>42735</v>
      </c>
      <c r="B307" s="4" t="s">
        <v>55</v>
      </c>
      <c r="C307" s="1">
        <v>50</v>
      </c>
      <c r="D307" s="5"/>
      <c r="E307" s="5"/>
      <c r="F307" s="5"/>
    </row>
    <row r="308" spans="1:6" ht="14.4" x14ac:dyDescent="0.25">
      <c r="A308" s="23">
        <v>42735</v>
      </c>
      <c r="B308" s="4" t="s">
        <v>56</v>
      </c>
      <c r="C308" s="1">
        <v>51</v>
      </c>
      <c r="D308" s="5"/>
      <c r="E308" s="5"/>
      <c r="F308" s="5"/>
    </row>
    <row r="309" spans="1:6" ht="14.4" x14ac:dyDescent="0.25">
      <c r="A309" s="23">
        <v>42735</v>
      </c>
      <c r="B309" s="4" t="s">
        <v>57</v>
      </c>
      <c r="C309" s="1">
        <v>52</v>
      </c>
      <c r="D309" s="5"/>
      <c r="E309" s="5"/>
      <c r="F309" s="5"/>
    </row>
    <row r="310" spans="1:6" ht="14.4" x14ac:dyDescent="0.25">
      <c r="A310" s="23">
        <v>42735</v>
      </c>
      <c r="B310" s="4" t="s">
        <v>58</v>
      </c>
      <c r="C310" s="1">
        <v>53</v>
      </c>
      <c r="D310" s="5"/>
      <c r="E310" s="5"/>
      <c r="F310" s="5"/>
    </row>
    <row r="311" spans="1:6" ht="14.4" x14ac:dyDescent="0.25">
      <c r="A311" s="23">
        <v>42735</v>
      </c>
      <c r="B311" s="4" t="s">
        <v>59</v>
      </c>
      <c r="C311" s="1">
        <v>54</v>
      </c>
      <c r="D311" s="5"/>
      <c r="E311" s="5"/>
      <c r="F311" s="5"/>
    </row>
    <row r="312" spans="1:6" ht="14.4" x14ac:dyDescent="0.25">
      <c r="A312" s="23">
        <v>42735</v>
      </c>
      <c r="B312" s="4" t="s">
        <v>60</v>
      </c>
      <c r="C312" s="1">
        <v>55</v>
      </c>
      <c r="D312" s="5"/>
      <c r="E312" s="5"/>
      <c r="F312" s="5"/>
    </row>
    <row r="313" spans="1:6" ht="14.4" x14ac:dyDescent="0.25">
      <c r="A313" s="23">
        <v>42735</v>
      </c>
      <c r="B313" s="4" t="s">
        <v>61</v>
      </c>
      <c r="C313" s="1">
        <v>56</v>
      </c>
      <c r="D313" s="5"/>
      <c r="E313" s="5"/>
      <c r="F313" s="5"/>
    </row>
    <row r="314" spans="1:6" ht="14.4" x14ac:dyDescent="0.25">
      <c r="A314" s="23">
        <v>42735</v>
      </c>
      <c r="B314" s="4" t="s">
        <v>62</v>
      </c>
      <c r="C314" s="1">
        <v>57</v>
      </c>
      <c r="D314" s="5"/>
      <c r="E314" s="5"/>
      <c r="F314" s="5"/>
    </row>
    <row r="315" spans="1:6" ht="14.4" x14ac:dyDescent="0.25">
      <c r="A315" s="23">
        <v>42735</v>
      </c>
      <c r="B315" s="4" t="s">
        <v>63</v>
      </c>
      <c r="C315" s="1">
        <v>58</v>
      </c>
      <c r="D315" s="5"/>
      <c r="E315" s="5"/>
      <c r="F315" s="5"/>
    </row>
    <row r="316" spans="1:6" ht="14.4" x14ac:dyDescent="0.25">
      <c r="A316" s="23">
        <v>42735</v>
      </c>
      <c r="B316" s="4" t="s">
        <v>64</v>
      </c>
      <c r="C316" s="1">
        <v>59</v>
      </c>
      <c r="D316" s="5"/>
      <c r="E316" s="5"/>
      <c r="F316" s="5"/>
    </row>
    <row r="317" spans="1:6" ht="14.4" x14ac:dyDescent="0.25">
      <c r="A317" s="23">
        <v>42735</v>
      </c>
      <c r="B317" s="4" t="s">
        <v>65</v>
      </c>
      <c r="C317" s="1">
        <v>60</v>
      </c>
      <c r="D317" s="5"/>
      <c r="E317" s="5"/>
      <c r="F317" s="5"/>
    </row>
    <row r="318" spans="1:6" ht="14.4" x14ac:dyDescent="0.25">
      <c r="A318" s="23">
        <v>42735</v>
      </c>
      <c r="B318" s="4" t="s">
        <v>66</v>
      </c>
      <c r="C318" s="1">
        <v>61</v>
      </c>
      <c r="D318" s="5"/>
      <c r="E318" s="5"/>
      <c r="F318" s="5"/>
    </row>
    <row r="319" spans="1:6" ht="14.4" x14ac:dyDescent="0.25">
      <c r="A319" s="23">
        <v>42735</v>
      </c>
      <c r="B319" s="4" t="s">
        <v>67</v>
      </c>
      <c r="C319" s="1">
        <v>62</v>
      </c>
      <c r="D319" s="5"/>
      <c r="E319" s="5"/>
      <c r="F319" s="5"/>
    </row>
    <row r="320" spans="1:6" ht="14.4" x14ac:dyDescent="0.25">
      <c r="A320" s="23">
        <v>42735</v>
      </c>
      <c r="B320" s="4" t="s">
        <v>68</v>
      </c>
      <c r="C320" s="1">
        <v>63</v>
      </c>
      <c r="D320" s="5"/>
      <c r="E320" s="5"/>
      <c r="F320" s="5"/>
    </row>
    <row r="321" spans="1:6" ht="14.4" x14ac:dyDescent="0.25">
      <c r="A321" s="23">
        <v>42735</v>
      </c>
      <c r="B321" s="4" t="s">
        <v>69</v>
      </c>
      <c r="C321" s="1">
        <v>64</v>
      </c>
      <c r="D321" s="5"/>
      <c r="E321" s="5"/>
      <c r="F321" s="5"/>
    </row>
    <row r="322" spans="1:6" ht="14.4" x14ac:dyDescent="0.25">
      <c r="A322" s="23">
        <v>43100</v>
      </c>
      <c r="B322" s="4" t="s">
        <v>5</v>
      </c>
      <c r="C322" s="1">
        <v>1</v>
      </c>
      <c r="D322" s="5"/>
      <c r="E322" s="5">
        <v>1839569.33</v>
      </c>
      <c r="F322" s="5">
        <v>1534054.72</v>
      </c>
    </row>
    <row r="323" spans="1:6" ht="14.4" x14ac:dyDescent="0.25">
      <c r="A323" s="23">
        <v>43100</v>
      </c>
      <c r="B323" s="4" t="s">
        <v>6</v>
      </c>
      <c r="C323" s="1">
        <v>2</v>
      </c>
      <c r="D323" s="5"/>
      <c r="E323" s="5"/>
      <c r="F323" s="5"/>
    </row>
    <row r="324" spans="1:6" ht="14.4" x14ac:dyDescent="0.25">
      <c r="A324" s="23">
        <v>43100</v>
      </c>
      <c r="B324" s="4" t="s">
        <v>7</v>
      </c>
      <c r="C324" s="1">
        <v>3</v>
      </c>
      <c r="D324" s="5">
        <f>SUM(D325:D353)+SUM(I322:I353)</f>
        <v>326517.63</v>
      </c>
      <c r="E324" s="5">
        <f>SUM(E325:E385)</f>
        <v>10879088.379999999</v>
      </c>
      <c r="F324" s="5">
        <f>SUM(F325:F385)</f>
        <v>9501604.2899999991</v>
      </c>
    </row>
    <row r="325" spans="1:6" ht="14.4" x14ac:dyDescent="0.25">
      <c r="A325" s="23">
        <v>43100</v>
      </c>
      <c r="B325" s="4" t="s">
        <v>8</v>
      </c>
      <c r="C325" s="1">
        <v>4</v>
      </c>
      <c r="D325" s="5"/>
      <c r="E325" s="5"/>
      <c r="F325" s="5"/>
    </row>
    <row r="326" spans="1:6" ht="14.4" x14ac:dyDescent="0.25">
      <c r="A326" s="23">
        <v>43100</v>
      </c>
      <c r="B326" s="4" t="s">
        <v>9</v>
      </c>
      <c r="C326" s="1">
        <v>5</v>
      </c>
      <c r="D326" s="5"/>
      <c r="E326" s="5">
        <v>212674.69</v>
      </c>
      <c r="F326" s="5">
        <v>199358.42</v>
      </c>
    </row>
    <row r="327" spans="1:6" ht="14.4" x14ac:dyDescent="0.25">
      <c r="A327" s="23">
        <v>43100</v>
      </c>
      <c r="B327" s="4" t="s">
        <v>10</v>
      </c>
      <c r="C327" s="1">
        <v>6</v>
      </c>
      <c r="D327" s="5"/>
      <c r="E327" s="5">
        <v>52886.65</v>
      </c>
      <c r="F327" s="5">
        <v>61142.39</v>
      </c>
    </row>
    <row r="328" spans="1:6" ht="14.4" x14ac:dyDescent="0.25">
      <c r="A328" s="23">
        <v>43100</v>
      </c>
      <c r="B328" s="4" t="s">
        <v>11</v>
      </c>
      <c r="C328" s="1">
        <v>7</v>
      </c>
      <c r="D328" s="5"/>
      <c r="E328" s="5">
        <v>252116.91</v>
      </c>
      <c r="F328" s="5">
        <v>97019.95</v>
      </c>
    </row>
    <row r="329" spans="1:6" ht="14.4" x14ac:dyDescent="0.25">
      <c r="A329" s="23">
        <v>43100</v>
      </c>
      <c r="B329" s="4" t="s">
        <v>12</v>
      </c>
      <c r="C329" s="1">
        <v>8</v>
      </c>
      <c r="D329" s="5"/>
      <c r="E329" s="5"/>
      <c r="F329" s="5"/>
    </row>
    <row r="330" spans="1:6" ht="14.4" x14ac:dyDescent="0.25">
      <c r="A330" s="23">
        <v>43100</v>
      </c>
      <c r="B330" s="4" t="s">
        <v>13</v>
      </c>
      <c r="C330" s="1">
        <v>9</v>
      </c>
      <c r="D330" s="5"/>
      <c r="E330" s="5">
        <v>60000</v>
      </c>
      <c r="F330" s="5">
        <v>15000</v>
      </c>
    </row>
    <row r="331" spans="1:6" ht="14.4" x14ac:dyDescent="0.25">
      <c r="A331" s="23">
        <v>43100</v>
      </c>
      <c r="B331" s="4" t="s">
        <v>14</v>
      </c>
      <c r="C331" s="1">
        <v>10</v>
      </c>
      <c r="D331" s="5"/>
      <c r="E331" s="5"/>
      <c r="F331" s="5"/>
    </row>
    <row r="332" spans="1:6" ht="14.4" x14ac:dyDescent="0.25">
      <c r="A332" s="23">
        <v>43100</v>
      </c>
      <c r="B332" s="4" t="s">
        <v>15</v>
      </c>
      <c r="C332" s="1">
        <v>11</v>
      </c>
      <c r="D332" s="5"/>
      <c r="E332" s="5">
        <v>93614.96</v>
      </c>
      <c r="F332" s="5">
        <v>180186.52</v>
      </c>
    </row>
    <row r="333" spans="1:6" ht="14.4" x14ac:dyDescent="0.25">
      <c r="A333" s="23">
        <v>43100</v>
      </c>
      <c r="B333" s="4" t="s">
        <v>16</v>
      </c>
      <c r="C333" s="1">
        <v>12</v>
      </c>
      <c r="D333" s="5"/>
      <c r="E333" s="5">
        <v>66428.63</v>
      </c>
      <c r="F333" s="5">
        <v>21894.07</v>
      </c>
    </row>
    <row r="334" spans="1:6" ht="14.4" x14ac:dyDescent="0.25">
      <c r="A334" s="23">
        <v>43100</v>
      </c>
      <c r="B334" s="4" t="s">
        <v>17</v>
      </c>
      <c r="C334" s="1">
        <v>13</v>
      </c>
      <c r="D334" s="5"/>
      <c r="E334" s="5">
        <v>708058.95</v>
      </c>
      <c r="F334" s="5">
        <v>713690.5</v>
      </c>
    </row>
    <row r="335" spans="1:6" ht="14.4" x14ac:dyDescent="0.25">
      <c r="A335" s="23">
        <v>43100</v>
      </c>
      <c r="B335" s="4" t="s">
        <v>18</v>
      </c>
      <c r="C335" s="1">
        <v>14</v>
      </c>
      <c r="D335" s="5"/>
      <c r="E335" s="5"/>
      <c r="F335" s="5"/>
    </row>
    <row r="336" spans="1:6" ht="14.4" x14ac:dyDescent="0.25">
      <c r="A336" s="23">
        <v>43100</v>
      </c>
      <c r="B336" s="4" t="s">
        <v>19</v>
      </c>
      <c r="C336" s="1">
        <v>15</v>
      </c>
      <c r="D336" s="5"/>
      <c r="E336" s="5">
        <v>18067.86</v>
      </c>
      <c r="F336" s="5">
        <v>8179.06</v>
      </c>
    </row>
    <row r="337" spans="1:6" ht="14.4" x14ac:dyDescent="0.25">
      <c r="A337" s="23">
        <v>43100</v>
      </c>
      <c r="B337" s="4" t="s">
        <v>20</v>
      </c>
      <c r="C337" s="1">
        <v>16</v>
      </c>
      <c r="D337" s="5"/>
      <c r="E337" s="5"/>
      <c r="F337" s="5"/>
    </row>
    <row r="338" spans="1:6" ht="14.4" x14ac:dyDescent="0.25">
      <c r="A338" s="23">
        <v>43100</v>
      </c>
      <c r="B338" s="4" t="s">
        <v>21</v>
      </c>
      <c r="C338" s="1">
        <v>17</v>
      </c>
      <c r="D338" s="5"/>
      <c r="E338" s="5"/>
      <c r="F338" s="5"/>
    </row>
    <row r="339" spans="1:6" ht="14.4" x14ac:dyDescent="0.25">
      <c r="A339" s="23">
        <v>43100</v>
      </c>
      <c r="B339" s="4" t="s">
        <v>22</v>
      </c>
      <c r="C339" s="1">
        <v>18</v>
      </c>
      <c r="D339" s="5"/>
      <c r="E339" s="5">
        <v>108792.69</v>
      </c>
      <c r="F339" s="5">
        <v>86838.98</v>
      </c>
    </row>
    <row r="340" spans="1:6" ht="14.4" x14ac:dyDescent="0.25">
      <c r="A340" s="23">
        <v>43100</v>
      </c>
      <c r="B340" s="4" t="s">
        <v>23</v>
      </c>
      <c r="C340" s="1">
        <v>19</v>
      </c>
      <c r="D340" s="5"/>
      <c r="E340" s="5"/>
      <c r="F340" s="5"/>
    </row>
    <row r="341" spans="1:6" ht="14.4" x14ac:dyDescent="0.25">
      <c r="A341" s="23">
        <v>43100</v>
      </c>
      <c r="B341" s="4" t="s">
        <v>24</v>
      </c>
      <c r="C341" s="1">
        <v>20</v>
      </c>
      <c r="D341" s="5"/>
      <c r="E341" s="5"/>
      <c r="F341" s="5"/>
    </row>
    <row r="342" spans="1:6" ht="14.4" x14ac:dyDescent="0.25">
      <c r="A342" s="23">
        <v>43100</v>
      </c>
      <c r="B342" s="4" t="s">
        <v>25</v>
      </c>
      <c r="C342" s="1">
        <v>21</v>
      </c>
      <c r="D342" s="5"/>
      <c r="E342" s="5"/>
      <c r="F342" s="5"/>
    </row>
    <row r="343" spans="1:6" ht="14.4" x14ac:dyDescent="0.25">
      <c r="A343" s="23">
        <v>43100</v>
      </c>
      <c r="B343" s="4" t="s">
        <v>26</v>
      </c>
      <c r="C343" s="1">
        <v>22</v>
      </c>
      <c r="D343" s="5"/>
      <c r="E343" s="5">
        <v>6640</v>
      </c>
      <c r="F343" s="5">
        <v>11490</v>
      </c>
    </row>
    <row r="344" spans="1:6" ht="14.4" x14ac:dyDescent="0.25">
      <c r="A344" s="23">
        <v>43100</v>
      </c>
      <c r="B344" s="4" t="s">
        <v>27</v>
      </c>
      <c r="C344" s="1">
        <v>23</v>
      </c>
      <c r="D344" s="5"/>
      <c r="E344" s="5">
        <v>8253.61</v>
      </c>
      <c r="F344" s="5"/>
    </row>
    <row r="345" spans="1:6" ht="14.4" x14ac:dyDescent="0.25">
      <c r="A345" s="23">
        <v>43100</v>
      </c>
      <c r="B345" s="4" t="s">
        <v>28</v>
      </c>
      <c r="C345" s="1">
        <v>24</v>
      </c>
      <c r="D345" s="5"/>
      <c r="E345" s="5">
        <v>68896.52</v>
      </c>
      <c r="F345" s="5">
        <v>24874.18</v>
      </c>
    </row>
    <row r="346" spans="1:6" ht="14.4" x14ac:dyDescent="0.25">
      <c r="A346" s="23">
        <v>43100</v>
      </c>
      <c r="B346" s="4" t="s">
        <v>29</v>
      </c>
      <c r="C346" s="1">
        <v>25</v>
      </c>
      <c r="D346" s="5"/>
      <c r="E346" s="5">
        <v>68690.19</v>
      </c>
      <c r="F346" s="5">
        <v>47746.33</v>
      </c>
    </row>
    <row r="347" spans="1:6" ht="14.4" x14ac:dyDescent="0.25">
      <c r="A347" s="23">
        <v>43100</v>
      </c>
      <c r="B347" s="4" t="s">
        <v>30</v>
      </c>
      <c r="C347" s="1">
        <v>26</v>
      </c>
      <c r="D347" s="5"/>
      <c r="E347" s="5"/>
      <c r="F347" s="5"/>
    </row>
    <row r="348" spans="1:6" ht="14.4" x14ac:dyDescent="0.25">
      <c r="A348" s="23">
        <v>43100</v>
      </c>
      <c r="B348" s="4" t="s">
        <v>31</v>
      </c>
      <c r="C348" s="1">
        <v>27</v>
      </c>
      <c r="D348" s="5">
        <v>326517.63</v>
      </c>
      <c r="E348" s="6">
        <v>540898.37</v>
      </c>
      <c r="F348" s="5">
        <v>635739.64</v>
      </c>
    </row>
    <row r="349" spans="1:6" ht="14.4" x14ac:dyDescent="0.25">
      <c r="A349" s="23">
        <v>43100</v>
      </c>
      <c r="B349" s="4" t="s">
        <v>32</v>
      </c>
      <c r="C349" s="1">
        <v>28</v>
      </c>
      <c r="D349" s="5"/>
      <c r="E349" s="5">
        <v>824850.59</v>
      </c>
      <c r="F349" s="5">
        <v>521575.8</v>
      </c>
    </row>
    <row r="350" spans="1:6" ht="14.4" x14ac:dyDescent="0.25">
      <c r="A350" s="23">
        <v>43100</v>
      </c>
      <c r="B350" s="4" t="s">
        <v>33</v>
      </c>
      <c r="C350" s="1">
        <v>29</v>
      </c>
      <c r="D350" s="5"/>
      <c r="E350" s="5"/>
      <c r="F350" s="5"/>
    </row>
    <row r="351" spans="1:6" ht="14.4" x14ac:dyDescent="0.25">
      <c r="A351" s="23">
        <v>43100</v>
      </c>
      <c r="B351" s="4" t="s">
        <v>34</v>
      </c>
      <c r="C351" s="1">
        <v>30</v>
      </c>
      <c r="D351" s="5"/>
      <c r="E351" s="5">
        <v>43422.49</v>
      </c>
      <c r="F351" s="5">
        <v>43648.74</v>
      </c>
    </row>
    <row r="352" spans="1:6" ht="14.4" x14ac:dyDescent="0.25">
      <c r="A352" s="23">
        <v>43100</v>
      </c>
      <c r="B352" s="4" t="s">
        <v>35</v>
      </c>
      <c r="C352" s="1">
        <v>31</v>
      </c>
      <c r="D352" s="5"/>
      <c r="E352" s="5">
        <v>29377.48</v>
      </c>
      <c r="F352" s="5">
        <v>24730.01</v>
      </c>
    </row>
    <row r="353" spans="1:6" ht="14.4" x14ac:dyDescent="0.25">
      <c r="A353" s="23">
        <v>43100</v>
      </c>
      <c r="B353" s="4" t="s">
        <v>36</v>
      </c>
      <c r="C353" s="1">
        <v>32</v>
      </c>
      <c r="D353" s="5"/>
      <c r="E353" s="7"/>
      <c r="F353" s="5"/>
    </row>
    <row r="354" spans="1:6" ht="14.4" x14ac:dyDescent="0.25">
      <c r="A354" s="23">
        <v>43100</v>
      </c>
      <c r="B354" s="4" t="s">
        <v>38</v>
      </c>
      <c r="C354" s="1">
        <v>33</v>
      </c>
      <c r="D354" s="5"/>
      <c r="E354" s="5">
        <v>749</v>
      </c>
      <c r="F354" s="5">
        <v>420</v>
      </c>
    </row>
    <row r="355" spans="1:6" ht="14.4" x14ac:dyDescent="0.25">
      <c r="A355" s="23">
        <v>43100</v>
      </c>
      <c r="B355" s="4" t="s">
        <v>39</v>
      </c>
      <c r="C355" s="1">
        <v>34</v>
      </c>
      <c r="D355" s="5"/>
      <c r="E355" s="5"/>
      <c r="F355" s="5"/>
    </row>
    <row r="356" spans="1:6" ht="14.4" x14ac:dyDescent="0.25">
      <c r="A356" s="23">
        <v>43100</v>
      </c>
      <c r="B356" s="4" t="s">
        <v>40</v>
      </c>
      <c r="C356" s="1">
        <v>35</v>
      </c>
      <c r="D356" s="5"/>
      <c r="E356" s="5">
        <v>5595797.7000000002</v>
      </c>
      <c r="F356" s="5">
        <v>5251795.05</v>
      </c>
    </row>
    <row r="357" spans="1:6" ht="14.4" x14ac:dyDescent="0.25">
      <c r="A357" s="23">
        <v>43100</v>
      </c>
      <c r="B357" s="4" t="s">
        <v>41</v>
      </c>
      <c r="C357" s="1">
        <v>36</v>
      </c>
      <c r="D357" s="5"/>
      <c r="E357" s="5">
        <v>32243.58</v>
      </c>
      <c r="F357" s="5"/>
    </row>
    <row r="358" spans="1:6" ht="14.4" x14ac:dyDescent="0.25">
      <c r="A358" s="23">
        <v>43100</v>
      </c>
      <c r="B358" s="4" t="s">
        <v>42</v>
      </c>
      <c r="C358" s="1">
        <v>37</v>
      </c>
      <c r="D358" s="5"/>
      <c r="E358" s="5">
        <v>111915.95</v>
      </c>
      <c r="F358" s="5">
        <v>105035.9</v>
      </c>
    </row>
    <row r="359" spans="1:6" ht="14.4" x14ac:dyDescent="0.25">
      <c r="A359" s="23">
        <v>43100</v>
      </c>
      <c r="B359" s="4" t="s">
        <v>43</v>
      </c>
      <c r="C359" s="1">
        <v>38</v>
      </c>
      <c r="D359" s="5"/>
      <c r="E359" s="5"/>
      <c r="F359" s="5"/>
    </row>
    <row r="360" spans="1:6" ht="14.4" x14ac:dyDescent="0.25">
      <c r="A360" s="23">
        <v>43100</v>
      </c>
      <c r="B360" s="4" t="s">
        <v>44</v>
      </c>
      <c r="C360" s="1">
        <v>39</v>
      </c>
      <c r="D360" s="5"/>
      <c r="E360" s="5"/>
      <c r="F360" s="5"/>
    </row>
    <row r="361" spans="1:6" ht="14.4" x14ac:dyDescent="0.25">
      <c r="A361" s="23">
        <v>43100</v>
      </c>
      <c r="B361" s="4" t="s">
        <v>45</v>
      </c>
      <c r="C361" s="1">
        <v>40</v>
      </c>
      <c r="D361" s="5"/>
      <c r="E361" s="5"/>
      <c r="F361" s="5"/>
    </row>
    <row r="362" spans="1:6" ht="14.4" x14ac:dyDescent="0.25">
      <c r="A362" s="23">
        <v>43100</v>
      </c>
      <c r="B362" s="4" t="s">
        <v>46</v>
      </c>
      <c r="C362" s="1">
        <v>41</v>
      </c>
      <c r="D362" s="5"/>
      <c r="E362" s="5">
        <v>241854</v>
      </c>
      <c r="F362" s="5">
        <v>207280</v>
      </c>
    </row>
    <row r="363" spans="1:6" ht="14.4" x14ac:dyDescent="0.25">
      <c r="A363" s="23">
        <v>43100</v>
      </c>
      <c r="B363" s="4" t="s">
        <v>47</v>
      </c>
      <c r="C363" s="1">
        <v>42</v>
      </c>
      <c r="D363" s="5"/>
      <c r="E363" s="5"/>
      <c r="F363" s="5">
        <v>66755</v>
      </c>
    </row>
    <row r="364" spans="1:6" ht="14.4" x14ac:dyDescent="0.25">
      <c r="A364" s="23">
        <v>43100</v>
      </c>
      <c r="B364" s="4" t="s">
        <v>48</v>
      </c>
      <c r="C364" s="1">
        <v>43</v>
      </c>
      <c r="D364" s="5"/>
      <c r="E364" s="6">
        <v>636736.74</v>
      </c>
      <c r="F364" s="5">
        <v>482339.48</v>
      </c>
    </row>
    <row r="365" spans="1:6" ht="14.4" x14ac:dyDescent="0.25">
      <c r="A365" s="23">
        <v>43100</v>
      </c>
      <c r="B365" s="4" t="s">
        <v>49</v>
      </c>
      <c r="C365" s="1">
        <v>44</v>
      </c>
      <c r="D365" s="5"/>
      <c r="E365" s="5">
        <v>674150</v>
      </c>
      <c r="F365" s="5">
        <v>694864.27</v>
      </c>
    </row>
    <row r="366" spans="1:6" ht="14.4" x14ac:dyDescent="0.25">
      <c r="A366" s="23">
        <v>43100</v>
      </c>
      <c r="B366" s="4" t="s">
        <v>50</v>
      </c>
      <c r="C366" s="1">
        <v>45</v>
      </c>
      <c r="D366" s="5"/>
      <c r="E366" s="5">
        <v>74730</v>
      </c>
      <c r="F366" s="5"/>
    </row>
    <row r="367" spans="1:6" ht="14.4" x14ac:dyDescent="0.25">
      <c r="A367" s="23">
        <v>43100</v>
      </c>
      <c r="B367" s="4" t="s">
        <v>51</v>
      </c>
      <c r="C367" s="1">
        <v>46</v>
      </c>
      <c r="D367" s="5"/>
      <c r="E367" s="5"/>
      <c r="F367" s="5"/>
    </row>
    <row r="368" spans="1:6" ht="14.4" x14ac:dyDescent="0.25">
      <c r="A368" s="23">
        <v>43100</v>
      </c>
      <c r="B368" s="4" t="s">
        <v>52</v>
      </c>
      <c r="C368" s="1">
        <v>47</v>
      </c>
      <c r="D368" s="5"/>
      <c r="E368" s="5"/>
      <c r="F368" s="5"/>
    </row>
    <row r="369" spans="1:6" ht="14.4" x14ac:dyDescent="0.25">
      <c r="A369" s="23">
        <v>43100</v>
      </c>
      <c r="B369" s="4" t="s">
        <v>53</v>
      </c>
      <c r="C369" s="1">
        <v>48</v>
      </c>
      <c r="D369" s="5"/>
      <c r="E369" s="5"/>
      <c r="F369" s="5"/>
    </row>
    <row r="370" spans="1:6" ht="14.4" x14ac:dyDescent="0.25">
      <c r="A370" s="23">
        <v>43100</v>
      </c>
      <c r="B370" s="4" t="s">
        <v>54</v>
      </c>
      <c r="C370" s="1">
        <v>49</v>
      </c>
      <c r="D370" s="5"/>
      <c r="E370" s="5"/>
      <c r="F370" s="5"/>
    </row>
    <row r="371" spans="1:6" ht="14.4" x14ac:dyDescent="0.25">
      <c r="A371" s="23">
        <v>43100</v>
      </c>
      <c r="B371" s="4" t="s">
        <v>55</v>
      </c>
      <c r="C371" s="1">
        <v>50</v>
      </c>
      <c r="D371" s="5"/>
      <c r="E371" s="5"/>
      <c r="F371" s="5"/>
    </row>
    <row r="372" spans="1:6" ht="14.4" x14ac:dyDescent="0.25">
      <c r="A372" s="23">
        <v>43100</v>
      </c>
      <c r="B372" s="4" t="s">
        <v>56</v>
      </c>
      <c r="C372" s="1">
        <v>51</v>
      </c>
      <c r="D372" s="5"/>
      <c r="E372" s="5"/>
      <c r="F372" s="5"/>
    </row>
    <row r="373" spans="1:6" ht="14.4" x14ac:dyDescent="0.25">
      <c r="A373" s="23">
        <v>43100</v>
      </c>
      <c r="B373" s="4" t="s">
        <v>57</v>
      </c>
      <c r="C373" s="1">
        <v>52</v>
      </c>
      <c r="D373" s="5"/>
      <c r="E373" s="5"/>
      <c r="F373" s="5"/>
    </row>
    <row r="374" spans="1:6" ht="14.4" x14ac:dyDescent="0.25">
      <c r="A374" s="23">
        <v>43100</v>
      </c>
      <c r="B374" s="4" t="s">
        <v>58</v>
      </c>
      <c r="C374" s="1">
        <v>53</v>
      </c>
      <c r="D374" s="5"/>
      <c r="E374" s="5"/>
      <c r="F374" s="5"/>
    </row>
    <row r="375" spans="1:6" ht="14.4" x14ac:dyDescent="0.25">
      <c r="A375" s="23">
        <v>43100</v>
      </c>
      <c r="B375" s="4" t="s">
        <v>59</v>
      </c>
      <c r="C375" s="1">
        <v>54</v>
      </c>
      <c r="D375" s="5"/>
      <c r="E375" s="5"/>
      <c r="F375" s="5"/>
    </row>
    <row r="376" spans="1:6" ht="14.4" x14ac:dyDescent="0.25">
      <c r="A376" s="23">
        <v>43100</v>
      </c>
      <c r="B376" s="4" t="s">
        <v>60</v>
      </c>
      <c r="C376" s="1">
        <v>55</v>
      </c>
      <c r="D376" s="5"/>
      <c r="E376" s="5"/>
      <c r="F376" s="5"/>
    </row>
    <row r="377" spans="1:6" ht="14.4" x14ac:dyDescent="0.25">
      <c r="A377" s="23">
        <v>43100</v>
      </c>
      <c r="B377" s="4" t="s">
        <v>61</v>
      </c>
      <c r="C377" s="1">
        <v>56</v>
      </c>
      <c r="D377" s="5"/>
      <c r="E377" s="5">
        <v>242718.45</v>
      </c>
      <c r="F377" s="5"/>
    </row>
    <row r="378" spans="1:6" ht="14.4" x14ac:dyDescent="0.25">
      <c r="A378" s="23">
        <v>43100</v>
      </c>
      <c r="B378" s="4" t="s">
        <v>62</v>
      </c>
      <c r="C378" s="1">
        <v>57</v>
      </c>
      <c r="D378" s="5"/>
      <c r="E378" s="5"/>
      <c r="F378" s="5"/>
    </row>
    <row r="379" spans="1:6" ht="14.4" x14ac:dyDescent="0.25">
      <c r="A379" s="23">
        <v>43100</v>
      </c>
      <c r="B379" s="4" t="s">
        <v>63</v>
      </c>
      <c r="C379" s="1">
        <v>58</v>
      </c>
      <c r="D379" s="5"/>
      <c r="E379" s="5"/>
      <c r="F379" s="5"/>
    </row>
    <row r="380" spans="1:6" ht="14.4" x14ac:dyDescent="0.25">
      <c r="A380" s="23">
        <v>43100</v>
      </c>
      <c r="B380" s="4" t="s">
        <v>64</v>
      </c>
      <c r="C380" s="1">
        <v>59</v>
      </c>
      <c r="D380" s="5"/>
      <c r="E380" s="5"/>
      <c r="F380" s="5"/>
    </row>
    <row r="381" spans="1:6" ht="14.4" x14ac:dyDescent="0.25">
      <c r="A381" s="23">
        <v>43100</v>
      </c>
      <c r="B381" s="4" t="s">
        <v>65</v>
      </c>
      <c r="C381" s="1">
        <v>60</v>
      </c>
      <c r="D381" s="5"/>
      <c r="E381" s="5"/>
      <c r="F381" s="5"/>
    </row>
    <row r="382" spans="1:6" ht="14.4" x14ac:dyDescent="0.25">
      <c r="A382" s="23">
        <v>43100</v>
      </c>
      <c r="B382" s="4" t="s">
        <v>66</v>
      </c>
      <c r="C382" s="1">
        <v>61</v>
      </c>
      <c r="D382" s="5"/>
      <c r="E382" s="5"/>
      <c r="F382" s="5"/>
    </row>
    <row r="383" spans="1:6" ht="14.4" x14ac:dyDescent="0.25">
      <c r="A383" s="23">
        <v>43100</v>
      </c>
      <c r="B383" s="4" t="s">
        <v>67</v>
      </c>
      <c r="C383" s="1">
        <v>62</v>
      </c>
      <c r="D383" s="5"/>
      <c r="E383" s="5"/>
      <c r="F383" s="5"/>
    </row>
    <row r="384" spans="1:6" ht="14.4" x14ac:dyDescent="0.25">
      <c r="A384" s="23">
        <v>43100</v>
      </c>
      <c r="B384" s="4" t="s">
        <v>68</v>
      </c>
      <c r="C384" s="1">
        <v>63</v>
      </c>
      <c r="D384" s="5"/>
      <c r="E384" s="5"/>
      <c r="F384" s="5"/>
    </row>
    <row r="385" spans="1:9" ht="14.4" x14ac:dyDescent="0.25">
      <c r="A385" s="23">
        <v>43100</v>
      </c>
      <c r="B385" s="4" t="s">
        <v>69</v>
      </c>
      <c r="C385" s="1">
        <v>64</v>
      </c>
      <c r="D385" s="5">
        <v>52517.95</v>
      </c>
      <c r="E385" s="5">
        <v>104522.37</v>
      </c>
      <c r="F385" s="5"/>
    </row>
    <row r="386" spans="1:9" ht="14.4" x14ac:dyDescent="0.25">
      <c r="A386" s="23">
        <v>43281</v>
      </c>
      <c r="B386" s="4" t="s">
        <v>5</v>
      </c>
      <c r="C386" s="1">
        <v>1</v>
      </c>
      <c r="D386" s="5">
        <v>1353525.42</v>
      </c>
      <c r="E386" s="5">
        <v>1205448.6399999999</v>
      </c>
      <c r="F386" s="5">
        <v>749181.1</v>
      </c>
    </row>
    <row r="387" spans="1:9" ht="14.4" x14ac:dyDescent="0.25">
      <c r="A387" s="23">
        <v>43281</v>
      </c>
      <c r="B387" s="4" t="s">
        <v>6</v>
      </c>
      <c r="C387" s="1">
        <v>2</v>
      </c>
      <c r="D387" s="5"/>
      <c r="E387" s="5"/>
      <c r="F387" s="5"/>
      <c r="I387" s="77">
        <f>E391+E394+E396+E400+E408+E410+E415+E416+E418+E449</f>
        <v>253343.39</v>
      </c>
    </row>
    <row r="388" spans="1:9" ht="14.4" x14ac:dyDescent="0.25">
      <c r="A388" s="23">
        <v>43281</v>
      </c>
      <c r="B388" s="4" t="s">
        <v>7</v>
      </c>
      <c r="C388" s="1">
        <v>3</v>
      </c>
      <c r="D388" s="5">
        <f>SUM(D389:D417)+SUM(D418:D449)</f>
        <v>1742504.11</v>
      </c>
      <c r="E388" s="5">
        <f>SUM(E389:E417)+SUM(E418:E449)</f>
        <v>4336134.1000000006</v>
      </c>
      <c r="F388" s="5">
        <f>SUM(F389:F417)+SUM(F418:F449)</f>
        <v>3479213.95</v>
      </c>
    </row>
    <row r="389" spans="1:9" ht="14.4" x14ac:dyDescent="0.25">
      <c r="A389" s="23">
        <v>43281</v>
      </c>
      <c r="B389" s="4" t="s">
        <v>8</v>
      </c>
      <c r="C389" s="1">
        <v>4</v>
      </c>
      <c r="D389" s="5"/>
      <c r="E389" s="5"/>
      <c r="F389" s="5"/>
    </row>
    <row r="390" spans="1:9" ht="14.4" x14ac:dyDescent="0.25">
      <c r="A390" s="23">
        <v>43281</v>
      </c>
      <c r="B390" s="51" t="s">
        <v>9</v>
      </c>
      <c r="C390" s="52">
        <v>5</v>
      </c>
      <c r="D390" s="53">
        <v>35395.26</v>
      </c>
      <c r="E390" s="53">
        <v>112784</v>
      </c>
      <c r="F390" s="53">
        <v>102171.81</v>
      </c>
    </row>
    <row r="391" spans="1:9" ht="14.4" x14ac:dyDescent="0.25">
      <c r="A391" s="23">
        <v>43281</v>
      </c>
      <c r="B391" s="4" t="s">
        <v>10</v>
      </c>
      <c r="C391" s="1">
        <v>6</v>
      </c>
      <c r="D391" s="5"/>
      <c r="E391" s="5">
        <v>24703.08</v>
      </c>
      <c r="F391" s="5">
        <v>26614.19</v>
      </c>
    </row>
    <row r="392" spans="1:9" ht="14.4" x14ac:dyDescent="0.25">
      <c r="A392" s="23">
        <v>43281</v>
      </c>
      <c r="B392" s="51" t="s">
        <v>11</v>
      </c>
      <c r="C392" s="52">
        <v>7</v>
      </c>
      <c r="D392" s="53"/>
      <c r="E392" s="53"/>
      <c r="F392" s="53">
        <v>117642.06</v>
      </c>
    </row>
    <row r="393" spans="1:9" ht="14.4" x14ac:dyDescent="0.25">
      <c r="A393" s="23">
        <v>43281</v>
      </c>
      <c r="B393" s="4" t="s">
        <v>12</v>
      </c>
      <c r="C393" s="1">
        <v>8</v>
      </c>
      <c r="D393" s="5"/>
      <c r="E393" s="5"/>
      <c r="F393" s="5"/>
    </row>
    <row r="394" spans="1:9" ht="14.4" x14ac:dyDescent="0.25">
      <c r="A394" s="23">
        <v>43281</v>
      </c>
      <c r="B394" s="4" t="s">
        <v>13</v>
      </c>
      <c r="C394" s="1">
        <v>9</v>
      </c>
      <c r="D394" s="5"/>
      <c r="E394" s="5">
        <v>80000</v>
      </c>
      <c r="F394" s="5">
        <v>60000</v>
      </c>
    </row>
    <row r="395" spans="1:9" ht="14.4" x14ac:dyDescent="0.25">
      <c r="A395" s="23">
        <v>43281</v>
      </c>
      <c r="B395" s="4" t="s">
        <v>14</v>
      </c>
      <c r="C395" s="1">
        <v>10</v>
      </c>
      <c r="D395" s="5"/>
      <c r="E395" s="5"/>
      <c r="F395" s="5"/>
    </row>
    <row r="396" spans="1:9" ht="14.4" x14ac:dyDescent="0.25">
      <c r="A396" s="23">
        <v>43281</v>
      </c>
      <c r="B396" s="4" t="s">
        <v>325</v>
      </c>
      <c r="C396" s="1">
        <v>11</v>
      </c>
      <c r="D396" s="5">
        <v>1747.57</v>
      </c>
      <c r="E396" s="5">
        <v>21418.21</v>
      </c>
      <c r="F396" s="5">
        <v>31680.85</v>
      </c>
    </row>
    <row r="397" spans="1:9" ht="14.4" x14ac:dyDescent="0.25">
      <c r="A397" s="23">
        <v>43281</v>
      </c>
      <c r="B397" s="54" t="s">
        <v>16</v>
      </c>
      <c r="C397" s="55">
        <v>12</v>
      </c>
      <c r="D397" s="56">
        <v>6968.2</v>
      </c>
      <c r="E397" s="56">
        <v>41738.01</v>
      </c>
      <c r="F397" s="56">
        <v>24063.41</v>
      </c>
    </row>
    <row r="398" spans="1:9" ht="14.4" x14ac:dyDescent="0.25">
      <c r="A398" s="23">
        <v>43281</v>
      </c>
      <c r="B398" s="54" t="s">
        <v>17</v>
      </c>
      <c r="C398" s="55">
        <v>13</v>
      </c>
      <c r="D398" s="56">
        <v>104526.59</v>
      </c>
      <c r="E398" s="56">
        <v>359831.49</v>
      </c>
      <c r="F398" s="56">
        <v>357926.73</v>
      </c>
    </row>
    <row r="399" spans="1:9" ht="14.4" x14ac:dyDescent="0.25">
      <c r="A399" s="23">
        <v>43281</v>
      </c>
      <c r="B399" s="4" t="s">
        <v>18</v>
      </c>
      <c r="C399" s="1">
        <v>14</v>
      </c>
      <c r="D399" s="5"/>
      <c r="E399" s="5"/>
      <c r="F399" s="5"/>
    </row>
    <row r="400" spans="1:9" ht="14.4" x14ac:dyDescent="0.25">
      <c r="A400" s="23">
        <v>43281</v>
      </c>
      <c r="B400" s="4" t="s">
        <v>19</v>
      </c>
      <c r="C400" s="1">
        <v>15</v>
      </c>
      <c r="D400" s="5">
        <v>3672.41</v>
      </c>
      <c r="E400" s="5">
        <v>11711.94</v>
      </c>
      <c r="F400" s="5">
        <v>11644.79</v>
      </c>
    </row>
    <row r="401" spans="1:6" ht="14.4" x14ac:dyDescent="0.25">
      <c r="A401" s="23">
        <v>43281</v>
      </c>
      <c r="B401" s="4" t="s">
        <v>20</v>
      </c>
      <c r="C401" s="1">
        <v>16</v>
      </c>
      <c r="D401" s="5"/>
      <c r="E401" s="5"/>
      <c r="F401" s="5"/>
    </row>
    <row r="402" spans="1:6" ht="14.4" x14ac:dyDescent="0.25">
      <c r="A402" s="23">
        <v>43281</v>
      </c>
      <c r="B402" s="4" t="s">
        <v>21</v>
      </c>
      <c r="C402" s="1">
        <v>17</v>
      </c>
      <c r="D402" s="5"/>
      <c r="E402" s="5"/>
      <c r="F402" s="5"/>
    </row>
    <row r="403" spans="1:6" ht="14.4" x14ac:dyDescent="0.25">
      <c r="A403" s="23">
        <v>43281</v>
      </c>
      <c r="B403" s="54" t="s">
        <v>22</v>
      </c>
      <c r="C403" s="55">
        <v>18</v>
      </c>
      <c r="D403" s="56">
        <v>9066.07</v>
      </c>
      <c r="E403" s="56">
        <v>54396.35</v>
      </c>
      <c r="F403" s="56">
        <v>54396.35</v>
      </c>
    </row>
    <row r="404" spans="1:6" ht="14.4" x14ac:dyDescent="0.25">
      <c r="A404" s="23">
        <v>43281</v>
      </c>
      <c r="B404" s="4" t="s">
        <v>23</v>
      </c>
      <c r="C404" s="1">
        <v>19</v>
      </c>
      <c r="D404" s="5"/>
      <c r="E404" s="5"/>
      <c r="F404" s="5"/>
    </row>
    <row r="405" spans="1:6" ht="14.4" x14ac:dyDescent="0.25">
      <c r="A405" s="23">
        <v>43281</v>
      </c>
      <c r="B405" s="4" t="s">
        <v>24</v>
      </c>
      <c r="C405" s="1">
        <v>20</v>
      </c>
      <c r="D405" s="5"/>
      <c r="E405" s="5"/>
      <c r="F405" s="5"/>
    </row>
    <row r="406" spans="1:6" ht="14.4" x14ac:dyDescent="0.25">
      <c r="A406" s="23">
        <v>43281</v>
      </c>
      <c r="B406" s="4" t="s">
        <v>25</v>
      </c>
      <c r="C406" s="1">
        <v>21</v>
      </c>
      <c r="D406" s="5"/>
      <c r="E406" s="5"/>
      <c r="F406" s="5"/>
    </row>
    <row r="407" spans="1:6" ht="14.4" x14ac:dyDescent="0.25">
      <c r="A407" s="23">
        <v>43281</v>
      </c>
      <c r="B407" s="4" t="s">
        <v>26</v>
      </c>
      <c r="C407" s="1">
        <v>22</v>
      </c>
      <c r="D407" s="5"/>
      <c r="E407" s="5"/>
      <c r="F407" s="5">
        <v>6640</v>
      </c>
    </row>
    <row r="408" spans="1:6" ht="14.4" x14ac:dyDescent="0.25">
      <c r="A408" s="23">
        <v>43281</v>
      </c>
      <c r="B408" s="4" t="s">
        <v>27</v>
      </c>
      <c r="C408" s="1">
        <v>23</v>
      </c>
      <c r="D408" s="5"/>
      <c r="E408" s="5">
        <v>14451.01</v>
      </c>
      <c r="F408" s="5">
        <v>8253.61</v>
      </c>
    </row>
    <row r="409" spans="1:6" ht="14.4" x14ac:dyDescent="0.25">
      <c r="A409" s="23">
        <v>43281</v>
      </c>
      <c r="B409" s="54" t="s">
        <v>28</v>
      </c>
      <c r="C409" s="55">
        <v>24</v>
      </c>
      <c r="D409" s="56"/>
      <c r="E409" s="56">
        <v>15378.68</v>
      </c>
      <c r="F409" s="56">
        <v>38139.14</v>
      </c>
    </row>
    <row r="410" spans="1:6" ht="14.4" x14ac:dyDescent="0.25">
      <c r="A410" s="23">
        <v>43281</v>
      </c>
      <c r="B410" s="4" t="s">
        <v>29</v>
      </c>
      <c r="C410" s="1">
        <v>25</v>
      </c>
      <c r="D410" s="5">
        <v>1867.05</v>
      </c>
      <c r="E410" s="5">
        <v>32637.74</v>
      </c>
      <c r="F410" s="5">
        <v>45400.19</v>
      </c>
    </row>
    <row r="411" spans="1:6" ht="14.4" x14ac:dyDescent="0.25">
      <c r="A411" s="23">
        <v>43281</v>
      </c>
      <c r="B411" s="4" t="s">
        <v>30</v>
      </c>
      <c r="C411" s="1">
        <v>26</v>
      </c>
      <c r="D411" s="5"/>
      <c r="E411" s="5"/>
      <c r="F411" s="5"/>
    </row>
    <row r="412" spans="1:6" ht="14.4" x14ac:dyDescent="0.25">
      <c r="A412" s="23">
        <v>43281</v>
      </c>
      <c r="B412" s="51" t="s">
        <v>31</v>
      </c>
      <c r="C412" s="52">
        <v>27</v>
      </c>
      <c r="D412" s="53">
        <v>10980.62</v>
      </c>
      <c r="E412" s="57">
        <v>66009.41</v>
      </c>
      <c r="F412" s="53">
        <v>97759.37</v>
      </c>
    </row>
    <row r="413" spans="1:6" ht="14.4" x14ac:dyDescent="0.25">
      <c r="A413" s="23">
        <v>43281</v>
      </c>
      <c r="B413" s="51" t="s">
        <v>32</v>
      </c>
      <c r="C413" s="52">
        <v>28</v>
      </c>
      <c r="D413" s="53">
        <v>113269.5</v>
      </c>
      <c r="E413" s="53">
        <v>354965.91</v>
      </c>
      <c r="F413" s="53">
        <v>347455.15</v>
      </c>
    </row>
    <row r="414" spans="1:6" ht="14.4" x14ac:dyDescent="0.25">
      <c r="A414" s="23">
        <v>43281</v>
      </c>
      <c r="B414" s="4" t="s">
        <v>33</v>
      </c>
      <c r="C414" s="1">
        <v>29</v>
      </c>
      <c r="D414" s="5"/>
      <c r="E414" s="5"/>
      <c r="F414" s="5"/>
    </row>
    <row r="415" spans="1:6" ht="14.4" x14ac:dyDescent="0.25">
      <c r="A415" s="23">
        <v>43281</v>
      </c>
      <c r="B415" s="4" t="s">
        <v>34</v>
      </c>
      <c r="C415" s="1">
        <v>30</v>
      </c>
      <c r="D415" s="5">
        <v>702</v>
      </c>
      <c r="E415" s="5">
        <v>18434.41</v>
      </c>
      <c r="F415" s="5">
        <v>21548.32</v>
      </c>
    </row>
    <row r="416" spans="1:6" ht="14.4" x14ac:dyDescent="0.25">
      <c r="A416" s="23">
        <v>43281</v>
      </c>
      <c r="B416" s="4" t="s">
        <v>35</v>
      </c>
      <c r="C416" s="1">
        <v>31</v>
      </c>
      <c r="D416" s="5">
        <v>3293.56</v>
      </c>
      <c r="E416" s="5">
        <v>8333.52</v>
      </c>
      <c r="F416" s="5">
        <v>2919.01</v>
      </c>
    </row>
    <row r="417" spans="1:6" ht="14.4" x14ac:dyDescent="0.25">
      <c r="A417" s="23">
        <v>43281</v>
      </c>
      <c r="B417" s="4" t="s">
        <v>36</v>
      </c>
      <c r="C417" s="1">
        <v>32</v>
      </c>
      <c r="D417" s="5"/>
      <c r="E417" s="7"/>
      <c r="F417" s="5"/>
    </row>
    <row r="418" spans="1:6" ht="14.4" x14ac:dyDescent="0.25">
      <c r="A418" s="23">
        <v>43281</v>
      </c>
      <c r="B418" s="4" t="s">
        <v>38</v>
      </c>
      <c r="C418" s="1">
        <v>33</v>
      </c>
      <c r="D418" s="5">
        <v>15.5</v>
      </c>
      <c r="E418" s="5">
        <v>88</v>
      </c>
      <c r="F418" s="5">
        <v>665</v>
      </c>
    </row>
    <row r="419" spans="1:6" ht="14.4" x14ac:dyDescent="0.25">
      <c r="A419" s="23">
        <v>43281</v>
      </c>
      <c r="B419" s="4" t="s">
        <v>39</v>
      </c>
      <c r="C419" s="1">
        <v>34</v>
      </c>
      <c r="D419" s="5"/>
      <c r="E419" s="5"/>
      <c r="F419" s="5"/>
    </row>
    <row r="420" spans="1:6" ht="14.4" x14ac:dyDescent="0.25">
      <c r="A420" s="23">
        <v>43281</v>
      </c>
      <c r="B420" s="58" t="s">
        <v>40</v>
      </c>
      <c r="C420" s="59">
        <v>35</v>
      </c>
      <c r="D420" s="60">
        <v>1275773.4099999999</v>
      </c>
      <c r="E420" s="60">
        <v>2110094.27</v>
      </c>
      <c r="F420" s="60">
        <v>1337161.0900000001</v>
      </c>
    </row>
    <row r="421" spans="1:6" ht="14.4" x14ac:dyDescent="0.25">
      <c r="A421" s="23">
        <v>43281</v>
      </c>
      <c r="B421" s="58" t="s">
        <v>41</v>
      </c>
      <c r="C421" s="59">
        <v>36</v>
      </c>
      <c r="D421" s="60"/>
      <c r="E421" s="60">
        <v>2350</v>
      </c>
      <c r="F421" s="60">
        <v>12155.5</v>
      </c>
    </row>
    <row r="422" spans="1:6" ht="14.4" x14ac:dyDescent="0.25">
      <c r="A422" s="23">
        <v>43281</v>
      </c>
      <c r="B422" s="58" t="s">
        <v>42</v>
      </c>
      <c r="C422" s="59">
        <v>37</v>
      </c>
      <c r="D422" s="60">
        <v>26413.81</v>
      </c>
      <c r="E422" s="60">
        <v>42201.89</v>
      </c>
      <c r="F422" s="60">
        <v>26743.22</v>
      </c>
    </row>
    <row r="423" spans="1:6" ht="14.4" x14ac:dyDescent="0.25">
      <c r="A423" s="23">
        <v>43281</v>
      </c>
      <c r="B423" s="58" t="s">
        <v>43</v>
      </c>
      <c r="C423" s="59">
        <v>38</v>
      </c>
      <c r="D423" s="60"/>
      <c r="E423" s="60"/>
      <c r="F423" s="60"/>
    </row>
    <row r="424" spans="1:6" ht="14.4" x14ac:dyDescent="0.25">
      <c r="A424" s="23">
        <v>43281</v>
      </c>
      <c r="B424" s="58" t="s">
        <v>44</v>
      </c>
      <c r="C424" s="59">
        <v>39</v>
      </c>
      <c r="D424" s="60"/>
      <c r="E424" s="60"/>
      <c r="F424" s="60"/>
    </row>
    <row r="425" spans="1:6" ht="14.4" x14ac:dyDescent="0.25">
      <c r="A425" s="23">
        <v>43281</v>
      </c>
      <c r="B425" s="58" t="s">
        <v>45</v>
      </c>
      <c r="C425" s="59">
        <v>40</v>
      </c>
      <c r="D425" s="60"/>
      <c r="E425" s="60"/>
      <c r="F425" s="60"/>
    </row>
    <row r="426" spans="1:6" ht="14.4" x14ac:dyDescent="0.25">
      <c r="A426" s="23">
        <v>43281</v>
      </c>
      <c r="B426" s="58" t="s">
        <v>46</v>
      </c>
      <c r="C426" s="59">
        <v>41</v>
      </c>
      <c r="D426" s="60">
        <v>20202</v>
      </c>
      <c r="E426" s="60">
        <v>122712</v>
      </c>
      <c r="F426" s="60">
        <v>121752</v>
      </c>
    </row>
    <row r="427" spans="1:6" ht="14.4" x14ac:dyDescent="0.25">
      <c r="A427" s="23">
        <v>43281</v>
      </c>
      <c r="B427" s="58" t="s">
        <v>47</v>
      </c>
      <c r="C427" s="59">
        <v>42</v>
      </c>
      <c r="D427" s="60"/>
      <c r="E427" s="60"/>
      <c r="F427" s="60"/>
    </row>
    <row r="428" spans="1:6" ht="14.4" x14ac:dyDescent="0.25">
      <c r="A428" s="23">
        <v>43281</v>
      </c>
      <c r="B428" s="58" t="s">
        <v>48</v>
      </c>
      <c r="C428" s="59">
        <v>43</v>
      </c>
      <c r="D428" s="60">
        <v>65458.33</v>
      </c>
      <c r="E428" s="61">
        <v>425671.7</v>
      </c>
      <c r="F428" s="60">
        <v>282302.68</v>
      </c>
    </row>
    <row r="429" spans="1:6" ht="14.4" x14ac:dyDescent="0.25">
      <c r="A429" s="23">
        <v>43281</v>
      </c>
      <c r="B429" s="58" t="s">
        <v>49</v>
      </c>
      <c r="C429" s="59">
        <v>44</v>
      </c>
      <c r="D429" s="60">
        <v>37050</v>
      </c>
      <c r="E429" s="60">
        <v>321000</v>
      </c>
      <c r="F429" s="60">
        <v>290190</v>
      </c>
    </row>
    <row r="430" spans="1:6" ht="14.4" x14ac:dyDescent="0.25">
      <c r="A430" s="23">
        <v>43281</v>
      </c>
      <c r="B430" s="58" t="s">
        <v>50</v>
      </c>
      <c r="C430" s="59">
        <v>45</v>
      </c>
      <c r="D430" s="60">
        <v>20681</v>
      </c>
      <c r="E430" s="60">
        <v>53657</v>
      </c>
      <c r="F430" s="60">
        <v>36090</v>
      </c>
    </row>
    <row r="431" spans="1:6" ht="14.4" x14ac:dyDescent="0.25">
      <c r="A431" s="23">
        <v>43281</v>
      </c>
      <c r="B431" s="4" t="s">
        <v>51</v>
      </c>
      <c r="C431" s="1">
        <v>46</v>
      </c>
      <c r="D431" s="5"/>
      <c r="E431" s="5"/>
      <c r="F431" s="5"/>
    </row>
    <row r="432" spans="1:6" ht="14.4" x14ac:dyDescent="0.25">
      <c r="A432" s="23">
        <v>43281</v>
      </c>
      <c r="B432" s="4" t="s">
        <v>52</v>
      </c>
      <c r="C432" s="1">
        <v>47</v>
      </c>
      <c r="D432" s="5"/>
      <c r="E432" s="5"/>
      <c r="F432" s="5"/>
    </row>
    <row r="433" spans="1:6" ht="14.4" x14ac:dyDescent="0.25">
      <c r="A433" s="23">
        <v>43281</v>
      </c>
      <c r="B433" s="4" t="s">
        <v>53</v>
      </c>
      <c r="C433" s="1">
        <v>48</v>
      </c>
      <c r="D433" s="5"/>
      <c r="E433" s="5"/>
      <c r="F433" s="5"/>
    </row>
    <row r="434" spans="1:6" ht="14.4" x14ac:dyDescent="0.25">
      <c r="A434" s="23">
        <v>43281</v>
      </c>
      <c r="B434" s="4" t="s">
        <v>54</v>
      </c>
      <c r="C434" s="1">
        <v>49</v>
      </c>
      <c r="D434" s="5"/>
      <c r="E434" s="5"/>
      <c r="F434" s="5"/>
    </row>
    <row r="435" spans="1:6" ht="14.4" x14ac:dyDescent="0.25">
      <c r="A435" s="23">
        <v>43281</v>
      </c>
      <c r="B435" s="4" t="s">
        <v>55</v>
      </c>
      <c r="C435" s="1">
        <v>50</v>
      </c>
      <c r="D435" s="5"/>
      <c r="E435" s="5"/>
      <c r="F435" s="5"/>
    </row>
    <row r="436" spans="1:6" ht="14.4" x14ac:dyDescent="0.25">
      <c r="A436" s="23">
        <v>43281</v>
      </c>
      <c r="B436" s="4" t="s">
        <v>56</v>
      </c>
      <c r="C436" s="1">
        <v>51</v>
      </c>
      <c r="D436" s="5"/>
      <c r="E436" s="5"/>
      <c r="F436" s="5"/>
    </row>
    <row r="437" spans="1:6" ht="14.4" x14ac:dyDescent="0.25">
      <c r="A437" s="23">
        <v>43281</v>
      </c>
      <c r="B437" s="4" t="s">
        <v>57</v>
      </c>
      <c r="C437" s="1">
        <v>52</v>
      </c>
      <c r="D437" s="5"/>
      <c r="E437" s="5"/>
      <c r="F437" s="5"/>
    </row>
    <row r="438" spans="1:6" ht="14.4" x14ac:dyDescent="0.25">
      <c r="A438" s="23">
        <v>43281</v>
      </c>
      <c r="B438" s="4" t="s">
        <v>58</v>
      </c>
      <c r="C438" s="1">
        <v>53</v>
      </c>
      <c r="D438" s="5"/>
      <c r="E438" s="5"/>
      <c r="F438" s="5"/>
    </row>
    <row r="439" spans="1:6" ht="14.4" x14ac:dyDescent="0.25">
      <c r="A439" s="23">
        <v>43281</v>
      </c>
      <c r="B439" s="4" t="s">
        <v>59</v>
      </c>
      <c r="C439" s="1">
        <v>54</v>
      </c>
      <c r="D439" s="5"/>
      <c r="E439" s="5"/>
      <c r="F439" s="5"/>
    </row>
    <row r="440" spans="1:6" ht="14.4" x14ac:dyDescent="0.25">
      <c r="A440" s="23">
        <v>43281</v>
      </c>
      <c r="B440" s="4" t="s">
        <v>60</v>
      </c>
      <c r="C440" s="1">
        <v>55</v>
      </c>
      <c r="D440" s="5"/>
      <c r="E440" s="5"/>
      <c r="F440" s="5"/>
    </row>
    <row r="441" spans="1:6" ht="14.4" x14ac:dyDescent="0.25">
      <c r="A441" s="23">
        <v>43281</v>
      </c>
      <c r="B441" s="4" t="s">
        <v>61</v>
      </c>
      <c r="C441" s="1">
        <v>56</v>
      </c>
      <c r="D441" s="5"/>
      <c r="E441" s="5"/>
      <c r="F441" s="5"/>
    </row>
    <row r="442" spans="1:6" ht="14.4" x14ac:dyDescent="0.25">
      <c r="A442" s="23">
        <v>43281</v>
      </c>
      <c r="B442" s="4" t="s">
        <v>62</v>
      </c>
      <c r="C442" s="1">
        <v>57</v>
      </c>
      <c r="D442" s="5"/>
      <c r="E442" s="5"/>
      <c r="F442" s="5"/>
    </row>
    <row r="443" spans="1:6" ht="14.4" x14ac:dyDescent="0.25">
      <c r="A443" s="23">
        <v>43281</v>
      </c>
      <c r="B443" s="4" t="s">
        <v>63</v>
      </c>
      <c r="C443" s="1">
        <v>58</v>
      </c>
      <c r="D443" s="5"/>
      <c r="E443" s="5"/>
      <c r="F443" s="5"/>
    </row>
    <row r="444" spans="1:6" ht="14.4" x14ac:dyDescent="0.25">
      <c r="A444" s="23">
        <v>43281</v>
      </c>
      <c r="B444" s="4" t="s">
        <v>64</v>
      </c>
      <c r="C444" s="1">
        <v>59</v>
      </c>
      <c r="D444" s="5"/>
      <c r="E444" s="5"/>
      <c r="F444" s="5"/>
    </row>
    <row r="445" spans="1:6" ht="14.4" x14ac:dyDescent="0.25">
      <c r="A445" s="23">
        <v>43281</v>
      </c>
      <c r="B445" s="4" t="s">
        <v>65</v>
      </c>
      <c r="C445" s="1">
        <v>60</v>
      </c>
      <c r="D445" s="5"/>
      <c r="E445" s="5"/>
      <c r="F445" s="5"/>
    </row>
    <row r="446" spans="1:6" ht="14.4" x14ac:dyDescent="0.25">
      <c r="A446" s="23">
        <v>43281</v>
      </c>
      <c r="B446" s="4" t="s">
        <v>66</v>
      </c>
      <c r="C446" s="1">
        <v>61</v>
      </c>
      <c r="D446" s="5"/>
      <c r="E446" s="5"/>
      <c r="F446" s="5"/>
    </row>
    <row r="447" spans="1:6" ht="14.4" x14ac:dyDescent="0.25">
      <c r="A447" s="23">
        <v>43281</v>
      </c>
      <c r="B447" s="4" t="s">
        <v>67</v>
      </c>
      <c r="C447" s="1">
        <v>62</v>
      </c>
      <c r="D447" s="5"/>
      <c r="E447" s="5"/>
      <c r="F447" s="5"/>
    </row>
    <row r="448" spans="1:6" ht="14.4" x14ac:dyDescent="0.25">
      <c r="A448" s="23">
        <v>43281</v>
      </c>
      <c r="B448" s="4" t="s">
        <v>68</v>
      </c>
      <c r="C448" s="1">
        <v>63</v>
      </c>
      <c r="D448" s="5"/>
      <c r="E448" s="5"/>
      <c r="F448" s="5"/>
    </row>
    <row r="449" spans="1:6" ht="14.4" x14ac:dyDescent="0.25">
      <c r="A449" s="23">
        <v>43281</v>
      </c>
      <c r="B449" s="4" t="s">
        <v>69</v>
      </c>
      <c r="C449" s="1">
        <v>64</v>
      </c>
      <c r="D449" s="5">
        <v>5421.23</v>
      </c>
      <c r="E449" s="5">
        <v>41565.480000000003</v>
      </c>
      <c r="F449" s="5">
        <v>17899.48</v>
      </c>
    </row>
    <row r="450" spans="1:6" ht="14.4" x14ac:dyDescent="0.25">
      <c r="A450" s="23">
        <v>42916</v>
      </c>
      <c r="B450" s="1" t="s">
        <v>5</v>
      </c>
      <c r="C450" s="1">
        <v>1</v>
      </c>
      <c r="D450" s="70">
        <v>669716.09</v>
      </c>
      <c r="E450" s="70">
        <v>749181.1</v>
      </c>
      <c r="F450" s="70">
        <v>256598.1</v>
      </c>
    </row>
    <row r="451" spans="1:6" ht="14.4" x14ac:dyDescent="0.25">
      <c r="A451" s="23">
        <v>42916</v>
      </c>
      <c r="B451" s="1" t="s">
        <v>6</v>
      </c>
      <c r="C451" s="1">
        <v>2</v>
      </c>
      <c r="D451" s="70"/>
      <c r="E451" s="70"/>
      <c r="F451" s="70"/>
    </row>
    <row r="452" spans="1:6" ht="14.4" x14ac:dyDescent="0.25">
      <c r="A452" s="23">
        <v>42916</v>
      </c>
      <c r="B452" s="1" t="s">
        <v>7</v>
      </c>
      <c r="C452" s="1">
        <v>3</v>
      </c>
      <c r="D452" s="70">
        <v>706085.16</v>
      </c>
      <c r="E452" s="70">
        <v>3479213.95</v>
      </c>
      <c r="F452" s="70">
        <v>3306352.28</v>
      </c>
    </row>
    <row r="453" spans="1:6" ht="14.4" x14ac:dyDescent="0.25">
      <c r="A453" s="23">
        <v>42916</v>
      </c>
      <c r="B453" s="1" t="s">
        <v>8</v>
      </c>
      <c r="C453" s="1">
        <v>4</v>
      </c>
      <c r="D453" s="70"/>
      <c r="E453" s="70"/>
      <c r="F453" s="70"/>
    </row>
    <row r="454" spans="1:6" ht="14.4" x14ac:dyDescent="0.25">
      <c r="A454" s="23">
        <v>42916</v>
      </c>
      <c r="B454" s="1" t="s">
        <v>9</v>
      </c>
      <c r="C454" s="1">
        <v>5</v>
      </c>
      <c r="D454" s="70">
        <v>24827.279999999999</v>
      </c>
      <c r="E454" s="70">
        <v>102171.81</v>
      </c>
      <c r="F454" s="70">
        <v>68245.19</v>
      </c>
    </row>
    <row r="455" spans="1:6" ht="14.4" x14ac:dyDescent="0.25">
      <c r="A455" s="23">
        <v>42916</v>
      </c>
      <c r="B455" s="1" t="s">
        <v>10</v>
      </c>
      <c r="C455" s="1">
        <v>6</v>
      </c>
      <c r="D455" s="70">
        <v>9672.2199999999993</v>
      </c>
      <c r="E455" s="70">
        <v>26614.19</v>
      </c>
      <c r="F455" s="70"/>
    </row>
    <row r="456" spans="1:6" ht="14.4" x14ac:dyDescent="0.25">
      <c r="A456" s="23">
        <v>42916</v>
      </c>
      <c r="B456" s="1" t="s">
        <v>11</v>
      </c>
      <c r="C456" s="1">
        <v>7</v>
      </c>
      <c r="D456" s="70">
        <v>54164.800000000003</v>
      </c>
      <c r="E456" s="70">
        <v>117642.06</v>
      </c>
      <c r="F456" s="70">
        <v>18152</v>
      </c>
    </row>
    <row r="457" spans="1:6" ht="14.4" x14ac:dyDescent="0.25">
      <c r="A457" s="23">
        <v>42916</v>
      </c>
      <c r="B457" s="1" t="s">
        <v>12</v>
      </c>
      <c r="C457" s="1">
        <v>8</v>
      </c>
      <c r="D457" s="70"/>
      <c r="E457" s="70"/>
      <c r="F457" s="70"/>
    </row>
    <row r="458" spans="1:6" ht="14.4" x14ac:dyDescent="0.25">
      <c r="A458" s="23">
        <v>42916</v>
      </c>
      <c r="B458" s="1" t="s">
        <v>13</v>
      </c>
      <c r="C458" s="1">
        <v>9</v>
      </c>
      <c r="D458" s="70">
        <v>30000</v>
      </c>
      <c r="E458" s="70">
        <v>60000</v>
      </c>
      <c r="F458" s="70"/>
    </row>
    <row r="459" spans="1:6" ht="14.4" x14ac:dyDescent="0.25">
      <c r="A459" s="23">
        <v>42916</v>
      </c>
      <c r="B459" s="1" t="s">
        <v>14</v>
      </c>
      <c r="C459" s="1">
        <v>10</v>
      </c>
      <c r="D459" s="70"/>
      <c r="E459" s="70"/>
      <c r="F459" s="70"/>
    </row>
    <row r="460" spans="1:6" ht="14.4" x14ac:dyDescent="0.25">
      <c r="A460" s="23">
        <v>42916</v>
      </c>
      <c r="B460" s="1" t="s">
        <v>15</v>
      </c>
      <c r="C460" s="1">
        <v>11</v>
      </c>
      <c r="D460" s="70">
        <v>1178.8499999999999</v>
      </c>
      <c r="E460" s="70">
        <v>31680.85</v>
      </c>
      <c r="F460" s="70">
        <v>64272.9</v>
      </c>
    </row>
    <row r="461" spans="1:6" ht="14.4" x14ac:dyDescent="0.25">
      <c r="A461" s="23">
        <v>42916</v>
      </c>
      <c r="B461" s="1" t="s">
        <v>16</v>
      </c>
      <c r="C461" s="1">
        <v>12</v>
      </c>
      <c r="D461" s="70">
        <v>7089.44</v>
      </c>
      <c r="E461" s="70">
        <v>24063.41</v>
      </c>
      <c r="F461" s="70">
        <v>11125.72</v>
      </c>
    </row>
    <row r="462" spans="1:6" ht="14.4" x14ac:dyDescent="0.25">
      <c r="A462" s="23">
        <v>42916</v>
      </c>
      <c r="B462" s="1" t="s">
        <v>17</v>
      </c>
      <c r="C462" s="1">
        <v>13</v>
      </c>
      <c r="D462" s="70">
        <v>100465.14</v>
      </c>
      <c r="E462" s="70">
        <v>357926.73</v>
      </c>
      <c r="F462" s="70">
        <v>464559.31</v>
      </c>
    </row>
    <row r="463" spans="1:6" ht="14.4" x14ac:dyDescent="0.25">
      <c r="A463" s="23">
        <v>42916</v>
      </c>
      <c r="B463" s="1" t="s">
        <v>18</v>
      </c>
      <c r="C463" s="1">
        <v>14</v>
      </c>
      <c r="D463" s="70"/>
      <c r="E463" s="70"/>
      <c r="F463" s="70"/>
    </row>
    <row r="464" spans="1:6" ht="14.4" x14ac:dyDescent="0.25">
      <c r="A464" s="23">
        <v>42916</v>
      </c>
      <c r="B464" s="1" t="s">
        <v>19</v>
      </c>
      <c r="C464" s="1">
        <v>15</v>
      </c>
      <c r="D464" s="70">
        <v>140</v>
      </c>
      <c r="E464" s="70">
        <v>11644.79</v>
      </c>
      <c r="F464" s="70">
        <v>2850</v>
      </c>
    </row>
    <row r="465" spans="1:6" ht="14.4" x14ac:dyDescent="0.25">
      <c r="A465" s="23">
        <v>42916</v>
      </c>
      <c r="B465" s="1" t="s">
        <v>20</v>
      </c>
      <c r="C465" s="1">
        <v>16</v>
      </c>
      <c r="D465" s="70"/>
      <c r="E465" s="70"/>
      <c r="F465" s="70"/>
    </row>
    <row r="466" spans="1:6" ht="14.4" x14ac:dyDescent="0.25">
      <c r="A466" s="23">
        <v>42916</v>
      </c>
      <c r="B466" s="1" t="s">
        <v>21</v>
      </c>
      <c r="C466" s="1">
        <v>17</v>
      </c>
      <c r="D466" s="70"/>
      <c r="E466" s="70"/>
      <c r="F466" s="70"/>
    </row>
    <row r="467" spans="1:6" ht="14.4" x14ac:dyDescent="0.25">
      <c r="A467" s="23">
        <v>42916</v>
      </c>
      <c r="B467" s="1" t="s">
        <v>22</v>
      </c>
      <c r="C467" s="1">
        <v>18</v>
      </c>
      <c r="D467" s="70">
        <v>9066.07</v>
      </c>
      <c r="E467" s="70">
        <v>54396.35</v>
      </c>
      <c r="F467" s="70">
        <v>41224.120000000003</v>
      </c>
    </row>
    <row r="468" spans="1:6" ht="14.4" x14ac:dyDescent="0.25">
      <c r="A468" s="23">
        <v>42916</v>
      </c>
      <c r="B468" s="1" t="s">
        <v>23</v>
      </c>
      <c r="C468" s="1">
        <v>19</v>
      </c>
      <c r="D468" s="70"/>
      <c r="E468" s="70"/>
      <c r="F468" s="70"/>
    </row>
    <row r="469" spans="1:6" ht="14.4" x14ac:dyDescent="0.25">
      <c r="A469" s="23">
        <v>42916</v>
      </c>
      <c r="B469" s="1" t="s">
        <v>24</v>
      </c>
      <c r="C469" s="1">
        <v>20</v>
      </c>
      <c r="D469" s="70"/>
      <c r="E469" s="70"/>
      <c r="F469" s="70"/>
    </row>
    <row r="470" spans="1:6" ht="14.4" x14ac:dyDescent="0.25">
      <c r="A470" s="23">
        <v>42916</v>
      </c>
      <c r="B470" s="1" t="s">
        <v>25</v>
      </c>
      <c r="C470" s="1">
        <v>21</v>
      </c>
      <c r="D470" s="70"/>
      <c r="E470" s="70"/>
      <c r="F470" s="70"/>
    </row>
    <row r="471" spans="1:6" ht="14.4" x14ac:dyDescent="0.25">
      <c r="A471" s="23">
        <v>42916</v>
      </c>
      <c r="B471" s="1" t="s">
        <v>26</v>
      </c>
      <c r="C471" s="1">
        <v>22</v>
      </c>
      <c r="D471" s="70"/>
      <c r="E471" s="70">
        <v>6640</v>
      </c>
      <c r="F471" s="70"/>
    </row>
    <row r="472" spans="1:6" ht="14.4" x14ac:dyDescent="0.25">
      <c r="A472" s="23">
        <v>42916</v>
      </c>
      <c r="B472" s="1" t="s">
        <v>27</v>
      </c>
      <c r="C472" s="1">
        <v>23</v>
      </c>
      <c r="D472" s="70"/>
      <c r="E472" s="70">
        <v>8253.61</v>
      </c>
      <c r="F472" s="70"/>
    </row>
    <row r="473" spans="1:6" ht="14.4" x14ac:dyDescent="0.25">
      <c r="A473" s="23">
        <v>42916</v>
      </c>
      <c r="B473" s="1" t="s">
        <v>28</v>
      </c>
      <c r="C473" s="1">
        <v>24</v>
      </c>
      <c r="D473" s="70">
        <v>15378.69</v>
      </c>
      <c r="E473" s="70">
        <v>38139.14</v>
      </c>
      <c r="F473" s="70"/>
    </row>
    <row r="474" spans="1:6" ht="14.4" x14ac:dyDescent="0.25">
      <c r="A474" s="23">
        <v>42916</v>
      </c>
      <c r="B474" s="1" t="s">
        <v>29</v>
      </c>
      <c r="C474" s="1">
        <v>25</v>
      </c>
      <c r="D474" s="70">
        <v>30830</v>
      </c>
      <c r="E474" s="70">
        <v>45400.19</v>
      </c>
      <c r="F474" s="70">
        <v>25554.9</v>
      </c>
    </row>
    <row r="475" spans="1:6" ht="14.4" x14ac:dyDescent="0.25">
      <c r="A475" s="23">
        <v>42916</v>
      </c>
      <c r="B475" s="1" t="s">
        <v>30</v>
      </c>
      <c r="C475" s="1">
        <v>26</v>
      </c>
      <c r="D475" s="70"/>
      <c r="E475" s="70"/>
      <c r="F475" s="70"/>
    </row>
    <row r="476" spans="1:6" ht="14.4" x14ac:dyDescent="0.25">
      <c r="A476" s="23">
        <v>42916</v>
      </c>
      <c r="B476" s="1" t="s">
        <v>31</v>
      </c>
      <c r="C476" s="1">
        <v>27</v>
      </c>
      <c r="D476" s="70">
        <v>26897</v>
      </c>
      <c r="E476" s="70">
        <v>97759.37</v>
      </c>
      <c r="F476" s="70">
        <v>127765.83</v>
      </c>
    </row>
    <row r="477" spans="1:6" ht="14.4" x14ac:dyDescent="0.25">
      <c r="A477" s="23">
        <v>42916</v>
      </c>
      <c r="B477" s="1" t="s">
        <v>32</v>
      </c>
      <c r="C477" s="1">
        <v>28</v>
      </c>
      <c r="D477" s="70">
        <v>69944.649999999994</v>
      </c>
      <c r="E477" s="70">
        <v>347455.15</v>
      </c>
      <c r="F477" s="70">
        <v>114191.5</v>
      </c>
    </row>
    <row r="478" spans="1:6" ht="14.4" x14ac:dyDescent="0.25">
      <c r="A478" s="23">
        <v>42916</v>
      </c>
      <c r="B478" s="1" t="s">
        <v>33</v>
      </c>
      <c r="C478" s="1">
        <v>29</v>
      </c>
      <c r="D478" s="70"/>
      <c r="E478" s="70"/>
      <c r="F478" s="70"/>
    </row>
    <row r="479" spans="1:6" ht="14.4" x14ac:dyDescent="0.25">
      <c r="A479" s="23">
        <v>42916</v>
      </c>
      <c r="B479" s="1" t="s">
        <v>34</v>
      </c>
      <c r="C479" s="1">
        <v>30</v>
      </c>
      <c r="D479" s="70">
        <v>3509.06</v>
      </c>
      <c r="E479" s="70">
        <v>21548.32</v>
      </c>
      <c r="F479" s="70">
        <v>15524.78</v>
      </c>
    </row>
    <row r="480" spans="1:6" ht="14.4" x14ac:dyDescent="0.25">
      <c r="A480" s="23">
        <v>42916</v>
      </c>
      <c r="B480" s="1" t="s">
        <v>35</v>
      </c>
      <c r="C480" s="1">
        <v>31</v>
      </c>
      <c r="D480" s="70">
        <v>550</v>
      </c>
      <c r="E480" s="70">
        <v>2919.01</v>
      </c>
      <c r="F480" s="70">
        <v>4341</v>
      </c>
    </row>
    <row r="481" spans="1:6" ht="14.4" x14ac:dyDescent="0.25">
      <c r="A481" s="23">
        <v>42916</v>
      </c>
      <c r="B481" s="1" t="s">
        <v>36</v>
      </c>
      <c r="C481" s="1">
        <v>32</v>
      </c>
      <c r="D481" s="70"/>
      <c r="E481" s="70"/>
      <c r="F481" s="70"/>
    </row>
    <row r="482" spans="1:6" ht="14.4" x14ac:dyDescent="0.25">
      <c r="A482" s="23">
        <v>42916</v>
      </c>
      <c r="B482" s="1" t="s">
        <v>38</v>
      </c>
      <c r="C482" s="1">
        <v>33</v>
      </c>
      <c r="D482" s="70">
        <v>601</v>
      </c>
      <c r="E482" s="70">
        <v>665</v>
      </c>
      <c r="F482" s="70">
        <v>238</v>
      </c>
    </row>
    <row r="483" spans="1:6" ht="14.4" x14ac:dyDescent="0.25">
      <c r="A483" s="23">
        <v>42916</v>
      </c>
      <c r="B483" s="1" t="s">
        <v>39</v>
      </c>
      <c r="C483" s="1">
        <v>34</v>
      </c>
      <c r="D483" s="70"/>
      <c r="E483" s="70"/>
      <c r="F483" s="70"/>
    </row>
    <row r="484" spans="1:6" ht="14.4" x14ac:dyDescent="0.25">
      <c r="A484" s="23">
        <v>42916</v>
      </c>
      <c r="B484" s="1" t="s">
        <v>40</v>
      </c>
      <c r="C484" s="1">
        <v>35</v>
      </c>
      <c r="D484" s="70">
        <v>191251.61</v>
      </c>
      <c r="E484" s="70">
        <v>1337161.0900000001</v>
      </c>
      <c r="F484" s="70">
        <v>1406846.26</v>
      </c>
    </row>
    <row r="485" spans="1:6" ht="14.4" x14ac:dyDescent="0.25">
      <c r="A485" s="23">
        <v>42916</v>
      </c>
      <c r="B485" s="1" t="s">
        <v>41</v>
      </c>
      <c r="C485" s="1">
        <v>36</v>
      </c>
      <c r="D485" s="70">
        <v>3258.5</v>
      </c>
      <c r="E485" s="70">
        <v>12155.5</v>
      </c>
      <c r="F485" s="70"/>
    </row>
    <row r="486" spans="1:6" ht="14.4" x14ac:dyDescent="0.25">
      <c r="A486" s="23">
        <v>42916</v>
      </c>
      <c r="B486" s="1" t="s">
        <v>42</v>
      </c>
      <c r="C486" s="1">
        <v>37</v>
      </c>
      <c r="D486" s="70">
        <v>13556.83</v>
      </c>
      <c r="E486" s="70">
        <v>26743.22</v>
      </c>
      <c r="F486" s="70">
        <v>32467.57</v>
      </c>
    </row>
    <row r="487" spans="1:6" ht="14.4" x14ac:dyDescent="0.25">
      <c r="A487" s="23">
        <v>42916</v>
      </c>
      <c r="B487" s="1" t="s">
        <v>43</v>
      </c>
      <c r="C487" s="1">
        <v>38</v>
      </c>
      <c r="D487" s="70"/>
      <c r="E487" s="70"/>
      <c r="F487" s="70"/>
    </row>
    <row r="488" spans="1:6" ht="14.4" x14ac:dyDescent="0.25">
      <c r="A488" s="23">
        <v>42916</v>
      </c>
      <c r="B488" s="1" t="s">
        <v>44</v>
      </c>
      <c r="C488" s="1">
        <v>39</v>
      </c>
      <c r="D488" s="70"/>
      <c r="E488" s="70"/>
      <c r="F488" s="70"/>
    </row>
    <row r="489" spans="1:6" ht="14.4" x14ac:dyDescent="0.25">
      <c r="A489" s="23">
        <v>42916</v>
      </c>
      <c r="B489" s="1" t="s">
        <v>45</v>
      </c>
      <c r="C489" s="1">
        <v>40</v>
      </c>
      <c r="D489" s="70"/>
      <c r="E489" s="70"/>
      <c r="F489" s="70"/>
    </row>
    <row r="490" spans="1:6" ht="14.4" x14ac:dyDescent="0.25">
      <c r="A490" s="23">
        <v>42916</v>
      </c>
      <c r="B490" s="1" t="s">
        <v>46</v>
      </c>
      <c r="C490" s="1">
        <v>41</v>
      </c>
      <c r="D490" s="70">
        <v>20292</v>
      </c>
      <c r="E490" s="70">
        <v>121752</v>
      </c>
      <c r="F490" s="70">
        <v>100900</v>
      </c>
    </row>
    <row r="491" spans="1:6" ht="14.4" x14ac:dyDescent="0.25">
      <c r="A491" s="23">
        <v>42916</v>
      </c>
      <c r="B491" s="1" t="s">
        <v>47</v>
      </c>
      <c r="C491" s="1">
        <v>42</v>
      </c>
      <c r="D491" s="70"/>
      <c r="E491" s="70"/>
      <c r="F491" s="70"/>
    </row>
    <row r="492" spans="1:6" ht="14.4" x14ac:dyDescent="0.25">
      <c r="A492" s="23">
        <v>42916</v>
      </c>
      <c r="B492" s="1" t="s">
        <v>48</v>
      </c>
      <c r="C492" s="1">
        <v>43</v>
      </c>
      <c r="D492" s="70">
        <v>45693.78</v>
      </c>
      <c r="E492" s="70">
        <v>282302.68</v>
      </c>
      <c r="F492" s="70">
        <v>161608.34</v>
      </c>
    </row>
    <row r="493" spans="1:6" ht="14.4" x14ac:dyDescent="0.25">
      <c r="A493" s="23">
        <v>42916</v>
      </c>
      <c r="B493" s="1" t="s">
        <v>49</v>
      </c>
      <c r="C493" s="1">
        <v>44</v>
      </c>
      <c r="D493" s="70">
        <v>40000</v>
      </c>
      <c r="E493" s="70">
        <v>290190</v>
      </c>
      <c r="F493" s="70">
        <v>646484.86</v>
      </c>
    </row>
    <row r="494" spans="1:6" ht="14.4" x14ac:dyDescent="0.25">
      <c r="A494" s="23">
        <v>42916</v>
      </c>
      <c r="B494" s="1" t="s">
        <v>50</v>
      </c>
      <c r="C494" s="1">
        <v>45</v>
      </c>
      <c r="D494" s="70">
        <v>720</v>
      </c>
      <c r="E494" s="70">
        <v>36090</v>
      </c>
      <c r="F494" s="70"/>
    </row>
    <row r="495" spans="1:6" ht="14.4" x14ac:dyDescent="0.25">
      <c r="A495" s="23">
        <v>42916</v>
      </c>
      <c r="B495" s="1" t="s">
        <v>51</v>
      </c>
      <c r="C495" s="1">
        <v>46</v>
      </c>
      <c r="D495" s="70"/>
      <c r="E495" s="70"/>
      <c r="F495" s="70"/>
    </row>
    <row r="496" spans="1:6" ht="14.4" x14ac:dyDescent="0.25">
      <c r="A496" s="23">
        <v>42916</v>
      </c>
      <c r="B496" s="1" t="s">
        <v>52</v>
      </c>
      <c r="C496" s="1">
        <v>47</v>
      </c>
      <c r="D496" s="70"/>
      <c r="E496" s="70"/>
      <c r="F496" s="70"/>
    </row>
    <row r="497" spans="1:6" ht="14.4" x14ac:dyDescent="0.25">
      <c r="A497" s="23">
        <v>42916</v>
      </c>
      <c r="B497" s="1" t="s">
        <v>53</v>
      </c>
      <c r="C497" s="1">
        <v>48</v>
      </c>
      <c r="D497" s="70"/>
      <c r="E497" s="70"/>
      <c r="F497" s="70"/>
    </row>
    <row r="498" spans="1:6" ht="14.4" x14ac:dyDescent="0.25">
      <c r="A498" s="23">
        <v>42916</v>
      </c>
      <c r="B498" s="1" t="s">
        <v>54</v>
      </c>
      <c r="C498" s="1">
        <v>49</v>
      </c>
      <c r="D498" s="70"/>
      <c r="E498" s="70"/>
      <c r="F498" s="70"/>
    </row>
    <row r="499" spans="1:6" ht="14.4" x14ac:dyDescent="0.25">
      <c r="A499" s="23">
        <v>42916</v>
      </c>
      <c r="B499" s="1" t="s">
        <v>55</v>
      </c>
      <c r="C499" s="1">
        <v>50</v>
      </c>
      <c r="D499" s="70"/>
      <c r="E499" s="70"/>
      <c r="F499" s="70"/>
    </row>
    <row r="500" spans="1:6" ht="14.4" x14ac:dyDescent="0.25">
      <c r="A500" s="23">
        <v>42916</v>
      </c>
      <c r="B500" s="1" t="s">
        <v>56</v>
      </c>
      <c r="C500" s="1">
        <v>51</v>
      </c>
      <c r="D500" s="70"/>
      <c r="E500" s="70"/>
      <c r="F500" s="70"/>
    </row>
    <row r="501" spans="1:6" ht="14.4" x14ac:dyDescent="0.25">
      <c r="A501" s="23">
        <v>42916</v>
      </c>
      <c r="B501" s="1" t="s">
        <v>57</v>
      </c>
      <c r="C501" s="1">
        <v>52</v>
      </c>
      <c r="D501" s="70"/>
      <c r="E501" s="70"/>
      <c r="F501" s="70"/>
    </row>
    <row r="502" spans="1:6" ht="14.4" x14ac:dyDescent="0.25">
      <c r="A502" s="23">
        <v>42916</v>
      </c>
      <c r="B502" s="1" t="s">
        <v>58</v>
      </c>
      <c r="C502" s="1">
        <v>53</v>
      </c>
      <c r="D502" s="70"/>
      <c r="E502" s="70"/>
      <c r="F502" s="70"/>
    </row>
    <row r="503" spans="1:6" ht="14.4" x14ac:dyDescent="0.25">
      <c r="A503" s="23">
        <v>42916</v>
      </c>
      <c r="B503" s="1" t="s">
        <v>59</v>
      </c>
      <c r="C503" s="1">
        <v>54</v>
      </c>
      <c r="D503" s="70"/>
      <c r="E503" s="70"/>
      <c r="F503" s="70"/>
    </row>
    <row r="504" spans="1:6" ht="14.4" x14ac:dyDescent="0.25">
      <c r="A504" s="23">
        <v>42916</v>
      </c>
      <c r="B504" s="1" t="s">
        <v>60</v>
      </c>
      <c r="C504" s="1">
        <v>55</v>
      </c>
      <c r="D504" s="70"/>
      <c r="E504" s="70"/>
      <c r="F504" s="70"/>
    </row>
    <row r="505" spans="1:6" ht="14.4" x14ac:dyDescent="0.25">
      <c r="A505" s="23">
        <v>42916</v>
      </c>
      <c r="B505" s="1" t="s">
        <v>61</v>
      </c>
      <c r="C505" s="1">
        <v>56</v>
      </c>
      <c r="D505" s="70"/>
      <c r="E505" s="70"/>
      <c r="F505" s="70"/>
    </row>
    <row r="506" spans="1:6" ht="14.4" x14ac:dyDescent="0.25">
      <c r="A506" s="23">
        <v>42916</v>
      </c>
      <c r="B506" s="1" t="s">
        <v>62</v>
      </c>
      <c r="C506" s="1">
        <v>57</v>
      </c>
      <c r="D506" s="70"/>
      <c r="E506" s="70"/>
      <c r="F506" s="70"/>
    </row>
    <row r="507" spans="1:6" ht="14.4" x14ac:dyDescent="0.25">
      <c r="A507" s="23">
        <v>42916</v>
      </c>
      <c r="B507" s="1" t="s">
        <v>63</v>
      </c>
      <c r="C507" s="1">
        <v>58</v>
      </c>
      <c r="D507" s="70"/>
      <c r="E507" s="70"/>
      <c r="F507" s="70"/>
    </row>
    <row r="508" spans="1:6" ht="14.4" x14ac:dyDescent="0.25">
      <c r="A508" s="23">
        <v>42916</v>
      </c>
      <c r="B508" s="1" t="s">
        <v>64</v>
      </c>
      <c r="C508" s="1">
        <v>59</v>
      </c>
      <c r="D508" s="70"/>
      <c r="E508" s="70"/>
      <c r="F508" s="70"/>
    </row>
    <row r="509" spans="1:6" ht="14.4" x14ac:dyDescent="0.25">
      <c r="A509" s="23">
        <v>42916</v>
      </c>
      <c r="B509" s="1" t="s">
        <v>65</v>
      </c>
      <c r="C509" s="1">
        <v>60</v>
      </c>
      <c r="D509" s="70"/>
      <c r="E509" s="70"/>
      <c r="F509" s="70"/>
    </row>
    <row r="510" spans="1:6" ht="14.4" x14ac:dyDescent="0.25">
      <c r="A510" s="23">
        <v>42916</v>
      </c>
      <c r="B510" s="1" t="s">
        <v>66</v>
      </c>
      <c r="C510" s="1">
        <v>61</v>
      </c>
      <c r="D510" s="70"/>
      <c r="E510" s="70"/>
      <c r="F510" s="70"/>
    </row>
    <row r="511" spans="1:6" ht="14.4" x14ac:dyDescent="0.25">
      <c r="A511" s="23">
        <v>42916</v>
      </c>
      <c r="B511" s="1" t="s">
        <v>67</v>
      </c>
      <c r="C511" s="1">
        <v>62</v>
      </c>
      <c r="D511" s="70"/>
      <c r="E511" s="70"/>
      <c r="F511" s="70"/>
    </row>
    <row r="512" spans="1:6" ht="14.4" x14ac:dyDescent="0.25">
      <c r="A512" s="23">
        <v>42916</v>
      </c>
      <c r="B512" s="1" t="s">
        <v>68</v>
      </c>
      <c r="C512" s="1">
        <v>63</v>
      </c>
      <c r="D512" s="70"/>
      <c r="E512" s="70"/>
      <c r="F512" s="70"/>
    </row>
    <row r="513" spans="1:9" ht="14.4" x14ac:dyDescent="0.25">
      <c r="A513" s="23">
        <v>42916</v>
      </c>
      <c r="B513" s="1" t="s">
        <v>69</v>
      </c>
      <c r="C513" s="1">
        <v>64</v>
      </c>
      <c r="D513" s="70">
        <v>6998.24</v>
      </c>
      <c r="E513" s="70">
        <v>17899.48</v>
      </c>
      <c r="F513" s="70"/>
    </row>
    <row r="514" spans="1:9" ht="14.4" x14ac:dyDescent="0.25">
      <c r="A514" s="103">
        <v>43465</v>
      </c>
      <c r="B514" s="4" t="s">
        <v>5</v>
      </c>
      <c r="C514" s="1">
        <v>1</v>
      </c>
      <c r="D514" s="5"/>
      <c r="E514" s="53">
        <v>2026167.42</v>
      </c>
      <c r="F514" s="5">
        <v>1839569.33</v>
      </c>
    </row>
    <row r="515" spans="1:9" ht="14.4" x14ac:dyDescent="0.25">
      <c r="A515" s="103">
        <v>43465</v>
      </c>
      <c r="B515" s="4" t="s">
        <v>6</v>
      </c>
      <c r="C515" s="1">
        <v>2</v>
      </c>
      <c r="D515" s="5"/>
      <c r="E515" s="53"/>
      <c r="F515" s="5"/>
    </row>
    <row r="516" spans="1:9" ht="14.4" x14ac:dyDescent="0.25">
      <c r="A516" s="103">
        <v>43465</v>
      </c>
      <c r="B516" s="4" t="s">
        <v>7</v>
      </c>
      <c r="C516" s="1">
        <v>3</v>
      </c>
      <c r="D516" s="5">
        <v>1000</v>
      </c>
      <c r="E516" s="53">
        <v>11387268.210000001</v>
      </c>
      <c r="F516" s="5">
        <v>10879088.380000001</v>
      </c>
    </row>
    <row r="517" spans="1:9" ht="14.4" x14ac:dyDescent="0.25">
      <c r="A517" s="103">
        <v>43465</v>
      </c>
      <c r="B517" s="4" t="s">
        <v>8</v>
      </c>
      <c r="C517" s="1">
        <v>4</v>
      </c>
      <c r="D517" s="5"/>
      <c r="E517" s="5"/>
      <c r="F517" s="5"/>
    </row>
    <row r="518" spans="1:9" ht="14.4" x14ac:dyDescent="0.25">
      <c r="A518" s="103">
        <v>43465</v>
      </c>
      <c r="B518" s="104" t="s">
        <v>9</v>
      </c>
      <c r="C518" s="1">
        <v>5</v>
      </c>
      <c r="D518" s="5"/>
      <c r="E518" s="5">
        <v>265391.64</v>
      </c>
      <c r="F518" s="5">
        <v>212674.69</v>
      </c>
    </row>
    <row r="519" spans="1:9" ht="14.4" x14ac:dyDescent="0.25">
      <c r="A519" s="103">
        <v>43465</v>
      </c>
      <c r="B519" s="4" t="s">
        <v>10</v>
      </c>
      <c r="C519" s="1">
        <v>6</v>
      </c>
      <c r="D519" s="5"/>
      <c r="E519" s="5">
        <v>75804.86</v>
      </c>
      <c r="F519" s="5">
        <v>52886.65</v>
      </c>
    </row>
    <row r="520" spans="1:9" ht="14.4" x14ac:dyDescent="0.25">
      <c r="A520" s="103">
        <v>43465</v>
      </c>
      <c r="B520" s="104" t="s">
        <v>11</v>
      </c>
      <c r="C520" s="1">
        <v>7</v>
      </c>
      <c r="D520" s="5"/>
      <c r="E520" s="5">
        <v>216865.67</v>
      </c>
      <c r="F520" s="5">
        <v>252116.91</v>
      </c>
    </row>
    <row r="521" spans="1:9" ht="14.4" x14ac:dyDescent="0.25">
      <c r="A521" s="103">
        <v>43465</v>
      </c>
      <c r="B521" s="4" t="s">
        <v>12</v>
      </c>
      <c r="C521" s="1">
        <v>8</v>
      </c>
      <c r="D521" s="5"/>
      <c r="E521" s="5"/>
      <c r="F521" s="5"/>
    </row>
    <row r="522" spans="1:9" ht="14.4" x14ac:dyDescent="0.25">
      <c r="A522" s="103">
        <v>43465</v>
      </c>
      <c r="B522" s="4" t="s">
        <v>13</v>
      </c>
      <c r="C522" s="1">
        <v>9</v>
      </c>
      <c r="D522" s="5"/>
      <c r="E522" s="5">
        <v>90000</v>
      </c>
      <c r="F522" s="5">
        <v>60000</v>
      </c>
    </row>
    <row r="523" spans="1:9" ht="14.4" x14ac:dyDescent="0.25">
      <c r="A523" s="103">
        <v>43465</v>
      </c>
      <c r="B523" s="4" t="s">
        <v>14</v>
      </c>
      <c r="C523" s="1">
        <v>10</v>
      </c>
      <c r="D523" s="5"/>
      <c r="E523" s="5"/>
      <c r="F523" s="5"/>
    </row>
    <row r="524" spans="1:9" ht="14.4" x14ac:dyDescent="0.25">
      <c r="A524" s="103">
        <v>43465</v>
      </c>
      <c r="B524" s="4" t="s">
        <v>15</v>
      </c>
      <c r="C524" s="1">
        <v>11</v>
      </c>
      <c r="D524" s="5">
        <v>1000</v>
      </c>
      <c r="E524" s="5">
        <v>71414.05</v>
      </c>
      <c r="F524" s="5">
        <v>93614.96</v>
      </c>
    </row>
    <row r="525" spans="1:9" ht="14.4" x14ac:dyDescent="0.25">
      <c r="A525" s="103">
        <v>43465</v>
      </c>
      <c r="B525" s="100" t="s">
        <v>16</v>
      </c>
      <c r="C525" s="101">
        <v>12</v>
      </c>
      <c r="D525" s="5"/>
      <c r="E525" s="5">
        <v>95475.07</v>
      </c>
      <c r="F525" s="5">
        <v>66428.63</v>
      </c>
      <c r="I525" s="102" t="s">
        <v>369</v>
      </c>
    </row>
    <row r="526" spans="1:9" ht="14.4" x14ac:dyDescent="0.25">
      <c r="A526" s="103">
        <v>43465</v>
      </c>
      <c r="B526" s="100" t="s">
        <v>17</v>
      </c>
      <c r="C526" s="101">
        <v>13</v>
      </c>
      <c r="D526" s="5"/>
      <c r="E526" s="5">
        <v>725782.05</v>
      </c>
      <c r="F526" s="5">
        <v>708058.95</v>
      </c>
    </row>
    <row r="527" spans="1:9" ht="14.4" x14ac:dyDescent="0.25">
      <c r="A527" s="103">
        <v>43465</v>
      </c>
      <c r="B527" s="4" t="s">
        <v>18</v>
      </c>
      <c r="C527" s="1">
        <v>14</v>
      </c>
      <c r="D527" s="5"/>
      <c r="E527" s="5"/>
      <c r="F527" s="5"/>
    </row>
    <row r="528" spans="1:9" ht="14.4" x14ac:dyDescent="0.25">
      <c r="A528" s="103">
        <v>43465</v>
      </c>
      <c r="B528" s="4" t="s">
        <v>19</v>
      </c>
      <c r="C528" s="1">
        <v>15</v>
      </c>
      <c r="D528" s="5"/>
      <c r="E528" s="5">
        <v>22986.83</v>
      </c>
      <c r="F528" s="5">
        <v>18067.86</v>
      </c>
    </row>
    <row r="529" spans="1:6" ht="14.4" x14ac:dyDescent="0.25">
      <c r="A529" s="103">
        <v>43465</v>
      </c>
      <c r="B529" s="4" t="s">
        <v>20</v>
      </c>
      <c r="C529" s="1">
        <v>16</v>
      </c>
      <c r="D529" s="5"/>
      <c r="E529" s="5"/>
      <c r="F529" s="5"/>
    </row>
    <row r="530" spans="1:6" ht="14.4" x14ac:dyDescent="0.25">
      <c r="A530" s="103">
        <v>43465</v>
      </c>
      <c r="B530" s="4" t="s">
        <v>21</v>
      </c>
      <c r="C530" s="1">
        <v>17</v>
      </c>
      <c r="D530" s="5"/>
      <c r="E530" s="5"/>
      <c r="F530" s="5"/>
    </row>
    <row r="531" spans="1:6" ht="14.4" x14ac:dyDescent="0.25">
      <c r="A531" s="103">
        <v>43465</v>
      </c>
      <c r="B531" s="100" t="s">
        <v>22</v>
      </c>
      <c r="C531" s="101">
        <v>18</v>
      </c>
      <c r="D531" s="5"/>
      <c r="E531" s="5">
        <v>108792.69</v>
      </c>
      <c r="F531" s="5">
        <v>108792.69</v>
      </c>
    </row>
    <row r="532" spans="1:6" ht="14.4" x14ac:dyDescent="0.25">
      <c r="A532" s="103">
        <v>43465</v>
      </c>
      <c r="B532" s="4" t="s">
        <v>23</v>
      </c>
      <c r="C532" s="1">
        <v>19</v>
      </c>
      <c r="D532" s="5"/>
      <c r="E532" s="5"/>
      <c r="F532" s="5"/>
    </row>
    <row r="533" spans="1:6" ht="14.4" x14ac:dyDescent="0.25">
      <c r="A533" s="103">
        <v>43465</v>
      </c>
      <c r="B533" s="4" t="s">
        <v>24</v>
      </c>
      <c r="C533" s="1">
        <v>20</v>
      </c>
      <c r="D533" s="5"/>
      <c r="E533" s="5"/>
      <c r="F533" s="5"/>
    </row>
    <row r="534" spans="1:6" ht="14.4" x14ac:dyDescent="0.25">
      <c r="A534" s="103">
        <v>43465</v>
      </c>
      <c r="B534" s="4" t="s">
        <v>25</v>
      </c>
      <c r="C534" s="1">
        <v>21</v>
      </c>
      <c r="D534" s="5"/>
      <c r="E534" s="5"/>
      <c r="F534" s="5"/>
    </row>
    <row r="535" spans="1:6" ht="14.4" x14ac:dyDescent="0.25">
      <c r="A535" s="103">
        <v>43465</v>
      </c>
      <c r="B535" s="4" t="s">
        <v>26</v>
      </c>
      <c r="C535" s="1">
        <v>22</v>
      </c>
      <c r="D535" s="5"/>
      <c r="E535" s="5">
        <v>9669.9</v>
      </c>
      <c r="F535" s="5">
        <v>6640</v>
      </c>
    </row>
    <row r="536" spans="1:6" ht="14.4" x14ac:dyDescent="0.25">
      <c r="A536" s="103">
        <v>43465</v>
      </c>
      <c r="B536" s="4" t="s">
        <v>27</v>
      </c>
      <c r="C536" s="1">
        <v>23</v>
      </c>
      <c r="D536" s="5"/>
      <c r="E536" s="5">
        <v>21528.81</v>
      </c>
      <c r="F536" s="5">
        <v>8253.61</v>
      </c>
    </row>
    <row r="537" spans="1:6" ht="14.4" x14ac:dyDescent="0.25">
      <c r="A537" s="103">
        <v>43465</v>
      </c>
      <c r="B537" s="100" t="s">
        <v>28</v>
      </c>
      <c r="C537" s="101">
        <v>24</v>
      </c>
      <c r="D537" s="5"/>
      <c r="E537" s="5">
        <v>61514.720000000001</v>
      </c>
      <c r="F537" s="5">
        <v>68896.52</v>
      </c>
    </row>
    <row r="538" spans="1:6" ht="14.4" x14ac:dyDescent="0.25">
      <c r="A538" s="103">
        <v>43465</v>
      </c>
      <c r="B538" s="4" t="s">
        <v>29</v>
      </c>
      <c r="C538" s="1">
        <v>25</v>
      </c>
      <c r="D538" s="5"/>
      <c r="E538" s="5">
        <v>92531.54</v>
      </c>
      <c r="F538" s="5">
        <v>68690.19</v>
      </c>
    </row>
    <row r="539" spans="1:6" ht="14.4" x14ac:dyDescent="0.25">
      <c r="A539" s="103">
        <v>43465</v>
      </c>
      <c r="B539" s="4" t="s">
        <v>30</v>
      </c>
      <c r="C539" s="1">
        <v>26</v>
      </c>
      <c r="D539" s="5"/>
      <c r="E539" s="5"/>
      <c r="F539" s="5"/>
    </row>
    <row r="540" spans="1:6" ht="14.4" x14ac:dyDescent="0.25">
      <c r="A540" s="103">
        <v>43465</v>
      </c>
      <c r="B540" s="104" t="s">
        <v>31</v>
      </c>
      <c r="C540" s="1">
        <v>27</v>
      </c>
      <c r="D540" s="5"/>
      <c r="E540" s="6">
        <v>221205.61</v>
      </c>
      <c r="F540" s="5">
        <v>540898.37</v>
      </c>
    </row>
    <row r="541" spans="1:6" ht="14.4" x14ac:dyDescent="0.25">
      <c r="A541" s="103">
        <v>43465</v>
      </c>
      <c r="B541" s="104" t="s">
        <v>32</v>
      </c>
      <c r="C541" s="1">
        <v>28</v>
      </c>
      <c r="D541" s="5"/>
      <c r="E541" s="5">
        <v>769383.11</v>
      </c>
      <c r="F541" s="5">
        <v>824850.59</v>
      </c>
    </row>
    <row r="542" spans="1:6" ht="14.4" x14ac:dyDescent="0.25">
      <c r="A542" s="103">
        <v>43465</v>
      </c>
      <c r="B542" s="4" t="s">
        <v>33</v>
      </c>
      <c r="C542" s="1">
        <v>29</v>
      </c>
      <c r="D542" s="5"/>
      <c r="E542" s="5"/>
      <c r="F542" s="5"/>
    </row>
    <row r="543" spans="1:6" ht="14.4" x14ac:dyDescent="0.25">
      <c r="A543" s="103">
        <v>43465</v>
      </c>
      <c r="B543" s="4" t="s">
        <v>34</v>
      </c>
      <c r="C543" s="1">
        <v>30</v>
      </c>
      <c r="D543" s="5"/>
      <c r="E543" s="5">
        <v>60510.68</v>
      </c>
      <c r="F543" s="5">
        <v>43422.49</v>
      </c>
    </row>
    <row r="544" spans="1:6" ht="14.4" x14ac:dyDescent="0.25">
      <c r="A544" s="103">
        <v>43465</v>
      </c>
      <c r="B544" s="4" t="s">
        <v>35</v>
      </c>
      <c r="C544" s="1">
        <v>31</v>
      </c>
      <c r="D544" s="5"/>
      <c r="E544" s="5">
        <v>34560.660000000003</v>
      </c>
      <c r="F544" s="5">
        <v>29377.48</v>
      </c>
    </row>
    <row r="545" spans="1:9" ht="14.4" x14ac:dyDescent="0.25">
      <c r="A545" s="103">
        <v>43465</v>
      </c>
      <c r="B545" s="4" t="s">
        <v>36</v>
      </c>
      <c r="C545" s="1">
        <v>32</v>
      </c>
      <c r="D545" s="5"/>
      <c r="E545" s="7"/>
      <c r="F545" s="5"/>
    </row>
    <row r="546" spans="1:9" ht="14.4" x14ac:dyDescent="0.25">
      <c r="A546" s="103">
        <v>43465</v>
      </c>
      <c r="B546" s="4" t="s">
        <v>38</v>
      </c>
      <c r="C546" s="1">
        <v>33</v>
      </c>
      <c r="D546" s="5"/>
      <c r="E546" s="5">
        <v>256</v>
      </c>
      <c r="F546" s="5">
        <v>749</v>
      </c>
    </row>
    <row r="547" spans="1:9" ht="14.4" x14ac:dyDescent="0.25">
      <c r="A547" s="103">
        <v>43465</v>
      </c>
      <c r="B547" s="4" t="s">
        <v>39</v>
      </c>
      <c r="C547" s="1">
        <v>34</v>
      </c>
      <c r="D547" s="5"/>
      <c r="E547" s="5"/>
      <c r="F547" s="5"/>
    </row>
    <row r="548" spans="1:9" ht="14.4" x14ac:dyDescent="0.25">
      <c r="A548" s="103">
        <v>43465</v>
      </c>
      <c r="B548" s="51" t="s">
        <v>40</v>
      </c>
      <c r="C548" s="1">
        <v>35</v>
      </c>
      <c r="D548" s="5"/>
      <c r="E548" s="5">
        <v>5381376.5599999996</v>
      </c>
      <c r="F548" s="5">
        <v>5595797.7000000002</v>
      </c>
      <c r="I548" s="66" t="s">
        <v>370</v>
      </c>
    </row>
    <row r="549" spans="1:9" ht="14.4" x14ac:dyDescent="0.25">
      <c r="A549" s="103">
        <v>43465</v>
      </c>
      <c r="B549" s="51" t="s">
        <v>41</v>
      </c>
      <c r="C549" s="1">
        <v>36</v>
      </c>
      <c r="D549" s="5"/>
      <c r="E549" s="5">
        <v>17657.509999999998</v>
      </c>
      <c r="F549" s="5">
        <v>32243.58</v>
      </c>
    </row>
    <row r="550" spans="1:9" ht="14.4" x14ac:dyDescent="0.25">
      <c r="A550" s="103">
        <v>43465</v>
      </c>
      <c r="B550" s="51" t="s">
        <v>42</v>
      </c>
      <c r="C550" s="1">
        <v>37</v>
      </c>
      <c r="D550" s="5"/>
      <c r="E550" s="5">
        <v>107627.54</v>
      </c>
      <c r="F550" s="5">
        <v>111915.95</v>
      </c>
    </row>
    <row r="551" spans="1:9" ht="14.4" x14ac:dyDescent="0.25">
      <c r="A551" s="103">
        <v>43465</v>
      </c>
      <c r="B551" s="51" t="s">
        <v>43</v>
      </c>
      <c r="C551" s="1">
        <v>38</v>
      </c>
      <c r="D551" s="5"/>
      <c r="E551" s="5"/>
      <c r="F551" s="5"/>
    </row>
    <row r="552" spans="1:9" ht="14.4" x14ac:dyDescent="0.25">
      <c r="A552" s="103">
        <v>43465</v>
      </c>
      <c r="B552" s="51" t="s">
        <v>44</v>
      </c>
      <c r="C552" s="1">
        <v>39</v>
      </c>
      <c r="D552" s="5"/>
      <c r="E552" s="5"/>
      <c r="F552" s="5"/>
    </row>
    <row r="553" spans="1:9" ht="14.4" x14ac:dyDescent="0.25">
      <c r="A553" s="103">
        <v>43465</v>
      </c>
      <c r="B553" s="51" t="s">
        <v>45</v>
      </c>
      <c r="C553" s="1">
        <v>40</v>
      </c>
      <c r="D553" s="5"/>
      <c r="E553" s="5"/>
      <c r="F553" s="5"/>
    </row>
    <row r="554" spans="1:9" ht="14.4" x14ac:dyDescent="0.25">
      <c r="A554" s="103">
        <v>43465</v>
      </c>
      <c r="B554" s="51" t="s">
        <v>46</v>
      </c>
      <c r="C554" s="1">
        <v>41</v>
      </c>
      <c r="D554" s="5"/>
      <c r="E554" s="5">
        <v>259044</v>
      </c>
      <c r="F554" s="5">
        <v>241854</v>
      </c>
    </row>
    <row r="555" spans="1:9" ht="14.4" x14ac:dyDescent="0.25">
      <c r="A555" s="103">
        <v>43465</v>
      </c>
      <c r="B555" s="51" t="s">
        <v>47</v>
      </c>
      <c r="C555" s="1">
        <v>42</v>
      </c>
      <c r="D555" s="5"/>
      <c r="E555" s="5">
        <v>70750</v>
      </c>
      <c r="F555" s="5"/>
    </row>
    <row r="556" spans="1:9" ht="14.4" x14ac:dyDescent="0.25">
      <c r="A556" s="103">
        <v>43465</v>
      </c>
      <c r="B556" s="51" t="s">
        <v>48</v>
      </c>
      <c r="C556" s="1">
        <v>43</v>
      </c>
      <c r="D556" s="5"/>
      <c r="E556" s="6">
        <v>1522790.06</v>
      </c>
      <c r="F556" s="5">
        <v>636736.74</v>
      </c>
    </row>
    <row r="557" spans="1:9" ht="14.4" x14ac:dyDescent="0.25">
      <c r="A557" s="103">
        <v>43465</v>
      </c>
      <c r="B557" s="51" t="s">
        <v>49</v>
      </c>
      <c r="C557" s="1">
        <v>44</v>
      </c>
      <c r="D557" s="5"/>
      <c r="E557" s="5">
        <v>781711</v>
      </c>
      <c r="F557" s="5">
        <v>674150</v>
      </c>
    </row>
    <row r="558" spans="1:9" ht="14.4" x14ac:dyDescent="0.25">
      <c r="A558" s="103">
        <v>43465</v>
      </c>
      <c r="B558" s="51" t="s">
        <v>50</v>
      </c>
      <c r="C558" s="1">
        <v>45</v>
      </c>
      <c r="D558" s="5"/>
      <c r="E558" s="5">
        <v>126776</v>
      </c>
      <c r="F558" s="5">
        <v>74730</v>
      </c>
    </row>
    <row r="559" spans="1:9" ht="14.4" x14ac:dyDescent="0.25">
      <c r="A559" s="103">
        <v>43465</v>
      </c>
      <c r="B559" s="4" t="s">
        <v>51</v>
      </c>
      <c r="C559" s="1">
        <v>46</v>
      </c>
      <c r="D559" s="5"/>
      <c r="E559" s="5"/>
      <c r="F559" s="5"/>
    </row>
    <row r="560" spans="1:9" ht="14.4" x14ac:dyDescent="0.25">
      <c r="A560" s="103">
        <v>43465</v>
      </c>
      <c r="B560" s="4" t="s">
        <v>52</v>
      </c>
      <c r="C560" s="1">
        <v>47</v>
      </c>
      <c r="D560" s="5"/>
      <c r="E560" s="5"/>
      <c r="F560" s="5"/>
    </row>
    <row r="561" spans="1:6" ht="14.4" x14ac:dyDescent="0.25">
      <c r="A561" s="103">
        <v>43465</v>
      </c>
      <c r="B561" s="4" t="s">
        <v>53</v>
      </c>
      <c r="C561" s="1">
        <v>48</v>
      </c>
      <c r="D561" s="5"/>
      <c r="E561" s="5"/>
      <c r="F561" s="5"/>
    </row>
    <row r="562" spans="1:6" ht="14.4" x14ac:dyDescent="0.25">
      <c r="A562" s="103">
        <v>43465</v>
      </c>
      <c r="B562" s="4" t="s">
        <v>54</v>
      </c>
      <c r="C562" s="1">
        <v>49</v>
      </c>
      <c r="D562" s="5"/>
      <c r="E562" s="5"/>
      <c r="F562" s="5"/>
    </row>
    <row r="563" spans="1:6" ht="14.4" x14ac:dyDescent="0.25">
      <c r="A563" s="103">
        <v>43465</v>
      </c>
      <c r="B563" s="4" t="s">
        <v>55</v>
      </c>
      <c r="C563" s="1">
        <v>50</v>
      </c>
      <c r="D563" s="5"/>
      <c r="E563" s="5"/>
      <c r="F563" s="5"/>
    </row>
    <row r="564" spans="1:6" ht="14.4" x14ac:dyDescent="0.25">
      <c r="A564" s="103">
        <v>43465</v>
      </c>
      <c r="B564" s="4" t="s">
        <v>56</v>
      </c>
      <c r="C564" s="1">
        <v>51</v>
      </c>
      <c r="D564" s="5"/>
      <c r="E564" s="5"/>
      <c r="F564" s="5"/>
    </row>
    <row r="565" spans="1:6" ht="14.4" x14ac:dyDescent="0.25">
      <c r="A565" s="103">
        <v>43465</v>
      </c>
      <c r="B565" s="4" t="s">
        <v>57</v>
      </c>
      <c r="C565" s="1">
        <v>52</v>
      </c>
      <c r="D565" s="5"/>
      <c r="E565" s="5"/>
      <c r="F565" s="5"/>
    </row>
    <row r="566" spans="1:6" ht="14.4" x14ac:dyDescent="0.25">
      <c r="A566" s="103">
        <v>43465</v>
      </c>
      <c r="B566" s="4" t="s">
        <v>58</v>
      </c>
      <c r="C566" s="1">
        <v>53</v>
      </c>
      <c r="D566" s="5"/>
      <c r="E566" s="5"/>
      <c r="F566" s="5"/>
    </row>
    <row r="567" spans="1:6" ht="14.4" x14ac:dyDescent="0.25">
      <c r="A567" s="103">
        <v>43465</v>
      </c>
      <c r="B567" s="4" t="s">
        <v>59</v>
      </c>
      <c r="C567" s="1">
        <v>54</v>
      </c>
      <c r="D567" s="5"/>
      <c r="E567" s="5"/>
      <c r="F567" s="5"/>
    </row>
    <row r="568" spans="1:6" ht="14.4" x14ac:dyDescent="0.25">
      <c r="A568" s="103">
        <v>43465</v>
      </c>
      <c r="B568" s="4" t="s">
        <v>60</v>
      </c>
      <c r="C568" s="1">
        <v>55</v>
      </c>
      <c r="D568" s="5"/>
      <c r="E568" s="5"/>
      <c r="F568" s="5"/>
    </row>
    <row r="569" spans="1:6" ht="14.4" x14ac:dyDescent="0.25">
      <c r="A569" s="103">
        <v>43465</v>
      </c>
      <c r="B569" s="4" t="s">
        <v>61</v>
      </c>
      <c r="C569" s="1">
        <v>56</v>
      </c>
      <c r="D569" s="5"/>
      <c r="E569" s="5">
        <v>45000</v>
      </c>
      <c r="F569" s="5">
        <v>242718.45</v>
      </c>
    </row>
    <row r="570" spans="1:6" ht="14.4" x14ac:dyDescent="0.25">
      <c r="A570" s="103">
        <v>43465</v>
      </c>
      <c r="B570" s="4" t="s">
        <v>62</v>
      </c>
      <c r="C570" s="1">
        <v>57</v>
      </c>
      <c r="D570" s="5"/>
      <c r="E570" s="5"/>
      <c r="F570" s="5"/>
    </row>
    <row r="571" spans="1:6" ht="14.4" x14ac:dyDescent="0.25">
      <c r="A571" s="103">
        <v>43465</v>
      </c>
      <c r="B571" s="4" t="s">
        <v>63</v>
      </c>
      <c r="C571" s="1">
        <v>58</v>
      </c>
      <c r="D571" s="5"/>
      <c r="E571" s="5"/>
      <c r="F571" s="5"/>
    </row>
    <row r="572" spans="1:6" ht="14.4" x14ac:dyDescent="0.25">
      <c r="A572" s="103">
        <v>43465</v>
      </c>
      <c r="B572" s="4" t="s">
        <v>64</v>
      </c>
      <c r="C572" s="1">
        <v>59</v>
      </c>
      <c r="D572" s="5"/>
      <c r="E572" s="5"/>
      <c r="F572" s="5"/>
    </row>
    <row r="573" spans="1:6" ht="14.4" x14ac:dyDescent="0.25">
      <c r="A573" s="103">
        <v>43465</v>
      </c>
      <c r="B573" s="4" t="s">
        <v>65</v>
      </c>
      <c r="C573" s="1">
        <v>60</v>
      </c>
      <c r="D573" s="5"/>
      <c r="E573" s="5"/>
      <c r="F573" s="5"/>
    </row>
    <row r="574" spans="1:6" ht="14.4" x14ac:dyDescent="0.25">
      <c r="A574" s="103">
        <v>43465</v>
      </c>
      <c r="B574" s="4" t="s">
        <v>66</v>
      </c>
      <c r="C574" s="1">
        <v>61</v>
      </c>
      <c r="D574" s="5"/>
      <c r="E574" s="5"/>
      <c r="F574" s="5"/>
    </row>
    <row r="575" spans="1:6" ht="14.4" x14ac:dyDescent="0.25">
      <c r="A575" s="103">
        <v>43465</v>
      </c>
      <c r="B575" s="4" t="s">
        <v>67</v>
      </c>
      <c r="C575" s="1">
        <v>62</v>
      </c>
      <c r="D575" s="5"/>
      <c r="E575" s="5"/>
      <c r="F575" s="5"/>
    </row>
    <row r="576" spans="1:6" ht="14.4" x14ac:dyDescent="0.25">
      <c r="A576" s="103">
        <v>43465</v>
      </c>
      <c r="B576" s="4" t="s">
        <v>68</v>
      </c>
      <c r="C576" s="1">
        <v>63</v>
      </c>
      <c r="D576" s="5"/>
      <c r="E576" s="5"/>
      <c r="F576" s="5"/>
    </row>
    <row r="577" spans="1:9" ht="14.4" x14ac:dyDescent="0.25">
      <c r="A577" s="103">
        <v>43465</v>
      </c>
      <c r="B577" s="51" t="s">
        <v>69</v>
      </c>
      <c r="C577" s="1">
        <v>64</v>
      </c>
      <c r="D577" s="5"/>
      <c r="E577" s="5">
        <v>130861.65</v>
      </c>
      <c r="F577" s="5">
        <v>104522.37</v>
      </c>
      <c r="I577" t="s">
        <v>371</v>
      </c>
    </row>
    <row r="578" spans="1:9" x14ac:dyDescent="0.25">
      <c r="A578" s="21">
        <v>43555</v>
      </c>
      <c r="B578" t="s">
        <v>5</v>
      </c>
      <c r="C578">
        <v>1</v>
      </c>
      <c r="D578" s="69">
        <v>451500</v>
      </c>
      <c r="E578" s="69">
        <v>1296276.19</v>
      </c>
      <c r="F578" s="69">
        <v>-148076.78</v>
      </c>
    </row>
    <row r="579" spans="1:9" x14ac:dyDescent="0.25">
      <c r="A579" s="21">
        <v>43555</v>
      </c>
      <c r="B579" t="s">
        <v>6</v>
      </c>
      <c r="C579">
        <v>2</v>
      </c>
    </row>
    <row r="580" spans="1:9" x14ac:dyDescent="0.25">
      <c r="A580" s="21">
        <v>43555</v>
      </c>
      <c r="B580" t="s">
        <v>7</v>
      </c>
      <c r="C580">
        <v>3</v>
      </c>
      <c r="D580" s="69">
        <v>906838.1</v>
      </c>
      <c r="E580" s="69">
        <v>2813126.76</v>
      </c>
      <c r="F580" s="69">
        <v>1816773.48</v>
      </c>
    </row>
    <row r="581" spans="1:9" x14ac:dyDescent="0.25">
      <c r="A581" s="21">
        <v>43555</v>
      </c>
      <c r="B581" t="s">
        <v>8</v>
      </c>
      <c r="C581">
        <v>4</v>
      </c>
    </row>
    <row r="582" spans="1:9" x14ac:dyDescent="0.25">
      <c r="A582" s="21">
        <v>43555</v>
      </c>
      <c r="B582" t="s">
        <v>9</v>
      </c>
      <c r="C582">
        <v>5</v>
      </c>
      <c r="D582" s="69">
        <v>18816.13</v>
      </c>
      <c r="E582" s="69">
        <v>45853.19</v>
      </c>
      <c r="F582" s="69">
        <v>45991.54</v>
      </c>
    </row>
    <row r="583" spans="1:9" x14ac:dyDescent="0.25">
      <c r="A583" s="21">
        <v>43555</v>
      </c>
      <c r="B583" t="s">
        <v>10</v>
      </c>
      <c r="C583">
        <v>6</v>
      </c>
      <c r="D583" s="69">
        <v>-1193.08</v>
      </c>
      <c r="E583" s="69">
        <v>-1193.08</v>
      </c>
    </row>
    <row r="584" spans="1:9" x14ac:dyDescent="0.25">
      <c r="A584" s="21">
        <v>43555</v>
      </c>
      <c r="B584" t="s">
        <v>11</v>
      </c>
      <c r="C584">
        <v>7</v>
      </c>
      <c r="D584" s="69">
        <v>7055.77</v>
      </c>
      <c r="E584" s="69">
        <v>7055.77</v>
      </c>
    </row>
    <row r="585" spans="1:9" x14ac:dyDescent="0.25">
      <c r="A585" s="21">
        <v>43555</v>
      </c>
      <c r="B585" t="s">
        <v>12</v>
      </c>
      <c r="C585">
        <v>8</v>
      </c>
    </row>
    <row r="586" spans="1:9" x14ac:dyDescent="0.25">
      <c r="A586" s="21">
        <v>43555</v>
      </c>
      <c r="B586" t="s">
        <v>13</v>
      </c>
      <c r="C586">
        <v>9</v>
      </c>
      <c r="D586" s="69">
        <v>50000</v>
      </c>
      <c r="E586" s="69">
        <v>50000</v>
      </c>
      <c r="F586" s="69">
        <v>50000</v>
      </c>
    </row>
    <row r="587" spans="1:9" x14ac:dyDescent="0.25">
      <c r="A587" s="21">
        <v>43555</v>
      </c>
      <c r="B587" t="s">
        <v>14</v>
      </c>
      <c r="C587">
        <v>10</v>
      </c>
    </row>
    <row r="588" spans="1:9" x14ac:dyDescent="0.25">
      <c r="A588" s="21">
        <v>43555</v>
      </c>
      <c r="B588" t="s">
        <v>15</v>
      </c>
      <c r="C588">
        <v>11</v>
      </c>
      <c r="D588" s="69">
        <v>2987.08</v>
      </c>
      <c r="E588" s="69">
        <v>5405.59</v>
      </c>
      <c r="F588" s="69">
        <v>5033.34</v>
      </c>
    </row>
    <row r="589" spans="1:9" x14ac:dyDescent="0.25">
      <c r="A589" s="21">
        <v>43555</v>
      </c>
      <c r="B589" t="s">
        <v>16</v>
      </c>
      <c r="C589">
        <v>12</v>
      </c>
      <c r="D589" s="69">
        <v>10057.129999999999</v>
      </c>
      <c r="E589" s="69">
        <v>30171.24</v>
      </c>
      <c r="F589" s="69">
        <v>20833.810000000001</v>
      </c>
    </row>
    <row r="590" spans="1:9" x14ac:dyDescent="0.25">
      <c r="A590" s="21">
        <v>43555</v>
      </c>
      <c r="B590" t="s">
        <v>17</v>
      </c>
      <c r="C590">
        <v>13</v>
      </c>
      <c r="D590" s="69">
        <v>61651.51</v>
      </c>
      <c r="E590" s="69">
        <v>184954.53</v>
      </c>
      <c r="F590" s="69">
        <v>175426.11</v>
      </c>
    </row>
    <row r="591" spans="1:9" x14ac:dyDescent="0.25">
      <c r="A591" s="21">
        <v>43555</v>
      </c>
      <c r="B591" t="s">
        <v>18</v>
      </c>
      <c r="C591">
        <v>14</v>
      </c>
    </row>
    <row r="592" spans="1:9" x14ac:dyDescent="0.25">
      <c r="A592" s="21">
        <v>43555</v>
      </c>
      <c r="B592" t="s">
        <v>19</v>
      </c>
      <c r="C592">
        <v>15</v>
      </c>
      <c r="E592" s="69">
        <v>1169.83</v>
      </c>
      <c r="F592" s="69">
        <v>1427.35</v>
      </c>
    </row>
    <row r="593" spans="1:6" x14ac:dyDescent="0.25">
      <c r="A593" s="21">
        <v>43555</v>
      </c>
      <c r="B593" t="s">
        <v>20</v>
      </c>
      <c r="C593">
        <v>16</v>
      </c>
    </row>
    <row r="594" spans="1:6" x14ac:dyDescent="0.25">
      <c r="A594" s="21">
        <v>43555</v>
      </c>
      <c r="B594" t="s">
        <v>21</v>
      </c>
      <c r="C594">
        <v>17</v>
      </c>
    </row>
    <row r="595" spans="1:6" x14ac:dyDescent="0.25">
      <c r="A595" s="21">
        <v>43555</v>
      </c>
      <c r="B595" t="s">
        <v>22</v>
      </c>
      <c r="C595">
        <v>18</v>
      </c>
      <c r="D595" s="69">
        <v>9066.06</v>
      </c>
      <c r="E595" s="69">
        <v>27198.17</v>
      </c>
      <c r="F595" s="69">
        <v>27198.17</v>
      </c>
    </row>
    <row r="596" spans="1:6" x14ac:dyDescent="0.25">
      <c r="A596" s="21">
        <v>43555</v>
      </c>
      <c r="B596" t="s">
        <v>23</v>
      </c>
      <c r="C596">
        <v>19</v>
      </c>
    </row>
    <row r="597" spans="1:6" x14ac:dyDescent="0.25">
      <c r="A597" s="21">
        <v>43555</v>
      </c>
      <c r="B597" t="s">
        <v>24</v>
      </c>
      <c r="C597">
        <v>20</v>
      </c>
    </row>
    <row r="598" spans="1:6" x14ac:dyDescent="0.25">
      <c r="A598" s="21">
        <v>43555</v>
      </c>
      <c r="B598" t="s">
        <v>25</v>
      </c>
      <c r="C598">
        <v>21</v>
      </c>
    </row>
    <row r="599" spans="1:6" x14ac:dyDescent="0.25">
      <c r="A599" s="21">
        <v>43555</v>
      </c>
      <c r="B599" t="s">
        <v>26</v>
      </c>
      <c r="C599">
        <v>22</v>
      </c>
      <c r="E599" s="69">
        <v>4660.1899999999996</v>
      </c>
    </row>
    <row r="600" spans="1:6" x14ac:dyDescent="0.25">
      <c r="A600" s="21">
        <v>43555</v>
      </c>
      <c r="B600" t="s">
        <v>27</v>
      </c>
      <c r="C600">
        <v>23</v>
      </c>
    </row>
    <row r="601" spans="1:6" x14ac:dyDescent="0.25">
      <c r="A601" s="21">
        <v>43555</v>
      </c>
      <c r="B601" t="s">
        <v>28</v>
      </c>
      <c r="C601">
        <v>24</v>
      </c>
    </row>
    <row r="602" spans="1:6" x14ac:dyDescent="0.25">
      <c r="A602" s="21">
        <v>43555</v>
      </c>
      <c r="B602" t="s">
        <v>29</v>
      </c>
      <c r="C602">
        <v>25</v>
      </c>
      <c r="E602" s="69">
        <v>5660.19</v>
      </c>
      <c r="F602" s="69">
        <v>19610.689999999999</v>
      </c>
    </row>
    <row r="603" spans="1:6" x14ac:dyDescent="0.25">
      <c r="A603" s="21">
        <v>43555</v>
      </c>
      <c r="B603" t="s">
        <v>30</v>
      </c>
      <c r="C603">
        <v>26</v>
      </c>
    </row>
    <row r="604" spans="1:6" x14ac:dyDescent="0.25">
      <c r="A604" s="21">
        <v>43555</v>
      </c>
      <c r="B604" t="s">
        <v>31</v>
      </c>
      <c r="C604">
        <v>27</v>
      </c>
      <c r="D604" s="69">
        <v>8125.07</v>
      </c>
      <c r="E604" s="69">
        <v>14175.77</v>
      </c>
      <c r="F604" s="69">
        <v>12607.91</v>
      </c>
    </row>
    <row r="605" spans="1:6" x14ac:dyDescent="0.25">
      <c r="A605" s="21">
        <v>43555</v>
      </c>
      <c r="B605" t="s">
        <v>32</v>
      </c>
      <c r="C605">
        <v>28</v>
      </c>
      <c r="D605" s="69">
        <v>118851.33</v>
      </c>
      <c r="E605" s="69">
        <v>238752.57</v>
      </c>
      <c r="F605" s="69">
        <v>156505.22</v>
      </c>
    </row>
    <row r="606" spans="1:6" x14ac:dyDescent="0.25">
      <c r="A606" s="21">
        <v>43555</v>
      </c>
      <c r="B606" t="s">
        <v>33</v>
      </c>
      <c r="C606">
        <v>29</v>
      </c>
    </row>
    <row r="607" spans="1:6" x14ac:dyDescent="0.25">
      <c r="A607" s="21">
        <v>43555</v>
      </c>
      <c r="B607" t="s">
        <v>34</v>
      </c>
      <c r="C607">
        <v>30</v>
      </c>
      <c r="D607">
        <v>-185.76</v>
      </c>
      <c r="E607" s="69">
        <v>10532.92</v>
      </c>
      <c r="F607" s="69">
        <v>1431</v>
      </c>
    </row>
    <row r="608" spans="1:6" x14ac:dyDescent="0.25">
      <c r="A608" s="21">
        <v>43555</v>
      </c>
      <c r="B608" t="s">
        <v>35</v>
      </c>
      <c r="C608">
        <v>31</v>
      </c>
      <c r="D608" s="69">
        <v>8741.75</v>
      </c>
      <c r="E608" s="69">
        <v>24625.72</v>
      </c>
      <c r="F608" s="69">
        <v>1650.48</v>
      </c>
    </row>
    <row r="609" spans="1:6" x14ac:dyDescent="0.25">
      <c r="A609" s="21">
        <v>43555</v>
      </c>
      <c r="B609" t="s">
        <v>36</v>
      </c>
      <c r="C609">
        <v>32</v>
      </c>
    </row>
    <row r="610" spans="1:6" x14ac:dyDescent="0.25">
      <c r="A610" s="21">
        <v>43555</v>
      </c>
      <c r="B610" t="s">
        <v>38</v>
      </c>
      <c r="C610">
        <v>33</v>
      </c>
      <c r="D610">
        <v>10</v>
      </c>
      <c r="E610">
        <v>44.5</v>
      </c>
      <c r="F610">
        <v>34.5</v>
      </c>
    </row>
    <row r="611" spans="1:6" x14ac:dyDescent="0.25">
      <c r="A611" s="21">
        <v>43555</v>
      </c>
      <c r="B611" t="s">
        <v>39</v>
      </c>
      <c r="C611">
        <v>34</v>
      </c>
    </row>
    <row r="612" spans="1:6" x14ac:dyDescent="0.25">
      <c r="A612" s="21">
        <v>43555</v>
      </c>
      <c r="B612" t="s">
        <v>40</v>
      </c>
      <c r="C612">
        <v>35</v>
      </c>
      <c r="D612" s="69">
        <v>368655.67</v>
      </c>
      <c r="E612" s="69">
        <v>1405267.96</v>
      </c>
      <c r="F612" s="69">
        <v>789404.01</v>
      </c>
    </row>
    <row r="613" spans="1:6" x14ac:dyDescent="0.25">
      <c r="A613" s="21">
        <v>43555</v>
      </c>
      <c r="B613" t="s">
        <v>41</v>
      </c>
      <c r="C613">
        <v>36</v>
      </c>
    </row>
    <row r="614" spans="1:6" x14ac:dyDescent="0.25">
      <c r="A614" s="21">
        <v>43555</v>
      </c>
      <c r="B614" t="s">
        <v>42</v>
      </c>
      <c r="C614">
        <v>37</v>
      </c>
      <c r="D614" s="69">
        <v>28105.360000000001</v>
      </c>
      <c r="E614" s="69">
        <v>28105.360000000001</v>
      </c>
      <c r="F614" s="69">
        <v>15788.08</v>
      </c>
    </row>
    <row r="615" spans="1:6" x14ac:dyDescent="0.25">
      <c r="A615" s="21">
        <v>43555</v>
      </c>
      <c r="B615" t="s">
        <v>43</v>
      </c>
      <c r="C615">
        <v>38</v>
      </c>
    </row>
    <row r="616" spans="1:6" x14ac:dyDescent="0.25">
      <c r="A616" s="21">
        <v>43555</v>
      </c>
      <c r="B616" t="s">
        <v>44</v>
      </c>
      <c r="C616">
        <v>39</v>
      </c>
    </row>
    <row r="617" spans="1:6" x14ac:dyDescent="0.25">
      <c r="A617" s="21">
        <v>43555</v>
      </c>
      <c r="B617" t="s">
        <v>45</v>
      </c>
      <c r="C617">
        <v>40</v>
      </c>
    </row>
    <row r="618" spans="1:6" x14ac:dyDescent="0.25">
      <c r="A618" s="21">
        <v>43555</v>
      </c>
      <c r="B618" t="s">
        <v>46</v>
      </c>
      <c r="C618">
        <v>41</v>
      </c>
      <c r="D618" s="69">
        <v>21972</v>
      </c>
      <c r="E618" s="69">
        <v>66666</v>
      </c>
      <c r="F618" s="69">
        <v>62106</v>
      </c>
    </row>
    <row r="619" spans="1:6" x14ac:dyDescent="0.25">
      <c r="A619" s="21">
        <v>43555</v>
      </c>
      <c r="B619" t="s">
        <v>47</v>
      </c>
      <c r="C619">
        <v>42</v>
      </c>
    </row>
    <row r="620" spans="1:6" x14ac:dyDescent="0.25">
      <c r="A620" s="21">
        <v>43555</v>
      </c>
      <c r="B620" t="s">
        <v>48</v>
      </c>
      <c r="C620">
        <v>43</v>
      </c>
      <c r="D620" s="69">
        <v>138970.4</v>
      </c>
      <c r="E620" s="69">
        <v>443110.3</v>
      </c>
      <c r="F620" s="69">
        <v>228705.48</v>
      </c>
    </row>
    <row r="621" spans="1:6" x14ac:dyDescent="0.25">
      <c r="A621" s="21">
        <v>43555</v>
      </c>
      <c r="B621" t="s">
        <v>49</v>
      </c>
      <c r="C621">
        <v>44</v>
      </c>
      <c r="D621" s="69">
        <v>36350</v>
      </c>
      <c r="E621" s="69">
        <v>154800</v>
      </c>
      <c r="F621" s="69">
        <v>162600</v>
      </c>
    </row>
    <row r="622" spans="1:6" x14ac:dyDescent="0.25">
      <c r="A622" s="21">
        <v>43555</v>
      </c>
      <c r="B622" t="s">
        <v>50</v>
      </c>
      <c r="C622">
        <v>45</v>
      </c>
      <c r="D622" s="69">
        <v>13200</v>
      </c>
      <c r="E622" s="69">
        <v>40800</v>
      </c>
      <c r="F622" s="69">
        <v>16976</v>
      </c>
    </row>
    <row r="623" spans="1:6" x14ac:dyDescent="0.25">
      <c r="A623" s="21">
        <v>43555</v>
      </c>
      <c r="B623" t="s">
        <v>51</v>
      </c>
      <c r="C623">
        <v>46</v>
      </c>
    </row>
    <row r="624" spans="1:6" x14ac:dyDescent="0.25">
      <c r="A624" s="21">
        <v>43555</v>
      </c>
      <c r="B624" t="s">
        <v>52</v>
      </c>
      <c r="C624">
        <v>47</v>
      </c>
    </row>
    <row r="625" spans="1:3" x14ac:dyDescent="0.25">
      <c r="A625" s="21">
        <v>43555</v>
      </c>
      <c r="B625" t="s">
        <v>53</v>
      </c>
      <c r="C625">
        <v>48</v>
      </c>
    </row>
    <row r="626" spans="1:3" x14ac:dyDescent="0.25">
      <c r="A626" s="21">
        <v>43555</v>
      </c>
      <c r="B626" t="s">
        <v>54</v>
      </c>
      <c r="C626">
        <v>49</v>
      </c>
    </row>
    <row r="627" spans="1:3" x14ac:dyDescent="0.25">
      <c r="A627" s="21">
        <v>43555</v>
      </c>
      <c r="B627" t="s">
        <v>55</v>
      </c>
      <c r="C627">
        <v>50</v>
      </c>
    </row>
    <row r="628" spans="1:3" x14ac:dyDescent="0.25">
      <c r="A628" s="21">
        <v>43555</v>
      </c>
      <c r="B628" t="s">
        <v>56</v>
      </c>
      <c r="C628">
        <v>51</v>
      </c>
    </row>
    <row r="629" spans="1:3" x14ac:dyDescent="0.25">
      <c r="A629" s="21">
        <v>43555</v>
      </c>
      <c r="B629" t="s">
        <v>57</v>
      </c>
      <c r="C629">
        <v>52</v>
      </c>
    </row>
    <row r="630" spans="1:3" x14ac:dyDescent="0.25">
      <c r="A630" s="21">
        <v>43555</v>
      </c>
      <c r="B630" t="s">
        <v>58</v>
      </c>
      <c r="C630">
        <v>53</v>
      </c>
    </row>
    <row r="631" spans="1:3" x14ac:dyDescent="0.25">
      <c r="A631" s="21">
        <v>43555</v>
      </c>
      <c r="B631" t="s">
        <v>59</v>
      </c>
      <c r="C631">
        <v>54</v>
      </c>
    </row>
    <row r="632" spans="1:3" x14ac:dyDescent="0.25">
      <c r="A632" s="21">
        <v>43555</v>
      </c>
      <c r="B632" t="s">
        <v>60</v>
      </c>
      <c r="C632">
        <v>55</v>
      </c>
    </row>
    <row r="633" spans="1:3" x14ac:dyDescent="0.25">
      <c r="A633" s="21">
        <v>43555</v>
      </c>
      <c r="B633" t="s">
        <v>61</v>
      </c>
      <c r="C633">
        <v>56</v>
      </c>
    </row>
    <row r="634" spans="1:3" x14ac:dyDescent="0.25">
      <c r="A634" s="21">
        <v>43555</v>
      </c>
      <c r="B634" t="s">
        <v>62</v>
      </c>
      <c r="C634">
        <v>57</v>
      </c>
    </row>
    <row r="635" spans="1:3" x14ac:dyDescent="0.25">
      <c r="A635" s="21">
        <v>43555</v>
      </c>
      <c r="B635" t="s">
        <v>63</v>
      </c>
      <c r="C635">
        <v>58</v>
      </c>
    </row>
    <row r="636" spans="1:3" x14ac:dyDescent="0.25">
      <c r="A636" s="21">
        <v>43555</v>
      </c>
      <c r="B636" t="s">
        <v>64</v>
      </c>
      <c r="C636">
        <v>59</v>
      </c>
    </row>
    <row r="637" spans="1:3" x14ac:dyDescent="0.25">
      <c r="A637" s="21">
        <v>43555</v>
      </c>
      <c r="B637" t="s">
        <v>65</v>
      </c>
      <c r="C637">
        <v>60</v>
      </c>
    </row>
    <row r="638" spans="1:3" x14ac:dyDescent="0.25">
      <c r="A638" s="21">
        <v>43555</v>
      </c>
      <c r="B638" t="s">
        <v>66</v>
      </c>
      <c r="C638">
        <v>61</v>
      </c>
    </row>
    <row r="639" spans="1:3" x14ac:dyDescent="0.25">
      <c r="A639" s="21">
        <v>43555</v>
      </c>
      <c r="B639" t="s">
        <v>67</v>
      </c>
      <c r="C639">
        <v>62</v>
      </c>
    </row>
    <row r="640" spans="1:3" x14ac:dyDescent="0.25">
      <c r="A640" s="21">
        <v>43555</v>
      </c>
      <c r="B640" t="s">
        <v>68</v>
      </c>
      <c r="C640">
        <v>63</v>
      </c>
    </row>
    <row r="641" spans="1:6" x14ac:dyDescent="0.25">
      <c r="A641" s="21">
        <v>43555</v>
      </c>
      <c r="B641" t="s">
        <v>69</v>
      </c>
      <c r="C641">
        <v>64</v>
      </c>
      <c r="D641" s="69">
        <v>5601.68</v>
      </c>
      <c r="E641" s="69">
        <v>25310.04</v>
      </c>
      <c r="F641" s="69">
        <v>23443.79</v>
      </c>
    </row>
    <row r="642" spans="1:6" x14ac:dyDescent="0.25">
      <c r="A642" s="21">
        <v>43646</v>
      </c>
      <c r="B642" t="s">
        <v>5</v>
      </c>
      <c r="C642">
        <v>1</v>
      </c>
      <c r="D642" s="69">
        <v>-542986.34</v>
      </c>
      <c r="E642" s="69">
        <v>1455667.21</v>
      </c>
      <c r="F642" s="69">
        <v>1205448.6399999999</v>
      </c>
    </row>
    <row r="643" spans="1:6" x14ac:dyDescent="0.25">
      <c r="A643" s="21">
        <v>43646</v>
      </c>
      <c r="B643" t="s">
        <v>6</v>
      </c>
      <c r="C643">
        <v>2</v>
      </c>
    </row>
    <row r="644" spans="1:6" x14ac:dyDescent="0.25">
      <c r="A644" s="21">
        <v>43646</v>
      </c>
      <c r="B644" t="s">
        <v>7</v>
      </c>
      <c r="C644">
        <v>3</v>
      </c>
      <c r="D644" s="69">
        <v>1078114.54</v>
      </c>
      <c r="E644" s="69">
        <v>5434444.96</v>
      </c>
      <c r="F644" s="69">
        <v>4336134.0999999996</v>
      </c>
    </row>
    <row r="645" spans="1:6" x14ac:dyDescent="0.25">
      <c r="A645" s="21">
        <v>43646</v>
      </c>
      <c r="B645" t="s">
        <v>8</v>
      </c>
      <c r="C645">
        <v>4</v>
      </c>
    </row>
    <row r="646" spans="1:6" x14ac:dyDescent="0.25">
      <c r="A646" s="21">
        <v>43646</v>
      </c>
      <c r="B646" t="s">
        <v>9</v>
      </c>
      <c r="C646">
        <v>5</v>
      </c>
      <c r="D646" s="69">
        <v>40283.57</v>
      </c>
      <c r="E646" s="69">
        <v>107464.01</v>
      </c>
      <c r="F646" s="69">
        <v>112784</v>
      </c>
    </row>
    <row r="647" spans="1:6" x14ac:dyDescent="0.25">
      <c r="A647" s="21">
        <v>43646</v>
      </c>
      <c r="B647" t="s">
        <v>10</v>
      </c>
      <c r="C647">
        <v>6</v>
      </c>
      <c r="D647" s="69">
        <v>30020.01</v>
      </c>
      <c r="E647" s="69">
        <v>28826.93</v>
      </c>
      <c r="F647" s="69">
        <v>24703.08</v>
      </c>
    </row>
    <row r="648" spans="1:6" x14ac:dyDescent="0.25">
      <c r="A648" s="21">
        <v>43646</v>
      </c>
      <c r="B648" t="s">
        <v>11</v>
      </c>
      <c r="C648">
        <v>7</v>
      </c>
      <c r="D648" s="69">
        <v>9910.34</v>
      </c>
      <c r="E648" s="69">
        <v>16966.11</v>
      </c>
    </row>
    <row r="649" spans="1:6" x14ac:dyDescent="0.25">
      <c r="A649" s="21">
        <v>43646</v>
      </c>
      <c r="B649" t="s">
        <v>12</v>
      </c>
      <c r="C649">
        <v>8</v>
      </c>
    </row>
    <row r="650" spans="1:6" x14ac:dyDescent="0.25">
      <c r="A650" s="21">
        <v>43646</v>
      </c>
      <c r="B650" t="s">
        <v>13</v>
      </c>
      <c r="C650">
        <v>9</v>
      </c>
      <c r="D650" s="69">
        <v>30000</v>
      </c>
      <c r="E650" s="69">
        <v>80000</v>
      </c>
      <c r="F650" s="69">
        <v>80000</v>
      </c>
    </row>
    <row r="651" spans="1:6" x14ac:dyDescent="0.25">
      <c r="A651" s="21">
        <v>43646</v>
      </c>
      <c r="B651" t="s">
        <v>14</v>
      </c>
      <c r="C651">
        <v>10</v>
      </c>
    </row>
    <row r="652" spans="1:6" x14ac:dyDescent="0.25">
      <c r="A652" s="21">
        <v>43646</v>
      </c>
      <c r="B652" t="s">
        <v>15</v>
      </c>
      <c r="C652">
        <v>11</v>
      </c>
      <c r="D652" s="69">
        <v>7456.58</v>
      </c>
      <c r="E652" s="69">
        <v>24692.71</v>
      </c>
      <c r="F652" s="69">
        <v>21418.21</v>
      </c>
    </row>
    <row r="653" spans="1:6" x14ac:dyDescent="0.25">
      <c r="A653" s="21">
        <v>43646</v>
      </c>
      <c r="B653" t="s">
        <v>16</v>
      </c>
      <c r="C653">
        <v>12</v>
      </c>
      <c r="D653" s="69">
        <v>10057.11</v>
      </c>
      <c r="E653" s="69">
        <v>60342.31</v>
      </c>
      <c r="F653" s="69">
        <v>41738.01</v>
      </c>
    </row>
    <row r="654" spans="1:6" x14ac:dyDescent="0.25">
      <c r="A654" s="21">
        <v>43646</v>
      </c>
      <c r="B654" t="s">
        <v>17</v>
      </c>
      <c r="C654">
        <v>13</v>
      </c>
      <c r="D654" s="69">
        <v>70422.41</v>
      </c>
      <c r="E654" s="69">
        <v>386260.44</v>
      </c>
      <c r="F654" s="69">
        <v>359831.49</v>
      </c>
    </row>
    <row r="655" spans="1:6" x14ac:dyDescent="0.25">
      <c r="A655" s="21">
        <v>43646</v>
      </c>
      <c r="B655" t="s">
        <v>18</v>
      </c>
      <c r="C655">
        <v>14</v>
      </c>
    </row>
    <row r="656" spans="1:6" x14ac:dyDescent="0.25">
      <c r="A656" s="21">
        <v>43646</v>
      </c>
      <c r="B656" t="s">
        <v>19</v>
      </c>
      <c r="C656">
        <v>15</v>
      </c>
      <c r="D656" s="69">
        <v>3795.58</v>
      </c>
      <c r="E656" s="69">
        <v>4965.41</v>
      </c>
      <c r="F656" s="69">
        <v>11711.94</v>
      </c>
    </row>
    <row r="657" spans="1:6" x14ac:dyDescent="0.25">
      <c r="A657" s="21">
        <v>43646</v>
      </c>
      <c r="B657" t="s">
        <v>20</v>
      </c>
      <c r="C657">
        <v>16</v>
      </c>
    </row>
    <row r="658" spans="1:6" x14ac:dyDescent="0.25">
      <c r="A658" s="21">
        <v>43646</v>
      </c>
      <c r="B658" t="s">
        <v>21</v>
      </c>
      <c r="C658">
        <v>17</v>
      </c>
    </row>
    <row r="659" spans="1:6" x14ac:dyDescent="0.25">
      <c r="A659" s="21">
        <v>43646</v>
      </c>
      <c r="B659" t="s">
        <v>22</v>
      </c>
      <c r="C659">
        <v>18</v>
      </c>
      <c r="D659" s="69">
        <v>9066.07</v>
      </c>
      <c r="E659" s="69">
        <v>54396.35</v>
      </c>
      <c r="F659" s="69">
        <v>54396.35</v>
      </c>
    </row>
    <row r="660" spans="1:6" x14ac:dyDescent="0.25">
      <c r="A660" s="21">
        <v>43646</v>
      </c>
      <c r="B660" t="s">
        <v>23</v>
      </c>
      <c r="C660">
        <v>19</v>
      </c>
    </row>
    <row r="661" spans="1:6" x14ac:dyDescent="0.25">
      <c r="A661" s="21">
        <v>43646</v>
      </c>
      <c r="B661" t="s">
        <v>24</v>
      </c>
      <c r="C661">
        <v>20</v>
      </c>
    </row>
    <row r="662" spans="1:6" x14ac:dyDescent="0.25">
      <c r="A662" s="21">
        <v>43646</v>
      </c>
      <c r="B662" t="s">
        <v>25</v>
      </c>
      <c r="C662">
        <v>21</v>
      </c>
    </row>
    <row r="663" spans="1:6" x14ac:dyDescent="0.25">
      <c r="A663" s="21">
        <v>43646</v>
      </c>
      <c r="B663" t="s">
        <v>26</v>
      </c>
      <c r="C663">
        <v>22</v>
      </c>
      <c r="D663" s="69">
        <v>4660.1899999999996</v>
      </c>
      <c r="E663" s="69">
        <v>9320.3799999999992</v>
      </c>
    </row>
    <row r="664" spans="1:6" x14ac:dyDescent="0.25">
      <c r="A664" s="21">
        <v>43646</v>
      </c>
      <c r="B664" t="s">
        <v>27</v>
      </c>
      <c r="C664">
        <v>23</v>
      </c>
      <c r="E664" s="69">
        <v>5328.58</v>
      </c>
      <c r="F664" s="69">
        <v>14451.01</v>
      </c>
    </row>
    <row r="665" spans="1:6" x14ac:dyDescent="0.25">
      <c r="A665" s="21">
        <v>43646</v>
      </c>
      <c r="B665" t="s">
        <v>28</v>
      </c>
      <c r="C665">
        <v>24</v>
      </c>
      <c r="D665" s="69">
        <v>15378.68</v>
      </c>
      <c r="E665" s="69">
        <v>15378.68</v>
      </c>
      <c r="F665" s="69">
        <v>15378.68</v>
      </c>
    </row>
    <row r="666" spans="1:6" x14ac:dyDescent="0.25">
      <c r="A666" s="21">
        <v>43646</v>
      </c>
      <c r="B666" t="s">
        <v>29</v>
      </c>
      <c r="C666">
        <v>25</v>
      </c>
      <c r="D666" s="69">
        <v>1127</v>
      </c>
      <c r="E666" s="69">
        <v>22957.19</v>
      </c>
      <c r="F666" s="69">
        <v>32637.74</v>
      </c>
    </row>
    <row r="667" spans="1:6" x14ac:dyDescent="0.25">
      <c r="A667" s="21">
        <v>43646</v>
      </c>
      <c r="B667" t="s">
        <v>30</v>
      </c>
      <c r="C667">
        <v>26</v>
      </c>
    </row>
    <row r="668" spans="1:6" x14ac:dyDescent="0.25">
      <c r="A668" s="21">
        <v>43646</v>
      </c>
      <c r="B668" t="s">
        <v>31</v>
      </c>
      <c r="C668">
        <v>27</v>
      </c>
      <c r="D668" s="69">
        <v>30480.7</v>
      </c>
      <c r="E668" s="69">
        <v>50677.55</v>
      </c>
      <c r="F668" s="69">
        <v>66009.41</v>
      </c>
    </row>
    <row r="669" spans="1:6" x14ac:dyDescent="0.25">
      <c r="A669" s="21">
        <v>43646</v>
      </c>
      <c r="B669" t="s">
        <v>32</v>
      </c>
      <c r="C669">
        <v>28</v>
      </c>
      <c r="D669" s="69">
        <v>192025.7</v>
      </c>
      <c r="E669" s="69">
        <v>498391.18</v>
      </c>
      <c r="F669" s="69">
        <v>354965.91</v>
      </c>
    </row>
    <row r="670" spans="1:6" x14ac:dyDescent="0.25">
      <c r="A670" s="21">
        <v>43646</v>
      </c>
      <c r="B670" t="s">
        <v>33</v>
      </c>
      <c r="C670">
        <v>29</v>
      </c>
    </row>
    <row r="671" spans="1:6" x14ac:dyDescent="0.25">
      <c r="A671" s="21">
        <v>43646</v>
      </c>
      <c r="B671" t="s">
        <v>34</v>
      </c>
      <c r="C671">
        <v>30</v>
      </c>
      <c r="D671" s="69">
        <v>10647.43</v>
      </c>
      <c r="E671" s="69">
        <v>27529.040000000001</v>
      </c>
      <c r="F671" s="69">
        <v>18434.41</v>
      </c>
    </row>
    <row r="672" spans="1:6" x14ac:dyDescent="0.25">
      <c r="A672" s="21">
        <v>43646</v>
      </c>
      <c r="B672" t="s">
        <v>35</v>
      </c>
      <c r="C672">
        <v>31</v>
      </c>
      <c r="D672" s="69">
        <v>6224.21</v>
      </c>
      <c r="E672" s="69">
        <v>30849.93</v>
      </c>
      <c r="F672" s="69">
        <v>8333.52</v>
      </c>
    </row>
    <row r="673" spans="1:6" x14ac:dyDescent="0.25">
      <c r="A673" s="21">
        <v>43646</v>
      </c>
      <c r="B673" t="s">
        <v>36</v>
      </c>
      <c r="C673">
        <v>32</v>
      </c>
    </row>
    <row r="674" spans="1:6" x14ac:dyDescent="0.25">
      <c r="A674" s="21">
        <v>43646</v>
      </c>
      <c r="B674" t="s">
        <v>38</v>
      </c>
      <c r="C674">
        <v>33</v>
      </c>
      <c r="D674">
        <v>20</v>
      </c>
      <c r="E674">
        <v>88.5</v>
      </c>
      <c r="F674">
        <v>88</v>
      </c>
    </row>
    <row r="675" spans="1:6" x14ac:dyDescent="0.25">
      <c r="A675" s="21">
        <v>43646</v>
      </c>
      <c r="B675" t="s">
        <v>39</v>
      </c>
      <c r="C675">
        <v>34</v>
      </c>
    </row>
    <row r="676" spans="1:6" x14ac:dyDescent="0.25">
      <c r="A676" s="21">
        <v>43646</v>
      </c>
      <c r="B676" t="s">
        <v>40</v>
      </c>
      <c r="C676">
        <v>35</v>
      </c>
      <c r="D676" s="69">
        <v>378015.27</v>
      </c>
      <c r="E676" s="69">
        <v>2539778.87</v>
      </c>
      <c r="F676" s="69">
        <v>2110094.27</v>
      </c>
    </row>
    <row r="677" spans="1:6" x14ac:dyDescent="0.25">
      <c r="A677" s="21">
        <v>43646</v>
      </c>
      <c r="B677" t="s">
        <v>41</v>
      </c>
      <c r="C677">
        <v>36</v>
      </c>
      <c r="E677" s="69">
        <v>6242.72</v>
      </c>
      <c r="F677" s="69">
        <v>2350</v>
      </c>
    </row>
    <row r="678" spans="1:6" x14ac:dyDescent="0.25">
      <c r="A678" s="21">
        <v>43646</v>
      </c>
      <c r="B678" t="s">
        <v>42</v>
      </c>
      <c r="C678">
        <v>37</v>
      </c>
      <c r="D678" s="69">
        <v>22690.22</v>
      </c>
      <c r="E678" s="69">
        <v>50795.58</v>
      </c>
      <c r="F678" s="69">
        <v>42201.89</v>
      </c>
    </row>
    <row r="679" spans="1:6" x14ac:dyDescent="0.25">
      <c r="A679" s="21">
        <v>43646</v>
      </c>
      <c r="B679" t="s">
        <v>43</v>
      </c>
      <c r="C679">
        <v>38</v>
      </c>
    </row>
    <row r="680" spans="1:6" x14ac:dyDescent="0.25">
      <c r="A680" s="21">
        <v>43646</v>
      </c>
      <c r="B680" t="s">
        <v>44</v>
      </c>
      <c r="C680">
        <v>39</v>
      </c>
    </row>
    <row r="681" spans="1:6" x14ac:dyDescent="0.25">
      <c r="A681" s="21">
        <v>43646</v>
      </c>
      <c r="B681" t="s">
        <v>45</v>
      </c>
      <c r="C681">
        <v>40</v>
      </c>
    </row>
    <row r="682" spans="1:6" x14ac:dyDescent="0.25">
      <c r="A682" s="21">
        <v>43646</v>
      </c>
      <c r="B682" t="s">
        <v>46</v>
      </c>
      <c r="C682">
        <v>41</v>
      </c>
      <c r="D682" s="69">
        <v>21972</v>
      </c>
      <c r="E682" s="69">
        <v>132582</v>
      </c>
      <c r="F682" s="69">
        <v>122712</v>
      </c>
    </row>
    <row r="683" spans="1:6" x14ac:dyDescent="0.25">
      <c r="A683" s="21">
        <v>43646</v>
      </c>
      <c r="B683" t="s">
        <v>47</v>
      </c>
      <c r="C683">
        <v>42</v>
      </c>
    </row>
    <row r="684" spans="1:6" x14ac:dyDescent="0.25">
      <c r="A684" s="21">
        <v>43646</v>
      </c>
      <c r="B684" t="s">
        <v>48</v>
      </c>
      <c r="C684">
        <v>43</v>
      </c>
      <c r="D684" s="69">
        <v>125582.21</v>
      </c>
      <c r="E684" s="69">
        <v>833245.12</v>
      </c>
      <c r="F684" s="69">
        <v>425671.7</v>
      </c>
    </row>
    <row r="685" spans="1:6" x14ac:dyDescent="0.25">
      <c r="A685" s="21">
        <v>43646</v>
      </c>
      <c r="B685" t="s">
        <v>49</v>
      </c>
      <c r="C685">
        <v>44</v>
      </c>
      <c r="D685" s="69">
        <v>38550</v>
      </c>
      <c r="E685" s="69">
        <v>322200</v>
      </c>
      <c r="F685" s="69">
        <v>321000</v>
      </c>
    </row>
    <row r="686" spans="1:6" x14ac:dyDescent="0.25">
      <c r="A686" s="21">
        <v>43646</v>
      </c>
      <c r="B686" t="s">
        <v>50</v>
      </c>
      <c r="C686">
        <v>45</v>
      </c>
      <c r="D686" s="69">
        <v>13200</v>
      </c>
      <c r="E686" s="69">
        <v>80400</v>
      </c>
      <c r="F686" s="69">
        <v>53657</v>
      </c>
    </row>
    <row r="687" spans="1:6" x14ac:dyDescent="0.25">
      <c r="A687" s="21">
        <v>43646</v>
      </c>
      <c r="B687" t="s">
        <v>51</v>
      </c>
      <c r="C687">
        <v>46</v>
      </c>
    </row>
    <row r="688" spans="1:6" x14ac:dyDescent="0.25">
      <c r="A688" s="21">
        <v>43646</v>
      </c>
      <c r="B688" t="s">
        <v>52</v>
      </c>
      <c r="C688">
        <v>47</v>
      </c>
    </row>
    <row r="689" spans="1:3" x14ac:dyDescent="0.25">
      <c r="A689" s="21">
        <v>43646</v>
      </c>
      <c r="B689" t="s">
        <v>53</v>
      </c>
      <c r="C689">
        <v>48</v>
      </c>
    </row>
    <row r="690" spans="1:3" x14ac:dyDescent="0.25">
      <c r="A690" s="21">
        <v>43646</v>
      </c>
      <c r="B690" t="s">
        <v>54</v>
      </c>
      <c r="C690">
        <v>49</v>
      </c>
    </row>
    <row r="691" spans="1:3" x14ac:dyDescent="0.25">
      <c r="A691" s="21">
        <v>43646</v>
      </c>
      <c r="B691" t="s">
        <v>55</v>
      </c>
      <c r="C691">
        <v>50</v>
      </c>
    </row>
    <row r="692" spans="1:3" x14ac:dyDescent="0.25">
      <c r="A692" s="21">
        <v>43646</v>
      </c>
      <c r="B692" t="s">
        <v>56</v>
      </c>
      <c r="C692">
        <v>51</v>
      </c>
    </row>
    <row r="693" spans="1:3" x14ac:dyDescent="0.25">
      <c r="A693" s="21">
        <v>43646</v>
      </c>
      <c r="B693" t="s">
        <v>57</v>
      </c>
      <c r="C693">
        <v>52</v>
      </c>
    </row>
    <row r="694" spans="1:3" x14ac:dyDescent="0.25">
      <c r="A694" s="21">
        <v>43646</v>
      </c>
      <c r="B694" t="s">
        <v>58</v>
      </c>
      <c r="C694">
        <v>53</v>
      </c>
    </row>
    <row r="695" spans="1:3" x14ac:dyDescent="0.25">
      <c r="A695" s="21">
        <v>43646</v>
      </c>
      <c r="B695" t="s">
        <v>59</v>
      </c>
      <c r="C695">
        <v>54</v>
      </c>
    </row>
    <row r="696" spans="1:3" x14ac:dyDescent="0.25">
      <c r="A696" s="21">
        <v>43646</v>
      </c>
      <c r="B696" t="s">
        <v>60</v>
      </c>
      <c r="C696">
        <v>55</v>
      </c>
    </row>
    <row r="697" spans="1:3" x14ac:dyDescent="0.25">
      <c r="A697" s="21">
        <v>43646</v>
      </c>
      <c r="B697" t="s">
        <v>61</v>
      </c>
      <c r="C697">
        <v>56</v>
      </c>
    </row>
    <row r="698" spans="1:3" x14ac:dyDescent="0.25">
      <c r="A698" s="21">
        <v>43646</v>
      </c>
      <c r="B698" t="s">
        <v>62</v>
      </c>
      <c r="C698">
        <v>57</v>
      </c>
    </row>
    <row r="699" spans="1:3" x14ac:dyDescent="0.25">
      <c r="A699" s="21">
        <v>43646</v>
      </c>
      <c r="B699" t="s">
        <v>63</v>
      </c>
      <c r="C699">
        <v>58</v>
      </c>
    </row>
    <row r="700" spans="1:3" x14ac:dyDescent="0.25">
      <c r="A700" s="21">
        <v>43646</v>
      </c>
      <c r="B700" t="s">
        <v>64</v>
      </c>
      <c r="C700">
        <v>59</v>
      </c>
    </row>
    <row r="701" spans="1:3" x14ac:dyDescent="0.25">
      <c r="A701" s="21">
        <v>43646</v>
      </c>
      <c r="B701" t="s">
        <v>65</v>
      </c>
      <c r="C701">
        <v>60</v>
      </c>
    </row>
    <row r="702" spans="1:3" x14ac:dyDescent="0.25">
      <c r="A702" s="21">
        <v>43646</v>
      </c>
      <c r="B702" t="s">
        <v>66</v>
      </c>
      <c r="C702">
        <v>61</v>
      </c>
    </row>
    <row r="703" spans="1:3" x14ac:dyDescent="0.25">
      <c r="A703" s="21">
        <v>43646</v>
      </c>
      <c r="B703" t="s">
        <v>67</v>
      </c>
      <c r="C703">
        <v>62</v>
      </c>
    </row>
    <row r="704" spans="1:3" x14ac:dyDescent="0.25">
      <c r="A704" s="21">
        <v>43646</v>
      </c>
      <c r="B704" t="s">
        <v>68</v>
      </c>
      <c r="C704">
        <v>63</v>
      </c>
    </row>
    <row r="705" spans="1:6" x14ac:dyDescent="0.25">
      <c r="A705" s="21">
        <v>43646</v>
      </c>
      <c r="B705" t="s">
        <v>69</v>
      </c>
      <c r="C705">
        <v>64</v>
      </c>
      <c r="D705" s="69">
        <v>6529.26</v>
      </c>
      <c r="E705" s="69">
        <v>44765.37</v>
      </c>
      <c r="F705" s="69">
        <v>41565.480000000003</v>
      </c>
    </row>
    <row r="706" spans="1:6" x14ac:dyDescent="0.25">
      <c r="A706" s="21">
        <v>43830</v>
      </c>
      <c r="B706" t="s">
        <v>5</v>
      </c>
      <c r="C706">
        <v>1</v>
      </c>
      <c r="E706" s="69">
        <v>2670438.34</v>
      </c>
      <c r="F706" s="69">
        <v>2026167.42</v>
      </c>
    </row>
    <row r="707" spans="1:6" x14ac:dyDescent="0.25">
      <c r="A707" s="21">
        <v>43830</v>
      </c>
      <c r="B707" t="s">
        <v>6</v>
      </c>
      <c r="C707">
        <v>2</v>
      </c>
    </row>
    <row r="708" spans="1:6" x14ac:dyDescent="0.25">
      <c r="A708" s="21">
        <v>43830</v>
      </c>
      <c r="B708" t="s">
        <v>7</v>
      </c>
      <c r="C708">
        <v>3</v>
      </c>
      <c r="D708" s="69">
        <v>-19949.919999999998</v>
      </c>
      <c r="E708" s="69">
        <v>15047485.710000001</v>
      </c>
      <c r="F708" s="69">
        <v>11387268.210000001</v>
      </c>
    </row>
    <row r="709" spans="1:6" x14ac:dyDescent="0.25">
      <c r="A709" s="21">
        <v>43830</v>
      </c>
      <c r="B709" t="s">
        <v>8</v>
      </c>
      <c r="C709">
        <v>4</v>
      </c>
    </row>
    <row r="710" spans="1:6" x14ac:dyDescent="0.25">
      <c r="A710" s="21">
        <v>43830</v>
      </c>
      <c r="B710" t="s">
        <v>9</v>
      </c>
      <c r="C710">
        <v>5</v>
      </c>
      <c r="E710" s="69">
        <v>242476.37</v>
      </c>
      <c r="F710" s="69">
        <v>265391.64</v>
      </c>
    </row>
    <row r="711" spans="1:6" x14ac:dyDescent="0.25">
      <c r="A711" s="21">
        <v>43830</v>
      </c>
      <c r="B711" t="s">
        <v>10</v>
      </c>
      <c r="C711">
        <v>6</v>
      </c>
      <c r="E711" s="69">
        <v>76013.55</v>
      </c>
      <c r="F711" s="69">
        <v>75804.86</v>
      </c>
    </row>
    <row r="712" spans="1:6" x14ac:dyDescent="0.25">
      <c r="A712" s="21">
        <v>43830</v>
      </c>
      <c r="B712" t="s">
        <v>11</v>
      </c>
      <c r="C712">
        <v>7</v>
      </c>
      <c r="E712" s="69">
        <v>237306.25</v>
      </c>
      <c r="F712" s="69">
        <v>216865.67</v>
      </c>
    </row>
    <row r="713" spans="1:6" x14ac:dyDescent="0.25">
      <c r="A713" s="21">
        <v>43830</v>
      </c>
      <c r="B713" t="s">
        <v>12</v>
      </c>
      <c r="C713">
        <v>8</v>
      </c>
    </row>
    <row r="714" spans="1:6" x14ac:dyDescent="0.25">
      <c r="A714" s="21">
        <v>43830</v>
      </c>
      <c r="B714" t="s">
        <v>13</v>
      </c>
      <c r="C714">
        <v>9</v>
      </c>
      <c r="E714" s="69">
        <v>80000</v>
      </c>
      <c r="F714" s="69">
        <v>90000</v>
      </c>
    </row>
    <row r="715" spans="1:6" x14ac:dyDescent="0.25">
      <c r="A715" s="21">
        <v>43830</v>
      </c>
      <c r="B715" t="s">
        <v>14</v>
      </c>
      <c r="C715">
        <v>10</v>
      </c>
    </row>
    <row r="716" spans="1:6" x14ac:dyDescent="0.25">
      <c r="A716" s="21">
        <v>43830</v>
      </c>
      <c r="B716" t="s">
        <v>15</v>
      </c>
      <c r="C716">
        <v>11</v>
      </c>
      <c r="E716" s="69">
        <v>80161.210000000006</v>
      </c>
      <c r="F716" s="69">
        <v>71414.05</v>
      </c>
    </row>
    <row r="717" spans="1:6" x14ac:dyDescent="0.25">
      <c r="A717" s="21">
        <v>43830</v>
      </c>
      <c r="B717" t="s">
        <v>16</v>
      </c>
      <c r="C717">
        <v>12</v>
      </c>
      <c r="E717" s="69">
        <v>119165.19</v>
      </c>
      <c r="F717" s="69">
        <v>95475.07</v>
      </c>
    </row>
    <row r="718" spans="1:6" x14ac:dyDescent="0.25">
      <c r="A718" s="21">
        <v>43830</v>
      </c>
      <c r="B718" t="s">
        <v>17</v>
      </c>
      <c r="C718">
        <v>13</v>
      </c>
      <c r="D718" s="69">
        <v>-19949.919999999998</v>
      </c>
      <c r="E718" s="69">
        <v>785496.94</v>
      </c>
      <c r="F718" s="69">
        <v>725782.05</v>
      </c>
    </row>
    <row r="719" spans="1:6" x14ac:dyDescent="0.25">
      <c r="A719" s="21">
        <v>43830</v>
      </c>
      <c r="B719" t="s">
        <v>18</v>
      </c>
      <c r="C719">
        <v>14</v>
      </c>
      <c r="E719" s="69">
        <v>13274.34</v>
      </c>
    </row>
    <row r="720" spans="1:6" x14ac:dyDescent="0.25">
      <c r="A720" s="21">
        <v>43830</v>
      </c>
      <c r="B720" t="s">
        <v>19</v>
      </c>
      <c r="C720">
        <v>15</v>
      </c>
      <c r="E720" s="69">
        <v>13816.73</v>
      </c>
      <c r="F720" s="69">
        <v>22986.83</v>
      </c>
    </row>
    <row r="721" spans="1:6" x14ac:dyDescent="0.25">
      <c r="A721" s="21">
        <v>43830</v>
      </c>
      <c r="B721" t="s">
        <v>20</v>
      </c>
      <c r="C721">
        <v>16</v>
      </c>
    </row>
    <row r="722" spans="1:6" x14ac:dyDescent="0.25">
      <c r="A722" s="21">
        <v>43830</v>
      </c>
      <c r="B722" t="s">
        <v>21</v>
      </c>
      <c r="C722">
        <v>17</v>
      </c>
    </row>
    <row r="723" spans="1:6" x14ac:dyDescent="0.25">
      <c r="A723" s="21">
        <v>43830</v>
      </c>
      <c r="B723" t="s">
        <v>22</v>
      </c>
      <c r="C723">
        <v>18</v>
      </c>
      <c r="E723" s="69">
        <v>108792.69</v>
      </c>
      <c r="F723" s="69">
        <v>108792.69</v>
      </c>
    </row>
    <row r="724" spans="1:6" x14ac:dyDescent="0.25">
      <c r="A724" s="21">
        <v>43830</v>
      </c>
      <c r="B724" t="s">
        <v>23</v>
      </c>
      <c r="C724">
        <v>19</v>
      </c>
    </row>
    <row r="725" spans="1:6" x14ac:dyDescent="0.25">
      <c r="A725" s="21">
        <v>43830</v>
      </c>
      <c r="B725" t="s">
        <v>24</v>
      </c>
      <c r="C725">
        <v>20</v>
      </c>
    </row>
    <row r="726" spans="1:6" x14ac:dyDescent="0.25">
      <c r="A726" s="21">
        <v>43830</v>
      </c>
      <c r="B726" t="s">
        <v>25</v>
      </c>
      <c r="C726">
        <v>21</v>
      </c>
    </row>
    <row r="727" spans="1:6" x14ac:dyDescent="0.25">
      <c r="A727" s="21">
        <v>43830</v>
      </c>
      <c r="B727" t="s">
        <v>26</v>
      </c>
      <c r="C727">
        <v>22</v>
      </c>
      <c r="E727" s="69">
        <v>28776.71</v>
      </c>
      <c r="F727" s="69">
        <v>9669.9</v>
      </c>
    </row>
    <row r="728" spans="1:6" x14ac:dyDescent="0.25">
      <c r="A728" s="21">
        <v>43830</v>
      </c>
      <c r="B728" t="s">
        <v>27</v>
      </c>
      <c r="C728">
        <v>23</v>
      </c>
      <c r="E728" s="69">
        <v>11176.45</v>
      </c>
      <c r="F728" s="69">
        <v>21528.81</v>
      </c>
    </row>
    <row r="729" spans="1:6" x14ac:dyDescent="0.25">
      <c r="A729" s="21">
        <v>43830</v>
      </c>
      <c r="B729" t="s">
        <v>28</v>
      </c>
      <c r="C729">
        <v>24</v>
      </c>
      <c r="E729" s="69">
        <v>61822.29</v>
      </c>
      <c r="F729" s="69">
        <v>61514.720000000001</v>
      </c>
    </row>
    <row r="730" spans="1:6" x14ac:dyDescent="0.25">
      <c r="A730" s="21">
        <v>43830</v>
      </c>
      <c r="B730" t="s">
        <v>29</v>
      </c>
      <c r="C730">
        <v>25</v>
      </c>
      <c r="E730" s="69">
        <v>79681.990000000005</v>
      </c>
      <c r="F730" s="69">
        <v>92531.54</v>
      </c>
    </row>
    <row r="731" spans="1:6" x14ac:dyDescent="0.25">
      <c r="A731" s="21">
        <v>43830</v>
      </c>
      <c r="B731" t="s">
        <v>30</v>
      </c>
      <c r="C731">
        <v>26</v>
      </c>
    </row>
    <row r="732" spans="1:6" x14ac:dyDescent="0.25">
      <c r="A732" s="21">
        <v>43830</v>
      </c>
      <c r="B732" t="s">
        <v>31</v>
      </c>
      <c r="C732">
        <v>27</v>
      </c>
      <c r="E732" s="69">
        <v>234050.84</v>
      </c>
      <c r="F732" s="69">
        <v>221205.61</v>
      </c>
    </row>
    <row r="733" spans="1:6" x14ac:dyDescent="0.25">
      <c r="A733" s="21">
        <v>43830</v>
      </c>
      <c r="B733" t="s">
        <v>32</v>
      </c>
      <c r="C733">
        <v>28</v>
      </c>
      <c r="E733" s="69">
        <v>1099049.73</v>
      </c>
      <c r="F733" s="69">
        <v>769383.11</v>
      </c>
    </row>
    <row r="734" spans="1:6" x14ac:dyDescent="0.25">
      <c r="A734" s="21">
        <v>43830</v>
      </c>
      <c r="B734" t="s">
        <v>33</v>
      </c>
      <c r="C734">
        <v>29</v>
      </c>
    </row>
    <row r="735" spans="1:6" x14ac:dyDescent="0.25">
      <c r="A735" s="21">
        <v>43830</v>
      </c>
      <c r="B735" t="s">
        <v>34</v>
      </c>
      <c r="C735">
        <v>30</v>
      </c>
      <c r="E735" s="69">
        <v>65767</v>
      </c>
      <c r="F735" s="69">
        <v>60510.68</v>
      </c>
    </row>
    <row r="736" spans="1:6" x14ac:dyDescent="0.25">
      <c r="A736" s="21">
        <v>43830</v>
      </c>
      <c r="B736" t="s">
        <v>35</v>
      </c>
      <c r="C736">
        <v>31</v>
      </c>
      <c r="E736" s="69">
        <v>33408.18</v>
      </c>
      <c r="F736" s="69">
        <v>34560.660000000003</v>
      </c>
    </row>
    <row r="737" spans="1:6" x14ac:dyDescent="0.25">
      <c r="A737" s="21">
        <v>43830</v>
      </c>
      <c r="B737" t="s">
        <v>36</v>
      </c>
      <c r="C737">
        <v>32</v>
      </c>
    </row>
    <row r="738" spans="1:6" x14ac:dyDescent="0.25">
      <c r="A738" s="21">
        <v>43830</v>
      </c>
      <c r="B738" t="s">
        <v>38</v>
      </c>
      <c r="C738">
        <v>33</v>
      </c>
      <c r="E738">
        <v>320</v>
      </c>
      <c r="F738">
        <v>256</v>
      </c>
    </row>
    <row r="739" spans="1:6" x14ac:dyDescent="0.25">
      <c r="A739" s="21">
        <v>43830</v>
      </c>
      <c r="B739" t="s">
        <v>39</v>
      </c>
      <c r="C739">
        <v>34</v>
      </c>
    </row>
    <row r="740" spans="1:6" x14ac:dyDescent="0.25">
      <c r="A740" s="21">
        <v>43830</v>
      </c>
      <c r="B740" t="s">
        <v>40</v>
      </c>
      <c r="C740">
        <v>35</v>
      </c>
      <c r="E740" s="69">
        <v>9172256.9399999995</v>
      </c>
      <c r="F740" s="69">
        <v>5381376.5599999996</v>
      </c>
    </row>
    <row r="741" spans="1:6" x14ac:dyDescent="0.25">
      <c r="A741" s="21">
        <v>43830</v>
      </c>
      <c r="B741" t="s">
        <v>41</v>
      </c>
      <c r="C741">
        <v>36</v>
      </c>
      <c r="E741" s="69">
        <v>26900.1</v>
      </c>
      <c r="F741" s="69">
        <v>17657.509999999998</v>
      </c>
    </row>
    <row r="742" spans="1:6" x14ac:dyDescent="0.25">
      <c r="A742" s="21">
        <v>43830</v>
      </c>
      <c r="B742" t="s">
        <v>42</v>
      </c>
      <c r="C742">
        <v>37</v>
      </c>
      <c r="E742" s="69">
        <v>183445.14</v>
      </c>
      <c r="F742" s="69">
        <v>107627.54</v>
      </c>
    </row>
    <row r="743" spans="1:6" x14ac:dyDescent="0.25">
      <c r="A743" s="21">
        <v>43830</v>
      </c>
      <c r="B743" t="s">
        <v>43</v>
      </c>
      <c r="C743">
        <v>38</v>
      </c>
    </row>
    <row r="744" spans="1:6" x14ac:dyDescent="0.25">
      <c r="A744" s="21">
        <v>43830</v>
      </c>
      <c r="B744" t="s">
        <v>44</v>
      </c>
      <c r="C744">
        <v>39</v>
      </c>
    </row>
    <row r="745" spans="1:6" x14ac:dyDescent="0.25">
      <c r="A745" s="21">
        <v>43830</v>
      </c>
      <c r="B745" t="s">
        <v>45</v>
      </c>
      <c r="C745">
        <v>40</v>
      </c>
    </row>
    <row r="746" spans="1:6" x14ac:dyDescent="0.25">
      <c r="A746" s="21">
        <v>43830</v>
      </c>
      <c r="B746" t="s">
        <v>46</v>
      </c>
      <c r="C746">
        <v>41</v>
      </c>
      <c r="E746" s="69">
        <v>398190</v>
      </c>
      <c r="F746" s="69">
        <v>259044</v>
      </c>
    </row>
    <row r="747" spans="1:6" x14ac:dyDescent="0.25">
      <c r="A747" s="21">
        <v>43830</v>
      </c>
      <c r="B747" t="s">
        <v>47</v>
      </c>
      <c r="C747">
        <v>42</v>
      </c>
      <c r="F747" s="69">
        <v>70750</v>
      </c>
    </row>
    <row r="748" spans="1:6" x14ac:dyDescent="0.25">
      <c r="A748" s="21">
        <v>43830</v>
      </c>
      <c r="B748" t="s">
        <v>48</v>
      </c>
      <c r="C748">
        <v>43</v>
      </c>
      <c r="E748" s="69">
        <v>1617472.64</v>
      </c>
      <c r="F748" s="69">
        <v>1522790.06</v>
      </c>
    </row>
    <row r="749" spans="1:6" x14ac:dyDescent="0.25">
      <c r="A749" s="21">
        <v>43830</v>
      </c>
      <c r="B749" t="s">
        <v>49</v>
      </c>
      <c r="C749">
        <v>44</v>
      </c>
      <c r="E749" s="69">
        <v>31711.01</v>
      </c>
      <c r="F749" s="69">
        <v>781711</v>
      </c>
    </row>
    <row r="750" spans="1:6" x14ac:dyDescent="0.25">
      <c r="A750" s="21">
        <v>43830</v>
      </c>
      <c r="B750" t="s">
        <v>50</v>
      </c>
      <c r="C750">
        <v>45</v>
      </c>
      <c r="E750" s="69">
        <v>163800</v>
      </c>
      <c r="F750" s="69">
        <v>126776</v>
      </c>
    </row>
    <row r="751" spans="1:6" x14ac:dyDescent="0.25">
      <c r="A751" s="21">
        <v>43830</v>
      </c>
      <c r="B751" t="s">
        <v>51</v>
      </c>
      <c r="C751">
        <v>46</v>
      </c>
    </row>
    <row r="752" spans="1:6" x14ac:dyDescent="0.25">
      <c r="A752" s="21">
        <v>43830</v>
      </c>
      <c r="B752" t="s">
        <v>52</v>
      </c>
      <c r="C752">
        <v>47</v>
      </c>
    </row>
    <row r="753" spans="1:6" x14ac:dyDescent="0.25">
      <c r="A753" s="21">
        <v>43830</v>
      </c>
      <c r="B753" t="s">
        <v>53</v>
      </c>
      <c r="C753">
        <v>48</v>
      </c>
    </row>
    <row r="754" spans="1:6" x14ac:dyDescent="0.25">
      <c r="A754" s="21">
        <v>43830</v>
      </c>
      <c r="B754" t="s">
        <v>54</v>
      </c>
      <c r="C754">
        <v>49</v>
      </c>
    </row>
    <row r="755" spans="1:6" x14ac:dyDescent="0.25">
      <c r="A755" s="21">
        <v>43830</v>
      </c>
      <c r="B755" t="s">
        <v>55</v>
      </c>
      <c r="C755">
        <v>50</v>
      </c>
    </row>
    <row r="756" spans="1:6" x14ac:dyDescent="0.25">
      <c r="A756" s="21">
        <v>43830</v>
      </c>
      <c r="B756" t="s">
        <v>56</v>
      </c>
      <c r="C756">
        <v>51</v>
      </c>
    </row>
    <row r="757" spans="1:6" x14ac:dyDescent="0.25">
      <c r="A757" s="21">
        <v>43830</v>
      </c>
      <c r="B757" t="s">
        <v>57</v>
      </c>
      <c r="C757">
        <v>52</v>
      </c>
    </row>
    <row r="758" spans="1:6" x14ac:dyDescent="0.25">
      <c r="A758" s="21">
        <v>43830</v>
      </c>
      <c r="B758" t="s">
        <v>58</v>
      </c>
      <c r="C758">
        <v>53</v>
      </c>
    </row>
    <row r="759" spans="1:6" x14ac:dyDescent="0.25">
      <c r="A759" s="21">
        <v>43830</v>
      </c>
      <c r="B759" t="s">
        <v>59</v>
      </c>
      <c r="C759">
        <v>54</v>
      </c>
    </row>
    <row r="760" spans="1:6" x14ac:dyDescent="0.25">
      <c r="A760" s="21">
        <v>43830</v>
      </c>
      <c r="B760" t="s">
        <v>60</v>
      </c>
      <c r="C760">
        <v>55</v>
      </c>
    </row>
    <row r="761" spans="1:6" x14ac:dyDescent="0.25">
      <c r="A761" s="21">
        <v>43830</v>
      </c>
      <c r="B761" t="s">
        <v>61</v>
      </c>
      <c r="C761">
        <v>56</v>
      </c>
      <c r="F761" s="69">
        <v>45000</v>
      </c>
    </row>
    <row r="762" spans="1:6" x14ac:dyDescent="0.25">
      <c r="A762" s="21">
        <v>43830</v>
      </c>
      <c r="B762" t="s">
        <v>62</v>
      </c>
      <c r="C762">
        <v>57</v>
      </c>
    </row>
    <row r="763" spans="1:6" x14ac:dyDescent="0.25">
      <c r="A763" s="21">
        <v>43830</v>
      </c>
      <c r="B763" t="s">
        <v>63</v>
      </c>
      <c r="C763">
        <v>58</v>
      </c>
    </row>
    <row r="764" spans="1:6" x14ac:dyDescent="0.25">
      <c r="A764" s="21">
        <v>43830</v>
      </c>
      <c r="B764" t="s">
        <v>64</v>
      </c>
      <c r="C764">
        <v>59</v>
      </c>
    </row>
    <row r="765" spans="1:6" x14ac:dyDescent="0.25">
      <c r="A765" s="21">
        <v>43830</v>
      </c>
      <c r="B765" t="s">
        <v>65</v>
      </c>
      <c r="C765">
        <v>60</v>
      </c>
    </row>
    <row r="766" spans="1:6" x14ac:dyDescent="0.25">
      <c r="A766" s="21">
        <v>43830</v>
      </c>
      <c r="B766" t="s">
        <v>66</v>
      </c>
      <c r="C766">
        <v>61</v>
      </c>
    </row>
    <row r="767" spans="1:6" x14ac:dyDescent="0.25">
      <c r="A767" s="21">
        <v>43830</v>
      </c>
      <c r="B767" t="s">
        <v>67</v>
      </c>
      <c r="C767">
        <v>62</v>
      </c>
    </row>
    <row r="768" spans="1:6" x14ac:dyDescent="0.25">
      <c r="A768" s="21">
        <v>43830</v>
      </c>
      <c r="B768" t="s">
        <v>68</v>
      </c>
      <c r="C768">
        <v>63</v>
      </c>
    </row>
    <row r="769" spans="1:6" x14ac:dyDescent="0.25">
      <c r="A769" s="21">
        <v>43830</v>
      </c>
      <c r="B769" t="s">
        <v>69</v>
      </c>
      <c r="C769">
        <v>64</v>
      </c>
      <c r="E769" s="69">
        <v>83153.42</v>
      </c>
      <c r="F769" s="69">
        <v>130861.65</v>
      </c>
    </row>
    <row r="770" spans="1:6" x14ac:dyDescent="0.25">
      <c r="A770" s="21">
        <v>43921</v>
      </c>
      <c r="B770" t="s">
        <v>5</v>
      </c>
      <c r="C770">
        <v>1</v>
      </c>
      <c r="D770">
        <v>341192.88</v>
      </c>
      <c r="E770">
        <v>1095192.8799999999</v>
      </c>
      <c r="F770">
        <v>1296276.19</v>
      </c>
    </row>
    <row r="771" spans="1:6" x14ac:dyDescent="0.25">
      <c r="A771" s="21">
        <v>43921</v>
      </c>
      <c r="B771" t="s">
        <v>6</v>
      </c>
      <c r="C771">
        <v>2</v>
      </c>
    </row>
    <row r="772" spans="1:6" x14ac:dyDescent="0.25">
      <c r="A772" s="21">
        <v>43921</v>
      </c>
      <c r="B772" t="s">
        <v>7</v>
      </c>
      <c r="C772">
        <v>3</v>
      </c>
      <c r="D772">
        <v>828085.81</v>
      </c>
      <c r="E772">
        <v>2374363.2199999997</v>
      </c>
      <c r="F772">
        <v>2813126.7600000002</v>
      </c>
    </row>
    <row r="773" spans="1:6" x14ac:dyDescent="0.25">
      <c r="A773" s="21">
        <v>43921</v>
      </c>
      <c r="B773" t="s">
        <v>8</v>
      </c>
      <c r="C773">
        <v>4</v>
      </c>
    </row>
    <row r="774" spans="1:6" x14ac:dyDescent="0.25">
      <c r="A774" s="21">
        <v>43921</v>
      </c>
      <c r="B774" t="s">
        <v>9</v>
      </c>
      <c r="C774">
        <v>5</v>
      </c>
      <c r="D774">
        <v>7961.9</v>
      </c>
      <c r="E774">
        <v>17702.63</v>
      </c>
      <c r="F774">
        <v>45853.19</v>
      </c>
    </row>
    <row r="775" spans="1:6" x14ac:dyDescent="0.25">
      <c r="A775" s="21">
        <v>43921</v>
      </c>
      <c r="B775" t="s">
        <v>10</v>
      </c>
      <c r="C775">
        <v>6</v>
      </c>
      <c r="D775">
        <v>22468</v>
      </c>
      <c r="E775">
        <v>22468</v>
      </c>
      <c r="F775">
        <v>-1193.08</v>
      </c>
    </row>
    <row r="776" spans="1:6" x14ac:dyDescent="0.25">
      <c r="A776" s="21">
        <v>43921</v>
      </c>
      <c r="B776" t="s">
        <v>11</v>
      </c>
      <c r="C776">
        <v>7</v>
      </c>
      <c r="F776">
        <v>7055.77</v>
      </c>
    </row>
    <row r="777" spans="1:6" x14ac:dyDescent="0.25">
      <c r="A777" s="21">
        <v>43921</v>
      </c>
      <c r="B777" t="s">
        <v>12</v>
      </c>
      <c r="C777">
        <v>8</v>
      </c>
    </row>
    <row r="778" spans="1:6" x14ac:dyDescent="0.25">
      <c r="A778" s="21">
        <v>43921</v>
      </c>
      <c r="B778" t="s">
        <v>13</v>
      </c>
      <c r="C778">
        <v>9</v>
      </c>
      <c r="F778">
        <v>50000</v>
      </c>
    </row>
    <row r="779" spans="1:6" x14ac:dyDescent="0.25">
      <c r="A779" s="21">
        <v>43921</v>
      </c>
      <c r="B779" t="s">
        <v>14</v>
      </c>
      <c r="C779">
        <v>10</v>
      </c>
    </row>
    <row r="780" spans="1:6" x14ac:dyDescent="0.25">
      <c r="A780" s="21">
        <v>43921</v>
      </c>
      <c r="B780" t="s">
        <v>15</v>
      </c>
      <c r="C780">
        <v>11</v>
      </c>
      <c r="D780">
        <v>11080.89</v>
      </c>
      <c r="E780">
        <v>20595.45</v>
      </c>
      <c r="F780">
        <v>5405.59</v>
      </c>
    </row>
    <row r="781" spans="1:6" x14ac:dyDescent="0.25">
      <c r="A781" s="21">
        <v>43921</v>
      </c>
      <c r="B781" t="s">
        <v>16</v>
      </c>
      <c r="C781">
        <v>12</v>
      </c>
      <c r="D781">
        <v>9229.67</v>
      </c>
      <c r="E781">
        <v>27689.07</v>
      </c>
      <c r="F781">
        <v>30171.24</v>
      </c>
    </row>
    <row r="782" spans="1:6" x14ac:dyDescent="0.25">
      <c r="A782" s="21">
        <v>43921</v>
      </c>
      <c r="B782" t="s">
        <v>17</v>
      </c>
      <c r="C782">
        <v>13</v>
      </c>
      <c r="D782">
        <v>68870.759999999995</v>
      </c>
      <c r="E782">
        <v>206612.28</v>
      </c>
      <c r="F782">
        <v>184954.53</v>
      </c>
    </row>
    <row r="783" spans="1:6" x14ac:dyDescent="0.25">
      <c r="A783" s="21">
        <v>43921</v>
      </c>
      <c r="B783" t="s">
        <v>18</v>
      </c>
      <c r="C783">
        <v>14</v>
      </c>
    </row>
    <row r="784" spans="1:6" x14ac:dyDescent="0.25">
      <c r="A784" s="21">
        <v>43921</v>
      </c>
      <c r="B784" t="s">
        <v>19</v>
      </c>
      <c r="C784">
        <v>15</v>
      </c>
      <c r="F784">
        <v>1169.83</v>
      </c>
    </row>
    <row r="785" spans="1:6" x14ac:dyDescent="0.25">
      <c r="A785" s="21">
        <v>43921</v>
      </c>
      <c r="B785" t="s">
        <v>20</v>
      </c>
      <c r="C785">
        <v>16</v>
      </c>
    </row>
    <row r="786" spans="1:6" x14ac:dyDescent="0.25">
      <c r="A786" s="21">
        <v>43921</v>
      </c>
      <c r="B786" t="s">
        <v>21</v>
      </c>
      <c r="C786">
        <v>17</v>
      </c>
    </row>
    <row r="787" spans="1:6" x14ac:dyDescent="0.25">
      <c r="A787" s="21">
        <v>43921</v>
      </c>
      <c r="B787" t="s">
        <v>22</v>
      </c>
      <c r="C787">
        <v>18</v>
      </c>
      <c r="D787">
        <v>9066.0499999999993</v>
      </c>
      <c r="E787">
        <v>27198.17</v>
      </c>
      <c r="F787">
        <v>27198.17</v>
      </c>
    </row>
    <row r="788" spans="1:6" x14ac:dyDescent="0.25">
      <c r="A788" s="21">
        <v>43921</v>
      </c>
      <c r="B788" t="s">
        <v>23</v>
      </c>
      <c r="C788">
        <v>19</v>
      </c>
    </row>
    <row r="789" spans="1:6" x14ac:dyDescent="0.25">
      <c r="A789" s="21">
        <v>43921</v>
      </c>
      <c r="B789" t="s">
        <v>24</v>
      </c>
      <c r="C789">
        <v>20</v>
      </c>
    </row>
    <row r="790" spans="1:6" x14ac:dyDescent="0.25">
      <c r="A790" s="21">
        <v>43921</v>
      </c>
      <c r="B790" t="s">
        <v>25</v>
      </c>
      <c r="C790">
        <v>21</v>
      </c>
    </row>
    <row r="791" spans="1:6" x14ac:dyDescent="0.25">
      <c r="A791" s="21">
        <v>43921</v>
      </c>
      <c r="B791" t="s">
        <v>26</v>
      </c>
      <c r="C791">
        <v>22</v>
      </c>
      <c r="F791">
        <v>4660.1899999999996</v>
      </c>
    </row>
    <row r="792" spans="1:6" x14ac:dyDescent="0.25">
      <c r="A792" s="21">
        <v>43921</v>
      </c>
      <c r="B792" t="s">
        <v>27</v>
      </c>
      <c r="C792">
        <v>23</v>
      </c>
    </row>
    <row r="793" spans="1:6" x14ac:dyDescent="0.25">
      <c r="A793" s="21">
        <v>43921</v>
      </c>
      <c r="B793" t="s">
        <v>28</v>
      </c>
      <c r="C793">
        <v>24</v>
      </c>
      <c r="D793">
        <v>15378.68</v>
      </c>
      <c r="E793">
        <v>15378.68</v>
      </c>
    </row>
    <row r="794" spans="1:6" x14ac:dyDescent="0.25">
      <c r="A794" s="21">
        <v>43921</v>
      </c>
      <c r="B794" t="s">
        <v>29</v>
      </c>
      <c r="C794">
        <v>25</v>
      </c>
      <c r="D794">
        <v>2400</v>
      </c>
      <c r="E794">
        <v>2400</v>
      </c>
      <c r="F794">
        <v>5660.19</v>
      </c>
    </row>
    <row r="795" spans="1:6" x14ac:dyDescent="0.25">
      <c r="A795" s="21">
        <v>43921</v>
      </c>
      <c r="B795" t="s">
        <v>30</v>
      </c>
      <c r="C795">
        <v>26</v>
      </c>
    </row>
    <row r="796" spans="1:6" x14ac:dyDescent="0.25">
      <c r="A796" s="21">
        <v>43921</v>
      </c>
      <c r="B796" t="s">
        <v>31</v>
      </c>
      <c r="C796">
        <v>27</v>
      </c>
      <c r="D796">
        <v>3944.6</v>
      </c>
      <c r="E796">
        <v>3944.6</v>
      </c>
      <c r="F796">
        <v>14175.77</v>
      </c>
    </row>
    <row r="797" spans="1:6" x14ac:dyDescent="0.25">
      <c r="A797" s="21">
        <v>43921</v>
      </c>
      <c r="B797" t="s">
        <v>32</v>
      </c>
      <c r="C797">
        <v>28</v>
      </c>
      <c r="D797">
        <v>32789.300000000003</v>
      </c>
      <c r="E797">
        <v>91950.3</v>
      </c>
      <c r="F797">
        <v>238752.57</v>
      </c>
    </row>
    <row r="798" spans="1:6" x14ac:dyDescent="0.25">
      <c r="A798" s="21">
        <v>43921</v>
      </c>
      <c r="B798" t="s">
        <v>33</v>
      </c>
      <c r="C798">
        <v>29</v>
      </c>
    </row>
    <row r="799" spans="1:6" x14ac:dyDescent="0.25">
      <c r="A799" s="21">
        <v>43921</v>
      </c>
      <c r="B799" t="s">
        <v>34</v>
      </c>
      <c r="C799">
        <v>30</v>
      </c>
      <c r="D799">
        <v>9872.41</v>
      </c>
      <c r="E799">
        <v>9872.41</v>
      </c>
      <c r="F799">
        <v>10532.92</v>
      </c>
    </row>
    <row r="800" spans="1:6" x14ac:dyDescent="0.25">
      <c r="A800" s="21">
        <v>43921</v>
      </c>
      <c r="B800" t="s">
        <v>35</v>
      </c>
      <c r="C800">
        <v>31</v>
      </c>
      <c r="F800">
        <v>24625.72</v>
      </c>
    </row>
    <row r="801" spans="1:6" x14ac:dyDescent="0.25">
      <c r="A801" s="21">
        <v>43921</v>
      </c>
      <c r="B801" t="s">
        <v>36</v>
      </c>
      <c r="C801">
        <v>32</v>
      </c>
    </row>
    <row r="802" spans="1:6" x14ac:dyDescent="0.25">
      <c r="A802" s="21">
        <v>43921</v>
      </c>
      <c r="B802" t="s">
        <v>38</v>
      </c>
      <c r="C802">
        <v>33</v>
      </c>
      <c r="E802">
        <v>40</v>
      </c>
      <c r="F802">
        <v>44.5</v>
      </c>
    </row>
    <row r="803" spans="1:6" x14ac:dyDescent="0.25">
      <c r="A803" s="21">
        <v>43921</v>
      </c>
      <c r="B803" t="s">
        <v>39</v>
      </c>
      <c r="C803">
        <v>34</v>
      </c>
    </row>
    <row r="804" spans="1:6" x14ac:dyDescent="0.25">
      <c r="A804" s="21">
        <v>43921</v>
      </c>
      <c r="B804" t="s">
        <v>40</v>
      </c>
      <c r="C804">
        <v>35</v>
      </c>
      <c r="D804">
        <v>470301.64</v>
      </c>
      <c r="E804">
        <v>1423622.06</v>
      </c>
      <c r="F804">
        <v>1405267.96</v>
      </c>
    </row>
    <row r="805" spans="1:6" x14ac:dyDescent="0.25">
      <c r="A805" s="21">
        <v>43921</v>
      </c>
      <c r="B805" t="s">
        <v>41</v>
      </c>
      <c r="C805">
        <v>36</v>
      </c>
    </row>
    <row r="806" spans="1:6" x14ac:dyDescent="0.25">
      <c r="A806" s="21">
        <v>43921</v>
      </c>
      <c r="B806" t="s">
        <v>42</v>
      </c>
      <c r="C806">
        <v>37</v>
      </c>
      <c r="D806">
        <v>28472.44</v>
      </c>
      <c r="E806">
        <v>28472.44</v>
      </c>
      <c r="F806">
        <v>28105.360000000001</v>
      </c>
    </row>
    <row r="807" spans="1:6" x14ac:dyDescent="0.25">
      <c r="A807" s="21">
        <v>43921</v>
      </c>
      <c r="B807" t="s">
        <v>43</v>
      </c>
      <c r="C807">
        <v>38</v>
      </c>
    </row>
    <row r="808" spans="1:6" x14ac:dyDescent="0.25">
      <c r="A808" s="21">
        <v>43921</v>
      </c>
      <c r="B808" t="s">
        <v>44</v>
      </c>
      <c r="C808">
        <v>39</v>
      </c>
    </row>
    <row r="809" spans="1:6" x14ac:dyDescent="0.25">
      <c r="A809" s="21">
        <v>43921</v>
      </c>
      <c r="B809" t="s">
        <v>45</v>
      </c>
      <c r="C809">
        <v>40</v>
      </c>
    </row>
    <row r="810" spans="1:6" x14ac:dyDescent="0.25">
      <c r="A810" s="21">
        <v>43921</v>
      </c>
      <c r="B810" t="s">
        <v>46</v>
      </c>
      <c r="C810">
        <v>41</v>
      </c>
      <c r="D810">
        <v>43748</v>
      </c>
      <c r="E810">
        <v>131244</v>
      </c>
      <c r="F810">
        <v>66666</v>
      </c>
    </row>
    <row r="811" spans="1:6" x14ac:dyDescent="0.25">
      <c r="A811" s="21">
        <v>43921</v>
      </c>
      <c r="B811" t="s">
        <v>47</v>
      </c>
      <c r="C811">
        <v>42</v>
      </c>
    </row>
    <row r="812" spans="1:6" x14ac:dyDescent="0.25">
      <c r="A812" s="21">
        <v>43921</v>
      </c>
      <c r="B812" t="s">
        <v>48</v>
      </c>
      <c r="C812">
        <v>43</v>
      </c>
      <c r="D812">
        <v>72923.45</v>
      </c>
      <c r="E812">
        <v>280086.63</v>
      </c>
      <c r="F812">
        <v>443110.3</v>
      </c>
    </row>
    <row r="813" spans="1:6" x14ac:dyDescent="0.25">
      <c r="A813" s="21">
        <v>43921</v>
      </c>
      <c r="B813" t="s">
        <v>49</v>
      </c>
      <c r="C813">
        <v>44</v>
      </c>
      <c r="D813">
        <v>490</v>
      </c>
      <c r="E813">
        <v>1470</v>
      </c>
      <c r="F813">
        <v>154800</v>
      </c>
    </row>
    <row r="814" spans="1:6" x14ac:dyDescent="0.25">
      <c r="A814" s="21">
        <v>43921</v>
      </c>
      <c r="B814" t="s">
        <v>50</v>
      </c>
      <c r="C814">
        <v>45</v>
      </c>
      <c r="D814">
        <v>13800</v>
      </c>
      <c r="E814">
        <v>41400</v>
      </c>
      <c r="F814">
        <v>40800</v>
      </c>
    </row>
    <row r="815" spans="1:6" x14ac:dyDescent="0.25">
      <c r="A815" s="21">
        <v>43921</v>
      </c>
      <c r="B815" t="s">
        <v>51</v>
      </c>
      <c r="C815">
        <v>46</v>
      </c>
    </row>
    <row r="816" spans="1:6" x14ac:dyDescent="0.25">
      <c r="A816" s="21">
        <v>43921</v>
      </c>
      <c r="B816" t="s">
        <v>52</v>
      </c>
      <c r="C816">
        <v>47</v>
      </c>
    </row>
    <row r="817" spans="1:3" x14ac:dyDescent="0.25">
      <c r="A817" s="21">
        <v>43921</v>
      </c>
      <c r="B817" t="s">
        <v>53</v>
      </c>
      <c r="C817">
        <v>48</v>
      </c>
    </row>
    <row r="818" spans="1:3" x14ac:dyDescent="0.25">
      <c r="A818" s="21">
        <v>43921</v>
      </c>
      <c r="B818" t="s">
        <v>54</v>
      </c>
      <c r="C818">
        <v>49</v>
      </c>
    </row>
    <row r="819" spans="1:3" x14ac:dyDescent="0.25">
      <c r="A819" s="21">
        <v>43921</v>
      </c>
      <c r="B819" t="s">
        <v>55</v>
      </c>
      <c r="C819">
        <v>50</v>
      </c>
    </row>
    <row r="820" spans="1:3" x14ac:dyDescent="0.25">
      <c r="A820" s="21">
        <v>43921</v>
      </c>
      <c r="B820" t="s">
        <v>56</v>
      </c>
      <c r="C820">
        <v>51</v>
      </c>
    </row>
    <row r="821" spans="1:3" x14ac:dyDescent="0.25">
      <c r="A821" s="21">
        <v>43921</v>
      </c>
      <c r="B821" t="s">
        <v>57</v>
      </c>
      <c r="C821">
        <v>52</v>
      </c>
    </row>
    <row r="822" spans="1:3" x14ac:dyDescent="0.25">
      <c r="A822" s="21">
        <v>43921</v>
      </c>
      <c r="B822" t="s">
        <v>58</v>
      </c>
      <c r="C822">
        <v>53</v>
      </c>
    </row>
    <row r="823" spans="1:3" x14ac:dyDescent="0.25">
      <c r="A823" s="21">
        <v>43921</v>
      </c>
      <c r="B823" t="s">
        <v>59</v>
      </c>
      <c r="C823">
        <v>54</v>
      </c>
    </row>
    <row r="824" spans="1:3" x14ac:dyDescent="0.25">
      <c r="A824" s="21">
        <v>43921</v>
      </c>
      <c r="B824" t="s">
        <v>60</v>
      </c>
      <c r="C824">
        <v>55</v>
      </c>
    </row>
    <row r="825" spans="1:3" x14ac:dyDescent="0.25">
      <c r="A825" s="21">
        <v>43921</v>
      </c>
      <c r="B825" t="s">
        <v>61</v>
      </c>
      <c r="C825">
        <v>56</v>
      </c>
    </row>
    <row r="826" spans="1:3" x14ac:dyDescent="0.25">
      <c r="A826" s="21">
        <v>43921</v>
      </c>
      <c r="B826" t="s">
        <v>62</v>
      </c>
      <c r="C826">
        <v>57</v>
      </c>
    </row>
    <row r="827" spans="1:3" x14ac:dyDescent="0.25">
      <c r="A827" s="21">
        <v>43921</v>
      </c>
      <c r="B827" t="s">
        <v>63</v>
      </c>
      <c r="C827">
        <v>58</v>
      </c>
    </row>
    <row r="828" spans="1:3" x14ac:dyDescent="0.25">
      <c r="A828" s="21">
        <v>43921</v>
      </c>
      <c r="B828" t="s">
        <v>64</v>
      </c>
      <c r="C828">
        <v>59</v>
      </c>
    </row>
    <row r="829" spans="1:3" x14ac:dyDescent="0.25">
      <c r="A829" s="21">
        <v>43921</v>
      </c>
      <c r="B829" t="s">
        <v>65</v>
      </c>
      <c r="C829">
        <v>60</v>
      </c>
    </row>
    <row r="830" spans="1:3" x14ac:dyDescent="0.25">
      <c r="A830" s="21">
        <v>43921</v>
      </c>
      <c r="B830" t="s">
        <v>66</v>
      </c>
      <c r="C830">
        <v>61</v>
      </c>
    </row>
    <row r="831" spans="1:3" x14ac:dyDescent="0.25">
      <c r="A831" s="21">
        <v>43921</v>
      </c>
      <c r="B831" t="s">
        <v>67</v>
      </c>
      <c r="C831">
        <v>62</v>
      </c>
    </row>
    <row r="832" spans="1:3" x14ac:dyDescent="0.25">
      <c r="A832" s="21">
        <v>43921</v>
      </c>
      <c r="B832" t="s">
        <v>68</v>
      </c>
      <c r="C832">
        <v>63</v>
      </c>
    </row>
    <row r="833" spans="1:6" x14ac:dyDescent="0.25">
      <c r="A833" s="21">
        <v>43921</v>
      </c>
      <c r="B833" t="s">
        <v>69</v>
      </c>
      <c r="C833">
        <v>64</v>
      </c>
      <c r="D833">
        <v>5288.02</v>
      </c>
      <c r="E833">
        <v>22216.5</v>
      </c>
      <c r="F833">
        <v>25310.04</v>
      </c>
    </row>
  </sheetData>
  <autoFilter ref="A1:F577"/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49"/>
  <sheetViews>
    <sheetView zoomScale="110" zoomScaleNormal="110" workbookViewId="0">
      <selection activeCell="C8" sqref="C8"/>
    </sheetView>
  </sheetViews>
  <sheetFormatPr defaultRowHeight="13.8" x14ac:dyDescent="0.25"/>
  <cols>
    <col min="1" max="1" width="36.88671875" bestFit="1" customWidth="1"/>
    <col min="2" max="4" width="15.5546875" bestFit="1" customWidth="1"/>
    <col min="5" max="5" width="14.44140625" bestFit="1" customWidth="1"/>
  </cols>
  <sheetData>
    <row r="1" spans="1:2" x14ac:dyDescent="0.25">
      <c r="A1" s="19" t="s">
        <v>363</v>
      </c>
      <c r="B1" s="19" t="s">
        <v>260</v>
      </c>
    </row>
    <row r="2" spans="1:2" x14ac:dyDescent="0.25">
      <c r="A2" s="92">
        <v>2015</v>
      </c>
      <c r="B2" s="20">
        <v>11</v>
      </c>
    </row>
    <row r="3" spans="1:2" x14ac:dyDescent="0.25">
      <c r="A3" s="92">
        <v>2016</v>
      </c>
      <c r="B3" s="20">
        <v>22</v>
      </c>
    </row>
    <row r="4" spans="1:2" x14ac:dyDescent="0.25">
      <c r="A4" s="92">
        <v>2017</v>
      </c>
      <c r="B4" s="20">
        <v>23</v>
      </c>
    </row>
    <row r="5" spans="1:2" x14ac:dyDescent="0.25">
      <c r="A5" s="92">
        <v>2018</v>
      </c>
      <c r="B5" s="20">
        <v>25</v>
      </c>
    </row>
    <row r="6" spans="1:2" x14ac:dyDescent="0.25">
      <c r="A6" s="92">
        <v>2019</v>
      </c>
      <c r="B6" s="20">
        <v>24</v>
      </c>
    </row>
    <row r="7" spans="1:2" ht="14.4" x14ac:dyDescent="0.25">
      <c r="A7" s="4"/>
    </row>
    <row r="8" spans="1:2" ht="14.4" x14ac:dyDescent="0.25">
      <c r="A8" s="4"/>
    </row>
    <row r="9" spans="1:2" ht="14.4" x14ac:dyDescent="0.25">
      <c r="A9" s="4"/>
    </row>
    <row r="10" spans="1:2" ht="14.4" x14ac:dyDescent="0.25">
      <c r="A10" s="4"/>
    </row>
    <row r="11" spans="1:2" ht="14.4" x14ac:dyDescent="0.25">
      <c r="A11" s="4"/>
    </row>
    <row r="12" spans="1:2" ht="14.4" x14ac:dyDescent="0.25">
      <c r="A12" s="4"/>
    </row>
    <row r="13" spans="1:2" ht="14.4" x14ac:dyDescent="0.25">
      <c r="A13" s="4"/>
    </row>
    <row r="14" spans="1:2" ht="14.4" x14ac:dyDescent="0.25">
      <c r="A14" s="4"/>
    </row>
    <row r="15" spans="1:2" ht="14.4" x14ac:dyDescent="0.25">
      <c r="A15" s="4"/>
    </row>
    <row r="16" spans="1:2" ht="14.4" x14ac:dyDescent="0.25">
      <c r="A16" s="4"/>
    </row>
    <row r="17" spans="1:1" ht="14.4" x14ac:dyDescent="0.25">
      <c r="A17" s="4"/>
    </row>
    <row r="18" spans="1:1" ht="14.4" x14ac:dyDescent="0.25">
      <c r="A18" s="4"/>
    </row>
    <row r="19" spans="1:1" ht="14.4" x14ac:dyDescent="0.25">
      <c r="A19" s="4"/>
    </row>
    <row r="20" spans="1:1" ht="14.4" x14ac:dyDescent="0.25">
      <c r="A20" s="4"/>
    </row>
    <row r="21" spans="1:1" ht="14.4" x14ac:dyDescent="0.25">
      <c r="A21" s="4"/>
    </row>
    <row r="22" spans="1:1" ht="14.4" x14ac:dyDescent="0.25">
      <c r="A22" s="4"/>
    </row>
    <row r="23" spans="1:1" ht="14.4" x14ac:dyDescent="0.25">
      <c r="A23" s="4"/>
    </row>
    <row r="24" spans="1:1" ht="14.4" x14ac:dyDescent="0.25">
      <c r="A24" s="4"/>
    </row>
    <row r="25" spans="1:1" ht="14.4" x14ac:dyDescent="0.25">
      <c r="A25" s="4"/>
    </row>
    <row r="26" spans="1:1" ht="14.4" x14ac:dyDescent="0.25">
      <c r="A26" s="4"/>
    </row>
    <row r="27" spans="1:1" ht="14.4" x14ac:dyDescent="0.25">
      <c r="A27" s="4"/>
    </row>
    <row r="28" spans="1:1" ht="14.4" x14ac:dyDescent="0.25">
      <c r="A28" s="4"/>
    </row>
    <row r="29" spans="1:1" ht="14.4" x14ac:dyDescent="0.25">
      <c r="A29" s="4"/>
    </row>
    <row r="30" spans="1:1" ht="14.4" x14ac:dyDescent="0.25">
      <c r="A30" s="4"/>
    </row>
    <row r="31" spans="1:1" ht="14.4" x14ac:dyDescent="0.25">
      <c r="A31" s="4"/>
    </row>
    <row r="32" spans="1:1" ht="14.4" x14ac:dyDescent="0.25">
      <c r="A32" s="4"/>
    </row>
    <row r="33" spans="1:5" ht="14.4" x14ac:dyDescent="0.25">
      <c r="A33" s="4"/>
    </row>
    <row r="34" spans="1:5" ht="14.4" x14ac:dyDescent="0.25">
      <c r="A34" s="4"/>
    </row>
    <row r="35" spans="1:5" ht="14.4" x14ac:dyDescent="0.25">
      <c r="A35" s="4"/>
    </row>
    <row r="36" spans="1:5" ht="14.4" x14ac:dyDescent="0.25">
      <c r="A36" s="4"/>
    </row>
    <row r="37" spans="1:5" ht="14.4" x14ac:dyDescent="0.25">
      <c r="A37" s="4"/>
    </row>
    <row r="38" spans="1:5" ht="14.4" x14ac:dyDescent="0.25">
      <c r="A38" s="4"/>
    </row>
    <row r="39" spans="1:5" ht="14.4" x14ac:dyDescent="0.25">
      <c r="A39" s="4"/>
    </row>
    <row r="40" spans="1:5" ht="14.4" x14ac:dyDescent="0.25">
      <c r="A40" s="4"/>
    </row>
    <row r="41" spans="1:5" ht="14.4" x14ac:dyDescent="0.25">
      <c r="A41" s="4"/>
    </row>
    <row r="42" spans="1:5" ht="14.4" x14ac:dyDescent="0.25">
      <c r="A42" s="4"/>
    </row>
    <row r="43" spans="1:5" ht="14.4" x14ac:dyDescent="0.25">
      <c r="A43" s="4"/>
    </row>
    <row r="44" spans="1:5" ht="14.4" x14ac:dyDescent="0.25">
      <c r="A44" s="9"/>
    </row>
    <row r="45" spans="1:5" ht="14.4" x14ac:dyDescent="0.25">
      <c r="A45" s="9"/>
    </row>
    <row r="46" spans="1:5" ht="14.4" x14ac:dyDescent="0.25">
      <c r="A46" s="9"/>
    </row>
    <row r="47" spans="1:5" ht="14.4" x14ac:dyDescent="0.25">
      <c r="A47" s="9"/>
      <c r="E47" s="78"/>
    </row>
    <row r="48" spans="1:5" ht="14.4" x14ac:dyDescent="0.25">
      <c r="A48" s="9"/>
    </row>
    <row r="49" spans="1:1" ht="14.4" x14ac:dyDescent="0.25">
      <c r="A49" s="9"/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J49"/>
  <sheetViews>
    <sheetView topLeftCell="V1" zoomScale="120" zoomScaleNormal="120" workbookViewId="0">
      <selection activeCell="O6" sqref="O6"/>
    </sheetView>
  </sheetViews>
  <sheetFormatPr defaultColWidth="11.88671875" defaultRowHeight="13.8" x14ac:dyDescent="0.25"/>
  <cols>
    <col min="9" max="9" width="11.6640625" bestFit="1" customWidth="1"/>
    <col min="14" max="14" width="30" customWidth="1"/>
    <col min="15" max="15" width="14.44140625" customWidth="1"/>
    <col min="19" max="19" width="23.88671875" bestFit="1" customWidth="1"/>
    <col min="20" max="21" width="13.88671875" bestFit="1" customWidth="1"/>
    <col min="22" max="22" width="15.33203125" customWidth="1"/>
    <col min="25" max="25" width="23.88671875" bestFit="1" customWidth="1"/>
    <col min="26" max="29" width="12.88671875" bestFit="1" customWidth="1"/>
    <col min="33" max="33" width="18.88671875" customWidth="1"/>
    <col min="34" max="35" width="9.33203125" bestFit="1" customWidth="1"/>
  </cols>
  <sheetData>
    <row r="1" spans="1:36" ht="17.399999999999999" x14ac:dyDescent="0.25">
      <c r="A1" s="113" t="s">
        <v>269</v>
      </c>
      <c r="B1" s="113"/>
      <c r="C1" s="113"/>
      <c r="D1" s="113"/>
      <c r="F1" s="71"/>
      <c r="G1" s="113" t="s">
        <v>294</v>
      </c>
      <c r="H1" s="113"/>
      <c r="I1" s="113"/>
      <c r="J1" s="113"/>
      <c r="K1" s="113"/>
      <c r="N1" s="113" t="s">
        <v>302</v>
      </c>
      <c r="O1" s="113"/>
      <c r="P1" s="113"/>
      <c r="R1" s="71"/>
      <c r="S1" s="113" t="s">
        <v>366</v>
      </c>
      <c r="T1" s="113"/>
      <c r="U1" s="113"/>
      <c r="V1" s="113"/>
      <c r="Y1" s="113" t="s">
        <v>365</v>
      </c>
      <c r="Z1" s="113"/>
      <c r="AA1" s="113"/>
      <c r="AB1" s="113"/>
      <c r="AC1" s="113"/>
      <c r="AD1" s="113"/>
      <c r="AE1" s="113"/>
    </row>
    <row r="2" spans="1:36" ht="15" thickBot="1" x14ac:dyDescent="0.3">
      <c r="A2" s="24" t="s">
        <v>270</v>
      </c>
      <c r="B2" s="24"/>
      <c r="C2" s="24"/>
      <c r="D2" s="25" t="s">
        <v>271</v>
      </c>
      <c r="G2" s="24" t="s">
        <v>270</v>
      </c>
      <c r="H2" s="24"/>
      <c r="I2" s="24"/>
      <c r="K2" s="25" t="s">
        <v>271</v>
      </c>
      <c r="N2" s="24" t="s">
        <v>303</v>
      </c>
      <c r="O2" s="24"/>
      <c r="P2" s="25" t="s">
        <v>304</v>
      </c>
      <c r="S2" s="24" t="s">
        <v>270</v>
      </c>
      <c r="T2" s="24"/>
      <c r="V2" s="25" t="s">
        <v>271</v>
      </c>
      <c r="Y2" s="24" t="s">
        <v>319</v>
      </c>
      <c r="Z2" s="24">
        <f>YEAR(Z3)</f>
        <v>2016</v>
      </c>
      <c r="AA2" s="24">
        <f t="shared" ref="AA2:AC2" si="0">YEAR(AA3)</f>
        <v>2017</v>
      </c>
      <c r="AB2" s="24">
        <f t="shared" si="0"/>
        <v>2018</v>
      </c>
      <c r="AC2" s="24">
        <f t="shared" si="0"/>
        <v>2019</v>
      </c>
      <c r="AD2" s="24"/>
      <c r="AE2" s="25" t="s">
        <v>352</v>
      </c>
    </row>
    <row r="3" spans="1:36" ht="16.2" x14ac:dyDescent="0.25">
      <c r="A3" s="124" t="s">
        <v>272</v>
      </c>
      <c r="B3" s="125"/>
      <c r="C3" s="126">
        <f>D4+C10</f>
        <v>727.01</v>
      </c>
      <c r="D3" s="127"/>
      <c r="G3" s="118" t="s">
        <v>295</v>
      </c>
      <c r="H3" s="119"/>
      <c r="I3" s="49" t="s">
        <v>320</v>
      </c>
      <c r="J3" s="49" t="s">
        <v>374</v>
      </c>
      <c r="K3" s="68" t="s">
        <v>292</v>
      </c>
      <c r="L3" s="67" t="s">
        <v>321</v>
      </c>
      <c r="N3" s="38" t="s">
        <v>301</v>
      </c>
      <c r="O3" s="39" t="s">
        <v>305</v>
      </c>
      <c r="P3" s="40" t="s">
        <v>306</v>
      </c>
      <c r="S3" s="26" t="s">
        <v>316</v>
      </c>
      <c r="T3" s="105">
        <v>41820</v>
      </c>
      <c r="U3" s="105">
        <v>43281</v>
      </c>
      <c r="V3" s="105">
        <v>43646</v>
      </c>
      <c r="W3" s="67" t="s">
        <v>322</v>
      </c>
      <c r="Y3" s="93" t="s">
        <v>364</v>
      </c>
      <c r="Z3" s="97">
        <v>42551</v>
      </c>
      <c r="AA3" s="97">
        <v>42916</v>
      </c>
      <c r="AB3" s="97">
        <v>43281</v>
      </c>
      <c r="AC3" s="97">
        <v>43646</v>
      </c>
      <c r="AD3" s="94"/>
      <c r="AE3" s="94"/>
      <c r="AG3" s="80" t="s">
        <v>353</v>
      </c>
      <c r="AH3" s="80">
        <v>2017</v>
      </c>
      <c r="AI3" s="80">
        <v>2018</v>
      </c>
      <c r="AJ3" s="80" t="s">
        <v>354</v>
      </c>
    </row>
    <row r="4" spans="1:36" ht="15.6" x14ac:dyDescent="0.25">
      <c r="A4" s="120" t="s">
        <v>273</v>
      </c>
      <c r="B4" s="121"/>
      <c r="C4" s="26">
        <f>SUM(C5:C9)</f>
        <v>1811.92</v>
      </c>
      <c r="D4" s="128">
        <v>670.41</v>
      </c>
      <c r="G4" s="120" t="s">
        <v>293</v>
      </c>
      <c r="H4" s="121"/>
      <c r="I4" s="72">
        <v>392.93252699999994</v>
      </c>
      <c r="J4" s="72">
        <v>649.88821700000017</v>
      </c>
      <c r="K4" s="37">
        <f>I4-J4</f>
        <v>-256.95569000000023</v>
      </c>
      <c r="N4" s="41" t="s">
        <v>307</v>
      </c>
      <c r="O4" s="34">
        <v>40.619999999999997</v>
      </c>
      <c r="P4" s="42">
        <v>29.7</v>
      </c>
      <c r="S4" s="28" t="s">
        <v>264</v>
      </c>
      <c r="T4" s="36">
        <f>SUM(T5:T8)</f>
        <v>0</v>
      </c>
      <c r="U4" s="36">
        <f t="shared" ref="U4:V4" si="1">SUM(U5:U8)</f>
        <v>53.375931999999992</v>
      </c>
      <c r="V4" s="36">
        <f t="shared" si="1"/>
        <v>67.349885</v>
      </c>
      <c r="Y4" s="95" t="s">
        <v>355</v>
      </c>
      <c r="Z4" s="47"/>
      <c r="AA4" s="47">
        <v>599.73357199999998</v>
      </c>
      <c r="AB4" s="47">
        <v>584.26560800000004</v>
      </c>
      <c r="AC4" s="47">
        <v>1261.411589</v>
      </c>
      <c r="AD4" s="47"/>
      <c r="AE4" s="47"/>
      <c r="AG4" s="79" t="s">
        <v>355</v>
      </c>
      <c r="AH4" s="91">
        <f>利润表!E287/10000</f>
        <v>1367.9822879999997</v>
      </c>
      <c r="AI4" s="91">
        <f>利润表!E434/10000</f>
        <v>1345.4805169999997</v>
      </c>
      <c r="AJ4" s="81">
        <f>(AI4-AH4)/AH4</f>
        <v>-1.6448875981353327E-2</v>
      </c>
    </row>
    <row r="5" spans="1:36" ht="15.6" x14ac:dyDescent="0.25">
      <c r="A5" s="120" t="s">
        <v>274</v>
      </c>
      <c r="B5" s="121"/>
      <c r="C5" s="27">
        <v>1015.91</v>
      </c>
      <c r="D5" s="128"/>
      <c r="G5" s="120" t="s">
        <v>296</v>
      </c>
      <c r="H5" s="121" t="s">
        <v>261</v>
      </c>
      <c r="I5" s="72">
        <v>264.70728299999996</v>
      </c>
      <c r="J5" s="72">
        <v>282.01327300000003</v>
      </c>
      <c r="K5" s="37">
        <f t="shared" ref="K5:K9" si="2">I5-J5</f>
        <v>-17.305990000000065</v>
      </c>
      <c r="N5" s="43" t="s">
        <v>308</v>
      </c>
      <c r="O5" s="34">
        <v>44.65</v>
      </c>
      <c r="P5" s="42">
        <v>24.85</v>
      </c>
      <c r="S5" s="28" t="s">
        <v>313</v>
      </c>
      <c r="T5" s="36">
        <v>0</v>
      </c>
      <c r="U5" s="36">
        <v>35.496590999999995</v>
      </c>
      <c r="V5" s="36">
        <v>49.839117999999999</v>
      </c>
      <c r="Y5" s="96" t="s">
        <v>356</v>
      </c>
      <c r="Z5" s="36"/>
      <c r="AA5" s="48">
        <v>0</v>
      </c>
      <c r="AB5" s="36">
        <v>0</v>
      </c>
      <c r="AC5" s="48">
        <v>220.33745499999998</v>
      </c>
      <c r="AD5" s="36"/>
      <c r="AE5" s="48"/>
      <c r="AG5" s="89" t="s">
        <v>356</v>
      </c>
      <c r="AH5" s="91"/>
      <c r="AI5" s="91">
        <f>利润表!E435/10000</f>
        <v>46.946311000000001</v>
      </c>
      <c r="AJ5" s="81" t="s">
        <v>359</v>
      </c>
    </row>
    <row r="6" spans="1:36" ht="15.6" x14ac:dyDescent="0.25">
      <c r="A6" s="120" t="s">
        <v>275</v>
      </c>
      <c r="B6" s="121" t="s">
        <v>275</v>
      </c>
      <c r="C6" s="27">
        <v>309.29000000000002</v>
      </c>
      <c r="D6" s="128"/>
      <c r="G6" s="120" t="s">
        <v>297</v>
      </c>
      <c r="H6" s="121" t="s">
        <v>298</v>
      </c>
      <c r="I6" s="72">
        <v>14.537602</v>
      </c>
      <c r="J6" s="72">
        <v>14.891793</v>
      </c>
      <c r="K6" s="37">
        <f t="shared" si="2"/>
        <v>-0.35419100000000014</v>
      </c>
      <c r="N6" s="43" t="s">
        <v>309</v>
      </c>
      <c r="O6" s="34">
        <v>7.31</v>
      </c>
      <c r="P6" s="42">
        <v>24.51</v>
      </c>
      <c r="S6" s="28" t="s">
        <v>314</v>
      </c>
      <c r="T6" s="36">
        <v>0</v>
      </c>
      <c r="U6" s="36">
        <v>6.6009410000000006</v>
      </c>
      <c r="V6" s="36">
        <v>5.067755</v>
      </c>
      <c r="Y6" s="96" t="s">
        <v>357</v>
      </c>
      <c r="Z6" s="36">
        <v>0</v>
      </c>
      <c r="AA6" s="48">
        <v>599.73357199999998</v>
      </c>
      <c r="AB6" s="36">
        <v>584.26560800000004</v>
      </c>
      <c r="AC6" s="48">
        <v>1041.074134</v>
      </c>
      <c r="AD6" s="36">
        <v>0</v>
      </c>
      <c r="AE6" s="48">
        <v>0</v>
      </c>
      <c r="AG6" s="89" t="s">
        <v>357</v>
      </c>
      <c r="AH6" s="91">
        <f>AH4-AH5</f>
        <v>1367.9822879999997</v>
      </c>
      <c r="AI6" s="91">
        <f>AI4-AI5</f>
        <v>1298.5342059999998</v>
      </c>
      <c r="AJ6" s="81">
        <f t="shared" ref="AJ6:AJ7" si="3">(AI6-AH6)/AH6</f>
        <v>-5.076679910931705E-2</v>
      </c>
    </row>
    <row r="7" spans="1:36" ht="15.6" x14ac:dyDescent="0.25">
      <c r="A7" s="120" t="s">
        <v>276</v>
      </c>
      <c r="B7" s="121" t="s">
        <v>277</v>
      </c>
      <c r="C7" s="27">
        <v>14.54</v>
      </c>
      <c r="D7" s="128"/>
      <c r="G7" s="120" t="s">
        <v>338</v>
      </c>
      <c r="H7" s="121" t="s">
        <v>262</v>
      </c>
      <c r="I7" s="72">
        <v>161.98483899999999</v>
      </c>
      <c r="J7" s="72">
        <v>243.54324700000001</v>
      </c>
      <c r="K7" s="37">
        <f t="shared" si="2"/>
        <v>-81.558408000000014</v>
      </c>
      <c r="N7" s="43" t="s">
        <v>310</v>
      </c>
      <c r="O7" s="34">
        <v>48.44</v>
      </c>
      <c r="P7" s="42">
        <v>30.12</v>
      </c>
      <c r="S7" s="28" t="s">
        <v>317</v>
      </c>
      <c r="T7" s="36">
        <v>0</v>
      </c>
      <c r="U7" s="36">
        <v>0</v>
      </c>
      <c r="V7" s="36">
        <v>1.6966110000000001</v>
      </c>
      <c r="Y7" s="96" t="s">
        <v>361</v>
      </c>
      <c r="Z7" s="16">
        <v>22</v>
      </c>
      <c r="AA7" s="16">
        <v>23</v>
      </c>
      <c r="AB7" s="16">
        <v>25</v>
      </c>
      <c r="AC7" s="16">
        <v>24</v>
      </c>
      <c r="AD7" s="16"/>
      <c r="AE7" s="16"/>
      <c r="AG7" s="89" t="s">
        <v>368</v>
      </c>
      <c r="AH7" s="81">
        <v>0.51447863698860119</v>
      </c>
      <c r="AI7" s="81">
        <v>0.49762446157173584</v>
      </c>
      <c r="AJ7" s="81">
        <f t="shared" si="3"/>
        <v>-3.2759718684371282E-2</v>
      </c>
    </row>
    <row r="8" spans="1:36" ht="15.6" x14ac:dyDescent="0.25">
      <c r="A8" s="120" t="s">
        <v>278</v>
      </c>
      <c r="B8" s="121" t="s">
        <v>278</v>
      </c>
      <c r="C8" s="27">
        <v>310.2</v>
      </c>
      <c r="D8" s="128"/>
      <c r="G8" s="120" t="s">
        <v>339</v>
      </c>
      <c r="H8" s="121" t="s">
        <v>299</v>
      </c>
      <c r="I8" s="72">
        <v>310.20220899999998</v>
      </c>
      <c r="J8" s="72">
        <v>810.51076599999999</v>
      </c>
      <c r="K8" s="37">
        <f t="shared" si="2"/>
        <v>-500.30855700000001</v>
      </c>
      <c r="N8" s="43" t="s">
        <v>311</v>
      </c>
      <c r="O8" s="34">
        <v>11.46</v>
      </c>
      <c r="P8" s="42"/>
      <c r="S8" s="28" t="s">
        <v>318</v>
      </c>
      <c r="T8" s="36">
        <v>0</v>
      </c>
      <c r="U8" s="36">
        <v>11.2784</v>
      </c>
      <c r="V8" s="36">
        <v>10.746400999999999</v>
      </c>
      <c r="Y8" s="96" t="s">
        <v>358</v>
      </c>
      <c r="Z8" s="98">
        <v>0</v>
      </c>
      <c r="AA8" s="98">
        <v>26.075372695652174</v>
      </c>
      <c r="AB8" s="98">
        <v>23.370624320000001</v>
      </c>
      <c r="AC8" s="98">
        <v>43.378088916666663</v>
      </c>
      <c r="AD8" s="98"/>
      <c r="AE8" s="98"/>
      <c r="AG8" s="89" t="s">
        <v>361</v>
      </c>
      <c r="AH8" s="89">
        <v>23</v>
      </c>
      <c r="AI8" s="89">
        <v>25</v>
      </c>
      <c r="AJ8" s="81" t="s">
        <v>360</v>
      </c>
    </row>
    <row r="9" spans="1:36" ht="16.2" thickBot="1" x14ac:dyDescent="0.3">
      <c r="A9" s="120" t="s">
        <v>263</v>
      </c>
      <c r="B9" s="121" t="s">
        <v>279</v>
      </c>
      <c r="C9" s="27">
        <v>161.97999999999999</v>
      </c>
      <c r="D9" s="128"/>
      <c r="G9" s="122" t="s">
        <v>300</v>
      </c>
      <c r="H9" s="123" t="s">
        <v>263</v>
      </c>
      <c r="I9" s="73">
        <f>SUM(I4:I8)</f>
        <v>1144.3644599999998</v>
      </c>
      <c r="J9" s="74">
        <f>SUM(J4:J8)</f>
        <v>2000.8472960000004</v>
      </c>
      <c r="K9" s="75">
        <f t="shared" si="2"/>
        <v>-856.48283600000059</v>
      </c>
      <c r="N9" s="44" t="s">
        <v>312</v>
      </c>
      <c r="O9" s="35">
        <v>85.81</v>
      </c>
      <c r="P9" s="45">
        <v>67.25</v>
      </c>
      <c r="S9" s="28" t="s">
        <v>315</v>
      </c>
      <c r="T9" s="36">
        <v>0</v>
      </c>
      <c r="U9" s="36">
        <v>21.177791000000013</v>
      </c>
      <c r="V9" s="36">
        <v>23.455866999999945</v>
      </c>
      <c r="Y9" s="96" t="s">
        <v>367</v>
      </c>
      <c r="Z9" s="99"/>
      <c r="AA9" s="99">
        <v>0.58279166389090054</v>
      </c>
      <c r="AB9" s="99">
        <v>0.50975826847724404</v>
      </c>
      <c r="AC9" s="99">
        <v>0.64209720178900953</v>
      </c>
      <c r="AD9" s="99"/>
      <c r="AE9" s="99"/>
      <c r="AG9" s="89" t="s">
        <v>358</v>
      </c>
      <c r="AH9" s="91">
        <f>AH6/AH8</f>
        <v>59.477490782608683</v>
      </c>
      <c r="AI9" s="91">
        <f>AI6/AI8</f>
        <v>51.941368239999996</v>
      </c>
      <c r="AJ9" s="81">
        <f>(AI9-AH9)/AH9</f>
        <v>-0.12670545518057164</v>
      </c>
    </row>
    <row r="10" spans="1:36" ht="15.6" x14ac:dyDescent="0.25">
      <c r="A10" s="120" t="s">
        <v>280</v>
      </c>
      <c r="B10" s="121" t="s">
        <v>280</v>
      </c>
      <c r="C10" s="132">
        <v>56.6</v>
      </c>
      <c r="D10" s="133"/>
      <c r="S10" s="28" t="s">
        <v>265</v>
      </c>
      <c r="T10" s="36">
        <v>0</v>
      </c>
      <c r="U10" s="36">
        <v>47.134452999999993</v>
      </c>
      <c r="V10" s="36">
        <v>51.637777999999997</v>
      </c>
      <c r="AG10" s="90" t="s">
        <v>362</v>
      </c>
      <c r="AH10" s="90"/>
      <c r="AI10" s="90"/>
      <c r="AJ10" s="90"/>
    </row>
    <row r="11" spans="1:36" ht="14.4" x14ac:dyDescent="0.25">
      <c r="A11" s="134" t="s">
        <v>281</v>
      </c>
      <c r="B11" s="135"/>
      <c r="C11" s="114">
        <v>623.88</v>
      </c>
      <c r="D11" s="115"/>
      <c r="S11" s="28" t="s">
        <v>266</v>
      </c>
      <c r="T11" s="36">
        <v>0</v>
      </c>
      <c r="U11" s="36">
        <v>311.92523400000005</v>
      </c>
      <c r="V11" s="36">
        <v>401.00096600000006</v>
      </c>
    </row>
    <row r="12" spans="1:36" ht="14.4" x14ac:dyDescent="0.25">
      <c r="A12" s="129" t="s">
        <v>282</v>
      </c>
      <c r="B12" s="28" t="s">
        <v>264</v>
      </c>
      <c r="C12" s="130">
        <v>53.4</v>
      </c>
      <c r="D12" s="131"/>
      <c r="G12" s="50"/>
      <c r="S12" s="28" t="s">
        <v>372</v>
      </c>
      <c r="T12" s="36">
        <v>0</v>
      </c>
      <c r="U12" s="36">
        <v>120.54486399999999</v>
      </c>
      <c r="V12" s="36">
        <v>145.566721</v>
      </c>
    </row>
    <row r="13" spans="1:36" ht="14.4" x14ac:dyDescent="0.25">
      <c r="A13" s="129"/>
      <c r="B13" s="28" t="s">
        <v>283</v>
      </c>
      <c r="C13" s="130">
        <v>21.2</v>
      </c>
      <c r="D13" s="131"/>
      <c r="S13" s="28" t="s">
        <v>373</v>
      </c>
      <c r="T13" s="36">
        <v>0</v>
      </c>
      <c r="U13" s="36">
        <v>7.738219</v>
      </c>
      <c r="V13" s="36">
        <v>14.095316</v>
      </c>
    </row>
    <row r="14" spans="1:36" ht="14.4" x14ac:dyDescent="0.25">
      <c r="A14" s="129"/>
      <c r="B14" s="28" t="s">
        <v>265</v>
      </c>
      <c r="C14" s="130">
        <v>47.1</v>
      </c>
      <c r="D14" s="131"/>
      <c r="S14" s="106" t="s">
        <v>259</v>
      </c>
      <c r="T14" s="47">
        <f t="shared" ref="T14:U14" si="4">T4+SUM(T9:T13)</f>
        <v>0</v>
      </c>
      <c r="U14" s="47">
        <f t="shared" si="4"/>
        <v>561.89649300000008</v>
      </c>
      <c r="V14" s="47">
        <f>V4+SUM(V9:V13)</f>
        <v>703.10653300000001</v>
      </c>
    </row>
    <row r="15" spans="1:36" ht="14.4" x14ac:dyDescent="0.25">
      <c r="A15" s="129"/>
      <c r="B15" s="28" t="s">
        <v>266</v>
      </c>
      <c r="C15" s="130">
        <v>373.9</v>
      </c>
      <c r="D15" s="131"/>
    </row>
    <row r="16" spans="1:36" ht="14.4" x14ac:dyDescent="0.25">
      <c r="A16" s="129"/>
      <c r="B16" s="28" t="s">
        <v>267</v>
      </c>
      <c r="C16" s="130">
        <v>128.28</v>
      </c>
      <c r="D16" s="131"/>
      <c r="S16" s="66" t="s">
        <v>323</v>
      </c>
    </row>
    <row r="17" spans="1:24" ht="14.4" x14ac:dyDescent="0.25">
      <c r="A17" s="129"/>
      <c r="B17" s="29" t="s">
        <v>268</v>
      </c>
      <c r="C17" s="114">
        <f>SUM(C12:D16)</f>
        <v>623.88</v>
      </c>
      <c r="D17" s="115"/>
    </row>
    <row r="18" spans="1:24" ht="14.4" x14ac:dyDescent="0.25">
      <c r="A18" s="129" t="s">
        <v>284</v>
      </c>
      <c r="B18" s="28" t="s">
        <v>285</v>
      </c>
      <c r="C18" s="130">
        <v>460.42</v>
      </c>
      <c r="D18" s="131"/>
      <c r="S18" t="s">
        <v>340</v>
      </c>
    </row>
    <row r="19" spans="1:24" ht="14.4" x14ac:dyDescent="0.25">
      <c r="A19" s="129"/>
      <c r="B19" s="30" t="s">
        <v>286</v>
      </c>
      <c r="C19" s="130">
        <v>13.26</v>
      </c>
      <c r="D19" s="131"/>
      <c r="S19" t="s">
        <v>341</v>
      </c>
    </row>
    <row r="20" spans="1:24" ht="14.4" x14ac:dyDescent="0.25">
      <c r="A20" s="129"/>
      <c r="B20" s="30" t="s">
        <v>287</v>
      </c>
      <c r="C20" s="130">
        <v>0.68</v>
      </c>
      <c r="D20" s="131"/>
    </row>
    <row r="21" spans="1:24" ht="14.4" x14ac:dyDescent="0.25">
      <c r="A21" s="129"/>
      <c r="B21" s="30" t="s">
        <v>288</v>
      </c>
      <c r="C21" s="130">
        <v>144.04</v>
      </c>
      <c r="D21" s="131"/>
    </row>
    <row r="22" spans="1:24" ht="14.4" x14ac:dyDescent="0.25">
      <c r="A22" s="129"/>
      <c r="B22" s="30" t="s">
        <v>289</v>
      </c>
      <c r="C22" s="130">
        <v>5.48</v>
      </c>
      <c r="D22" s="131"/>
      <c r="T22" s="76"/>
      <c r="U22" s="76"/>
    </row>
    <row r="23" spans="1:24" ht="14.4" x14ac:dyDescent="0.25">
      <c r="A23" s="31"/>
      <c r="B23" s="27" t="s">
        <v>290</v>
      </c>
      <c r="C23" s="114">
        <f>SUM(C18:D22)</f>
        <v>623.88</v>
      </c>
      <c r="D23" s="115"/>
    </row>
    <row r="24" spans="1:24" ht="15" thickBot="1" x14ac:dyDescent="0.3">
      <c r="A24" s="32" t="s">
        <v>291</v>
      </c>
      <c r="B24" s="33"/>
      <c r="C24" s="116">
        <f>C3-C23</f>
        <v>103.13</v>
      </c>
      <c r="D24" s="117" t="e">
        <f>#REF!-C11</f>
        <v>#REF!</v>
      </c>
    </row>
    <row r="25" spans="1:24" ht="17.399999999999999" x14ac:dyDescent="0.25">
      <c r="S25" s="82" t="s">
        <v>316</v>
      </c>
      <c r="T25" s="83" t="s">
        <v>420</v>
      </c>
      <c r="U25" s="83" t="s">
        <v>421</v>
      </c>
      <c r="V25" s="83" t="s">
        <v>342</v>
      </c>
    </row>
    <row r="26" spans="1:24" ht="17.399999999999999" x14ac:dyDescent="0.25">
      <c r="S26" s="84" t="s">
        <v>264</v>
      </c>
      <c r="T26" s="85">
        <f t="shared" ref="T26:U26" si="5">SUM(T27:T30)</f>
        <v>147.284603</v>
      </c>
      <c r="U26" s="85">
        <f t="shared" si="5"/>
        <v>67.349885</v>
      </c>
      <c r="V26" s="86">
        <f>IFERROR((U26-T26)/T26,"")</f>
        <v>-0.54272283980695524</v>
      </c>
      <c r="X26" s="86">
        <f>U26/T26</f>
        <v>0.45727716019304476</v>
      </c>
    </row>
    <row r="27" spans="1:24" ht="17.399999999999999" x14ac:dyDescent="0.25">
      <c r="S27" s="84" t="s">
        <v>313</v>
      </c>
      <c r="T27" s="85">
        <v>76.938310999999999</v>
      </c>
      <c r="U27" s="85">
        <v>49.839117999999999</v>
      </c>
      <c r="V27" s="86">
        <f t="shared" ref="V27:V34" si="6">IFERROR((U27-T27)/T27,"")</f>
        <v>-0.35221975434319064</v>
      </c>
      <c r="X27" s="86">
        <f t="shared" ref="X27:X35" si="7">U27/T27</f>
        <v>0.64778024565680936</v>
      </c>
    </row>
    <row r="28" spans="1:24" ht="17.399999999999999" x14ac:dyDescent="0.25">
      <c r="S28" s="84" t="s">
        <v>314</v>
      </c>
      <c r="T28" s="85">
        <v>22.120560999999999</v>
      </c>
      <c r="U28" s="85">
        <v>5.067755</v>
      </c>
      <c r="V28" s="86">
        <f t="shared" si="6"/>
        <v>-0.77090296218075116</v>
      </c>
      <c r="X28" s="86">
        <f t="shared" si="7"/>
        <v>0.22909703781924881</v>
      </c>
    </row>
    <row r="29" spans="1:24" ht="17.399999999999999" x14ac:dyDescent="0.25">
      <c r="S29" s="84" t="s">
        <v>317</v>
      </c>
      <c r="T29" s="85">
        <v>21.686567</v>
      </c>
      <c r="U29" s="85">
        <v>1.6966110000000001</v>
      </c>
      <c r="V29" s="86">
        <f t="shared" si="6"/>
        <v>-0.9217667323740083</v>
      </c>
      <c r="X29" s="86">
        <f t="shared" si="7"/>
        <v>7.8233267625991712E-2</v>
      </c>
    </row>
    <row r="30" spans="1:24" ht="17.399999999999999" x14ac:dyDescent="0.25">
      <c r="S30" s="84" t="s">
        <v>318</v>
      </c>
      <c r="T30" s="85">
        <v>26.539164000000003</v>
      </c>
      <c r="U30" s="85">
        <v>10.746400999999999</v>
      </c>
      <c r="V30" s="86">
        <f t="shared" si="6"/>
        <v>-0.59507386894327197</v>
      </c>
      <c r="X30" s="86">
        <f t="shared" si="7"/>
        <v>0.40492613105672798</v>
      </c>
    </row>
    <row r="31" spans="1:24" ht="17.399999999999999" x14ac:dyDescent="0.25">
      <c r="S31" s="84" t="s">
        <v>283</v>
      </c>
      <c r="T31" s="85">
        <v>52.426333000000191</v>
      </c>
      <c r="U31" s="85">
        <v>23.455866999999945</v>
      </c>
      <c r="V31" s="86">
        <f t="shared" si="6"/>
        <v>-0.55259378907924273</v>
      </c>
      <c r="X31" s="86">
        <f t="shared" si="7"/>
        <v>0.44740621092075727</v>
      </c>
    </row>
    <row r="32" spans="1:24" ht="17.399999999999999" x14ac:dyDescent="0.25">
      <c r="S32" s="84" t="s">
        <v>265</v>
      </c>
      <c r="T32" s="85">
        <v>99.156452999999999</v>
      </c>
      <c r="U32" s="85">
        <v>51.637777999999997</v>
      </c>
      <c r="V32" s="86">
        <f t="shared" si="6"/>
        <v>-0.47922927416534356</v>
      </c>
      <c r="X32" s="86">
        <f t="shared" si="7"/>
        <v>0.52077072583465644</v>
      </c>
    </row>
    <row r="33" spans="18:24" ht="17.399999999999999" x14ac:dyDescent="0.25">
      <c r="S33" s="84" t="s">
        <v>266</v>
      </c>
      <c r="T33" s="85">
        <v>839.85943200000008</v>
      </c>
      <c r="U33" s="85">
        <v>401.00096600000006</v>
      </c>
      <c r="V33" s="86">
        <f t="shared" si="6"/>
        <v>-0.52253799776341614</v>
      </c>
      <c r="X33" s="86">
        <f t="shared" si="7"/>
        <v>0.4774620022365838</v>
      </c>
    </row>
    <row r="34" spans="18:24" ht="17.399999999999999" x14ac:dyDescent="0.25">
      <c r="R34" s="66"/>
      <c r="S34" s="84" t="s">
        <v>267</v>
      </c>
      <c r="T34" s="85">
        <f>T35-SUM(T27:T33)</f>
        <v>220.59969100000012</v>
      </c>
      <c r="U34" s="85">
        <f>U35-SUM(U27:U33)</f>
        <v>159.66203699999994</v>
      </c>
      <c r="V34" s="86">
        <f t="shared" si="6"/>
        <v>-0.27623635247975098</v>
      </c>
      <c r="X34" s="86">
        <f t="shared" si="7"/>
        <v>0.72376364752024902</v>
      </c>
    </row>
    <row r="35" spans="18:24" ht="17.399999999999999" x14ac:dyDescent="0.25">
      <c r="S35" s="87" t="s">
        <v>259</v>
      </c>
      <c r="T35" s="88">
        <v>1359.3265120000003</v>
      </c>
      <c r="U35" s="88">
        <v>703.10653300000001</v>
      </c>
      <c r="V35" s="107">
        <f t="shared" ref="V35" si="8">(U35-T35)/T35</f>
        <v>-0.48275375578049501</v>
      </c>
      <c r="X35" s="107">
        <f t="shared" si="7"/>
        <v>0.51724624421950494</v>
      </c>
    </row>
    <row r="38" spans="18:24" ht="14.4" thickBot="1" x14ac:dyDescent="0.3"/>
    <row r="39" spans="18:24" ht="14.4" x14ac:dyDescent="0.25">
      <c r="S39" s="38" t="s">
        <v>347</v>
      </c>
      <c r="T39" s="49" t="s">
        <v>422</v>
      </c>
      <c r="U39" s="49" t="s">
        <v>423</v>
      </c>
      <c r="V39" s="49" t="s">
        <v>424</v>
      </c>
    </row>
    <row r="40" spans="18:24" ht="17.399999999999999" x14ac:dyDescent="0.25">
      <c r="S40" s="41" t="s">
        <v>343</v>
      </c>
      <c r="T40" s="36">
        <f>SUM(T41:T44)</f>
        <v>66.502839000000009</v>
      </c>
      <c r="U40" s="85">
        <v>53.375931999999992</v>
      </c>
      <c r="V40" s="85">
        <f t="shared" ref="V40" si="9">SUM(V41:V44)</f>
        <v>67.349885</v>
      </c>
    </row>
    <row r="41" spans="18:24" ht="17.399999999999999" x14ac:dyDescent="0.25">
      <c r="S41" s="41" t="s">
        <v>344</v>
      </c>
      <c r="T41" s="36">
        <v>34.745515000000005</v>
      </c>
      <c r="U41" s="85">
        <v>35.496590999999995</v>
      </c>
      <c r="V41" s="85">
        <v>49.839117999999999</v>
      </c>
    </row>
    <row r="42" spans="18:24" ht="17.399999999999999" x14ac:dyDescent="0.25">
      <c r="S42" s="41" t="s">
        <v>314</v>
      </c>
      <c r="T42" s="36">
        <v>9.775936999999999</v>
      </c>
      <c r="U42" s="85">
        <v>6.6009410000000006</v>
      </c>
      <c r="V42" s="85">
        <v>5.067755</v>
      </c>
    </row>
    <row r="43" spans="18:24" ht="17.399999999999999" x14ac:dyDescent="0.25">
      <c r="S43" s="41" t="s">
        <v>345</v>
      </c>
      <c r="T43" s="36">
        <v>11.764206</v>
      </c>
      <c r="U43" s="85">
        <v>0</v>
      </c>
      <c r="V43" s="85">
        <v>1.6966110000000001</v>
      </c>
    </row>
    <row r="44" spans="18:24" ht="17.399999999999999" x14ac:dyDescent="0.25">
      <c r="S44" s="41" t="s">
        <v>318</v>
      </c>
      <c r="T44" s="36">
        <v>10.217181</v>
      </c>
      <c r="U44" s="85">
        <v>11.2784</v>
      </c>
      <c r="V44" s="85">
        <v>10.746400999999999</v>
      </c>
    </row>
    <row r="45" spans="18:24" ht="14.4" x14ac:dyDescent="0.25">
      <c r="S45" s="41" t="s">
        <v>348</v>
      </c>
      <c r="T45" s="36"/>
      <c r="U45" s="36"/>
      <c r="V45" s="36"/>
      <c r="W45" s="36"/>
      <c r="X45" s="42"/>
    </row>
    <row r="46" spans="18:24" ht="14.4" x14ac:dyDescent="0.25">
      <c r="S46" s="41" t="s">
        <v>349</v>
      </c>
      <c r="T46" s="36"/>
      <c r="U46" s="36"/>
      <c r="V46" s="36"/>
      <c r="W46" s="36"/>
      <c r="X46" s="42"/>
    </row>
    <row r="47" spans="18:24" ht="14.4" x14ac:dyDescent="0.25">
      <c r="S47" s="41" t="s">
        <v>350</v>
      </c>
      <c r="T47" s="36"/>
      <c r="U47" s="36"/>
      <c r="V47" s="36"/>
      <c r="W47" s="36"/>
      <c r="X47" s="42"/>
    </row>
    <row r="48" spans="18:24" ht="14.4" x14ac:dyDescent="0.25">
      <c r="S48" s="41" t="s">
        <v>351</v>
      </c>
      <c r="T48" s="36"/>
      <c r="U48" s="36"/>
      <c r="V48" s="36"/>
      <c r="W48" s="36"/>
      <c r="X48" s="42"/>
    </row>
    <row r="49" spans="19:24" ht="15" thickBot="1" x14ac:dyDescent="0.3">
      <c r="S49" s="44" t="s">
        <v>346</v>
      </c>
      <c r="T49" s="46"/>
      <c r="U49" s="46"/>
      <c r="V49" s="46"/>
      <c r="W49" s="46"/>
      <c r="X49" s="45"/>
    </row>
  </sheetData>
  <mergeCells count="40">
    <mergeCell ref="C14:D14"/>
    <mergeCell ref="C15:D15"/>
    <mergeCell ref="C16:D16"/>
    <mergeCell ref="A5:B5"/>
    <mergeCell ref="A6:B6"/>
    <mergeCell ref="A7:B7"/>
    <mergeCell ref="A8:B8"/>
    <mergeCell ref="A9:B9"/>
    <mergeCell ref="C3:D3"/>
    <mergeCell ref="A4:B4"/>
    <mergeCell ref="D4:D9"/>
    <mergeCell ref="A18:A22"/>
    <mergeCell ref="C18:D18"/>
    <mergeCell ref="C19:D19"/>
    <mergeCell ref="C20:D20"/>
    <mergeCell ref="C21:D21"/>
    <mergeCell ref="C22:D22"/>
    <mergeCell ref="A10:B10"/>
    <mergeCell ref="C10:D10"/>
    <mergeCell ref="A11:B11"/>
    <mergeCell ref="C11:D11"/>
    <mergeCell ref="A12:A17"/>
    <mergeCell ref="C12:D12"/>
    <mergeCell ref="C13:D13"/>
    <mergeCell ref="N1:P1"/>
    <mergeCell ref="S1:V1"/>
    <mergeCell ref="Y1:AE1"/>
    <mergeCell ref="C23:D23"/>
    <mergeCell ref="C24:D24"/>
    <mergeCell ref="G1:K1"/>
    <mergeCell ref="G3:H3"/>
    <mergeCell ref="G4:H4"/>
    <mergeCell ref="G5:H5"/>
    <mergeCell ref="G6:H6"/>
    <mergeCell ref="G7:H7"/>
    <mergeCell ref="G8:H8"/>
    <mergeCell ref="G9:H9"/>
    <mergeCell ref="C17:D17"/>
    <mergeCell ref="A1:D1"/>
    <mergeCell ref="A3:B3"/>
  </mergeCells>
  <phoneticPr fontId="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考核口径管理费收入">
                <anchor moveWithCells="1" sizeWithCells="1">
                  <from>
                    <xdr:col>4</xdr:col>
                    <xdr:colOff>685800</xdr:colOff>
                    <xdr:row>1</xdr:row>
                    <xdr:rowOff>68580</xdr:rowOff>
                  </from>
                  <to>
                    <xdr:col>5</xdr:col>
                    <xdr:colOff>670560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费用支出情况">
                <anchor moveWithCells="1" sizeWithCells="1">
                  <from>
                    <xdr:col>16</xdr:col>
                    <xdr:colOff>464820</xdr:colOff>
                    <xdr:row>1</xdr:row>
                    <xdr:rowOff>167640</xdr:rowOff>
                  </from>
                  <to>
                    <xdr:col>17</xdr:col>
                    <xdr:colOff>632460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利润情况统计">
                <anchor moveWithCells="1" sizeWithCells="1">
                  <from>
                    <xdr:col>22</xdr:col>
                    <xdr:colOff>525780</xdr:colOff>
                    <xdr:row>3</xdr:row>
                    <xdr:rowOff>91440</xdr:rowOff>
                  </from>
                  <to>
                    <xdr:col>23</xdr:col>
                    <xdr:colOff>701040</xdr:colOff>
                    <xdr:row>5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资产负债表</vt:lpstr>
      <vt:lpstr>利润表</vt:lpstr>
      <vt:lpstr>现金流量表</vt:lpstr>
      <vt:lpstr>费用明细表</vt:lpstr>
      <vt:lpstr>统计中间体</vt:lpstr>
      <vt:lpstr>费用统计报表表格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2018-06-06T08:34:46Z</dcterms:created>
  <dcterms:modified xsi:type="dcterms:W3CDTF">2020-10-10T03:31:59Z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d4d8f515-075c-446b-8085-ada8fd332a41</vt:lpwstr>
  </property>
</Properties>
</file>