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OneDrive\国寿养老工作\财务部工作\财务分析\财务收入分析\"/>
    </mc:Choice>
  </mc:AlternateContent>
  <bookViews>
    <workbookView xWindow="0" yWindow="0" windowWidth="14148" windowHeight="6216" firstSheet="5" activeTab="12"/>
  </bookViews>
  <sheets>
    <sheet name="投管汇总校验" sheetId="8" r:id="rId1"/>
    <sheet name="投资管理费收入汇总" sheetId="10" r:id="rId2"/>
    <sheet name="单一计划（含税）" sheetId="1" r:id="rId3"/>
    <sheet name="集合计划（含税）" sheetId="2" r:id="rId4"/>
    <sheet name="养老金收入（含税）" sheetId="3" r:id="rId5"/>
    <sheet name="养老金明细" sheetId="13" r:id="rId6"/>
    <sheet name="个养（含税）" sheetId="4" r:id="rId7"/>
    <sheet name="个养—业绩报酬（含税）" sheetId="5" r:id="rId8"/>
    <sheet name="团养（含税" sheetId="6" r:id="rId9"/>
    <sheet name="职业年金收入" sheetId="11" r:id="rId10"/>
    <sheet name="职业年金业绩报酬" sheetId="12" r:id="rId11"/>
    <sheet name="计提业绩报酬" sheetId="7" r:id="rId12"/>
    <sheet name="单一计划含税-含回冲条款" sheetId="9" r:id="rId13"/>
  </sheets>
  <definedNames>
    <definedName name="_xlnm._FilterDatabase" localSheetId="2" hidden="1">'单一计划（含税）'!$A$1:$D$206</definedName>
    <definedName name="_xlnm._FilterDatabase" localSheetId="6" hidden="1">'个养（含税）'!$H$1:$R$44</definedName>
    <definedName name="_xlnm._FilterDatabase" localSheetId="3" hidden="1">'集合计划（含税）'!$A$1:$E$1</definedName>
  </definedNames>
  <calcPr calcId="162913"/>
  <pivotCaches>
    <pivotCache cacheId="0" r:id="rId14"/>
    <pivotCache cacheId="1" r:id="rId15"/>
    <pivotCache cacheId="2" r:id="rId16"/>
    <pivotCache cacheId="3" r:id="rId17"/>
  </pivotCaches>
</workbook>
</file>

<file path=xl/calcChain.xml><?xml version="1.0" encoding="utf-8"?>
<calcChain xmlns="http://schemas.openxmlformats.org/spreadsheetml/2006/main">
  <c r="G1224" i="13" l="1"/>
  <c r="G1225" i="13"/>
  <c r="G1226" i="13"/>
  <c r="G1227" i="13"/>
  <c r="G1228" i="13"/>
  <c r="G1229" i="13"/>
  <c r="G1230" i="13"/>
  <c r="G1231" i="13"/>
  <c r="G1232" i="13"/>
  <c r="G1233" i="13"/>
  <c r="G1234" i="13"/>
  <c r="G1235" i="13"/>
  <c r="G1236" i="13"/>
  <c r="G1237" i="13"/>
  <c r="G1238" i="13"/>
  <c r="G1239" i="13"/>
  <c r="G1240" i="13"/>
  <c r="G1241" i="13"/>
  <c r="G1242" i="13"/>
  <c r="G1243" i="13"/>
  <c r="G1244" i="13"/>
  <c r="G1245" i="13"/>
  <c r="G1246" i="13"/>
  <c r="G1247" i="13"/>
  <c r="G1248" i="13"/>
  <c r="G1249" i="13"/>
  <c r="G1250" i="13"/>
  <c r="G1251" i="13"/>
  <c r="G1252" i="13"/>
  <c r="G1253" i="13"/>
  <c r="G1254" i="13"/>
  <c r="G1255" i="13"/>
  <c r="G1256" i="13"/>
  <c r="G1257" i="13"/>
  <c r="G1258" i="13"/>
  <c r="G1259" i="13"/>
  <c r="G1260" i="13"/>
  <c r="G1261" i="13"/>
  <c r="G1262" i="13"/>
  <c r="G1263" i="13"/>
  <c r="G1264" i="13"/>
  <c r="G1265" i="13"/>
  <c r="G1266" i="13"/>
  <c r="G1267" i="13"/>
  <c r="G1268" i="13"/>
  <c r="G1269" i="13"/>
  <c r="G1270" i="13"/>
  <c r="G1271" i="13"/>
  <c r="G1272" i="13"/>
  <c r="G1273" i="13"/>
  <c r="G1274" i="13"/>
  <c r="G1275" i="13"/>
  <c r="G1276" i="13"/>
  <c r="G1277" i="13"/>
  <c r="G1278" i="13"/>
  <c r="G1279" i="13"/>
  <c r="G1280" i="13"/>
  <c r="G1281" i="13"/>
  <c r="G1282" i="13"/>
  <c r="G1283" i="13"/>
  <c r="G1284" i="13"/>
  <c r="G1285" i="13"/>
  <c r="G1286" i="13"/>
  <c r="G1287" i="13"/>
  <c r="G1288" i="13"/>
  <c r="G1289" i="13"/>
  <c r="G1290" i="13"/>
  <c r="G1291" i="13"/>
  <c r="G1292" i="13"/>
  <c r="G1293" i="13"/>
  <c r="G1294" i="13"/>
  <c r="G1295" i="13"/>
  <c r="G1296" i="13"/>
  <c r="G1297" i="13"/>
  <c r="G1298" i="13"/>
  <c r="G1299" i="13"/>
  <c r="G1300" i="13"/>
  <c r="G1301" i="13"/>
  <c r="G1302" i="13"/>
  <c r="G1303" i="13"/>
  <c r="G1304" i="13"/>
  <c r="G1305" i="13"/>
  <c r="G1306" i="13"/>
  <c r="G1307" i="13"/>
  <c r="G1308" i="13"/>
  <c r="G1309" i="13"/>
  <c r="G1310" i="13"/>
  <c r="G1311" i="13"/>
  <c r="G1312" i="13"/>
  <c r="G1313" i="13"/>
  <c r="G1314" i="13"/>
  <c r="G1315" i="13"/>
  <c r="G1316" i="13"/>
  <c r="G1317" i="13"/>
  <c r="G1318" i="13"/>
  <c r="G1319" i="13"/>
  <c r="G1320" i="13"/>
  <c r="G1321" i="13"/>
  <c r="G1322" i="13"/>
  <c r="G1323" i="13"/>
  <c r="G1324" i="13"/>
  <c r="G1325" i="13"/>
  <c r="G1326" i="13"/>
  <c r="G1327" i="13"/>
  <c r="G1328" i="13"/>
  <c r="G1329" i="13"/>
  <c r="G1330" i="13"/>
  <c r="G1331" i="13"/>
  <c r="G1332" i="13"/>
  <c r="G1333" i="13"/>
  <c r="G1334" i="13"/>
  <c r="G1335" i="13"/>
  <c r="G1336" i="13"/>
  <c r="G1337" i="13"/>
  <c r="G1338" i="13"/>
  <c r="G1339" i="13"/>
  <c r="G1340" i="13"/>
  <c r="G1341" i="13"/>
  <c r="G1342" i="13"/>
  <c r="G1343" i="13"/>
  <c r="G1344" i="13"/>
  <c r="G1345" i="13"/>
  <c r="G1346" i="13"/>
  <c r="G1347" i="13"/>
  <c r="G1348" i="13"/>
  <c r="G1349" i="13"/>
  <c r="G1350" i="13"/>
  <c r="G1351" i="13"/>
  <c r="G1352" i="13"/>
  <c r="G1353" i="13"/>
  <c r="G1354" i="13"/>
  <c r="G1355" i="13"/>
  <c r="G1356" i="13"/>
  <c r="G1357" i="13"/>
  <c r="G1358" i="13"/>
  <c r="G1359" i="13"/>
  <c r="G1360" i="13"/>
  <c r="G1361" i="13"/>
  <c r="G1362" i="13"/>
  <c r="G1363" i="13"/>
  <c r="G1364" i="13"/>
  <c r="G1365" i="13"/>
  <c r="G1366" i="13"/>
  <c r="G1367" i="13"/>
  <c r="G1368" i="13"/>
  <c r="G1369" i="13"/>
  <c r="G1370" i="13"/>
  <c r="G1371" i="13"/>
  <c r="G1372" i="13"/>
  <c r="G1373" i="13"/>
  <c r="G1374" i="13"/>
  <c r="G1375" i="13"/>
  <c r="G1376" i="13"/>
  <c r="G1377" i="13"/>
  <c r="G1378" i="13"/>
  <c r="G1379" i="13"/>
  <c r="G1380" i="13"/>
  <c r="G1381" i="13"/>
  <c r="G1382" i="13"/>
  <c r="G1383" i="13"/>
  <c r="G1384" i="13"/>
  <c r="G1385" i="13"/>
  <c r="G1386" i="13"/>
  <c r="G1387" i="13"/>
  <c r="G1388" i="13"/>
  <c r="G1389" i="13"/>
  <c r="G1390" i="13"/>
  <c r="G1391" i="13"/>
  <c r="G1392" i="13"/>
  <c r="G1393" i="13"/>
  <c r="G1394" i="13"/>
  <c r="G1395" i="13"/>
  <c r="G1396" i="13"/>
  <c r="G1397" i="13"/>
  <c r="G1398" i="13"/>
  <c r="G1399" i="13"/>
  <c r="G1400" i="13"/>
  <c r="G1401" i="13"/>
  <c r="G1402" i="13"/>
  <c r="G1403" i="13"/>
  <c r="G1404" i="13"/>
  <c r="G1405" i="13"/>
  <c r="G1406" i="13"/>
  <c r="G1407" i="13"/>
  <c r="G1408" i="13"/>
  <c r="G1409" i="13"/>
  <c r="G1410" i="13"/>
  <c r="G1411" i="13"/>
  <c r="G1412" i="13"/>
  <c r="G1413" i="13"/>
  <c r="G1414" i="13"/>
  <c r="G1415" i="13"/>
  <c r="G1416" i="13"/>
  <c r="G1417" i="13"/>
  <c r="G1418" i="13"/>
  <c r="G1419" i="13"/>
  <c r="G1420" i="13"/>
  <c r="G1421" i="13"/>
  <c r="G1422" i="13"/>
  <c r="G1423" i="13"/>
  <c r="G1424" i="13"/>
  <c r="G1425" i="13"/>
  <c r="G1426" i="13"/>
  <c r="G1427" i="13"/>
  <c r="G1428" i="13"/>
  <c r="G1429" i="13"/>
  <c r="G1430" i="13"/>
  <c r="G1431" i="13"/>
  <c r="G1432" i="13"/>
  <c r="G1433" i="13"/>
  <c r="G1434" i="13"/>
  <c r="G1435" i="13"/>
  <c r="G1436" i="13"/>
  <c r="G1437" i="13"/>
  <c r="G1438" i="13"/>
  <c r="G1439" i="13"/>
  <c r="G1440" i="13"/>
  <c r="G1441" i="13"/>
  <c r="G1442" i="13"/>
  <c r="G1443" i="13"/>
  <c r="G1444" i="13"/>
  <c r="G1445" i="13"/>
  <c r="G1446" i="13"/>
  <c r="G1447" i="13"/>
  <c r="G1448" i="13"/>
  <c r="G1449" i="13"/>
  <c r="G1450" i="13"/>
  <c r="G1451" i="13"/>
  <c r="G1452" i="13"/>
  <c r="G1453" i="13"/>
  <c r="G1454" i="13"/>
  <c r="G1455" i="13"/>
  <c r="G1456" i="13"/>
  <c r="G1457" i="13"/>
  <c r="G1458" i="13"/>
  <c r="G1459" i="13"/>
  <c r="G1460" i="13"/>
  <c r="G1461" i="13"/>
  <c r="G1462" i="13"/>
  <c r="G1463" i="13"/>
  <c r="G1464" i="13"/>
  <c r="G1465" i="13"/>
  <c r="G1466" i="13"/>
  <c r="G1467" i="13"/>
  <c r="G1468" i="13"/>
  <c r="G1469" i="13"/>
  <c r="G1470" i="13"/>
  <c r="G1471" i="13"/>
  <c r="G1472" i="13"/>
  <c r="G1473" i="13"/>
  <c r="G1474" i="13"/>
  <c r="G1475" i="13"/>
  <c r="G1476" i="13"/>
  <c r="G1477" i="13"/>
  <c r="G1478" i="13"/>
  <c r="G1479" i="13"/>
  <c r="G1480" i="13"/>
  <c r="G1481" i="13"/>
  <c r="G1482" i="13"/>
  <c r="G1483" i="13"/>
  <c r="G1484" i="13"/>
  <c r="G1485" i="13"/>
  <c r="G1486" i="13"/>
  <c r="G1487" i="13"/>
  <c r="G1488" i="13"/>
  <c r="G1489" i="13"/>
  <c r="G1490" i="13"/>
  <c r="G1491" i="13"/>
  <c r="G1492" i="13"/>
  <c r="G1493" i="13"/>
  <c r="G1494" i="13"/>
  <c r="G1495" i="13"/>
  <c r="G1496" i="13"/>
  <c r="G1497" i="13"/>
  <c r="G1498" i="13"/>
  <c r="G1499" i="13"/>
  <c r="G1500" i="13"/>
  <c r="G1501" i="13"/>
  <c r="G1502" i="13"/>
  <c r="G1503" i="13"/>
  <c r="G1504" i="13"/>
  <c r="G1505" i="13"/>
  <c r="G1506" i="13"/>
  <c r="G1507" i="13"/>
  <c r="G1508" i="13"/>
  <c r="G1509" i="13"/>
  <c r="G1510" i="13"/>
  <c r="G1511" i="13"/>
  <c r="G1512" i="13"/>
  <c r="G1513" i="13"/>
  <c r="G1514" i="13"/>
  <c r="G1515" i="13"/>
  <c r="G1516" i="13"/>
  <c r="G1517" i="13"/>
  <c r="G1518" i="13"/>
  <c r="G1519" i="13"/>
  <c r="G1520" i="13"/>
  <c r="G1521" i="13"/>
  <c r="G1522" i="13"/>
  <c r="G1523" i="13"/>
  <c r="G1524" i="13"/>
  <c r="G1525" i="13"/>
  <c r="G1526" i="13"/>
  <c r="G1527" i="13"/>
  <c r="G1528" i="13"/>
  <c r="G1529" i="13"/>
  <c r="G1530" i="13"/>
  <c r="G1531" i="13"/>
  <c r="G1532" i="13"/>
  <c r="G1533" i="13"/>
  <c r="G1534" i="13"/>
  <c r="G1535" i="13"/>
  <c r="G1536" i="13"/>
  <c r="G1537" i="13"/>
  <c r="G1538" i="13"/>
  <c r="G1539" i="13"/>
  <c r="G1540" i="13"/>
  <c r="G1541" i="13"/>
  <c r="G1542" i="13"/>
  <c r="G1543" i="13"/>
  <c r="G1544" i="13"/>
  <c r="G1545" i="13"/>
  <c r="G1546" i="13"/>
  <c r="G1547" i="13"/>
  <c r="G1548" i="13"/>
  <c r="G1549" i="13"/>
  <c r="G1550" i="13"/>
  <c r="G1551" i="13"/>
  <c r="G1552" i="13"/>
  <c r="G1553" i="13"/>
  <c r="G1554" i="13"/>
  <c r="G1555" i="13"/>
  <c r="G1556" i="13"/>
  <c r="G1557" i="13"/>
  <c r="G1558" i="13"/>
  <c r="G1559" i="13"/>
  <c r="G1560" i="13"/>
  <c r="G1561" i="13"/>
  <c r="G1562" i="13"/>
  <c r="G1563" i="13"/>
  <c r="G1564" i="13"/>
  <c r="G1565" i="13"/>
  <c r="G1566" i="13"/>
  <c r="G1567" i="13"/>
  <c r="G1568" i="13"/>
  <c r="G1569" i="13"/>
  <c r="G1570" i="13"/>
  <c r="G1571" i="13"/>
  <c r="G1572" i="13"/>
  <c r="G1573" i="13"/>
  <c r="G1574" i="13"/>
  <c r="G1575" i="13"/>
  <c r="G1576" i="13"/>
  <c r="G1577" i="13"/>
  <c r="G1578" i="13"/>
  <c r="G1579" i="13"/>
  <c r="G1580" i="13"/>
  <c r="G1581" i="13"/>
  <c r="G1582" i="13"/>
  <c r="G1583" i="13"/>
  <c r="G1584" i="13"/>
  <c r="G1585" i="13"/>
  <c r="G1586" i="13"/>
  <c r="G1587" i="13"/>
  <c r="G1588" i="13"/>
  <c r="G1589" i="13"/>
  <c r="G1590" i="13"/>
  <c r="G1591" i="13"/>
  <c r="G1592" i="13"/>
  <c r="G1593" i="13"/>
  <c r="G1594" i="13"/>
  <c r="G1595" i="13"/>
  <c r="G1596" i="13"/>
  <c r="G1597" i="13"/>
  <c r="G1598" i="13"/>
  <c r="G1599" i="13"/>
  <c r="G1600" i="13"/>
  <c r="G1601" i="13"/>
  <c r="G1602" i="13"/>
  <c r="G1603" i="13"/>
  <c r="G1604" i="13"/>
  <c r="G1605" i="13"/>
  <c r="G1606" i="13"/>
  <c r="G1607" i="13"/>
  <c r="G1608" i="13"/>
  <c r="G1609" i="13"/>
  <c r="G1610" i="13"/>
  <c r="G1611" i="13"/>
  <c r="G1612" i="13"/>
  <c r="G1613" i="13"/>
  <c r="G1614" i="13"/>
  <c r="G1615" i="13"/>
  <c r="G1616" i="13"/>
  <c r="G1617" i="13"/>
  <c r="G1618" i="13"/>
  <c r="G1619" i="13"/>
  <c r="G1620" i="13"/>
  <c r="G1621" i="13"/>
  <c r="G1622" i="13"/>
  <c r="G1623" i="13"/>
  <c r="G1624" i="13"/>
  <c r="G1625" i="13"/>
  <c r="G1626" i="13"/>
  <c r="G1627" i="13"/>
  <c r="G1628" i="13"/>
  <c r="G1629" i="13"/>
  <c r="G1630" i="13"/>
  <c r="G1631" i="13"/>
  <c r="G1632" i="13"/>
  <c r="G1633" i="13"/>
  <c r="G1634" i="13"/>
  <c r="G1635" i="13"/>
  <c r="G1636" i="13"/>
  <c r="G1637" i="13"/>
  <c r="G1638" i="13"/>
  <c r="G1639" i="13"/>
  <c r="G1640" i="13"/>
  <c r="G1641" i="13"/>
  <c r="G1642" i="13"/>
  <c r="G1643" i="13"/>
  <c r="G1644" i="13"/>
  <c r="G1645" i="13"/>
  <c r="G1646" i="13"/>
  <c r="G1647" i="13"/>
  <c r="G1648" i="13"/>
  <c r="G1649" i="13"/>
  <c r="G1650" i="13"/>
  <c r="G1651" i="13"/>
  <c r="D251" i="1"/>
  <c r="D252" i="1"/>
  <c r="D253" i="1"/>
  <c r="D254" i="1"/>
  <c r="D255" i="1"/>
  <c r="D256" i="1"/>
  <c r="D257" i="1"/>
  <c r="D258" i="1"/>
  <c r="U4" i="13" l="1"/>
  <c r="U5" i="13"/>
  <c r="U6" i="13"/>
  <c r="U7" i="13"/>
  <c r="U8" i="13"/>
  <c r="U9" i="13"/>
  <c r="U10" i="13"/>
  <c r="U11" i="13"/>
  <c r="U12" i="13"/>
  <c r="U13" i="13"/>
  <c r="U3" i="13"/>
  <c r="G3" i="13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G50" i="13"/>
  <c r="G51" i="13"/>
  <c r="G52" i="13"/>
  <c r="G53" i="13"/>
  <c r="G54" i="13"/>
  <c r="G55" i="13"/>
  <c r="G56" i="13"/>
  <c r="G57" i="13"/>
  <c r="G58" i="13"/>
  <c r="G59" i="13"/>
  <c r="G60" i="13"/>
  <c r="G61" i="13"/>
  <c r="G62" i="13"/>
  <c r="G63" i="13"/>
  <c r="G64" i="13"/>
  <c r="G65" i="13"/>
  <c r="G66" i="13"/>
  <c r="G67" i="13"/>
  <c r="G68" i="13"/>
  <c r="G69" i="13"/>
  <c r="G70" i="13"/>
  <c r="G71" i="13"/>
  <c r="G72" i="13"/>
  <c r="G73" i="13"/>
  <c r="G74" i="13"/>
  <c r="G75" i="13"/>
  <c r="G76" i="13"/>
  <c r="G77" i="13"/>
  <c r="G78" i="13"/>
  <c r="G79" i="13"/>
  <c r="G80" i="13"/>
  <c r="G81" i="13"/>
  <c r="G82" i="13"/>
  <c r="G83" i="13"/>
  <c r="G84" i="13"/>
  <c r="G85" i="13"/>
  <c r="G86" i="13"/>
  <c r="G87" i="13"/>
  <c r="G88" i="13"/>
  <c r="G89" i="13"/>
  <c r="G90" i="13"/>
  <c r="G91" i="13"/>
  <c r="G92" i="13"/>
  <c r="G93" i="13"/>
  <c r="G94" i="13"/>
  <c r="G95" i="13"/>
  <c r="G96" i="13"/>
  <c r="G97" i="13"/>
  <c r="G98" i="13"/>
  <c r="G99" i="13"/>
  <c r="G100" i="13"/>
  <c r="G101" i="13"/>
  <c r="G102" i="13"/>
  <c r="G103" i="13"/>
  <c r="G104" i="13"/>
  <c r="G105" i="13"/>
  <c r="G106" i="13"/>
  <c r="G107" i="13"/>
  <c r="G108" i="13"/>
  <c r="G109" i="13"/>
  <c r="G110" i="13"/>
  <c r="G111" i="13"/>
  <c r="G112" i="13"/>
  <c r="G113" i="13"/>
  <c r="G114" i="13"/>
  <c r="G115" i="13"/>
  <c r="G116" i="13"/>
  <c r="G117" i="13"/>
  <c r="G118" i="13"/>
  <c r="G119" i="13"/>
  <c r="G120" i="13"/>
  <c r="G121" i="13"/>
  <c r="G122" i="13"/>
  <c r="G123" i="13"/>
  <c r="G124" i="13"/>
  <c r="G125" i="13"/>
  <c r="G126" i="13"/>
  <c r="G127" i="13"/>
  <c r="G128" i="13"/>
  <c r="G129" i="13"/>
  <c r="G130" i="13"/>
  <c r="G131" i="13"/>
  <c r="G132" i="13"/>
  <c r="G133" i="13"/>
  <c r="G134" i="13"/>
  <c r="G135" i="13"/>
  <c r="G136" i="13"/>
  <c r="G137" i="13"/>
  <c r="G138" i="13"/>
  <c r="G139" i="13"/>
  <c r="G140" i="13"/>
  <c r="G141" i="13"/>
  <c r="G142" i="13"/>
  <c r="G143" i="13"/>
  <c r="G144" i="13"/>
  <c r="G145" i="13"/>
  <c r="G146" i="13"/>
  <c r="G147" i="13"/>
  <c r="G148" i="13"/>
  <c r="G149" i="13"/>
  <c r="G150" i="13"/>
  <c r="G151" i="13"/>
  <c r="G152" i="13"/>
  <c r="G153" i="13"/>
  <c r="G154" i="13"/>
  <c r="G155" i="13"/>
  <c r="G156" i="13"/>
  <c r="G157" i="13"/>
  <c r="G158" i="13"/>
  <c r="G159" i="13"/>
  <c r="G160" i="13"/>
  <c r="G161" i="13"/>
  <c r="G162" i="13"/>
  <c r="G163" i="13"/>
  <c r="G164" i="13"/>
  <c r="G165" i="13"/>
  <c r="G166" i="13"/>
  <c r="G167" i="13"/>
  <c r="G168" i="13"/>
  <c r="G169" i="13"/>
  <c r="G170" i="13"/>
  <c r="G171" i="13"/>
  <c r="G172" i="13"/>
  <c r="G173" i="13"/>
  <c r="G174" i="13"/>
  <c r="G175" i="13"/>
  <c r="G176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0" i="13"/>
  <c r="G191" i="13"/>
  <c r="G192" i="13"/>
  <c r="G193" i="13"/>
  <c r="G194" i="13"/>
  <c r="G195" i="13"/>
  <c r="G196" i="13"/>
  <c r="G197" i="13"/>
  <c r="G198" i="13"/>
  <c r="G199" i="13"/>
  <c r="G200" i="13"/>
  <c r="G201" i="13"/>
  <c r="G202" i="13"/>
  <c r="G203" i="13"/>
  <c r="G204" i="13"/>
  <c r="G205" i="13"/>
  <c r="G206" i="13"/>
  <c r="G207" i="13"/>
  <c r="G208" i="13"/>
  <c r="G209" i="13"/>
  <c r="G210" i="13"/>
  <c r="G211" i="13"/>
  <c r="G212" i="13"/>
  <c r="G213" i="13"/>
  <c r="G214" i="13"/>
  <c r="G215" i="13"/>
  <c r="G216" i="13"/>
  <c r="G217" i="13"/>
  <c r="G218" i="13"/>
  <c r="G219" i="13"/>
  <c r="G220" i="13"/>
  <c r="G221" i="13"/>
  <c r="G222" i="13"/>
  <c r="G223" i="13"/>
  <c r="G224" i="13"/>
  <c r="G225" i="13"/>
  <c r="G226" i="13"/>
  <c r="G227" i="13"/>
  <c r="G228" i="13"/>
  <c r="G229" i="13"/>
  <c r="G230" i="13"/>
  <c r="G231" i="13"/>
  <c r="G232" i="13"/>
  <c r="G233" i="13"/>
  <c r="G234" i="13"/>
  <c r="G235" i="13"/>
  <c r="G236" i="13"/>
  <c r="G237" i="13"/>
  <c r="G238" i="13"/>
  <c r="G239" i="13"/>
  <c r="G240" i="13"/>
  <c r="G241" i="13"/>
  <c r="G242" i="13"/>
  <c r="G243" i="13"/>
  <c r="G244" i="13"/>
  <c r="G245" i="13"/>
  <c r="G246" i="13"/>
  <c r="G247" i="13"/>
  <c r="G248" i="13"/>
  <c r="G249" i="13"/>
  <c r="G250" i="13"/>
  <c r="G251" i="13"/>
  <c r="G252" i="13"/>
  <c r="G253" i="13"/>
  <c r="G254" i="13"/>
  <c r="G255" i="13"/>
  <c r="G256" i="13"/>
  <c r="G257" i="13"/>
  <c r="G258" i="13"/>
  <c r="G259" i="13"/>
  <c r="G260" i="13"/>
  <c r="G261" i="13"/>
  <c r="G262" i="13"/>
  <c r="G263" i="13"/>
  <c r="G264" i="13"/>
  <c r="G265" i="13"/>
  <c r="G266" i="13"/>
  <c r="G267" i="13"/>
  <c r="G268" i="13"/>
  <c r="G269" i="13"/>
  <c r="G270" i="13"/>
  <c r="G271" i="13"/>
  <c r="G272" i="13"/>
  <c r="G273" i="13"/>
  <c r="G274" i="13"/>
  <c r="G275" i="13"/>
  <c r="G276" i="13"/>
  <c r="G277" i="13"/>
  <c r="G278" i="13"/>
  <c r="G279" i="13"/>
  <c r="G280" i="13"/>
  <c r="G281" i="13"/>
  <c r="G282" i="13"/>
  <c r="G283" i="13"/>
  <c r="G284" i="13"/>
  <c r="G285" i="13"/>
  <c r="G286" i="13"/>
  <c r="G287" i="13"/>
  <c r="G288" i="13"/>
  <c r="G289" i="13"/>
  <c r="G290" i="13"/>
  <c r="G291" i="13"/>
  <c r="G292" i="13"/>
  <c r="G293" i="13"/>
  <c r="G294" i="13"/>
  <c r="G295" i="13"/>
  <c r="G296" i="13"/>
  <c r="G297" i="13"/>
  <c r="G298" i="13"/>
  <c r="G299" i="13"/>
  <c r="G300" i="13"/>
  <c r="G301" i="13"/>
  <c r="G302" i="13"/>
  <c r="G303" i="13"/>
  <c r="G304" i="13"/>
  <c r="G305" i="13"/>
  <c r="G306" i="13"/>
  <c r="G307" i="13"/>
  <c r="G308" i="13"/>
  <c r="G309" i="13"/>
  <c r="G310" i="13"/>
  <c r="G311" i="13"/>
  <c r="G312" i="13"/>
  <c r="G313" i="13"/>
  <c r="G314" i="13"/>
  <c r="G315" i="13"/>
  <c r="G316" i="13"/>
  <c r="G317" i="13"/>
  <c r="G318" i="13"/>
  <c r="G319" i="13"/>
  <c r="G320" i="13"/>
  <c r="G321" i="13"/>
  <c r="G322" i="13"/>
  <c r="G323" i="13"/>
  <c r="G324" i="13"/>
  <c r="G325" i="13"/>
  <c r="G326" i="13"/>
  <c r="G327" i="13"/>
  <c r="G328" i="13"/>
  <c r="G329" i="13"/>
  <c r="G330" i="13"/>
  <c r="G331" i="13"/>
  <c r="G332" i="13"/>
  <c r="G333" i="13"/>
  <c r="G334" i="13"/>
  <c r="G335" i="13"/>
  <c r="G336" i="13"/>
  <c r="G337" i="13"/>
  <c r="G338" i="13"/>
  <c r="G339" i="13"/>
  <c r="G340" i="13"/>
  <c r="G341" i="13"/>
  <c r="G342" i="13"/>
  <c r="G343" i="13"/>
  <c r="G344" i="13"/>
  <c r="G345" i="13"/>
  <c r="G346" i="13"/>
  <c r="G347" i="13"/>
  <c r="G348" i="13"/>
  <c r="G349" i="13"/>
  <c r="G350" i="13"/>
  <c r="G351" i="13"/>
  <c r="G352" i="13"/>
  <c r="G353" i="13"/>
  <c r="G354" i="13"/>
  <c r="G355" i="13"/>
  <c r="G356" i="13"/>
  <c r="G357" i="13"/>
  <c r="G358" i="13"/>
  <c r="G359" i="13"/>
  <c r="G360" i="13"/>
  <c r="G361" i="13"/>
  <c r="G362" i="13"/>
  <c r="G363" i="13"/>
  <c r="G364" i="13"/>
  <c r="G365" i="13"/>
  <c r="G366" i="13"/>
  <c r="G367" i="13"/>
  <c r="G368" i="13"/>
  <c r="G369" i="13"/>
  <c r="G370" i="13"/>
  <c r="G371" i="13"/>
  <c r="G372" i="13"/>
  <c r="G373" i="13"/>
  <c r="G374" i="13"/>
  <c r="G375" i="13"/>
  <c r="G376" i="13"/>
  <c r="G377" i="13"/>
  <c r="G378" i="13"/>
  <c r="G379" i="13"/>
  <c r="G380" i="13"/>
  <c r="G381" i="13"/>
  <c r="G382" i="13"/>
  <c r="G383" i="13"/>
  <c r="G384" i="13"/>
  <c r="G385" i="13"/>
  <c r="G386" i="13"/>
  <c r="G387" i="13"/>
  <c r="G388" i="13"/>
  <c r="G389" i="13"/>
  <c r="G390" i="13"/>
  <c r="G391" i="13"/>
  <c r="G392" i="13"/>
  <c r="G393" i="13"/>
  <c r="G394" i="13"/>
  <c r="G395" i="13"/>
  <c r="G396" i="13"/>
  <c r="G397" i="13"/>
  <c r="G398" i="13"/>
  <c r="G399" i="13"/>
  <c r="G400" i="13"/>
  <c r="G401" i="13"/>
  <c r="G402" i="13"/>
  <c r="G403" i="13"/>
  <c r="G404" i="13"/>
  <c r="G405" i="13"/>
  <c r="G406" i="13"/>
  <c r="G407" i="13"/>
  <c r="G408" i="13"/>
  <c r="G409" i="13"/>
  <c r="G410" i="13"/>
  <c r="G411" i="13"/>
  <c r="G412" i="13"/>
  <c r="G413" i="13"/>
  <c r="G414" i="13"/>
  <c r="G415" i="13"/>
  <c r="G416" i="13"/>
  <c r="G417" i="13"/>
  <c r="G418" i="13"/>
  <c r="G419" i="13"/>
  <c r="G420" i="13"/>
  <c r="G421" i="13"/>
  <c r="G422" i="13"/>
  <c r="G423" i="13"/>
  <c r="G424" i="13"/>
  <c r="G425" i="13"/>
  <c r="G426" i="13"/>
  <c r="G427" i="13"/>
  <c r="G428" i="13"/>
  <c r="G429" i="13"/>
  <c r="G430" i="13"/>
  <c r="G431" i="13"/>
  <c r="G432" i="13"/>
  <c r="G433" i="13"/>
  <c r="G434" i="13"/>
  <c r="G435" i="13"/>
  <c r="G436" i="13"/>
  <c r="G437" i="13"/>
  <c r="G438" i="13"/>
  <c r="G439" i="13"/>
  <c r="G440" i="13"/>
  <c r="G441" i="13"/>
  <c r="G442" i="13"/>
  <c r="G443" i="13"/>
  <c r="G444" i="13"/>
  <c r="G445" i="13"/>
  <c r="G446" i="13"/>
  <c r="G447" i="13"/>
  <c r="G448" i="13"/>
  <c r="G449" i="13"/>
  <c r="G450" i="13"/>
  <c r="G451" i="13"/>
  <c r="G452" i="13"/>
  <c r="G453" i="13"/>
  <c r="G454" i="13"/>
  <c r="G455" i="13"/>
  <c r="G456" i="13"/>
  <c r="G457" i="13"/>
  <c r="G458" i="13"/>
  <c r="G459" i="13"/>
  <c r="G460" i="13"/>
  <c r="G461" i="13"/>
  <c r="G462" i="13"/>
  <c r="G463" i="13"/>
  <c r="G464" i="13"/>
  <c r="G465" i="13"/>
  <c r="G466" i="13"/>
  <c r="G467" i="13"/>
  <c r="G468" i="13"/>
  <c r="G469" i="13"/>
  <c r="G470" i="13"/>
  <c r="G471" i="13"/>
  <c r="G472" i="13"/>
  <c r="G473" i="13"/>
  <c r="G474" i="13"/>
  <c r="G475" i="13"/>
  <c r="G476" i="13"/>
  <c r="G477" i="13"/>
  <c r="G478" i="13"/>
  <c r="G479" i="13"/>
  <c r="G480" i="13"/>
  <c r="G481" i="13"/>
  <c r="G482" i="13"/>
  <c r="G483" i="13"/>
  <c r="G484" i="13"/>
  <c r="G485" i="13"/>
  <c r="G486" i="13"/>
  <c r="G487" i="13"/>
  <c r="G488" i="13"/>
  <c r="G489" i="13"/>
  <c r="G490" i="13"/>
  <c r="G491" i="13"/>
  <c r="G492" i="13"/>
  <c r="G493" i="13"/>
  <c r="G494" i="13"/>
  <c r="G495" i="13"/>
  <c r="G496" i="13"/>
  <c r="G497" i="13"/>
  <c r="G498" i="13"/>
  <c r="G499" i="13"/>
  <c r="G500" i="13"/>
  <c r="G501" i="13"/>
  <c r="G502" i="13"/>
  <c r="G503" i="13"/>
  <c r="G504" i="13"/>
  <c r="G505" i="13"/>
  <c r="G506" i="13"/>
  <c r="G507" i="13"/>
  <c r="G508" i="13"/>
  <c r="G509" i="13"/>
  <c r="G510" i="13"/>
  <c r="G511" i="13"/>
  <c r="G512" i="13"/>
  <c r="G513" i="13"/>
  <c r="G514" i="13"/>
  <c r="G515" i="13"/>
  <c r="G516" i="13"/>
  <c r="G517" i="13"/>
  <c r="G518" i="13"/>
  <c r="G519" i="13"/>
  <c r="G520" i="13"/>
  <c r="G521" i="13"/>
  <c r="G522" i="13"/>
  <c r="G523" i="13"/>
  <c r="G524" i="13"/>
  <c r="G525" i="13"/>
  <c r="G526" i="13"/>
  <c r="G527" i="13"/>
  <c r="G528" i="13"/>
  <c r="G529" i="13"/>
  <c r="G530" i="13"/>
  <c r="G531" i="13"/>
  <c r="G532" i="13"/>
  <c r="G533" i="13"/>
  <c r="G534" i="13"/>
  <c r="G535" i="13"/>
  <c r="G536" i="13"/>
  <c r="G537" i="13"/>
  <c r="G538" i="13"/>
  <c r="G539" i="13"/>
  <c r="G540" i="13"/>
  <c r="G541" i="13"/>
  <c r="G542" i="13"/>
  <c r="G543" i="13"/>
  <c r="G544" i="13"/>
  <c r="G545" i="13"/>
  <c r="G546" i="13"/>
  <c r="G547" i="13"/>
  <c r="G548" i="13"/>
  <c r="G549" i="13"/>
  <c r="G550" i="13"/>
  <c r="G551" i="13"/>
  <c r="G552" i="13"/>
  <c r="G553" i="13"/>
  <c r="G554" i="13"/>
  <c r="G555" i="13"/>
  <c r="G556" i="13"/>
  <c r="G557" i="13"/>
  <c r="G558" i="13"/>
  <c r="G559" i="13"/>
  <c r="G560" i="13"/>
  <c r="G561" i="13"/>
  <c r="G562" i="13"/>
  <c r="G563" i="13"/>
  <c r="G564" i="13"/>
  <c r="G565" i="13"/>
  <c r="G566" i="13"/>
  <c r="G567" i="13"/>
  <c r="G568" i="13"/>
  <c r="G569" i="13"/>
  <c r="G570" i="13"/>
  <c r="G571" i="13"/>
  <c r="G572" i="13"/>
  <c r="G573" i="13"/>
  <c r="G574" i="13"/>
  <c r="G575" i="13"/>
  <c r="G576" i="13"/>
  <c r="G577" i="13"/>
  <c r="G578" i="13"/>
  <c r="G579" i="13"/>
  <c r="G580" i="13"/>
  <c r="G581" i="13"/>
  <c r="G582" i="13"/>
  <c r="G583" i="13"/>
  <c r="G584" i="13"/>
  <c r="G585" i="13"/>
  <c r="G586" i="13"/>
  <c r="G587" i="13"/>
  <c r="G588" i="13"/>
  <c r="G589" i="13"/>
  <c r="G590" i="13"/>
  <c r="G591" i="13"/>
  <c r="G592" i="13"/>
  <c r="G593" i="13"/>
  <c r="G594" i="13"/>
  <c r="G595" i="13"/>
  <c r="G596" i="13"/>
  <c r="G597" i="13"/>
  <c r="G598" i="13"/>
  <c r="G599" i="13"/>
  <c r="G600" i="13"/>
  <c r="G601" i="13"/>
  <c r="G602" i="13"/>
  <c r="G603" i="13"/>
  <c r="G604" i="13"/>
  <c r="G605" i="13"/>
  <c r="G606" i="13"/>
  <c r="G607" i="13"/>
  <c r="G608" i="13"/>
  <c r="G609" i="13"/>
  <c r="G610" i="13"/>
  <c r="G611" i="13"/>
  <c r="G612" i="13"/>
  <c r="G613" i="13"/>
  <c r="G614" i="13"/>
  <c r="G615" i="13"/>
  <c r="G616" i="13"/>
  <c r="G617" i="13"/>
  <c r="G618" i="13"/>
  <c r="G619" i="13"/>
  <c r="G620" i="13"/>
  <c r="G621" i="13"/>
  <c r="G622" i="13"/>
  <c r="G623" i="13"/>
  <c r="G624" i="13"/>
  <c r="G625" i="13"/>
  <c r="G626" i="13"/>
  <c r="G627" i="13"/>
  <c r="G628" i="13"/>
  <c r="G629" i="13"/>
  <c r="G630" i="13"/>
  <c r="G631" i="13"/>
  <c r="G632" i="13"/>
  <c r="G633" i="13"/>
  <c r="G634" i="13"/>
  <c r="G635" i="13"/>
  <c r="G636" i="13"/>
  <c r="G637" i="13"/>
  <c r="G638" i="13"/>
  <c r="G639" i="13"/>
  <c r="G640" i="13"/>
  <c r="G641" i="13"/>
  <c r="G642" i="13"/>
  <c r="G643" i="13"/>
  <c r="G644" i="13"/>
  <c r="G645" i="13"/>
  <c r="G646" i="13"/>
  <c r="G647" i="13"/>
  <c r="G648" i="13"/>
  <c r="G649" i="13"/>
  <c r="G650" i="13"/>
  <c r="G651" i="13"/>
  <c r="G652" i="13"/>
  <c r="G653" i="13"/>
  <c r="G654" i="13"/>
  <c r="G655" i="13"/>
  <c r="G656" i="13"/>
  <c r="G657" i="13"/>
  <c r="G658" i="13"/>
  <c r="G659" i="13"/>
  <c r="G660" i="13"/>
  <c r="G661" i="13"/>
  <c r="G662" i="13"/>
  <c r="G663" i="13"/>
  <c r="G664" i="13"/>
  <c r="G665" i="13"/>
  <c r="G666" i="13"/>
  <c r="G667" i="13"/>
  <c r="G668" i="13"/>
  <c r="G669" i="13"/>
  <c r="G670" i="13"/>
  <c r="G671" i="13"/>
  <c r="G672" i="13"/>
  <c r="G673" i="13"/>
  <c r="G674" i="13"/>
  <c r="G675" i="13"/>
  <c r="G676" i="13"/>
  <c r="G677" i="13"/>
  <c r="G678" i="13"/>
  <c r="G679" i="13"/>
  <c r="G680" i="13"/>
  <c r="G681" i="13"/>
  <c r="G682" i="13"/>
  <c r="G683" i="13"/>
  <c r="G684" i="13"/>
  <c r="G685" i="13"/>
  <c r="G686" i="13"/>
  <c r="G687" i="13"/>
  <c r="G688" i="13"/>
  <c r="G689" i="13"/>
  <c r="G690" i="13"/>
  <c r="G691" i="13"/>
  <c r="G692" i="13"/>
  <c r="G693" i="13"/>
  <c r="G694" i="13"/>
  <c r="G695" i="13"/>
  <c r="G696" i="13"/>
  <c r="G697" i="13"/>
  <c r="G698" i="13"/>
  <c r="G699" i="13"/>
  <c r="G700" i="13"/>
  <c r="G701" i="13"/>
  <c r="G702" i="13"/>
  <c r="G703" i="13"/>
  <c r="G704" i="13"/>
  <c r="G705" i="13"/>
  <c r="G706" i="13"/>
  <c r="G707" i="13"/>
  <c r="G708" i="13"/>
  <c r="G709" i="13"/>
  <c r="G710" i="13"/>
  <c r="G711" i="13"/>
  <c r="G712" i="13"/>
  <c r="G713" i="13"/>
  <c r="G714" i="13"/>
  <c r="G715" i="13"/>
  <c r="G716" i="13"/>
  <c r="G717" i="13"/>
  <c r="G718" i="13"/>
  <c r="G719" i="13"/>
  <c r="G720" i="13"/>
  <c r="G721" i="13"/>
  <c r="G722" i="13"/>
  <c r="G723" i="13"/>
  <c r="G724" i="13"/>
  <c r="G725" i="13"/>
  <c r="G726" i="13"/>
  <c r="G727" i="13"/>
  <c r="G728" i="13"/>
  <c r="G729" i="13"/>
  <c r="G730" i="13"/>
  <c r="G731" i="13"/>
  <c r="G732" i="13"/>
  <c r="G733" i="13"/>
  <c r="G734" i="13"/>
  <c r="G735" i="13"/>
  <c r="G736" i="13"/>
  <c r="G737" i="13"/>
  <c r="G738" i="13"/>
  <c r="G739" i="13"/>
  <c r="G740" i="13"/>
  <c r="G741" i="13"/>
  <c r="G742" i="13"/>
  <c r="G743" i="13"/>
  <c r="G744" i="13"/>
  <c r="G745" i="13"/>
  <c r="G746" i="13"/>
  <c r="G747" i="13"/>
  <c r="G748" i="13"/>
  <c r="G749" i="13"/>
  <c r="G750" i="13"/>
  <c r="G751" i="13"/>
  <c r="G752" i="13"/>
  <c r="G753" i="13"/>
  <c r="G754" i="13"/>
  <c r="G755" i="13"/>
  <c r="G756" i="13"/>
  <c r="G757" i="13"/>
  <c r="G758" i="13"/>
  <c r="G759" i="13"/>
  <c r="G760" i="13"/>
  <c r="G761" i="13"/>
  <c r="G762" i="13"/>
  <c r="G763" i="13"/>
  <c r="G764" i="13"/>
  <c r="G765" i="13"/>
  <c r="G766" i="13"/>
  <c r="G767" i="13"/>
  <c r="G768" i="13"/>
  <c r="G769" i="13"/>
  <c r="G770" i="13"/>
  <c r="G771" i="13"/>
  <c r="G772" i="13"/>
  <c r="G773" i="13"/>
  <c r="G774" i="13"/>
  <c r="G775" i="13"/>
  <c r="G776" i="13"/>
  <c r="G777" i="13"/>
  <c r="G778" i="13"/>
  <c r="G779" i="13"/>
  <c r="G780" i="13"/>
  <c r="G781" i="13"/>
  <c r="G782" i="13"/>
  <c r="G783" i="13"/>
  <c r="G784" i="13"/>
  <c r="G785" i="13"/>
  <c r="G786" i="13"/>
  <c r="G787" i="13"/>
  <c r="G788" i="13"/>
  <c r="G789" i="13"/>
  <c r="G790" i="13"/>
  <c r="G791" i="13"/>
  <c r="G792" i="13"/>
  <c r="G793" i="13"/>
  <c r="G794" i="13"/>
  <c r="G795" i="13"/>
  <c r="G796" i="13"/>
  <c r="G797" i="13"/>
  <c r="G798" i="13"/>
  <c r="G799" i="13"/>
  <c r="G800" i="13"/>
  <c r="G801" i="13"/>
  <c r="G802" i="13"/>
  <c r="G803" i="13"/>
  <c r="G804" i="13"/>
  <c r="G805" i="13"/>
  <c r="G806" i="13"/>
  <c r="G807" i="13"/>
  <c r="G808" i="13"/>
  <c r="G809" i="13"/>
  <c r="G810" i="13"/>
  <c r="G811" i="13"/>
  <c r="G812" i="13"/>
  <c r="G813" i="13"/>
  <c r="G814" i="13"/>
  <c r="G815" i="13"/>
  <c r="G816" i="13"/>
  <c r="G817" i="13"/>
  <c r="G818" i="13"/>
  <c r="G819" i="13"/>
  <c r="G820" i="13"/>
  <c r="G821" i="13"/>
  <c r="G822" i="13"/>
  <c r="G823" i="13"/>
  <c r="G824" i="13"/>
  <c r="G825" i="13"/>
  <c r="G826" i="13"/>
  <c r="G827" i="13"/>
  <c r="G828" i="13"/>
  <c r="G829" i="13"/>
  <c r="G830" i="13"/>
  <c r="G831" i="13"/>
  <c r="G832" i="13"/>
  <c r="G833" i="13"/>
  <c r="G834" i="13"/>
  <c r="G835" i="13"/>
  <c r="G836" i="13"/>
  <c r="G837" i="13"/>
  <c r="G838" i="13"/>
  <c r="G839" i="13"/>
  <c r="G840" i="13"/>
  <c r="G841" i="13"/>
  <c r="G842" i="13"/>
  <c r="G843" i="13"/>
  <c r="G844" i="13"/>
  <c r="G845" i="13"/>
  <c r="G846" i="13"/>
  <c r="G847" i="13"/>
  <c r="G848" i="13"/>
  <c r="G849" i="13"/>
  <c r="G850" i="13"/>
  <c r="G851" i="13"/>
  <c r="G852" i="13"/>
  <c r="G853" i="13"/>
  <c r="G854" i="13"/>
  <c r="G855" i="13"/>
  <c r="G856" i="13"/>
  <c r="G857" i="13"/>
  <c r="G858" i="13"/>
  <c r="G859" i="13"/>
  <c r="G860" i="13"/>
  <c r="G861" i="13"/>
  <c r="G862" i="13"/>
  <c r="G863" i="13"/>
  <c r="G864" i="13"/>
  <c r="G865" i="13"/>
  <c r="G866" i="13"/>
  <c r="G867" i="13"/>
  <c r="G868" i="13"/>
  <c r="G869" i="13"/>
  <c r="G870" i="13"/>
  <c r="G871" i="13"/>
  <c r="G872" i="13"/>
  <c r="G873" i="13"/>
  <c r="G874" i="13"/>
  <c r="G875" i="13"/>
  <c r="G876" i="13"/>
  <c r="G877" i="13"/>
  <c r="G878" i="13"/>
  <c r="G879" i="13"/>
  <c r="G880" i="13"/>
  <c r="G881" i="13"/>
  <c r="G882" i="13"/>
  <c r="G883" i="13"/>
  <c r="G884" i="13"/>
  <c r="G885" i="13"/>
  <c r="G886" i="13"/>
  <c r="G887" i="13"/>
  <c r="G888" i="13"/>
  <c r="G889" i="13"/>
  <c r="G890" i="13"/>
  <c r="G891" i="13"/>
  <c r="G892" i="13"/>
  <c r="G893" i="13"/>
  <c r="G894" i="13"/>
  <c r="G895" i="13"/>
  <c r="G896" i="13"/>
  <c r="G897" i="13"/>
  <c r="G898" i="13"/>
  <c r="G899" i="13"/>
  <c r="G900" i="13"/>
  <c r="G901" i="13"/>
  <c r="G902" i="13"/>
  <c r="G903" i="13"/>
  <c r="G904" i="13"/>
  <c r="G905" i="13"/>
  <c r="G906" i="13"/>
  <c r="G907" i="13"/>
  <c r="G908" i="13"/>
  <c r="G909" i="13"/>
  <c r="G910" i="13"/>
  <c r="G911" i="13"/>
  <c r="G912" i="13"/>
  <c r="G913" i="13"/>
  <c r="G914" i="13"/>
  <c r="G915" i="13"/>
  <c r="G916" i="13"/>
  <c r="G917" i="13"/>
  <c r="G918" i="13"/>
  <c r="G919" i="13"/>
  <c r="G920" i="13"/>
  <c r="G921" i="13"/>
  <c r="G922" i="13"/>
  <c r="G923" i="13"/>
  <c r="G924" i="13"/>
  <c r="G925" i="13"/>
  <c r="G926" i="13"/>
  <c r="G927" i="13"/>
  <c r="G928" i="13"/>
  <c r="G929" i="13"/>
  <c r="G930" i="13"/>
  <c r="G931" i="13"/>
  <c r="G932" i="13"/>
  <c r="G933" i="13"/>
  <c r="G934" i="13"/>
  <c r="G935" i="13"/>
  <c r="G936" i="13"/>
  <c r="G937" i="13"/>
  <c r="G938" i="13"/>
  <c r="G939" i="13"/>
  <c r="G940" i="13"/>
  <c r="G941" i="13"/>
  <c r="G942" i="13"/>
  <c r="G943" i="13"/>
  <c r="G944" i="13"/>
  <c r="G945" i="13"/>
  <c r="G946" i="13"/>
  <c r="G947" i="13"/>
  <c r="G948" i="13"/>
  <c r="G949" i="13"/>
  <c r="G950" i="13"/>
  <c r="G951" i="13"/>
  <c r="G952" i="13"/>
  <c r="G953" i="13"/>
  <c r="G954" i="13"/>
  <c r="G955" i="13"/>
  <c r="G956" i="13"/>
  <c r="G957" i="13"/>
  <c r="G958" i="13"/>
  <c r="G959" i="13"/>
  <c r="G960" i="13"/>
  <c r="G961" i="13"/>
  <c r="G962" i="13"/>
  <c r="G963" i="13"/>
  <c r="G964" i="13"/>
  <c r="G965" i="13"/>
  <c r="G966" i="13"/>
  <c r="G967" i="13"/>
  <c r="G968" i="13"/>
  <c r="G969" i="13"/>
  <c r="G970" i="13"/>
  <c r="G971" i="13"/>
  <c r="G972" i="13"/>
  <c r="G973" i="13"/>
  <c r="G974" i="13"/>
  <c r="G975" i="13"/>
  <c r="G976" i="13"/>
  <c r="G977" i="13"/>
  <c r="G978" i="13"/>
  <c r="G979" i="13"/>
  <c r="G980" i="13"/>
  <c r="G981" i="13"/>
  <c r="G982" i="13"/>
  <c r="G983" i="13"/>
  <c r="G984" i="13"/>
  <c r="G985" i="13"/>
  <c r="G986" i="13"/>
  <c r="G987" i="13"/>
  <c r="G988" i="13"/>
  <c r="G989" i="13"/>
  <c r="G990" i="13"/>
  <c r="G991" i="13"/>
  <c r="G992" i="13"/>
  <c r="G993" i="13"/>
  <c r="G994" i="13"/>
  <c r="G995" i="13"/>
  <c r="G996" i="13"/>
  <c r="G997" i="13"/>
  <c r="G998" i="13"/>
  <c r="G999" i="13"/>
  <c r="G1000" i="13"/>
  <c r="G1001" i="13"/>
  <c r="G1002" i="13"/>
  <c r="G1003" i="13"/>
  <c r="G1004" i="13"/>
  <c r="G1005" i="13"/>
  <c r="G1006" i="13"/>
  <c r="G1007" i="13"/>
  <c r="G1008" i="13"/>
  <c r="G1009" i="13"/>
  <c r="G1010" i="13"/>
  <c r="G1011" i="13"/>
  <c r="G1012" i="13"/>
  <c r="G1013" i="13"/>
  <c r="G1014" i="13"/>
  <c r="G1015" i="13"/>
  <c r="G1016" i="13"/>
  <c r="G1017" i="13"/>
  <c r="G1018" i="13"/>
  <c r="G1019" i="13"/>
  <c r="G1020" i="13"/>
  <c r="G1021" i="13"/>
  <c r="G1022" i="13"/>
  <c r="G1023" i="13"/>
  <c r="G1024" i="13"/>
  <c r="G1025" i="13"/>
  <c r="G1026" i="13"/>
  <c r="G1027" i="13"/>
  <c r="G1028" i="13"/>
  <c r="G1029" i="13"/>
  <c r="G1030" i="13"/>
  <c r="G1031" i="13"/>
  <c r="G1032" i="13"/>
  <c r="G1033" i="13"/>
  <c r="G1034" i="13"/>
  <c r="G1035" i="13"/>
  <c r="G1036" i="13"/>
  <c r="G1037" i="13"/>
  <c r="G1038" i="13"/>
  <c r="G1039" i="13"/>
  <c r="G1040" i="13"/>
  <c r="G1041" i="13"/>
  <c r="G1042" i="13"/>
  <c r="G1043" i="13"/>
  <c r="G1044" i="13"/>
  <c r="G1045" i="13"/>
  <c r="G1046" i="13"/>
  <c r="G1047" i="13"/>
  <c r="G1048" i="13"/>
  <c r="G1049" i="13"/>
  <c r="G1050" i="13"/>
  <c r="G1051" i="13"/>
  <c r="G1052" i="13"/>
  <c r="G1053" i="13"/>
  <c r="G1054" i="13"/>
  <c r="G1055" i="13"/>
  <c r="G1056" i="13"/>
  <c r="G1057" i="13"/>
  <c r="G1058" i="13"/>
  <c r="G1059" i="13"/>
  <c r="G1060" i="13"/>
  <c r="G1061" i="13"/>
  <c r="G1062" i="13"/>
  <c r="G1063" i="13"/>
  <c r="G1064" i="13"/>
  <c r="G1065" i="13"/>
  <c r="G1066" i="13"/>
  <c r="G1067" i="13"/>
  <c r="G1068" i="13"/>
  <c r="G1069" i="13"/>
  <c r="G1070" i="13"/>
  <c r="G1071" i="13"/>
  <c r="G1072" i="13"/>
  <c r="G1073" i="13"/>
  <c r="G1074" i="13"/>
  <c r="G1075" i="13"/>
  <c r="G1076" i="13"/>
  <c r="G1077" i="13"/>
  <c r="G1078" i="13"/>
  <c r="G1079" i="13"/>
  <c r="G1080" i="13"/>
  <c r="G1081" i="13"/>
  <c r="G1082" i="13"/>
  <c r="G1083" i="13"/>
  <c r="G1084" i="13"/>
  <c r="G1085" i="13"/>
  <c r="G1086" i="13"/>
  <c r="G1087" i="13"/>
  <c r="G1088" i="13"/>
  <c r="G1089" i="13"/>
  <c r="G1090" i="13"/>
  <c r="G1091" i="13"/>
  <c r="G1092" i="13"/>
  <c r="G1093" i="13"/>
  <c r="G1094" i="13"/>
  <c r="G1095" i="13"/>
  <c r="G1096" i="13"/>
  <c r="G1097" i="13"/>
  <c r="G1098" i="13"/>
  <c r="G1099" i="13"/>
  <c r="G1100" i="13"/>
  <c r="G1101" i="13"/>
  <c r="G1102" i="13"/>
  <c r="G1103" i="13"/>
  <c r="G1104" i="13"/>
  <c r="G1105" i="13"/>
  <c r="G1106" i="13"/>
  <c r="G1107" i="13"/>
  <c r="G1108" i="13"/>
  <c r="G1109" i="13"/>
  <c r="G1110" i="13"/>
  <c r="G1111" i="13"/>
  <c r="G1112" i="13"/>
  <c r="G1113" i="13"/>
  <c r="G1114" i="13"/>
  <c r="G1115" i="13"/>
  <c r="G1116" i="13"/>
  <c r="G1117" i="13"/>
  <c r="G1118" i="13"/>
  <c r="G1119" i="13"/>
  <c r="G1120" i="13"/>
  <c r="G1121" i="13"/>
  <c r="G1122" i="13"/>
  <c r="G1123" i="13"/>
  <c r="G1124" i="13"/>
  <c r="G1125" i="13"/>
  <c r="G1126" i="13"/>
  <c r="G1127" i="13"/>
  <c r="G1128" i="13"/>
  <c r="G1129" i="13"/>
  <c r="G1130" i="13"/>
  <c r="G1131" i="13"/>
  <c r="G1132" i="13"/>
  <c r="G1133" i="13"/>
  <c r="G1134" i="13"/>
  <c r="G1135" i="13"/>
  <c r="G1136" i="13"/>
  <c r="G1137" i="13"/>
  <c r="G1138" i="13"/>
  <c r="G1139" i="13"/>
  <c r="G1140" i="13"/>
  <c r="G1141" i="13"/>
  <c r="G1142" i="13"/>
  <c r="G1143" i="13"/>
  <c r="G1144" i="13"/>
  <c r="G1145" i="13"/>
  <c r="G1146" i="13"/>
  <c r="G1147" i="13"/>
  <c r="G1148" i="13"/>
  <c r="G1149" i="13"/>
  <c r="G1150" i="13"/>
  <c r="G1151" i="13"/>
  <c r="G1152" i="13"/>
  <c r="G1153" i="13"/>
  <c r="G1154" i="13"/>
  <c r="G1155" i="13"/>
  <c r="G1156" i="13"/>
  <c r="G1157" i="13"/>
  <c r="G1158" i="13"/>
  <c r="G1159" i="13"/>
  <c r="G1160" i="13"/>
  <c r="G1161" i="13"/>
  <c r="G1162" i="13"/>
  <c r="G1163" i="13"/>
  <c r="G1164" i="13"/>
  <c r="G1165" i="13"/>
  <c r="G1166" i="13"/>
  <c r="G1167" i="13"/>
  <c r="G1168" i="13"/>
  <c r="G1169" i="13"/>
  <c r="G1170" i="13"/>
  <c r="G1171" i="13"/>
  <c r="G1172" i="13"/>
  <c r="G1173" i="13"/>
  <c r="G1174" i="13"/>
  <c r="G1175" i="13"/>
  <c r="G1176" i="13"/>
  <c r="G1177" i="13"/>
  <c r="G1178" i="13"/>
  <c r="G1179" i="13"/>
  <c r="G1180" i="13"/>
  <c r="G1181" i="13"/>
  <c r="G1182" i="13"/>
  <c r="G1183" i="13"/>
  <c r="G1184" i="13"/>
  <c r="G1185" i="13"/>
  <c r="G1186" i="13"/>
  <c r="G1187" i="13"/>
  <c r="G1188" i="13"/>
  <c r="G1189" i="13"/>
  <c r="G1190" i="13"/>
  <c r="G1191" i="13"/>
  <c r="G1192" i="13"/>
  <c r="G1193" i="13"/>
  <c r="G1194" i="13"/>
  <c r="G1195" i="13"/>
  <c r="G1196" i="13"/>
  <c r="G1197" i="13"/>
  <c r="G1198" i="13"/>
  <c r="G1199" i="13"/>
  <c r="G1200" i="13"/>
  <c r="G1201" i="13"/>
  <c r="G1202" i="13"/>
  <c r="G1203" i="13"/>
  <c r="G1204" i="13"/>
  <c r="G1205" i="13"/>
  <c r="G1206" i="13"/>
  <c r="G1207" i="13"/>
  <c r="G1208" i="13"/>
  <c r="G1209" i="13"/>
  <c r="G1210" i="13"/>
  <c r="G1211" i="13"/>
  <c r="G1212" i="13"/>
  <c r="G1213" i="13"/>
  <c r="G1214" i="13"/>
  <c r="G1215" i="13"/>
  <c r="G1216" i="13"/>
  <c r="G1217" i="13"/>
  <c r="G1218" i="13"/>
  <c r="G1219" i="13"/>
  <c r="G1220" i="13"/>
  <c r="G1221" i="13"/>
  <c r="G1222" i="13"/>
  <c r="G1223" i="13"/>
  <c r="G2" i="13"/>
  <c r="D243" i="1" l="1"/>
  <c r="D244" i="1"/>
  <c r="D245" i="1"/>
  <c r="D246" i="1"/>
  <c r="D247" i="1"/>
  <c r="D248" i="1"/>
  <c r="D249" i="1"/>
  <c r="D250" i="1"/>
  <c r="D235" i="1"/>
  <c r="D236" i="1"/>
  <c r="D237" i="1"/>
  <c r="D238" i="1"/>
  <c r="D239" i="1"/>
  <c r="D240" i="1"/>
  <c r="D241" i="1"/>
  <c r="D242" i="1"/>
  <c r="D34" i="2" l="1"/>
  <c r="A34" i="2"/>
  <c r="D228" i="1"/>
  <c r="D229" i="1"/>
  <c r="D230" i="1"/>
  <c r="D231" i="1"/>
  <c r="D232" i="1"/>
  <c r="D233" i="1"/>
  <c r="D234" i="1"/>
  <c r="D214" i="1" l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07" i="1" l="1"/>
  <c r="D208" i="1"/>
  <c r="D209" i="1"/>
  <c r="D210" i="1"/>
  <c r="D211" i="1"/>
  <c r="D212" i="1"/>
  <c r="D213" i="1"/>
  <c r="D193" i="1" l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186" i="1" l="1"/>
  <c r="D187" i="1"/>
  <c r="D188" i="1"/>
  <c r="D189" i="1"/>
  <c r="D190" i="1"/>
  <c r="D191" i="1"/>
  <c r="D192" i="1"/>
  <c r="D175" i="1" l="1"/>
  <c r="D176" i="1"/>
  <c r="D177" i="1"/>
  <c r="D178" i="1"/>
  <c r="D179" i="1"/>
  <c r="D180" i="1"/>
  <c r="D181" i="1"/>
  <c r="D182" i="1"/>
  <c r="D183" i="1"/>
  <c r="D184" i="1"/>
  <c r="D185" i="1"/>
  <c r="H21" i="10" l="1"/>
  <c r="H25" i="10"/>
  <c r="E95" i="1"/>
  <c r="E96" i="1" s="1"/>
  <c r="G18" i="10"/>
  <c r="H18" i="10" s="1"/>
  <c r="G19" i="10"/>
  <c r="H19" i="10" s="1"/>
  <c r="G20" i="10"/>
  <c r="H20" i="10" s="1"/>
  <c r="G21" i="10"/>
  <c r="G22" i="10"/>
  <c r="H22" i="10" s="1"/>
  <c r="G23" i="10"/>
  <c r="H23" i="10" s="1"/>
  <c r="G24" i="10"/>
  <c r="H24" i="10" s="1"/>
  <c r="G25" i="10"/>
  <c r="D174" i="1" l="1"/>
  <c r="D167" i="1"/>
  <c r="D168" i="1"/>
  <c r="D169" i="1"/>
  <c r="D170" i="1"/>
  <c r="D171" i="1"/>
  <c r="D172" i="1"/>
  <c r="D173" i="1"/>
  <c r="D160" i="1" l="1"/>
  <c r="D161" i="1"/>
  <c r="D162" i="1"/>
  <c r="D163" i="1"/>
  <c r="D164" i="1"/>
  <c r="D165" i="1"/>
  <c r="D166" i="1"/>
  <c r="D153" i="1"/>
  <c r="D154" i="1"/>
  <c r="D155" i="1"/>
  <c r="D156" i="1"/>
  <c r="D157" i="1"/>
  <c r="D158" i="1"/>
  <c r="D159" i="1"/>
  <c r="D145" i="1"/>
  <c r="D146" i="1"/>
  <c r="D147" i="1"/>
  <c r="D148" i="1"/>
  <c r="D149" i="1"/>
  <c r="D150" i="1"/>
  <c r="D151" i="1"/>
  <c r="D152" i="1"/>
  <c r="D138" i="1" l="1"/>
  <c r="D139" i="1"/>
  <c r="D140" i="1"/>
  <c r="D141" i="1"/>
  <c r="D142" i="1"/>
  <c r="D143" i="1"/>
  <c r="D144" i="1"/>
  <c r="D131" i="1"/>
  <c r="D132" i="1"/>
  <c r="D133" i="1"/>
  <c r="D134" i="1"/>
  <c r="D135" i="1"/>
  <c r="D136" i="1"/>
  <c r="D137" i="1"/>
  <c r="G4" i="7" l="1"/>
  <c r="J4" i="7" s="1"/>
  <c r="D124" i="1"/>
  <c r="D125" i="1"/>
  <c r="D126" i="1"/>
  <c r="D127" i="1"/>
  <c r="D128" i="1"/>
  <c r="D129" i="1"/>
  <c r="D130" i="1"/>
  <c r="H4" i="7" l="1"/>
  <c r="I4" i="7"/>
  <c r="C18" i="2" l="1"/>
  <c r="C19" i="2" s="1"/>
  <c r="C20" i="2" s="1"/>
  <c r="B18" i="2"/>
  <c r="B19" i="2" s="1"/>
  <c r="B20" i="2" s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S5" i="1"/>
  <c r="D5" i="1"/>
  <c r="S4" i="1"/>
  <c r="D4" i="1"/>
  <c r="R3" i="1"/>
  <c r="D3" i="1"/>
  <c r="R2" i="1"/>
  <c r="D2" i="1"/>
  <c r="G17" i="10"/>
  <c r="H17" i="10" s="1"/>
  <c r="G16" i="10"/>
  <c r="H16" i="10" s="1"/>
  <c r="G15" i="10"/>
  <c r="H15" i="10" s="1"/>
  <c r="G14" i="10"/>
  <c r="H14" i="10" s="1"/>
  <c r="I25" i="10" s="1"/>
  <c r="G13" i="10"/>
  <c r="G12" i="10"/>
  <c r="G11" i="10"/>
  <c r="G10" i="10"/>
  <c r="G9" i="10"/>
  <c r="G8" i="10"/>
  <c r="G7" i="10"/>
  <c r="G6" i="10"/>
  <c r="G5" i="10"/>
  <c r="G4" i="10"/>
  <c r="G3" i="10"/>
  <c r="G2" i="10"/>
  <c r="M19" i="8"/>
  <c r="L19" i="8"/>
  <c r="M18" i="8"/>
  <c r="L18" i="8"/>
  <c r="G15" i="8"/>
  <c r="C13" i="8"/>
  <c r="B13" i="8"/>
  <c r="C12" i="8"/>
  <c r="B12" i="8"/>
  <c r="C11" i="8"/>
  <c r="B11" i="8"/>
  <c r="C10" i="8"/>
  <c r="B10" i="8"/>
  <c r="C9" i="8"/>
  <c r="B9" i="8"/>
  <c r="C8" i="8"/>
  <c r="B8" i="8"/>
  <c r="D7" i="8"/>
  <c r="C7" i="8"/>
  <c r="B7" i="8"/>
  <c r="C6" i="8"/>
  <c r="B6" i="8"/>
  <c r="E6" i="8" s="1"/>
  <c r="G6" i="8" s="1"/>
  <c r="C5" i="8"/>
  <c r="B5" i="8"/>
  <c r="C4" i="8"/>
  <c r="B4" i="8"/>
  <c r="E4" i="8" s="1"/>
  <c r="G4" i="8" s="1"/>
  <c r="D3" i="8"/>
  <c r="D14" i="8" s="1"/>
  <c r="C3" i="8"/>
  <c r="B3" i="8"/>
  <c r="C2" i="8"/>
  <c r="B2" i="8"/>
  <c r="E2" i="8" l="1"/>
  <c r="G2" i="8" s="1"/>
  <c r="E9" i="8"/>
  <c r="G9" i="8" s="1"/>
  <c r="E13" i="8"/>
  <c r="G13" i="8" s="1"/>
  <c r="E11" i="8"/>
  <c r="G11" i="8" s="1"/>
  <c r="C14" i="8"/>
  <c r="E3" i="8"/>
  <c r="E8" i="8"/>
  <c r="G8" i="8" s="1"/>
  <c r="E10" i="8"/>
  <c r="G10" i="8" s="1"/>
  <c r="E12" i="8"/>
  <c r="G12" i="8" s="1"/>
  <c r="E5" i="8"/>
  <c r="G5" i="8" s="1"/>
  <c r="E7" i="8"/>
  <c r="B14" i="8"/>
  <c r="E14" i="8" l="1"/>
  <c r="G14" i="8" s="1"/>
  <c r="H15" i="8" s="1"/>
  <c r="I15" i="8" s="1"/>
</calcChain>
</file>

<file path=xl/comments1.xml><?xml version="1.0" encoding="utf-8"?>
<comments xmlns="http://schemas.openxmlformats.org/spreadsheetml/2006/main">
  <authors>
    <author>张曦</author>
  </authors>
  <commentList>
    <comment ref="L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含税管理费收入=应收管理费*0.9</t>
        </r>
      </text>
    </comment>
  </commentList>
</comments>
</file>

<file path=xl/sharedStrings.xml><?xml version="1.0" encoding="utf-8"?>
<sst xmlns="http://schemas.openxmlformats.org/spreadsheetml/2006/main" count="6648" uniqueCount="541">
  <si>
    <t>期间</t>
  </si>
  <si>
    <t>单一计划（含税）</t>
  </si>
  <si>
    <t>集合计划（含税）</t>
  </si>
  <si>
    <t>计提业绩报酬(含税）</t>
  </si>
  <si>
    <t>合计</t>
  </si>
  <si>
    <t>SAP数据</t>
  </si>
  <si>
    <t>含税校验</t>
  </si>
  <si>
    <t>SAP累加</t>
  </si>
  <si>
    <t>全年合计</t>
  </si>
  <si>
    <t>组合名称</t>
  </si>
  <si>
    <t>代码</t>
  </si>
  <si>
    <t>归属地</t>
  </si>
  <si>
    <t>机构代码</t>
  </si>
  <si>
    <t>业绩报酬</t>
  </si>
  <si>
    <t>管理费收入</t>
  </si>
  <si>
    <t>不含税收入</t>
  </si>
  <si>
    <t>税金</t>
  </si>
  <si>
    <t>风险准备金</t>
  </si>
  <si>
    <t>安徽中烟工业公司</t>
  </si>
  <si>
    <t>安徽</t>
  </si>
  <si>
    <t>安徽烟草肥外</t>
  </si>
  <si>
    <t>所属地区</t>
  </si>
  <si>
    <t>增值税金额</t>
  </si>
  <si>
    <t>单一计划含税</t>
  </si>
  <si>
    <t>集合计划含税</t>
  </si>
  <si>
    <t>逻辑关系：</t>
  </si>
  <si>
    <t>不含税收入+增值税金额=单一计划含税+集合计划含税</t>
  </si>
  <si>
    <t>单一计划含税=Σ各项单一计划投管费收入*20%（风险准备金）</t>
  </si>
  <si>
    <t>计提（含税含准备金）</t>
  </si>
  <si>
    <t>规范简称</t>
  </si>
  <si>
    <t>本表数据与收入汇总中的税后数据相比，含有风险保证金20%</t>
  </si>
  <si>
    <t>行标签</t>
  </si>
  <si>
    <t>业绩报酬备忘</t>
  </si>
  <si>
    <t>项目</t>
  </si>
  <si>
    <t>含税含风险准备金</t>
  </si>
  <si>
    <t>不含税额</t>
  </si>
  <si>
    <t>备注</t>
  </si>
  <si>
    <t>安徽高速年金</t>
  </si>
  <si>
    <t>安徽高速</t>
  </si>
  <si>
    <t>烟草肥外</t>
  </si>
  <si>
    <t>是否是烟草肥外暂缺支持性证据</t>
  </si>
  <si>
    <t>安徽盐业年金(工行)</t>
  </si>
  <si>
    <t>安徽徽商集团有限公司</t>
  </si>
  <si>
    <t>徽商集团</t>
  </si>
  <si>
    <t>求和项:计提（含税含准备金）</t>
  </si>
  <si>
    <t>安徽中烟</t>
  </si>
  <si>
    <t>安徽盐业</t>
  </si>
  <si>
    <t>皖北煤电债权</t>
  </si>
  <si>
    <t>徽商银行股份有限公司信托组合</t>
  </si>
  <si>
    <t>徽商银行信托</t>
  </si>
  <si>
    <t>皖北煤电</t>
  </si>
  <si>
    <t>皖北煤电（集团）有限责任公司-信托组合</t>
  </si>
  <si>
    <t>皖北煤电信托</t>
  </si>
  <si>
    <t>中铁四局集团有限公司</t>
  </si>
  <si>
    <t>中铁四局</t>
  </si>
  <si>
    <t>(空白)</t>
  </si>
  <si>
    <t>安徽烟草肥外年金</t>
  </si>
  <si>
    <t>总计</t>
  </si>
  <si>
    <t>2018-13</t>
  </si>
  <si>
    <t>地区</t>
  </si>
  <si>
    <t>含税收入</t>
  </si>
  <si>
    <t>增值税</t>
  </si>
  <si>
    <t>含税管理费收入</t>
  </si>
  <si>
    <t>应收管理费金额</t>
  </si>
  <si>
    <t>类别</t>
  </si>
  <si>
    <t>年年盈</t>
  </si>
  <si>
    <t>权责期间</t>
  </si>
  <si>
    <t>基础管理费</t>
  </si>
  <si>
    <t>封闭式--基础管理费</t>
  </si>
  <si>
    <t>封闭式</t>
  </si>
  <si>
    <t>封闭式--201901业绩报酬</t>
  </si>
  <si>
    <t>封闭式--201902业绩报酬</t>
  </si>
  <si>
    <t>开放式--月月理财201901</t>
  </si>
  <si>
    <t>月月盈</t>
  </si>
  <si>
    <t>开放式--广源180--201901</t>
  </si>
  <si>
    <t>半年盈</t>
  </si>
  <si>
    <t>开放式--安鑫盈360--201901</t>
  </si>
  <si>
    <t>开放式--月月理财201902</t>
  </si>
  <si>
    <t>开放式--广源180--201902</t>
  </si>
  <si>
    <t>开放式--安鑫盈360--201902</t>
  </si>
  <si>
    <t>封闭式--201903基础管理费</t>
  </si>
  <si>
    <t>封闭式--201903业绩报酬</t>
  </si>
  <si>
    <t>开放式--月月理财201903</t>
  </si>
  <si>
    <t>开放式--广源180--201903</t>
  </si>
  <si>
    <t>开放式--安鑫盈360--201903</t>
  </si>
  <si>
    <t>开放式--月月理财--调整201901</t>
  </si>
  <si>
    <t>开放式--广源180--调整201901</t>
  </si>
  <si>
    <t>开放式--安鑫盈360--调整201901</t>
  </si>
  <si>
    <t>开放式--月月理财--调整201902</t>
  </si>
  <si>
    <t>开放式--广源180--调整201902</t>
  </si>
  <si>
    <t>开放式--安鑫盈360--调整201902</t>
  </si>
  <si>
    <t>封闭式--嘉年6号--冲销201901基础管理费</t>
  </si>
  <si>
    <t>封闭式--嘉年6号--新拆分201901基础管理费</t>
  </si>
  <si>
    <t>封闭式--嘉年6号--冲销201902基础管理费</t>
  </si>
  <si>
    <t>封闭式--嘉年6号--新拆分201902基础管理费</t>
  </si>
  <si>
    <t>封闭式--嘉年6号--冲销201903基础管理费</t>
  </si>
  <si>
    <t>封闭式--嘉年6号--新拆分201903基础管理费</t>
  </si>
  <si>
    <t>封闭式--嘉年6号--冲销201903业绩报酬</t>
  </si>
  <si>
    <t>封闭式--嘉年6号--新拆分201903业绩报酬</t>
  </si>
  <si>
    <t>开放式--月月理财--201904</t>
  </si>
  <si>
    <t>开放式--广源180--201904</t>
  </si>
  <si>
    <t>开放式--安鑫盈360--201904</t>
  </si>
  <si>
    <t>封闭式--嘉年6号--201904基础管理费</t>
  </si>
  <si>
    <t>封闭式--嘉年6号--201904业绩报酬</t>
  </si>
  <si>
    <t>封闭式--嘉年6号业绩报酬--201905</t>
  </si>
  <si>
    <t>封闭式--嘉年6号基础管理费--201905</t>
  </si>
  <si>
    <t>开放式--月月理财--201905</t>
  </si>
  <si>
    <t>开放式--广源180--201905</t>
  </si>
  <si>
    <t>开放式--安鑫盈360--201905</t>
  </si>
  <si>
    <t>2018年2季度</t>
  </si>
  <si>
    <t>2018年3季度</t>
  </si>
  <si>
    <t>公司代码</t>
  </si>
  <si>
    <t>含税收入金额</t>
  </si>
  <si>
    <t>2018年调整</t>
  </si>
  <si>
    <t>5月-12月收入合计--已入账</t>
  </si>
  <si>
    <t>5月-12月收入调整记账方法</t>
  </si>
  <si>
    <t>差异调整</t>
  </si>
  <si>
    <t>计提准备金</t>
  </si>
  <si>
    <t>调整收入</t>
  </si>
  <si>
    <t>安徽省分公司</t>
  </si>
  <si>
    <t>团养管理费--冲销201901</t>
  </si>
  <si>
    <t>团养管理费--新拆分201901</t>
  </si>
  <si>
    <t>团养管理费--冲销201902</t>
  </si>
  <si>
    <t>团养管理费--新拆分201902</t>
  </si>
  <si>
    <t>团养管理费--201904</t>
  </si>
  <si>
    <t>计提</t>
  </si>
  <si>
    <t>皖北煤电(集团）有限责任公司</t>
  </si>
  <si>
    <t>封闭式--嘉年6号业绩报酬--201906</t>
  </si>
  <si>
    <t>封闭式--嘉年6号基础管理费--201906</t>
  </si>
  <si>
    <t>开放式--月月理财--201906</t>
  </si>
  <si>
    <t>开放式--广源180--201906</t>
  </si>
  <si>
    <t>开放式--安鑫盈360--201906</t>
  </si>
  <si>
    <t>年终调整</t>
    <phoneticPr fontId="18" type="noConversion"/>
  </si>
  <si>
    <t>说明项</t>
    <phoneticPr fontId="18" type="noConversion"/>
  </si>
  <si>
    <t>封闭式--嘉年6号业绩报酬--201907</t>
  </si>
  <si>
    <t>封闭式--嘉年6号基础管理费--201907</t>
  </si>
  <si>
    <t>开放式--月月理财--201907</t>
  </si>
  <si>
    <t>开放式--广源180--201907</t>
  </si>
  <si>
    <t>开放式--安鑫盈360--201907</t>
  </si>
  <si>
    <t>调整6月重新入账</t>
    <phoneticPr fontId="18" type="noConversion"/>
  </si>
  <si>
    <t>皖北煤电债权</t>
    <phoneticPr fontId="15" type="noConversion"/>
  </si>
  <si>
    <t>徽商银行股份有限公司信托组合</t>
    <phoneticPr fontId="15" type="noConversion"/>
  </si>
  <si>
    <t>封闭式--嘉年6号业绩报酬--201908</t>
  </si>
  <si>
    <t>封闭式--嘉年6号基础管理费--201908</t>
  </si>
  <si>
    <t>开放式--月月理财--201908</t>
  </si>
  <si>
    <t>开放式--广源180--201908</t>
  </si>
  <si>
    <t>开放式--安鑫盈360--201908</t>
  </si>
  <si>
    <t>组合名称</t>
    <phoneticPr fontId="18" type="noConversion"/>
  </si>
  <si>
    <t>计提准备金</t>
    <phoneticPr fontId="18" type="noConversion"/>
  </si>
  <si>
    <t>不含税收入</t>
    <phoneticPr fontId="15" type="noConversion"/>
  </si>
  <si>
    <t>税金</t>
    <phoneticPr fontId="15" type="noConversion"/>
  </si>
  <si>
    <t>应收管理费</t>
    <phoneticPr fontId="15" type="noConversion"/>
  </si>
  <si>
    <t>安徽1号国寿</t>
  </si>
  <si>
    <t>安徽1号国寿信托</t>
  </si>
  <si>
    <t>安徽4号国寿</t>
  </si>
  <si>
    <t>期间</t>
    <phoneticPr fontId="18" type="noConversion"/>
  </si>
  <si>
    <t>基础管理费</t>
    <phoneticPr fontId="18" type="noConversion"/>
  </si>
  <si>
    <t>年年盈</t>
    <phoneticPr fontId="18" type="noConversion"/>
  </si>
  <si>
    <t>安徽古井</t>
  </si>
  <si>
    <t>安徽古井</t>
    <phoneticPr fontId="18" type="noConversion"/>
  </si>
  <si>
    <t>开放式--安鑫盈360--201911</t>
  </si>
  <si>
    <t>开放式--广源180--201911</t>
  </si>
  <si>
    <t>开放式--月月理财--201911</t>
  </si>
  <si>
    <t>封闭式--嘉年6号+定期盈01期+丰年可转债基础管理费--201911</t>
  </si>
  <si>
    <t>封闭式--嘉年6号业绩报酬--201911</t>
  </si>
  <si>
    <t>开放式--安鑫盈360--201910</t>
  </si>
  <si>
    <t>开放式--广源180--201910</t>
  </si>
  <si>
    <t>开放式--月月理财--201910</t>
  </si>
  <si>
    <t>封闭式--嘉年6号基础管理费--201910</t>
  </si>
  <si>
    <t>封闭式--嘉年6号业绩报酬--201910</t>
  </si>
  <si>
    <t>封闭式--嘉年6号业绩报酬--201909</t>
  </si>
  <si>
    <t>封闭式--嘉年6号基础管理费--201909</t>
  </si>
  <si>
    <t>开放式--月月理财--201909</t>
  </si>
  <si>
    <t>开放式--广源180--201909</t>
  </si>
  <si>
    <t>开放式--安鑫盈360--201909</t>
  </si>
  <si>
    <t>开放式--安鑫盈360--201912</t>
  </si>
  <si>
    <t>开放式--广源180--201912</t>
  </si>
  <si>
    <t>开放式--月月理财--201912</t>
  </si>
  <si>
    <t>封闭式--嘉年6号+定期盈01期+丰年可转债基础管理费--201912</t>
  </si>
  <si>
    <t>封闭式--嘉年6号业绩报酬--201912</t>
  </si>
  <si>
    <t>基础管理费</t>
    <phoneticPr fontId="18" type="noConversion"/>
  </si>
  <si>
    <t>年年盈</t>
    <phoneticPr fontId="18" type="noConversion"/>
  </si>
  <si>
    <t>确认13月投管费收入--含回冲条款企业年金</t>
  </si>
  <si>
    <t>确认13月投管费收入--企业年金</t>
  </si>
  <si>
    <t>国网安徽省电力公司</t>
  </si>
  <si>
    <t>安徽中烟</t>
    <phoneticPr fontId="18" type="noConversion"/>
  </si>
  <si>
    <t>安徽电力</t>
    <phoneticPr fontId="18" type="noConversion"/>
  </si>
  <si>
    <t>皖北煤电</t>
    <phoneticPr fontId="18" type="noConversion"/>
  </si>
  <si>
    <t>开放式--安鑫盈360--201913</t>
  </si>
  <si>
    <t>开放式--广源180--201913</t>
  </si>
  <si>
    <t>开放式--月月理财--201913</t>
  </si>
  <si>
    <t>封闭式--嘉年6号+定期盈01期+丰年可转债基础管理费--201913</t>
  </si>
  <si>
    <t>安徽9号国寿</t>
  </si>
  <si>
    <t>开放式--安鑫盈360--202001</t>
  </si>
  <si>
    <t>开放式--广源180--202001</t>
  </si>
  <si>
    <t>开放式--月月理财--202001</t>
  </si>
  <si>
    <t>封闭式--嘉年6号+定期盈01期+丰年可转债基础管理费--202001</t>
  </si>
  <si>
    <t>开放式--安鑫盈360--202002</t>
  </si>
  <si>
    <t>开放式--广源180--202002</t>
  </si>
  <si>
    <t>开放式--月月理财--202002</t>
  </si>
  <si>
    <t>封闭式--嘉年6号业绩报酬202002</t>
  </si>
  <si>
    <t>封闭式--嘉年6号+定期盈01期+丰年可转债+福寿嘉年0142期基础管理费--202002</t>
  </si>
  <si>
    <t>封闭式--嘉年6号+定期盈01期+丰年可转债基础管理费--重新拆分202001</t>
  </si>
  <si>
    <t>开放式--安鑫盈360--202003</t>
  </si>
  <si>
    <t>开放式--广源180--202003</t>
  </si>
  <si>
    <t>开放式--月月理财--202003</t>
  </si>
  <si>
    <t>封闭式--嘉年6号+定期盈01期+丰年可转债+福寿嘉年0142期基础管理费--202003</t>
  </si>
  <si>
    <t>封闭式</t>
    <phoneticPr fontId="18" type="noConversion"/>
  </si>
  <si>
    <t>业绩报酬</t>
    <phoneticPr fontId="18" type="noConversion"/>
  </si>
  <si>
    <t>产品类型</t>
    <phoneticPr fontId="18" type="noConversion"/>
  </si>
  <si>
    <t>管理费分类</t>
    <phoneticPr fontId="18" type="noConversion"/>
  </si>
  <si>
    <t>确认1月封闭式个人养老保障收入--嘉年6号+定期盈01期+丰年可转债基础管理费</t>
  </si>
  <si>
    <t>开放式--安鑫盈360--202004</t>
  </si>
  <si>
    <t>开放式--广源180--202004</t>
  </si>
  <si>
    <t>开放式--月月理财--202004</t>
  </si>
  <si>
    <t>封闭式--嘉年6号业绩报酬202004</t>
  </si>
  <si>
    <t>封闭式--嘉年6号+定期盈01期+丰年可转债+福寿嘉年0142期基础管理费--202004</t>
  </si>
  <si>
    <t>开放式--广源6号--202005</t>
  </si>
  <si>
    <t>开放式--安鑫利365--202005</t>
  </si>
  <si>
    <t>开放式--嘉年2号--202005</t>
  </si>
  <si>
    <t>开放式--福寿广源1号--202005</t>
  </si>
  <si>
    <t>开放式--安鑫盈360--202005</t>
  </si>
  <si>
    <t>开放式--广源180--202005</t>
  </si>
  <si>
    <t>开放式--月月理财--202005</t>
  </si>
  <si>
    <t>封闭式--嘉年6号业绩报酬202005</t>
  </si>
  <si>
    <t>封闭式--嘉年6号+定期盈01期+丰年可转债+福寿嘉年0142期、0143期&amp;0144期基础管理费--202005</t>
  </si>
  <si>
    <t>调整1月-4月封闭式基础管理费--202005</t>
  </si>
  <si>
    <t>I52Z0017</t>
  </si>
  <si>
    <t>I52Z0018</t>
  </si>
  <si>
    <t>I52Z0019</t>
  </si>
  <si>
    <t>I52Z0050</t>
  </si>
  <si>
    <t>期间</t>
    <phoneticPr fontId="18" type="noConversion"/>
  </si>
  <si>
    <t>开放式--广源6号--202006</t>
  </si>
  <si>
    <t>开放式--安鑫利365--202006</t>
  </si>
  <si>
    <t>开放式--嘉年2号--202006</t>
  </si>
  <si>
    <t>开放式--福寿广源1号--202006</t>
  </si>
  <si>
    <t>开放式--安鑫盈360--202006</t>
  </si>
  <si>
    <t>开放式--广源180--202006</t>
  </si>
  <si>
    <t>开放式--月月理财--202006</t>
  </si>
  <si>
    <t>封闭式--嘉年6号业绩报酬202006</t>
  </si>
  <si>
    <t>封闭式--嘉年6号+定期盈01期+丰年可转债+福寿嘉年0142-0146期基础管理费--202006</t>
  </si>
  <si>
    <t>202005新拆分</t>
  </si>
  <si>
    <t>封闭式</t>
    <phoneticPr fontId="18" type="noConversion"/>
  </si>
  <si>
    <t>基础管理费</t>
    <phoneticPr fontId="18" type="noConversion"/>
  </si>
  <si>
    <t>徽商银行</t>
  </si>
  <si>
    <t>安徽中烟</t>
    <phoneticPr fontId="18" type="noConversion"/>
  </si>
  <si>
    <t>安徽电力</t>
    <phoneticPr fontId="18" type="noConversion"/>
  </si>
  <si>
    <t>皖北煤电</t>
    <phoneticPr fontId="18" type="noConversion"/>
  </si>
  <si>
    <t>基金代码</t>
    <phoneticPr fontId="18" type="noConversion"/>
  </si>
  <si>
    <t>客户全称</t>
  </si>
  <si>
    <t>基金名称</t>
  </si>
  <si>
    <t>计划类型</t>
  </si>
  <si>
    <t>应收管理费</t>
    <phoneticPr fontId="18" type="noConversion"/>
  </si>
  <si>
    <t>CL0001</t>
  </si>
  <si>
    <t>永诚</t>
  </si>
  <si>
    <t>国寿养老红运股票型养老金产品</t>
  </si>
  <si>
    <t>集合计划</t>
  </si>
  <si>
    <t>永睿</t>
  </si>
  <si>
    <t>工行中铁四局集团有限公司企业年金计划国寿组合</t>
  </si>
  <si>
    <t>单一计划</t>
  </si>
  <si>
    <t>中行淮南矿业（集团）有限责任公司企业年金计划受托直投（国寿）</t>
  </si>
  <si>
    <t>农行安徽古井集团有限责任公司企业年金计划国寿组合</t>
  </si>
  <si>
    <t>CL0002</t>
  </si>
  <si>
    <t>永福</t>
  </si>
  <si>
    <t>国寿养老红盛债券型养老金产品</t>
  </si>
  <si>
    <t>永乐</t>
  </si>
  <si>
    <t>永颐</t>
  </si>
  <si>
    <t>工行安徽省高速公路控股集团有限公司企业年金计划国寿组合</t>
  </si>
  <si>
    <t>中行国网安徽省电力公司企业年金计划养老金专户平安组合</t>
  </si>
  <si>
    <t>安徽省壹号职业年金计划国寿组合</t>
  </si>
  <si>
    <t>职业年金</t>
  </si>
  <si>
    <t>安徽省肆号职业年金计划国寿组合</t>
  </si>
  <si>
    <t>民生安徽省玖号职业年金计划国寿组合</t>
  </si>
  <si>
    <t>CL0003</t>
  </si>
  <si>
    <t>永丰</t>
  </si>
  <si>
    <t>国寿养老红运混合型养老金产品</t>
  </si>
  <si>
    <t>永通</t>
  </si>
  <si>
    <t>光大银行安徽新华传媒股份有限公司企业年金计划受托直投（国寿）</t>
  </si>
  <si>
    <t>安徽省壹号职业年金计划国寿信托组合</t>
  </si>
  <si>
    <t>CL0004</t>
  </si>
  <si>
    <t>国寿养老红盛混合型养老金产品</t>
  </si>
  <si>
    <t>CL0005</t>
  </si>
  <si>
    <t>国寿养老红运固定收益型养老金产品</t>
  </si>
  <si>
    <t>永祥</t>
  </si>
  <si>
    <t>交行安徽省徽商集团有限公司企业年金计划国寿组合</t>
  </si>
  <si>
    <t>建行建信养老金管理有限责任公司企业年金计划建信组合</t>
  </si>
  <si>
    <t>中行徽商银行股份有限公司企业年金计划国寿组合</t>
  </si>
  <si>
    <t>CL0007</t>
  </si>
  <si>
    <t>国寿养老红利基础设施债权投资计划型养老金产品</t>
  </si>
  <si>
    <t>中行安徽省皖北煤电集团有限责任公司企业年金计划国寿组合</t>
  </si>
  <si>
    <t>工行安徽中烟工业有限责任公司企业年金计划国寿组合</t>
  </si>
  <si>
    <t>中行淮南矿业（集团）有限责任公司企业年金计划海富通组合</t>
  </si>
  <si>
    <t>中行安徽省皖北煤电集团有限责任公司企业年金计划国寿债权组合</t>
  </si>
  <si>
    <t>光大中国烟草总公司安徽省公司企业年金计划平安固收组合</t>
  </si>
  <si>
    <t>中行马钢（集团）控股有限公司企业年金计划海富通组合</t>
  </si>
  <si>
    <t>工行铜陵有色金属集团控股有限公司企业年金计划海富通组合</t>
  </si>
  <si>
    <t>工商银行海航集团有限公司企业年金计划海富通组合</t>
  </si>
  <si>
    <t>中国银行淮北矿业（集团）有限责任公司企业年金计划海富通组合</t>
  </si>
  <si>
    <t>工行安徽中烟工业有限责任公司企业年金计划海富通组合</t>
  </si>
  <si>
    <t>CL0008</t>
  </si>
  <si>
    <t>国寿养老红利信托产品型养老金产品</t>
  </si>
  <si>
    <t>光大中国烟草总公司安徽省公司企业年金计划国寿组合</t>
  </si>
  <si>
    <t>工行铜陵有色金属集团控股有限公司企业年金计划受托直投（国寿）</t>
  </si>
  <si>
    <t>中行国网安徽省电力公司企业年金计划国寿组合</t>
  </si>
  <si>
    <t>招行深圳市机场（集团）有限公司企业年金计划受托直投（泰康养老）</t>
  </si>
  <si>
    <t>中国银行河钢股份有限公司唐山分公司企业年金计划（嘉实）</t>
  </si>
  <si>
    <t>CL0010</t>
  </si>
  <si>
    <t>国寿养老红泰优先股型养老金产品（1期）</t>
  </si>
  <si>
    <t>CL0011</t>
  </si>
  <si>
    <t>国寿养老现金增利货币型养老金产品</t>
  </si>
  <si>
    <t>中行安徽省皖北煤电集团有限责任公司企业年金计划受托直投（国寿）</t>
  </si>
  <si>
    <t>工行昆明铁路局企业年金计划海富通组合</t>
  </si>
  <si>
    <t>CL0012</t>
  </si>
  <si>
    <t>中信北京农村商业银行股份有限公司企业年金计划嘉实组合</t>
  </si>
  <si>
    <t>国寿养老红利存款型养老金产品（1期）</t>
  </si>
  <si>
    <t>建行厦门港务控股集团有限公司企业年金计划嘉实组合</t>
  </si>
  <si>
    <t>CL0013</t>
  </si>
  <si>
    <t>国寿养老质优稳利基础设施债权投资计划型养老金产品（1期）</t>
  </si>
  <si>
    <t>CL0014</t>
  </si>
  <si>
    <t>国寿养老红泰优先股型养老金产品（2期）</t>
  </si>
  <si>
    <t>CL0016</t>
  </si>
  <si>
    <t>国寿养老质优甄选信托产品型养老金产品（2期）</t>
  </si>
  <si>
    <t>CL0020</t>
  </si>
  <si>
    <t>国寿养老策略成长混合型养老金产品</t>
  </si>
  <si>
    <t>CL0021</t>
  </si>
  <si>
    <t>国寿养老策略优选股票型养老金产品</t>
  </si>
  <si>
    <t>CL0022</t>
  </si>
  <si>
    <t>国寿养老研究精选股票型养老金产品</t>
  </si>
  <si>
    <t>CL0024</t>
  </si>
  <si>
    <t>国寿养老质优稳利基础设施债权投资计划型养老金产品（2期）</t>
  </si>
  <si>
    <t>CL0025</t>
  </si>
  <si>
    <t>国寿养老红信固定收益型养老金产品</t>
  </si>
  <si>
    <t>CL0026</t>
  </si>
  <si>
    <t>国寿养老红义固定收益型养老金产品</t>
  </si>
  <si>
    <t>CL0027</t>
  </si>
  <si>
    <t>国寿养老红仁固定收益型养老金产品</t>
  </si>
  <si>
    <t>CL0033</t>
  </si>
  <si>
    <t>国寿养老配置1号混合型养老金产品</t>
  </si>
  <si>
    <t>CL0034</t>
  </si>
  <si>
    <t>国寿养老配置2号混合型养老金产品</t>
  </si>
  <si>
    <t>CL0035</t>
  </si>
  <si>
    <t>国寿养老配置3号混合型养老金产品</t>
  </si>
  <si>
    <t>CL0036</t>
  </si>
  <si>
    <t>国寿养老策略1号股票型养老金产品</t>
  </si>
  <si>
    <t>CL0037</t>
  </si>
  <si>
    <t>国寿养老策略2号股票型养老金产品</t>
  </si>
  <si>
    <t>CL0039</t>
  </si>
  <si>
    <t>国寿养老策略4号股票型养老金产品</t>
  </si>
  <si>
    <t>CL0040</t>
  </si>
  <si>
    <t>国寿养老稳健1号固定收益型养老金产品</t>
  </si>
  <si>
    <t>招行天津津融投资服务集团有限公司企业年金计划受托直投（泰康养老）</t>
  </si>
  <si>
    <t>工行青岛四方车辆研究所有限公司企业年金计划受托直投（泰康养老）</t>
  </si>
  <si>
    <t>CL0046</t>
  </si>
  <si>
    <t>国寿养老质优安泰保险产品型养老金产品（5期）</t>
  </si>
  <si>
    <t>CL0047</t>
  </si>
  <si>
    <t>国寿养老安享鑫祺混合型养老金产品</t>
  </si>
  <si>
    <t>CL0049</t>
  </si>
  <si>
    <t>国寿养老质优稳利基础设施债权投资计划型养老金产品（3期）</t>
  </si>
  <si>
    <t>CL0050</t>
  </si>
  <si>
    <t>国寿养老质优稳利基础设施债权投资计划型养老金产品（4期）</t>
  </si>
  <si>
    <t>CL0054</t>
  </si>
  <si>
    <t>国寿养老红利存款型养老金产品（3期）</t>
  </si>
  <si>
    <t>CL0059</t>
  </si>
  <si>
    <t>国寿养老红利存款型养老金产品（5期）</t>
  </si>
  <si>
    <t>CL0060</t>
  </si>
  <si>
    <t>国寿养老红利存款型养老金产品（6期）</t>
  </si>
  <si>
    <t>CL0061</t>
  </si>
  <si>
    <t>工行中国广核集团有限公司企业年金计划海富通组合</t>
  </si>
  <si>
    <t>国寿养老红利存款型养老金产品（7期）</t>
  </si>
  <si>
    <t>CL0063</t>
  </si>
  <si>
    <t>国寿养老稳健4号固定收益型养老金产品</t>
  </si>
  <si>
    <t>CL0064</t>
  </si>
  <si>
    <t>国寿养老稳健5号固定收益型养老金产品</t>
  </si>
  <si>
    <t>CL0065</t>
  </si>
  <si>
    <t>国寿养老稳健6号固定收益型养老金产品</t>
  </si>
  <si>
    <t>中行淮北矿业（集团）有限责任公司企业年金计划嘉实</t>
  </si>
  <si>
    <t>建行安徽省能源集团有限公司企业年金计划嘉实</t>
  </si>
  <si>
    <t>中行淮南矿业（集团）有限责任公司企业年金计划嘉实组合</t>
  </si>
  <si>
    <t>CL0067</t>
  </si>
  <si>
    <t>国寿养老稳健8号固定收益型养老金产品</t>
  </si>
  <si>
    <t>建行中国电力建设集团有限公司企业年金计划受托直投标准组合（泰康养老）</t>
  </si>
  <si>
    <t>招行泰康金色瑞泰企业年金集合计划受托直投平稳增长组合（泰康养老）</t>
  </si>
  <si>
    <t>CL0068</t>
  </si>
  <si>
    <t>国寿养老策略5号股票型养老金产品</t>
  </si>
  <si>
    <t>CL0069</t>
  </si>
  <si>
    <t>国寿养老策略6号股票型养老金产品</t>
  </si>
  <si>
    <t>CL0071</t>
  </si>
  <si>
    <t>国寿养老策略8号股票型养老金产品</t>
  </si>
  <si>
    <t>CL0072</t>
  </si>
  <si>
    <t>国寿养老策略9号股票型养老金产品</t>
  </si>
  <si>
    <t>CL0073</t>
  </si>
  <si>
    <t>国寿养老红利存款型养老金产品（8期）</t>
  </si>
  <si>
    <t>CL0075</t>
  </si>
  <si>
    <t>国寿养老质优甄选信托产品型养老金产品（12期）</t>
  </si>
  <si>
    <t>CL0077</t>
  </si>
  <si>
    <t>国寿养老质优稳利基础设施债权投资计划型养老金产品（5期）</t>
  </si>
  <si>
    <t>CL0082</t>
  </si>
  <si>
    <t>国寿养老配置6号混合型养老金产品</t>
  </si>
  <si>
    <t>CL0089</t>
  </si>
  <si>
    <t>国寿养老量化多策略FOF混合型养老金产品</t>
  </si>
  <si>
    <t>CL0092</t>
  </si>
  <si>
    <t>国寿养老质优稳利基础设施债权投资计划型养老金产品（6期）</t>
  </si>
  <si>
    <t>CL0101</t>
  </si>
  <si>
    <t>国寿养老多元策略FOF固定收益型养老金产品</t>
  </si>
  <si>
    <t>CL0103</t>
  </si>
  <si>
    <t>国寿养老质优增益基础设施债权投资计划型养老金产品（4期）</t>
  </si>
  <si>
    <t>CL0105</t>
  </si>
  <si>
    <t>国寿养老质优稳利基础设施债权投资计划型养老金产品（8期）</t>
  </si>
  <si>
    <t>CL0106</t>
  </si>
  <si>
    <t>国寿养老质优稳利基础设施债权投资计划型养老金产品（9期）</t>
  </si>
  <si>
    <t>CL0107</t>
  </si>
  <si>
    <t>国寿养老质优稳利基础设施债权投资计划型养老金产品（10期）</t>
  </si>
  <si>
    <t>CL0110</t>
  </si>
  <si>
    <t>国寿养老质优甄选信托产品型养老金产品（22期）</t>
  </si>
  <si>
    <t>中行淮南矿业（集团）有限责任公司企业年金计划易方达组合</t>
  </si>
  <si>
    <t>CL0111</t>
  </si>
  <si>
    <t>国寿养老质优甄选信托产品型养老金产品（23期）</t>
  </si>
  <si>
    <t>中行中国南方航空集团有限公司企业年金计划（太平）</t>
  </si>
  <si>
    <t>工行四川九洲电器集团有限责任公司企业年金计划（太平）</t>
  </si>
  <si>
    <t>光大云南省农村信用社企业年金计划中金组合</t>
  </si>
  <si>
    <t>CL0120</t>
  </si>
  <si>
    <t>国寿养老质优稳利基础设施债权投资计划型养老金产品（12期）</t>
  </si>
  <si>
    <t>CL0121</t>
  </si>
  <si>
    <t>国寿养老质优稳利基础设施债权投资计划型养老金产品（13期）</t>
  </si>
  <si>
    <t>CL0122</t>
  </si>
  <si>
    <t>国寿养老质优稳利基础设施债权投资计划型养老金产品（14期）</t>
  </si>
  <si>
    <t>CL0124</t>
  </si>
  <si>
    <t>国寿养老质优稳利基础设施债权投资计划型养老金产品（16期）</t>
  </si>
  <si>
    <t>CL0125</t>
  </si>
  <si>
    <t>国寿养老质优甄选信托产品型养老金产品（24期）</t>
  </si>
  <si>
    <t>光大银行北京控股集团有限公司企业年金计划南方组合</t>
  </si>
  <si>
    <t>中信银行中国航空集团公司企业年金计划南方组合</t>
  </si>
  <si>
    <t>招商银行深圳市水务（集团）有限公司企业年金计划南方组合</t>
  </si>
  <si>
    <t>CL0126</t>
  </si>
  <si>
    <t>国寿养老质优甄选信托产品型养老金产品（25期）</t>
  </si>
  <si>
    <t>交行太原供水集团有限公司企业年金计划受托直投（泰康养老）</t>
  </si>
  <si>
    <t>中信中国国旅集团有限公司企业年金计划受托直投（泰康养老）</t>
  </si>
  <si>
    <t>CL0130</t>
  </si>
  <si>
    <t>国寿养老质优稳利基础设施债权投资计划型养老金产品（17期）</t>
  </si>
  <si>
    <t>CL0132</t>
  </si>
  <si>
    <t>国寿养老质优稳利基础设施债权投资计划型养老金产品（19期）</t>
  </si>
  <si>
    <t>CL0140</t>
  </si>
  <si>
    <t>国寿养老稳健9号固定收益型养老金产品</t>
  </si>
  <si>
    <t>CL0048</t>
  </si>
  <si>
    <t>国寿养老安享鑫泰混合型养老金产品</t>
  </si>
  <si>
    <t>CL0158</t>
  </si>
  <si>
    <t>国寿养老配置10号混合型养老金产品</t>
  </si>
  <si>
    <t>CL0084</t>
  </si>
  <si>
    <t>国寿养老配置8号混合型养老金产品</t>
  </si>
  <si>
    <t>CL0157</t>
  </si>
  <si>
    <t>国寿养老配置9号混合型养老金产品</t>
  </si>
  <si>
    <t>CL0080</t>
  </si>
  <si>
    <t>国寿养老配置4号混合型养老金产品</t>
  </si>
  <si>
    <t>CL0102</t>
  </si>
  <si>
    <t>国寿养老质优增益基础设施债权投资计划型养老金产品（3期）</t>
  </si>
  <si>
    <t>CL0108</t>
  </si>
  <si>
    <t>国寿养老质优稳利基础设施债权投资计划型养老金产品（11期）</t>
  </si>
  <si>
    <t>CL0115</t>
  </si>
  <si>
    <t>国寿养老红利存款型养老金产品（14期）</t>
  </si>
  <si>
    <t>CL0112</t>
  </si>
  <si>
    <t>民生银行中国民生银行股份有限公司企业年金计划工银瑞信组合</t>
  </si>
  <si>
    <t>国寿养老红利存款型养老金产品（11期）</t>
  </si>
  <si>
    <t>建行神华集团有限责任公司企业年金计划工银瑞信组合</t>
  </si>
  <si>
    <t>CL0160</t>
  </si>
  <si>
    <t>国寿养老生命周期2040混合型养老金产品</t>
  </si>
  <si>
    <t>CL0159</t>
  </si>
  <si>
    <t>国寿养老生命周期2035混合型养老金产品</t>
  </si>
  <si>
    <t>CL0146</t>
  </si>
  <si>
    <t>国寿养老生命周期2030混合型养老金产品</t>
  </si>
  <si>
    <t>期间</t>
    <phoneticPr fontId="18" type="noConversion"/>
  </si>
  <si>
    <t>开放式--安鑫利365--202008</t>
  </si>
  <si>
    <t>开放式--嘉年2号--202008</t>
  </si>
  <si>
    <t>开放式--福寿广源1号--202008</t>
  </si>
  <si>
    <t>开放式--安鑫盈360--202008</t>
  </si>
  <si>
    <t>开放式--广源180--202008</t>
  </si>
  <si>
    <t>开放式--月月理财--202008</t>
  </si>
  <si>
    <t>封闭式--嘉年6号+定期盈01期+丰年可转债+福寿嘉年0142-0146期+嘉年团客尊享1期+多元策略1期基础管理费--202008</t>
  </si>
  <si>
    <t>农行海航集团有限公司企业年金计划海富通组合</t>
  </si>
  <si>
    <t>建行镇海石化建安工程有限公司企业年金计划受托直投（泰康养老）</t>
  </si>
  <si>
    <t>CL0081</t>
  </si>
  <si>
    <t>国寿养老配置5号混合型养老金产品</t>
  </si>
  <si>
    <t>中行北京控股集团有限公司企业年金计划南方组合</t>
  </si>
  <si>
    <t>CL0133</t>
  </si>
  <si>
    <t>国寿养老质优稳利基础设施债权投资计划型养老金产品（20期）</t>
  </si>
  <si>
    <t>CL0070</t>
  </si>
  <si>
    <t>国寿养老策略7号股票型养老金产品</t>
  </si>
  <si>
    <t>开放式--安鑫利365--202009</t>
  </si>
  <si>
    <t>开放式--嘉年2号--202009</t>
  </si>
  <si>
    <t>开放式--福寿广源1号--202009</t>
  </si>
  <si>
    <t>开放式--安鑫盈360--202009</t>
  </si>
  <si>
    <t>开放式--广源190--202009</t>
  </si>
  <si>
    <t>开放式--月月理财--202009</t>
  </si>
  <si>
    <t>封闭式基础管理费--202009</t>
  </si>
  <si>
    <t>封闭式</t>
    <phoneticPr fontId="18" type="noConversion"/>
  </si>
  <si>
    <t>基础管理费</t>
    <phoneticPr fontId="18" type="noConversion"/>
  </si>
  <si>
    <t>徽商银行信托</t>
    <phoneticPr fontId="18" type="noConversion"/>
  </si>
  <si>
    <t>CL0097</t>
  </si>
  <si>
    <t>国寿养老质优甄选信托产品型养老金产品（18期）</t>
  </si>
  <si>
    <t>求和项:应收管理费</t>
  </si>
  <si>
    <t>混合型</t>
  </si>
  <si>
    <t>混合型</t>
    <phoneticPr fontId="18" type="noConversion"/>
  </si>
  <si>
    <t>股票型</t>
  </si>
  <si>
    <t>FOF</t>
  </si>
  <si>
    <t>货币型</t>
  </si>
  <si>
    <t>存款型</t>
  </si>
  <si>
    <t>存款型</t>
    <phoneticPr fontId="18" type="noConversion"/>
  </si>
  <si>
    <t>优先股</t>
  </si>
  <si>
    <t>基础设施债权</t>
  </si>
  <si>
    <t>基础设施债权</t>
    <phoneticPr fontId="18" type="noConversion"/>
  </si>
  <si>
    <t>信托型</t>
  </si>
  <si>
    <t>信托型</t>
    <phoneticPr fontId="18" type="noConversion"/>
  </si>
  <si>
    <t>固收型</t>
  </si>
  <si>
    <t>固收型</t>
    <phoneticPr fontId="18" type="noConversion"/>
  </si>
  <si>
    <t>混合型</t>
    <phoneticPr fontId="18" type="noConversion"/>
  </si>
  <si>
    <t>债券型</t>
  </si>
  <si>
    <t>债券型</t>
    <phoneticPr fontId="18" type="noConversion"/>
  </si>
  <si>
    <t>固收型</t>
    <phoneticPr fontId="18" type="noConversion"/>
  </si>
  <si>
    <t>固收型</t>
    <phoneticPr fontId="18" type="noConversion"/>
  </si>
  <si>
    <t>股票型</t>
    <phoneticPr fontId="18" type="noConversion"/>
  </si>
  <si>
    <t>固收型</t>
    <phoneticPr fontId="18" type="noConversion"/>
  </si>
  <si>
    <t>FOF</t>
    <phoneticPr fontId="18" type="noConversion"/>
  </si>
  <si>
    <t>混合型</t>
    <phoneticPr fontId="18" type="noConversion"/>
  </si>
  <si>
    <t>混合型</t>
    <phoneticPr fontId="18" type="noConversion"/>
  </si>
  <si>
    <t>固收型</t>
    <phoneticPr fontId="18" type="noConversion"/>
  </si>
  <si>
    <t>保险产品</t>
  </si>
  <si>
    <t>保险产品</t>
    <phoneticPr fontId="18" type="noConversion"/>
  </si>
  <si>
    <t>基础设施债权</t>
    <phoneticPr fontId="18" type="noConversion"/>
  </si>
  <si>
    <t>信托型</t>
    <phoneticPr fontId="18" type="noConversion"/>
  </si>
  <si>
    <t>信托型</t>
    <phoneticPr fontId="18" type="noConversion"/>
  </si>
  <si>
    <t>产品类型</t>
    <phoneticPr fontId="18" type="noConversion"/>
  </si>
  <si>
    <t>产品类型</t>
    <phoneticPr fontId="18" type="noConversion"/>
  </si>
  <si>
    <t>管理费收入</t>
    <phoneticPr fontId="18" type="noConversion"/>
  </si>
  <si>
    <t>CL0042</t>
  </si>
  <si>
    <t>国寿养老稳健3号固定收益型养老金产品</t>
  </si>
  <si>
    <t>开放式--安鑫利365--202010</t>
  </si>
  <si>
    <t>开放式--嘉年2号--202010</t>
  </si>
  <si>
    <t>开放式--福寿广源1号--202010</t>
  </si>
  <si>
    <t>开放式--安鑫盈360--202010</t>
  </si>
  <si>
    <t>开放式--广源190--202010</t>
  </si>
  <si>
    <t>开放式--月月理财--202010</t>
  </si>
  <si>
    <t>封闭式基础管理费--202010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</si>
</sst>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 * #,##0.00_ ;_ * \-#,##0.00_ ;_ * &quot;-&quot;??_ ;_ @_ "/>
    <numFmt numFmtId="176" formatCode="0.00_ "/>
  </numFmts>
  <fonts count="22">
    <font>
      <sz val="11"/>
      <color theme="1"/>
      <name val="等线"/>
      <charset val="134"/>
      <scheme val="minor"/>
    </font>
    <font>
      <b/>
      <sz val="10"/>
      <name val="楷体_GB2312"/>
      <charset val="134"/>
    </font>
    <font>
      <sz val="10"/>
      <name val="Times New Roman"/>
      <family val="1"/>
    </font>
    <font>
      <sz val="14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14"/>
      <name val="等线"/>
      <family val="3"/>
      <charset val="134"/>
      <scheme val="minor"/>
    </font>
    <font>
      <sz val="14"/>
      <name val="Times New Roman"/>
      <family val="1"/>
    </font>
    <font>
      <b/>
      <sz val="14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sz val="11"/>
      <color indexed="8"/>
      <name val="黑体"/>
      <family val="3"/>
      <charset val="134"/>
    </font>
    <font>
      <sz val="10"/>
      <name val="宋体"/>
      <family val="3"/>
      <charset val="134"/>
    </font>
    <font>
      <b/>
      <sz val="10"/>
      <name val="仿宋_GB2312"/>
      <charset val="134"/>
    </font>
    <font>
      <sz val="12"/>
      <name val="Times New Roman"/>
      <family val="1"/>
    </font>
    <font>
      <b/>
      <sz val="14"/>
      <color theme="1"/>
      <name val="等线"/>
      <family val="3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b/>
      <sz val="10"/>
      <name val="仿宋_GB2312"/>
      <family val="3"/>
      <charset val="134"/>
    </font>
    <font>
      <sz val="14"/>
      <color theme="1"/>
      <name val="Times New Roman"/>
      <family val="1"/>
    </font>
    <font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>
      <alignment vertical="center"/>
    </xf>
    <xf numFmtId="43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43" fontId="14" fillId="0" borderId="0" applyFont="0" applyFill="0" applyBorder="0" applyAlignment="0" applyProtection="0">
      <alignment vertical="center"/>
    </xf>
    <xf numFmtId="0" fontId="2" fillId="0" borderId="0">
      <protection locked="0"/>
    </xf>
    <xf numFmtId="43" fontId="14" fillId="0" borderId="0" applyFont="0" applyFill="0" applyBorder="0" applyAlignment="0" applyProtection="0">
      <alignment vertical="center"/>
    </xf>
    <xf numFmtId="0" fontId="2" fillId="0" borderId="0">
      <protection locked="0"/>
    </xf>
    <xf numFmtId="0" fontId="2" fillId="0" borderId="0">
      <protection locked="0"/>
    </xf>
    <xf numFmtId="0" fontId="2" fillId="0" borderId="0">
      <protection locked="0"/>
    </xf>
  </cellStyleXfs>
  <cellXfs count="112">
    <xf numFmtId="0" fontId="0" fillId="0" borderId="0" xfId="0">
      <alignment vertical="center"/>
    </xf>
    <xf numFmtId="43" fontId="1" fillId="2" borderId="1" xfId="3" applyFont="1" applyFill="1" applyBorder="1" applyAlignment="1" applyProtection="1">
      <alignment horizontal="center" vertical="center" wrapText="1"/>
      <protection locked="0"/>
    </xf>
    <xf numFmtId="43" fontId="1" fillId="2" borderId="1" xfId="3" applyFont="1" applyFill="1" applyBorder="1" applyAlignment="1">
      <alignment horizontal="center" vertical="center" wrapText="1"/>
    </xf>
    <xf numFmtId="0" fontId="2" fillId="0" borderId="1" xfId="7" applyBorder="1">
      <protection locked="0"/>
    </xf>
    <xf numFmtId="43" fontId="2" fillId="0" borderId="1" xfId="1" applyFont="1" applyBorder="1" applyAlignment="1" applyProtection="1">
      <protection locked="0"/>
    </xf>
    <xf numFmtId="0" fontId="2" fillId="0" borderId="1" xfId="6" applyBorder="1">
      <protection locked="0"/>
    </xf>
    <xf numFmtId="14" fontId="0" fillId="0" borderId="0" xfId="0" applyNumberFormat="1">
      <alignment vertical="center"/>
    </xf>
    <xf numFmtId="0" fontId="3" fillId="0" borderId="1" xfId="4" applyFont="1" applyBorder="1" applyAlignment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5" fillId="3" borderId="1" xfId="0" applyFont="1" applyFill="1" applyBorder="1" applyAlignment="1" applyProtection="1">
      <protection locked="0"/>
    </xf>
    <xf numFmtId="0" fontId="5" fillId="0" borderId="1" xfId="0" applyFont="1" applyBorder="1" applyAlignment="1" applyProtection="1">
      <protection locked="0"/>
    </xf>
    <xf numFmtId="43" fontId="0" fillId="0" borderId="1" xfId="0" applyNumberFormat="1" applyBorder="1" applyAlignment="1" applyProtection="1">
      <protection locked="0"/>
    </xf>
    <xf numFmtId="0" fontId="5" fillId="0" borderId="1" xfId="0" applyFont="1" applyFill="1" applyBorder="1" applyAlignment="1" applyProtection="1">
      <alignment horizontal="center"/>
      <protection locked="0"/>
    </xf>
    <xf numFmtId="43" fontId="5" fillId="0" borderId="1" xfId="1" applyFont="1" applyFill="1" applyBorder="1" applyAlignment="1" applyProtection="1">
      <alignment horizontal="center"/>
      <protection locked="0"/>
    </xf>
    <xf numFmtId="0" fontId="5" fillId="0" borderId="1" xfId="0" applyFont="1" applyFill="1" applyBorder="1" applyAlignment="1" applyProtection="1">
      <protection locked="0"/>
    </xf>
    <xf numFmtId="176" fontId="5" fillId="0" borderId="1" xfId="0" applyNumberFormat="1" applyFont="1" applyFill="1" applyBorder="1" applyAlignment="1" applyProtection="1">
      <protection locked="0"/>
    </xf>
    <xf numFmtId="176" fontId="5" fillId="0" borderId="1" xfId="1" applyNumberFormat="1" applyFont="1" applyFill="1" applyBorder="1" applyAlignment="1" applyProtection="1">
      <protection locked="0"/>
    </xf>
    <xf numFmtId="0" fontId="0" fillId="0" borderId="1" xfId="0" applyBorder="1">
      <alignment vertical="center"/>
    </xf>
    <xf numFmtId="43" fontId="5" fillId="0" borderId="1" xfId="1" applyFont="1" applyBorder="1" applyAlignment="1" applyProtection="1">
      <protection locked="0"/>
    </xf>
    <xf numFmtId="43" fontId="6" fillId="0" borderId="1" xfId="1" applyFont="1" applyFill="1" applyBorder="1" applyAlignment="1" applyProtection="1">
      <protection locked="0"/>
    </xf>
    <xf numFmtId="0" fontId="6" fillId="0" borderId="1" xfId="4" applyFont="1" applyBorder="1" applyAlignment="1">
      <alignment horizont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43" fontId="0" fillId="0" borderId="1" xfId="1" applyFont="1" applyBorder="1" applyAlignment="1" applyProtection="1">
      <protection locked="0"/>
    </xf>
    <xf numFmtId="43" fontId="6" fillId="0" borderId="1" xfId="1" applyFont="1" applyBorder="1" applyAlignment="1" applyProtection="1">
      <alignment horizontal="center"/>
      <protection locked="0"/>
    </xf>
    <xf numFmtId="57" fontId="0" fillId="0" borderId="0" xfId="0" applyNumberFormat="1">
      <alignment vertical="center"/>
    </xf>
    <xf numFmtId="0" fontId="0" fillId="4" borderId="0" xfId="0" applyFill="1">
      <alignment vertical="center"/>
    </xf>
    <xf numFmtId="0" fontId="7" fillId="0" borderId="1" xfId="0" applyFont="1" applyBorder="1" applyAlignment="1" applyProtection="1">
      <alignment horizontal="center"/>
      <protection locked="0"/>
    </xf>
    <xf numFmtId="43" fontId="7" fillId="4" borderId="1" xfId="1" applyFont="1" applyFill="1" applyBorder="1" applyAlignment="1" applyProtection="1">
      <alignment horizontal="center"/>
      <protection locked="0"/>
    </xf>
    <xf numFmtId="43" fontId="7" fillId="0" borderId="1" xfId="1" applyFont="1" applyBorder="1" applyAlignment="1" applyProtection="1">
      <alignment horizontal="center"/>
      <protection locked="0"/>
    </xf>
    <xf numFmtId="43" fontId="7" fillId="0" borderId="2" xfId="1" applyFont="1" applyFill="1" applyBorder="1" applyAlignment="1" applyProtection="1">
      <alignment horizontal="center"/>
      <protection locked="0"/>
    </xf>
    <xf numFmtId="0" fontId="8" fillId="0" borderId="1" xfId="0" applyFont="1" applyBorder="1" applyAlignment="1" applyProtection="1">
      <protection locked="0"/>
    </xf>
    <xf numFmtId="43" fontId="8" fillId="4" borderId="1" xfId="1" applyFont="1" applyFill="1" applyBorder="1" applyAlignment="1" applyProtection="1">
      <protection locked="0"/>
    </xf>
    <xf numFmtId="43" fontId="8" fillId="0" borderId="1" xfId="1" applyFont="1" applyBorder="1" applyAlignment="1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43" fontId="8" fillId="5" borderId="1" xfId="1" applyFont="1" applyFill="1" applyBorder="1" applyAlignment="1" applyProtection="1">
      <protection locked="0"/>
    </xf>
    <xf numFmtId="0" fontId="8" fillId="5" borderId="1" xfId="0" applyFont="1" applyFill="1" applyBorder="1" applyAlignment="1" applyProtection="1">
      <protection locked="0"/>
    </xf>
    <xf numFmtId="43" fontId="8" fillId="3" borderId="1" xfId="1" applyFont="1" applyFill="1" applyBorder="1" applyAlignment="1" applyProtection="1">
      <protection locked="0"/>
    </xf>
    <xf numFmtId="0" fontId="0" fillId="0" borderId="1" xfId="0" applyBorder="1" applyAlignment="1" applyProtection="1">
      <protection locked="0"/>
    </xf>
    <xf numFmtId="43" fontId="6" fillId="0" borderId="1" xfId="5" applyFont="1" applyBorder="1" applyAlignment="1" applyProtection="1">
      <protection locked="0"/>
    </xf>
    <xf numFmtId="43" fontId="6" fillId="4" borderId="1" xfId="5" applyFont="1" applyFill="1" applyBorder="1" applyAlignment="1" applyProtection="1">
      <protection locked="0"/>
    </xf>
    <xf numFmtId="0" fontId="9" fillId="0" borderId="3" xfId="0" applyFont="1" applyBorder="1" applyAlignment="1" applyProtection="1">
      <alignment horizontal="right" vertical="center" wrapText="1" readingOrder="1"/>
      <protection locked="0"/>
    </xf>
    <xf numFmtId="43" fontId="0" fillId="0" borderId="0" xfId="0" applyNumberFormat="1">
      <alignment vertical="center"/>
    </xf>
    <xf numFmtId="0" fontId="0" fillId="3" borderId="0" xfId="0" applyFill="1" applyAlignment="1">
      <alignment vertical="center" wrapText="1"/>
    </xf>
    <xf numFmtId="43" fontId="1" fillId="0" borderId="1" xfId="1" applyFont="1" applyFill="1" applyBorder="1" applyAlignment="1">
      <alignment horizontal="center" vertical="center" wrapText="1"/>
    </xf>
    <xf numFmtId="43" fontId="10" fillId="0" borderId="1" xfId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43" fontId="11" fillId="0" borderId="1" xfId="1" applyFont="1" applyFill="1" applyBorder="1" applyAlignment="1" applyProtection="1">
      <alignment horizontal="center" vertical="center" wrapText="1"/>
      <protection locked="0"/>
    </xf>
    <xf numFmtId="0" fontId="11" fillId="0" borderId="4" xfId="1" applyNumberFormat="1" applyFont="1" applyFill="1" applyBorder="1" applyAlignment="1" applyProtection="1">
      <alignment horizontal="center" vertical="center" wrapText="1"/>
      <protection locked="0"/>
    </xf>
    <xf numFmtId="0" fontId="11" fillId="0" borderId="5" xfId="3" applyNumberFormat="1" applyFont="1" applyFill="1" applyBorder="1" applyAlignment="1" applyProtection="1">
      <alignment horizontal="center" vertical="center" wrapText="1"/>
      <protection locked="0"/>
    </xf>
    <xf numFmtId="43" fontId="11" fillId="0" borderId="1" xfId="1" applyFont="1" applyFill="1" applyBorder="1" applyAlignment="1" applyProtection="1">
      <alignment horizontal="left" vertical="center" wrapText="1"/>
      <protection locked="0"/>
    </xf>
    <xf numFmtId="43" fontId="2" fillId="0" borderId="1" xfId="1" applyFont="1" applyFill="1" applyBorder="1" applyAlignment="1" applyProtection="1">
      <protection locked="0"/>
    </xf>
    <xf numFmtId="43" fontId="0" fillId="0" borderId="1" xfId="0" applyNumberFormat="1" applyBorder="1" applyAlignment="1" applyProtection="1">
      <alignment vertical="center"/>
      <protection locked="0"/>
    </xf>
    <xf numFmtId="14" fontId="0" fillId="0" borderId="0" xfId="0" applyNumberFormat="1" applyAlignment="1">
      <alignment horizontal="left"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3" borderId="0" xfId="0" applyFill="1">
      <alignment vertical="center"/>
    </xf>
    <xf numFmtId="43" fontId="11" fillId="0" borderId="1" xfId="1" applyFont="1" applyFill="1" applyBorder="1" applyAlignment="1" applyProtection="1">
      <alignment vertical="center" wrapText="1"/>
      <protection locked="0"/>
    </xf>
    <xf numFmtId="0" fontId="11" fillId="0" borderId="1" xfId="1" applyNumberFormat="1" applyFont="1" applyFill="1" applyBorder="1" applyAlignment="1" applyProtection="1">
      <alignment vertical="center" wrapText="1"/>
      <protection locked="0"/>
    </xf>
    <xf numFmtId="0" fontId="11" fillId="0" borderId="1" xfId="3" applyNumberFormat="1" applyFont="1" applyFill="1" applyBorder="1" applyAlignment="1" applyProtection="1">
      <alignment vertical="center" wrapText="1"/>
      <protection locked="0"/>
    </xf>
    <xf numFmtId="0" fontId="2" fillId="0" borderId="1" xfId="4" applyBorder="1">
      <protection locked="0"/>
    </xf>
    <xf numFmtId="43" fontId="12" fillId="0" borderId="1" xfId="1" applyFont="1" applyBorder="1" applyAlignment="1" applyProtection="1">
      <protection locked="0"/>
    </xf>
    <xf numFmtId="0" fontId="13" fillId="0" borderId="1" xfId="0" applyFont="1" applyBorder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locked="0"/>
    </xf>
    <xf numFmtId="43" fontId="8" fillId="0" borderId="1" xfId="1" applyFont="1" applyBorder="1" applyAlignment="1" applyProtection="1">
      <alignment horizontal="center"/>
      <protection locked="0"/>
    </xf>
    <xf numFmtId="43" fontId="0" fillId="0" borderId="0" xfId="1" applyFont="1">
      <alignment vertical="center"/>
    </xf>
    <xf numFmtId="43" fontId="0" fillId="0" borderId="1" xfId="1" applyFont="1" applyBorder="1" applyAlignment="1">
      <alignment horizontal="center" vertical="center"/>
    </xf>
    <xf numFmtId="10" fontId="0" fillId="0" borderId="0" xfId="2" applyNumberFormat="1" applyFont="1">
      <alignment vertical="center"/>
    </xf>
    <xf numFmtId="43" fontId="19" fillId="0" borderId="6" xfId="1" applyFont="1" applyFill="1" applyBorder="1" applyAlignment="1" applyProtection="1">
      <alignment horizontal="left" vertical="center" wrapText="1"/>
      <protection locked="0"/>
    </xf>
    <xf numFmtId="43" fontId="10" fillId="0" borderId="6" xfId="1" applyFont="1" applyFill="1" applyBorder="1" applyAlignment="1">
      <alignment vertical="center" wrapText="1"/>
    </xf>
    <xf numFmtId="43" fontId="8" fillId="0" borderId="6" xfId="1" applyFont="1" applyBorder="1" applyAlignment="1" applyProtection="1">
      <protection locked="0"/>
    </xf>
    <xf numFmtId="43" fontId="6" fillId="0" borderId="6" xfId="1" applyFont="1" applyFill="1" applyBorder="1" applyAlignment="1" applyProtection="1">
      <protection locked="0"/>
    </xf>
    <xf numFmtId="0" fontId="8" fillId="0" borderId="6" xfId="0" applyFont="1" applyBorder="1" applyAlignment="1" applyProtection="1">
      <protection locked="0"/>
    </xf>
    <xf numFmtId="43" fontId="5" fillId="0" borderId="6" xfId="1" applyFont="1" applyBorder="1" applyAlignment="1" applyProtection="1">
      <protection locked="0"/>
    </xf>
    <xf numFmtId="0" fontId="2" fillId="0" borderId="6" xfId="6" applyFill="1" applyBorder="1" applyAlignment="1">
      <protection locked="0"/>
    </xf>
    <xf numFmtId="0" fontId="2" fillId="0" borderId="6" xfId="6" applyFill="1" applyBorder="1" applyAlignment="1">
      <alignment horizontal="center"/>
      <protection locked="0"/>
    </xf>
    <xf numFmtId="0" fontId="2" fillId="0" borderId="6" xfId="8" applyFill="1" applyBorder="1" applyAlignment="1">
      <alignment horizontal="center"/>
      <protection locked="0"/>
    </xf>
    <xf numFmtId="43" fontId="10" fillId="0" borderId="6" xfId="1" applyFont="1" applyFill="1" applyBorder="1" applyAlignment="1" applyProtection="1">
      <protection locked="0"/>
    </xf>
    <xf numFmtId="0" fontId="17" fillId="0" borderId="0" xfId="0" applyFont="1">
      <alignment vertical="center"/>
    </xf>
    <xf numFmtId="0" fontId="4" fillId="0" borderId="7" xfId="0" applyFont="1" applyFill="1" applyBorder="1" applyAlignment="1" applyProtection="1">
      <alignment horizontal="center" vertical="center"/>
      <protection locked="0"/>
    </xf>
    <xf numFmtId="0" fontId="8" fillId="0" borderId="8" xfId="0" applyFont="1" applyBorder="1" applyAlignment="1" applyProtection="1">
      <alignment horizontal="center"/>
      <protection locked="0"/>
    </xf>
    <xf numFmtId="43" fontId="8" fillId="0" borderId="8" xfId="1" applyFont="1" applyBorder="1" applyAlignment="1" applyProtection="1">
      <alignment horizontal="center"/>
      <protection locked="0"/>
    </xf>
    <xf numFmtId="43" fontId="8" fillId="0" borderId="8" xfId="1" applyFont="1" applyBorder="1" applyAlignment="1" applyProtection="1">
      <protection locked="0"/>
    </xf>
    <xf numFmtId="0" fontId="8" fillId="0" borderId="8" xfId="0" applyFont="1" applyBorder="1" applyAlignment="1" applyProtection="1">
      <protection locked="0"/>
    </xf>
    <xf numFmtId="0" fontId="5" fillId="0" borderId="8" xfId="0" applyFont="1" applyFill="1" applyBorder="1" applyAlignment="1" applyProtection="1">
      <protection locked="0"/>
    </xf>
    <xf numFmtId="43" fontId="5" fillId="0" borderId="8" xfId="1" applyFont="1" applyBorder="1" applyAlignment="1" applyProtection="1">
      <protection locked="0"/>
    </xf>
    <xf numFmtId="0" fontId="5" fillId="0" borderId="8" xfId="1" applyNumberFormat="1" applyFont="1" applyFill="1" applyBorder="1" applyAlignment="1" applyProtection="1">
      <alignment horizontal="center"/>
      <protection locked="0"/>
    </xf>
    <xf numFmtId="43" fontId="6" fillId="0" borderId="8" xfId="1" applyFont="1" applyFill="1" applyBorder="1" applyAlignment="1" applyProtection="1">
      <protection locked="0"/>
    </xf>
    <xf numFmtId="0" fontId="2" fillId="6" borderId="8" xfId="0" applyFont="1" applyFill="1" applyBorder="1" applyAlignment="1" applyProtection="1">
      <alignment horizontal="left" vertical="center" wrapText="1"/>
      <protection locked="0"/>
    </xf>
    <xf numFmtId="43" fontId="2" fillId="6" borderId="8" xfId="1" applyFont="1" applyFill="1" applyBorder="1" applyAlignment="1" applyProtection="1">
      <alignment vertical="center" wrapText="1"/>
      <protection locked="0"/>
    </xf>
    <xf numFmtId="43" fontId="19" fillId="0" borderId="8" xfId="1" applyFont="1" applyFill="1" applyBorder="1" applyAlignment="1" applyProtection="1">
      <alignment horizontal="left" vertical="center" wrapText="1"/>
      <protection locked="0"/>
    </xf>
    <xf numFmtId="43" fontId="2" fillId="0" borderId="8" xfId="1" applyFont="1" applyBorder="1" applyAlignment="1" applyProtection="1">
      <protection locked="0"/>
    </xf>
    <xf numFmtId="0" fontId="3" fillId="0" borderId="8" xfId="4" applyFont="1" applyBorder="1" applyAlignment="1">
      <alignment horizontal="center"/>
      <protection locked="0"/>
    </xf>
    <xf numFmtId="0" fontId="3" fillId="0" borderId="8" xfId="4" applyFont="1" applyFill="1" applyBorder="1" applyAlignment="1">
      <alignment horizontal="center"/>
      <protection locked="0"/>
    </xf>
    <xf numFmtId="0" fontId="3" fillId="0" borderId="8" xfId="4" applyFont="1" applyBorder="1" applyAlignment="1">
      <alignment horizontal="left"/>
      <protection locked="0"/>
    </xf>
    <xf numFmtId="43" fontId="20" fillId="0" borderId="8" xfId="5" applyFont="1" applyBorder="1" applyAlignment="1" applyProtection="1">
      <protection locked="0"/>
    </xf>
    <xf numFmtId="43" fontId="20" fillId="0" borderId="8" xfId="5" applyFont="1" applyFill="1" applyBorder="1" applyAlignment="1" applyProtection="1">
      <protection locked="0"/>
    </xf>
    <xf numFmtId="43" fontId="6" fillId="0" borderId="8" xfId="5" applyFont="1" applyBorder="1" applyAlignment="1" applyProtection="1">
      <protection locked="0"/>
    </xf>
    <xf numFmtId="0" fontId="0" fillId="0" borderId="0" xfId="0" pivotButton="1">
      <alignment vertical="center"/>
    </xf>
    <xf numFmtId="0" fontId="0" fillId="0" borderId="0" xfId="0" applyAlignment="1" applyProtection="1">
      <protection locked="0"/>
    </xf>
    <xf numFmtId="43" fontId="6" fillId="0" borderId="9" xfId="1" applyFont="1" applyFill="1" applyBorder="1" applyAlignment="1" applyProtection="1">
      <protection locked="0"/>
    </xf>
    <xf numFmtId="43" fontId="0" fillId="0" borderId="0" xfId="1" applyFont="1" applyAlignment="1" applyProtection="1">
      <protection locked="0"/>
    </xf>
    <xf numFmtId="0" fontId="0" fillId="3" borderId="0" xfId="0" applyFill="1" applyAlignment="1" applyProtection="1">
      <protection locked="0"/>
    </xf>
    <xf numFmtId="0" fontId="0" fillId="7" borderId="0" xfId="0" applyFill="1">
      <alignment vertical="center"/>
    </xf>
    <xf numFmtId="0" fontId="21" fillId="7" borderId="0" xfId="0" applyFont="1" applyFill="1" applyBorder="1" applyAlignment="1" applyProtection="1"/>
    <xf numFmtId="0" fontId="17" fillId="7" borderId="0" xfId="0" applyFont="1" applyFill="1">
      <alignment vertical="center"/>
    </xf>
    <xf numFmtId="14" fontId="0" fillId="7" borderId="0" xfId="0" applyNumberFormat="1" applyFill="1">
      <alignment vertical="center"/>
    </xf>
    <xf numFmtId="0" fontId="2" fillId="0" borderId="0" xfId="8" applyBorder="1">
      <protection locked="0"/>
    </xf>
    <xf numFmtId="43" fontId="2" fillId="0" borderId="0" xfId="1" applyFont="1" applyBorder="1" applyAlignment="1" applyProtection="1">
      <protection locked="0"/>
    </xf>
    <xf numFmtId="14" fontId="0" fillId="0" borderId="0" xfId="0" applyNumberFormat="1" applyAlignment="1" applyProtection="1">
      <protection locked="0"/>
    </xf>
    <xf numFmtId="0" fontId="0" fillId="0" borderId="0" xfId="0" applyFont="1" applyAlignment="1" applyProtection="1"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</cellXfs>
  <cellStyles count="9">
    <cellStyle name="百分比" xfId="2" builtinId="5"/>
    <cellStyle name="常规" xfId="0" builtinId="0"/>
    <cellStyle name="常规 10" xfId="8"/>
    <cellStyle name="常规 2" xfId="6"/>
    <cellStyle name="常规 54" xfId="4"/>
    <cellStyle name="常规 7" xfId="7"/>
    <cellStyle name="千位分隔" xfId="1" builtinId="3"/>
    <cellStyle name="千位分隔 110 2" xfId="5"/>
    <cellStyle name="千位分隔 4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4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3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养老金产品管理费收入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养老金明细!$U$2</c:f>
              <c:strCache>
                <c:ptCount val="1"/>
                <c:pt idx="0">
                  <c:v>管理费收入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养老金明细!$S$3:$S$13</c:f>
              <c:strCache>
                <c:ptCount val="11"/>
                <c:pt idx="0">
                  <c:v>信托型</c:v>
                </c:pt>
                <c:pt idx="1">
                  <c:v>混合型</c:v>
                </c:pt>
                <c:pt idx="2">
                  <c:v>固收型</c:v>
                </c:pt>
                <c:pt idx="3">
                  <c:v>基础设施债权</c:v>
                </c:pt>
                <c:pt idx="4">
                  <c:v>股票型</c:v>
                </c:pt>
                <c:pt idx="5">
                  <c:v>货币型</c:v>
                </c:pt>
                <c:pt idx="6">
                  <c:v>存款型</c:v>
                </c:pt>
                <c:pt idx="7">
                  <c:v>债券型</c:v>
                </c:pt>
                <c:pt idx="8">
                  <c:v>FOF</c:v>
                </c:pt>
                <c:pt idx="9">
                  <c:v>优先股</c:v>
                </c:pt>
                <c:pt idx="10">
                  <c:v>保险产品</c:v>
                </c:pt>
              </c:strCache>
            </c:strRef>
          </c:cat>
          <c:val>
            <c:numRef>
              <c:f>养老金明细!$U$3:$U$13</c:f>
              <c:numCache>
                <c:formatCode>General</c:formatCode>
                <c:ptCount val="11"/>
                <c:pt idx="0">
                  <c:v>145.49689900000001</c:v>
                </c:pt>
                <c:pt idx="1">
                  <c:v>92.818684000000047</c:v>
                </c:pt>
                <c:pt idx="2">
                  <c:v>84.075507999999999</c:v>
                </c:pt>
                <c:pt idx="3">
                  <c:v>63.967076000000048</c:v>
                </c:pt>
                <c:pt idx="4">
                  <c:v>57.971500999999989</c:v>
                </c:pt>
                <c:pt idx="5">
                  <c:v>23.063472999999995</c:v>
                </c:pt>
                <c:pt idx="6">
                  <c:v>7.226737</c:v>
                </c:pt>
                <c:pt idx="7">
                  <c:v>5.4983480000000009</c:v>
                </c:pt>
                <c:pt idx="8">
                  <c:v>2.3636590000000002</c:v>
                </c:pt>
                <c:pt idx="9">
                  <c:v>8.7672000000000028E-2</c:v>
                </c:pt>
                <c:pt idx="10">
                  <c:v>1.6471E-2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00-48FF-8AE6-5322F3C043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3578064"/>
        <c:axId val="1053572656"/>
      </c:barChart>
      <c:catAx>
        <c:axId val="1053578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53572656"/>
        <c:crosses val="autoZero"/>
        <c:auto val="1"/>
        <c:lblAlgn val="ctr"/>
        <c:lblOffset val="100"/>
        <c:noMultiLvlLbl val="0"/>
      </c:catAx>
      <c:valAx>
        <c:axId val="1053572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单位：万元 </a:t>
                </a:r>
              </a:p>
            </c:rich>
          </c:tx>
          <c:layout>
            <c:manualLayout>
              <c:xMode val="edge"/>
              <c:yMode val="edge"/>
              <c:x val="0.05"/>
              <c:y val="0.261558763487897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535780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2255520</xdr:colOff>
      <xdr:row>12</xdr:row>
      <xdr:rowOff>148590</xdr:rowOff>
    </xdr:from>
    <xdr:to>
      <xdr:col>15</xdr:col>
      <xdr:colOff>53340</xdr:colOff>
      <xdr:row>28</xdr:row>
      <xdr:rowOff>87630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张曦" refreshedDate="43819.397999652778" createdVersion="6" refreshedVersion="6" minRefreshableVersion="3" recordCount="152">
  <cacheSource type="worksheet">
    <worksheetSource ref="A1:D1048576" sheet="单一计划（含税）"/>
  </cacheSource>
  <cacheFields count="4">
    <cacheField name="期间" numFmtId="0">
      <sharedItems containsDate="1" containsBlank="1" containsMixedTypes="1" minDate="2018-01-31T00:00:00" maxDate="2019-09-01T00:00:00" count="23">
        <d v="2018-04-30T00:00:00"/>
        <d v="2018-05-31T00:00:00"/>
        <d v="2018-06-30T00:00:00"/>
        <d v="2018-07-31T00:00:00"/>
        <d v="2018-08-31T00:00:00"/>
        <d v="2018-09-30T00:00:00"/>
        <d v="2018-10-31T00:00:00"/>
        <d v="2018-01-31T00:00:00"/>
        <d v="2018-02-28T00:00:00"/>
        <d v="2018-03-31T00:00:00"/>
        <d v="2018-11-30T00:00:00"/>
        <d v="2018-12-31T00:00:00"/>
        <s v="2018-13"/>
        <d v="2019-01-31T00:00:00"/>
        <d v="2019-02-28T00:00:00"/>
        <d v="2019-03-31T00:00:00"/>
        <d v="2019-04-30T00:00:00"/>
        <d v="2019-05-31T00:00:00"/>
        <d v="2019-06-30T00:00:00"/>
        <d v="2019-07-31T00:00:00"/>
        <d v="2019-08-31T00:00:00"/>
        <m/>
        <d v="2018-05-30T00:00:00" u="1"/>
      </sharedItems>
    </cacheField>
    <cacheField name="组合名称" numFmtId="0">
      <sharedItems containsBlank="1"/>
    </cacheField>
    <cacheField name="计提（含税含准备金）" numFmtId="0">
      <sharedItems containsString="0" containsBlank="1" containsNumber="1" minValue="-2029.9" maxValue="42802.39"/>
    </cacheField>
    <cacheField name="规范简称" numFmtId="0">
      <sharedItems containsBlank="1" count="10">
        <s v="安徽高速"/>
        <s v="安徽盐业"/>
        <s v="徽商集团"/>
        <s v="皖北煤电债权"/>
        <s v="皖北煤电信托"/>
        <s v="中铁四局"/>
        <s v="徽商银行信托"/>
        <s v="烟草肥外"/>
        <e v="#N/A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张婷" refreshedDate="44119.4019974537" createdVersion="6" refreshedVersion="6" minRefreshableVersion="3" recordCount="242">
  <cacheSource type="worksheet">
    <worksheetSource ref="B1:B1048576" sheet="单一计划（含税）"/>
  </cacheSource>
  <cacheFields count="1">
    <cacheField name="组合名称" numFmtId="0">
      <sharedItems containsBlank="1" count="14">
        <s v="安徽高速年金"/>
        <s v="安徽盐业年金(工行)"/>
        <s v="安徽徽商集团有限公司"/>
        <s v="皖北煤电债权"/>
        <s v="皖北煤电（集团）有限责任公司-信托组合"/>
        <s v="中铁四局集团有限公司"/>
        <s v="徽商银行股份有限公司信托组合"/>
        <s v="安徽烟草肥外年金"/>
        <s v="安徽古井"/>
        <s v="安徽中烟工业公司"/>
        <s v="国网安徽省电力公司"/>
        <s v="皖北煤电(集团）有限责任公司"/>
        <s v="徽商银行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张婷" refreshedDate="44124.471822800922" createdVersion="6" refreshedVersion="6" minRefreshableVersion="3" recordCount="1223">
  <cacheSource type="worksheet">
    <worksheetSource ref="A1:F1048576" sheet="养老金明细"/>
  </cacheSource>
  <cacheFields count="6">
    <cacheField name="期间" numFmtId="0">
      <sharedItems containsNonDate="0" containsDate="1" containsString="0" containsBlank="1" minDate="2020-07-31T00:00:00" maxDate="2020-10-01T00:00:00"/>
    </cacheField>
    <cacheField name="基金代码" numFmtId="0">
      <sharedItems containsBlank="1"/>
    </cacheField>
    <cacheField name="客户全称" numFmtId="0">
      <sharedItems containsBlank="1" count="63">
        <s v="永诚"/>
        <s v="永睿"/>
        <s v="工行中铁四局集团有限公司企业年金计划国寿组合"/>
        <s v="中行淮南矿业（集团）有限责任公司企业年金计划受托直投（国寿）"/>
        <s v="农行安徽古井集团有限责任公司企业年金计划国寿组合"/>
        <s v="永福"/>
        <s v="永乐"/>
        <s v="永颐"/>
        <s v="工行安徽省高速公路控股集团有限公司企业年金计划国寿组合"/>
        <s v="中行国网安徽省电力公司企业年金计划养老金专户平安组合"/>
        <s v="安徽省壹号职业年金计划国寿组合"/>
        <s v="安徽省肆号职业年金计划国寿组合"/>
        <s v="民生安徽省玖号职业年金计划国寿组合"/>
        <s v="永丰"/>
        <s v="永通"/>
        <s v="光大银行安徽新华传媒股份有限公司企业年金计划受托直投（国寿）"/>
        <s v="安徽省壹号职业年金计划国寿信托组合"/>
        <s v="永祥"/>
        <s v="交行安徽省徽商集团有限公司企业年金计划国寿组合"/>
        <s v="建行建信养老金管理有限责任公司企业年金计划建信组合"/>
        <s v="中行徽商银行股份有限公司企业年金计划国寿组合"/>
        <s v="中行安徽省皖北煤电集团有限责任公司企业年金计划国寿组合"/>
        <s v="工行安徽中烟工业有限责任公司企业年金计划国寿组合"/>
        <s v="中行淮南矿业（集团）有限责任公司企业年金计划海富通组合"/>
        <s v="中行安徽省皖北煤电集团有限责任公司企业年金计划国寿债权组合"/>
        <s v="光大中国烟草总公司安徽省公司企业年金计划平安固收组合"/>
        <s v="中行马钢（集团）控股有限公司企业年金计划海富通组合"/>
        <s v="工行铜陵有色金属集团控股有限公司企业年金计划海富通组合"/>
        <s v="工商银行海航集团有限公司企业年金计划海富通组合"/>
        <s v="中国银行淮北矿业（集团）有限责任公司企业年金计划海富通组合"/>
        <s v="工行安徽中烟工业有限责任公司企业年金计划海富通组合"/>
        <s v="光大中国烟草总公司安徽省公司企业年金计划国寿组合"/>
        <s v="工行铜陵有色金属集团控股有限公司企业年金计划受托直投（国寿）"/>
        <s v="中行国网安徽省电力公司企业年金计划国寿组合"/>
        <s v="招行深圳市机场（集团）有限公司企业年金计划受托直投（泰康养老）"/>
        <s v="中国银行河钢股份有限公司唐山分公司企业年金计划（嘉实）"/>
        <s v="中行安徽省皖北煤电集团有限责任公司企业年金计划受托直投（国寿）"/>
        <s v="工行昆明铁路局企业年金计划海富通组合"/>
        <s v="中信北京农村商业银行股份有限公司企业年金计划嘉实组合"/>
        <s v="建行厦门港务控股集团有限公司企业年金计划嘉实组合"/>
        <s v="招行天津津融投资服务集团有限公司企业年金计划受托直投（泰康养老）"/>
        <s v="工行青岛四方车辆研究所有限公司企业年金计划受托直投（泰康养老）"/>
        <s v="工行中国广核集团有限公司企业年金计划海富通组合"/>
        <s v="中行淮北矿业（集团）有限责任公司企业年金计划嘉实"/>
        <s v="建行安徽省能源集团有限公司企业年金计划嘉实"/>
        <s v="中行淮南矿业（集团）有限责任公司企业年金计划嘉实组合"/>
        <s v="建行中国电力建设集团有限公司企业年金计划受托直投标准组合（泰康养老）"/>
        <s v="招行泰康金色瑞泰企业年金集合计划受托直投平稳增长组合（泰康养老）"/>
        <s v="中行淮南矿业（集团）有限责任公司企业年金计划易方达组合"/>
        <s v="中行中国南方航空集团有限公司企业年金计划（太平）"/>
        <s v="工行四川九洲电器集团有限责任公司企业年金计划（太平）"/>
        <s v="光大云南省农村信用社企业年金计划中金组合"/>
        <s v="光大银行北京控股集团有限公司企业年金计划南方组合"/>
        <s v="中信银行中国航空集团公司企业年金计划南方组合"/>
        <s v="招商银行深圳市水务（集团）有限公司企业年金计划南方组合"/>
        <s v="交行太原供水集团有限公司企业年金计划受托直投（泰康养老）"/>
        <s v="中信中国国旅集团有限公司企业年金计划受托直投（泰康养老）"/>
        <s v="民生银行中国民生银行股份有限公司企业年金计划工银瑞信组合"/>
        <s v="建行神华集团有限责任公司企业年金计划工银瑞信组合"/>
        <s v="农行海航集团有限公司企业年金计划海富通组合"/>
        <s v="建行镇海石化建安工程有限公司企业年金计划受托直投（泰康养老）"/>
        <s v="中行北京控股集团有限公司企业年金计划南方组合"/>
        <m/>
      </sharedItems>
    </cacheField>
    <cacheField name="基金名称" numFmtId="0">
      <sharedItems containsBlank="1" count="82">
        <s v="国寿养老红运股票型养老金产品"/>
        <s v="国寿养老红盛债券型养老金产品"/>
        <s v="国寿养老红运混合型养老金产品"/>
        <s v="国寿养老红盛混合型养老金产品"/>
        <s v="国寿养老红运固定收益型养老金产品"/>
        <s v="国寿养老红利基础设施债权投资计划型养老金产品"/>
        <s v="国寿养老红利信托产品型养老金产品"/>
        <s v="国寿养老红泰优先股型养老金产品（1期）"/>
        <s v="国寿养老现金增利货币型养老金产品"/>
        <s v="国寿养老红利存款型养老金产品（1期）"/>
        <s v="国寿养老质优稳利基础设施债权投资计划型养老金产品（1期）"/>
        <s v="国寿养老红泰优先股型养老金产品（2期）"/>
        <s v="国寿养老质优甄选信托产品型养老金产品（2期）"/>
        <s v="国寿养老策略成长混合型养老金产品"/>
        <s v="国寿养老策略优选股票型养老金产品"/>
        <s v="国寿养老研究精选股票型养老金产品"/>
        <s v="国寿养老质优稳利基础设施债权投资计划型养老金产品（2期）"/>
        <s v="国寿养老红信固定收益型养老金产品"/>
        <s v="国寿养老红义固定收益型养老金产品"/>
        <s v="国寿养老红仁固定收益型养老金产品"/>
        <s v="国寿养老配置1号混合型养老金产品"/>
        <s v="国寿养老配置2号混合型养老金产品"/>
        <s v="国寿养老配置3号混合型养老金产品"/>
        <s v="国寿养老策略1号股票型养老金产品"/>
        <s v="国寿养老策略2号股票型养老金产品"/>
        <s v="国寿养老策略4号股票型养老金产品"/>
        <s v="国寿养老稳健1号固定收益型养老金产品"/>
        <s v="国寿养老质优安泰保险产品型养老金产品（5期）"/>
        <s v="国寿养老安享鑫祺混合型养老金产品"/>
        <s v="国寿养老质优稳利基础设施债权投资计划型养老金产品（3期）"/>
        <s v="国寿养老质优稳利基础设施债权投资计划型养老金产品（4期）"/>
        <s v="国寿养老红利存款型养老金产品（3期）"/>
        <s v="国寿养老红利存款型养老金产品（5期）"/>
        <s v="国寿养老红利存款型养老金产品（6期）"/>
        <s v="国寿养老红利存款型养老金产品（7期）"/>
        <s v="国寿养老稳健4号固定收益型养老金产品"/>
        <s v="国寿养老稳健5号固定收益型养老金产品"/>
        <s v="国寿养老稳健6号固定收益型养老金产品"/>
        <s v="国寿养老稳健8号固定收益型养老金产品"/>
        <s v="国寿养老策略5号股票型养老金产品"/>
        <s v="国寿养老策略6号股票型养老金产品"/>
        <s v="国寿养老策略8号股票型养老金产品"/>
        <s v="国寿养老策略9号股票型养老金产品"/>
        <s v="国寿养老红利存款型养老金产品（8期）"/>
        <s v="国寿养老质优甄选信托产品型养老金产品（12期）"/>
        <s v="国寿养老质优稳利基础设施债权投资计划型养老金产品（5期）"/>
        <s v="国寿养老配置6号混合型养老金产品"/>
        <s v="国寿养老量化多策略FOF混合型养老金产品"/>
        <s v="国寿养老质优稳利基础设施债权投资计划型养老金产品（6期）"/>
        <s v="国寿养老多元策略FOF固定收益型养老金产品"/>
        <s v="国寿养老质优增益基础设施债权投资计划型养老金产品（4期）"/>
        <s v="国寿养老质优稳利基础设施债权投资计划型养老金产品（8期）"/>
        <s v="国寿养老质优稳利基础设施债权投资计划型养老金产品（9期）"/>
        <s v="国寿养老质优稳利基础设施债权投资计划型养老金产品（10期）"/>
        <s v="国寿养老质优甄选信托产品型养老金产品（22期）"/>
        <s v="国寿养老质优甄选信托产品型养老金产品（23期）"/>
        <s v="国寿养老质优稳利基础设施债权投资计划型养老金产品（12期）"/>
        <s v="国寿养老质优稳利基础设施债权投资计划型养老金产品（13期）"/>
        <s v="国寿养老质优稳利基础设施债权投资计划型养老金产品（14期）"/>
        <s v="国寿养老质优稳利基础设施债权投资计划型养老金产品（16期）"/>
        <s v="国寿养老质优甄选信托产品型养老金产品（24期）"/>
        <s v="国寿养老质优甄选信托产品型养老金产品（25期）"/>
        <s v="国寿养老质优稳利基础设施债权投资计划型养老金产品（17期）"/>
        <s v="国寿养老质优稳利基础设施债权投资计划型养老金产品（19期）"/>
        <s v="国寿养老稳健9号固定收益型养老金产品"/>
        <s v="国寿养老安享鑫泰混合型养老金产品"/>
        <s v="国寿养老配置10号混合型养老金产品"/>
        <s v="国寿养老配置8号混合型养老金产品"/>
        <s v="国寿养老配置9号混合型养老金产品"/>
        <s v="国寿养老配置4号混合型养老金产品"/>
        <s v="国寿养老质优增益基础设施债权投资计划型养老金产品（3期）"/>
        <s v="国寿养老质优稳利基础设施债权投资计划型养老金产品（11期）"/>
        <s v="国寿养老红利存款型养老金产品（14期）"/>
        <s v="国寿养老红利存款型养老金产品（11期）"/>
        <s v="国寿养老生命周期2040混合型养老金产品"/>
        <s v="国寿养老生命周期2035混合型养老金产品"/>
        <s v="国寿养老生命周期2030混合型养老金产品"/>
        <s v="国寿养老配置5号混合型养老金产品"/>
        <s v="国寿养老质优稳利基础设施债权投资计划型养老金产品（20期）"/>
        <s v="国寿养老策略7号股票型养老金产品"/>
        <s v="国寿养老质优甄选信托产品型养老金产品（18期）"/>
        <m/>
      </sharedItems>
    </cacheField>
    <cacheField name="计划类型" numFmtId="0">
      <sharedItems containsBlank="1" count="4">
        <s v="集合计划"/>
        <s v="单一计划"/>
        <s v="职业年金"/>
        <m/>
      </sharedItems>
    </cacheField>
    <cacheField name="应收管理费" numFmtId="0">
      <sharedItems containsString="0" containsBlank="1" containsNumber="1" minValue="0.05" maxValue="390124.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张婷" refreshedDate="44124.479611921299" createdVersion="6" refreshedVersion="6" minRefreshableVersion="3" recordCount="1223">
  <cacheSource type="worksheet">
    <worksheetSource ref="A1:G1048576" sheet="养老金明细"/>
  </cacheSource>
  <cacheFields count="7">
    <cacheField name="期间" numFmtId="0">
      <sharedItems containsNonDate="0" containsDate="1" containsString="0" containsBlank="1" minDate="2020-07-31T00:00:00" maxDate="2020-10-01T00:00:00"/>
    </cacheField>
    <cacheField name="基金代码" numFmtId="0">
      <sharedItems containsBlank="1"/>
    </cacheField>
    <cacheField name="客户全称" numFmtId="0">
      <sharedItems containsBlank="1"/>
    </cacheField>
    <cacheField name="基金名称" numFmtId="0">
      <sharedItems containsBlank="1"/>
    </cacheField>
    <cacheField name="计划类型" numFmtId="0">
      <sharedItems containsBlank="1"/>
    </cacheField>
    <cacheField name="应收管理费" numFmtId="0">
      <sharedItems containsString="0" containsBlank="1" containsNumber="1" minValue="0.05" maxValue="390124.1"/>
    </cacheField>
    <cacheField name="产品类型" numFmtId="0">
      <sharedItems containsBlank="1" count="12">
        <s v="股票型"/>
        <s v="债券型"/>
        <s v="混合型"/>
        <s v="固收型"/>
        <s v="基础设施债权"/>
        <s v="信托型"/>
        <s v="优先股"/>
        <s v="货币型"/>
        <s v="存款型"/>
        <s v="保险产品"/>
        <s v="FOF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2">
  <r>
    <x v="0"/>
    <s v="安徽高速年金"/>
    <n v="8999.98"/>
    <x v="0"/>
  </r>
  <r>
    <x v="0"/>
    <s v="安徽盐业年金(工行)"/>
    <n v="5062.05"/>
    <x v="1"/>
  </r>
  <r>
    <x v="0"/>
    <s v="安徽徽商集团有限公司"/>
    <n v="1383.42"/>
    <x v="2"/>
  </r>
  <r>
    <x v="0"/>
    <s v="皖北煤电债权"/>
    <n v="9653.4100000000108"/>
    <x v="3"/>
  </r>
  <r>
    <x v="0"/>
    <s v="皖北煤电（集团）有限责任公司-信托组合"/>
    <n v="14201.75"/>
    <x v="4"/>
  </r>
  <r>
    <x v="0"/>
    <s v="中铁四局集团有限公司"/>
    <n v="8048.56"/>
    <x v="5"/>
  </r>
  <r>
    <x v="0"/>
    <s v="徽商银行股份有限公司信托组合"/>
    <n v="15831.36"/>
    <x v="6"/>
  </r>
  <r>
    <x v="1"/>
    <s v="安徽高速年金"/>
    <n v="9357.61"/>
    <x v="0"/>
  </r>
  <r>
    <x v="1"/>
    <s v="安徽盐业年金(工行)"/>
    <n v="5623.65"/>
    <x v="1"/>
  </r>
  <r>
    <x v="1"/>
    <s v="安徽徽商集团有限公司"/>
    <n v="1409.3"/>
    <x v="2"/>
  </r>
  <r>
    <x v="1"/>
    <s v="皖北煤电债权"/>
    <n v="10166.14"/>
    <x v="3"/>
  </r>
  <r>
    <x v="1"/>
    <s v="皖北煤电（集团）有限责任公司-信托组合"/>
    <n v="14705.26"/>
    <x v="4"/>
  </r>
  <r>
    <x v="1"/>
    <s v="中铁四局集团有限公司"/>
    <n v="8454.93"/>
    <x v="5"/>
  </r>
  <r>
    <x v="1"/>
    <s v="徽商银行股份有限公司信托组合"/>
    <n v="16368.67"/>
    <x v="6"/>
  </r>
  <r>
    <x v="2"/>
    <s v="安徽高速年金"/>
    <n v="9069.42"/>
    <x v="0"/>
  </r>
  <r>
    <x v="2"/>
    <s v="安徽盐业年金(工行)"/>
    <n v="5635.68"/>
    <x v="1"/>
  </r>
  <r>
    <x v="2"/>
    <s v="安徽徽商集团有限公司"/>
    <n v="1366.24"/>
    <x v="2"/>
  </r>
  <r>
    <x v="2"/>
    <s v="皖北煤电债权"/>
    <n v="9817.51"/>
    <x v="3"/>
  </r>
  <r>
    <x v="2"/>
    <s v="皖北煤电（集团）有限责任公司-信托组合"/>
    <n v="14290.98"/>
    <x v="4"/>
  </r>
  <r>
    <x v="2"/>
    <s v="中铁四局集团有限公司"/>
    <n v="7445.88"/>
    <x v="5"/>
  </r>
  <r>
    <x v="2"/>
    <s v="徽商银行股份有限公司信托组合"/>
    <n v="15914.21"/>
    <x v="6"/>
  </r>
  <r>
    <x v="3"/>
    <s v="安徽高速年金"/>
    <n v="9374.7800000000097"/>
    <x v="0"/>
  </r>
  <r>
    <x v="3"/>
    <s v="安徽盐业年金(工行)"/>
    <n v="5718.0099999999902"/>
    <x v="1"/>
  </r>
  <r>
    <x v="3"/>
    <s v="安徽徽商集团有限公司"/>
    <n v="1410.66"/>
    <x v="2"/>
  </r>
  <r>
    <x v="3"/>
    <s v="皖北煤电债权"/>
    <n v="10218.24"/>
    <x v="3"/>
  </r>
  <r>
    <x v="3"/>
    <s v="皖北煤电（集团）有限责任公司-信托组合"/>
    <n v="14817.97"/>
    <x v="4"/>
  </r>
  <r>
    <x v="3"/>
    <s v="中铁四局集团有限公司"/>
    <n v="7146.95"/>
    <x v="5"/>
  </r>
  <r>
    <x v="3"/>
    <s v="徽商银行股份有限公司信托组合"/>
    <n v="16489.080000000002"/>
    <x v="6"/>
  </r>
  <r>
    <x v="4"/>
    <s v="安徽高速年金"/>
    <n v="9474.4"/>
    <x v="0"/>
  </r>
  <r>
    <x v="4"/>
    <s v="安徽盐业年金(工行)"/>
    <n v="4538.63"/>
    <x v="1"/>
  </r>
  <r>
    <x v="4"/>
    <s v="安徽徽商集团有限公司"/>
    <n v="1432.45"/>
    <x v="2"/>
  </r>
  <r>
    <x v="4"/>
    <s v="皖北煤电债权"/>
    <n v="10252.36"/>
    <x v="3"/>
  </r>
  <r>
    <x v="4"/>
    <s v="皖北煤电（集团）有限责任公司-信托组合"/>
    <n v="14902.85"/>
    <x v="4"/>
  </r>
  <r>
    <x v="4"/>
    <s v="中铁四局集团有限公司"/>
    <n v="7233.55"/>
    <x v="5"/>
  </r>
  <r>
    <x v="4"/>
    <s v="徽商银行股份有限公司信托组合"/>
    <n v="16603.87"/>
    <x v="6"/>
  </r>
  <r>
    <x v="5"/>
    <s v="安徽高速年金"/>
    <n v="10575.88"/>
    <x v="0"/>
  </r>
  <r>
    <x v="5"/>
    <s v="安徽徽商集团有限公司"/>
    <n v="1388.81"/>
    <x v="2"/>
  </r>
  <r>
    <x v="5"/>
    <s v="皖北煤电债权"/>
    <n v="9958.99"/>
    <x v="3"/>
  </r>
  <r>
    <x v="5"/>
    <s v="皖北煤电（集团）有限责任公司-信托组合"/>
    <n v="14505.48"/>
    <x v="4"/>
  </r>
  <r>
    <x v="5"/>
    <s v="中铁四局集团有限公司"/>
    <n v="6401.33"/>
    <x v="5"/>
  </r>
  <r>
    <x v="5"/>
    <s v="徽商银行股份有限公司信托组合"/>
    <n v="16179.92"/>
    <x v="6"/>
  </r>
  <r>
    <x v="5"/>
    <s v="安徽盐业年金(工行)"/>
    <n v="-2029.9"/>
    <x v="1"/>
  </r>
  <r>
    <x v="6"/>
    <s v="安徽高速年金"/>
    <n v="10702.33"/>
    <x v="0"/>
  </r>
  <r>
    <x v="6"/>
    <s v="安徽徽商集团有限公司"/>
    <n v="1436.92"/>
    <x v="2"/>
  </r>
  <r>
    <x v="6"/>
    <s v="皖北煤电债权"/>
    <n v="10382.379999999999"/>
    <x v="3"/>
  </r>
  <r>
    <x v="6"/>
    <s v="皖北煤电（集团）有限责任公司-信托组合"/>
    <n v="15012.25"/>
    <x v="4"/>
  </r>
  <r>
    <x v="6"/>
    <s v="中铁四局集团有限公司"/>
    <n v="5817.6"/>
    <x v="5"/>
  </r>
  <r>
    <x v="6"/>
    <s v="徽商银行股份有限公司信托组合"/>
    <n v="16732.22"/>
    <x v="6"/>
  </r>
  <r>
    <x v="7"/>
    <s v="安徽高速年金"/>
    <n v="9302.56"/>
    <x v="0"/>
  </r>
  <r>
    <x v="7"/>
    <s v="安徽盐业年金(工行)"/>
    <n v="7072.96"/>
    <x v="1"/>
  </r>
  <r>
    <x v="7"/>
    <s v="安徽徽商集团有限公司"/>
    <n v="1430.52"/>
    <x v="2"/>
  </r>
  <r>
    <x v="7"/>
    <s v="皖北煤电债权"/>
    <n v="12816.44"/>
    <x v="3"/>
  </r>
  <r>
    <x v="7"/>
    <s v="皖北煤电（集团）有限责任公司-信托组合"/>
    <n v="14114.68"/>
    <x v="4"/>
  </r>
  <r>
    <x v="7"/>
    <s v="中铁四局集团有限公司"/>
    <n v="10964.62"/>
    <x v="5"/>
  </r>
  <r>
    <x v="7"/>
    <s v="徽商银行股份有限公司信托组合"/>
    <n v="12968.26"/>
    <x v="6"/>
  </r>
  <r>
    <x v="8"/>
    <s v="安徽高速年金"/>
    <n v="8375.92"/>
    <x v="0"/>
  </r>
  <r>
    <x v="8"/>
    <s v="安徽盐业年金(工行)"/>
    <n v="5648.26"/>
    <x v="1"/>
  </r>
  <r>
    <x v="8"/>
    <s v="安徽徽商集团有限公司"/>
    <n v="1297.44"/>
    <x v="2"/>
  </r>
  <r>
    <x v="8"/>
    <s v="皖北煤电债权"/>
    <n v="10700.88"/>
    <x v="3"/>
  </r>
  <r>
    <x v="8"/>
    <s v="皖北煤电（集团）有限责任公司-信托组合"/>
    <n v="12156.52"/>
    <x v="4"/>
  </r>
  <r>
    <x v="8"/>
    <s v="中铁四局集团有限公司"/>
    <n v="9545.4500000000007"/>
    <x v="5"/>
  </r>
  <r>
    <x v="8"/>
    <s v="徽商银行股份有限公司信托组合"/>
    <n v="14588.66"/>
    <x v="6"/>
  </r>
  <r>
    <x v="9"/>
    <s v="安徽高速年金"/>
    <n v="9285.85"/>
    <x v="0"/>
  </r>
  <r>
    <x v="9"/>
    <s v="安徽盐业年金(工行)"/>
    <n v="5543.16"/>
    <x v="1"/>
  </r>
  <r>
    <x v="9"/>
    <s v="安徽徽商集团有限公司"/>
    <n v="1442.24"/>
    <x v="2"/>
  </r>
  <r>
    <x v="9"/>
    <s v="皖北煤电债权"/>
    <n v="10349.06"/>
    <x v="3"/>
  </r>
  <r>
    <x v="9"/>
    <s v="皖北煤电（集团）有限责任公司-信托组合"/>
    <n v="14277.12"/>
    <x v="4"/>
  </r>
  <r>
    <x v="9"/>
    <s v="中铁四局集团有限公司"/>
    <n v="9636.81"/>
    <x v="5"/>
  </r>
  <r>
    <x v="9"/>
    <s v="徽商银行股份有限公司信托组合"/>
    <n v="16037.76"/>
    <x v="6"/>
  </r>
  <r>
    <x v="10"/>
    <s v="安徽高速年金"/>
    <n v="10603.3"/>
    <x v="0"/>
  </r>
  <r>
    <x v="10"/>
    <s v="安徽徽商集团有限公司"/>
    <n v="1416.87"/>
    <x v="2"/>
  </r>
  <r>
    <x v="10"/>
    <s v="皖北煤电债权"/>
    <n v="9444.8499999999894"/>
    <x v="3"/>
  </r>
  <r>
    <x v="10"/>
    <s v="皖北煤电（集团）有限责任公司-信托组合"/>
    <n v="14660.74"/>
    <x v="4"/>
  </r>
  <r>
    <x v="10"/>
    <s v="中铁四局集团有限公司"/>
    <n v="5239.4800000000096"/>
    <x v="5"/>
  </r>
  <r>
    <x v="10"/>
    <s v="徽商银行股份有限公司信托组合"/>
    <n v="16375.03"/>
    <x v="6"/>
  </r>
  <r>
    <x v="11"/>
    <s v="安徽高速年金"/>
    <n v="10848.09"/>
    <x v="0"/>
  </r>
  <r>
    <x v="11"/>
    <s v="安徽徽商集团有限公司"/>
    <n v="1488.54"/>
    <x v="2"/>
  </r>
  <r>
    <x v="11"/>
    <s v="皖北煤电债权"/>
    <n v="7795.42"/>
    <x v="3"/>
  </r>
  <r>
    <x v="11"/>
    <s v="皖北煤电（集团）有限责任公司-信托组合"/>
    <n v="15172.49"/>
    <x v="4"/>
  </r>
  <r>
    <x v="11"/>
    <s v="中铁四局集团有限公司"/>
    <n v="6146.75"/>
    <x v="5"/>
  </r>
  <r>
    <x v="11"/>
    <s v="徽商银行股份有限公司信托组合"/>
    <n v="16941.5"/>
    <x v="6"/>
  </r>
  <r>
    <x v="12"/>
    <s v="安徽高速年金"/>
    <n v="367.15000000000902"/>
    <x v="0"/>
  </r>
  <r>
    <x v="12"/>
    <s v="安徽徽商集团有限公司"/>
    <n v="17.090000000000099"/>
    <x v="2"/>
  </r>
  <r>
    <x v="12"/>
    <s v="皖北煤电债权"/>
    <n v="-985.79999999998802"/>
    <x v="3"/>
  </r>
  <r>
    <x v="12"/>
    <s v="皖北煤电（集团）有限责任公司-信托组合"/>
    <n v="193.82000000000701"/>
    <x v="4"/>
  </r>
  <r>
    <x v="12"/>
    <s v="中铁四局集团有限公司"/>
    <n v="-630.25"/>
    <x v="5"/>
  </r>
  <r>
    <x v="12"/>
    <s v="徽商银行股份有限公司信托组合"/>
    <n v="277.66999999998399"/>
    <x v="6"/>
  </r>
  <r>
    <x v="13"/>
    <s v="安徽高速年金"/>
    <n v="11791.18"/>
    <x v="0"/>
  </r>
  <r>
    <x v="13"/>
    <s v="安徽烟草肥外年金"/>
    <n v="42454.05"/>
    <x v="7"/>
  </r>
  <r>
    <x v="13"/>
    <s v="安徽徽商集团有限公司"/>
    <n v="1560.82"/>
    <x v="2"/>
  </r>
  <r>
    <x v="13"/>
    <s v="皖北煤电债权"/>
    <n v="6463.38"/>
    <x v="3"/>
  </r>
  <r>
    <x v="13"/>
    <s v="皖北煤电（集团）有限责任公司-信托组合"/>
    <n v="16025.39"/>
    <x v="4"/>
  </r>
  <r>
    <x v="13"/>
    <s v="中铁四局集团有限公司"/>
    <n v="7232.97"/>
    <x v="5"/>
  </r>
  <r>
    <x v="13"/>
    <s v="徽商银行股份有限公司信托组合"/>
    <n v="17913.2"/>
    <x v="6"/>
  </r>
  <r>
    <x v="14"/>
    <s v="安徽高速年金"/>
    <n v="10723.79"/>
    <x v="0"/>
  </r>
  <r>
    <x v="14"/>
    <s v="安徽烟草肥外年金"/>
    <n v="35412.78"/>
    <x v="7"/>
  </r>
  <r>
    <x v="14"/>
    <s v="安徽徽商集团有限公司"/>
    <n v="1278.8"/>
    <x v="2"/>
  </r>
  <r>
    <x v="14"/>
    <s v="皖北煤电债权"/>
    <n v="3700.31"/>
    <x v="3"/>
  </r>
  <r>
    <x v="14"/>
    <s v="皖北煤电（集团）有限责任公司-信托组合"/>
    <n v="13090.6"/>
    <x v="4"/>
  </r>
  <r>
    <x v="14"/>
    <s v="中铁四局集团有限公司"/>
    <n v="6474.35"/>
    <x v="5"/>
  </r>
  <r>
    <x v="14"/>
    <s v="徽商银行股份有限公司信托组合"/>
    <n v="14645.57"/>
    <x v="6"/>
  </r>
  <r>
    <x v="15"/>
    <s v="安徽高速年金"/>
    <n v="12494.49"/>
    <x v="0"/>
  </r>
  <r>
    <x v="15"/>
    <s v="安徽烟草肥外年金"/>
    <n v="40853.089999999997"/>
    <x v="7"/>
  </r>
  <r>
    <x v="15"/>
    <s v="安徽徽商集团有限公司"/>
    <n v="1503.24"/>
    <x v="2"/>
  </r>
  <r>
    <x v="15"/>
    <s v="皖北煤电债权"/>
    <n v="4629.67"/>
    <x v="3"/>
  </r>
  <r>
    <x v="15"/>
    <s v="皖北煤电（集团）有限责任公司-信托组合"/>
    <n v="15397.44"/>
    <x v="4"/>
  </r>
  <r>
    <x v="15"/>
    <s v="中铁四局集团有限公司"/>
    <n v="8245.49"/>
    <x v="5"/>
  </r>
  <r>
    <x v="15"/>
    <s v="徽商银行股份有限公司信托组合"/>
    <n v="17236.32"/>
    <x v="6"/>
  </r>
  <r>
    <x v="16"/>
    <s v="安徽高速年金"/>
    <n v="11615.23"/>
    <x v="0"/>
  </r>
  <r>
    <x v="16"/>
    <s v="安徽烟草肥外年金"/>
    <n v="40561.82"/>
    <x v="7"/>
  </r>
  <r>
    <x v="16"/>
    <s v="安徽徽商集团有限公司"/>
    <n v="1463.19"/>
    <x v="2"/>
  </r>
  <r>
    <x v="16"/>
    <s v="皖北煤电债权"/>
    <n v="4449.09"/>
    <x v="3"/>
  </r>
  <r>
    <x v="16"/>
    <s v="皖北煤电（集团）有限责任公司-信托组合"/>
    <n v="14981.24"/>
    <x v="4"/>
  </r>
  <r>
    <x v="16"/>
    <s v="中铁四局集团有限公司"/>
    <n v="8693.43"/>
    <x v="5"/>
  </r>
  <r>
    <x v="16"/>
    <s v="徽商银行股份有限公司信托组合"/>
    <n v="16775.080000000002"/>
    <x v="6"/>
  </r>
  <r>
    <x v="17"/>
    <s v="安徽高速年金"/>
    <n v="11022.2"/>
    <x v="0"/>
  </r>
  <r>
    <x v="17"/>
    <s v="安徽烟草肥外年金"/>
    <n v="42802.39"/>
    <x v="7"/>
  </r>
  <r>
    <x v="17"/>
    <s v="安徽徽商集团有限公司"/>
    <n v="1508.4"/>
    <x v="2"/>
  </r>
  <r>
    <x v="17"/>
    <s v="皖北煤电债权"/>
    <n v="4639.95"/>
    <x v="3"/>
  </r>
  <r>
    <x v="17"/>
    <s v="皖北煤电（集团）有限责任公司-信托组合"/>
    <n v="15553.56"/>
    <x v="4"/>
  </r>
  <r>
    <x v="17"/>
    <s v="中铁四局集团有限公司"/>
    <n v="8893.01"/>
    <x v="5"/>
  </r>
  <r>
    <x v="17"/>
    <s v="徽商银行股份有限公司信托组合"/>
    <n v="17427.009999999998"/>
    <x v="6"/>
  </r>
  <r>
    <x v="18"/>
    <s v="安徽高速年金"/>
    <n v="10661.130000000005"/>
    <x v="0"/>
  </r>
  <r>
    <x v="18"/>
    <s v="安徽烟草肥外年金"/>
    <n v="41564.19"/>
    <x v="7"/>
  </r>
  <r>
    <x v="18"/>
    <s v="安徽徽商集团有限公司"/>
    <n v="1465.8900000000003"/>
    <x v="2"/>
  </r>
  <r>
    <x v="18"/>
    <s v="皖北煤电债权"/>
    <n v="3637.8199999999997"/>
    <x v="3"/>
  </r>
  <r>
    <x v="18"/>
    <s v="皖北煤电（集团）有限责任公司-信托组合"/>
    <n v="15129.840000000011"/>
    <x v="4"/>
  </r>
  <r>
    <x v="18"/>
    <s v="中铁四局集团有限公司"/>
    <n v="8420.82"/>
    <x v="5"/>
  </r>
  <r>
    <x v="18"/>
    <s v="徽商银行股份有限公司信托组合"/>
    <n v="16966.47"/>
    <x v="6"/>
  </r>
  <r>
    <x v="19"/>
    <s v="安徽高速年金"/>
    <n v="8924.5599999999977"/>
    <x v="0"/>
  </r>
  <r>
    <x v="19"/>
    <s v="安徽烟草肥外年金"/>
    <n v="42071.700000000012"/>
    <x v="7"/>
  </r>
  <r>
    <x v="19"/>
    <s v="安徽徽商集团有限公司"/>
    <n v="1209.5300000000007"/>
    <x v="2"/>
  </r>
  <r>
    <x v="19"/>
    <s v="皖北煤电债权"/>
    <n v="3800.0799999999981"/>
    <x v="3"/>
  </r>
  <r>
    <x v="19"/>
    <s v="皖北煤电（集团）有限责任公司-信托组合"/>
    <n v="15684.729999999996"/>
    <x v="4"/>
  </r>
  <r>
    <x v="19"/>
    <s v="中铁四局集团有限公司"/>
    <n v="8700.3499999999985"/>
    <x v="5"/>
  </r>
  <r>
    <x v="19"/>
    <s v="徽商银行股份有限公司信托组合"/>
    <n v="17595.28"/>
    <x v="6"/>
  </r>
  <r>
    <x v="20"/>
    <s v="安徽高速年金"/>
    <n v="6955.429999999993"/>
    <x v="0"/>
  </r>
  <r>
    <x v="20"/>
    <s v="安徽烟草肥外年金"/>
    <n v="41156.579999999958"/>
    <x v="7"/>
  </r>
  <r>
    <x v="20"/>
    <s v="安徽徽商集团有限公司"/>
    <n v="1137.1499999999996"/>
    <x v="2"/>
  </r>
  <r>
    <x v="20"/>
    <s v="皖北煤电债权"/>
    <n v="3738.2599999999984"/>
    <x v="3"/>
  </r>
  <r>
    <x v="20"/>
    <s v="皖北煤电（集团）有限责任公司-信托组合"/>
    <n v="15783.179999999993"/>
    <x v="4"/>
  </r>
  <r>
    <x v="20"/>
    <s v="中铁四局集团有限公司"/>
    <n v="10327.740000000005"/>
    <x v="5"/>
  </r>
  <r>
    <x v="20"/>
    <s v="徽商银行股份有限公司信托组合"/>
    <n v="17713.49000000002"/>
    <x v="6"/>
  </r>
  <r>
    <x v="21"/>
    <s v="安徽古井"/>
    <n v="616.49"/>
    <x v="8"/>
  </r>
  <r>
    <x v="21"/>
    <s v="徽商银行股份有限公司信托组合"/>
    <n v="676.37999999997555"/>
    <x v="6"/>
  </r>
  <r>
    <x v="21"/>
    <s v="中铁四局集团有限公司"/>
    <n v="13874.970000000001"/>
    <x v="5"/>
  </r>
  <r>
    <x v="21"/>
    <s v="皖北煤电（集团）有限责任公司-信托组合"/>
    <n v="14952.190000000002"/>
    <x v="4"/>
  </r>
  <r>
    <x v="21"/>
    <s v="皖北煤电债权"/>
    <n v="3630.75"/>
    <x v="3"/>
  </r>
  <r>
    <x v="21"/>
    <s v="安徽徽商集团有限公司"/>
    <n v="1057.9099999999999"/>
    <x v="2"/>
  </r>
  <r>
    <x v="21"/>
    <s v="安徽烟草肥外年金"/>
    <n v="37528.789999999979"/>
    <x v="7"/>
  </r>
  <r>
    <x v="21"/>
    <s v="安徽高速年金"/>
    <n v="11206.089999999997"/>
    <x v="0"/>
  </r>
  <r>
    <x v="21"/>
    <m/>
    <m/>
    <x v="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42">
  <r>
    <x v="0"/>
  </r>
  <r>
    <x v="1"/>
  </r>
  <r>
    <x v="2"/>
  </r>
  <r>
    <x v="3"/>
  </r>
  <r>
    <x v="4"/>
  </r>
  <r>
    <x v="5"/>
  </r>
  <r>
    <x v="6"/>
  </r>
  <r>
    <x v="0"/>
  </r>
  <r>
    <x v="1"/>
  </r>
  <r>
    <x v="2"/>
  </r>
  <r>
    <x v="3"/>
  </r>
  <r>
    <x v="4"/>
  </r>
  <r>
    <x v="5"/>
  </r>
  <r>
    <x v="6"/>
  </r>
  <r>
    <x v="0"/>
  </r>
  <r>
    <x v="1"/>
  </r>
  <r>
    <x v="2"/>
  </r>
  <r>
    <x v="3"/>
  </r>
  <r>
    <x v="4"/>
  </r>
  <r>
    <x v="5"/>
  </r>
  <r>
    <x v="6"/>
  </r>
  <r>
    <x v="0"/>
  </r>
  <r>
    <x v="1"/>
  </r>
  <r>
    <x v="2"/>
  </r>
  <r>
    <x v="3"/>
  </r>
  <r>
    <x v="4"/>
  </r>
  <r>
    <x v="5"/>
  </r>
  <r>
    <x v="6"/>
  </r>
  <r>
    <x v="0"/>
  </r>
  <r>
    <x v="1"/>
  </r>
  <r>
    <x v="2"/>
  </r>
  <r>
    <x v="3"/>
  </r>
  <r>
    <x v="4"/>
  </r>
  <r>
    <x v="5"/>
  </r>
  <r>
    <x v="6"/>
  </r>
  <r>
    <x v="0"/>
  </r>
  <r>
    <x v="2"/>
  </r>
  <r>
    <x v="3"/>
  </r>
  <r>
    <x v="4"/>
  </r>
  <r>
    <x v="5"/>
  </r>
  <r>
    <x v="6"/>
  </r>
  <r>
    <x v="1"/>
  </r>
  <r>
    <x v="0"/>
  </r>
  <r>
    <x v="2"/>
  </r>
  <r>
    <x v="3"/>
  </r>
  <r>
    <x v="4"/>
  </r>
  <r>
    <x v="5"/>
  </r>
  <r>
    <x v="6"/>
  </r>
  <r>
    <x v="0"/>
  </r>
  <r>
    <x v="1"/>
  </r>
  <r>
    <x v="2"/>
  </r>
  <r>
    <x v="3"/>
  </r>
  <r>
    <x v="4"/>
  </r>
  <r>
    <x v="5"/>
  </r>
  <r>
    <x v="6"/>
  </r>
  <r>
    <x v="0"/>
  </r>
  <r>
    <x v="1"/>
  </r>
  <r>
    <x v="2"/>
  </r>
  <r>
    <x v="3"/>
  </r>
  <r>
    <x v="4"/>
  </r>
  <r>
    <x v="5"/>
  </r>
  <r>
    <x v="6"/>
  </r>
  <r>
    <x v="0"/>
  </r>
  <r>
    <x v="1"/>
  </r>
  <r>
    <x v="2"/>
  </r>
  <r>
    <x v="3"/>
  </r>
  <r>
    <x v="4"/>
  </r>
  <r>
    <x v="5"/>
  </r>
  <r>
    <x v="6"/>
  </r>
  <r>
    <x v="0"/>
  </r>
  <r>
    <x v="2"/>
  </r>
  <r>
    <x v="3"/>
  </r>
  <r>
    <x v="4"/>
  </r>
  <r>
    <x v="5"/>
  </r>
  <r>
    <x v="6"/>
  </r>
  <r>
    <x v="0"/>
  </r>
  <r>
    <x v="2"/>
  </r>
  <r>
    <x v="3"/>
  </r>
  <r>
    <x v="4"/>
  </r>
  <r>
    <x v="5"/>
  </r>
  <r>
    <x v="6"/>
  </r>
  <r>
    <x v="0"/>
  </r>
  <r>
    <x v="2"/>
  </r>
  <r>
    <x v="3"/>
  </r>
  <r>
    <x v="4"/>
  </r>
  <r>
    <x v="5"/>
  </r>
  <r>
    <x v="6"/>
  </r>
  <r>
    <x v="0"/>
  </r>
  <r>
    <x v="7"/>
  </r>
  <r>
    <x v="2"/>
  </r>
  <r>
    <x v="3"/>
  </r>
  <r>
    <x v="4"/>
  </r>
  <r>
    <x v="5"/>
  </r>
  <r>
    <x v="6"/>
  </r>
  <r>
    <x v="0"/>
  </r>
  <r>
    <x v="7"/>
  </r>
  <r>
    <x v="2"/>
  </r>
  <r>
    <x v="3"/>
  </r>
  <r>
    <x v="4"/>
  </r>
  <r>
    <x v="5"/>
  </r>
  <r>
    <x v="6"/>
  </r>
  <r>
    <x v="0"/>
  </r>
  <r>
    <x v="7"/>
  </r>
  <r>
    <x v="2"/>
  </r>
  <r>
    <x v="3"/>
  </r>
  <r>
    <x v="4"/>
  </r>
  <r>
    <x v="5"/>
  </r>
  <r>
    <x v="6"/>
  </r>
  <r>
    <x v="0"/>
  </r>
  <r>
    <x v="7"/>
  </r>
  <r>
    <x v="2"/>
  </r>
  <r>
    <x v="3"/>
  </r>
  <r>
    <x v="4"/>
  </r>
  <r>
    <x v="5"/>
  </r>
  <r>
    <x v="6"/>
  </r>
  <r>
    <x v="0"/>
  </r>
  <r>
    <x v="7"/>
  </r>
  <r>
    <x v="2"/>
  </r>
  <r>
    <x v="3"/>
  </r>
  <r>
    <x v="4"/>
  </r>
  <r>
    <x v="5"/>
  </r>
  <r>
    <x v="6"/>
  </r>
  <r>
    <x v="0"/>
  </r>
  <r>
    <x v="7"/>
  </r>
  <r>
    <x v="2"/>
  </r>
  <r>
    <x v="3"/>
  </r>
  <r>
    <x v="4"/>
  </r>
  <r>
    <x v="5"/>
  </r>
  <r>
    <x v="6"/>
  </r>
  <r>
    <x v="0"/>
  </r>
  <r>
    <x v="7"/>
  </r>
  <r>
    <x v="2"/>
  </r>
  <r>
    <x v="3"/>
  </r>
  <r>
    <x v="4"/>
  </r>
  <r>
    <x v="5"/>
  </r>
  <r>
    <x v="6"/>
  </r>
  <r>
    <x v="0"/>
  </r>
  <r>
    <x v="7"/>
  </r>
  <r>
    <x v="2"/>
  </r>
  <r>
    <x v="3"/>
  </r>
  <r>
    <x v="4"/>
  </r>
  <r>
    <x v="5"/>
  </r>
  <r>
    <x v="6"/>
  </r>
  <r>
    <x v="8"/>
  </r>
  <r>
    <x v="6"/>
  </r>
  <r>
    <x v="5"/>
  </r>
  <r>
    <x v="4"/>
  </r>
  <r>
    <x v="3"/>
  </r>
  <r>
    <x v="2"/>
  </r>
  <r>
    <x v="7"/>
  </r>
  <r>
    <x v="0"/>
  </r>
  <r>
    <x v="6"/>
  </r>
  <r>
    <x v="5"/>
  </r>
  <r>
    <x v="4"/>
  </r>
  <r>
    <x v="3"/>
  </r>
  <r>
    <x v="2"/>
  </r>
  <r>
    <x v="7"/>
  </r>
  <r>
    <x v="0"/>
  </r>
  <r>
    <x v="0"/>
  </r>
  <r>
    <x v="7"/>
  </r>
  <r>
    <x v="2"/>
  </r>
  <r>
    <x v="3"/>
  </r>
  <r>
    <x v="4"/>
  </r>
  <r>
    <x v="5"/>
  </r>
  <r>
    <x v="6"/>
  </r>
  <r>
    <x v="6"/>
  </r>
  <r>
    <x v="8"/>
  </r>
  <r>
    <x v="5"/>
  </r>
  <r>
    <x v="4"/>
  </r>
  <r>
    <x v="3"/>
  </r>
  <r>
    <x v="2"/>
  </r>
  <r>
    <x v="7"/>
  </r>
  <r>
    <x v="0"/>
  </r>
  <r>
    <x v="9"/>
  </r>
  <r>
    <x v="10"/>
  </r>
  <r>
    <x v="11"/>
  </r>
  <r>
    <x v="6"/>
  </r>
  <r>
    <x v="8"/>
  </r>
  <r>
    <x v="5"/>
  </r>
  <r>
    <x v="4"/>
  </r>
  <r>
    <x v="3"/>
  </r>
  <r>
    <x v="2"/>
  </r>
  <r>
    <x v="7"/>
  </r>
  <r>
    <x v="0"/>
  </r>
  <r>
    <x v="8"/>
  </r>
  <r>
    <x v="5"/>
  </r>
  <r>
    <x v="4"/>
  </r>
  <r>
    <x v="3"/>
  </r>
  <r>
    <x v="2"/>
  </r>
  <r>
    <x v="7"/>
  </r>
  <r>
    <x v="0"/>
  </r>
  <r>
    <x v="8"/>
  </r>
  <r>
    <x v="5"/>
  </r>
  <r>
    <x v="4"/>
  </r>
  <r>
    <x v="3"/>
  </r>
  <r>
    <x v="2"/>
  </r>
  <r>
    <x v="7"/>
  </r>
  <r>
    <x v="0"/>
  </r>
  <r>
    <x v="8"/>
  </r>
  <r>
    <x v="5"/>
  </r>
  <r>
    <x v="4"/>
  </r>
  <r>
    <x v="3"/>
  </r>
  <r>
    <x v="2"/>
  </r>
  <r>
    <x v="7"/>
  </r>
  <r>
    <x v="0"/>
  </r>
  <r>
    <x v="8"/>
  </r>
  <r>
    <x v="5"/>
  </r>
  <r>
    <x v="4"/>
  </r>
  <r>
    <x v="3"/>
  </r>
  <r>
    <x v="2"/>
  </r>
  <r>
    <x v="7"/>
  </r>
  <r>
    <x v="0"/>
  </r>
  <r>
    <x v="8"/>
  </r>
  <r>
    <x v="5"/>
  </r>
  <r>
    <x v="4"/>
  </r>
  <r>
    <x v="3"/>
  </r>
  <r>
    <x v="2"/>
  </r>
  <r>
    <x v="7"/>
  </r>
  <r>
    <x v="0"/>
  </r>
  <r>
    <x v="8"/>
  </r>
  <r>
    <x v="5"/>
  </r>
  <r>
    <x v="4"/>
  </r>
  <r>
    <x v="3"/>
  </r>
  <r>
    <x v="2"/>
  </r>
  <r>
    <x v="7"/>
  </r>
  <r>
    <x v="0"/>
  </r>
  <r>
    <x v="8"/>
  </r>
  <r>
    <x v="5"/>
  </r>
  <r>
    <x v="4"/>
  </r>
  <r>
    <x v="3"/>
  </r>
  <r>
    <x v="2"/>
  </r>
  <r>
    <x v="7"/>
  </r>
  <r>
    <x v="0"/>
  </r>
  <r>
    <x v="12"/>
  </r>
  <r>
    <x v="8"/>
  </r>
  <r>
    <x v="5"/>
  </r>
  <r>
    <x v="4"/>
  </r>
  <r>
    <x v="3"/>
  </r>
  <r>
    <x v="2"/>
  </r>
  <r>
    <x v="7"/>
  </r>
  <r>
    <x v="0"/>
  </r>
  <r>
    <x v="1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223">
  <r>
    <d v="2020-08-31T00:00:00"/>
    <s v="CL0001"/>
    <x v="0"/>
    <x v="0"/>
    <x v="0"/>
    <n v="53.16"/>
  </r>
  <r>
    <d v="2020-08-31T00:00:00"/>
    <m/>
    <x v="1"/>
    <x v="0"/>
    <x v="0"/>
    <n v="438.02"/>
  </r>
  <r>
    <d v="2020-08-31T00:00:00"/>
    <m/>
    <x v="2"/>
    <x v="0"/>
    <x v="1"/>
    <n v="1491.74"/>
  </r>
  <r>
    <d v="2020-08-31T00:00:00"/>
    <m/>
    <x v="3"/>
    <x v="0"/>
    <x v="1"/>
    <n v="3196.69"/>
  </r>
  <r>
    <d v="2020-08-31T00:00:00"/>
    <m/>
    <x v="4"/>
    <x v="0"/>
    <x v="1"/>
    <n v="464"/>
  </r>
  <r>
    <d v="2020-08-31T00:00:00"/>
    <s v="CL0002"/>
    <x v="5"/>
    <x v="1"/>
    <x v="0"/>
    <n v="109.64"/>
  </r>
  <r>
    <d v="2020-08-31T00:00:00"/>
    <m/>
    <x v="6"/>
    <x v="1"/>
    <x v="0"/>
    <n v="51.85"/>
  </r>
  <r>
    <d v="2020-08-31T00:00:00"/>
    <m/>
    <x v="7"/>
    <x v="1"/>
    <x v="0"/>
    <n v="243.86"/>
  </r>
  <r>
    <d v="2020-08-31T00:00:00"/>
    <m/>
    <x v="8"/>
    <x v="1"/>
    <x v="1"/>
    <n v="1278.3699999999999"/>
  </r>
  <r>
    <d v="2020-08-31T00:00:00"/>
    <m/>
    <x v="2"/>
    <x v="1"/>
    <x v="1"/>
    <n v="1021.83"/>
  </r>
  <r>
    <d v="2020-08-31T00:00:00"/>
    <m/>
    <x v="9"/>
    <x v="1"/>
    <x v="1"/>
    <n v="5887.52"/>
  </r>
  <r>
    <d v="2020-08-31T00:00:00"/>
    <m/>
    <x v="10"/>
    <x v="1"/>
    <x v="2"/>
    <n v="6131.53"/>
  </r>
  <r>
    <d v="2020-08-31T00:00:00"/>
    <m/>
    <x v="11"/>
    <x v="1"/>
    <x v="2"/>
    <n v="25.33"/>
  </r>
  <r>
    <d v="2020-08-31T00:00:00"/>
    <m/>
    <x v="12"/>
    <x v="1"/>
    <x v="2"/>
    <n v="41.26"/>
  </r>
  <r>
    <d v="2020-08-31T00:00:00"/>
    <s v="CL0003"/>
    <x v="13"/>
    <x v="2"/>
    <x v="0"/>
    <n v="127.37"/>
  </r>
  <r>
    <d v="2020-08-31T00:00:00"/>
    <m/>
    <x v="6"/>
    <x v="2"/>
    <x v="0"/>
    <n v="21.77"/>
  </r>
  <r>
    <d v="2020-08-31T00:00:00"/>
    <m/>
    <x v="1"/>
    <x v="2"/>
    <x v="0"/>
    <n v="31.12"/>
  </r>
  <r>
    <d v="2020-08-31T00:00:00"/>
    <m/>
    <x v="14"/>
    <x v="2"/>
    <x v="0"/>
    <n v="318"/>
  </r>
  <r>
    <d v="2020-08-31T00:00:00"/>
    <m/>
    <x v="7"/>
    <x v="2"/>
    <x v="0"/>
    <n v="29.15"/>
  </r>
  <r>
    <d v="2020-08-31T00:00:00"/>
    <m/>
    <x v="3"/>
    <x v="2"/>
    <x v="1"/>
    <n v="6630.06"/>
  </r>
  <r>
    <d v="2020-08-31T00:00:00"/>
    <m/>
    <x v="15"/>
    <x v="2"/>
    <x v="1"/>
    <n v="811.65"/>
  </r>
  <r>
    <d v="2020-08-31T00:00:00"/>
    <m/>
    <x v="16"/>
    <x v="2"/>
    <x v="2"/>
    <n v="25791.79"/>
  </r>
  <r>
    <d v="2020-08-31T00:00:00"/>
    <s v="CL0004"/>
    <x v="0"/>
    <x v="3"/>
    <x v="0"/>
    <n v="145.93"/>
  </r>
  <r>
    <d v="2020-08-31T00:00:00"/>
    <m/>
    <x v="14"/>
    <x v="3"/>
    <x v="0"/>
    <n v="190.39"/>
  </r>
  <r>
    <d v="2020-08-31T00:00:00"/>
    <m/>
    <x v="7"/>
    <x v="3"/>
    <x v="0"/>
    <n v="73.489999999999995"/>
  </r>
  <r>
    <d v="2020-08-31T00:00:00"/>
    <m/>
    <x v="3"/>
    <x v="3"/>
    <x v="1"/>
    <n v="5454.46"/>
  </r>
  <r>
    <d v="2020-08-31T00:00:00"/>
    <m/>
    <x v="15"/>
    <x v="3"/>
    <x v="1"/>
    <n v="420.63"/>
  </r>
  <r>
    <d v="2020-08-31T00:00:00"/>
    <m/>
    <x v="16"/>
    <x v="3"/>
    <x v="2"/>
    <n v="24225.33"/>
  </r>
  <r>
    <d v="2020-08-31T00:00:00"/>
    <s v="CL0005"/>
    <x v="0"/>
    <x v="4"/>
    <x v="0"/>
    <n v="58.81"/>
  </r>
  <r>
    <d v="2020-08-31T00:00:00"/>
    <m/>
    <x v="5"/>
    <x v="4"/>
    <x v="0"/>
    <n v="37.619999999999997"/>
  </r>
  <r>
    <d v="2020-08-31T00:00:00"/>
    <m/>
    <x v="1"/>
    <x v="4"/>
    <x v="0"/>
    <n v="102.64"/>
  </r>
  <r>
    <d v="2020-08-31T00:00:00"/>
    <m/>
    <x v="14"/>
    <x v="4"/>
    <x v="0"/>
    <n v="183.29"/>
  </r>
  <r>
    <d v="2020-08-31T00:00:00"/>
    <m/>
    <x v="17"/>
    <x v="4"/>
    <x v="0"/>
    <n v="14.68"/>
  </r>
  <r>
    <d v="2020-08-31T00:00:00"/>
    <m/>
    <x v="8"/>
    <x v="4"/>
    <x v="1"/>
    <n v="915.2"/>
  </r>
  <r>
    <d v="2020-08-31T00:00:00"/>
    <m/>
    <x v="18"/>
    <x v="4"/>
    <x v="1"/>
    <n v="209.06"/>
  </r>
  <r>
    <d v="2020-08-31T00:00:00"/>
    <m/>
    <x v="2"/>
    <x v="4"/>
    <x v="1"/>
    <n v="2122.8200000000002"/>
  </r>
  <r>
    <d v="2020-08-31T00:00:00"/>
    <m/>
    <x v="15"/>
    <x v="4"/>
    <x v="1"/>
    <n v="1521.71"/>
  </r>
  <r>
    <d v="2020-08-31T00:00:00"/>
    <m/>
    <x v="19"/>
    <x v="4"/>
    <x v="1"/>
    <n v="2338.75"/>
  </r>
  <r>
    <d v="2020-08-31T00:00:00"/>
    <m/>
    <x v="20"/>
    <x v="4"/>
    <x v="1"/>
    <n v="7617.82"/>
  </r>
  <r>
    <d v="2020-08-31T00:00:00"/>
    <s v="CL0007"/>
    <x v="0"/>
    <x v="5"/>
    <x v="0"/>
    <n v="117.89"/>
  </r>
  <r>
    <d v="2020-08-31T00:00:00"/>
    <m/>
    <x v="13"/>
    <x v="5"/>
    <x v="0"/>
    <n v="1222.7"/>
  </r>
  <r>
    <d v="2020-08-31T00:00:00"/>
    <m/>
    <x v="5"/>
    <x v="5"/>
    <x v="0"/>
    <n v="49"/>
  </r>
  <r>
    <d v="2020-08-31T00:00:00"/>
    <m/>
    <x v="6"/>
    <x v="5"/>
    <x v="0"/>
    <n v="22.42"/>
  </r>
  <r>
    <d v="2020-08-31T00:00:00"/>
    <m/>
    <x v="1"/>
    <x v="5"/>
    <x v="0"/>
    <n v="64"/>
  </r>
  <r>
    <d v="2020-08-31T00:00:00"/>
    <m/>
    <x v="14"/>
    <x v="5"/>
    <x v="0"/>
    <n v="386.66"/>
  </r>
  <r>
    <d v="2020-08-31T00:00:00"/>
    <m/>
    <x v="17"/>
    <x v="5"/>
    <x v="0"/>
    <n v="38.729999999999997"/>
  </r>
  <r>
    <d v="2020-08-31T00:00:00"/>
    <m/>
    <x v="7"/>
    <x v="5"/>
    <x v="0"/>
    <n v="180.36"/>
  </r>
  <r>
    <d v="2020-08-31T00:00:00"/>
    <m/>
    <x v="21"/>
    <x v="5"/>
    <x v="1"/>
    <n v="6109.65"/>
  </r>
  <r>
    <d v="2020-08-31T00:00:00"/>
    <m/>
    <x v="22"/>
    <x v="5"/>
    <x v="1"/>
    <n v="2636.72"/>
  </r>
  <r>
    <d v="2020-08-31T00:00:00"/>
    <m/>
    <x v="18"/>
    <x v="5"/>
    <x v="1"/>
    <n v="1579.95"/>
  </r>
  <r>
    <d v="2020-08-31T00:00:00"/>
    <m/>
    <x v="2"/>
    <x v="5"/>
    <x v="1"/>
    <n v="3873.5"/>
  </r>
  <r>
    <d v="2020-08-31T00:00:00"/>
    <m/>
    <x v="23"/>
    <x v="5"/>
    <x v="1"/>
    <n v="12755.95"/>
  </r>
  <r>
    <d v="2020-08-31T00:00:00"/>
    <m/>
    <x v="3"/>
    <x v="5"/>
    <x v="1"/>
    <n v="11880"/>
  </r>
  <r>
    <d v="2020-08-31T00:00:00"/>
    <m/>
    <x v="24"/>
    <x v="5"/>
    <x v="1"/>
    <n v="9142.5499999999993"/>
  </r>
  <r>
    <d v="2020-08-31T00:00:00"/>
    <m/>
    <x v="25"/>
    <x v="5"/>
    <x v="1"/>
    <n v="14287.13"/>
  </r>
  <r>
    <d v="2020-08-31T00:00:00"/>
    <m/>
    <x v="9"/>
    <x v="5"/>
    <x v="1"/>
    <n v="2464.7199999999998"/>
  </r>
  <r>
    <d v="2020-08-31T00:00:00"/>
    <m/>
    <x v="26"/>
    <x v="5"/>
    <x v="1"/>
    <n v="4086.26"/>
  </r>
  <r>
    <d v="2020-08-31T00:00:00"/>
    <m/>
    <x v="27"/>
    <x v="5"/>
    <x v="1"/>
    <n v="2411.35"/>
  </r>
  <r>
    <d v="2020-08-31T00:00:00"/>
    <m/>
    <x v="28"/>
    <x v="5"/>
    <x v="1"/>
    <n v="2411.35"/>
  </r>
  <r>
    <d v="2020-08-31T00:00:00"/>
    <m/>
    <x v="29"/>
    <x v="5"/>
    <x v="1"/>
    <n v="9626.7800000000007"/>
  </r>
  <r>
    <d v="2020-08-31T00:00:00"/>
    <m/>
    <x v="30"/>
    <x v="5"/>
    <x v="1"/>
    <n v="1929.08"/>
  </r>
  <r>
    <d v="2020-08-31T00:00:00"/>
    <m/>
    <x v="10"/>
    <x v="5"/>
    <x v="2"/>
    <n v="35942.079999999994"/>
  </r>
  <r>
    <d v="2020-08-31T00:00:00"/>
    <m/>
    <x v="11"/>
    <x v="5"/>
    <x v="2"/>
    <n v="30543.890000000003"/>
  </r>
  <r>
    <d v="2020-08-31T00:00:00"/>
    <m/>
    <x v="4"/>
    <x v="5"/>
    <x v="1"/>
    <n v="1193.48"/>
  </r>
  <r>
    <d v="2020-08-31T00:00:00"/>
    <m/>
    <x v="12"/>
    <x v="5"/>
    <x v="2"/>
    <n v="10699.13"/>
  </r>
  <r>
    <d v="2020-08-31T00:00:00"/>
    <s v="CL0008"/>
    <x v="0"/>
    <x v="6"/>
    <x v="0"/>
    <n v="1785.58"/>
  </r>
  <r>
    <d v="2020-08-31T00:00:00"/>
    <m/>
    <x v="13"/>
    <x v="6"/>
    <x v="0"/>
    <n v="9793.16"/>
  </r>
  <r>
    <d v="2020-08-31T00:00:00"/>
    <m/>
    <x v="5"/>
    <x v="6"/>
    <x v="0"/>
    <n v="66.63"/>
  </r>
  <r>
    <d v="2020-08-31T00:00:00"/>
    <m/>
    <x v="6"/>
    <x v="6"/>
    <x v="0"/>
    <n v="34.630000000000003"/>
  </r>
  <r>
    <d v="2020-08-31T00:00:00"/>
    <m/>
    <x v="1"/>
    <x v="6"/>
    <x v="0"/>
    <n v="2707.73"/>
  </r>
  <r>
    <d v="2020-08-31T00:00:00"/>
    <m/>
    <x v="14"/>
    <x v="6"/>
    <x v="0"/>
    <n v="978.81"/>
  </r>
  <r>
    <d v="2020-08-31T00:00:00"/>
    <m/>
    <x v="17"/>
    <x v="6"/>
    <x v="0"/>
    <n v="9.74"/>
  </r>
  <r>
    <d v="2020-08-31T00:00:00"/>
    <m/>
    <x v="7"/>
    <x v="6"/>
    <x v="0"/>
    <n v="496.02"/>
  </r>
  <r>
    <d v="2020-08-31T00:00:00"/>
    <m/>
    <x v="21"/>
    <x v="6"/>
    <x v="1"/>
    <n v="2451.5500000000002"/>
  </r>
  <r>
    <d v="2020-08-31T00:00:00"/>
    <m/>
    <x v="8"/>
    <x v="6"/>
    <x v="1"/>
    <n v="2642.45"/>
  </r>
  <r>
    <d v="2020-08-31T00:00:00"/>
    <m/>
    <x v="22"/>
    <x v="6"/>
    <x v="1"/>
    <n v="6525.68"/>
  </r>
  <r>
    <d v="2020-08-31T00:00:00"/>
    <m/>
    <x v="31"/>
    <x v="6"/>
    <x v="1"/>
    <n v="307.33999999999997"/>
  </r>
  <r>
    <d v="2020-08-31T00:00:00"/>
    <m/>
    <x v="18"/>
    <x v="6"/>
    <x v="1"/>
    <n v="730.77"/>
  </r>
  <r>
    <d v="2020-08-31T00:00:00"/>
    <m/>
    <x v="2"/>
    <x v="6"/>
    <x v="1"/>
    <n v="3012.76"/>
  </r>
  <r>
    <d v="2020-08-31T00:00:00"/>
    <m/>
    <x v="32"/>
    <x v="6"/>
    <x v="1"/>
    <n v="2269.46"/>
  </r>
  <r>
    <d v="2020-08-31T00:00:00"/>
    <m/>
    <x v="33"/>
    <x v="6"/>
    <x v="1"/>
    <n v="14843.12"/>
  </r>
  <r>
    <d v="2020-08-31T00:00:00"/>
    <m/>
    <x v="9"/>
    <x v="6"/>
    <x v="1"/>
    <n v="1185.01"/>
  </r>
  <r>
    <d v="2020-08-31T00:00:00"/>
    <m/>
    <x v="15"/>
    <x v="6"/>
    <x v="1"/>
    <n v="1814.25"/>
  </r>
  <r>
    <d v="2020-08-31T00:00:00"/>
    <m/>
    <x v="34"/>
    <x v="6"/>
    <x v="1"/>
    <n v="185.68"/>
  </r>
  <r>
    <d v="2020-08-31T00:00:00"/>
    <m/>
    <x v="35"/>
    <x v="6"/>
    <x v="1"/>
    <n v="1525.16"/>
  </r>
  <r>
    <d v="2020-08-31T00:00:00"/>
    <m/>
    <x v="10"/>
    <x v="6"/>
    <x v="2"/>
    <n v="11107.98"/>
  </r>
  <r>
    <d v="2020-08-31T00:00:00"/>
    <m/>
    <x v="16"/>
    <x v="6"/>
    <x v="2"/>
    <n v="385677.23"/>
  </r>
  <r>
    <d v="2020-08-31T00:00:00"/>
    <m/>
    <x v="11"/>
    <x v="6"/>
    <x v="2"/>
    <n v="6486.23"/>
  </r>
  <r>
    <d v="2020-08-31T00:00:00"/>
    <m/>
    <x v="4"/>
    <x v="6"/>
    <x v="1"/>
    <n v="2230.5100000000002"/>
  </r>
  <r>
    <d v="2020-08-31T00:00:00"/>
    <m/>
    <x v="12"/>
    <x v="6"/>
    <x v="2"/>
    <n v="5467.33"/>
  </r>
  <r>
    <d v="2020-08-31T00:00:00"/>
    <s v="CL0010"/>
    <x v="0"/>
    <x v="7"/>
    <x v="0"/>
    <n v="46.48"/>
  </r>
  <r>
    <d v="2020-08-31T00:00:00"/>
    <m/>
    <x v="13"/>
    <x v="7"/>
    <x v="0"/>
    <n v="0.87"/>
  </r>
  <r>
    <d v="2020-08-31T00:00:00"/>
    <m/>
    <x v="5"/>
    <x v="7"/>
    <x v="0"/>
    <n v="1.01"/>
  </r>
  <r>
    <d v="2020-08-31T00:00:00"/>
    <m/>
    <x v="1"/>
    <x v="7"/>
    <x v="0"/>
    <n v="38.64"/>
  </r>
  <r>
    <d v="2020-08-31T00:00:00"/>
    <m/>
    <x v="14"/>
    <x v="7"/>
    <x v="0"/>
    <n v="23.99"/>
  </r>
  <r>
    <d v="2020-08-31T00:00:00"/>
    <m/>
    <x v="17"/>
    <x v="7"/>
    <x v="0"/>
    <n v="0.83"/>
  </r>
  <r>
    <d v="2020-08-31T00:00:00"/>
    <m/>
    <x v="7"/>
    <x v="7"/>
    <x v="0"/>
    <n v="17.399999999999999"/>
  </r>
  <r>
    <d v="2020-08-31T00:00:00"/>
    <s v="CL0011"/>
    <x v="0"/>
    <x v="8"/>
    <x v="0"/>
    <n v="466.45"/>
  </r>
  <r>
    <d v="2020-08-31T00:00:00"/>
    <m/>
    <x v="13"/>
    <x v="8"/>
    <x v="0"/>
    <n v="3810.77"/>
  </r>
  <r>
    <d v="2020-08-31T00:00:00"/>
    <m/>
    <x v="5"/>
    <x v="8"/>
    <x v="0"/>
    <n v="84.17"/>
  </r>
  <r>
    <d v="2020-08-31T00:00:00"/>
    <m/>
    <x v="6"/>
    <x v="8"/>
    <x v="0"/>
    <n v="63.72"/>
  </r>
  <r>
    <d v="2020-08-31T00:00:00"/>
    <m/>
    <x v="1"/>
    <x v="8"/>
    <x v="0"/>
    <n v="764.39"/>
  </r>
  <r>
    <d v="2020-08-31T00:00:00"/>
    <m/>
    <x v="14"/>
    <x v="8"/>
    <x v="0"/>
    <n v="532.17999999999995"/>
  </r>
  <r>
    <d v="2020-08-31T00:00:00"/>
    <m/>
    <x v="17"/>
    <x v="8"/>
    <x v="0"/>
    <n v="8.14"/>
  </r>
  <r>
    <d v="2020-08-31T00:00:00"/>
    <m/>
    <x v="7"/>
    <x v="8"/>
    <x v="0"/>
    <n v="432.12"/>
  </r>
  <r>
    <d v="2020-08-31T00:00:00"/>
    <m/>
    <x v="21"/>
    <x v="8"/>
    <x v="1"/>
    <n v="1780.61"/>
  </r>
  <r>
    <d v="2020-08-31T00:00:00"/>
    <m/>
    <x v="31"/>
    <x v="8"/>
    <x v="1"/>
    <n v="2377.8000000000002"/>
  </r>
  <r>
    <d v="2020-08-31T00:00:00"/>
    <m/>
    <x v="18"/>
    <x v="8"/>
    <x v="1"/>
    <n v="546.57000000000005"/>
  </r>
  <r>
    <d v="2020-08-31T00:00:00"/>
    <m/>
    <x v="2"/>
    <x v="8"/>
    <x v="1"/>
    <n v="1682.02"/>
  </r>
  <r>
    <d v="2020-08-31T00:00:00"/>
    <m/>
    <x v="3"/>
    <x v="8"/>
    <x v="1"/>
    <n v="11797.95"/>
  </r>
  <r>
    <d v="2020-08-31T00:00:00"/>
    <m/>
    <x v="24"/>
    <x v="8"/>
    <x v="1"/>
    <n v="935.07"/>
  </r>
  <r>
    <d v="2020-08-31T00:00:00"/>
    <m/>
    <x v="32"/>
    <x v="8"/>
    <x v="1"/>
    <n v="984.98"/>
  </r>
  <r>
    <d v="2020-08-31T00:00:00"/>
    <m/>
    <x v="36"/>
    <x v="8"/>
    <x v="1"/>
    <n v="569"/>
  </r>
  <r>
    <d v="2020-08-31T00:00:00"/>
    <m/>
    <x v="33"/>
    <x v="8"/>
    <x v="1"/>
    <n v="9145.57"/>
  </r>
  <r>
    <d v="2020-08-31T00:00:00"/>
    <m/>
    <x v="15"/>
    <x v="8"/>
    <x v="1"/>
    <n v="1132.8800000000001"/>
  </r>
  <r>
    <d v="2020-08-31T00:00:00"/>
    <m/>
    <x v="37"/>
    <x v="8"/>
    <x v="1"/>
    <n v="2140.4699999999998"/>
  </r>
  <r>
    <d v="2020-08-31T00:00:00"/>
    <m/>
    <x v="10"/>
    <x v="8"/>
    <x v="2"/>
    <n v="10052.290000000001"/>
  </r>
  <r>
    <d v="2020-08-31T00:00:00"/>
    <m/>
    <x v="11"/>
    <x v="8"/>
    <x v="2"/>
    <n v="8549.08"/>
  </r>
  <r>
    <d v="2020-08-31T00:00:00"/>
    <m/>
    <x v="4"/>
    <x v="8"/>
    <x v="1"/>
    <n v="1385.88"/>
  </r>
  <r>
    <d v="2020-08-31T00:00:00"/>
    <m/>
    <x v="12"/>
    <x v="8"/>
    <x v="2"/>
    <n v="2994.52"/>
  </r>
  <r>
    <d v="2020-08-31T00:00:00"/>
    <m/>
    <x v="20"/>
    <x v="8"/>
    <x v="1"/>
    <n v="4235.66"/>
  </r>
  <r>
    <d v="2020-08-31T00:00:00"/>
    <s v="CL0012"/>
    <x v="38"/>
    <x v="9"/>
    <x v="1"/>
    <n v="17104.71"/>
  </r>
  <r>
    <d v="2020-08-31T00:00:00"/>
    <m/>
    <x v="39"/>
    <x v="9"/>
    <x v="1"/>
    <n v="4561.25"/>
  </r>
  <r>
    <d v="2020-08-31T00:00:00"/>
    <s v="CL0013"/>
    <x v="13"/>
    <x v="10"/>
    <x v="0"/>
    <n v="345.17"/>
  </r>
  <r>
    <d v="2020-08-31T00:00:00"/>
    <m/>
    <x v="1"/>
    <x v="10"/>
    <x v="0"/>
    <n v="176.12"/>
  </r>
  <r>
    <d v="2020-08-31T00:00:00"/>
    <s v="CL0014"/>
    <x v="0"/>
    <x v="11"/>
    <x v="0"/>
    <n v="20.75"/>
  </r>
  <r>
    <d v="2020-08-31T00:00:00"/>
    <m/>
    <x v="13"/>
    <x v="11"/>
    <x v="0"/>
    <n v="111.51"/>
  </r>
  <r>
    <d v="2020-08-31T00:00:00"/>
    <m/>
    <x v="1"/>
    <x v="11"/>
    <x v="0"/>
    <n v="24.65"/>
  </r>
  <r>
    <d v="2020-08-31T00:00:00"/>
    <m/>
    <x v="14"/>
    <x v="11"/>
    <x v="0"/>
    <n v="9.49"/>
  </r>
  <r>
    <d v="2020-08-31T00:00:00"/>
    <s v="CL0016"/>
    <x v="13"/>
    <x v="12"/>
    <x v="0"/>
    <n v="404.38"/>
  </r>
  <r>
    <d v="2020-08-31T00:00:00"/>
    <m/>
    <x v="1"/>
    <x v="12"/>
    <x v="0"/>
    <n v="83.47"/>
  </r>
  <r>
    <d v="2020-08-31T00:00:00"/>
    <m/>
    <x v="14"/>
    <x v="12"/>
    <x v="0"/>
    <n v="17.66"/>
  </r>
  <r>
    <d v="2020-08-31T00:00:00"/>
    <m/>
    <x v="7"/>
    <x v="12"/>
    <x v="0"/>
    <n v="18.28"/>
  </r>
  <r>
    <d v="2020-08-31T00:00:00"/>
    <m/>
    <x v="18"/>
    <x v="12"/>
    <x v="1"/>
    <n v="163.34"/>
  </r>
  <r>
    <d v="2020-08-31T00:00:00"/>
    <s v="CL0020"/>
    <x v="13"/>
    <x v="13"/>
    <x v="0"/>
    <n v="68.44"/>
  </r>
  <r>
    <d v="2020-08-31T00:00:00"/>
    <m/>
    <x v="1"/>
    <x v="13"/>
    <x v="0"/>
    <n v="550.04"/>
  </r>
  <r>
    <d v="2020-08-31T00:00:00"/>
    <m/>
    <x v="17"/>
    <x v="13"/>
    <x v="0"/>
    <n v="8.11"/>
  </r>
  <r>
    <d v="2020-08-31T00:00:00"/>
    <m/>
    <x v="7"/>
    <x v="13"/>
    <x v="0"/>
    <n v="45.9"/>
  </r>
  <r>
    <d v="2020-08-31T00:00:00"/>
    <m/>
    <x v="21"/>
    <x v="13"/>
    <x v="1"/>
    <n v="3957.39"/>
  </r>
  <r>
    <d v="2020-08-31T00:00:00"/>
    <m/>
    <x v="3"/>
    <x v="13"/>
    <x v="1"/>
    <n v="5825.26"/>
  </r>
  <r>
    <d v="2020-08-31T00:00:00"/>
    <m/>
    <x v="16"/>
    <x v="13"/>
    <x v="2"/>
    <n v="19210.04"/>
  </r>
  <r>
    <d v="2020-08-31T00:00:00"/>
    <s v="CL0021"/>
    <x v="0"/>
    <x v="14"/>
    <x v="0"/>
    <n v="188.55"/>
  </r>
  <r>
    <d v="2020-08-31T00:00:00"/>
    <m/>
    <x v="13"/>
    <x v="14"/>
    <x v="0"/>
    <n v="26944.54"/>
  </r>
  <r>
    <d v="2020-08-31T00:00:00"/>
    <m/>
    <x v="6"/>
    <x v="14"/>
    <x v="0"/>
    <n v="25.65"/>
  </r>
  <r>
    <d v="2020-08-31T00:00:00"/>
    <m/>
    <x v="1"/>
    <x v="14"/>
    <x v="0"/>
    <n v="132.18"/>
  </r>
  <r>
    <d v="2020-08-31T00:00:00"/>
    <m/>
    <x v="3"/>
    <x v="14"/>
    <x v="1"/>
    <n v="2043.31"/>
  </r>
  <r>
    <d v="2020-08-31T00:00:00"/>
    <s v="CL0022"/>
    <x v="0"/>
    <x v="15"/>
    <x v="0"/>
    <n v="3308.31"/>
  </r>
  <r>
    <d v="2020-08-31T00:00:00"/>
    <m/>
    <x v="13"/>
    <x v="15"/>
    <x v="0"/>
    <n v="5624.64"/>
  </r>
  <r>
    <d v="2020-08-31T00:00:00"/>
    <m/>
    <x v="1"/>
    <x v="15"/>
    <x v="0"/>
    <n v="7.82"/>
  </r>
  <r>
    <d v="2020-08-31T00:00:00"/>
    <m/>
    <x v="31"/>
    <x v="15"/>
    <x v="1"/>
    <n v="3012.07"/>
  </r>
  <r>
    <d v="2020-08-31T00:00:00"/>
    <m/>
    <x v="3"/>
    <x v="15"/>
    <x v="1"/>
    <n v="2358.65"/>
  </r>
  <r>
    <d v="2020-08-31T00:00:00"/>
    <s v="CL0024"/>
    <x v="13"/>
    <x v="16"/>
    <x v="0"/>
    <n v="444.39"/>
  </r>
  <r>
    <d v="2020-08-31T00:00:00"/>
    <m/>
    <x v="1"/>
    <x v="16"/>
    <x v="0"/>
    <n v="157.47"/>
  </r>
  <r>
    <d v="2020-08-31T00:00:00"/>
    <m/>
    <x v="7"/>
    <x v="16"/>
    <x v="0"/>
    <n v="42.84"/>
  </r>
  <r>
    <d v="2020-08-31T00:00:00"/>
    <s v="CL0025"/>
    <x v="0"/>
    <x v="17"/>
    <x v="0"/>
    <n v="425.94"/>
  </r>
  <r>
    <d v="2020-08-31T00:00:00"/>
    <m/>
    <x v="13"/>
    <x v="17"/>
    <x v="0"/>
    <n v="960.85"/>
  </r>
  <r>
    <d v="2020-08-31T00:00:00"/>
    <m/>
    <x v="6"/>
    <x v="17"/>
    <x v="0"/>
    <n v="37.270000000000003"/>
  </r>
  <r>
    <d v="2020-08-31T00:00:00"/>
    <m/>
    <x v="1"/>
    <x v="17"/>
    <x v="0"/>
    <n v="35.229999999999997"/>
  </r>
  <r>
    <d v="2020-08-31T00:00:00"/>
    <m/>
    <x v="14"/>
    <x v="17"/>
    <x v="0"/>
    <n v="699.09"/>
  </r>
  <r>
    <d v="2020-08-31T00:00:00"/>
    <m/>
    <x v="17"/>
    <x v="17"/>
    <x v="0"/>
    <n v="14.82"/>
  </r>
  <r>
    <d v="2020-08-31T00:00:00"/>
    <m/>
    <x v="7"/>
    <x v="17"/>
    <x v="0"/>
    <n v="451.05"/>
  </r>
  <r>
    <d v="2020-08-31T00:00:00"/>
    <m/>
    <x v="8"/>
    <x v="17"/>
    <x v="1"/>
    <n v="3257.59"/>
  </r>
  <r>
    <d v="2020-08-31T00:00:00"/>
    <m/>
    <x v="22"/>
    <x v="17"/>
    <x v="1"/>
    <n v="11245.11"/>
  </r>
  <r>
    <d v="2020-08-31T00:00:00"/>
    <m/>
    <x v="18"/>
    <x v="17"/>
    <x v="1"/>
    <n v="2495.81"/>
  </r>
  <r>
    <d v="2020-08-31T00:00:00"/>
    <m/>
    <x v="2"/>
    <x v="17"/>
    <x v="1"/>
    <n v="4682.1400000000003"/>
  </r>
  <r>
    <d v="2020-08-31T00:00:00"/>
    <m/>
    <x v="4"/>
    <x v="17"/>
    <x v="1"/>
    <n v="254.2"/>
  </r>
  <r>
    <d v="2020-08-31T00:00:00"/>
    <s v="CL0026"/>
    <x v="0"/>
    <x v="18"/>
    <x v="0"/>
    <n v="2779.38"/>
  </r>
  <r>
    <d v="2020-08-31T00:00:00"/>
    <m/>
    <x v="13"/>
    <x v="18"/>
    <x v="0"/>
    <n v="5731.19"/>
  </r>
  <r>
    <d v="2020-08-31T00:00:00"/>
    <m/>
    <x v="6"/>
    <x v="18"/>
    <x v="0"/>
    <n v="64.63"/>
  </r>
  <r>
    <d v="2020-08-31T00:00:00"/>
    <m/>
    <x v="1"/>
    <x v="18"/>
    <x v="0"/>
    <n v="145.72999999999999"/>
  </r>
  <r>
    <d v="2020-08-31T00:00:00"/>
    <m/>
    <x v="14"/>
    <x v="18"/>
    <x v="0"/>
    <n v="2112.29"/>
  </r>
  <r>
    <d v="2020-08-31T00:00:00"/>
    <m/>
    <x v="17"/>
    <x v="18"/>
    <x v="0"/>
    <n v="10.46"/>
  </r>
  <r>
    <d v="2020-08-31T00:00:00"/>
    <m/>
    <x v="7"/>
    <x v="18"/>
    <x v="0"/>
    <n v="281.89999999999998"/>
  </r>
  <r>
    <d v="2020-08-31T00:00:00"/>
    <m/>
    <x v="21"/>
    <x v="18"/>
    <x v="1"/>
    <n v="17028.62"/>
  </r>
  <r>
    <d v="2020-08-31T00:00:00"/>
    <m/>
    <x v="8"/>
    <x v="18"/>
    <x v="1"/>
    <n v="694.92"/>
  </r>
  <r>
    <d v="2020-08-31T00:00:00"/>
    <m/>
    <x v="22"/>
    <x v="18"/>
    <x v="1"/>
    <n v="3144.58"/>
  </r>
  <r>
    <d v="2020-08-31T00:00:00"/>
    <m/>
    <x v="18"/>
    <x v="18"/>
    <x v="1"/>
    <n v="2374.31"/>
  </r>
  <r>
    <d v="2020-08-31T00:00:00"/>
    <m/>
    <x v="32"/>
    <x v="18"/>
    <x v="1"/>
    <n v="408.14"/>
  </r>
  <r>
    <d v="2020-08-31T00:00:00"/>
    <m/>
    <x v="9"/>
    <x v="18"/>
    <x v="1"/>
    <n v="10047.66"/>
  </r>
  <r>
    <d v="2020-08-31T00:00:00"/>
    <m/>
    <x v="15"/>
    <x v="18"/>
    <x v="1"/>
    <n v="807.92"/>
  </r>
  <r>
    <d v="2020-08-31T00:00:00"/>
    <m/>
    <x v="4"/>
    <x v="18"/>
    <x v="1"/>
    <n v="281.41000000000003"/>
  </r>
  <r>
    <d v="2020-08-31T00:00:00"/>
    <m/>
    <x v="20"/>
    <x v="18"/>
    <x v="1"/>
    <n v="26653.74"/>
  </r>
  <r>
    <d v="2020-08-31T00:00:00"/>
    <s v="CL0027"/>
    <x v="6"/>
    <x v="19"/>
    <x v="0"/>
    <n v="48.57"/>
  </r>
  <r>
    <d v="2020-08-31T00:00:00"/>
    <m/>
    <x v="1"/>
    <x v="19"/>
    <x v="0"/>
    <n v="2233.27"/>
  </r>
  <r>
    <d v="2020-08-31T00:00:00"/>
    <m/>
    <x v="8"/>
    <x v="19"/>
    <x v="1"/>
    <n v="7823.96"/>
  </r>
  <r>
    <d v="2020-08-31T00:00:00"/>
    <m/>
    <x v="31"/>
    <x v="19"/>
    <x v="1"/>
    <n v="11593.87"/>
  </r>
  <r>
    <d v="2020-08-31T00:00:00"/>
    <m/>
    <x v="15"/>
    <x v="19"/>
    <x v="1"/>
    <n v="700.71"/>
  </r>
  <r>
    <d v="2020-08-31T00:00:00"/>
    <s v="CL0033"/>
    <x v="5"/>
    <x v="20"/>
    <x v="0"/>
    <n v="325.11"/>
  </r>
  <r>
    <d v="2020-08-31T00:00:00"/>
    <m/>
    <x v="10"/>
    <x v="20"/>
    <x v="2"/>
    <n v="35854.269999999997"/>
  </r>
  <r>
    <d v="2020-08-31T00:00:00"/>
    <m/>
    <x v="16"/>
    <x v="20"/>
    <x v="2"/>
    <n v="23109.3"/>
  </r>
  <r>
    <d v="2020-08-31T00:00:00"/>
    <m/>
    <x v="11"/>
    <x v="20"/>
    <x v="2"/>
    <n v="27871.300000000003"/>
  </r>
  <r>
    <d v="2020-08-31T00:00:00"/>
    <m/>
    <x v="12"/>
    <x v="20"/>
    <x v="2"/>
    <n v="8811.66"/>
  </r>
  <r>
    <d v="2020-08-31T00:00:00"/>
    <s v="CL0034"/>
    <x v="0"/>
    <x v="21"/>
    <x v="0"/>
    <n v="785.47"/>
  </r>
  <r>
    <d v="2020-08-31T00:00:00"/>
    <m/>
    <x v="13"/>
    <x v="21"/>
    <x v="0"/>
    <n v="3931.66"/>
  </r>
  <r>
    <d v="2020-08-31T00:00:00"/>
    <m/>
    <x v="5"/>
    <x v="21"/>
    <x v="0"/>
    <n v="2.74"/>
  </r>
  <r>
    <d v="2020-08-31T00:00:00"/>
    <m/>
    <x v="1"/>
    <x v="21"/>
    <x v="0"/>
    <n v="444.24"/>
  </r>
  <r>
    <d v="2020-08-31T00:00:00"/>
    <m/>
    <x v="14"/>
    <x v="21"/>
    <x v="0"/>
    <n v="319.77999999999997"/>
  </r>
  <r>
    <d v="2020-08-31T00:00:00"/>
    <m/>
    <x v="17"/>
    <x v="21"/>
    <x v="0"/>
    <n v="13.53"/>
  </r>
  <r>
    <d v="2020-08-31T00:00:00"/>
    <m/>
    <x v="22"/>
    <x v="21"/>
    <x v="1"/>
    <n v="1471.43"/>
  </r>
  <r>
    <d v="2020-08-31T00:00:00"/>
    <m/>
    <x v="31"/>
    <x v="21"/>
    <x v="1"/>
    <n v="2212.6799999999998"/>
  </r>
  <r>
    <d v="2020-08-31T00:00:00"/>
    <m/>
    <x v="3"/>
    <x v="21"/>
    <x v="1"/>
    <n v="3537.1"/>
  </r>
  <r>
    <d v="2020-08-31T00:00:00"/>
    <m/>
    <x v="16"/>
    <x v="21"/>
    <x v="2"/>
    <n v="20076.759999999998"/>
  </r>
  <r>
    <d v="2020-08-31T00:00:00"/>
    <m/>
    <x v="20"/>
    <x v="21"/>
    <x v="1"/>
    <n v="5643.3"/>
  </r>
  <r>
    <d v="2020-08-31T00:00:00"/>
    <s v="CL0035"/>
    <x v="13"/>
    <x v="22"/>
    <x v="0"/>
    <n v="84.83"/>
  </r>
  <r>
    <d v="2020-08-31T00:00:00"/>
    <m/>
    <x v="1"/>
    <x v="22"/>
    <x v="0"/>
    <n v="473.77"/>
  </r>
  <r>
    <d v="2020-08-31T00:00:00"/>
    <m/>
    <x v="14"/>
    <x v="22"/>
    <x v="0"/>
    <n v="249.63"/>
  </r>
  <r>
    <d v="2020-08-31T00:00:00"/>
    <m/>
    <x v="17"/>
    <x v="22"/>
    <x v="0"/>
    <n v="5.41"/>
  </r>
  <r>
    <d v="2020-08-31T00:00:00"/>
    <m/>
    <x v="7"/>
    <x v="22"/>
    <x v="0"/>
    <n v="211.41"/>
  </r>
  <r>
    <d v="2020-08-31T00:00:00"/>
    <m/>
    <x v="8"/>
    <x v="22"/>
    <x v="1"/>
    <n v="7543.58"/>
  </r>
  <r>
    <d v="2020-08-31T00:00:00"/>
    <m/>
    <x v="31"/>
    <x v="22"/>
    <x v="1"/>
    <n v="9209.07"/>
  </r>
  <r>
    <d v="2020-08-31T00:00:00"/>
    <m/>
    <x v="2"/>
    <x v="22"/>
    <x v="1"/>
    <n v="13190.48"/>
  </r>
  <r>
    <d v="2020-08-31T00:00:00"/>
    <m/>
    <x v="15"/>
    <x v="22"/>
    <x v="1"/>
    <n v="1328.06"/>
  </r>
  <r>
    <d v="2020-08-31T00:00:00"/>
    <m/>
    <x v="16"/>
    <x v="22"/>
    <x v="2"/>
    <n v="18860.21"/>
  </r>
  <r>
    <d v="2020-08-31T00:00:00"/>
    <m/>
    <x v="4"/>
    <x v="22"/>
    <x v="1"/>
    <n v="250.12"/>
  </r>
  <r>
    <d v="2020-08-31T00:00:00"/>
    <m/>
    <x v="20"/>
    <x v="22"/>
    <x v="1"/>
    <n v="13000.37"/>
  </r>
  <r>
    <d v="2020-08-31T00:00:00"/>
    <s v="CL0036"/>
    <x v="13"/>
    <x v="23"/>
    <x v="0"/>
    <n v="109.96"/>
  </r>
  <r>
    <d v="2020-08-31T00:00:00"/>
    <m/>
    <x v="6"/>
    <x v="23"/>
    <x v="0"/>
    <n v="112.23"/>
  </r>
  <r>
    <d v="2020-08-31T00:00:00"/>
    <m/>
    <x v="1"/>
    <x v="23"/>
    <x v="0"/>
    <n v="47.27"/>
  </r>
  <r>
    <d v="2020-08-31T00:00:00"/>
    <s v="CL0037"/>
    <x v="0"/>
    <x v="24"/>
    <x v="0"/>
    <n v="756.12"/>
  </r>
  <r>
    <d v="2020-08-31T00:00:00"/>
    <m/>
    <x v="1"/>
    <x v="24"/>
    <x v="0"/>
    <n v="6.65"/>
  </r>
  <r>
    <d v="2020-08-31T00:00:00"/>
    <m/>
    <x v="3"/>
    <x v="24"/>
    <x v="1"/>
    <n v="3828.68"/>
  </r>
  <r>
    <d v="2020-08-31T00:00:00"/>
    <s v="CL0039"/>
    <x v="0"/>
    <x v="25"/>
    <x v="0"/>
    <n v="1376.21"/>
  </r>
  <r>
    <d v="2020-08-31T00:00:00"/>
    <m/>
    <x v="13"/>
    <x v="25"/>
    <x v="0"/>
    <n v="1334.29"/>
  </r>
  <r>
    <d v="2020-08-31T00:00:00"/>
    <m/>
    <x v="5"/>
    <x v="25"/>
    <x v="0"/>
    <n v="32.049999999999997"/>
  </r>
  <r>
    <d v="2020-08-31T00:00:00"/>
    <m/>
    <x v="6"/>
    <x v="25"/>
    <x v="0"/>
    <n v="61.24"/>
  </r>
  <r>
    <d v="2020-08-31T00:00:00"/>
    <m/>
    <x v="1"/>
    <x v="25"/>
    <x v="0"/>
    <n v="226.6"/>
  </r>
  <r>
    <d v="2020-08-31T00:00:00"/>
    <m/>
    <x v="7"/>
    <x v="25"/>
    <x v="0"/>
    <n v="72.97"/>
  </r>
  <r>
    <d v="2020-08-31T00:00:00"/>
    <m/>
    <x v="8"/>
    <x v="25"/>
    <x v="1"/>
    <n v="15671.24"/>
  </r>
  <r>
    <d v="2020-08-31T00:00:00"/>
    <m/>
    <x v="31"/>
    <x v="25"/>
    <x v="1"/>
    <n v="32182.11"/>
  </r>
  <r>
    <d v="2020-08-31T00:00:00"/>
    <m/>
    <x v="3"/>
    <x v="25"/>
    <x v="1"/>
    <n v="3380.6"/>
  </r>
  <r>
    <d v="2020-08-31T00:00:00"/>
    <m/>
    <x v="12"/>
    <x v="25"/>
    <x v="2"/>
    <n v="9942.6299999999992"/>
  </r>
  <r>
    <d v="2020-08-31T00:00:00"/>
    <s v="CL0040"/>
    <x v="6"/>
    <x v="26"/>
    <x v="0"/>
    <n v="45.06"/>
  </r>
  <r>
    <d v="2020-08-31T00:00:00"/>
    <m/>
    <x v="1"/>
    <x v="26"/>
    <x v="0"/>
    <n v="25.76"/>
  </r>
  <r>
    <d v="2020-08-31T00:00:00"/>
    <m/>
    <x v="8"/>
    <x v="26"/>
    <x v="1"/>
    <n v="5351.07"/>
  </r>
  <r>
    <d v="2020-08-31T00:00:00"/>
    <m/>
    <x v="9"/>
    <x v="26"/>
    <x v="1"/>
    <n v="6797.46"/>
  </r>
  <r>
    <d v="2020-08-31T00:00:00"/>
    <m/>
    <x v="40"/>
    <x v="26"/>
    <x v="1"/>
    <n v="269.04000000000002"/>
  </r>
  <r>
    <d v="2020-08-31T00:00:00"/>
    <m/>
    <x v="41"/>
    <x v="26"/>
    <x v="1"/>
    <n v="153.35"/>
  </r>
  <r>
    <d v="2020-08-31T00:00:00"/>
    <m/>
    <x v="15"/>
    <x v="26"/>
    <x v="1"/>
    <n v="744.95"/>
  </r>
  <r>
    <d v="2020-08-31T00:00:00"/>
    <s v="CL0046"/>
    <x v="1"/>
    <x v="27"/>
    <x v="0"/>
    <n v="71.900000000000006"/>
  </r>
  <r>
    <d v="2020-08-31T00:00:00"/>
    <s v="CL0047"/>
    <x v="5"/>
    <x v="28"/>
    <x v="0"/>
    <n v="1.94"/>
  </r>
  <r>
    <d v="2020-08-31T00:00:00"/>
    <m/>
    <x v="7"/>
    <x v="28"/>
    <x v="0"/>
    <n v="195.52"/>
  </r>
  <r>
    <d v="2020-08-31T00:00:00"/>
    <m/>
    <x v="16"/>
    <x v="28"/>
    <x v="2"/>
    <n v="2865.31"/>
  </r>
  <r>
    <d v="2020-08-31T00:00:00"/>
    <m/>
    <x v="20"/>
    <x v="28"/>
    <x v="1"/>
    <n v="3402.93"/>
  </r>
  <r>
    <d v="2020-08-31T00:00:00"/>
    <s v="CL0049"/>
    <x v="13"/>
    <x v="29"/>
    <x v="0"/>
    <n v="247.56"/>
  </r>
  <r>
    <d v="2020-08-31T00:00:00"/>
    <m/>
    <x v="1"/>
    <x v="29"/>
    <x v="0"/>
    <n v="89"/>
  </r>
  <r>
    <d v="2020-08-31T00:00:00"/>
    <s v="CL0050"/>
    <x v="1"/>
    <x v="30"/>
    <x v="0"/>
    <n v="13.44"/>
  </r>
  <r>
    <d v="2020-08-31T00:00:00"/>
    <s v="CL0054"/>
    <x v="0"/>
    <x v="31"/>
    <x v="0"/>
    <n v="110.08"/>
  </r>
  <r>
    <d v="2020-08-31T00:00:00"/>
    <m/>
    <x v="13"/>
    <x v="31"/>
    <x v="0"/>
    <n v="74.02"/>
  </r>
  <r>
    <d v="2020-08-31T00:00:00"/>
    <m/>
    <x v="14"/>
    <x v="31"/>
    <x v="0"/>
    <n v="48.2"/>
  </r>
  <r>
    <d v="2020-08-31T00:00:00"/>
    <s v="CL0059"/>
    <x v="0"/>
    <x v="32"/>
    <x v="0"/>
    <n v="95.84"/>
  </r>
  <r>
    <d v="2020-08-31T00:00:00"/>
    <m/>
    <x v="1"/>
    <x v="32"/>
    <x v="0"/>
    <n v="142.77000000000001"/>
  </r>
  <r>
    <d v="2020-08-31T00:00:00"/>
    <m/>
    <x v="33"/>
    <x v="32"/>
    <x v="1"/>
    <n v="233.66"/>
  </r>
  <r>
    <d v="2020-08-31T00:00:00"/>
    <s v="CL0060"/>
    <x v="1"/>
    <x v="33"/>
    <x v="0"/>
    <n v="0.06"/>
  </r>
  <r>
    <d v="2020-08-31T00:00:00"/>
    <s v="CL0061"/>
    <x v="42"/>
    <x v="34"/>
    <x v="1"/>
    <n v="921.19"/>
  </r>
  <r>
    <d v="2020-08-31T00:00:00"/>
    <s v="CL0063"/>
    <x v="3"/>
    <x v="35"/>
    <x v="1"/>
    <n v="21257.439999999999"/>
  </r>
  <r>
    <d v="2020-08-31T00:00:00"/>
    <m/>
    <x v="32"/>
    <x v="35"/>
    <x v="1"/>
    <n v="5455.55"/>
  </r>
  <r>
    <d v="2020-08-31T00:00:00"/>
    <s v="CL0064"/>
    <x v="0"/>
    <x v="36"/>
    <x v="0"/>
    <n v="48.87"/>
  </r>
  <r>
    <d v="2020-08-31T00:00:00"/>
    <m/>
    <x v="13"/>
    <x v="36"/>
    <x v="0"/>
    <n v="56.47"/>
  </r>
  <r>
    <d v="2020-08-31T00:00:00"/>
    <m/>
    <x v="5"/>
    <x v="36"/>
    <x v="0"/>
    <n v="14.84"/>
  </r>
  <r>
    <d v="2020-08-31T00:00:00"/>
    <m/>
    <x v="1"/>
    <x v="36"/>
    <x v="0"/>
    <n v="548.78"/>
  </r>
  <r>
    <d v="2020-08-31T00:00:00"/>
    <m/>
    <x v="31"/>
    <x v="36"/>
    <x v="1"/>
    <n v="533.1"/>
  </r>
  <r>
    <d v="2020-08-31T00:00:00"/>
    <s v="CL0065"/>
    <x v="14"/>
    <x v="37"/>
    <x v="0"/>
    <n v="79.06"/>
  </r>
  <r>
    <d v="2020-08-31T00:00:00"/>
    <m/>
    <x v="3"/>
    <x v="37"/>
    <x v="1"/>
    <n v="8038.96"/>
  </r>
  <r>
    <d v="2020-08-31T00:00:00"/>
    <m/>
    <x v="32"/>
    <x v="37"/>
    <x v="1"/>
    <n v="2500.9699999999998"/>
  </r>
  <r>
    <d v="2020-08-31T00:00:00"/>
    <m/>
    <x v="43"/>
    <x v="37"/>
    <x v="1"/>
    <n v="5001.93"/>
  </r>
  <r>
    <d v="2020-08-31T00:00:00"/>
    <m/>
    <x v="44"/>
    <x v="37"/>
    <x v="1"/>
    <n v="2500.9699999999998"/>
  </r>
  <r>
    <d v="2020-08-31T00:00:00"/>
    <m/>
    <x v="45"/>
    <x v="37"/>
    <x v="1"/>
    <n v="2500.9699999999998"/>
  </r>
  <r>
    <d v="2020-08-31T00:00:00"/>
    <s v="CL0067"/>
    <x v="5"/>
    <x v="38"/>
    <x v="0"/>
    <n v="55.17"/>
  </r>
  <r>
    <d v="2020-08-31T00:00:00"/>
    <m/>
    <x v="6"/>
    <x v="38"/>
    <x v="0"/>
    <n v="9.0399999999999991"/>
  </r>
  <r>
    <d v="2020-08-31T00:00:00"/>
    <m/>
    <x v="46"/>
    <x v="38"/>
    <x v="1"/>
    <n v="1411.16"/>
  </r>
  <r>
    <d v="2020-08-31T00:00:00"/>
    <m/>
    <x v="10"/>
    <x v="38"/>
    <x v="2"/>
    <n v="18153.77"/>
  </r>
  <r>
    <d v="2020-08-31T00:00:00"/>
    <m/>
    <x v="11"/>
    <x v="38"/>
    <x v="2"/>
    <n v="16854.400000000001"/>
  </r>
  <r>
    <d v="2020-08-31T00:00:00"/>
    <m/>
    <x v="12"/>
    <x v="38"/>
    <x v="2"/>
    <n v="4902.8"/>
  </r>
  <r>
    <d v="2020-08-31T00:00:00"/>
    <m/>
    <x v="47"/>
    <x v="38"/>
    <x v="0"/>
    <n v="36.18"/>
  </r>
  <r>
    <d v="2020-08-31T00:00:00"/>
    <s v="CL0068"/>
    <x v="0"/>
    <x v="39"/>
    <x v="0"/>
    <n v="198.59"/>
  </r>
  <r>
    <d v="2020-08-31T00:00:00"/>
    <m/>
    <x v="7"/>
    <x v="39"/>
    <x v="0"/>
    <n v="1236.08"/>
  </r>
  <r>
    <d v="2020-08-31T00:00:00"/>
    <s v="CL0069"/>
    <x v="0"/>
    <x v="40"/>
    <x v="0"/>
    <n v="668.19"/>
  </r>
  <r>
    <d v="2020-08-31T00:00:00"/>
    <m/>
    <x v="5"/>
    <x v="40"/>
    <x v="0"/>
    <n v="5.91"/>
  </r>
  <r>
    <d v="2020-08-31T00:00:00"/>
    <m/>
    <x v="21"/>
    <x v="40"/>
    <x v="1"/>
    <n v="1366.37"/>
  </r>
  <r>
    <d v="2020-08-31T00:00:00"/>
    <m/>
    <x v="31"/>
    <x v="40"/>
    <x v="1"/>
    <n v="2674.84"/>
  </r>
  <r>
    <d v="2020-08-31T00:00:00"/>
    <s v="CL0071"/>
    <x v="0"/>
    <x v="41"/>
    <x v="0"/>
    <n v="57.05"/>
  </r>
  <r>
    <d v="2020-08-31T00:00:00"/>
    <m/>
    <x v="5"/>
    <x v="41"/>
    <x v="0"/>
    <n v="73.75"/>
  </r>
  <r>
    <d v="2020-08-31T00:00:00"/>
    <m/>
    <x v="1"/>
    <x v="41"/>
    <x v="0"/>
    <n v="1117.1500000000001"/>
  </r>
  <r>
    <d v="2020-08-31T00:00:00"/>
    <m/>
    <x v="21"/>
    <x v="41"/>
    <x v="1"/>
    <n v="13781.33"/>
  </r>
  <r>
    <d v="2020-08-31T00:00:00"/>
    <m/>
    <x v="2"/>
    <x v="41"/>
    <x v="1"/>
    <n v="15437.5"/>
  </r>
  <r>
    <d v="2020-08-31T00:00:00"/>
    <m/>
    <x v="4"/>
    <x v="41"/>
    <x v="1"/>
    <n v="12090.59"/>
  </r>
  <r>
    <d v="2020-08-31T00:00:00"/>
    <m/>
    <x v="20"/>
    <x v="41"/>
    <x v="1"/>
    <n v="7955.88"/>
  </r>
  <r>
    <d v="2020-08-31T00:00:00"/>
    <s v="CL0072"/>
    <x v="0"/>
    <x v="42"/>
    <x v="0"/>
    <n v="1154.45"/>
  </r>
  <r>
    <d v="2020-08-31T00:00:00"/>
    <m/>
    <x v="13"/>
    <x v="42"/>
    <x v="0"/>
    <n v="10085.01"/>
  </r>
  <r>
    <d v="2020-08-31T00:00:00"/>
    <m/>
    <x v="5"/>
    <x v="42"/>
    <x v="0"/>
    <n v="4.29"/>
  </r>
  <r>
    <d v="2020-08-31T00:00:00"/>
    <m/>
    <x v="1"/>
    <x v="42"/>
    <x v="0"/>
    <n v="427.06"/>
  </r>
  <r>
    <d v="2020-08-31T00:00:00"/>
    <m/>
    <x v="7"/>
    <x v="42"/>
    <x v="0"/>
    <n v="346.77"/>
  </r>
  <r>
    <d v="2020-08-31T00:00:00"/>
    <m/>
    <x v="8"/>
    <x v="42"/>
    <x v="1"/>
    <n v="6270.82"/>
  </r>
  <r>
    <d v="2020-08-31T00:00:00"/>
    <m/>
    <x v="18"/>
    <x v="42"/>
    <x v="1"/>
    <n v="4663.79"/>
  </r>
  <r>
    <d v="2020-08-31T00:00:00"/>
    <m/>
    <x v="2"/>
    <x v="42"/>
    <x v="1"/>
    <n v="1159.53"/>
  </r>
  <r>
    <d v="2020-08-31T00:00:00"/>
    <m/>
    <x v="3"/>
    <x v="42"/>
    <x v="1"/>
    <n v="2822.57"/>
  </r>
  <r>
    <d v="2020-08-31T00:00:00"/>
    <s v="CL0073"/>
    <x v="1"/>
    <x v="43"/>
    <x v="0"/>
    <n v="109.61"/>
  </r>
  <r>
    <d v="2020-08-31T00:00:00"/>
    <m/>
    <x v="42"/>
    <x v="43"/>
    <x v="1"/>
    <n v="918.55"/>
  </r>
  <r>
    <d v="2020-08-31T00:00:00"/>
    <s v="CL0075"/>
    <x v="7"/>
    <x v="44"/>
    <x v="0"/>
    <n v="49.19"/>
  </r>
  <r>
    <d v="2020-08-31T00:00:00"/>
    <s v="CL0077"/>
    <x v="0"/>
    <x v="45"/>
    <x v="0"/>
    <n v="130.44999999999999"/>
  </r>
  <r>
    <d v="2020-08-31T00:00:00"/>
    <m/>
    <x v="13"/>
    <x v="45"/>
    <x v="0"/>
    <n v="570.26"/>
  </r>
  <r>
    <d v="2020-08-31T00:00:00"/>
    <m/>
    <x v="1"/>
    <x v="45"/>
    <x v="0"/>
    <n v="386.28"/>
  </r>
  <r>
    <d v="2020-08-31T00:00:00"/>
    <m/>
    <x v="7"/>
    <x v="45"/>
    <x v="0"/>
    <n v="62.25"/>
  </r>
  <r>
    <d v="2020-08-31T00:00:00"/>
    <m/>
    <x v="3"/>
    <x v="45"/>
    <x v="1"/>
    <n v="17526.68"/>
  </r>
  <r>
    <d v="2020-08-31T00:00:00"/>
    <s v="CL0082"/>
    <x v="13"/>
    <x v="46"/>
    <x v="0"/>
    <n v="41.8"/>
  </r>
  <r>
    <d v="2020-08-31T00:00:00"/>
    <m/>
    <x v="6"/>
    <x v="46"/>
    <x v="0"/>
    <n v="14.87"/>
  </r>
  <r>
    <d v="2020-08-31T00:00:00"/>
    <m/>
    <x v="1"/>
    <x v="46"/>
    <x v="0"/>
    <n v="2.58"/>
  </r>
  <r>
    <d v="2020-08-31T00:00:00"/>
    <m/>
    <x v="14"/>
    <x v="46"/>
    <x v="0"/>
    <n v="119.72"/>
  </r>
  <r>
    <d v="2020-08-31T00:00:00"/>
    <m/>
    <x v="17"/>
    <x v="46"/>
    <x v="0"/>
    <n v="1.91"/>
  </r>
  <r>
    <d v="2020-08-31T00:00:00"/>
    <m/>
    <x v="7"/>
    <x v="46"/>
    <x v="0"/>
    <n v="263.64999999999998"/>
  </r>
  <r>
    <d v="2020-08-31T00:00:00"/>
    <m/>
    <x v="22"/>
    <x v="46"/>
    <x v="1"/>
    <n v="2705.66"/>
  </r>
  <r>
    <d v="2020-08-31T00:00:00"/>
    <s v="CL0089"/>
    <x v="13"/>
    <x v="47"/>
    <x v="0"/>
    <n v="219.6"/>
  </r>
  <r>
    <d v="2020-08-31T00:00:00"/>
    <m/>
    <x v="6"/>
    <x v="47"/>
    <x v="0"/>
    <n v="95.39"/>
  </r>
  <r>
    <d v="2020-08-31T00:00:00"/>
    <m/>
    <x v="1"/>
    <x v="47"/>
    <x v="0"/>
    <n v="136.08000000000001"/>
  </r>
  <r>
    <d v="2020-08-31T00:00:00"/>
    <m/>
    <x v="14"/>
    <x v="47"/>
    <x v="0"/>
    <n v="363.15"/>
  </r>
  <r>
    <d v="2020-08-31T00:00:00"/>
    <m/>
    <x v="17"/>
    <x v="47"/>
    <x v="0"/>
    <n v="30.15"/>
  </r>
  <r>
    <d v="2020-08-31T00:00:00"/>
    <m/>
    <x v="7"/>
    <x v="47"/>
    <x v="0"/>
    <n v="184.4"/>
  </r>
  <r>
    <d v="2020-08-31T00:00:00"/>
    <m/>
    <x v="22"/>
    <x v="47"/>
    <x v="1"/>
    <n v="2851.23"/>
  </r>
  <r>
    <d v="2020-08-31T00:00:00"/>
    <s v="CL0092"/>
    <x v="13"/>
    <x v="48"/>
    <x v="0"/>
    <n v="219.29"/>
  </r>
  <r>
    <d v="2020-08-31T00:00:00"/>
    <m/>
    <x v="1"/>
    <x v="48"/>
    <x v="0"/>
    <n v="319.17"/>
  </r>
  <r>
    <d v="2020-08-31T00:00:00"/>
    <m/>
    <x v="7"/>
    <x v="48"/>
    <x v="0"/>
    <n v="17.82"/>
  </r>
  <r>
    <d v="2020-08-31T00:00:00"/>
    <s v="CL0101"/>
    <x v="14"/>
    <x v="49"/>
    <x v="0"/>
    <n v="494.97"/>
  </r>
  <r>
    <d v="2020-08-31T00:00:00"/>
    <m/>
    <x v="17"/>
    <x v="49"/>
    <x v="0"/>
    <n v="36.46"/>
  </r>
  <r>
    <d v="2020-08-31T00:00:00"/>
    <m/>
    <x v="7"/>
    <x v="49"/>
    <x v="0"/>
    <n v="196.88"/>
  </r>
  <r>
    <d v="2020-08-31T00:00:00"/>
    <m/>
    <x v="22"/>
    <x v="49"/>
    <x v="1"/>
    <n v="3422.94"/>
  </r>
  <r>
    <d v="2020-08-31T00:00:00"/>
    <s v="CL0103"/>
    <x v="5"/>
    <x v="50"/>
    <x v="0"/>
    <n v="11.52"/>
  </r>
  <r>
    <d v="2020-08-31T00:00:00"/>
    <m/>
    <x v="33"/>
    <x v="50"/>
    <x v="1"/>
    <n v="4488.37"/>
  </r>
  <r>
    <d v="2020-08-31T00:00:00"/>
    <s v="CL0105"/>
    <x v="5"/>
    <x v="51"/>
    <x v="0"/>
    <n v="16.809999999999999"/>
  </r>
  <r>
    <d v="2020-08-31T00:00:00"/>
    <m/>
    <x v="22"/>
    <x v="51"/>
    <x v="1"/>
    <n v="715.42"/>
  </r>
  <r>
    <d v="2020-08-31T00:00:00"/>
    <s v="CL0106"/>
    <x v="5"/>
    <x v="52"/>
    <x v="0"/>
    <n v="6.98"/>
  </r>
  <r>
    <d v="2020-08-31T00:00:00"/>
    <m/>
    <x v="3"/>
    <x v="52"/>
    <x v="1"/>
    <n v="8747.5499999999993"/>
  </r>
  <r>
    <d v="2020-08-31T00:00:00"/>
    <s v="CL0107"/>
    <x v="5"/>
    <x v="53"/>
    <x v="0"/>
    <n v="2.57"/>
  </r>
  <r>
    <d v="2020-08-31T00:00:00"/>
    <m/>
    <x v="1"/>
    <x v="53"/>
    <x v="0"/>
    <n v="17.48"/>
  </r>
  <r>
    <d v="2020-08-31T00:00:00"/>
    <s v="CL0110"/>
    <x v="5"/>
    <x v="54"/>
    <x v="0"/>
    <n v="0.83"/>
  </r>
  <r>
    <d v="2020-08-31T00:00:00"/>
    <m/>
    <x v="46"/>
    <x v="54"/>
    <x v="1"/>
    <n v="3259.07"/>
  </r>
  <r>
    <d v="2020-08-31T00:00:00"/>
    <m/>
    <x v="48"/>
    <x v="54"/>
    <x v="1"/>
    <n v="4888.6000000000004"/>
  </r>
  <r>
    <d v="2020-08-31T00:00:00"/>
    <s v="CL0111"/>
    <x v="7"/>
    <x v="55"/>
    <x v="0"/>
    <n v="0.28000000000000003"/>
  </r>
  <r>
    <d v="2020-08-31T00:00:00"/>
    <m/>
    <x v="49"/>
    <x v="55"/>
    <x v="1"/>
    <n v="1458.19"/>
  </r>
  <r>
    <d v="2020-08-31T00:00:00"/>
    <m/>
    <x v="50"/>
    <x v="55"/>
    <x v="1"/>
    <n v="324.04000000000002"/>
  </r>
  <r>
    <d v="2020-08-31T00:00:00"/>
    <m/>
    <x v="51"/>
    <x v="55"/>
    <x v="1"/>
    <n v="3240.41"/>
  </r>
  <r>
    <d v="2020-08-31T00:00:00"/>
    <s v="CL0120"/>
    <x v="13"/>
    <x v="56"/>
    <x v="0"/>
    <n v="55.56"/>
  </r>
  <r>
    <d v="2020-08-31T00:00:00"/>
    <m/>
    <x v="5"/>
    <x v="56"/>
    <x v="0"/>
    <n v="6.71"/>
  </r>
  <r>
    <d v="2020-08-31T00:00:00"/>
    <m/>
    <x v="32"/>
    <x v="56"/>
    <x v="1"/>
    <n v="677.31"/>
  </r>
  <r>
    <d v="2020-08-31T00:00:00"/>
    <m/>
    <x v="15"/>
    <x v="56"/>
    <x v="1"/>
    <n v="65.58"/>
  </r>
  <r>
    <d v="2020-08-31T00:00:00"/>
    <s v="CL0121"/>
    <x v="7"/>
    <x v="57"/>
    <x v="0"/>
    <n v="41.46"/>
  </r>
  <r>
    <d v="2020-08-31T00:00:00"/>
    <m/>
    <x v="3"/>
    <x v="57"/>
    <x v="1"/>
    <n v="2792.98"/>
  </r>
  <r>
    <d v="2020-08-31T00:00:00"/>
    <s v="CL0122"/>
    <x v="5"/>
    <x v="58"/>
    <x v="0"/>
    <n v="3.39"/>
  </r>
  <r>
    <d v="2020-08-31T00:00:00"/>
    <m/>
    <x v="7"/>
    <x v="58"/>
    <x v="0"/>
    <n v="16.940000000000001"/>
  </r>
  <r>
    <d v="2020-08-31T00:00:00"/>
    <m/>
    <x v="8"/>
    <x v="58"/>
    <x v="1"/>
    <n v="1377.1"/>
  </r>
  <r>
    <d v="2020-08-31T00:00:00"/>
    <m/>
    <x v="22"/>
    <x v="58"/>
    <x v="1"/>
    <n v="963.42"/>
  </r>
  <r>
    <d v="2020-08-31T00:00:00"/>
    <m/>
    <x v="3"/>
    <x v="58"/>
    <x v="1"/>
    <n v="2780.43"/>
  </r>
  <r>
    <d v="2020-08-31T00:00:00"/>
    <s v="CL0124"/>
    <x v="1"/>
    <x v="59"/>
    <x v="0"/>
    <n v="9.5299999999999994"/>
  </r>
  <r>
    <d v="2020-08-31T00:00:00"/>
    <m/>
    <x v="7"/>
    <x v="59"/>
    <x v="0"/>
    <n v="2.77"/>
  </r>
  <r>
    <d v="2020-08-31T00:00:00"/>
    <s v="CL0125"/>
    <x v="6"/>
    <x v="60"/>
    <x v="0"/>
    <n v="6.16"/>
  </r>
  <r>
    <d v="2020-08-31T00:00:00"/>
    <m/>
    <x v="1"/>
    <x v="60"/>
    <x v="0"/>
    <n v="5.58"/>
  </r>
  <r>
    <d v="2020-08-31T00:00:00"/>
    <m/>
    <x v="52"/>
    <x v="60"/>
    <x v="1"/>
    <n v="812.45"/>
  </r>
  <r>
    <d v="2020-08-31T00:00:00"/>
    <m/>
    <x v="53"/>
    <x v="60"/>
    <x v="1"/>
    <n v="1949.89"/>
  </r>
  <r>
    <d v="2020-08-31T00:00:00"/>
    <m/>
    <x v="54"/>
    <x v="60"/>
    <x v="1"/>
    <n v="1624.91"/>
  </r>
  <r>
    <d v="2020-08-31T00:00:00"/>
    <s v="CL0126"/>
    <x v="5"/>
    <x v="61"/>
    <x v="0"/>
    <n v="19.09"/>
  </r>
  <r>
    <d v="2020-08-31T00:00:00"/>
    <m/>
    <x v="7"/>
    <x v="61"/>
    <x v="0"/>
    <n v="41.55"/>
  </r>
  <r>
    <d v="2020-08-31T00:00:00"/>
    <m/>
    <x v="46"/>
    <x v="61"/>
    <x v="1"/>
    <n v="3110.08"/>
  </r>
  <r>
    <d v="2020-08-31T00:00:00"/>
    <m/>
    <x v="55"/>
    <x v="61"/>
    <x v="1"/>
    <n v="254.46"/>
  </r>
  <r>
    <d v="2020-08-31T00:00:00"/>
    <m/>
    <x v="56"/>
    <x v="61"/>
    <x v="1"/>
    <n v="254.46"/>
  </r>
  <r>
    <d v="2020-08-31T00:00:00"/>
    <s v="CL0130"/>
    <x v="0"/>
    <x v="62"/>
    <x v="0"/>
    <n v="239.33"/>
  </r>
  <r>
    <d v="2020-08-31T00:00:00"/>
    <m/>
    <x v="13"/>
    <x v="62"/>
    <x v="0"/>
    <n v="216.07"/>
  </r>
  <r>
    <d v="2020-08-31T00:00:00"/>
    <m/>
    <x v="5"/>
    <x v="62"/>
    <x v="0"/>
    <n v="54"/>
  </r>
  <r>
    <d v="2020-08-31T00:00:00"/>
    <m/>
    <x v="6"/>
    <x v="62"/>
    <x v="0"/>
    <n v="11.61"/>
  </r>
  <r>
    <d v="2020-08-31T00:00:00"/>
    <m/>
    <x v="1"/>
    <x v="62"/>
    <x v="0"/>
    <n v="79.599999999999994"/>
  </r>
  <r>
    <d v="2020-08-31T00:00:00"/>
    <m/>
    <x v="14"/>
    <x v="62"/>
    <x v="0"/>
    <n v="174.36"/>
  </r>
  <r>
    <d v="2020-08-31T00:00:00"/>
    <m/>
    <x v="7"/>
    <x v="62"/>
    <x v="0"/>
    <n v="2.23"/>
  </r>
  <r>
    <d v="2020-08-31T00:00:00"/>
    <m/>
    <x v="31"/>
    <x v="62"/>
    <x v="1"/>
    <n v="1793.5"/>
  </r>
  <r>
    <d v="2020-08-31T00:00:00"/>
    <s v="CL0132"/>
    <x v="0"/>
    <x v="63"/>
    <x v="0"/>
    <n v="297.43"/>
  </r>
  <r>
    <d v="2020-08-31T00:00:00"/>
    <m/>
    <x v="13"/>
    <x v="63"/>
    <x v="0"/>
    <n v="1342.68"/>
  </r>
  <r>
    <d v="2020-08-31T00:00:00"/>
    <m/>
    <x v="5"/>
    <x v="63"/>
    <x v="0"/>
    <n v="26.38"/>
  </r>
  <r>
    <d v="2020-08-31T00:00:00"/>
    <m/>
    <x v="1"/>
    <x v="63"/>
    <x v="0"/>
    <n v="494.62"/>
  </r>
  <r>
    <d v="2020-08-31T00:00:00"/>
    <s v="CL0140"/>
    <x v="5"/>
    <x v="64"/>
    <x v="0"/>
    <n v="71.59"/>
  </r>
  <r>
    <d v="2020-08-31T00:00:00"/>
    <m/>
    <x v="6"/>
    <x v="64"/>
    <x v="0"/>
    <n v="21.46"/>
  </r>
  <r>
    <d v="2020-08-31T00:00:00"/>
    <m/>
    <x v="1"/>
    <x v="64"/>
    <x v="0"/>
    <n v="48.67"/>
  </r>
  <r>
    <d v="2020-08-31T00:00:00"/>
    <m/>
    <x v="2"/>
    <x v="64"/>
    <x v="1"/>
    <n v="1718.71"/>
  </r>
  <r>
    <d v="2020-08-31T00:00:00"/>
    <m/>
    <x v="15"/>
    <x v="64"/>
    <x v="1"/>
    <n v="1190.93"/>
  </r>
  <r>
    <d v="2020-08-31T00:00:00"/>
    <m/>
    <x v="4"/>
    <x v="64"/>
    <x v="1"/>
    <n v="13847.3"/>
  </r>
  <r>
    <d v="2020-08-31T00:00:00"/>
    <m/>
    <x v="20"/>
    <x v="64"/>
    <x v="1"/>
    <n v="7113.59"/>
  </r>
  <r>
    <d v="2020-08-31T00:00:00"/>
    <s v="CL0048"/>
    <x v="0"/>
    <x v="65"/>
    <x v="0"/>
    <n v="8.5299999999999994"/>
  </r>
  <r>
    <d v="2020-08-31T00:00:00"/>
    <m/>
    <x v="5"/>
    <x v="65"/>
    <x v="0"/>
    <n v="39.380000000000003"/>
  </r>
  <r>
    <d v="2020-08-31T00:00:00"/>
    <m/>
    <x v="4"/>
    <x v="65"/>
    <x v="1"/>
    <n v="4367.28"/>
  </r>
  <r>
    <d v="2020-08-31T00:00:00"/>
    <s v="CL0158"/>
    <x v="7"/>
    <x v="66"/>
    <x v="0"/>
    <n v="37.14"/>
  </r>
  <r>
    <d v="2020-08-31T00:00:00"/>
    <s v="CL0084"/>
    <x v="0"/>
    <x v="67"/>
    <x v="0"/>
    <n v="750.64"/>
  </r>
  <r>
    <d v="2020-08-31T00:00:00"/>
    <m/>
    <x v="13"/>
    <x v="67"/>
    <x v="0"/>
    <n v="4606.42"/>
  </r>
  <r>
    <d v="2020-08-31T00:00:00"/>
    <m/>
    <x v="6"/>
    <x v="67"/>
    <x v="0"/>
    <n v="250.58"/>
  </r>
  <r>
    <d v="2020-08-31T00:00:00"/>
    <s v="CL0157"/>
    <x v="0"/>
    <x v="68"/>
    <x v="0"/>
    <n v="365.96"/>
  </r>
  <r>
    <d v="2020-08-31T00:00:00"/>
    <m/>
    <x v="13"/>
    <x v="68"/>
    <x v="0"/>
    <n v="1089.93"/>
  </r>
  <r>
    <d v="2020-08-31T00:00:00"/>
    <m/>
    <x v="6"/>
    <x v="68"/>
    <x v="0"/>
    <n v="74.760000000000005"/>
  </r>
  <r>
    <d v="2020-08-31T00:00:00"/>
    <m/>
    <x v="7"/>
    <x v="68"/>
    <x v="0"/>
    <n v="26.99"/>
  </r>
  <r>
    <d v="2020-08-31T00:00:00"/>
    <s v="CL0080"/>
    <x v="0"/>
    <x v="69"/>
    <x v="0"/>
    <n v="979.43"/>
  </r>
  <r>
    <d v="2020-08-31T00:00:00"/>
    <m/>
    <x v="1"/>
    <x v="69"/>
    <x v="0"/>
    <n v="498.87"/>
  </r>
  <r>
    <d v="2020-08-31T00:00:00"/>
    <m/>
    <x v="2"/>
    <x v="69"/>
    <x v="1"/>
    <n v="3088.32"/>
  </r>
  <r>
    <d v="2020-08-31T00:00:00"/>
    <s v="CL0102"/>
    <x v="3"/>
    <x v="70"/>
    <x v="1"/>
    <n v="427.55"/>
  </r>
  <r>
    <d v="2020-08-31T00:00:00"/>
    <s v="CL0108"/>
    <x v="3"/>
    <x v="71"/>
    <x v="1"/>
    <n v="3026.49"/>
  </r>
  <r>
    <d v="2020-08-31T00:00:00"/>
    <m/>
    <x v="32"/>
    <x v="71"/>
    <x v="1"/>
    <n v="1196.57"/>
  </r>
  <r>
    <d v="2020-08-31T00:00:00"/>
    <s v="CL0115"/>
    <x v="32"/>
    <x v="72"/>
    <x v="1"/>
    <n v="233.48"/>
  </r>
  <r>
    <d v="2020-08-31T00:00:00"/>
    <s v="CL0112"/>
    <x v="57"/>
    <x v="73"/>
    <x v="1"/>
    <n v="490.6"/>
  </r>
  <r>
    <d v="2020-08-31T00:00:00"/>
    <m/>
    <x v="58"/>
    <x v="73"/>
    <x v="1"/>
    <n v="490.6"/>
  </r>
  <r>
    <d v="2020-08-31T00:00:00"/>
    <s v="CL0160"/>
    <x v="0"/>
    <x v="74"/>
    <x v="0"/>
    <n v="216.87"/>
  </r>
  <r>
    <d v="2020-08-31T00:00:00"/>
    <m/>
    <x v="6"/>
    <x v="74"/>
    <x v="0"/>
    <n v="30.77"/>
  </r>
  <r>
    <d v="2020-08-31T00:00:00"/>
    <m/>
    <x v="7"/>
    <x v="74"/>
    <x v="0"/>
    <n v="95.19"/>
  </r>
  <r>
    <d v="2020-08-31T00:00:00"/>
    <s v="CL0159"/>
    <x v="13"/>
    <x v="75"/>
    <x v="0"/>
    <n v="602.24"/>
  </r>
  <r>
    <d v="2020-08-31T00:00:00"/>
    <m/>
    <x v="5"/>
    <x v="75"/>
    <x v="0"/>
    <n v="3.63"/>
  </r>
  <r>
    <d v="2020-08-31T00:00:00"/>
    <s v="CL0146"/>
    <x v="7"/>
    <x v="76"/>
    <x v="0"/>
    <n v="137.31"/>
  </r>
  <r>
    <d v="2020-09-30T00:00:00"/>
    <s v="CL0001"/>
    <x v="0"/>
    <x v="0"/>
    <x v="0"/>
    <n v="89.11"/>
  </r>
  <r>
    <d v="2020-09-30T00:00:00"/>
    <m/>
    <x v="1"/>
    <x v="0"/>
    <x v="0"/>
    <n v="364.75"/>
  </r>
  <r>
    <d v="2020-09-30T00:00:00"/>
    <m/>
    <x v="2"/>
    <x v="0"/>
    <x v="1"/>
    <n v="1252.45"/>
  </r>
  <r>
    <d v="2020-09-30T00:00:00"/>
    <m/>
    <x v="3"/>
    <x v="0"/>
    <x v="1"/>
    <n v="2683.9"/>
  </r>
  <r>
    <d v="2020-09-30T00:00:00"/>
    <m/>
    <x v="4"/>
    <x v="0"/>
    <x v="1"/>
    <n v="389.57"/>
  </r>
  <r>
    <d v="2020-09-30T00:00:00"/>
    <s v="CL0002"/>
    <x v="5"/>
    <x v="1"/>
    <x v="0"/>
    <n v="113.99"/>
  </r>
  <r>
    <d v="2020-09-30T00:00:00"/>
    <m/>
    <x v="6"/>
    <x v="1"/>
    <x v="0"/>
    <n v="46.08"/>
  </r>
  <r>
    <d v="2020-09-30T00:00:00"/>
    <m/>
    <x v="7"/>
    <x v="1"/>
    <x v="0"/>
    <n v="215.17"/>
  </r>
  <r>
    <d v="2020-09-30T00:00:00"/>
    <m/>
    <x v="8"/>
    <x v="1"/>
    <x v="1"/>
    <n v="1159.99"/>
  </r>
  <r>
    <d v="2020-09-30T00:00:00"/>
    <m/>
    <x v="2"/>
    <x v="1"/>
    <x v="1"/>
    <n v="927.2"/>
  </r>
  <r>
    <d v="2020-09-30T00:00:00"/>
    <m/>
    <x v="9"/>
    <x v="1"/>
    <x v="1"/>
    <n v="5342.29"/>
  </r>
  <r>
    <d v="2020-09-30T00:00:00"/>
    <m/>
    <x v="10"/>
    <x v="1"/>
    <x v="2"/>
    <n v="9454.26"/>
  </r>
  <r>
    <d v="2020-09-30T00:00:00"/>
    <m/>
    <x v="16"/>
    <x v="1"/>
    <x v="2"/>
    <n v="4366.1899999999996"/>
  </r>
  <r>
    <d v="2020-09-30T00:00:00"/>
    <m/>
    <x v="11"/>
    <x v="1"/>
    <x v="2"/>
    <n v="2926.98"/>
  </r>
  <r>
    <d v="2020-09-30T00:00:00"/>
    <s v="CL0003"/>
    <x v="13"/>
    <x v="2"/>
    <x v="0"/>
    <n v="124.9"/>
  </r>
  <r>
    <d v="2020-09-30T00:00:00"/>
    <m/>
    <x v="6"/>
    <x v="2"/>
    <x v="0"/>
    <n v="23.69"/>
  </r>
  <r>
    <d v="2020-09-30T00:00:00"/>
    <m/>
    <x v="1"/>
    <x v="2"/>
    <x v="0"/>
    <n v="30.51"/>
  </r>
  <r>
    <d v="2020-09-30T00:00:00"/>
    <m/>
    <x v="14"/>
    <x v="2"/>
    <x v="0"/>
    <n v="321.82"/>
  </r>
  <r>
    <d v="2020-09-30T00:00:00"/>
    <m/>
    <x v="7"/>
    <x v="2"/>
    <x v="0"/>
    <n v="43.51"/>
  </r>
  <r>
    <d v="2020-09-30T00:00:00"/>
    <m/>
    <x v="3"/>
    <x v="2"/>
    <x v="1"/>
    <n v="5612.65"/>
  </r>
  <r>
    <d v="2020-09-30T00:00:00"/>
    <m/>
    <x v="15"/>
    <x v="2"/>
    <x v="1"/>
    <n v="1192.5"/>
  </r>
  <r>
    <d v="2020-09-30T00:00:00"/>
    <m/>
    <x v="16"/>
    <x v="2"/>
    <x v="2"/>
    <n v="25492.45"/>
  </r>
  <r>
    <d v="2020-09-30T00:00:00"/>
    <m/>
    <x v="12"/>
    <x v="2"/>
    <x v="2"/>
    <n v="7870.99"/>
  </r>
  <r>
    <d v="2020-09-30T00:00:00"/>
    <s v="CL0004"/>
    <x v="0"/>
    <x v="3"/>
    <x v="0"/>
    <n v="151.65"/>
  </r>
  <r>
    <d v="2020-09-30T00:00:00"/>
    <m/>
    <x v="6"/>
    <x v="3"/>
    <x v="0"/>
    <n v="63.76"/>
  </r>
  <r>
    <d v="2020-09-30T00:00:00"/>
    <m/>
    <x v="14"/>
    <x v="3"/>
    <x v="0"/>
    <n v="200.91"/>
  </r>
  <r>
    <d v="2020-09-30T00:00:00"/>
    <m/>
    <x v="7"/>
    <x v="3"/>
    <x v="0"/>
    <n v="73.64"/>
  </r>
  <r>
    <d v="2020-09-30T00:00:00"/>
    <m/>
    <x v="3"/>
    <x v="3"/>
    <x v="1"/>
    <n v="5230.45"/>
  </r>
  <r>
    <d v="2020-09-30T00:00:00"/>
    <m/>
    <x v="15"/>
    <x v="3"/>
    <x v="1"/>
    <n v="623.46"/>
  </r>
  <r>
    <d v="2020-09-30T00:00:00"/>
    <m/>
    <x v="16"/>
    <x v="3"/>
    <x v="2"/>
    <n v="24966.5"/>
  </r>
  <r>
    <d v="2020-09-30T00:00:00"/>
    <m/>
    <x v="12"/>
    <x v="3"/>
    <x v="2"/>
    <n v="7744.63"/>
  </r>
  <r>
    <d v="2020-09-30T00:00:00"/>
    <s v="CL0005"/>
    <x v="0"/>
    <x v="4"/>
    <x v="0"/>
    <n v="135.09"/>
  </r>
  <r>
    <d v="2020-09-30T00:00:00"/>
    <m/>
    <x v="5"/>
    <x v="4"/>
    <x v="0"/>
    <n v="22.82"/>
  </r>
  <r>
    <d v="2020-09-30T00:00:00"/>
    <m/>
    <x v="1"/>
    <x v="4"/>
    <x v="0"/>
    <n v="105"/>
  </r>
  <r>
    <d v="2020-09-30T00:00:00"/>
    <m/>
    <x v="14"/>
    <x v="4"/>
    <x v="0"/>
    <n v="183.24"/>
  </r>
  <r>
    <d v="2020-09-30T00:00:00"/>
    <m/>
    <x v="17"/>
    <x v="4"/>
    <x v="0"/>
    <n v="17.190000000000001"/>
  </r>
  <r>
    <d v="2020-09-30T00:00:00"/>
    <m/>
    <x v="8"/>
    <x v="4"/>
    <x v="1"/>
    <n v="943.9"/>
  </r>
  <r>
    <d v="2020-09-30T00:00:00"/>
    <m/>
    <x v="2"/>
    <x v="4"/>
    <x v="1"/>
    <n v="2189.39"/>
  </r>
  <r>
    <d v="2020-09-30T00:00:00"/>
    <m/>
    <x v="15"/>
    <x v="4"/>
    <x v="1"/>
    <n v="1569.43"/>
  </r>
  <r>
    <d v="2020-09-30T00:00:00"/>
    <m/>
    <x v="19"/>
    <x v="4"/>
    <x v="1"/>
    <n v="2412.09"/>
  </r>
  <r>
    <d v="2020-09-30T00:00:00"/>
    <m/>
    <x v="20"/>
    <x v="4"/>
    <x v="1"/>
    <n v="7856.72"/>
  </r>
  <r>
    <d v="2020-09-30T00:00:00"/>
    <s v="CL0007"/>
    <x v="0"/>
    <x v="5"/>
    <x v="0"/>
    <n v="115.66"/>
  </r>
  <r>
    <d v="2020-09-30T00:00:00"/>
    <m/>
    <x v="13"/>
    <x v="5"/>
    <x v="0"/>
    <n v="1180.33"/>
  </r>
  <r>
    <d v="2020-09-30T00:00:00"/>
    <m/>
    <x v="5"/>
    <x v="5"/>
    <x v="0"/>
    <n v="47.69"/>
  </r>
  <r>
    <d v="2020-09-30T00:00:00"/>
    <m/>
    <x v="6"/>
    <x v="5"/>
    <x v="0"/>
    <n v="30.96"/>
  </r>
  <r>
    <d v="2020-09-30T00:00:00"/>
    <m/>
    <x v="1"/>
    <x v="5"/>
    <x v="0"/>
    <n v="61.76"/>
  </r>
  <r>
    <d v="2020-09-30T00:00:00"/>
    <m/>
    <x v="14"/>
    <x v="5"/>
    <x v="0"/>
    <n v="385.2"/>
  </r>
  <r>
    <d v="2020-09-30T00:00:00"/>
    <m/>
    <x v="17"/>
    <x v="5"/>
    <x v="0"/>
    <n v="42.79"/>
  </r>
  <r>
    <d v="2020-09-30T00:00:00"/>
    <m/>
    <x v="7"/>
    <x v="5"/>
    <x v="0"/>
    <n v="216.22"/>
  </r>
  <r>
    <d v="2020-09-30T00:00:00"/>
    <m/>
    <x v="21"/>
    <x v="5"/>
    <x v="1"/>
    <n v="5944.54"/>
  </r>
  <r>
    <d v="2020-09-30T00:00:00"/>
    <m/>
    <x v="22"/>
    <x v="5"/>
    <x v="1"/>
    <n v="2565.46"/>
  </r>
  <r>
    <d v="2020-09-30T00:00:00"/>
    <m/>
    <x v="18"/>
    <x v="5"/>
    <x v="1"/>
    <n v="1537.25"/>
  </r>
  <r>
    <d v="2020-09-30T00:00:00"/>
    <m/>
    <x v="2"/>
    <x v="5"/>
    <x v="1"/>
    <n v="3768.82"/>
  </r>
  <r>
    <d v="2020-09-30T00:00:00"/>
    <m/>
    <x v="23"/>
    <x v="5"/>
    <x v="1"/>
    <n v="12411.23"/>
  </r>
  <r>
    <d v="2020-09-30T00:00:00"/>
    <m/>
    <x v="3"/>
    <x v="5"/>
    <x v="1"/>
    <n v="11558.96"/>
  </r>
  <r>
    <d v="2020-09-30T00:00:00"/>
    <m/>
    <x v="24"/>
    <x v="5"/>
    <x v="1"/>
    <n v="8895.48"/>
  </r>
  <r>
    <d v="2020-09-30T00:00:00"/>
    <m/>
    <x v="25"/>
    <x v="5"/>
    <x v="1"/>
    <n v="13901.03"/>
  </r>
  <r>
    <d v="2020-09-30T00:00:00"/>
    <m/>
    <x v="9"/>
    <x v="5"/>
    <x v="1"/>
    <n v="2398.11"/>
  </r>
  <r>
    <d v="2020-09-30T00:00:00"/>
    <m/>
    <x v="26"/>
    <x v="5"/>
    <x v="1"/>
    <n v="3975.84"/>
  </r>
  <r>
    <d v="2020-09-30T00:00:00"/>
    <m/>
    <x v="27"/>
    <x v="5"/>
    <x v="1"/>
    <n v="2346.1799999999998"/>
  </r>
  <r>
    <d v="2020-09-30T00:00:00"/>
    <m/>
    <x v="29"/>
    <x v="5"/>
    <x v="1"/>
    <n v="9366.6200000000008"/>
  </r>
  <r>
    <d v="2020-09-30T00:00:00"/>
    <m/>
    <x v="30"/>
    <x v="5"/>
    <x v="1"/>
    <n v="1876.95"/>
  </r>
  <r>
    <d v="2020-09-30T00:00:00"/>
    <m/>
    <x v="10"/>
    <x v="5"/>
    <x v="2"/>
    <n v="37943.85"/>
  </r>
  <r>
    <d v="2020-09-30T00:00:00"/>
    <m/>
    <x v="11"/>
    <x v="5"/>
    <x v="2"/>
    <n v="30951.29"/>
  </r>
  <r>
    <d v="2020-09-30T00:00:00"/>
    <m/>
    <x v="4"/>
    <x v="5"/>
    <x v="1"/>
    <n v="1161.22"/>
  </r>
  <r>
    <d v="2020-09-30T00:00:00"/>
    <m/>
    <x v="12"/>
    <x v="5"/>
    <x v="2"/>
    <n v="7683.72"/>
  </r>
  <r>
    <d v="2020-09-30T00:00:00"/>
    <m/>
    <x v="59"/>
    <x v="5"/>
    <x v="1"/>
    <n v="2346.1799999999998"/>
  </r>
  <r>
    <d v="2020-09-30T00:00:00"/>
    <s v="CL0008"/>
    <x v="0"/>
    <x v="6"/>
    <x v="0"/>
    <n v="1755.47"/>
  </r>
  <r>
    <d v="2020-09-30T00:00:00"/>
    <m/>
    <x v="13"/>
    <x v="6"/>
    <x v="0"/>
    <n v="9473.76"/>
  </r>
  <r>
    <d v="2020-09-30T00:00:00"/>
    <m/>
    <x v="5"/>
    <x v="6"/>
    <x v="0"/>
    <n v="74.75"/>
  </r>
  <r>
    <d v="2020-09-30T00:00:00"/>
    <m/>
    <x v="6"/>
    <x v="6"/>
    <x v="0"/>
    <n v="33.07"/>
  </r>
  <r>
    <d v="2020-09-30T00:00:00"/>
    <m/>
    <x v="1"/>
    <x v="6"/>
    <x v="0"/>
    <n v="2618.52"/>
  </r>
  <r>
    <d v="2020-09-30T00:00:00"/>
    <m/>
    <x v="14"/>
    <x v="6"/>
    <x v="0"/>
    <n v="977.18"/>
  </r>
  <r>
    <d v="2020-09-30T00:00:00"/>
    <m/>
    <x v="17"/>
    <x v="6"/>
    <x v="0"/>
    <n v="10.78"/>
  </r>
  <r>
    <d v="2020-09-30T00:00:00"/>
    <m/>
    <x v="7"/>
    <x v="6"/>
    <x v="0"/>
    <n v="522.46"/>
  </r>
  <r>
    <d v="2020-09-30T00:00:00"/>
    <m/>
    <x v="21"/>
    <x v="6"/>
    <x v="1"/>
    <n v="2390.33"/>
  </r>
  <r>
    <d v="2020-09-30T00:00:00"/>
    <m/>
    <x v="8"/>
    <x v="6"/>
    <x v="1"/>
    <n v="2576.4699999999998"/>
  </r>
  <r>
    <d v="2020-09-30T00:00:00"/>
    <m/>
    <x v="22"/>
    <x v="6"/>
    <x v="1"/>
    <n v="6362.73"/>
  </r>
  <r>
    <d v="2020-09-30T00:00:00"/>
    <m/>
    <x v="31"/>
    <x v="6"/>
    <x v="1"/>
    <n v="299.67"/>
  </r>
  <r>
    <d v="2020-09-30T00:00:00"/>
    <m/>
    <x v="18"/>
    <x v="6"/>
    <x v="1"/>
    <n v="712.52"/>
  </r>
  <r>
    <d v="2020-09-30T00:00:00"/>
    <m/>
    <x v="2"/>
    <x v="6"/>
    <x v="1"/>
    <n v="2937.53"/>
  </r>
  <r>
    <d v="2020-09-30T00:00:00"/>
    <m/>
    <x v="32"/>
    <x v="6"/>
    <x v="1"/>
    <n v="2212.79"/>
  </r>
  <r>
    <d v="2020-09-30T00:00:00"/>
    <m/>
    <x v="33"/>
    <x v="6"/>
    <x v="1"/>
    <n v="14472.48"/>
  </r>
  <r>
    <d v="2020-09-30T00:00:00"/>
    <m/>
    <x v="9"/>
    <x v="6"/>
    <x v="1"/>
    <n v="1155.42"/>
  </r>
  <r>
    <d v="2020-09-30T00:00:00"/>
    <m/>
    <x v="15"/>
    <x v="6"/>
    <x v="1"/>
    <n v="1768.95"/>
  </r>
  <r>
    <d v="2020-09-30T00:00:00"/>
    <m/>
    <x v="35"/>
    <x v="6"/>
    <x v="1"/>
    <n v="1487.08"/>
  </r>
  <r>
    <d v="2020-09-30T00:00:00"/>
    <m/>
    <x v="10"/>
    <x v="6"/>
    <x v="2"/>
    <n v="12467.47"/>
  </r>
  <r>
    <d v="2020-09-30T00:00:00"/>
    <m/>
    <x v="16"/>
    <x v="6"/>
    <x v="2"/>
    <n v="380429.05"/>
  </r>
  <r>
    <d v="2020-09-30T00:00:00"/>
    <m/>
    <x v="11"/>
    <x v="6"/>
    <x v="2"/>
    <n v="7047.3"/>
  </r>
  <r>
    <d v="2020-09-30T00:00:00"/>
    <m/>
    <x v="4"/>
    <x v="6"/>
    <x v="1"/>
    <n v="2174.81"/>
  </r>
  <r>
    <d v="2020-09-30T00:00:00"/>
    <m/>
    <x v="12"/>
    <x v="6"/>
    <x v="2"/>
    <n v="6229.62"/>
  </r>
  <r>
    <d v="2020-09-30T00:00:00"/>
    <s v="CL0010"/>
    <x v="0"/>
    <x v="7"/>
    <x v="0"/>
    <n v="45.61"/>
  </r>
  <r>
    <d v="2020-09-30T00:00:00"/>
    <m/>
    <x v="13"/>
    <x v="7"/>
    <x v="0"/>
    <n v="0.84"/>
  </r>
  <r>
    <d v="2020-09-30T00:00:00"/>
    <m/>
    <x v="5"/>
    <x v="7"/>
    <x v="0"/>
    <n v="0.98"/>
  </r>
  <r>
    <d v="2020-09-30T00:00:00"/>
    <m/>
    <x v="1"/>
    <x v="7"/>
    <x v="0"/>
    <n v="37.299999999999997"/>
  </r>
  <r>
    <d v="2020-09-30T00:00:00"/>
    <m/>
    <x v="14"/>
    <x v="7"/>
    <x v="0"/>
    <n v="23.91"/>
  </r>
  <r>
    <d v="2020-09-30T00:00:00"/>
    <m/>
    <x v="17"/>
    <x v="7"/>
    <x v="0"/>
    <n v="0.92"/>
  </r>
  <r>
    <d v="2020-09-30T00:00:00"/>
    <m/>
    <x v="7"/>
    <x v="7"/>
    <x v="0"/>
    <n v="16.47"/>
  </r>
  <r>
    <d v="2020-09-30T00:00:00"/>
    <s v="CL0011"/>
    <x v="0"/>
    <x v="8"/>
    <x v="0"/>
    <n v="481.81"/>
  </r>
  <r>
    <d v="2020-09-30T00:00:00"/>
    <m/>
    <x v="13"/>
    <x v="8"/>
    <x v="0"/>
    <n v="2029.1"/>
  </r>
  <r>
    <d v="2020-09-30T00:00:00"/>
    <m/>
    <x v="5"/>
    <x v="8"/>
    <x v="0"/>
    <n v="88.8"/>
  </r>
  <r>
    <d v="2020-09-30T00:00:00"/>
    <m/>
    <x v="6"/>
    <x v="8"/>
    <x v="0"/>
    <n v="63.83"/>
  </r>
  <r>
    <d v="2020-09-30T00:00:00"/>
    <m/>
    <x v="1"/>
    <x v="8"/>
    <x v="0"/>
    <n v="1076.54"/>
  </r>
  <r>
    <d v="2020-09-30T00:00:00"/>
    <m/>
    <x v="14"/>
    <x v="8"/>
    <x v="0"/>
    <n v="559.25"/>
  </r>
  <r>
    <d v="2020-09-30T00:00:00"/>
    <m/>
    <x v="17"/>
    <x v="8"/>
    <x v="0"/>
    <n v="9.48"/>
  </r>
  <r>
    <d v="2020-09-30T00:00:00"/>
    <m/>
    <x v="7"/>
    <x v="8"/>
    <x v="0"/>
    <n v="437.76"/>
  </r>
  <r>
    <d v="2020-09-30T00:00:00"/>
    <m/>
    <x v="21"/>
    <x v="8"/>
    <x v="1"/>
    <n v="1827.49"/>
  </r>
  <r>
    <d v="2020-09-30T00:00:00"/>
    <m/>
    <x v="31"/>
    <x v="8"/>
    <x v="1"/>
    <n v="4988.32"/>
  </r>
  <r>
    <d v="2020-09-30T00:00:00"/>
    <m/>
    <x v="18"/>
    <x v="8"/>
    <x v="1"/>
    <n v="560.96"/>
  </r>
  <r>
    <d v="2020-09-30T00:00:00"/>
    <m/>
    <x v="2"/>
    <x v="8"/>
    <x v="1"/>
    <n v="1726.31"/>
  </r>
  <r>
    <d v="2020-09-30T00:00:00"/>
    <m/>
    <x v="3"/>
    <x v="8"/>
    <x v="1"/>
    <n v="10968.83"/>
  </r>
  <r>
    <d v="2020-09-30T00:00:00"/>
    <m/>
    <x v="24"/>
    <x v="8"/>
    <x v="1"/>
    <n v="6235.88"/>
  </r>
  <r>
    <d v="2020-09-30T00:00:00"/>
    <m/>
    <x v="32"/>
    <x v="8"/>
    <x v="1"/>
    <n v="1010.91"/>
  </r>
  <r>
    <d v="2020-09-30T00:00:00"/>
    <m/>
    <x v="36"/>
    <x v="8"/>
    <x v="1"/>
    <n v="6258.64"/>
  </r>
  <r>
    <d v="2020-09-30T00:00:00"/>
    <m/>
    <x v="33"/>
    <x v="8"/>
    <x v="1"/>
    <n v="9386.3799999999992"/>
  </r>
  <r>
    <d v="2020-09-30T00:00:00"/>
    <m/>
    <x v="15"/>
    <x v="8"/>
    <x v="1"/>
    <n v="1166.46"/>
  </r>
  <r>
    <d v="2020-09-30T00:00:00"/>
    <m/>
    <x v="37"/>
    <x v="8"/>
    <x v="1"/>
    <n v="2196.83"/>
  </r>
  <r>
    <d v="2020-09-30T00:00:00"/>
    <m/>
    <x v="10"/>
    <x v="8"/>
    <x v="2"/>
    <n v="11106.64"/>
  </r>
  <r>
    <d v="2020-09-30T00:00:00"/>
    <m/>
    <x v="16"/>
    <x v="8"/>
    <x v="2"/>
    <n v="4038.55"/>
  </r>
  <r>
    <d v="2020-09-30T00:00:00"/>
    <m/>
    <x v="11"/>
    <x v="8"/>
    <x v="2"/>
    <n v="9105.33"/>
  </r>
  <r>
    <d v="2020-09-30T00:00:00"/>
    <m/>
    <x v="4"/>
    <x v="8"/>
    <x v="1"/>
    <n v="1422.37"/>
  </r>
  <r>
    <d v="2020-09-30T00:00:00"/>
    <m/>
    <x v="12"/>
    <x v="8"/>
    <x v="2"/>
    <n v="3531.88"/>
  </r>
  <r>
    <d v="2020-09-30T00:00:00"/>
    <m/>
    <x v="20"/>
    <x v="8"/>
    <x v="1"/>
    <n v="4347.1899999999996"/>
  </r>
  <r>
    <d v="2020-09-30T00:00:00"/>
    <s v="CL0012"/>
    <x v="38"/>
    <x v="9"/>
    <x v="1"/>
    <n v="14981.78"/>
  </r>
  <r>
    <d v="2020-09-30T00:00:00"/>
    <m/>
    <x v="39"/>
    <x v="9"/>
    <x v="1"/>
    <n v="3995.14"/>
  </r>
  <r>
    <d v="2020-09-30T00:00:00"/>
    <s v="CL0013"/>
    <x v="13"/>
    <x v="10"/>
    <x v="0"/>
    <n v="333.06"/>
  </r>
  <r>
    <d v="2020-09-30T00:00:00"/>
    <m/>
    <x v="1"/>
    <x v="10"/>
    <x v="0"/>
    <n v="169.89"/>
  </r>
  <r>
    <d v="2020-09-30T00:00:00"/>
    <s v="CL0014"/>
    <x v="0"/>
    <x v="11"/>
    <x v="0"/>
    <n v="20.350000000000001"/>
  </r>
  <r>
    <d v="2020-09-30T00:00:00"/>
    <m/>
    <x v="13"/>
    <x v="11"/>
    <x v="0"/>
    <n v="107.59"/>
  </r>
  <r>
    <d v="2020-09-30T00:00:00"/>
    <m/>
    <x v="1"/>
    <x v="11"/>
    <x v="0"/>
    <n v="23.77"/>
  </r>
  <r>
    <d v="2020-09-30T00:00:00"/>
    <m/>
    <x v="14"/>
    <x v="11"/>
    <x v="0"/>
    <n v="9.4499999999999993"/>
  </r>
  <r>
    <d v="2020-09-30T00:00:00"/>
    <s v="CL0016"/>
    <x v="13"/>
    <x v="12"/>
    <x v="0"/>
    <n v="390.44"/>
  </r>
  <r>
    <d v="2020-09-30T00:00:00"/>
    <m/>
    <x v="1"/>
    <x v="12"/>
    <x v="0"/>
    <n v="80.569999999999993"/>
  </r>
  <r>
    <d v="2020-09-30T00:00:00"/>
    <m/>
    <x v="14"/>
    <x v="12"/>
    <x v="0"/>
    <n v="17.600000000000001"/>
  </r>
  <r>
    <d v="2020-09-30T00:00:00"/>
    <m/>
    <x v="7"/>
    <x v="12"/>
    <x v="0"/>
    <n v="17.3"/>
  </r>
  <r>
    <d v="2020-09-30T00:00:00"/>
    <m/>
    <x v="18"/>
    <x v="12"/>
    <x v="1"/>
    <n v="158.96"/>
  </r>
  <r>
    <d v="2020-09-30T00:00:00"/>
    <s v="CL0020"/>
    <x v="13"/>
    <x v="13"/>
    <x v="0"/>
    <n v="71"/>
  </r>
  <r>
    <d v="2020-09-30T00:00:00"/>
    <m/>
    <x v="5"/>
    <x v="13"/>
    <x v="0"/>
    <n v="4.7300000000000004"/>
  </r>
  <r>
    <d v="2020-09-30T00:00:00"/>
    <m/>
    <x v="1"/>
    <x v="13"/>
    <x v="0"/>
    <n v="570.4"/>
  </r>
  <r>
    <d v="2020-09-30T00:00:00"/>
    <m/>
    <x v="17"/>
    <x v="13"/>
    <x v="0"/>
    <n v="9.6300000000000008"/>
  </r>
  <r>
    <d v="2020-09-30T00:00:00"/>
    <m/>
    <x v="7"/>
    <x v="13"/>
    <x v="0"/>
    <n v="46.66"/>
  </r>
  <r>
    <d v="2020-09-30T00:00:00"/>
    <m/>
    <x v="21"/>
    <x v="13"/>
    <x v="1"/>
    <n v="4137.72"/>
  </r>
  <r>
    <d v="2020-09-30T00:00:00"/>
    <m/>
    <x v="3"/>
    <x v="13"/>
    <x v="1"/>
    <n v="3438.03"/>
  </r>
  <r>
    <d v="2020-09-30T00:00:00"/>
    <m/>
    <x v="15"/>
    <x v="13"/>
    <x v="1"/>
    <n v="399.78"/>
  </r>
  <r>
    <d v="2020-09-30T00:00:00"/>
    <m/>
    <x v="16"/>
    <x v="13"/>
    <x v="2"/>
    <n v="20085.400000000001"/>
  </r>
  <r>
    <d v="2020-09-30T00:00:00"/>
    <s v="CL0021"/>
    <x v="0"/>
    <x v="14"/>
    <x v="0"/>
    <n v="194.1"/>
  </r>
  <r>
    <d v="2020-09-30T00:00:00"/>
    <m/>
    <x v="13"/>
    <x v="14"/>
    <x v="0"/>
    <n v="27051.38"/>
  </r>
  <r>
    <d v="2020-09-30T00:00:00"/>
    <m/>
    <x v="6"/>
    <x v="14"/>
    <x v="0"/>
    <n v="29.72"/>
  </r>
  <r>
    <d v="2020-09-30T00:00:00"/>
    <m/>
    <x v="1"/>
    <x v="14"/>
    <x v="0"/>
    <n v="133.85"/>
  </r>
  <r>
    <d v="2020-09-30T00:00:00"/>
    <m/>
    <x v="3"/>
    <x v="14"/>
    <x v="1"/>
    <n v="3281.81"/>
  </r>
  <r>
    <d v="2020-09-30T00:00:00"/>
    <s v="CL0022"/>
    <x v="0"/>
    <x v="15"/>
    <x v="0"/>
    <n v="4086.23"/>
  </r>
  <r>
    <d v="2020-09-30T00:00:00"/>
    <m/>
    <x v="13"/>
    <x v="15"/>
    <x v="0"/>
    <n v="5693.35"/>
  </r>
  <r>
    <d v="2020-09-30T00:00:00"/>
    <m/>
    <x v="1"/>
    <x v="15"/>
    <x v="0"/>
    <n v="7.92"/>
  </r>
  <r>
    <d v="2020-09-30T00:00:00"/>
    <m/>
    <x v="31"/>
    <x v="15"/>
    <x v="1"/>
    <n v="3072.96"/>
  </r>
  <r>
    <d v="2020-09-30T00:00:00"/>
    <m/>
    <x v="3"/>
    <x v="15"/>
    <x v="1"/>
    <n v="3795.12"/>
  </r>
  <r>
    <d v="2020-09-30T00:00:00"/>
    <s v="CL0024"/>
    <x v="13"/>
    <x v="16"/>
    <x v="0"/>
    <n v="428.16"/>
  </r>
  <r>
    <d v="2020-09-30T00:00:00"/>
    <m/>
    <x v="1"/>
    <x v="16"/>
    <x v="0"/>
    <n v="151.66"/>
  </r>
  <r>
    <d v="2020-09-30T00:00:00"/>
    <m/>
    <x v="7"/>
    <x v="16"/>
    <x v="0"/>
    <n v="40.450000000000003"/>
  </r>
  <r>
    <d v="2020-09-30T00:00:00"/>
    <s v="CL0025"/>
    <x v="0"/>
    <x v="17"/>
    <x v="0"/>
    <n v="435.96"/>
  </r>
  <r>
    <d v="2020-09-30T00:00:00"/>
    <m/>
    <x v="13"/>
    <x v="17"/>
    <x v="0"/>
    <n v="2661.64"/>
  </r>
  <r>
    <d v="2020-09-30T00:00:00"/>
    <m/>
    <x v="6"/>
    <x v="17"/>
    <x v="0"/>
    <n v="27.37"/>
  </r>
  <r>
    <d v="2020-09-30T00:00:00"/>
    <m/>
    <x v="1"/>
    <x v="17"/>
    <x v="0"/>
    <n v="298.01"/>
  </r>
  <r>
    <d v="2020-09-30T00:00:00"/>
    <m/>
    <x v="14"/>
    <x v="17"/>
    <x v="0"/>
    <n v="733"/>
  </r>
  <r>
    <d v="2020-09-30T00:00:00"/>
    <m/>
    <x v="17"/>
    <x v="17"/>
    <x v="0"/>
    <n v="17.079999999999998"/>
  </r>
  <r>
    <d v="2020-09-30T00:00:00"/>
    <m/>
    <x v="7"/>
    <x v="17"/>
    <x v="0"/>
    <n v="424.6"/>
  </r>
  <r>
    <d v="2020-09-30T00:00:00"/>
    <m/>
    <x v="8"/>
    <x v="17"/>
    <x v="1"/>
    <n v="3306.72"/>
  </r>
  <r>
    <d v="2020-09-30T00:00:00"/>
    <m/>
    <x v="22"/>
    <x v="17"/>
    <x v="1"/>
    <n v="11414.7"/>
  </r>
  <r>
    <d v="2020-09-30T00:00:00"/>
    <m/>
    <x v="18"/>
    <x v="17"/>
    <x v="1"/>
    <n v="2734.41"/>
  </r>
  <r>
    <d v="2020-09-30T00:00:00"/>
    <m/>
    <x v="2"/>
    <x v="17"/>
    <x v="1"/>
    <n v="4752.75"/>
  </r>
  <r>
    <d v="2020-09-30T00:00:00"/>
    <m/>
    <x v="4"/>
    <x v="17"/>
    <x v="1"/>
    <n v="258.02999999999997"/>
  </r>
  <r>
    <d v="2020-09-30T00:00:00"/>
    <s v="CL0026"/>
    <x v="0"/>
    <x v="18"/>
    <x v="0"/>
    <n v="2568.92"/>
  </r>
  <r>
    <d v="2020-09-30T00:00:00"/>
    <m/>
    <x v="13"/>
    <x v="18"/>
    <x v="0"/>
    <n v="5212.33"/>
  </r>
  <r>
    <d v="2020-09-30T00:00:00"/>
    <m/>
    <x v="6"/>
    <x v="18"/>
    <x v="0"/>
    <n v="58"/>
  </r>
  <r>
    <d v="2020-09-30T00:00:00"/>
    <m/>
    <x v="1"/>
    <x v="18"/>
    <x v="0"/>
    <n v="132.49"/>
  </r>
  <r>
    <d v="2020-09-30T00:00:00"/>
    <m/>
    <x v="14"/>
    <x v="18"/>
    <x v="0"/>
    <n v="1982.52"/>
  </r>
  <r>
    <d v="2020-09-30T00:00:00"/>
    <m/>
    <x v="17"/>
    <x v="18"/>
    <x v="0"/>
    <n v="10.88"/>
  </r>
  <r>
    <d v="2020-09-30T00:00:00"/>
    <m/>
    <x v="7"/>
    <x v="18"/>
    <x v="0"/>
    <n v="207.22"/>
  </r>
  <r>
    <d v="2020-09-30T00:00:00"/>
    <m/>
    <x v="21"/>
    <x v="18"/>
    <x v="1"/>
    <n v="15545.57"/>
  </r>
  <r>
    <d v="2020-09-30T00:00:00"/>
    <m/>
    <x v="8"/>
    <x v="18"/>
    <x v="1"/>
    <n v="637"/>
  </r>
  <r>
    <d v="2020-09-30T00:00:00"/>
    <m/>
    <x v="22"/>
    <x v="18"/>
    <x v="1"/>
    <n v="2808.77"/>
  </r>
  <r>
    <d v="2020-09-30T00:00:00"/>
    <m/>
    <x v="18"/>
    <x v="18"/>
    <x v="1"/>
    <n v="2383.35"/>
  </r>
  <r>
    <d v="2020-09-30T00:00:00"/>
    <m/>
    <x v="32"/>
    <x v="18"/>
    <x v="1"/>
    <n v="374.13"/>
  </r>
  <r>
    <d v="2020-09-30T00:00:00"/>
    <m/>
    <x v="9"/>
    <x v="18"/>
    <x v="1"/>
    <n v="9210.23"/>
  </r>
  <r>
    <d v="2020-09-30T00:00:00"/>
    <m/>
    <x v="15"/>
    <x v="18"/>
    <x v="1"/>
    <n v="594.46"/>
  </r>
  <r>
    <d v="2020-09-30T00:00:00"/>
    <m/>
    <x v="4"/>
    <x v="18"/>
    <x v="1"/>
    <n v="257.95"/>
  </r>
  <r>
    <d v="2020-09-30T00:00:00"/>
    <m/>
    <x v="20"/>
    <x v="18"/>
    <x v="1"/>
    <n v="21371.88"/>
  </r>
  <r>
    <d v="2020-09-30T00:00:00"/>
    <s v="CL0027"/>
    <x v="6"/>
    <x v="19"/>
    <x v="0"/>
    <n v="47.81"/>
  </r>
  <r>
    <d v="2020-09-30T00:00:00"/>
    <m/>
    <x v="1"/>
    <x v="19"/>
    <x v="0"/>
    <n v="3510.74"/>
  </r>
  <r>
    <d v="2020-09-30T00:00:00"/>
    <m/>
    <x v="8"/>
    <x v="19"/>
    <x v="1"/>
    <n v="7863.84"/>
  </r>
  <r>
    <d v="2020-09-30T00:00:00"/>
    <m/>
    <x v="31"/>
    <x v="19"/>
    <x v="1"/>
    <n v="11190.14"/>
  </r>
  <r>
    <d v="2020-09-30T00:00:00"/>
    <m/>
    <x v="15"/>
    <x v="19"/>
    <x v="1"/>
    <n v="565.89"/>
  </r>
  <r>
    <d v="2020-09-30T00:00:00"/>
    <s v="CL0033"/>
    <x v="5"/>
    <x v="20"/>
    <x v="0"/>
    <n v="335.14"/>
  </r>
  <r>
    <d v="2020-09-30T00:00:00"/>
    <m/>
    <x v="10"/>
    <x v="20"/>
    <x v="2"/>
    <n v="41027.17"/>
  </r>
  <r>
    <d v="2020-09-30T00:00:00"/>
    <m/>
    <x v="16"/>
    <x v="20"/>
    <x v="2"/>
    <n v="19103.3"/>
  </r>
  <r>
    <d v="2020-09-30T00:00:00"/>
    <m/>
    <x v="11"/>
    <x v="20"/>
    <x v="2"/>
    <n v="32816.300000000003"/>
  </r>
  <r>
    <d v="2020-09-30T00:00:00"/>
    <m/>
    <x v="12"/>
    <x v="20"/>
    <x v="2"/>
    <n v="9472.7900000000009"/>
  </r>
  <r>
    <d v="2020-09-30T00:00:00"/>
    <s v="CL0034"/>
    <x v="0"/>
    <x v="21"/>
    <x v="0"/>
    <n v="891.92"/>
  </r>
  <r>
    <d v="2020-09-30T00:00:00"/>
    <m/>
    <x v="13"/>
    <x v="21"/>
    <x v="0"/>
    <n v="4681.51"/>
  </r>
  <r>
    <d v="2020-09-30T00:00:00"/>
    <m/>
    <x v="5"/>
    <x v="21"/>
    <x v="0"/>
    <n v="2.97"/>
  </r>
  <r>
    <d v="2020-09-30T00:00:00"/>
    <m/>
    <x v="1"/>
    <x v="21"/>
    <x v="0"/>
    <n v="482.42"/>
  </r>
  <r>
    <d v="2020-09-30T00:00:00"/>
    <m/>
    <x v="14"/>
    <x v="21"/>
    <x v="0"/>
    <n v="358.49"/>
  </r>
  <r>
    <d v="2020-09-30T00:00:00"/>
    <m/>
    <x v="17"/>
    <x v="21"/>
    <x v="0"/>
    <n v="16.82"/>
  </r>
  <r>
    <d v="2020-09-30T00:00:00"/>
    <m/>
    <x v="22"/>
    <x v="21"/>
    <x v="1"/>
    <n v="1611.06"/>
  </r>
  <r>
    <d v="2020-09-30T00:00:00"/>
    <m/>
    <x v="31"/>
    <x v="21"/>
    <x v="1"/>
    <n v="2422.64"/>
  </r>
  <r>
    <d v="2020-09-30T00:00:00"/>
    <m/>
    <x v="3"/>
    <x v="21"/>
    <x v="1"/>
    <n v="3872.74"/>
  </r>
  <r>
    <d v="2020-09-30T00:00:00"/>
    <m/>
    <x v="46"/>
    <x v="21"/>
    <x v="1"/>
    <n v="5910.3"/>
  </r>
  <r>
    <d v="2020-09-30T00:00:00"/>
    <m/>
    <x v="41"/>
    <x v="21"/>
    <x v="1"/>
    <n v="768.44"/>
  </r>
  <r>
    <d v="2020-09-30T00:00:00"/>
    <m/>
    <x v="16"/>
    <x v="21"/>
    <x v="2"/>
    <n v="31988.39"/>
  </r>
  <r>
    <d v="2020-09-30T00:00:00"/>
    <m/>
    <x v="20"/>
    <x v="21"/>
    <x v="1"/>
    <n v="6178.81"/>
  </r>
  <r>
    <d v="2020-09-30T00:00:00"/>
    <m/>
    <x v="47"/>
    <x v="21"/>
    <x v="0"/>
    <n v="73.459999999999994"/>
  </r>
  <r>
    <d v="2020-09-30T00:00:00"/>
    <m/>
    <x v="60"/>
    <x v="21"/>
    <x v="1"/>
    <n v="821.98"/>
  </r>
  <r>
    <d v="2020-09-30T00:00:00"/>
    <s v="CL0035"/>
    <x v="13"/>
    <x v="22"/>
    <x v="0"/>
    <n v="106.31"/>
  </r>
  <r>
    <d v="2020-09-30T00:00:00"/>
    <m/>
    <x v="1"/>
    <x v="22"/>
    <x v="0"/>
    <n v="527.65"/>
  </r>
  <r>
    <d v="2020-09-30T00:00:00"/>
    <m/>
    <x v="14"/>
    <x v="22"/>
    <x v="0"/>
    <n v="238.16"/>
  </r>
  <r>
    <d v="2020-09-30T00:00:00"/>
    <m/>
    <x v="17"/>
    <x v="22"/>
    <x v="0"/>
    <n v="5.73"/>
  </r>
  <r>
    <d v="2020-09-30T00:00:00"/>
    <m/>
    <x v="7"/>
    <x v="22"/>
    <x v="0"/>
    <n v="256.14"/>
  </r>
  <r>
    <d v="2020-09-30T00:00:00"/>
    <m/>
    <x v="8"/>
    <x v="22"/>
    <x v="1"/>
    <n v="7029.07"/>
  </r>
  <r>
    <d v="2020-09-30T00:00:00"/>
    <m/>
    <x v="31"/>
    <x v="22"/>
    <x v="1"/>
    <n v="8580.9699999999993"/>
  </r>
  <r>
    <d v="2020-09-30T00:00:00"/>
    <m/>
    <x v="2"/>
    <x v="22"/>
    <x v="1"/>
    <n v="12290.83"/>
  </r>
  <r>
    <d v="2020-09-30T00:00:00"/>
    <m/>
    <x v="15"/>
    <x v="22"/>
    <x v="1"/>
    <n v="1237.48"/>
  </r>
  <r>
    <d v="2020-09-30T00:00:00"/>
    <m/>
    <x v="16"/>
    <x v="22"/>
    <x v="2"/>
    <n v="17573.86"/>
  </r>
  <r>
    <d v="2020-09-30T00:00:00"/>
    <m/>
    <x v="4"/>
    <x v="22"/>
    <x v="1"/>
    <n v="233.06"/>
  </r>
  <r>
    <d v="2020-09-30T00:00:00"/>
    <m/>
    <x v="20"/>
    <x v="22"/>
    <x v="1"/>
    <n v="12113.68"/>
  </r>
  <r>
    <d v="2020-09-30T00:00:00"/>
    <s v="CL0036"/>
    <x v="13"/>
    <x v="23"/>
    <x v="0"/>
    <n v="112.77"/>
  </r>
  <r>
    <d v="2020-09-30T00:00:00"/>
    <m/>
    <x v="6"/>
    <x v="23"/>
    <x v="0"/>
    <n v="113.53"/>
  </r>
  <r>
    <d v="2020-09-30T00:00:00"/>
    <m/>
    <x v="1"/>
    <x v="23"/>
    <x v="0"/>
    <n v="49.06"/>
  </r>
  <r>
    <d v="2020-09-30T00:00:00"/>
    <s v="CL0037"/>
    <x v="0"/>
    <x v="24"/>
    <x v="0"/>
    <n v="650.41"/>
  </r>
  <r>
    <d v="2020-09-30T00:00:00"/>
    <m/>
    <x v="1"/>
    <x v="24"/>
    <x v="0"/>
    <n v="5.62"/>
  </r>
  <r>
    <d v="2020-09-30T00:00:00"/>
    <m/>
    <x v="3"/>
    <x v="24"/>
    <x v="1"/>
    <n v="3266.26"/>
  </r>
  <r>
    <d v="2020-09-30T00:00:00"/>
    <m/>
    <x v="20"/>
    <x v="24"/>
    <x v="1"/>
    <n v="4208.13"/>
  </r>
  <r>
    <d v="2020-09-30T00:00:00"/>
    <s v="CL0039"/>
    <x v="0"/>
    <x v="25"/>
    <x v="0"/>
    <n v="1418.93"/>
  </r>
  <r>
    <d v="2020-09-30T00:00:00"/>
    <m/>
    <x v="13"/>
    <x v="25"/>
    <x v="0"/>
    <n v="1226.96"/>
  </r>
  <r>
    <d v="2020-09-30T00:00:00"/>
    <m/>
    <x v="5"/>
    <x v="25"/>
    <x v="0"/>
    <n v="31.66"/>
  </r>
  <r>
    <d v="2020-09-30T00:00:00"/>
    <m/>
    <x v="6"/>
    <x v="25"/>
    <x v="0"/>
    <n v="70.87"/>
  </r>
  <r>
    <d v="2020-09-30T00:00:00"/>
    <m/>
    <x v="1"/>
    <x v="25"/>
    <x v="0"/>
    <n v="224.34"/>
  </r>
  <r>
    <d v="2020-09-30T00:00:00"/>
    <m/>
    <x v="7"/>
    <x v="25"/>
    <x v="0"/>
    <n v="70.83"/>
  </r>
  <r>
    <d v="2020-09-30T00:00:00"/>
    <m/>
    <x v="8"/>
    <x v="25"/>
    <x v="1"/>
    <n v="21312.87"/>
  </r>
  <r>
    <d v="2020-09-30T00:00:00"/>
    <m/>
    <x v="31"/>
    <x v="25"/>
    <x v="1"/>
    <n v="36418.28"/>
  </r>
  <r>
    <d v="2020-09-30T00:00:00"/>
    <m/>
    <x v="3"/>
    <x v="25"/>
    <x v="1"/>
    <n v="4771.3100000000004"/>
  </r>
  <r>
    <d v="2020-09-30T00:00:00"/>
    <m/>
    <x v="12"/>
    <x v="25"/>
    <x v="2"/>
    <n v="11419.63"/>
  </r>
  <r>
    <d v="2020-09-30T00:00:00"/>
    <s v="CL0040"/>
    <x v="6"/>
    <x v="26"/>
    <x v="0"/>
    <n v="43.52"/>
  </r>
  <r>
    <d v="2020-09-30T00:00:00"/>
    <m/>
    <x v="1"/>
    <x v="26"/>
    <x v="0"/>
    <n v="25.2"/>
  </r>
  <r>
    <d v="2020-09-30T00:00:00"/>
    <m/>
    <x v="8"/>
    <x v="26"/>
    <x v="1"/>
    <n v="5277.06"/>
  </r>
  <r>
    <d v="2020-09-30T00:00:00"/>
    <m/>
    <x v="9"/>
    <x v="26"/>
    <x v="1"/>
    <n v="6703.45"/>
  </r>
  <r>
    <d v="2020-09-30T00:00:00"/>
    <m/>
    <x v="41"/>
    <x v="26"/>
    <x v="1"/>
    <n v="151.22999999999999"/>
  </r>
  <r>
    <d v="2020-09-30T00:00:00"/>
    <m/>
    <x v="15"/>
    <x v="26"/>
    <x v="1"/>
    <n v="590.39"/>
  </r>
  <r>
    <d v="2020-09-30T00:00:00"/>
    <s v="CL0046"/>
    <x v="1"/>
    <x v="27"/>
    <x v="0"/>
    <n v="21.39"/>
  </r>
  <r>
    <d v="2020-09-30T00:00:00"/>
    <s v="CL0047"/>
    <x v="5"/>
    <x v="28"/>
    <x v="0"/>
    <n v="2.0299999999999998"/>
  </r>
  <r>
    <d v="2020-09-30T00:00:00"/>
    <m/>
    <x v="7"/>
    <x v="28"/>
    <x v="0"/>
    <n v="249.96"/>
  </r>
  <r>
    <d v="2020-09-30T00:00:00"/>
    <m/>
    <x v="16"/>
    <x v="28"/>
    <x v="2"/>
    <n v="3027.92"/>
  </r>
  <r>
    <d v="2020-09-30T00:00:00"/>
    <m/>
    <x v="20"/>
    <x v="28"/>
    <x v="1"/>
    <n v="3596.06"/>
  </r>
  <r>
    <d v="2020-09-30T00:00:00"/>
    <s v="CL0049"/>
    <x v="13"/>
    <x v="29"/>
    <x v="0"/>
    <n v="238.72"/>
  </r>
  <r>
    <d v="2020-09-30T00:00:00"/>
    <m/>
    <x v="1"/>
    <x v="29"/>
    <x v="0"/>
    <n v="85.8"/>
  </r>
  <r>
    <d v="2020-09-30T00:00:00"/>
    <s v="CL0050"/>
    <x v="1"/>
    <x v="30"/>
    <x v="0"/>
    <n v="12.97"/>
  </r>
  <r>
    <d v="2020-09-30T00:00:00"/>
    <s v="CL0054"/>
    <x v="0"/>
    <x v="31"/>
    <x v="0"/>
    <n v="108.96"/>
  </r>
  <r>
    <d v="2020-09-30T00:00:00"/>
    <m/>
    <x v="13"/>
    <x v="31"/>
    <x v="0"/>
    <n v="72.09"/>
  </r>
  <r>
    <d v="2020-09-30T00:00:00"/>
    <m/>
    <x v="14"/>
    <x v="31"/>
    <x v="0"/>
    <n v="48.44"/>
  </r>
  <r>
    <d v="2020-09-30T00:00:00"/>
    <s v="CL0059"/>
    <x v="0"/>
    <x v="32"/>
    <x v="0"/>
    <n v="95.18"/>
  </r>
  <r>
    <d v="2020-09-30T00:00:00"/>
    <m/>
    <x v="1"/>
    <x v="32"/>
    <x v="0"/>
    <n v="139.47"/>
  </r>
  <r>
    <d v="2020-09-30T00:00:00"/>
    <m/>
    <x v="33"/>
    <x v="32"/>
    <x v="1"/>
    <n v="230.15"/>
  </r>
  <r>
    <d v="2020-09-30T00:00:00"/>
    <s v="CL0060"/>
    <x v="1"/>
    <x v="33"/>
    <x v="0"/>
    <n v="0.05"/>
  </r>
  <r>
    <d v="2020-09-30T00:00:00"/>
    <s v="CL0061"/>
    <x v="42"/>
    <x v="34"/>
    <x v="1"/>
    <n v="899.15"/>
  </r>
  <r>
    <d v="2020-09-30T00:00:00"/>
    <s v="CL0063"/>
    <x v="3"/>
    <x v="35"/>
    <x v="1"/>
    <n v="19691.490000000002"/>
  </r>
  <r>
    <d v="2020-09-30T00:00:00"/>
    <m/>
    <x v="32"/>
    <x v="35"/>
    <x v="1"/>
    <n v="5053.66"/>
  </r>
  <r>
    <d v="2020-09-30T00:00:00"/>
    <s v="CL0064"/>
    <x v="0"/>
    <x v="36"/>
    <x v="0"/>
    <n v="47.86"/>
  </r>
  <r>
    <d v="2020-09-30T00:00:00"/>
    <m/>
    <x v="13"/>
    <x v="36"/>
    <x v="0"/>
    <n v="54.42"/>
  </r>
  <r>
    <d v="2020-09-30T00:00:00"/>
    <m/>
    <x v="5"/>
    <x v="36"/>
    <x v="0"/>
    <n v="14.27"/>
  </r>
  <r>
    <d v="2020-09-30T00:00:00"/>
    <m/>
    <x v="1"/>
    <x v="36"/>
    <x v="0"/>
    <n v="528.72"/>
  </r>
  <r>
    <d v="2020-09-30T00:00:00"/>
    <m/>
    <x v="31"/>
    <x v="36"/>
    <x v="1"/>
    <n v="517.85"/>
  </r>
  <r>
    <d v="2020-09-30T00:00:00"/>
    <s v="CL0065"/>
    <x v="14"/>
    <x v="37"/>
    <x v="0"/>
    <n v="93.24"/>
  </r>
  <r>
    <d v="2020-09-30T00:00:00"/>
    <m/>
    <x v="3"/>
    <x v="37"/>
    <x v="1"/>
    <n v="9259"/>
  </r>
  <r>
    <d v="2020-09-30T00:00:00"/>
    <m/>
    <x v="32"/>
    <x v="37"/>
    <x v="1"/>
    <n v="2880.53"/>
  </r>
  <r>
    <d v="2020-09-30T00:00:00"/>
    <m/>
    <x v="43"/>
    <x v="37"/>
    <x v="1"/>
    <n v="5761.05"/>
  </r>
  <r>
    <d v="2020-09-30T00:00:00"/>
    <m/>
    <x v="44"/>
    <x v="37"/>
    <x v="1"/>
    <n v="2880.53"/>
  </r>
  <r>
    <d v="2020-09-30T00:00:00"/>
    <m/>
    <x v="45"/>
    <x v="37"/>
    <x v="1"/>
    <n v="2880.53"/>
  </r>
  <r>
    <d v="2020-09-30T00:00:00"/>
    <s v="CL0067"/>
    <x v="5"/>
    <x v="38"/>
    <x v="0"/>
    <n v="52.39"/>
  </r>
  <r>
    <d v="2020-09-30T00:00:00"/>
    <m/>
    <x v="6"/>
    <x v="38"/>
    <x v="0"/>
    <n v="7.37"/>
  </r>
  <r>
    <d v="2020-09-30T00:00:00"/>
    <m/>
    <x v="46"/>
    <x v="38"/>
    <x v="1"/>
    <n v="1173.75"/>
  </r>
  <r>
    <d v="2020-09-30T00:00:00"/>
    <m/>
    <x v="10"/>
    <x v="38"/>
    <x v="2"/>
    <n v="14633.23"/>
  </r>
  <r>
    <d v="2020-09-30T00:00:00"/>
    <m/>
    <x v="11"/>
    <x v="38"/>
    <x v="2"/>
    <n v="13121.96"/>
  </r>
  <r>
    <d v="2020-09-30T00:00:00"/>
    <m/>
    <x v="12"/>
    <x v="38"/>
    <x v="2"/>
    <n v="4101.51"/>
  </r>
  <r>
    <d v="2020-09-30T00:00:00"/>
    <m/>
    <x v="47"/>
    <x v="38"/>
    <x v="0"/>
    <n v="30.1"/>
  </r>
  <r>
    <d v="2020-09-30T00:00:00"/>
    <s v="CL0068"/>
    <x v="0"/>
    <x v="39"/>
    <x v="0"/>
    <n v="203.43"/>
  </r>
  <r>
    <d v="2020-09-30T00:00:00"/>
    <m/>
    <x v="6"/>
    <x v="39"/>
    <x v="0"/>
    <n v="11.9"/>
  </r>
  <r>
    <d v="2020-09-30T00:00:00"/>
    <m/>
    <x v="7"/>
    <x v="39"/>
    <x v="0"/>
    <n v="1221.04"/>
  </r>
  <r>
    <d v="2020-09-30T00:00:00"/>
    <s v="CL0069"/>
    <x v="0"/>
    <x v="40"/>
    <x v="0"/>
    <n v="671.69"/>
  </r>
  <r>
    <d v="2020-09-30T00:00:00"/>
    <m/>
    <x v="5"/>
    <x v="40"/>
    <x v="0"/>
    <n v="3.74"/>
  </r>
  <r>
    <d v="2020-09-30T00:00:00"/>
    <m/>
    <x v="21"/>
    <x v="40"/>
    <x v="1"/>
    <n v="1362.19"/>
  </r>
  <r>
    <d v="2020-09-30T00:00:00"/>
    <m/>
    <x v="31"/>
    <x v="40"/>
    <x v="1"/>
    <n v="2666.64"/>
  </r>
  <r>
    <d v="2020-09-30T00:00:00"/>
    <s v="CL0071"/>
    <x v="0"/>
    <x v="41"/>
    <x v="0"/>
    <n v="131.5"/>
  </r>
  <r>
    <d v="2020-09-30T00:00:00"/>
    <m/>
    <x v="5"/>
    <x v="41"/>
    <x v="0"/>
    <n v="76.06"/>
  </r>
  <r>
    <d v="2020-09-30T00:00:00"/>
    <m/>
    <x v="1"/>
    <x v="41"/>
    <x v="0"/>
    <n v="1154.67"/>
  </r>
  <r>
    <d v="2020-09-30T00:00:00"/>
    <m/>
    <x v="21"/>
    <x v="41"/>
    <x v="1"/>
    <n v="14361.61"/>
  </r>
  <r>
    <d v="2020-09-30T00:00:00"/>
    <m/>
    <x v="2"/>
    <x v="41"/>
    <x v="1"/>
    <n v="16087.52"/>
  </r>
  <r>
    <d v="2020-09-30T00:00:00"/>
    <m/>
    <x v="4"/>
    <x v="41"/>
    <x v="1"/>
    <n v="12599.68"/>
  </r>
  <r>
    <d v="2020-09-30T00:00:00"/>
    <m/>
    <x v="20"/>
    <x v="41"/>
    <x v="1"/>
    <n v="9509.01"/>
  </r>
  <r>
    <d v="2020-09-30T00:00:00"/>
    <s v="CL0072"/>
    <x v="0"/>
    <x v="42"/>
    <x v="0"/>
    <n v="1003.14"/>
  </r>
  <r>
    <d v="2020-09-30T00:00:00"/>
    <m/>
    <x v="13"/>
    <x v="42"/>
    <x v="0"/>
    <n v="8622.74"/>
  </r>
  <r>
    <d v="2020-09-30T00:00:00"/>
    <m/>
    <x v="5"/>
    <x v="42"/>
    <x v="0"/>
    <n v="3.66"/>
  </r>
  <r>
    <d v="2020-09-30T00:00:00"/>
    <m/>
    <x v="1"/>
    <x v="42"/>
    <x v="0"/>
    <n v="365.01"/>
  </r>
  <r>
    <d v="2020-09-30T00:00:00"/>
    <m/>
    <x v="7"/>
    <x v="42"/>
    <x v="0"/>
    <n v="290.58"/>
  </r>
  <r>
    <d v="2020-09-30T00:00:00"/>
    <m/>
    <x v="18"/>
    <x v="42"/>
    <x v="1"/>
    <n v="4019.08"/>
  </r>
  <r>
    <d v="2020-09-30T00:00:00"/>
    <m/>
    <x v="2"/>
    <x v="42"/>
    <x v="1"/>
    <n v="999.24"/>
  </r>
  <r>
    <d v="2020-09-30T00:00:00"/>
    <m/>
    <x v="3"/>
    <x v="42"/>
    <x v="1"/>
    <n v="2432.38"/>
  </r>
  <r>
    <d v="2020-09-30T00:00:00"/>
    <s v="CL0073"/>
    <x v="1"/>
    <x v="43"/>
    <x v="0"/>
    <n v="105.68"/>
  </r>
  <r>
    <d v="2020-09-30T00:00:00"/>
    <m/>
    <x v="42"/>
    <x v="43"/>
    <x v="1"/>
    <n v="892.92"/>
  </r>
  <r>
    <d v="2020-09-30T00:00:00"/>
    <s v="CL0075"/>
    <x v="7"/>
    <x v="44"/>
    <x v="0"/>
    <n v="44.65"/>
  </r>
  <r>
    <d v="2020-09-30T00:00:00"/>
    <s v="CL0077"/>
    <x v="0"/>
    <x v="45"/>
    <x v="0"/>
    <n v="128.05000000000001"/>
  </r>
  <r>
    <d v="2020-09-30T00:00:00"/>
    <m/>
    <x v="13"/>
    <x v="45"/>
    <x v="0"/>
    <n v="550.84"/>
  </r>
  <r>
    <d v="2020-09-30T00:00:00"/>
    <m/>
    <x v="1"/>
    <x v="45"/>
    <x v="0"/>
    <n v="372.99"/>
  </r>
  <r>
    <d v="2020-09-30T00:00:00"/>
    <m/>
    <x v="7"/>
    <x v="45"/>
    <x v="0"/>
    <n v="58.93"/>
  </r>
  <r>
    <d v="2020-09-30T00:00:00"/>
    <m/>
    <x v="3"/>
    <x v="45"/>
    <x v="1"/>
    <n v="17063.55"/>
  </r>
  <r>
    <d v="2020-09-30T00:00:00"/>
    <s v="CL0081"/>
    <x v="14"/>
    <x v="77"/>
    <x v="0"/>
    <n v="23.99"/>
  </r>
  <r>
    <d v="2020-09-30T00:00:00"/>
    <s v="CL0082"/>
    <x v="13"/>
    <x v="46"/>
    <x v="0"/>
    <n v="37.72"/>
  </r>
  <r>
    <d v="2020-09-30T00:00:00"/>
    <m/>
    <x v="6"/>
    <x v="46"/>
    <x v="0"/>
    <n v="15.13"/>
  </r>
  <r>
    <d v="2020-09-30T00:00:00"/>
    <m/>
    <x v="1"/>
    <x v="46"/>
    <x v="0"/>
    <n v="2.33"/>
  </r>
  <r>
    <d v="2020-09-30T00:00:00"/>
    <m/>
    <x v="14"/>
    <x v="46"/>
    <x v="0"/>
    <n v="111.5"/>
  </r>
  <r>
    <d v="2020-09-30T00:00:00"/>
    <m/>
    <x v="17"/>
    <x v="46"/>
    <x v="0"/>
    <n v="1.97"/>
  </r>
  <r>
    <d v="2020-09-30T00:00:00"/>
    <m/>
    <x v="7"/>
    <x v="46"/>
    <x v="0"/>
    <n v="233.19"/>
  </r>
  <r>
    <d v="2020-09-30T00:00:00"/>
    <m/>
    <x v="22"/>
    <x v="46"/>
    <x v="1"/>
    <n v="2461.0500000000002"/>
  </r>
  <r>
    <d v="2020-09-30T00:00:00"/>
    <s v="CL0089"/>
    <x v="13"/>
    <x v="47"/>
    <x v="0"/>
    <n v="209.05"/>
  </r>
  <r>
    <d v="2020-09-30T00:00:00"/>
    <m/>
    <x v="6"/>
    <x v="47"/>
    <x v="0"/>
    <n v="89.33"/>
  </r>
  <r>
    <d v="2020-09-30T00:00:00"/>
    <m/>
    <x v="1"/>
    <x v="47"/>
    <x v="0"/>
    <n v="129.49"/>
  </r>
  <r>
    <d v="2020-09-30T00:00:00"/>
    <m/>
    <x v="14"/>
    <x v="47"/>
    <x v="0"/>
    <n v="356.75"/>
  </r>
  <r>
    <d v="2020-09-30T00:00:00"/>
    <m/>
    <x v="17"/>
    <x v="47"/>
    <x v="0"/>
    <n v="32.840000000000003"/>
  </r>
  <r>
    <d v="2020-09-30T00:00:00"/>
    <m/>
    <x v="7"/>
    <x v="47"/>
    <x v="0"/>
    <n v="165.81"/>
  </r>
  <r>
    <d v="2020-09-30T00:00:00"/>
    <m/>
    <x v="22"/>
    <x v="47"/>
    <x v="1"/>
    <n v="2735.58"/>
  </r>
  <r>
    <d v="2020-09-30T00:00:00"/>
    <s v="CL0092"/>
    <x v="13"/>
    <x v="48"/>
    <x v="0"/>
    <n v="215.73"/>
  </r>
  <r>
    <d v="2020-09-30T00:00:00"/>
    <m/>
    <x v="1"/>
    <x v="48"/>
    <x v="0"/>
    <n v="313.88"/>
  </r>
  <r>
    <d v="2020-09-30T00:00:00"/>
    <m/>
    <x v="7"/>
    <x v="48"/>
    <x v="0"/>
    <n v="17.18"/>
  </r>
  <r>
    <d v="2020-09-30T00:00:00"/>
    <s v="CL0101"/>
    <x v="14"/>
    <x v="49"/>
    <x v="0"/>
    <n v="491.12"/>
  </r>
  <r>
    <d v="2020-09-30T00:00:00"/>
    <m/>
    <x v="17"/>
    <x v="49"/>
    <x v="0"/>
    <n v="63.71"/>
  </r>
  <r>
    <d v="2020-09-30T00:00:00"/>
    <m/>
    <x v="7"/>
    <x v="49"/>
    <x v="0"/>
    <n v="179.43"/>
  </r>
  <r>
    <d v="2020-09-30T00:00:00"/>
    <m/>
    <x v="22"/>
    <x v="49"/>
    <x v="1"/>
    <n v="4831.5"/>
  </r>
  <r>
    <d v="2020-09-30T00:00:00"/>
    <s v="CL0103"/>
    <x v="5"/>
    <x v="50"/>
    <x v="0"/>
    <n v="11.09"/>
  </r>
  <r>
    <d v="2020-09-30T00:00:00"/>
    <m/>
    <x v="33"/>
    <x v="50"/>
    <x v="1"/>
    <n v="4365.96"/>
  </r>
  <r>
    <d v="2020-09-30T00:00:00"/>
    <s v="CL0105"/>
    <x v="5"/>
    <x v="51"/>
    <x v="0"/>
    <n v="16.2"/>
  </r>
  <r>
    <d v="2020-09-30T00:00:00"/>
    <m/>
    <x v="22"/>
    <x v="51"/>
    <x v="1"/>
    <n v="696.59"/>
  </r>
  <r>
    <d v="2020-09-30T00:00:00"/>
    <s v="CL0106"/>
    <x v="5"/>
    <x v="52"/>
    <x v="0"/>
    <n v="6.88"/>
  </r>
  <r>
    <d v="2020-09-30T00:00:00"/>
    <m/>
    <x v="3"/>
    <x v="52"/>
    <x v="1"/>
    <n v="8712.42"/>
  </r>
  <r>
    <d v="2020-09-30T00:00:00"/>
    <s v="CL0107"/>
    <x v="5"/>
    <x v="53"/>
    <x v="0"/>
    <n v="2.48"/>
  </r>
  <r>
    <d v="2020-09-30T00:00:00"/>
    <m/>
    <x v="1"/>
    <x v="53"/>
    <x v="0"/>
    <n v="16.87"/>
  </r>
  <r>
    <d v="2020-09-30T00:00:00"/>
    <s v="CL0110"/>
    <x v="5"/>
    <x v="54"/>
    <x v="0"/>
    <n v="0.8"/>
  </r>
  <r>
    <d v="2020-09-30T00:00:00"/>
    <m/>
    <x v="46"/>
    <x v="54"/>
    <x v="1"/>
    <n v="3176.2"/>
  </r>
  <r>
    <d v="2020-09-30T00:00:00"/>
    <m/>
    <x v="48"/>
    <x v="54"/>
    <x v="1"/>
    <n v="4764.3"/>
  </r>
  <r>
    <d v="2020-09-30T00:00:00"/>
    <s v="CL0111"/>
    <x v="7"/>
    <x v="55"/>
    <x v="0"/>
    <n v="0.26"/>
  </r>
  <r>
    <d v="2020-09-30T00:00:00"/>
    <m/>
    <x v="49"/>
    <x v="55"/>
    <x v="1"/>
    <n v="1421.25"/>
  </r>
  <r>
    <d v="2020-09-30T00:00:00"/>
    <m/>
    <x v="50"/>
    <x v="55"/>
    <x v="1"/>
    <n v="315.83"/>
  </r>
  <r>
    <d v="2020-09-30T00:00:00"/>
    <m/>
    <x v="51"/>
    <x v="55"/>
    <x v="1"/>
    <n v="3158.33"/>
  </r>
  <r>
    <d v="2020-09-30T00:00:00"/>
    <s v="CL0120"/>
    <x v="13"/>
    <x v="56"/>
    <x v="0"/>
    <n v="53.66"/>
  </r>
  <r>
    <d v="2020-09-30T00:00:00"/>
    <m/>
    <x v="5"/>
    <x v="56"/>
    <x v="0"/>
    <n v="6.46"/>
  </r>
  <r>
    <d v="2020-09-30T00:00:00"/>
    <m/>
    <x v="7"/>
    <x v="56"/>
    <x v="0"/>
    <n v="12.83"/>
  </r>
  <r>
    <d v="2020-09-30T00:00:00"/>
    <m/>
    <x v="32"/>
    <x v="56"/>
    <x v="1"/>
    <n v="659.33"/>
  </r>
  <r>
    <d v="2020-09-30T00:00:00"/>
    <m/>
    <x v="15"/>
    <x v="56"/>
    <x v="1"/>
    <n v="63.84"/>
  </r>
  <r>
    <d v="2020-09-30T00:00:00"/>
    <s v="CL0121"/>
    <x v="7"/>
    <x v="57"/>
    <x v="0"/>
    <n v="39.49"/>
  </r>
  <r>
    <d v="2020-09-30T00:00:00"/>
    <m/>
    <x v="3"/>
    <x v="57"/>
    <x v="1"/>
    <n v="2735.29"/>
  </r>
  <r>
    <d v="2020-09-30T00:00:00"/>
    <s v="CL0122"/>
    <x v="5"/>
    <x v="58"/>
    <x v="0"/>
    <n v="3.27"/>
  </r>
  <r>
    <d v="2020-09-30T00:00:00"/>
    <m/>
    <x v="7"/>
    <x v="58"/>
    <x v="0"/>
    <n v="16.03"/>
  </r>
  <r>
    <d v="2020-09-30T00:00:00"/>
    <m/>
    <x v="8"/>
    <x v="58"/>
    <x v="1"/>
    <n v="1340.08"/>
  </r>
  <r>
    <d v="2020-09-30T00:00:00"/>
    <m/>
    <x v="22"/>
    <x v="58"/>
    <x v="1"/>
    <n v="937.52"/>
  </r>
  <r>
    <d v="2020-09-30T00:00:00"/>
    <m/>
    <x v="3"/>
    <x v="58"/>
    <x v="1"/>
    <n v="2705.67"/>
  </r>
  <r>
    <d v="2020-09-30T00:00:00"/>
    <s v="CL0124"/>
    <x v="1"/>
    <x v="59"/>
    <x v="0"/>
    <n v="9.26"/>
  </r>
  <r>
    <d v="2020-09-30T00:00:00"/>
    <m/>
    <x v="7"/>
    <x v="59"/>
    <x v="0"/>
    <n v="2.63"/>
  </r>
  <r>
    <d v="2020-09-30T00:00:00"/>
    <s v="CL0125"/>
    <x v="6"/>
    <x v="60"/>
    <x v="0"/>
    <n v="5.78"/>
  </r>
  <r>
    <d v="2020-09-30T00:00:00"/>
    <m/>
    <x v="1"/>
    <x v="60"/>
    <x v="0"/>
    <n v="5.3"/>
  </r>
  <r>
    <d v="2020-09-30T00:00:00"/>
    <m/>
    <x v="53"/>
    <x v="60"/>
    <x v="1"/>
    <n v="1867.41"/>
  </r>
  <r>
    <d v="2020-09-30T00:00:00"/>
    <m/>
    <x v="54"/>
    <x v="60"/>
    <x v="1"/>
    <n v="1556.17"/>
  </r>
  <r>
    <d v="2020-09-30T00:00:00"/>
    <m/>
    <x v="61"/>
    <x v="60"/>
    <x v="1"/>
    <n v="778.09"/>
  </r>
  <r>
    <d v="2020-09-30T00:00:00"/>
    <s v="CL0126"/>
    <x v="5"/>
    <x v="61"/>
    <x v="0"/>
    <n v="18.41"/>
  </r>
  <r>
    <d v="2020-09-30T00:00:00"/>
    <m/>
    <x v="7"/>
    <x v="61"/>
    <x v="0"/>
    <n v="39.369999999999997"/>
  </r>
  <r>
    <d v="2020-09-30T00:00:00"/>
    <m/>
    <x v="46"/>
    <x v="61"/>
    <x v="1"/>
    <n v="3030.91"/>
  </r>
  <r>
    <d v="2020-09-30T00:00:00"/>
    <s v="CL0130"/>
    <x v="0"/>
    <x v="62"/>
    <x v="0"/>
    <n v="234.72"/>
  </r>
  <r>
    <d v="2020-09-30T00:00:00"/>
    <m/>
    <x v="13"/>
    <x v="62"/>
    <x v="0"/>
    <n v="208.51"/>
  </r>
  <r>
    <d v="2020-09-30T00:00:00"/>
    <m/>
    <x v="5"/>
    <x v="62"/>
    <x v="0"/>
    <n v="51.98"/>
  </r>
  <r>
    <d v="2020-09-30T00:00:00"/>
    <m/>
    <x v="6"/>
    <x v="62"/>
    <x v="0"/>
    <n v="11.06"/>
  </r>
  <r>
    <d v="2020-09-30T00:00:00"/>
    <m/>
    <x v="1"/>
    <x v="62"/>
    <x v="0"/>
    <n v="76.790000000000006"/>
  </r>
  <r>
    <d v="2020-09-30T00:00:00"/>
    <m/>
    <x v="14"/>
    <x v="62"/>
    <x v="0"/>
    <n v="173.64"/>
  </r>
  <r>
    <d v="2020-09-30T00:00:00"/>
    <m/>
    <x v="7"/>
    <x v="62"/>
    <x v="0"/>
    <n v="2.11"/>
  </r>
  <r>
    <d v="2020-09-30T00:00:00"/>
    <m/>
    <x v="31"/>
    <x v="62"/>
    <x v="1"/>
    <n v="1744.43"/>
  </r>
  <r>
    <d v="2020-09-30T00:00:00"/>
    <s v="CL0132"/>
    <x v="0"/>
    <x v="63"/>
    <x v="0"/>
    <n v="291.68"/>
  </r>
  <r>
    <d v="2020-09-30T00:00:00"/>
    <m/>
    <x v="13"/>
    <x v="63"/>
    <x v="0"/>
    <n v="1295.6199999999999"/>
  </r>
  <r>
    <d v="2020-09-30T00:00:00"/>
    <m/>
    <x v="5"/>
    <x v="63"/>
    <x v="0"/>
    <n v="25.39"/>
  </r>
  <r>
    <d v="2020-09-30T00:00:00"/>
    <m/>
    <x v="1"/>
    <x v="63"/>
    <x v="0"/>
    <n v="477.12"/>
  </r>
  <r>
    <d v="2020-09-30T00:00:00"/>
    <s v="CL0140"/>
    <x v="5"/>
    <x v="64"/>
    <x v="0"/>
    <n v="82.55"/>
  </r>
  <r>
    <d v="2020-09-30T00:00:00"/>
    <m/>
    <x v="6"/>
    <x v="64"/>
    <x v="0"/>
    <n v="21.42"/>
  </r>
  <r>
    <d v="2020-09-30T00:00:00"/>
    <m/>
    <x v="1"/>
    <x v="64"/>
    <x v="0"/>
    <n v="49.19"/>
  </r>
  <r>
    <d v="2020-09-30T00:00:00"/>
    <m/>
    <x v="2"/>
    <x v="64"/>
    <x v="1"/>
    <n v="1751.65"/>
  </r>
  <r>
    <d v="2020-09-30T00:00:00"/>
    <m/>
    <x v="15"/>
    <x v="64"/>
    <x v="1"/>
    <n v="1213.75"/>
  </r>
  <r>
    <d v="2020-09-30T00:00:00"/>
    <m/>
    <x v="4"/>
    <x v="64"/>
    <x v="1"/>
    <n v="15720.57"/>
  </r>
  <r>
    <d v="2020-09-30T00:00:00"/>
    <m/>
    <x v="20"/>
    <x v="64"/>
    <x v="1"/>
    <n v="7249.92"/>
  </r>
  <r>
    <d v="2020-09-30T00:00:00"/>
    <s v="CL0048"/>
    <x v="0"/>
    <x v="65"/>
    <x v="0"/>
    <n v="8.6"/>
  </r>
  <r>
    <d v="2020-09-30T00:00:00"/>
    <m/>
    <x v="5"/>
    <x v="65"/>
    <x v="0"/>
    <n v="40.880000000000003"/>
  </r>
  <r>
    <d v="2020-09-30T00:00:00"/>
    <m/>
    <x v="4"/>
    <x v="65"/>
    <x v="1"/>
    <n v="4821.8100000000004"/>
  </r>
  <r>
    <d v="2020-09-30T00:00:00"/>
    <s v="CL0158"/>
    <x v="7"/>
    <x v="66"/>
    <x v="0"/>
    <n v="37.29"/>
  </r>
  <r>
    <d v="2020-09-30T00:00:00"/>
    <s v="CL0084"/>
    <x v="0"/>
    <x v="67"/>
    <x v="0"/>
    <n v="772.99"/>
  </r>
  <r>
    <d v="2020-09-30T00:00:00"/>
    <m/>
    <x v="13"/>
    <x v="67"/>
    <x v="0"/>
    <n v="4667.57"/>
  </r>
  <r>
    <d v="2020-09-30T00:00:00"/>
    <m/>
    <x v="6"/>
    <x v="67"/>
    <x v="0"/>
    <n v="250.66"/>
  </r>
  <r>
    <d v="2020-09-30T00:00:00"/>
    <s v="CL0157"/>
    <x v="0"/>
    <x v="68"/>
    <x v="0"/>
    <n v="373.38"/>
  </r>
  <r>
    <d v="2020-09-30T00:00:00"/>
    <m/>
    <x v="13"/>
    <x v="68"/>
    <x v="0"/>
    <n v="1094.18"/>
  </r>
  <r>
    <d v="2020-09-30T00:00:00"/>
    <m/>
    <x v="6"/>
    <x v="68"/>
    <x v="0"/>
    <n v="74.09"/>
  </r>
  <r>
    <d v="2020-09-30T00:00:00"/>
    <m/>
    <x v="7"/>
    <x v="68"/>
    <x v="0"/>
    <n v="26.55"/>
  </r>
  <r>
    <d v="2020-09-30T00:00:00"/>
    <s v="CL0080"/>
    <x v="0"/>
    <x v="69"/>
    <x v="0"/>
    <n v="1057.19"/>
  </r>
  <r>
    <d v="2020-09-30T00:00:00"/>
    <m/>
    <x v="1"/>
    <x v="69"/>
    <x v="0"/>
    <n v="494"/>
  </r>
  <r>
    <d v="2020-09-30T00:00:00"/>
    <m/>
    <x v="2"/>
    <x v="69"/>
    <x v="1"/>
    <n v="3083.39"/>
  </r>
  <r>
    <d v="2020-09-30T00:00:00"/>
    <s v="CL0102"/>
    <x v="3"/>
    <x v="70"/>
    <x v="1"/>
    <n v="416.2"/>
  </r>
  <r>
    <d v="2020-09-30T00:00:00"/>
    <s v="CL0108"/>
    <x v="3"/>
    <x v="71"/>
    <x v="1"/>
    <n v="2945.88"/>
  </r>
  <r>
    <d v="2020-09-30T00:00:00"/>
    <m/>
    <x v="32"/>
    <x v="71"/>
    <x v="1"/>
    <n v="1164.7"/>
  </r>
  <r>
    <d v="2020-09-30T00:00:00"/>
    <s v="CL0115"/>
    <x v="32"/>
    <x v="72"/>
    <x v="1"/>
    <n v="227.05"/>
  </r>
  <r>
    <d v="2020-09-30T00:00:00"/>
    <s v="CL0112"/>
    <x v="57"/>
    <x v="73"/>
    <x v="1"/>
    <n v="477.24"/>
  </r>
  <r>
    <d v="2020-09-30T00:00:00"/>
    <m/>
    <x v="58"/>
    <x v="73"/>
    <x v="1"/>
    <n v="477.24"/>
  </r>
  <r>
    <d v="2020-09-30T00:00:00"/>
    <s v="CL0160"/>
    <x v="0"/>
    <x v="74"/>
    <x v="0"/>
    <n v="164.45"/>
  </r>
  <r>
    <d v="2020-09-30T00:00:00"/>
    <m/>
    <x v="6"/>
    <x v="74"/>
    <x v="0"/>
    <n v="22.67"/>
  </r>
  <r>
    <d v="2020-09-30T00:00:00"/>
    <m/>
    <x v="7"/>
    <x v="74"/>
    <x v="0"/>
    <n v="69.61"/>
  </r>
  <r>
    <d v="2020-09-30T00:00:00"/>
    <s v="CL0159"/>
    <x v="13"/>
    <x v="75"/>
    <x v="0"/>
    <n v="558.55999999999995"/>
  </r>
  <r>
    <d v="2020-09-30T00:00:00"/>
    <m/>
    <x v="5"/>
    <x v="75"/>
    <x v="0"/>
    <n v="3.36"/>
  </r>
  <r>
    <d v="2020-09-30T00:00:00"/>
    <s v="CL0146"/>
    <x v="7"/>
    <x v="76"/>
    <x v="0"/>
    <n v="154.84"/>
  </r>
  <r>
    <d v="2020-09-30T00:00:00"/>
    <s v="CL0133"/>
    <x v="0"/>
    <x v="78"/>
    <x v="0"/>
    <n v="466.52"/>
  </r>
  <r>
    <d v="2020-09-30T00:00:00"/>
    <m/>
    <x v="13"/>
    <x v="78"/>
    <x v="0"/>
    <n v="1382.76"/>
  </r>
  <r>
    <d v="2020-09-30T00:00:00"/>
    <m/>
    <x v="1"/>
    <x v="78"/>
    <x v="0"/>
    <n v="416.95"/>
  </r>
  <r>
    <d v="2020-09-30T00:00:00"/>
    <m/>
    <x v="14"/>
    <x v="78"/>
    <x v="0"/>
    <n v="293.82"/>
  </r>
  <r>
    <d v="2020-09-30T00:00:00"/>
    <s v="CL0070"/>
    <x v="6"/>
    <x v="79"/>
    <x v="0"/>
    <n v="12.11"/>
  </r>
  <r>
    <d v="2020-07-31T00:00:00"/>
    <s v="CL0001"/>
    <x v="0"/>
    <x v="0"/>
    <x v="0"/>
    <n v="40.98"/>
  </r>
  <r>
    <d v="2020-07-31T00:00:00"/>
    <m/>
    <x v="13"/>
    <x v="0"/>
    <x v="0"/>
    <n v="210.02"/>
  </r>
  <r>
    <d v="2020-07-31T00:00:00"/>
    <m/>
    <x v="1"/>
    <x v="0"/>
    <x v="0"/>
    <n v="377.23"/>
  </r>
  <r>
    <d v="2020-07-31T00:00:00"/>
    <m/>
    <x v="3"/>
    <x v="0"/>
    <x v="1"/>
    <n v="2760.63"/>
  </r>
  <r>
    <d v="2020-07-31T00:00:00"/>
    <m/>
    <x v="4"/>
    <x v="0"/>
    <x v="1"/>
    <n v="400.71"/>
  </r>
  <r>
    <d v="2020-07-31T00:00:00"/>
    <s v="CL0002"/>
    <x v="5"/>
    <x v="1"/>
    <x v="0"/>
    <n v="162.62"/>
  </r>
  <r>
    <d v="2020-07-31T00:00:00"/>
    <m/>
    <x v="6"/>
    <x v="1"/>
    <x v="0"/>
    <n v="52.91"/>
  </r>
  <r>
    <d v="2020-07-31T00:00:00"/>
    <m/>
    <x v="7"/>
    <x v="1"/>
    <x v="0"/>
    <n v="279.73"/>
  </r>
  <r>
    <d v="2020-07-31T00:00:00"/>
    <m/>
    <x v="8"/>
    <x v="1"/>
    <x v="1"/>
    <n v="1282.52"/>
  </r>
  <r>
    <d v="2020-07-31T00:00:00"/>
    <m/>
    <x v="2"/>
    <x v="1"/>
    <x v="1"/>
    <n v="1025.1500000000001"/>
  </r>
  <r>
    <d v="2020-07-31T00:00:00"/>
    <m/>
    <x v="9"/>
    <x v="1"/>
    <x v="1"/>
    <n v="5906.64"/>
  </r>
  <r>
    <d v="2020-07-31T00:00:00"/>
    <m/>
    <x v="10"/>
    <x v="1"/>
    <x v="2"/>
    <n v="6443.58"/>
  </r>
  <r>
    <d v="2020-07-31T00:00:00"/>
    <m/>
    <x v="11"/>
    <x v="1"/>
    <x v="2"/>
    <n v="449.52"/>
  </r>
  <r>
    <d v="2020-07-31T00:00:00"/>
    <m/>
    <x v="12"/>
    <x v="1"/>
    <x v="2"/>
    <n v="37.47"/>
  </r>
  <r>
    <d v="2020-07-31T00:00:00"/>
    <s v="CL0003"/>
    <x v="13"/>
    <x v="2"/>
    <x v="0"/>
    <n v="120.73"/>
  </r>
  <r>
    <d v="2020-07-31T00:00:00"/>
    <m/>
    <x v="6"/>
    <x v="2"/>
    <x v="0"/>
    <n v="24.46"/>
  </r>
  <r>
    <d v="2020-07-31T00:00:00"/>
    <m/>
    <x v="1"/>
    <x v="2"/>
    <x v="0"/>
    <n v="29.65"/>
  </r>
  <r>
    <d v="2020-07-31T00:00:00"/>
    <m/>
    <x v="14"/>
    <x v="2"/>
    <x v="0"/>
    <n v="296.48"/>
  </r>
  <r>
    <d v="2020-07-31T00:00:00"/>
    <m/>
    <x v="7"/>
    <x v="2"/>
    <x v="0"/>
    <n v="26.88"/>
  </r>
  <r>
    <d v="2020-07-31T00:00:00"/>
    <m/>
    <x v="3"/>
    <x v="2"/>
    <x v="1"/>
    <n v="9748.85"/>
  </r>
  <r>
    <d v="2020-07-31T00:00:00"/>
    <m/>
    <x v="15"/>
    <x v="2"/>
    <x v="1"/>
    <n v="355.3"/>
  </r>
  <r>
    <d v="2020-07-31T00:00:00"/>
    <s v="CL0004"/>
    <x v="0"/>
    <x v="3"/>
    <x v="0"/>
    <n v="164.93"/>
  </r>
  <r>
    <d v="2020-07-31T00:00:00"/>
    <m/>
    <x v="14"/>
    <x v="3"/>
    <x v="0"/>
    <n v="206.76"/>
  </r>
  <r>
    <d v="2020-07-31T00:00:00"/>
    <m/>
    <x v="7"/>
    <x v="3"/>
    <x v="0"/>
    <n v="83.63"/>
  </r>
  <r>
    <d v="2020-07-31T00:00:00"/>
    <m/>
    <x v="3"/>
    <x v="3"/>
    <x v="1"/>
    <n v="9800.76"/>
  </r>
  <r>
    <d v="2020-07-31T00:00:00"/>
    <m/>
    <x v="15"/>
    <x v="3"/>
    <x v="1"/>
    <n v="343"/>
  </r>
  <r>
    <d v="2020-07-31T00:00:00"/>
    <s v="CL0005"/>
    <x v="5"/>
    <x v="4"/>
    <x v="0"/>
    <n v="37.549999999999997"/>
  </r>
  <r>
    <d v="2020-07-31T00:00:00"/>
    <m/>
    <x v="1"/>
    <x v="4"/>
    <x v="0"/>
    <n v="102.17"/>
  </r>
  <r>
    <d v="2020-07-31T00:00:00"/>
    <m/>
    <x v="14"/>
    <x v="4"/>
    <x v="0"/>
    <n v="261.32"/>
  </r>
  <r>
    <d v="2020-07-31T00:00:00"/>
    <m/>
    <x v="17"/>
    <x v="4"/>
    <x v="0"/>
    <n v="12.7"/>
  </r>
  <r>
    <d v="2020-07-31T00:00:00"/>
    <m/>
    <x v="8"/>
    <x v="4"/>
    <x v="1"/>
    <n v="913.44"/>
  </r>
  <r>
    <d v="2020-07-31T00:00:00"/>
    <m/>
    <x v="18"/>
    <x v="4"/>
    <x v="1"/>
    <n v="208.66"/>
  </r>
  <r>
    <d v="2020-07-31T00:00:00"/>
    <m/>
    <x v="2"/>
    <x v="4"/>
    <x v="1"/>
    <n v="2118.7399999999998"/>
  </r>
  <r>
    <d v="2020-07-31T00:00:00"/>
    <m/>
    <x v="15"/>
    <x v="4"/>
    <x v="1"/>
    <n v="1518.78"/>
  </r>
  <r>
    <d v="2020-07-31T00:00:00"/>
    <m/>
    <x v="19"/>
    <x v="4"/>
    <x v="1"/>
    <n v="2334.25"/>
  </r>
  <r>
    <d v="2020-07-31T00:00:00"/>
    <m/>
    <x v="20"/>
    <x v="4"/>
    <x v="1"/>
    <n v="7603.18"/>
  </r>
  <r>
    <d v="2020-07-31T00:00:00"/>
    <s v="CL0007"/>
    <x v="0"/>
    <x v="5"/>
    <x v="0"/>
    <n v="119.58"/>
  </r>
  <r>
    <d v="2020-07-31T00:00:00"/>
    <m/>
    <x v="13"/>
    <x v="5"/>
    <x v="0"/>
    <n v="1211.52"/>
  </r>
  <r>
    <d v="2020-07-31T00:00:00"/>
    <m/>
    <x v="5"/>
    <x v="5"/>
    <x v="0"/>
    <n v="45.33"/>
  </r>
  <r>
    <d v="2020-07-31T00:00:00"/>
    <m/>
    <x v="6"/>
    <x v="5"/>
    <x v="0"/>
    <n v="22.77"/>
  </r>
  <r>
    <d v="2020-07-31T00:00:00"/>
    <m/>
    <x v="1"/>
    <x v="5"/>
    <x v="0"/>
    <n v="63.74"/>
  </r>
  <r>
    <d v="2020-07-31T00:00:00"/>
    <m/>
    <x v="14"/>
    <x v="5"/>
    <x v="0"/>
    <n v="376.84"/>
  </r>
  <r>
    <d v="2020-07-31T00:00:00"/>
    <m/>
    <x v="17"/>
    <x v="5"/>
    <x v="0"/>
    <n v="33.520000000000003"/>
  </r>
  <r>
    <d v="2020-07-31T00:00:00"/>
    <m/>
    <x v="7"/>
    <x v="5"/>
    <x v="0"/>
    <n v="177.87"/>
  </r>
  <r>
    <d v="2020-07-31T00:00:00"/>
    <m/>
    <x v="21"/>
    <x v="5"/>
    <x v="1"/>
    <n v="6101.11"/>
  </r>
  <r>
    <d v="2020-07-31T00:00:00"/>
    <m/>
    <x v="22"/>
    <x v="5"/>
    <x v="1"/>
    <n v="2633.03"/>
  </r>
  <r>
    <d v="2020-07-31T00:00:00"/>
    <m/>
    <x v="18"/>
    <x v="5"/>
    <x v="1"/>
    <n v="1577.74"/>
  </r>
  <r>
    <d v="2020-07-31T00:00:00"/>
    <m/>
    <x v="2"/>
    <x v="5"/>
    <x v="1"/>
    <n v="3868.09"/>
  </r>
  <r>
    <d v="2020-07-31T00:00:00"/>
    <m/>
    <x v="23"/>
    <x v="5"/>
    <x v="1"/>
    <n v="12738.12"/>
  </r>
  <r>
    <d v="2020-07-31T00:00:00"/>
    <m/>
    <x v="3"/>
    <x v="5"/>
    <x v="1"/>
    <n v="11863.4"/>
  </r>
  <r>
    <d v="2020-07-31T00:00:00"/>
    <m/>
    <x v="25"/>
    <x v="5"/>
    <x v="1"/>
    <n v="14267.15"/>
  </r>
  <r>
    <d v="2020-07-31T00:00:00"/>
    <m/>
    <x v="9"/>
    <x v="5"/>
    <x v="1"/>
    <n v="2461.27"/>
  </r>
  <r>
    <d v="2020-07-31T00:00:00"/>
    <m/>
    <x v="26"/>
    <x v="5"/>
    <x v="1"/>
    <n v="4080.55"/>
  </r>
  <r>
    <d v="2020-07-31T00:00:00"/>
    <m/>
    <x v="27"/>
    <x v="5"/>
    <x v="1"/>
    <n v="2407.98"/>
  </r>
  <r>
    <d v="2020-07-31T00:00:00"/>
    <m/>
    <x v="28"/>
    <x v="5"/>
    <x v="1"/>
    <n v="2407.98"/>
  </r>
  <r>
    <d v="2020-07-31T00:00:00"/>
    <m/>
    <x v="29"/>
    <x v="5"/>
    <x v="1"/>
    <n v="9613.32"/>
  </r>
  <r>
    <d v="2020-07-31T00:00:00"/>
    <m/>
    <x v="30"/>
    <x v="5"/>
    <x v="1"/>
    <n v="1926.38"/>
  </r>
  <r>
    <d v="2020-07-31T00:00:00"/>
    <m/>
    <x v="10"/>
    <x v="5"/>
    <x v="2"/>
    <n v="33593.379999999997"/>
  </r>
  <r>
    <d v="2020-07-31T00:00:00"/>
    <m/>
    <x v="11"/>
    <x v="5"/>
    <x v="2"/>
    <n v="29150.06"/>
  </r>
  <r>
    <d v="2020-07-31T00:00:00"/>
    <m/>
    <x v="4"/>
    <x v="5"/>
    <x v="1"/>
    <n v="1191.81"/>
  </r>
  <r>
    <d v="2020-07-31T00:00:00"/>
    <m/>
    <x v="12"/>
    <x v="5"/>
    <x v="2"/>
    <n v="9486.61"/>
  </r>
  <r>
    <d v="2020-07-31T00:00:00"/>
    <s v="CL0008"/>
    <x v="0"/>
    <x v="6"/>
    <x v="0"/>
    <n v="1810.6"/>
  </r>
  <r>
    <d v="2020-07-31T00:00:00"/>
    <m/>
    <x v="13"/>
    <x v="6"/>
    <x v="0"/>
    <n v="9700.7999999999993"/>
  </r>
  <r>
    <d v="2020-07-31T00:00:00"/>
    <m/>
    <x v="5"/>
    <x v="6"/>
    <x v="0"/>
    <n v="65.87"/>
  </r>
  <r>
    <d v="2020-07-31T00:00:00"/>
    <m/>
    <x v="6"/>
    <x v="6"/>
    <x v="0"/>
    <n v="34"/>
  </r>
  <r>
    <d v="2020-07-31T00:00:00"/>
    <m/>
    <x v="1"/>
    <x v="6"/>
    <x v="0"/>
    <n v="2695.75"/>
  </r>
  <r>
    <d v="2020-07-31T00:00:00"/>
    <m/>
    <x v="14"/>
    <x v="6"/>
    <x v="0"/>
    <n v="953.67"/>
  </r>
  <r>
    <d v="2020-07-31T00:00:00"/>
    <m/>
    <x v="17"/>
    <x v="6"/>
    <x v="0"/>
    <n v="8.43"/>
  </r>
  <r>
    <d v="2020-07-31T00:00:00"/>
    <m/>
    <x v="7"/>
    <x v="6"/>
    <x v="0"/>
    <n v="502.28"/>
  </r>
  <r>
    <d v="2020-07-31T00:00:00"/>
    <m/>
    <x v="21"/>
    <x v="6"/>
    <x v="1"/>
    <n v="2447.41"/>
  </r>
  <r>
    <d v="2020-07-31T00:00:00"/>
    <m/>
    <x v="8"/>
    <x v="6"/>
    <x v="1"/>
    <n v="2637.99"/>
  </r>
  <r>
    <d v="2020-07-31T00:00:00"/>
    <m/>
    <x v="22"/>
    <x v="6"/>
    <x v="1"/>
    <n v="6514.65"/>
  </r>
  <r>
    <d v="2020-07-31T00:00:00"/>
    <m/>
    <x v="31"/>
    <x v="6"/>
    <x v="1"/>
    <n v="306.82"/>
  </r>
  <r>
    <d v="2020-07-31T00:00:00"/>
    <m/>
    <x v="18"/>
    <x v="6"/>
    <x v="1"/>
    <n v="729.54"/>
  </r>
  <r>
    <d v="2020-07-31T00:00:00"/>
    <m/>
    <x v="2"/>
    <x v="6"/>
    <x v="1"/>
    <n v="3007.67"/>
  </r>
  <r>
    <d v="2020-07-31T00:00:00"/>
    <m/>
    <x v="32"/>
    <x v="6"/>
    <x v="1"/>
    <n v="2265.63"/>
  </r>
  <r>
    <d v="2020-07-31T00:00:00"/>
    <m/>
    <x v="33"/>
    <x v="6"/>
    <x v="1"/>
    <n v="14818.04"/>
  </r>
  <r>
    <d v="2020-07-31T00:00:00"/>
    <m/>
    <x v="9"/>
    <x v="6"/>
    <x v="1"/>
    <n v="1183.01"/>
  </r>
  <r>
    <d v="2020-07-31T00:00:00"/>
    <m/>
    <x v="15"/>
    <x v="6"/>
    <x v="1"/>
    <n v="1811.18"/>
  </r>
  <r>
    <d v="2020-07-31T00:00:00"/>
    <m/>
    <x v="34"/>
    <x v="6"/>
    <x v="1"/>
    <n v="185.36"/>
  </r>
  <r>
    <d v="2020-07-31T00:00:00"/>
    <m/>
    <x v="35"/>
    <x v="6"/>
    <x v="1"/>
    <n v="1522.59"/>
  </r>
  <r>
    <d v="2020-07-31T00:00:00"/>
    <m/>
    <x v="10"/>
    <x v="6"/>
    <x v="2"/>
    <n v="9688.33"/>
  </r>
  <r>
    <d v="2020-07-31T00:00:00"/>
    <m/>
    <x v="16"/>
    <x v="6"/>
    <x v="2"/>
    <n v="390124.1"/>
  </r>
  <r>
    <d v="2020-07-31T00:00:00"/>
    <m/>
    <x v="11"/>
    <x v="6"/>
    <x v="2"/>
    <n v="5660.17"/>
  </r>
  <r>
    <d v="2020-07-31T00:00:00"/>
    <m/>
    <x v="4"/>
    <x v="6"/>
    <x v="1"/>
    <n v="2226.7399999999998"/>
  </r>
  <r>
    <d v="2020-07-31T00:00:00"/>
    <m/>
    <x v="12"/>
    <x v="6"/>
    <x v="2"/>
    <n v="4779.97"/>
  </r>
  <r>
    <d v="2020-07-31T00:00:00"/>
    <s v="CL0010"/>
    <x v="0"/>
    <x v="7"/>
    <x v="0"/>
    <n v="47"/>
  </r>
  <r>
    <d v="2020-07-31T00:00:00"/>
    <m/>
    <x v="13"/>
    <x v="7"/>
    <x v="0"/>
    <n v="0.86"/>
  </r>
  <r>
    <d v="2020-07-31T00:00:00"/>
    <m/>
    <x v="5"/>
    <x v="7"/>
    <x v="0"/>
    <n v="1.01"/>
  </r>
  <r>
    <d v="2020-07-31T00:00:00"/>
    <m/>
    <x v="1"/>
    <x v="7"/>
    <x v="0"/>
    <n v="38.369999999999997"/>
  </r>
  <r>
    <d v="2020-07-31T00:00:00"/>
    <m/>
    <x v="14"/>
    <x v="7"/>
    <x v="0"/>
    <n v="23.31"/>
  </r>
  <r>
    <d v="2020-07-31T00:00:00"/>
    <m/>
    <x v="17"/>
    <x v="7"/>
    <x v="0"/>
    <n v="0.72"/>
  </r>
  <r>
    <d v="2020-07-31T00:00:00"/>
    <m/>
    <x v="7"/>
    <x v="7"/>
    <x v="0"/>
    <n v="17.72"/>
  </r>
  <r>
    <d v="2020-07-31T00:00:00"/>
    <s v="CL0011"/>
    <x v="0"/>
    <x v="8"/>
    <x v="0"/>
    <n v="521.5"/>
  </r>
  <r>
    <d v="2020-07-31T00:00:00"/>
    <m/>
    <x v="13"/>
    <x v="8"/>
    <x v="0"/>
    <n v="3862.3"/>
  </r>
  <r>
    <d v="2020-07-31T00:00:00"/>
    <m/>
    <x v="5"/>
    <x v="8"/>
    <x v="0"/>
    <n v="85.49"/>
  </r>
  <r>
    <d v="2020-07-31T00:00:00"/>
    <m/>
    <x v="6"/>
    <x v="8"/>
    <x v="0"/>
    <n v="61.87"/>
  </r>
  <r>
    <d v="2020-07-31T00:00:00"/>
    <m/>
    <x v="1"/>
    <x v="8"/>
    <x v="0"/>
    <n v="795.59"/>
  </r>
  <r>
    <d v="2020-07-31T00:00:00"/>
    <m/>
    <x v="14"/>
    <x v="8"/>
    <x v="0"/>
    <n v="549.92999999999995"/>
  </r>
  <r>
    <d v="2020-07-31T00:00:00"/>
    <m/>
    <x v="17"/>
    <x v="8"/>
    <x v="0"/>
    <n v="7.13"/>
  </r>
  <r>
    <d v="2020-07-31T00:00:00"/>
    <m/>
    <x v="7"/>
    <x v="8"/>
    <x v="0"/>
    <n v="419.79"/>
  </r>
  <r>
    <d v="2020-07-31T00:00:00"/>
    <m/>
    <x v="21"/>
    <x v="8"/>
    <x v="1"/>
    <n v="1840.91"/>
  </r>
  <r>
    <d v="2020-07-31T00:00:00"/>
    <m/>
    <x v="31"/>
    <x v="8"/>
    <x v="1"/>
    <n v="2458.3200000000002"/>
  </r>
  <r>
    <d v="2020-07-31T00:00:00"/>
    <m/>
    <x v="18"/>
    <x v="8"/>
    <x v="1"/>
    <n v="485.28"/>
  </r>
  <r>
    <d v="2020-07-31T00:00:00"/>
    <m/>
    <x v="2"/>
    <x v="8"/>
    <x v="1"/>
    <n v="1738.98"/>
  </r>
  <r>
    <d v="2020-07-31T00:00:00"/>
    <m/>
    <x v="3"/>
    <x v="8"/>
    <x v="1"/>
    <n v="11168.43"/>
  </r>
  <r>
    <d v="2020-07-31T00:00:00"/>
    <m/>
    <x v="24"/>
    <x v="8"/>
    <x v="1"/>
    <n v="11371.34"/>
  </r>
  <r>
    <d v="2020-07-31T00:00:00"/>
    <m/>
    <x v="32"/>
    <x v="8"/>
    <x v="1"/>
    <n v="1029.3900000000001"/>
  </r>
  <r>
    <d v="2020-07-31T00:00:00"/>
    <m/>
    <x v="36"/>
    <x v="8"/>
    <x v="1"/>
    <n v="701.89"/>
  </r>
  <r>
    <d v="2020-07-31T00:00:00"/>
    <m/>
    <x v="33"/>
    <x v="8"/>
    <x v="1"/>
    <n v="9455.2999999999993"/>
  </r>
  <r>
    <d v="2020-07-31T00:00:00"/>
    <m/>
    <x v="15"/>
    <x v="8"/>
    <x v="1"/>
    <n v="949.59"/>
  </r>
  <r>
    <d v="2020-07-31T00:00:00"/>
    <m/>
    <x v="37"/>
    <x v="8"/>
    <x v="1"/>
    <n v="2212.96"/>
  </r>
  <r>
    <d v="2020-07-31T00:00:00"/>
    <m/>
    <x v="10"/>
    <x v="8"/>
    <x v="2"/>
    <n v="9722.23"/>
  </r>
  <r>
    <d v="2020-07-31T00:00:00"/>
    <m/>
    <x v="16"/>
    <x v="8"/>
    <x v="2"/>
    <n v="3271.99"/>
  </r>
  <r>
    <d v="2020-07-31T00:00:00"/>
    <m/>
    <x v="11"/>
    <x v="8"/>
    <x v="2"/>
    <n v="8429.08"/>
  </r>
  <r>
    <d v="2020-07-31T00:00:00"/>
    <m/>
    <x v="4"/>
    <x v="8"/>
    <x v="1"/>
    <n v="1265.08"/>
  </r>
  <r>
    <d v="2020-07-31T00:00:00"/>
    <m/>
    <x v="12"/>
    <x v="8"/>
    <x v="2"/>
    <n v="2753.42"/>
  </r>
  <r>
    <d v="2020-07-31T00:00:00"/>
    <m/>
    <x v="20"/>
    <x v="8"/>
    <x v="1"/>
    <n v="4379.1099999999997"/>
  </r>
  <r>
    <d v="2020-07-31T00:00:00"/>
    <s v="CL0012"/>
    <x v="38"/>
    <x v="9"/>
    <x v="1"/>
    <n v="15886.25"/>
  </r>
  <r>
    <d v="2020-07-31T00:00:00"/>
    <m/>
    <x v="39"/>
    <x v="9"/>
    <x v="1"/>
    <n v="4236.33"/>
  </r>
  <r>
    <d v="2020-07-31T00:00:00"/>
    <s v="CL0013"/>
    <x v="13"/>
    <x v="10"/>
    <x v="0"/>
    <n v="341.17"/>
  </r>
  <r>
    <d v="2020-07-31T00:00:00"/>
    <m/>
    <x v="1"/>
    <x v="10"/>
    <x v="0"/>
    <n v="174.96"/>
  </r>
  <r>
    <d v="2020-07-31T00:00:00"/>
    <s v="CL0014"/>
    <x v="0"/>
    <x v="11"/>
    <x v="0"/>
    <n v="21"/>
  </r>
  <r>
    <d v="2020-07-31T00:00:00"/>
    <m/>
    <x v="13"/>
    <x v="11"/>
    <x v="0"/>
    <n v="110.22"/>
  </r>
  <r>
    <d v="2020-07-31T00:00:00"/>
    <m/>
    <x v="1"/>
    <x v="11"/>
    <x v="0"/>
    <n v="24.48"/>
  </r>
  <r>
    <d v="2020-07-31T00:00:00"/>
    <m/>
    <x v="14"/>
    <x v="11"/>
    <x v="0"/>
    <n v="9.2200000000000006"/>
  </r>
  <r>
    <d v="2020-07-31T00:00:00"/>
    <s v="CL0016"/>
    <x v="13"/>
    <x v="12"/>
    <x v="0"/>
    <n v="399.49"/>
  </r>
  <r>
    <d v="2020-07-31T00:00:00"/>
    <m/>
    <x v="1"/>
    <x v="12"/>
    <x v="0"/>
    <n v="82.88"/>
  </r>
  <r>
    <d v="2020-07-31T00:00:00"/>
    <m/>
    <x v="14"/>
    <x v="12"/>
    <x v="0"/>
    <n v="17.16"/>
  </r>
  <r>
    <d v="2020-07-31T00:00:00"/>
    <m/>
    <x v="7"/>
    <x v="12"/>
    <x v="0"/>
    <n v="18.62"/>
  </r>
  <r>
    <d v="2020-07-31T00:00:00"/>
    <m/>
    <x v="18"/>
    <x v="12"/>
    <x v="1"/>
    <n v="162.63"/>
  </r>
  <r>
    <d v="2020-07-31T00:00:00"/>
    <s v="CL0020"/>
    <x v="13"/>
    <x v="13"/>
    <x v="0"/>
    <n v="51.69"/>
  </r>
  <r>
    <d v="2020-07-31T00:00:00"/>
    <m/>
    <x v="1"/>
    <x v="13"/>
    <x v="0"/>
    <n v="417.53"/>
  </r>
  <r>
    <d v="2020-07-31T00:00:00"/>
    <m/>
    <x v="17"/>
    <x v="13"/>
    <x v="0"/>
    <n v="5.35"/>
  </r>
  <r>
    <d v="2020-07-31T00:00:00"/>
    <m/>
    <x v="7"/>
    <x v="13"/>
    <x v="0"/>
    <n v="35.729999999999997"/>
  </r>
  <r>
    <d v="2020-07-31T00:00:00"/>
    <m/>
    <x v="21"/>
    <x v="13"/>
    <x v="1"/>
    <n v="3012.26"/>
  </r>
  <r>
    <d v="2020-07-31T00:00:00"/>
    <m/>
    <x v="3"/>
    <x v="13"/>
    <x v="1"/>
    <n v="7073.64"/>
  </r>
  <r>
    <d v="2020-07-31T00:00:00"/>
    <s v="CL0021"/>
    <x v="0"/>
    <x v="14"/>
    <x v="0"/>
    <n v="153.85"/>
  </r>
  <r>
    <d v="2020-07-31T00:00:00"/>
    <m/>
    <x v="13"/>
    <x v="14"/>
    <x v="0"/>
    <n v="23181.29"/>
  </r>
  <r>
    <d v="2020-07-31T00:00:00"/>
    <m/>
    <x v="1"/>
    <x v="14"/>
    <x v="0"/>
    <n v="120.53"/>
  </r>
  <r>
    <d v="2020-07-31T00:00:00"/>
    <m/>
    <x v="3"/>
    <x v="14"/>
    <x v="1"/>
    <n v="1868.31"/>
  </r>
  <r>
    <d v="2020-07-31T00:00:00"/>
    <s v="CL0022"/>
    <x v="0"/>
    <x v="15"/>
    <x v="0"/>
    <n v="2897.25"/>
  </r>
  <r>
    <d v="2020-07-31T00:00:00"/>
    <m/>
    <x v="13"/>
    <x v="15"/>
    <x v="0"/>
    <n v="4900.72"/>
  </r>
  <r>
    <d v="2020-07-31T00:00:00"/>
    <m/>
    <x v="1"/>
    <x v="15"/>
    <x v="0"/>
    <n v="6.73"/>
  </r>
  <r>
    <d v="2020-07-31T00:00:00"/>
    <m/>
    <x v="31"/>
    <x v="15"/>
    <x v="1"/>
    <n v="2599.15"/>
  </r>
  <r>
    <d v="2020-07-31T00:00:00"/>
    <s v="CL0024"/>
    <x v="13"/>
    <x v="16"/>
    <x v="0"/>
    <n v="439.81"/>
  </r>
  <r>
    <d v="2020-07-31T00:00:00"/>
    <m/>
    <x v="1"/>
    <x v="16"/>
    <x v="0"/>
    <n v="156.63"/>
  </r>
  <r>
    <d v="2020-07-31T00:00:00"/>
    <m/>
    <x v="7"/>
    <x v="16"/>
    <x v="0"/>
    <n v="43.7"/>
  </r>
  <r>
    <d v="2020-07-31T00:00:00"/>
    <s v="CL0025"/>
    <x v="13"/>
    <x v="17"/>
    <x v="0"/>
    <n v="1241.07"/>
  </r>
  <r>
    <d v="2020-07-31T00:00:00"/>
    <m/>
    <x v="6"/>
    <x v="17"/>
    <x v="0"/>
    <n v="26.43"/>
  </r>
  <r>
    <d v="2020-07-31T00:00:00"/>
    <m/>
    <x v="1"/>
    <x v="17"/>
    <x v="0"/>
    <n v="36.06"/>
  </r>
  <r>
    <d v="2020-07-31T00:00:00"/>
    <m/>
    <x v="14"/>
    <x v="17"/>
    <x v="0"/>
    <n v="780.96"/>
  </r>
  <r>
    <d v="2020-07-31T00:00:00"/>
    <m/>
    <x v="17"/>
    <x v="17"/>
    <x v="0"/>
    <n v="13.19"/>
  </r>
  <r>
    <d v="2020-07-31T00:00:00"/>
    <m/>
    <x v="7"/>
    <x v="17"/>
    <x v="0"/>
    <n v="459.75"/>
  </r>
  <r>
    <d v="2020-07-31T00:00:00"/>
    <m/>
    <x v="8"/>
    <x v="17"/>
    <x v="1"/>
    <n v="3343.75"/>
  </r>
  <r>
    <d v="2020-07-31T00:00:00"/>
    <m/>
    <x v="22"/>
    <x v="17"/>
    <x v="1"/>
    <n v="11542.53"/>
  </r>
  <r>
    <d v="2020-07-31T00:00:00"/>
    <m/>
    <x v="18"/>
    <x v="17"/>
    <x v="1"/>
    <n v="2056.04"/>
  </r>
  <r>
    <d v="2020-07-31T00:00:00"/>
    <m/>
    <x v="2"/>
    <x v="17"/>
    <x v="1"/>
    <n v="4805.9799999999996"/>
  </r>
  <r>
    <d v="2020-07-31T00:00:00"/>
    <m/>
    <x v="4"/>
    <x v="17"/>
    <x v="1"/>
    <n v="260.92"/>
  </r>
  <r>
    <d v="2020-07-31T00:00:00"/>
    <s v="CL0026"/>
    <x v="0"/>
    <x v="18"/>
    <x v="0"/>
    <n v="3830.13"/>
  </r>
  <r>
    <d v="2020-07-31T00:00:00"/>
    <m/>
    <x v="13"/>
    <x v="18"/>
    <x v="0"/>
    <n v="5185.66"/>
  </r>
  <r>
    <d v="2020-07-31T00:00:00"/>
    <m/>
    <x v="6"/>
    <x v="18"/>
    <x v="0"/>
    <n v="61.3"/>
  </r>
  <r>
    <d v="2020-07-31T00:00:00"/>
    <m/>
    <x v="1"/>
    <x v="18"/>
    <x v="0"/>
    <n v="739.11"/>
  </r>
  <r>
    <d v="2020-07-31T00:00:00"/>
    <m/>
    <x v="14"/>
    <x v="18"/>
    <x v="0"/>
    <n v="1899.92"/>
  </r>
  <r>
    <d v="2020-07-31T00:00:00"/>
    <m/>
    <x v="17"/>
    <x v="18"/>
    <x v="0"/>
    <n v="5.99"/>
  </r>
  <r>
    <d v="2020-07-31T00:00:00"/>
    <m/>
    <x v="7"/>
    <x v="18"/>
    <x v="0"/>
    <n v="137.08000000000001"/>
  </r>
  <r>
    <d v="2020-07-31T00:00:00"/>
    <m/>
    <x v="21"/>
    <x v="18"/>
    <x v="1"/>
    <n v="15693.77"/>
  </r>
  <r>
    <d v="2020-07-31T00:00:00"/>
    <m/>
    <x v="8"/>
    <x v="18"/>
    <x v="1"/>
    <n v="640.45000000000005"/>
  </r>
  <r>
    <d v="2020-07-31T00:00:00"/>
    <m/>
    <x v="22"/>
    <x v="18"/>
    <x v="1"/>
    <n v="2898.08"/>
  </r>
  <r>
    <d v="2020-07-31T00:00:00"/>
    <m/>
    <x v="18"/>
    <x v="18"/>
    <x v="1"/>
    <n v="2188.19"/>
  </r>
  <r>
    <d v="2020-07-31T00:00:00"/>
    <m/>
    <x v="32"/>
    <x v="18"/>
    <x v="1"/>
    <n v="376.15"/>
  </r>
  <r>
    <d v="2020-07-31T00:00:00"/>
    <m/>
    <x v="9"/>
    <x v="18"/>
    <x v="1"/>
    <n v="9260.0300000000007"/>
  </r>
  <r>
    <d v="2020-07-31T00:00:00"/>
    <m/>
    <x v="15"/>
    <x v="18"/>
    <x v="1"/>
    <n v="744.59"/>
  </r>
  <r>
    <d v="2020-07-31T00:00:00"/>
    <m/>
    <x v="4"/>
    <x v="18"/>
    <x v="1"/>
    <n v="259.35000000000002"/>
  </r>
  <r>
    <d v="2020-07-31T00:00:00"/>
    <s v="CL0027"/>
    <x v="6"/>
    <x v="19"/>
    <x v="0"/>
    <n v="52.45"/>
  </r>
  <r>
    <d v="2020-07-31T00:00:00"/>
    <m/>
    <x v="1"/>
    <x v="19"/>
    <x v="0"/>
    <n v="1328.83"/>
  </r>
  <r>
    <d v="2020-07-31T00:00:00"/>
    <m/>
    <x v="8"/>
    <x v="19"/>
    <x v="1"/>
    <n v="8307.76"/>
  </r>
  <r>
    <d v="2020-07-31T00:00:00"/>
    <m/>
    <x v="31"/>
    <x v="19"/>
    <x v="1"/>
    <n v="17190.45"/>
  </r>
  <r>
    <d v="2020-07-31T00:00:00"/>
    <m/>
    <x v="15"/>
    <x v="19"/>
    <x v="1"/>
    <n v="744.04"/>
  </r>
  <r>
    <d v="2020-07-31T00:00:00"/>
    <s v="CL0033"/>
    <x v="5"/>
    <x v="20"/>
    <x v="0"/>
    <n v="380.08"/>
  </r>
  <r>
    <d v="2020-07-31T00:00:00"/>
    <m/>
    <x v="10"/>
    <x v="20"/>
    <x v="2"/>
    <n v="34550.17"/>
  </r>
  <r>
    <d v="2020-07-31T00:00:00"/>
    <m/>
    <x v="16"/>
    <x v="20"/>
    <x v="2"/>
    <n v="62.82"/>
  </r>
  <r>
    <d v="2020-07-31T00:00:00"/>
    <m/>
    <x v="11"/>
    <x v="20"/>
    <x v="2"/>
    <n v="27180.28"/>
  </r>
  <r>
    <d v="2020-07-31T00:00:00"/>
    <m/>
    <x v="12"/>
    <x v="20"/>
    <x v="2"/>
    <n v="8593.18"/>
  </r>
  <r>
    <d v="2020-07-31T00:00:00"/>
    <s v="CL0034"/>
    <x v="0"/>
    <x v="21"/>
    <x v="0"/>
    <n v="779.63"/>
  </r>
  <r>
    <d v="2020-07-31T00:00:00"/>
    <m/>
    <x v="13"/>
    <x v="21"/>
    <x v="0"/>
    <n v="3832.43"/>
  </r>
  <r>
    <d v="2020-07-31T00:00:00"/>
    <m/>
    <x v="5"/>
    <x v="21"/>
    <x v="0"/>
    <n v="2.69"/>
  </r>
  <r>
    <d v="2020-07-31T00:00:00"/>
    <m/>
    <x v="1"/>
    <x v="21"/>
    <x v="0"/>
    <n v="435.22"/>
  </r>
  <r>
    <d v="2020-07-31T00:00:00"/>
    <m/>
    <x v="17"/>
    <x v="21"/>
    <x v="0"/>
    <n v="11.52"/>
  </r>
  <r>
    <d v="2020-07-31T00:00:00"/>
    <m/>
    <x v="22"/>
    <x v="21"/>
    <x v="1"/>
    <n v="1445.5"/>
  </r>
  <r>
    <d v="2020-07-31T00:00:00"/>
    <m/>
    <x v="31"/>
    <x v="21"/>
    <x v="1"/>
    <n v="2173.6799999999998"/>
  </r>
  <r>
    <d v="2020-07-31T00:00:00"/>
    <m/>
    <x v="3"/>
    <x v="21"/>
    <x v="1"/>
    <n v="4192.5200000000004"/>
  </r>
  <r>
    <d v="2020-07-31T00:00:00"/>
    <m/>
    <x v="20"/>
    <x v="21"/>
    <x v="1"/>
    <n v="5543.85"/>
  </r>
  <r>
    <d v="2020-07-31T00:00:00"/>
    <s v="CL0035"/>
    <x v="13"/>
    <x v="22"/>
    <x v="0"/>
    <n v="93.02"/>
  </r>
  <r>
    <d v="2020-07-31T00:00:00"/>
    <m/>
    <x v="6"/>
    <x v="22"/>
    <x v="0"/>
    <n v="41.94"/>
  </r>
  <r>
    <d v="2020-07-31T00:00:00"/>
    <m/>
    <x v="1"/>
    <x v="22"/>
    <x v="0"/>
    <n v="465.94"/>
  </r>
  <r>
    <d v="2020-07-31T00:00:00"/>
    <m/>
    <x v="14"/>
    <x v="22"/>
    <x v="0"/>
    <n v="376.74"/>
  </r>
  <r>
    <d v="2020-07-31T00:00:00"/>
    <m/>
    <x v="17"/>
    <x v="22"/>
    <x v="0"/>
    <n v="5.29"/>
  </r>
  <r>
    <d v="2020-07-31T00:00:00"/>
    <m/>
    <x v="7"/>
    <x v="22"/>
    <x v="0"/>
    <n v="272.42"/>
  </r>
  <r>
    <d v="2020-07-31T00:00:00"/>
    <m/>
    <x v="8"/>
    <x v="22"/>
    <x v="1"/>
    <n v="7433.07"/>
  </r>
  <r>
    <d v="2020-07-31T00:00:00"/>
    <m/>
    <x v="31"/>
    <x v="22"/>
    <x v="1"/>
    <n v="9074.16"/>
  </r>
  <r>
    <d v="2020-07-31T00:00:00"/>
    <m/>
    <x v="2"/>
    <x v="22"/>
    <x v="1"/>
    <n v="12997.24"/>
  </r>
  <r>
    <d v="2020-07-31T00:00:00"/>
    <m/>
    <x v="15"/>
    <x v="22"/>
    <x v="1"/>
    <n v="1308.5999999999999"/>
  </r>
  <r>
    <d v="2020-07-31T00:00:00"/>
    <m/>
    <x v="16"/>
    <x v="22"/>
    <x v="2"/>
    <n v="69127.27"/>
  </r>
  <r>
    <d v="2020-07-31T00:00:00"/>
    <m/>
    <x v="4"/>
    <x v="22"/>
    <x v="1"/>
    <n v="246.45"/>
  </r>
  <r>
    <d v="2020-07-31T00:00:00"/>
    <m/>
    <x v="20"/>
    <x v="22"/>
    <x v="1"/>
    <n v="12809.92"/>
  </r>
  <r>
    <d v="2020-07-31T00:00:00"/>
    <s v="CL0036"/>
    <x v="13"/>
    <x v="23"/>
    <x v="0"/>
    <n v="91.37"/>
  </r>
  <r>
    <d v="2020-07-31T00:00:00"/>
    <m/>
    <x v="6"/>
    <x v="23"/>
    <x v="0"/>
    <n v="115.04"/>
  </r>
  <r>
    <d v="2020-07-31T00:00:00"/>
    <m/>
    <x v="1"/>
    <x v="23"/>
    <x v="0"/>
    <n v="39.94"/>
  </r>
  <r>
    <d v="2020-07-31T00:00:00"/>
    <m/>
    <x v="15"/>
    <x v="23"/>
    <x v="1"/>
    <n v="510.04"/>
  </r>
  <r>
    <d v="2020-07-31T00:00:00"/>
    <s v="CL0037"/>
    <x v="0"/>
    <x v="24"/>
    <x v="0"/>
    <n v="660.88"/>
  </r>
  <r>
    <d v="2020-07-31T00:00:00"/>
    <m/>
    <x v="1"/>
    <x v="24"/>
    <x v="0"/>
    <n v="5.7"/>
  </r>
  <r>
    <d v="2020-07-31T00:00:00"/>
    <m/>
    <x v="3"/>
    <x v="24"/>
    <x v="1"/>
    <n v="3294.6"/>
  </r>
  <r>
    <d v="2020-07-31T00:00:00"/>
    <s v="CL0039"/>
    <x v="0"/>
    <x v="25"/>
    <x v="0"/>
    <n v="1257.6500000000001"/>
  </r>
  <r>
    <d v="2020-07-31T00:00:00"/>
    <m/>
    <x v="13"/>
    <x v="25"/>
    <x v="0"/>
    <n v="1261.0999999999999"/>
  </r>
  <r>
    <d v="2020-07-31T00:00:00"/>
    <m/>
    <x v="5"/>
    <x v="25"/>
    <x v="0"/>
    <n v="29.03"/>
  </r>
  <r>
    <d v="2020-07-31T00:00:00"/>
    <m/>
    <x v="1"/>
    <x v="25"/>
    <x v="0"/>
    <n v="204.71"/>
  </r>
  <r>
    <d v="2020-07-31T00:00:00"/>
    <m/>
    <x v="7"/>
    <x v="25"/>
    <x v="0"/>
    <n v="67.61"/>
  </r>
  <r>
    <d v="2020-07-31T00:00:00"/>
    <m/>
    <x v="8"/>
    <x v="25"/>
    <x v="1"/>
    <n v="11199.91"/>
  </r>
  <r>
    <d v="2020-07-31T00:00:00"/>
    <m/>
    <x v="31"/>
    <x v="25"/>
    <x v="1"/>
    <n v="25143.21"/>
  </r>
  <r>
    <d v="2020-07-31T00:00:00"/>
    <m/>
    <x v="3"/>
    <x v="25"/>
    <x v="1"/>
    <n v="3062.4"/>
  </r>
  <r>
    <d v="2020-07-31T00:00:00"/>
    <m/>
    <x v="12"/>
    <x v="25"/>
    <x v="2"/>
    <n v="6490.72"/>
  </r>
  <r>
    <d v="2020-07-31T00:00:00"/>
    <s v="CL0040"/>
    <x v="6"/>
    <x v="26"/>
    <x v="0"/>
    <n v="41.32"/>
  </r>
  <r>
    <d v="2020-07-31T00:00:00"/>
    <m/>
    <x v="1"/>
    <x v="26"/>
    <x v="0"/>
    <n v="25.34"/>
  </r>
  <r>
    <d v="2020-07-31T00:00:00"/>
    <m/>
    <x v="8"/>
    <x v="26"/>
    <x v="1"/>
    <n v="5276.83"/>
  </r>
  <r>
    <d v="2020-07-31T00:00:00"/>
    <m/>
    <x v="9"/>
    <x v="26"/>
    <x v="1"/>
    <n v="6703.16"/>
  </r>
  <r>
    <d v="2020-07-31T00:00:00"/>
    <m/>
    <x v="40"/>
    <x v="26"/>
    <x v="1"/>
    <n v="265.3"/>
  </r>
  <r>
    <d v="2020-07-31T00:00:00"/>
    <m/>
    <x v="41"/>
    <x v="26"/>
    <x v="1"/>
    <n v="151.22"/>
  </r>
  <r>
    <d v="2020-07-31T00:00:00"/>
    <m/>
    <x v="15"/>
    <x v="26"/>
    <x v="1"/>
    <n v="734.62"/>
  </r>
  <r>
    <d v="2020-07-31T00:00:00"/>
    <s v="CL0046"/>
    <x v="1"/>
    <x v="27"/>
    <x v="0"/>
    <n v="71.42"/>
  </r>
  <r>
    <d v="2020-07-31T00:00:00"/>
    <s v="CL0047"/>
    <x v="5"/>
    <x v="28"/>
    <x v="0"/>
    <n v="2.02"/>
  </r>
  <r>
    <d v="2020-07-31T00:00:00"/>
    <m/>
    <x v="7"/>
    <x v="28"/>
    <x v="0"/>
    <n v="208.27"/>
  </r>
  <r>
    <d v="2020-07-31T00:00:00"/>
    <s v="CL0049"/>
    <x v="13"/>
    <x v="29"/>
    <x v="0"/>
    <n v="244.89"/>
  </r>
  <r>
    <d v="2020-07-31T00:00:00"/>
    <m/>
    <x v="1"/>
    <x v="29"/>
    <x v="0"/>
    <n v="88.49"/>
  </r>
  <r>
    <d v="2020-07-31T00:00:00"/>
    <s v="CL0050"/>
    <x v="1"/>
    <x v="30"/>
    <x v="0"/>
    <n v="13.35"/>
  </r>
  <r>
    <d v="2020-07-31T00:00:00"/>
    <s v="CL0054"/>
    <x v="0"/>
    <x v="31"/>
    <x v="0"/>
    <n v="111.42"/>
  </r>
  <r>
    <d v="2020-07-31T00:00:00"/>
    <m/>
    <x v="13"/>
    <x v="31"/>
    <x v="0"/>
    <n v="73.19"/>
  </r>
  <r>
    <d v="2020-07-31T00:00:00"/>
    <m/>
    <x v="14"/>
    <x v="31"/>
    <x v="0"/>
    <n v="46.87"/>
  </r>
  <r>
    <d v="2020-07-31T00:00:00"/>
    <s v="CL0059"/>
    <x v="0"/>
    <x v="32"/>
    <x v="0"/>
    <n v="97"/>
  </r>
  <r>
    <d v="2020-07-31T00:00:00"/>
    <m/>
    <x v="1"/>
    <x v="32"/>
    <x v="0"/>
    <n v="141.87"/>
  </r>
  <r>
    <d v="2020-07-31T00:00:00"/>
    <m/>
    <x v="33"/>
    <x v="32"/>
    <x v="1"/>
    <n v="232.82"/>
  </r>
  <r>
    <d v="2020-07-31T00:00:00"/>
    <s v="CL0060"/>
    <x v="1"/>
    <x v="33"/>
    <x v="0"/>
    <n v="0.05"/>
  </r>
  <r>
    <d v="2020-07-31T00:00:00"/>
    <s v="CL0061"/>
    <x v="42"/>
    <x v="34"/>
    <x v="1"/>
    <n v="916.95"/>
  </r>
  <r>
    <d v="2020-07-31T00:00:00"/>
    <s v="CL0063"/>
    <x v="3"/>
    <x v="35"/>
    <x v="1"/>
    <n v="21129.279999999999"/>
  </r>
  <r>
    <d v="2020-07-31T00:00:00"/>
    <m/>
    <x v="32"/>
    <x v="35"/>
    <x v="1"/>
    <n v="5422.66"/>
  </r>
  <r>
    <d v="2020-07-31T00:00:00"/>
    <s v="CL0064"/>
    <x v="0"/>
    <x v="36"/>
    <x v="0"/>
    <n v="46.93"/>
  </r>
  <r>
    <d v="2020-07-31T00:00:00"/>
    <m/>
    <x v="13"/>
    <x v="36"/>
    <x v="0"/>
    <n v="52.98"/>
  </r>
  <r>
    <d v="2020-07-31T00:00:00"/>
    <m/>
    <x v="5"/>
    <x v="36"/>
    <x v="0"/>
    <n v="14.03"/>
  </r>
  <r>
    <d v="2020-07-31T00:00:00"/>
    <m/>
    <x v="1"/>
    <x v="36"/>
    <x v="0"/>
    <n v="517.44000000000005"/>
  </r>
  <r>
    <d v="2020-07-31T00:00:00"/>
    <m/>
    <x v="31"/>
    <x v="36"/>
    <x v="1"/>
    <n v="504.04"/>
  </r>
  <r>
    <d v="2020-07-31T00:00:00"/>
    <s v="CL0065"/>
    <x v="14"/>
    <x v="37"/>
    <x v="0"/>
    <n v="90.85"/>
  </r>
  <r>
    <d v="2020-07-31T00:00:00"/>
    <m/>
    <x v="3"/>
    <x v="37"/>
    <x v="1"/>
    <n v="9464.7800000000007"/>
  </r>
  <r>
    <d v="2020-07-31T00:00:00"/>
    <m/>
    <x v="32"/>
    <x v="37"/>
    <x v="1"/>
    <n v="2944.55"/>
  </r>
  <r>
    <d v="2020-07-31T00:00:00"/>
    <m/>
    <x v="43"/>
    <x v="37"/>
    <x v="1"/>
    <n v="5889.09"/>
  </r>
  <r>
    <d v="2020-07-31T00:00:00"/>
    <m/>
    <x v="44"/>
    <x v="37"/>
    <x v="1"/>
    <n v="2944.55"/>
  </r>
  <r>
    <d v="2020-07-31T00:00:00"/>
    <m/>
    <x v="45"/>
    <x v="37"/>
    <x v="1"/>
    <n v="2944.55"/>
  </r>
  <r>
    <d v="2020-07-31T00:00:00"/>
    <s v="CL0067"/>
    <x v="13"/>
    <x v="38"/>
    <x v="0"/>
    <n v="214.77"/>
  </r>
  <r>
    <d v="2020-07-31T00:00:00"/>
    <m/>
    <x v="5"/>
    <x v="38"/>
    <x v="0"/>
    <n v="89.44"/>
  </r>
  <r>
    <d v="2020-07-31T00:00:00"/>
    <m/>
    <x v="6"/>
    <x v="38"/>
    <x v="0"/>
    <n v="25.25"/>
  </r>
  <r>
    <d v="2020-07-31T00:00:00"/>
    <m/>
    <x v="46"/>
    <x v="38"/>
    <x v="1"/>
    <n v="3872.33"/>
  </r>
  <r>
    <d v="2020-07-31T00:00:00"/>
    <m/>
    <x v="10"/>
    <x v="38"/>
    <x v="2"/>
    <n v="47156.229999999996"/>
  </r>
  <r>
    <d v="2020-07-31T00:00:00"/>
    <m/>
    <x v="16"/>
    <x v="38"/>
    <x v="2"/>
    <n v="20547.62"/>
  </r>
  <r>
    <d v="2020-07-31T00:00:00"/>
    <m/>
    <x v="11"/>
    <x v="38"/>
    <x v="2"/>
    <n v="45312.63"/>
  </r>
  <r>
    <d v="2020-07-31T00:00:00"/>
    <m/>
    <x v="12"/>
    <x v="38"/>
    <x v="2"/>
    <n v="11638.66"/>
  </r>
  <r>
    <d v="2020-07-31T00:00:00"/>
    <m/>
    <x v="47"/>
    <x v="38"/>
    <x v="0"/>
    <n v="99.29"/>
  </r>
  <r>
    <d v="2020-07-31T00:00:00"/>
    <s v="CL0068"/>
    <x v="0"/>
    <x v="39"/>
    <x v="0"/>
    <n v="164.72"/>
  </r>
  <r>
    <d v="2020-07-31T00:00:00"/>
    <m/>
    <x v="7"/>
    <x v="39"/>
    <x v="0"/>
    <n v="1032.42"/>
  </r>
  <r>
    <d v="2020-07-31T00:00:00"/>
    <s v="CL0069"/>
    <x v="0"/>
    <x v="40"/>
    <x v="0"/>
    <n v="621.11"/>
  </r>
  <r>
    <d v="2020-07-31T00:00:00"/>
    <m/>
    <x v="5"/>
    <x v="40"/>
    <x v="0"/>
    <n v="5.4"/>
  </r>
  <r>
    <d v="2020-07-31T00:00:00"/>
    <m/>
    <x v="21"/>
    <x v="40"/>
    <x v="1"/>
    <n v="1250.42"/>
  </r>
  <r>
    <d v="2020-07-31T00:00:00"/>
    <m/>
    <x v="31"/>
    <x v="40"/>
    <x v="1"/>
    <n v="2447.83"/>
  </r>
  <r>
    <d v="2020-07-31T00:00:00"/>
    <s v="CL0071"/>
    <x v="0"/>
    <x v="41"/>
    <x v="0"/>
    <n v="45.61"/>
  </r>
  <r>
    <d v="2020-07-31T00:00:00"/>
    <m/>
    <x v="13"/>
    <x v="41"/>
    <x v="0"/>
    <n v="227.29"/>
  </r>
  <r>
    <d v="2020-07-31T00:00:00"/>
    <m/>
    <x v="5"/>
    <x v="41"/>
    <x v="0"/>
    <n v="66.09"/>
  </r>
  <r>
    <d v="2020-07-31T00:00:00"/>
    <m/>
    <x v="1"/>
    <x v="41"/>
    <x v="0"/>
    <n v="998.41"/>
  </r>
  <r>
    <d v="2020-07-31T00:00:00"/>
    <m/>
    <x v="21"/>
    <x v="41"/>
    <x v="1"/>
    <n v="12350.27"/>
  </r>
  <r>
    <d v="2020-07-31T00:00:00"/>
    <m/>
    <x v="2"/>
    <x v="41"/>
    <x v="1"/>
    <n v="13834.46"/>
  </r>
  <r>
    <d v="2020-07-31T00:00:00"/>
    <m/>
    <x v="4"/>
    <x v="41"/>
    <x v="1"/>
    <n v="7985.9"/>
  </r>
  <r>
    <d v="2020-07-31T00:00:00"/>
    <s v="CL0072"/>
    <x v="0"/>
    <x v="42"/>
    <x v="0"/>
    <n v="1084.55"/>
  </r>
  <r>
    <d v="2020-07-31T00:00:00"/>
    <m/>
    <x v="13"/>
    <x v="42"/>
    <x v="0"/>
    <n v="9255.32"/>
  </r>
  <r>
    <d v="2020-07-31T00:00:00"/>
    <m/>
    <x v="5"/>
    <x v="42"/>
    <x v="0"/>
    <n v="3.97"/>
  </r>
  <r>
    <d v="2020-07-31T00:00:00"/>
    <m/>
    <x v="1"/>
    <x v="42"/>
    <x v="0"/>
    <n v="393.91"/>
  </r>
  <r>
    <d v="2020-07-31T00:00:00"/>
    <m/>
    <x v="7"/>
    <x v="42"/>
    <x v="0"/>
    <n v="328.05"/>
  </r>
  <r>
    <d v="2020-07-31T00:00:00"/>
    <m/>
    <x v="8"/>
    <x v="42"/>
    <x v="1"/>
    <n v="5799.9"/>
  </r>
  <r>
    <d v="2020-07-31T00:00:00"/>
    <m/>
    <x v="22"/>
    <x v="42"/>
    <x v="1"/>
    <n v="3537.45"/>
  </r>
  <r>
    <d v="2020-07-31T00:00:00"/>
    <m/>
    <x v="18"/>
    <x v="42"/>
    <x v="1"/>
    <n v="4313.5600000000004"/>
  </r>
  <r>
    <d v="2020-07-31T00:00:00"/>
    <m/>
    <x v="2"/>
    <x v="42"/>
    <x v="1"/>
    <n v="1072.46"/>
  </r>
  <r>
    <d v="2020-07-31T00:00:00"/>
    <m/>
    <x v="3"/>
    <x v="42"/>
    <x v="1"/>
    <n v="2610.6"/>
  </r>
  <r>
    <d v="2020-07-31T00:00:00"/>
    <s v="CL0073"/>
    <x v="1"/>
    <x v="43"/>
    <x v="0"/>
    <n v="109.5"/>
  </r>
  <r>
    <d v="2020-07-31T00:00:00"/>
    <m/>
    <x v="42"/>
    <x v="43"/>
    <x v="1"/>
    <n v="920.14"/>
  </r>
  <r>
    <d v="2020-07-31T00:00:00"/>
    <s v="CL0075"/>
    <x v="7"/>
    <x v="44"/>
    <x v="0"/>
    <n v="48.22"/>
  </r>
  <r>
    <d v="2020-07-31T00:00:00"/>
    <s v="CL0077"/>
    <x v="0"/>
    <x v="45"/>
    <x v="0"/>
    <n v="131.88"/>
  </r>
  <r>
    <d v="2020-07-31T00:00:00"/>
    <m/>
    <x v="13"/>
    <x v="45"/>
    <x v="0"/>
    <n v="563.19000000000005"/>
  </r>
  <r>
    <d v="2020-07-31T00:00:00"/>
    <m/>
    <x v="1"/>
    <x v="45"/>
    <x v="0"/>
    <n v="383.41"/>
  </r>
  <r>
    <d v="2020-07-31T00:00:00"/>
    <m/>
    <x v="7"/>
    <x v="45"/>
    <x v="0"/>
    <n v="63.37"/>
  </r>
  <r>
    <d v="2020-07-31T00:00:00"/>
    <m/>
    <x v="3"/>
    <x v="45"/>
    <x v="1"/>
    <n v="17444.490000000002"/>
  </r>
  <r>
    <d v="2020-07-31T00:00:00"/>
    <s v="CL0082"/>
    <x v="13"/>
    <x v="46"/>
    <x v="0"/>
    <n v="40.520000000000003"/>
  </r>
  <r>
    <d v="2020-07-31T00:00:00"/>
    <m/>
    <x v="6"/>
    <x v="46"/>
    <x v="0"/>
    <n v="10.75"/>
  </r>
  <r>
    <d v="2020-07-31T00:00:00"/>
    <m/>
    <x v="1"/>
    <x v="46"/>
    <x v="0"/>
    <n v="2.52"/>
  </r>
  <r>
    <d v="2020-07-31T00:00:00"/>
    <m/>
    <x v="14"/>
    <x v="46"/>
    <x v="0"/>
    <n v="114.15"/>
  </r>
  <r>
    <d v="2020-07-31T00:00:00"/>
    <m/>
    <x v="17"/>
    <x v="46"/>
    <x v="0"/>
    <n v="1.61"/>
  </r>
  <r>
    <d v="2020-07-31T00:00:00"/>
    <m/>
    <x v="7"/>
    <x v="46"/>
    <x v="0"/>
    <n v="263.45"/>
  </r>
  <r>
    <d v="2020-07-31T00:00:00"/>
    <m/>
    <x v="22"/>
    <x v="46"/>
    <x v="1"/>
    <n v="2643.24"/>
  </r>
  <r>
    <d v="2020-07-31T00:00:00"/>
    <s v="CL0089"/>
    <x v="13"/>
    <x v="47"/>
    <x v="0"/>
    <n v="215.24"/>
  </r>
  <r>
    <d v="2020-07-31T00:00:00"/>
    <m/>
    <x v="6"/>
    <x v="47"/>
    <x v="0"/>
    <n v="95.85"/>
  </r>
  <r>
    <d v="2020-07-31T00:00:00"/>
    <m/>
    <x v="1"/>
    <x v="47"/>
    <x v="0"/>
    <n v="134.05000000000001"/>
  </r>
  <r>
    <d v="2020-07-31T00:00:00"/>
    <m/>
    <x v="14"/>
    <x v="47"/>
    <x v="0"/>
    <n v="350.1"/>
  </r>
  <r>
    <d v="2020-07-31T00:00:00"/>
    <m/>
    <x v="17"/>
    <x v="47"/>
    <x v="0"/>
    <n v="25.81"/>
  </r>
  <r>
    <d v="2020-07-31T00:00:00"/>
    <m/>
    <x v="7"/>
    <x v="47"/>
    <x v="0"/>
    <n v="186.31"/>
  </r>
  <r>
    <d v="2020-07-31T00:00:00"/>
    <m/>
    <x v="22"/>
    <x v="47"/>
    <x v="1"/>
    <n v="2816.43"/>
  </r>
  <r>
    <d v="2020-07-31T00:00:00"/>
    <s v="CL0092"/>
    <x v="13"/>
    <x v="48"/>
    <x v="0"/>
    <n v="216.4"/>
  </r>
  <r>
    <d v="2020-07-31T00:00:00"/>
    <m/>
    <x v="1"/>
    <x v="48"/>
    <x v="0"/>
    <n v="316.56"/>
  </r>
  <r>
    <d v="2020-07-31T00:00:00"/>
    <m/>
    <x v="7"/>
    <x v="48"/>
    <x v="0"/>
    <n v="18.12"/>
  </r>
  <r>
    <d v="2020-07-31T00:00:00"/>
    <s v="CL0097"/>
    <x v="17"/>
    <x v="80"/>
    <x v="0"/>
    <n v="2.3199999999999998"/>
  </r>
  <r>
    <d v="2020-07-31T00:00:00"/>
    <m/>
    <x v="7"/>
    <x v="80"/>
    <x v="0"/>
    <n v="74.290000000000006"/>
  </r>
  <r>
    <d v="2020-07-31T00:00:00"/>
    <s v="CL0101"/>
    <x v="14"/>
    <x v="49"/>
    <x v="0"/>
    <n v="481.34"/>
  </r>
  <r>
    <d v="2020-07-31T00:00:00"/>
    <m/>
    <x v="17"/>
    <x v="49"/>
    <x v="0"/>
    <n v="34.090000000000003"/>
  </r>
  <r>
    <d v="2020-07-31T00:00:00"/>
    <m/>
    <x v="7"/>
    <x v="49"/>
    <x v="0"/>
    <n v="219.31"/>
  </r>
  <r>
    <d v="2020-07-31T00:00:00"/>
    <m/>
    <x v="22"/>
    <x v="49"/>
    <x v="1"/>
    <n v="1762.2"/>
  </r>
  <r>
    <d v="2020-07-31T00:00:00"/>
    <s v="CL0103"/>
    <x v="5"/>
    <x v="50"/>
    <x v="0"/>
    <n v="11.47"/>
  </r>
  <r>
    <d v="2020-07-31T00:00:00"/>
    <m/>
    <x v="33"/>
    <x v="50"/>
    <x v="1"/>
    <n v="4470.29"/>
  </r>
  <r>
    <d v="2020-07-31T00:00:00"/>
    <s v="CL0105"/>
    <x v="5"/>
    <x v="51"/>
    <x v="0"/>
    <n v="16.72"/>
  </r>
  <r>
    <d v="2020-07-31T00:00:00"/>
    <m/>
    <x v="22"/>
    <x v="51"/>
    <x v="1"/>
    <n v="711.99"/>
  </r>
  <r>
    <d v="2020-07-31T00:00:00"/>
    <s v="CL0106"/>
    <x v="5"/>
    <x v="52"/>
    <x v="0"/>
    <n v="6.95"/>
  </r>
  <r>
    <d v="2020-07-31T00:00:00"/>
    <m/>
    <x v="3"/>
    <x v="52"/>
    <x v="1"/>
    <n v="8707.7000000000007"/>
  </r>
  <r>
    <d v="2020-07-31T00:00:00"/>
    <s v="CL0107"/>
    <x v="5"/>
    <x v="53"/>
    <x v="0"/>
    <n v="2.56"/>
  </r>
  <r>
    <d v="2020-07-31T00:00:00"/>
    <m/>
    <x v="1"/>
    <x v="53"/>
    <x v="0"/>
    <n v="17.34"/>
  </r>
  <r>
    <d v="2020-07-31T00:00:00"/>
    <s v="CL0110"/>
    <x v="5"/>
    <x v="54"/>
    <x v="0"/>
    <n v="0.82"/>
  </r>
  <r>
    <d v="2020-07-31T00:00:00"/>
    <m/>
    <x v="46"/>
    <x v="54"/>
    <x v="1"/>
    <n v="3241.06"/>
  </r>
  <r>
    <d v="2020-07-31T00:00:00"/>
    <m/>
    <x v="48"/>
    <x v="54"/>
    <x v="1"/>
    <n v="4861.6000000000004"/>
  </r>
  <r>
    <d v="2020-07-31T00:00:00"/>
    <s v="CL0111"/>
    <x v="7"/>
    <x v="55"/>
    <x v="0"/>
    <n v="0.28000000000000003"/>
  </r>
  <r>
    <d v="2020-07-31T00:00:00"/>
    <m/>
    <x v="49"/>
    <x v="55"/>
    <x v="1"/>
    <n v="1450.02"/>
  </r>
  <r>
    <d v="2020-07-31T00:00:00"/>
    <m/>
    <x v="50"/>
    <x v="55"/>
    <x v="1"/>
    <n v="322.23"/>
  </r>
  <r>
    <d v="2020-07-31T00:00:00"/>
    <m/>
    <x v="51"/>
    <x v="55"/>
    <x v="1"/>
    <n v="3222.26"/>
  </r>
  <r>
    <d v="2020-07-31T00:00:00"/>
    <s v="CL0120"/>
    <x v="13"/>
    <x v="56"/>
    <x v="0"/>
    <n v="54.88"/>
  </r>
  <r>
    <d v="2020-07-31T00:00:00"/>
    <m/>
    <x v="5"/>
    <x v="56"/>
    <x v="0"/>
    <n v="6.68"/>
  </r>
  <r>
    <d v="2020-07-31T00:00:00"/>
    <m/>
    <x v="32"/>
    <x v="56"/>
    <x v="1"/>
    <n v="674.2"/>
  </r>
  <r>
    <d v="2020-07-31T00:00:00"/>
    <m/>
    <x v="15"/>
    <x v="56"/>
    <x v="1"/>
    <n v="65.28"/>
  </r>
  <r>
    <d v="2020-07-31T00:00:00"/>
    <s v="CL0121"/>
    <x v="7"/>
    <x v="57"/>
    <x v="0"/>
    <n v="42.22"/>
  </r>
  <r>
    <d v="2020-07-31T00:00:00"/>
    <m/>
    <x v="3"/>
    <x v="57"/>
    <x v="1"/>
    <n v="2780.13"/>
  </r>
  <r>
    <d v="2020-07-31T00:00:00"/>
    <s v="CL0122"/>
    <x v="5"/>
    <x v="58"/>
    <x v="0"/>
    <n v="3.38"/>
  </r>
  <r>
    <d v="2020-07-31T00:00:00"/>
    <m/>
    <x v="7"/>
    <x v="58"/>
    <x v="0"/>
    <n v="17.25"/>
  </r>
  <r>
    <d v="2020-07-31T00:00:00"/>
    <m/>
    <x v="8"/>
    <x v="58"/>
    <x v="1"/>
    <n v="1370.92"/>
  </r>
  <r>
    <d v="2020-07-31T00:00:00"/>
    <m/>
    <x v="22"/>
    <x v="58"/>
    <x v="1"/>
    <n v="959.09"/>
  </r>
  <r>
    <d v="2020-07-31T00:00:00"/>
    <m/>
    <x v="3"/>
    <x v="58"/>
    <x v="1"/>
    <n v="2767.93"/>
  </r>
  <r>
    <d v="2020-07-31T00:00:00"/>
    <s v="CL0124"/>
    <x v="1"/>
    <x v="59"/>
    <x v="0"/>
    <n v="9.48"/>
  </r>
  <r>
    <d v="2020-07-31T00:00:00"/>
    <m/>
    <x v="7"/>
    <x v="59"/>
    <x v="0"/>
    <n v="2.82"/>
  </r>
  <r>
    <d v="2020-07-31T00:00:00"/>
    <s v="CL0125"/>
    <x v="6"/>
    <x v="60"/>
    <x v="0"/>
    <n v="6.21"/>
  </r>
  <r>
    <d v="2020-07-31T00:00:00"/>
    <m/>
    <x v="1"/>
    <x v="60"/>
    <x v="0"/>
    <n v="5.52"/>
  </r>
  <r>
    <d v="2020-07-31T00:00:00"/>
    <m/>
    <x v="52"/>
    <x v="60"/>
    <x v="1"/>
    <n v="806.13"/>
  </r>
  <r>
    <d v="2020-07-31T00:00:00"/>
    <m/>
    <x v="53"/>
    <x v="60"/>
    <x v="1"/>
    <n v="1934.72"/>
  </r>
  <r>
    <d v="2020-07-31T00:00:00"/>
    <m/>
    <x v="54"/>
    <x v="60"/>
    <x v="1"/>
    <n v="1612.26"/>
  </r>
  <r>
    <d v="2020-07-31T00:00:00"/>
    <s v="CL0126"/>
    <x v="5"/>
    <x v="61"/>
    <x v="0"/>
    <n v="18.98"/>
  </r>
  <r>
    <d v="2020-07-31T00:00:00"/>
    <m/>
    <x v="7"/>
    <x v="61"/>
    <x v="0"/>
    <n v="42.27"/>
  </r>
  <r>
    <d v="2020-07-31T00:00:00"/>
    <m/>
    <x v="46"/>
    <x v="61"/>
    <x v="1"/>
    <n v="3092.98"/>
  </r>
  <r>
    <d v="2020-07-31T00:00:00"/>
    <m/>
    <x v="55"/>
    <x v="61"/>
    <x v="1"/>
    <n v="253.06"/>
  </r>
  <r>
    <d v="2020-07-31T00:00:00"/>
    <m/>
    <x v="56"/>
    <x v="61"/>
    <x v="1"/>
    <n v="253.06"/>
  </r>
  <r>
    <d v="2020-07-31T00:00:00"/>
    <s v="CL0130"/>
    <x v="0"/>
    <x v="62"/>
    <x v="0"/>
    <n v="242.13"/>
  </r>
  <r>
    <d v="2020-07-31T00:00:00"/>
    <m/>
    <x v="13"/>
    <x v="62"/>
    <x v="0"/>
    <n v="213.55"/>
  </r>
  <r>
    <d v="2020-07-31T00:00:00"/>
    <m/>
    <x v="5"/>
    <x v="62"/>
    <x v="0"/>
    <n v="53.78"/>
  </r>
  <r>
    <d v="2020-07-31T00:00:00"/>
    <m/>
    <x v="6"/>
    <x v="62"/>
    <x v="0"/>
    <n v="11.76"/>
  </r>
  <r>
    <d v="2020-07-31T00:00:00"/>
    <m/>
    <x v="1"/>
    <x v="62"/>
    <x v="0"/>
    <n v="79.06"/>
  </r>
  <r>
    <d v="2020-07-31T00:00:00"/>
    <m/>
    <x v="14"/>
    <x v="62"/>
    <x v="0"/>
    <n v="169.49"/>
  </r>
  <r>
    <d v="2020-07-31T00:00:00"/>
    <m/>
    <x v="7"/>
    <x v="62"/>
    <x v="0"/>
    <n v="2.27"/>
  </r>
  <r>
    <d v="2020-07-31T00:00:00"/>
    <m/>
    <x v="31"/>
    <x v="62"/>
    <x v="1"/>
    <n v="1786.4"/>
  </r>
  <r>
    <d v="2020-07-31T00:00:00"/>
    <s v="CL0132"/>
    <x v="0"/>
    <x v="63"/>
    <x v="0"/>
    <n v="300.92"/>
  </r>
  <r>
    <d v="2020-07-31T00:00:00"/>
    <m/>
    <x v="13"/>
    <x v="63"/>
    <x v="0"/>
    <n v="1327.05"/>
  </r>
  <r>
    <d v="2020-07-31T00:00:00"/>
    <m/>
    <x v="5"/>
    <x v="63"/>
    <x v="0"/>
    <n v="26.28"/>
  </r>
  <r>
    <d v="2020-07-31T00:00:00"/>
    <m/>
    <x v="1"/>
    <x v="63"/>
    <x v="0"/>
    <n v="491.34"/>
  </r>
  <r>
    <d v="2020-07-31T00:00:00"/>
    <s v="CL0140"/>
    <x v="5"/>
    <x v="64"/>
    <x v="0"/>
    <n v="63.19"/>
  </r>
  <r>
    <d v="2020-07-31T00:00:00"/>
    <m/>
    <x v="6"/>
    <x v="64"/>
    <x v="0"/>
    <n v="20.28"/>
  </r>
  <r>
    <d v="2020-07-31T00:00:00"/>
    <m/>
    <x v="1"/>
    <x v="64"/>
    <x v="0"/>
    <n v="49.52"/>
  </r>
  <r>
    <d v="2020-07-31T00:00:00"/>
    <m/>
    <x v="2"/>
    <x v="64"/>
    <x v="1"/>
    <n v="1753.72"/>
  </r>
  <r>
    <d v="2020-07-31T00:00:00"/>
    <m/>
    <x v="15"/>
    <x v="64"/>
    <x v="1"/>
    <n v="1215.19"/>
  </r>
  <r>
    <d v="2020-07-31T00:00:00"/>
    <m/>
    <x v="4"/>
    <x v="64"/>
    <x v="1"/>
    <n v="12349.39"/>
  </r>
  <r>
    <d v="2020-07-31T00:00:00"/>
    <m/>
    <x v="20"/>
    <x v="64"/>
    <x v="1"/>
    <n v="7258.5"/>
  </r>
  <r>
    <d v="2020-07-31T00:00:00"/>
    <s v="CL0048"/>
    <x v="0"/>
    <x v="65"/>
    <x v="0"/>
    <n v="7.83"/>
  </r>
  <r>
    <d v="2020-07-31T00:00:00"/>
    <m/>
    <x v="5"/>
    <x v="65"/>
    <x v="0"/>
    <n v="33.74"/>
  </r>
  <r>
    <d v="2020-07-31T00:00:00"/>
    <m/>
    <x v="4"/>
    <x v="65"/>
    <x v="1"/>
    <n v="4015.72"/>
  </r>
  <r>
    <d v="2020-07-31T00:00:00"/>
    <s v="CL0158"/>
    <x v="7"/>
    <x v="66"/>
    <x v="0"/>
    <n v="34.049999999999997"/>
  </r>
  <r>
    <d v="2020-07-31T00:00:00"/>
    <s v="CL0084"/>
    <x v="0"/>
    <x v="67"/>
    <x v="0"/>
    <n v="375.85"/>
  </r>
  <r>
    <d v="2020-07-31T00:00:00"/>
    <m/>
    <x v="13"/>
    <x v="67"/>
    <x v="0"/>
    <n v="2253.15"/>
  </r>
  <r>
    <d v="2020-07-31T00:00:00"/>
    <m/>
    <x v="6"/>
    <x v="67"/>
    <x v="0"/>
    <n v="125.65"/>
  </r>
  <r>
    <d v="2020-07-31T00:00:00"/>
    <s v="CL0157"/>
    <x v="0"/>
    <x v="68"/>
    <x v="0"/>
    <n v="193.52"/>
  </r>
  <r>
    <d v="2020-07-31T00:00:00"/>
    <m/>
    <x v="13"/>
    <x v="68"/>
    <x v="0"/>
    <n v="563.03"/>
  </r>
  <r>
    <d v="2020-07-31T00:00:00"/>
    <m/>
    <x v="7"/>
    <x v="68"/>
    <x v="0"/>
    <n v="14.37"/>
  </r>
  <r>
    <d v="2020-07-31T00:00:00"/>
    <s v="CL0080"/>
    <x v="2"/>
    <x v="69"/>
    <x v="1"/>
    <n v="3310.54"/>
  </r>
  <r>
    <d v="2020-07-31T00:00:00"/>
    <s v="CL0102"/>
    <x v="3"/>
    <x v="70"/>
    <x v="1"/>
    <n v="429.28"/>
  </r>
  <r>
    <d v="2020-07-31T00:00:00"/>
    <s v="CL0108"/>
    <x v="3"/>
    <x v="71"/>
    <x v="1"/>
    <n v="3012.72"/>
  </r>
  <r>
    <d v="2020-07-31T00:00:00"/>
    <m/>
    <x v="32"/>
    <x v="71"/>
    <x v="1"/>
    <n v="1191.1300000000001"/>
  </r>
  <r>
    <d v="2020-07-31T00:00:00"/>
    <s v="CL0115"/>
    <x v="32"/>
    <x v="72"/>
    <x v="1"/>
    <n v="232.54"/>
  </r>
  <r>
    <d v="2020-07-31T00:00:00"/>
    <s v="CL0112"/>
    <x v="57"/>
    <x v="73"/>
    <x v="1"/>
    <n v="488.64"/>
  </r>
  <r>
    <d v="2020-07-31T00:00:00"/>
    <m/>
    <x v="58"/>
    <x v="73"/>
    <x v="1"/>
    <n v="488.64"/>
  </r>
  <r>
    <m/>
    <m/>
    <x v="62"/>
    <x v="81"/>
    <x v="3"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223">
  <r>
    <d v="2020-08-31T00:00:00"/>
    <s v="CL0001"/>
    <s v="永诚"/>
    <s v="国寿养老红运股票型养老金产品"/>
    <s v="集合计划"/>
    <n v="53.16"/>
    <x v="0"/>
  </r>
  <r>
    <d v="2020-08-31T00:00:00"/>
    <m/>
    <s v="永睿"/>
    <s v="国寿养老红运股票型养老金产品"/>
    <s v="集合计划"/>
    <n v="438.02"/>
    <x v="0"/>
  </r>
  <r>
    <d v="2020-08-31T00:00:00"/>
    <m/>
    <s v="工行中铁四局集团有限公司企业年金计划国寿组合"/>
    <s v="国寿养老红运股票型养老金产品"/>
    <s v="单一计划"/>
    <n v="1491.74"/>
    <x v="0"/>
  </r>
  <r>
    <d v="2020-08-31T00:00:00"/>
    <m/>
    <s v="中行淮南矿业（集团）有限责任公司企业年金计划受托直投（国寿）"/>
    <s v="国寿养老红运股票型养老金产品"/>
    <s v="单一计划"/>
    <n v="3196.69"/>
    <x v="0"/>
  </r>
  <r>
    <d v="2020-08-31T00:00:00"/>
    <m/>
    <s v="农行安徽古井集团有限责任公司企业年金计划国寿组合"/>
    <s v="国寿养老红运股票型养老金产品"/>
    <s v="单一计划"/>
    <n v="464"/>
    <x v="0"/>
  </r>
  <r>
    <d v="2020-08-31T00:00:00"/>
    <s v="CL0002"/>
    <s v="永福"/>
    <s v="国寿养老红盛债券型养老金产品"/>
    <s v="集合计划"/>
    <n v="109.64"/>
    <x v="1"/>
  </r>
  <r>
    <d v="2020-08-31T00:00:00"/>
    <m/>
    <s v="永乐"/>
    <s v="国寿养老红盛债券型养老金产品"/>
    <s v="集合计划"/>
    <n v="51.85"/>
    <x v="1"/>
  </r>
  <r>
    <d v="2020-08-31T00:00:00"/>
    <m/>
    <s v="永颐"/>
    <s v="国寿养老红盛债券型养老金产品"/>
    <s v="集合计划"/>
    <n v="243.86"/>
    <x v="1"/>
  </r>
  <r>
    <d v="2020-08-31T00:00:00"/>
    <m/>
    <s v="工行安徽省高速公路控股集团有限公司企业年金计划国寿组合"/>
    <s v="国寿养老红盛债券型养老金产品"/>
    <s v="单一计划"/>
    <n v="1278.3699999999999"/>
    <x v="1"/>
  </r>
  <r>
    <d v="2020-08-31T00:00:00"/>
    <m/>
    <s v="工行中铁四局集团有限公司企业年金计划国寿组合"/>
    <s v="国寿养老红盛债券型养老金产品"/>
    <s v="单一计划"/>
    <n v="1021.83"/>
    <x v="1"/>
  </r>
  <r>
    <d v="2020-08-31T00:00:00"/>
    <m/>
    <s v="中行国网安徽省电力公司企业年金计划养老金专户平安组合"/>
    <s v="国寿养老红盛债券型养老金产品"/>
    <s v="单一计划"/>
    <n v="5887.52"/>
    <x v="1"/>
  </r>
  <r>
    <d v="2020-08-31T00:00:00"/>
    <m/>
    <s v="安徽省壹号职业年金计划国寿组合"/>
    <s v="国寿养老红盛债券型养老金产品"/>
    <s v="职业年金"/>
    <n v="6131.53"/>
    <x v="1"/>
  </r>
  <r>
    <d v="2020-08-31T00:00:00"/>
    <m/>
    <s v="安徽省肆号职业年金计划国寿组合"/>
    <s v="国寿养老红盛债券型养老金产品"/>
    <s v="职业年金"/>
    <n v="25.33"/>
    <x v="1"/>
  </r>
  <r>
    <d v="2020-08-31T00:00:00"/>
    <m/>
    <s v="民生安徽省玖号职业年金计划国寿组合"/>
    <s v="国寿养老红盛债券型养老金产品"/>
    <s v="职业年金"/>
    <n v="41.26"/>
    <x v="1"/>
  </r>
  <r>
    <d v="2020-08-31T00:00:00"/>
    <s v="CL0003"/>
    <s v="永丰"/>
    <s v="国寿养老红运混合型养老金产品"/>
    <s v="集合计划"/>
    <n v="127.37"/>
    <x v="2"/>
  </r>
  <r>
    <d v="2020-08-31T00:00:00"/>
    <m/>
    <s v="永乐"/>
    <s v="国寿养老红运混合型养老金产品"/>
    <s v="集合计划"/>
    <n v="21.77"/>
    <x v="2"/>
  </r>
  <r>
    <d v="2020-08-31T00:00:00"/>
    <m/>
    <s v="永睿"/>
    <s v="国寿养老红运混合型养老金产品"/>
    <s v="集合计划"/>
    <n v="31.12"/>
    <x v="2"/>
  </r>
  <r>
    <d v="2020-08-31T00:00:00"/>
    <m/>
    <s v="永通"/>
    <s v="国寿养老红运混合型养老金产品"/>
    <s v="集合计划"/>
    <n v="318"/>
    <x v="2"/>
  </r>
  <r>
    <d v="2020-08-31T00:00:00"/>
    <m/>
    <s v="永颐"/>
    <s v="国寿养老红运混合型养老金产品"/>
    <s v="集合计划"/>
    <n v="29.15"/>
    <x v="2"/>
  </r>
  <r>
    <d v="2020-08-31T00:00:00"/>
    <m/>
    <s v="中行淮南矿业（集团）有限责任公司企业年金计划受托直投（国寿）"/>
    <s v="国寿养老红运混合型养老金产品"/>
    <s v="单一计划"/>
    <n v="6630.06"/>
    <x v="2"/>
  </r>
  <r>
    <d v="2020-08-31T00:00:00"/>
    <m/>
    <s v="光大银行安徽新华传媒股份有限公司企业年金计划受托直投（国寿）"/>
    <s v="国寿养老红运混合型养老金产品"/>
    <s v="单一计划"/>
    <n v="811.65"/>
    <x v="2"/>
  </r>
  <r>
    <d v="2020-08-31T00:00:00"/>
    <m/>
    <s v="安徽省壹号职业年金计划国寿信托组合"/>
    <s v="国寿养老红运混合型养老金产品"/>
    <s v="职业年金"/>
    <n v="25791.79"/>
    <x v="2"/>
  </r>
  <r>
    <d v="2020-08-31T00:00:00"/>
    <s v="CL0004"/>
    <s v="永诚"/>
    <s v="国寿养老红盛混合型养老金产品"/>
    <s v="集合计划"/>
    <n v="145.93"/>
    <x v="2"/>
  </r>
  <r>
    <d v="2020-08-31T00:00:00"/>
    <m/>
    <s v="永通"/>
    <s v="国寿养老红盛混合型养老金产品"/>
    <s v="集合计划"/>
    <n v="190.39"/>
    <x v="2"/>
  </r>
  <r>
    <d v="2020-08-31T00:00:00"/>
    <m/>
    <s v="永颐"/>
    <s v="国寿养老红盛混合型养老金产品"/>
    <s v="集合计划"/>
    <n v="73.489999999999995"/>
    <x v="2"/>
  </r>
  <r>
    <d v="2020-08-31T00:00:00"/>
    <m/>
    <s v="中行淮南矿业（集团）有限责任公司企业年金计划受托直投（国寿）"/>
    <s v="国寿养老红盛混合型养老金产品"/>
    <s v="单一计划"/>
    <n v="5454.46"/>
    <x v="2"/>
  </r>
  <r>
    <d v="2020-08-31T00:00:00"/>
    <m/>
    <s v="光大银行安徽新华传媒股份有限公司企业年金计划受托直投（国寿）"/>
    <s v="国寿养老红盛混合型养老金产品"/>
    <s v="单一计划"/>
    <n v="420.63"/>
    <x v="2"/>
  </r>
  <r>
    <d v="2020-08-31T00:00:00"/>
    <m/>
    <s v="安徽省壹号职业年金计划国寿信托组合"/>
    <s v="国寿养老红盛混合型养老金产品"/>
    <s v="职业年金"/>
    <n v="24225.33"/>
    <x v="2"/>
  </r>
  <r>
    <d v="2020-08-31T00:00:00"/>
    <s v="CL0005"/>
    <s v="永诚"/>
    <s v="国寿养老红运固定收益型养老金产品"/>
    <s v="集合计划"/>
    <n v="58.81"/>
    <x v="3"/>
  </r>
  <r>
    <d v="2020-08-31T00:00:00"/>
    <m/>
    <s v="永福"/>
    <s v="国寿养老红运固定收益型养老金产品"/>
    <s v="集合计划"/>
    <n v="37.619999999999997"/>
    <x v="3"/>
  </r>
  <r>
    <d v="2020-08-31T00:00:00"/>
    <m/>
    <s v="永睿"/>
    <s v="国寿养老红运固定收益型养老金产品"/>
    <s v="集合计划"/>
    <n v="102.64"/>
    <x v="3"/>
  </r>
  <r>
    <d v="2020-08-31T00:00:00"/>
    <m/>
    <s v="永通"/>
    <s v="国寿养老红运固定收益型养老金产品"/>
    <s v="集合计划"/>
    <n v="183.29"/>
    <x v="3"/>
  </r>
  <r>
    <d v="2020-08-31T00:00:00"/>
    <m/>
    <s v="永祥"/>
    <s v="国寿养老红运固定收益型养老金产品"/>
    <s v="集合计划"/>
    <n v="14.68"/>
    <x v="3"/>
  </r>
  <r>
    <d v="2020-08-31T00:00:00"/>
    <m/>
    <s v="工行安徽省高速公路控股集团有限公司企业年金计划国寿组合"/>
    <s v="国寿养老红运固定收益型养老金产品"/>
    <s v="单一计划"/>
    <n v="915.2"/>
    <x v="3"/>
  </r>
  <r>
    <d v="2020-08-31T00:00:00"/>
    <m/>
    <s v="交行安徽省徽商集团有限公司企业年金计划国寿组合"/>
    <s v="国寿养老红运固定收益型养老金产品"/>
    <s v="单一计划"/>
    <n v="209.06"/>
    <x v="3"/>
  </r>
  <r>
    <d v="2020-08-31T00:00:00"/>
    <m/>
    <s v="工行中铁四局集团有限公司企业年金计划国寿组合"/>
    <s v="国寿养老红运固定收益型养老金产品"/>
    <s v="单一计划"/>
    <n v="2122.8200000000002"/>
    <x v="3"/>
  </r>
  <r>
    <d v="2020-08-31T00:00:00"/>
    <m/>
    <s v="光大银行安徽新华传媒股份有限公司企业年金计划受托直投（国寿）"/>
    <s v="国寿养老红运固定收益型养老金产品"/>
    <s v="单一计划"/>
    <n v="1521.71"/>
    <x v="3"/>
  </r>
  <r>
    <d v="2020-08-31T00:00:00"/>
    <m/>
    <s v="建行建信养老金管理有限责任公司企业年金计划建信组合"/>
    <s v="国寿养老红运固定收益型养老金产品"/>
    <s v="单一计划"/>
    <n v="2338.75"/>
    <x v="3"/>
  </r>
  <r>
    <d v="2020-08-31T00:00:00"/>
    <m/>
    <s v="中行徽商银行股份有限公司企业年金计划国寿组合"/>
    <s v="国寿养老红运固定收益型养老金产品"/>
    <s v="单一计划"/>
    <n v="7617.82"/>
    <x v="3"/>
  </r>
  <r>
    <d v="2020-08-31T00:00:00"/>
    <s v="CL0007"/>
    <s v="永诚"/>
    <s v="国寿养老红利基础设施债权投资计划型养老金产品"/>
    <s v="集合计划"/>
    <n v="117.89"/>
    <x v="4"/>
  </r>
  <r>
    <d v="2020-08-31T00:00:00"/>
    <m/>
    <s v="永丰"/>
    <s v="国寿养老红利基础设施债权投资计划型养老金产品"/>
    <s v="集合计划"/>
    <n v="1222.7"/>
    <x v="4"/>
  </r>
  <r>
    <d v="2020-08-31T00:00:00"/>
    <m/>
    <s v="永福"/>
    <s v="国寿养老红利基础设施债权投资计划型养老金产品"/>
    <s v="集合计划"/>
    <n v="49"/>
    <x v="4"/>
  </r>
  <r>
    <d v="2020-08-31T00:00:00"/>
    <m/>
    <s v="永乐"/>
    <s v="国寿养老红利基础设施债权投资计划型养老金产品"/>
    <s v="集合计划"/>
    <n v="22.42"/>
    <x v="4"/>
  </r>
  <r>
    <d v="2020-08-31T00:00:00"/>
    <m/>
    <s v="永睿"/>
    <s v="国寿养老红利基础设施债权投资计划型养老金产品"/>
    <s v="集合计划"/>
    <n v="64"/>
    <x v="4"/>
  </r>
  <r>
    <d v="2020-08-31T00:00:00"/>
    <m/>
    <s v="永通"/>
    <s v="国寿养老红利基础设施债权投资计划型养老金产品"/>
    <s v="集合计划"/>
    <n v="386.66"/>
    <x v="4"/>
  </r>
  <r>
    <d v="2020-08-31T00:00:00"/>
    <m/>
    <s v="永祥"/>
    <s v="国寿养老红利基础设施债权投资计划型养老金产品"/>
    <s v="集合计划"/>
    <n v="38.729999999999997"/>
    <x v="4"/>
  </r>
  <r>
    <d v="2020-08-31T00:00:00"/>
    <m/>
    <s v="永颐"/>
    <s v="国寿养老红利基础设施债权投资计划型养老金产品"/>
    <s v="集合计划"/>
    <n v="180.36"/>
    <x v="4"/>
  </r>
  <r>
    <d v="2020-08-31T00:00:00"/>
    <m/>
    <s v="中行安徽省皖北煤电集团有限责任公司企业年金计划国寿组合"/>
    <s v="国寿养老红利基础设施债权投资计划型养老金产品"/>
    <s v="单一计划"/>
    <n v="6109.65"/>
    <x v="4"/>
  </r>
  <r>
    <d v="2020-08-31T00:00:00"/>
    <m/>
    <s v="工行安徽中烟工业有限责任公司企业年金计划国寿组合"/>
    <s v="国寿养老红利基础设施债权投资计划型养老金产品"/>
    <s v="单一计划"/>
    <n v="2636.72"/>
    <x v="4"/>
  </r>
  <r>
    <d v="2020-08-31T00:00:00"/>
    <m/>
    <s v="交行安徽省徽商集团有限公司企业年金计划国寿组合"/>
    <s v="国寿养老红利基础设施债权投资计划型养老金产品"/>
    <s v="单一计划"/>
    <n v="1579.95"/>
    <x v="4"/>
  </r>
  <r>
    <d v="2020-08-31T00:00:00"/>
    <m/>
    <s v="工行中铁四局集团有限公司企业年金计划国寿组合"/>
    <s v="国寿养老红利基础设施债权投资计划型养老金产品"/>
    <s v="单一计划"/>
    <n v="3873.5"/>
    <x v="4"/>
  </r>
  <r>
    <d v="2020-08-31T00:00:00"/>
    <m/>
    <s v="中行淮南矿业（集团）有限责任公司企业年金计划海富通组合"/>
    <s v="国寿养老红利基础设施债权投资计划型养老金产品"/>
    <s v="单一计划"/>
    <n v="12755.95"/>
    <x v="4"/>
  </r>
  <r>
    <d v="2020-08-31T00:00:00"/>
    <m/>
    <s v="中行淮南矿业（集团）有限责任公司企业年金计划受托直投（国寿）"/>
    <s v="国寿养老红利基础设施债权投资计划型养老金产品"/>
    <s v="单一计划"/>
    <n v="11880"/>
    <x v="4"/>
  </r>
  <r>
    <d v="2020-08-31T00:00:00"/>
    <m/>
    <s v="中行安徽省皖北煤电集团有限责任公司企业年金计划国寿债权组合"/>
    <s v="国寿养老红利基础设施债权投资计划型养老金产品"/>
    <s v="单一计划"/>
    <n v="9142.5499999999993"/>
    <x v="4"/>
  </r>
  <r>
    <d v="2020-08-31T00:00:00"/>
    <m/>
    <s v="光大中国烟草总公司安徽省公司企业年金计划平安固收组合"/>
    <s v="国寿养老红利基础设施债权投资计划型养老金产品"/>
    <s v="单一计划"/>
    <n v="14287.13"/>
    <x v="4"/>
  </r>
  <r>
    <d v="2020-08-31T00:00:00"/>
    <m/>
    <s v="中行国网安徽省电力公司企业年金计划养老金专户平安组合"/>
    <s v="国寿养老红利基础设施债权投资计划型养老金产品"/>
    <s v="单一计划"/>
    <n v="2464.7199999999998"/>
    <x v="4"/>
  </r>
  <r>
    <d v="2020-08-31T00:00:00"/>
    <m/>
    <s v="中行马钢（集团）控股有限公司企业年金计划海富通组合"/>
    <s v="国寿养老红利基础设施债权投资计划型养老金产品"/>
    <s v="单一计划"/>
    <n v="4086.26"/>
    <x v="4"/>
  </r>
  <r>
    <d v="2020-08-31T00:00:00"/>
    <m/>
    <s v="工行铜陵有色金属集团控股有限公司企业年金计划海富通组合"/>
    <s v="国寿养老红利基础设施债权投资计划型养老金产品"/>
    <s v="单一计划"/>
    <n v="2411.35"/>
    <x v="4"/>
  </r>
  <r>
    <d v="2020-08-31T00:00:00"/>
    <m/>
    <s v="工商银行海航集团有限公司企业年金计划海富通组合"/>
    <s v="国寿养老红利基础设施债权投资计划型养老金产品"/>
    <s v="单一计划"/>
    <n v="2411.35"/>
    <x v="4"/>
  </r>
  <r>
    <d v="2020-08-31T00:00:00"/>
    <m/>
    <s v="中国银行淮北矿业（集团）有限责任公司企业年金计划海富通组合"/>
    <s v="国寿养老红利基础设施债权投资计划型养老金产品"/>
    <s v="单一计划"/>
    <n v="9626.7800000000007"/>
    <x v="4"/>
  </r>
  <r>
    <d v="2020-08-31T00:00:00"/>
    <m/>
    <s v="工行安徽中烟工业有限责任公司企业年金计划海富通组合"/>
    <s v="国寿养老红利基础设施债权投资计划型养老金产品"/>
    <s v="单一计划"/>
    <n v="1929.08"/>
    <x v="4"/>
  </r>
  <r>
    <d v="2020-08-31T00:00:00"/>
    <m/>
    <s v="安徽省壹号职业年金计划国寿组合"/>
    <s v="国寿养老红利基础设施债权投资计划型养老金产品"/>
    <s v="职业年金"/>
    <n v="35942.079999999994"/>
    <x v="4"/>
  </r>
  <r>
    <d v="2020-08-31T00:00:00"/>
    <m/>
    <s v="安徽省肆号职业年金计划国寿组合"/>
    <s v="国寿养老红利基础设施债权投资计划型养老金产品"/>
    <s v="职业年金"/>
    <n v="30543.890000000003"/>
    <x v="4"/>
  </r>
  <r>
    <d v="2020-08-31T00:00:00"/>
    <m/>
    <s v="农行安徽古井集团有限责任公司企业年金计划国寿组合"/>
    <s v="国寿养老红利基础设施债权投资计划型养老金产品"/>
    <s v="单一计划"/>
    <n v="1193.48"/>
    <x v="4"/>
  </r>
  <r>
    <d v="2020-08-31T00:00:00"/>
    <m/>
    <s v="民生安徽省玖号职业年金计划国寿组合"/>
    <s v="国寿养老红利基础设施债权投资计划型养老金产品"/>
    <s v="职业年金"/>
    <n v="10699.13"/>
    <x v="4"/>
  </r>
  <r>
    <d v="2020-08-31T00:00:00"/>
    <s v="CL0008"/>
    <s v="永诚"/>
    <s v="国寿养老红利信托产品型养老金产品"/>
    <s v="集合计划"/>
    <n v="1785.58"/>
    <x v="5"/>
  </r>
  <r>
    <d v="2020-08-31T00:00:00"/>
    <m/>
    <s v="永丰"/>
    <s v="国寿养老红利信托产品型养老金产品"/>
    <s v="集合计划"/>
    <n v="9793.16"/>
    <x v="5"/>
  </r>
  <r>
    <d v="2020-08-31T00:00:00"/>
    <m/>
    <s v="永福"/>
    <s v="国寿养老红利信托产品型养老金产品"/>
    <s v="集合计划"/>
    <n v="66.63"/>
    <x v="5"/>
  </r>
  <r>
    <d v="2020-08-31T00:00:00"/>
    <m/>
    <s v="永乐"/>
    <s v="国寿养老红利信托产品型养老金产品"/>
    <s v="集合计划"/>
    <n v="34.630000000000003"/>
    <x v="5"/>
  </r>
  <r>
    <d v="2020-08-31T00:00:00"/>
    <m/>
    <s v="永睿"/>
    <s v="国寿养老红利信托产品型养老金产品"/>
    <s v="集合计划"/>
    <n v="2707.73"/>
    <x v="5"/>
  </r>
  <r>
    <d v="2020-08-31T00:00:00"/>
    <m/>
    <s v="永通"/>
    <s v="国寿养老红利信托产品型养老金产品"/>
    <s v="集合计划"/>
    <n v="978.81"/>
    <x v="5"/>
  </r>
  <r>
    <d v="2020-08-31T00:00:00"/>
    <m/>
    <s v="永祥"/>
    <s v="国寿养老红利信托产品型养老金产品"/>
    <s v="集合计划"/>
    <n v="9.74"/>
    <x v="5"/>
  </r>
  <r>
    <d v="2020-08-31T00:00:00"/>
    <m/>
    <s v="永颐"/>
    <s v="国寿养老红利信托产品型养老金产品"/>
    <s v="集合计划"/>
    <n v="496.02"/>
    <x v="5"/>
  </r>
  <r>
    <d v="2020-08-31T00:00:00"/>
    <m/>
    <s v="中行安徽省皖北煤电集团有限责任公司企业年金计划国寿组合"/>
    <s v="国寿养老红利信托产品型养老金产品"/>
    <s v="单一计划"/>
    <n v="2451.5500000000002"/>
    <x v="5"/>
  </r>
  <r>
    <d v="2020-08-31T00:00:00"/>
    <m/>
    <s v="工行安徽省高速公路控股集团有限公司企业年金计划国寿组合"/>
    <s v="国寿养老红利信托产品型养老金产品"/>
    <s v="单一计划"/>
    <n v="2642.45"/>
    <x v="5"/>
  </r>
  <r>
    <d v="2020-08-31T00:00:00"/>
    <m/>
    <s v="工行安徽中烟工业有限责任公司企业年金计划国寿组合"/>
    <s v="国寿养老红利信托产品型养老金产品"/>
    <s v="单一计划"/>
    <n v="6525.68"/>
    <x v="5"/>
  </r>
  <r>
    <d v="2020-08-31T00:00:00"/>
    <m/>
    <s v="光大中国烟草总公司安徽省公司企业年金计划国寿组合"/>
    <s v="国寿养老红利信托产品型养老金产品"/>
    <s v="单一计划"/>
    <n v="307.33999999999997"/>
    <x v="5"/>
  </r>
  <r>
    <d v="2020-08-31T00:00:00"/>
    <m/>
    <s v="交行安徽省徽商集团有限公司企业年金计划国寿组合"/>
    <s v="国寿养老红利信托产品型养老金产品"/>
    <s v="单一计划"/>
    <n v="730.77"/>
    <x v="5"/>
  </r>
  <r>
    <d v="2020-08-31T00:00:00"/>
    <m/>
    <s v="工行中铁四局集团有限公司企业年金计划国寿组合"/>
    <s v="国寿养老红利信托产品型养老金产品"/>
    <s v="单一计划"/>
    <n v="3012.76"/>
    <x v="5"/>
  </r>
  <r>
    <d v="2020-08-31T00:00:00"/>
    <m/>
    <s v="工行铜陵有色金属集团控股有限公司企业年金计划受托直投（国寿）"/>
    <s v="国寿养老红利信托产品型养老金产品"/>
    <s v="单一计划"/>
    <n v="2269.46"/>
    <x v="5"/>
  </r>
  <r>
    <d v="2020-08-31T00:00:00"/>
    <m/>
    <s v="中行国网安徽省电力公司企业年金计划国寿组合"/>
    <s v="国寿养老红利信托产品型养老金产品"/>
    <s v="单一计划"/>
    <n v="14843.12"/>
    <x v="5"/>
  </r>
  <r>
    <d v="2020-08-31T00:00:00"/>
    <m/>
    <s v="中行国网安徽省电力公司企业年金计划养老金专户平安组合"/>
    <s v="国寿养老红利信托产品型养老金产品"/>
    <s v="单一计划"/>
    <n v="1185.01"/>
    <x v="5"/>
  </r>
  <r>
    <d v="2020-08-31T00:00:00"/>
    <m/>
    <s v="光大银行安徽新华传媒股份有限公司企业年金计划受托直投（国寿）"/>
    <s v="国寿养老红利信托产品型养老金产品"/>
    <s v="单一计划"/>
    <n v="1814.25"/>
    <x v="5"/>
  </r>
  <r>
    <d v="2020-08-31T00:00:00"/>
    <m/>
    <s v="招行深圳市机场（集团）有限公司企业年金计划受托直投（泰康养老）"/>
    <s v="国寿养老红利信托产品型养老金产品"/>
    <s v="单一计划"/>
    <n v="185.68"/>
    <x v="5"/>
  </r>
  <r>
    <d v="2020-08-31T00:00:00"/>
    <m/>
    <s v="中国银行河钢股份有限公司唐山分公司企业年金计划（嘉实）"/>
    <s v="国寿养老红利信托产品型养老金产品"/>
    <s v="单一计划"/>
    <n v="1525.16"/>
    <x v="5"/>
  </r>
  <r>
    <d v="2020-08-31T00:00:00"/>
    <m/>
    <s v="安徽省壹号职业年金计划国寿组合"/>
    <s v="国寿养老红利信托产品型养老金产品"/>
    <s v="职业年金"/>
    <n v="11107.98"/>
    <x v="5"/>
  </r>
  <r>
    <d v="2020-08-31T00:00:00"/>
    <m/>
    <s v="安徽省壹号职业年金计划国寿信托组合"/>
    <s v="国寿养老红利信托产品型养老金产品"/>
    <s v="职业年金"/>
    <n v="385677.23"/>
    <x v="5"/>
  </r>
  <r>
    <d v="2020-08-31T00:00:00"/>
    <m/>
    <s v="安徽省肆号职业年金计划国寿组合"/>
    <s v="国寿养老红利信托产品型养老金产品"/>
    <s v="职业年金"/>
    <n v="6486.23"/>
    <x v="5"/>
  </r>
  <r>
    <d v="2020-08-31T00:00:00"/>
    <m/>
    <s v="农行安徽古井集团有限责任公司企业年金计划国寿组合"/>
    <s v="国寿养老红利信托产品型养老金产品"/>
    <s v="单一计划"/>
    <n v="2230.5100000000002"/>
    <x v="5"/>
  </r>
  <r>
    <d v="2020-08-31T00:00:00"/>
    <m/>
    <s v="民生安徽省玖号职业年金计划国寿组合"/>
    <s v="国寿养老红利信托产品型养老金产品"/>
    <s v="职业年金"/>
    <n v="5467.33"/>
    <x v="5"/>
  </r>
  <r>
    <d v="2020-08-31T00:00:00"/>
    <s v="CL0010"/>
    <s v="永诚"/>
    <s v="国寿养老红泰优先股型养老金产品（1期）"/>
    <s v="集合计划"/>
    <n v="46.48"/>
    <x v="6"/>
  </r>
  <r>
    <d v="2020-08-31T00:00:00"/>
    <m/>
    <s v="永丰"/>
    <s v="国寿养老红泰优先股型养老金产品（1期）"/>
    <s v="集合计划"/>
    <n v="0.87"/>
    <x v="6"/>
  </r>
  <r>
    <d v="2020-08-31T00:00:00"/>
    <m/>
    <s v="永福"/>
    <s v="国寿养老红泰优先股型养老金产品（1期）"/>
    <s v="集合计划"/>
    <n v="1.01"/>
    <x v="6"/>
  </r>
  <r>
    <d v="2020-08-31T00:00:00"/>
    <m/>
    <s v="永睿"/>
    <s v="国寿养老红泰优先股型养老金产品（1期）"/>
    <s v="集合计划"/>
    <n v="38.64"/>
    <x v="6"/>
  </r>
  <r>
    <d v="2020-08-31T00:00:00"/>
    <m/>
    <s v="永通"/>
    <s v="国寿养老红泰优先股型养老金产品（1期）"/>
    <s v="集合计划"/>
    <n v="23.99"/>
    <x v="6"/>
  </r>
  <r>
    <d v="2020-08-31T00:00:00"/>
    <m/>
    <s v="永祥"/>
    <s v="国寿养老红泰优先股型养老金产品（1期）"/>
    <s v="集合计划"/>
    <n v="0.83"/>
    <x v="6"/>
  </r>
  <r>
    <d v="2020-08-31T00:00:00"/>
    <m/>
    <s v="永颐"/>
    <s v="国寿养老红泰优先股型养老金产品（1期）"/>
    <s v="集合计划"/>
    <n v="17.399999999999999"/>
    <x v="6"/>
  </r>
  <r>
    <d v="2020-08-31T00:00:00"/>
    <s v="CL0011"/>
    <s v="永诚"/>
    <s v="国寿养老现金增利货币型养老金产品"/>
    <s v="集合计划"/>
    <n v="466.45"/>
    <x v="7"/>
  </r>
  <r>
    <d v="2020-08-31T00:00:00"/>
    <m/>
    <s v="永丰"/>
    <s v="国寿养老现金增利货币型养老金产品"/>
    <s v="集合计划"/>
    <n v="3810.77"/>
    <x v="7"/>
  </r>
  <r>
    <d v="2020-08-31T00:00:00"/>
    <m/>
    <s v="永福"/>
    <s v="国寿养老现金增利货币型养老金产品"/>
    <s v="集合计划"/>
    <n v="84.17"/>
    <x v="7"/>
  </r>
  <r>
    <d v="2020-08-31T00:00:00"/>
    <m/>
    <s v="永乐"/>
    <s v="国寿养老现金增利货币型养老金产品"/>
    <s v="集合计划"/>
    <n v="63.72"/>
    <x v="7"/>
  </r>
  <r>
    <d v="2020-08-31T00:00:00"/>
    <m/>
    <s v="永睿"/>
    <s v="国寿养老现金增利货币型养老金产品"/>
    <s v="集合计划"/>
    <n v="764.39"/>
    <x v="7"/>
  </r>
  <r>
    <d v="2020-08-31T00:00:00"/>
    <m/>
    <s v="永通"/>
    <s v="国寿养老现金增利货币型养老金产品"/>
    <s v="集合计划"/>
    <n v="532.17999999999995"/>
    <x v="7"/>
  </r>
  <r>
    <d v="2020-08-31T00:00:00"/>
    <m/>
    <s v="永祥"/>
    <s v="国寿养老现金增利货币型养老金产品"/>
    <s v="集合计划"/>
    <n v="8.14"/>
    <x v="7"/>
  </r>
  <r>
    <d v="2020-08-31T00:00:00"/>
    <m/>
    <s v="永颐"/>
    <s v="国寿养老现金增利货币型养老金产品"/>
    <s v="集合计划"/>
    <n v="432.12"/>
    <x v="7"/>
  </r>
  <r>
    <d v="2020-08-31T00:00:00"/>
    <m/>
    <s v="中行安徽省皖北煤电集团有限责任公司企业年金计划国寿组合"/>
    <s v="国寿养老现金增利货币型养老金产品"/>
    <s v="单一计划"/>
    <n v="1780.61"/>
    <x v="7"/>
  </r>
  <r>
    <d v="2020-08-31T00:00:00"/>
    <m/>
    <s v="光大中国烟草总公司安徽省公司企业年金计划国寿组合"/>
    <s v="国寿养老现金增利货币型养老金产品"/>
    <s v="单一计划"/>
    <n v="2377.8000000000002"/>
    <x v="7"/>
  </r>
  <r>
    <d v="2020-08-31T00:00:00"/>
    <m/>
    <s v="交行安徽省徽商集团有限公司企业年金计划国寿组合"/>
    <s v="国寿养老现金增利货币型养老金产品"/>
    <s v="单一计划"/>
    <n v="546.57000000000005"/>
    <x v="7"/>
  </r>
  <r>
    <d v="2020-08-31T00:00:00"/>
    <m/>
    <s v="工行中铁四局集团有限公司企业年金计划国寿组合"/>
    <s v="国寿养老现金增利货币型养老金产品"/>
    <s v="单一计划"/>
    <n v="1682.02"/>
    <x v="7"/>
  </r>
  <r>
    <d v="2020-08-31T00:00:00"/>
    <m/>
    <s v="中行淮南矿业（集团）有限责任公司企业年金计划受托直投（国寿）"/>
    <s v="国寿养老现金增利货币型养老金产品"/>
    <s v="单一计划"/>
    <n v="11797.95"/>
    <x v="7"/>
  </r>
  <r>
    <d v="2020-08-31T00:00:00"/>
    <m/>
    <s v="中行安徽省皖北煤电集团有限责任公司企业年金计划国寿债权组合"/>
    <s v="国寿养老现金增利货币型养老金产品"/>
    <s v="单一计划"/>
    <n v="935.07"/>
    <x v="7"/>
  </r>
  <r>
    <d v="2020-08-31T00:00:00"/>
    <m/>
    <s v="工行铜陵有色金属集团控股有限公司企业年金计划受托直投（国寿）"/>
    <s v="国寿养老现金增利货币型养老金产品"/>
    <s v="单一计划"/>
    <n v="984.98"/>
    <x v="7"/>
  </r>
  <r>
    <d v="2020-08-31T00:00:00"/>
    <m/>
    <s v="中行安徽省皖北煤电集团有限责任公司企业年金计划受托直投（国寿）"/>
    <s v="国寿养老现金增利货币型养老金产品"/>
    <s v="单一计划"/>
    <n v="569"/>
    <x v="7"/>
  </r>
  <r>
    <d v="2020-08-31T00:00:00"/>
    <m/>
    <s v="中行国网安徽省电力公司企业年金计划国寿组合"/>
    <s v="国寿养老现金增利货币型养老金产品"/>
    <s v="单一计划"/>
    <n v="9145.57"/>
    <x v="7"/>
  </r>
  <r>
    <d v="2020-08-31T00:00:00"/>
    <m/>
    <s v="光大银行安徽新华传媒股份有限公司企业年金计划受托直投（国寿）"/>
    <s v="国寿养老现金增利货币型养老金产品"/>
    <s v="单一计划"/>
    <n v="1132.8800000000001"/>
    <x v="7"/>
  </r>
  <r>
    <d v="2020-08-31T00:00:00"/>
    <m/>
    <s v="工行昆明铁路局企业年金计划海富通组合"/>
    <s v="国寿养老现金增利货币型养老金产品"/>
    <s v="单一计划"/>
    <n v="2140.4699999999998"/>
    <x v="7"/>
  </r>
  <r>
    <d v="2020-08-31T00:00:00"/>
    <m/>
    <s v="安徽省壹号职业年金计划国寿组合"/>
    <s v="国寿养老现金增利货币型养老金产品"/>
    <s v="职业年金"/>
    <n v="10052.290000000001"/>
    <x v="7"/>
  </r>
  <r>
    <d v="2020-08-31T00:00:00"/>
    <m/>
    <s v="安徽省肆号职业年金计划国寿组合"/>
    <s v="国寿养老现金增利货币型养老金产品"/>
    <s v="职业年金"/>
    <n v="8549.08"/>
    <x v="7"/>
  </r>
  <r>
    <d v="2020-08-31T00:00:00"/>
    <m/>
    <s v="农行安徽古井集团有限责任公司企业年金计划国寿组合"/>
    <s v="国寿养老现金增利货币型养老金产品"/>
    <s v="单一计划"/>
    <n v="1385.88"/>
    <x v="7"/>
  </r>
  <r>
    <d v="2020-08-31T00:00:00"/>
    <m/>
    <s v="民生安徽省玖号职业年金计划国寿组合"/>
    <s v="国寿养老现金增利货币型养老金产品"/>
    <s v="职业年金"/>
    <n v="2994.52"/>
    <x v="7"/>
  </r>
  <r>
    <d v="2020-08-31T00:00:00"/>
    <m/>
    <s v="中行徽商银行股份有限公司企业年金计划国寿组合"/>
    <s v="国寿养老现金增利货币型养老金产品"/>
    <s v="单一计划"/>
    <n v="4235.66"/>
    <x v="7"/>
  </r>
  <r>
    <d v="2020-08-31T00:00:00"/>
    <s v="CL0012"/>
    <s v="中信北京农村商业银行股份有限公司企业年金计划嘉实组合"/>
    <s v="国寿养老红利存款型养老金产品（1期）"/>
    <s v="单一计划"/>
    <n v="17104.71"/>
    <x v="8"/>
  </r>
  <r>
    <d v="2020-08-31T00:00:00"/>
    <m/>
    <s v="建行厦门港务控股集团有限公司企业年金计划嘉实组合"/>
    <s v="国寿养老红利存款型养老金产品（1期）"/>
    <s v="单一计划"/>
    <n v="4561.25"/>
    <x v="8"/>
  </r>
  <r>
    <d v="2020-08-31T00:00:00"/>
    <s v="CL0013"/>
    <s v="永丰"/>
    <s v="国寿养老质优稳利基础设施债权投资计划型养老金产品（1期）"/>
    <s v="集合计划"/>
    <n v="345.17"/>
    <x v="4"/>
  </r>
  <r>
    <d v="2020-08-31T00:00:00"/>
    <m/>
    <s v="永睿"/>
    <s v="国寿养老质优稳利基础设施债权投资计划型养老金产品（1期）"/>
    <s v="集合计划"/>
    <n v="176.12"/>
    <x v="4"/>
  </r>
  <r>
    <d v="2020-08-31T00:00:00"/>
    <s v="CL0014"/>
    <s v="永诚"/>
    <s v="国寿养老红泰优先股型养老金产品（2期）"/>
    <s v="集合计划"/>
    <n v="20.75"/>
    <x v="6"/>
  </r>
  <r>
    <d v="2020-08-31T00:00:00"/>
    <m/>
    <s v="永丰"/>
    <s v="国寿养老红泰优先股型养老金产品（2期）"/>
    <s v="集合计划"/>
    <n v="111.51"/>
    <x v="6"/>
  </r>
  <r>
    <d v="2020-08-31T00:00:00"/>
    <m/>
    <s v="永睿"/>
    <s v="国寿养老红泰优先股型养老金产品（2期）"/>
    <s v="集合计划"/>
    <n v="24.65"/>
    <x v="6"/>
  </r>
  <r>
    <d v="2020-08-31T00:00:00"/>
    <m/>
    <s v="永通"/>
    <s v="国寿养老红泰优先股型养老金产品（2期）"/>
    <s v="集合计划"/>
    <n v="9.49"/>
    <x v="6"/>
  </r>
  <r>
    <d v="2020-08-31T00:00:00"/>
    <s v="CL0016"/>
    <s v="永丰"/>
    <s v="国寿养老质优甄选信托产品型养老金产品（2期）"/>
    <s v="集合计划"/>
    <n v="404.38"/>
    <x v="5"/>
  </r>
  <r>
    <d v="2020-08-31T00:00:00"/>
    <m/>
    <s v="永睿"/>
    <s v="国寿养老质优甄选信托产品型养老金产品（2期）"/>
    <s v="集合计划"/>
    <n v="83.47"/>
    <x v="5"/>
  </r>
  <r>
    <d v="2020-08-31T00:00:00"/>
    <m/>
    <s v="永通"/>
    <s v="国寿养老质优甄选信托产品型养老金产品（2期）"/>
    <s v="集合计划"/>
    <n v="17.66"/>
    <x v="5"/>
  </r>
  <r>
    <d v="2020-08-31T00:00:00"/>
    <m/>
    <s v="永颐"/>
    <s v="国寿养老质优甄选信托产品型养老金产品（2期）"/>
    <s v="集合计划"/>
    <n v="18.28"/>
    <x v="5"/>
  </r>
  <r>
    <d v="2020-08-31T00:00:00"/>
    <m/>
    <s v="交行安徽省徽商集团有限公司企业年金计划国寿组合"/>
    <s v="国寿养老质优甄选信托产品型养老金产品（2期）"/>
    <s v="单一计划"/>
    <n v="163.34"/>
    <x v="5"/>
  </r>
  <r>
    <d v="2020-08-31T00:00:00"/>
    <s v="CL0020"/>
    <s v="永丰"/>
    <s v="国寿养老策略成长混合型养老金产品"/>
    <s v="集合计划"/>
    <n v="68.44"/>
    <x v="2"/>
  </r>
  <r>
    <d v="2020-08-31T00:00:00"/>
    <m/>
    <s v="永睿"/>
    <s v="国寿养老策略成长混合型养老金产品"/>
    <s v="集合计划"/>
    <n v="550.04"/>
    <x v="2"/>
  </r>
  <r>
    <d v="2020-08-31T00:00:00"/>
    <m/>
    <s v="永祥"/>
    <s v="国寿养老策略成长混合型养老金产品"/>
    <s v="集合计划"/>
    <n v="8.11"/>
    <x v="2"/>
  </r>
  <r>
    <d v="2020-08-31T00:00:00"/>
    <m/>
    <s v="永颐"/>
    <s v="国寿养老策略成长混合型养老金产品"/>
    <s v="集合计划"/>
    <n v="45.9"/>
    <x v="2"/>
  </r>
  <r>
    <d v="2020-08-31T00:00:00"/>
    <m/>
    <s v="中行安徽省皖北煤电集团有限责任公司企业年金计划国寿组合"/>
    <s v="国寿养老策略成长混合型养老金产品"/>
    <s v="单一计划"/>
    <n v="3957.39"/>
    <x v="2"/>
  </r>
  <r>
    <d v="2020-08-31T00:00:00"/>
    <m/>
    <s v="中行淮南矿业（集团）有限责任公司企业年金计划受托直投（国寿）"/>
    <s v="国寿养老策略成长混合型养老金产品"/>
    <s v="单一计划"/>
    <n v="5825.26"/>
    <x v="2"/>
  </r>
  <r>
    <d v="2020-08-31T00:00:00"/>
    <m/>
    <s v="安徽省壹号职业年金计划国寿信托组合"/>
    <s v="国寿养老策略成长混合型养老金产品"/>
    <s v="职业年金"/>
    <n v="19210.04"/>
    <x v="2"/>
  </r>
  <r>
    <d v="2020-08-31T00:00:00"/>
    <s v="CL0021"/>
    <s v="永诚"/>
    <s v="国寿养老策略优选股票型养老金产品"/>
    <s v="集合计划"/>
    <n v="188.55"/>
    <x v="0"/>
  </r>
  <r>
    <d v="2020-08-31T00:00:00"/>
    <m/>
    <s v="永丰"/>
    <s v="国寿养老策略优选股票型养老金产品"/>
    <s v="集合计划"/>
    <n v="26944.54"/>
    <x v="0"/>
  </r>
  <r>
    <d v="2020-08-31T00:00:00"/>
    <m/>
    <s v="永乐"/>
    <s v="国寿养老策略优选股票型养老金产品"/>
    <s v="集合计划"/>
    <n v="25.65"/>
    <x v="0"/>
  </r>
  <r>
    <d v="2020-08-31T00:00:00"/>
    <m/>
    <s v="永睿"/>
    <s v="国寿养老策略优选股票型养老金产品"/>
    <s v="集合计划"/>
    <n v="132.18"/>
    <x v="0"/>
  </r>
  <r>
    <d v="2020-08-31T00:00:00"/>
    <m/>
    <s v="中行淮南矿业（集团）有限责任公司企业年金计划受托直投（国寿）"/>
    <s v="国寿养老策略优选股票型养老金产品"/>
    <s v="单一计划"/>
    <n v="2043.31"/>
    <x v="0"/>
  </r>
  <r>
    <d v="2020-08-31T00:00:00"/>
    <s v="CL0022"/>
    <s v="永诚"/>
    <s v="国寿养老研究精选股票型养老金产品"/>
    <s v="集合计划"/>
    <n v="3308.31"/>
    <x v="0"/>
  </r>
  <r>
    <d v="2020-08-31T00:00:00"/>
    <m/>
    <s v="永丰"/>
    <s v="国寿养老研究精选股票型养老金产品"/>
    <s v="集合计划"/>
    <n v="5624.64"/>
    <x v="0"/>
  </r>
  <r>
    <d v="2020-08-31T00:00:00"/>
    <m/>
    <s v="永睿"/>
    <s v="国寿养老研究精选股票型养老金产品"/>
    <s v="集合计划"/>
    <n v="7.82"/>
    <x v="0"/>
  </r>
  <r>
    <d v="2020-08-31T00:00:00"/>
    <m/>
    <s v="光大中国烟草总公司安徽省公司企业年金计划国寿组合"/>
    <s v="国寿养老研究精选股票型养老金产品"/>
    <s v="单一计划"/>
    <n v="3012.07"/>
    <x v="0"/>
  </r>
  <r>
    <d v="2020-08-31T00:00:00"/>
    <m/>
    <s v="中行淮南矿业（集团）有限责任公司企业年金计划受托直投（国寿）"/>
    <s v="国寿养老研究精选股票型养老金产品"/>
    <s v="单一计划"/>
    <n v="2358.65"/>
    <x v="0"/>
  </r>
  <r>
    <d v="2020-08-31T00:00:00"/>
    <s v="CL0024"/>
    <s v="永丰"/>
    <s v="国寿养老质优稳利基础设施债权投资计划型养老金产品（2期）"/>
    <s v="集合计划"/>
    <n v="444.39"/>
    <x v="4"/>
  </r>
  <r>
    <d v="2020-08-31T00:00:00"/>
    <m/>
    <s v="永睿"/>
    <s v="国寿养老质优稳利基础设施债权投资计划型养老金产品（2期）"/>
    <s v="集合计划"/>
    <n v="157.47"/>
    <x v="4"/>
  </r>
  <r>
    <d v="2020-08-31T00:00:00"/>
    <m/>
    <s v="永颐"/>
    <s v="国寿养老质优稳利基础设施债权投资计划型养老金产品（2期）"/>
    <s v="集合计划"/>
    <n v="42.84"/>
    <x v="4"/>
  </r>
  <r>
    <d v="2020-08-31T00:00:00"/>
    <s v="CL0025"/>
    <s v="永诚"/>
    <s v="国寿养老红信固定收益型养老金产品"/>
    <s v="集合计划"/>
    <n v="425.94"/>
    <x v="3"/>
  </r>
  <r>
    <d v="2020-08-31T00:00:00"/>
    <m/>
    <s v="永丰"/>
    <s v="国寿养老红信固定收益型养老金产品"/>
    <s v="集合计划"/>
    <n v="960.85"/>
    <x v="3"/>
  </r>
  <r>
    <d v="2020-08-31T00:00:00"/>
    <m/>
    <s v="永乐"/>
    <s v="国寿养老红信固定收益型养老金产品"/>
    <s v="集合计划"/>
    <n v="37.270000000000003"/>
    <x v="3"/>
  </r>
  <r>
    <d v="2020-08-31T00:00:00"/>
    <m/>
    <s v="永睿"/>
    <s v="国寿养老红信固定收益型养老金产品"/>
    <s v="集合计划"/>
    <n v="35.229999999999997"/>
    <x v="3"/>
  </r>
  <r>
    <d v="2020-08-31T00:00:00"/>
    <m/>
    <s v="永通"/>
    <s v="国寿养老红信固定收益型养老金产品"/>
    <s v="集合计划"/>
    <n v="699.09"/>
    <x v="3"/>
  </r>
  <r>
    <d v="2020-08-31T00:00:00"/>
    <m/>
    <s v="永祥"/>
    <s v="国寿养老红信固定收益型养老金产品"/>
    <s v="集合计划"/>
    <n v="14.82"/>
    <x v="3"/>
  </r>
  <r>
    <d v="2020-08-31T00:00:00"/>
    <m/>
    <s v="永颐"/>
    <s v="国寿养老红信固定收益型养老金产品"/>
    <s v="集合计划"/>
    <n v="451.05"/>
    <x v="3"/>
  </r>
  <r>
    <d v="2020-08-31T00:00:00"/>
    <m/>
    <s v="工行安徽省高速公路控股集团有限公司企业年金计划国寿组合"/>
    <s v="国寿养老红信固定收益型养老金产品"/>
    <s v="单一计划"/>
    <n v="3257.59"/>
    <x v="3"/>
  </r>
  <r>
    <d v="2020-08-31T00:00:00"/>
    <m/>
    <s v="工行安徽中烟工业有限责任公司企业年金计划国寿组合"/>
    <s v="国寿养老红信固定收益型养老金产品"/>
    <s v="单一计划"/>
    <n v="11245.11"/>
    <x v="3"/>
  </r>
  <r>
    <d v="2020-08-31T00:00:00"/>
    <m/>
    <s v="交行安徽省徽商集团有限公司企业年金计划国寿组合"/>
    <s v="国寿养老红信固定收益型养老金产品"/>
    <s v="单一计划"/>
    <n v="2495.81"/>
    <x v="3"/>
  </r>
  <r>
    <d v="2020-08-31T00:00:00"/>
    <m/>
    <s v="工行中铁四局集团有限公司企业年金计划国寿组合"/>
    <s v="国寿养老红信固定收益型养老金产品"/>
    <s v="单一计划"/>
    <n v="4682.1400000000003"/>
    <x v="3"/>
  </r>
  <r>
    <d v="2020-08-31T00:00:00"/>
    <m/>
    <s v="农行安徽古井集团有限责任公司企业年金计划国寿组合"/>
    <s v="国寿养老红信固定收益型养老金产品"/>
    <s v="单一计划"/>
    <n v="254.2"/>
    <x v="3"/>
  </r>
  <r>
    <d v="2020-08-31T00:00:00"/>
    <s v="CL0026"/>
    <s v="永诚"/>
    <s v="国寿养老红义固定收益型养老金产品"/>
    <s v="集合计划"/>
    <n v="2779.38"/>
    <x v="3"/>
  </r>
  <r>
    <d v="2020-08-31T00:00:00"/>
    <m/>
    <s v="永丰"/>
    <s v="国寿养老红义固定收益型养老金产品"/>
    <s v="集合计划"/>
    <n v="5731.19"/>
    <x v="3"/>
  </r>
  <r>
    <d v="2020-08-31T00:00:00"/>
    <m/>
    <s v="永乐"/>
    <s v="国寿养老红义固定收益型养老金产品"/>
    <s v="集合计划"/>
    <n v="64.63"/>
    <x v="3"/>
  </r>
  <r>
    <d v="2020-08-31T00:00:00"/>
    <m/>
    <s v="永睿"/>
    <s v="国寿养老红义固定收益型养老金产品"/>
    <s v="集合计划"/>
    <n v="145.72999999999999"/>
    <x v="3"/>
  </r>
  <r>
    <d v="2020-08-31T00:00:00"/>
    <m/>
    <s v="永通"/>
    <s v="国寿养老红义固定收益型养老金产品"/>
    <s v="集合计划"/>
    <n v="2112.29"/>
    <x v="3"/>
  </r>
  <r>
    <d v="2020-08-31T00:00:00"/>
    <m/>
    <s v="永祥"/>
    <s v="国寿养老红义固定收益型养老金产品"/>
    <s v="集合计划"/>
    <n v="10.46"/>
    <x v="3"/>
  </r>
  <r>
    <d v="2020-08-31T00:00:00"/>
    <m/>
    <s v="永颐"/>
    <s v="国寿养老红义固定收益型养老金产品"/>
    <s v="集合计划"/>
    <n v="281.89999999999998"/>
    <x v="3"/>
  </r>
  <r>
    <d v="2020-08-31T00:00:00"/>
    <m/>
    <s v="中行安徽省皖北煤电集团有限责任公司企业年金计划国寿组合"/>
    <s v="国寿养老红义固定收益型养老金产品"/>
    <s v="单一计划"/>
    <n v="17028.62"/>
    <x v="3"/>
  </r>
  <r>
    <d v="2020-08-31T00:00:00"/>
    <m/>
    <s v="工行安徽省高速公路控股集团有限公司企业年金计划国寿组合"/>
    <s v="国寿养老红义固定收益型养老金产品"/>
    <s v="单一计划"/>
    <n v="694.92"/>
    <x v="3"/>
  </r>
  <r>
    <d v="2020-08-31T00:00:00"/>
    <m/>
    <s v="工行安徽中烟工业有限责任公司企业年金计划国寿组合"/>
    <s v="国寿养老红义固定收益型养老金产品"/>
    <s v="单一计划"/>
    <n v="3144.58"/>
    <x v="3"/>
  </r>
  <r>
    <d v="2020-08-31T00:00:00"/>
    <m/>
    <s v="交行安徽省徽商集团有限公司企业年金计划国寿组合"/>
    <s v="国寿养老红义固定收益型养老金产品"/>
    <s v="单一计划"/>
    <n v="2374.31"/>
    <x v="3"/>
  </r>
  <r>
    <d v="2020-08-31T00:00:00"/>
    <m/>
    <s v="工行铜陵有色金属集团控股有限公司企业年金计划受托直投（国寿）"/>
    <s v="国寿养老红义固定收益型养老金产品"/>
    <s v="单一计划"/>
    <n v="408.14"/>
    <x v="3"/>
  </r>
  <r>
    <d v="2020-08-31T00:00:00"/>
    <m/>
    <s v="中行国网安徽省电力公司企业年金计划养老金专户平安组合"/>
    <s v="国寿养老红义固定收益型养老金产品"/>
    <s v="单一计划"/>
    <n v="10047.66"/>
    <x v="3"/>
  </r>
  <r>
    <d v="2020-08-31T00:00:00"/>
    <m/>
    <s v="光大银行安徽新华传媒股份有限公司企业年金计划受托直投（国寿）"/>
    <s v="国寿养老红义固定收益型养老金产品"/>
    <s v="单一计划"/>
    <n v="807.92"/>
    <x v="3"/>
  </r>
  <r>
    <d v="2020-08-31T00:00:00"/>
    <m/>
    <s v="农行安徽古井集团有限责任公司企业年金计划国寿组合"/>
    <s v="国寿养老红义固定收益型养老金产品"/>
    <s v="单一计划"/>
    <n v="281.41000000000003"/>
    <x v="3"/>
  </r>
  <r>
    <d v="2020-08-31T00:00:00"/>
    <m/>
    <s v="中行徽商银行股份有限公司企业年金计划国寿组合"/>
    <s v="国寿养老红义固定收益型养老金产品"/>
    <s v="单一计划"/>
    <n v="26653.74"/>
    <x v="3"/>
  </r>
  <r>
    <d v="2020-08-31T00:00:00"/>
    <s v="CL0027"/>
    <s v="永乐"/>
    <s v="国寿养老红仁固定收益型养老金产品"/>
    <s v="集合计划"/>
    <n v="48.57"/>
    <x v="3"/>
  </r>
  <r>
    <d v="2020-08-31T00:00:00"/>
    <m/>
    <s v="永睿"/>
    <s v="国寿养老红仁固定收益型养老金产品"/>
    <s v="集合计划"/>
    <n v="2233.27"/>
    <x v="3"/>
  </r>
  <r>
    <d v="2020-08-31T00:00:00"/>
    <m/>
    <s v="工行安徽省高速公路控股集团有限公司企业年金计划国寿组合"/>
    <s v="国寿养老红仁固定收益型养老金产品"/>
    <s v="单一计划"/>
    <n v="7823.96"/>
    <x v="3"/>
  </r>
  <r>
    <d v="2020-08-31T00:00:00"/>
    <m/>
    <s v="光大中国烟草总公司安徽省公司企业年金计划国寿组合"/>
    <s v="国寿养老红仁固定收益型养老金产品"/>
    <s v="单一计划"/>
    <n v="11593.87"/>
    <x v="3"/>
  </r>
  <r>
    <d v="2020-08-31T00:00:00"/>
    <m/>
    <s v="光大银行安徽新华传媒股份有限公司企业年金计划受托直投（国寿）"/>
    <s v="国寿养老红仁固定收益型养老金产品"/>
    <s v="单一计划"/>
    <n v="700.71"/>
    <x v="3"/>
  </r>
  <r>
    <d v="2020-08-31T00:00:00"/>
    <s v="CL0033"/>
    <s v="永福"/>
    <s v="国寿养老配置1号混合型养老金产品"/>
    <s v="集合计划"/>
    <n v="325.11"/>
    <x v="2"/>
  </r>
  <r>
    <d v="2020-08-31T00:00:00"/>
    <m/>
    <s v="安徽省壹号职业年金计划国寿组合"/>
    <s v="国寿养老配置1号混合型养老金产品"/>
    <s v="职业年金"/>
    <n v="35854.269999999997"/>
    <x v="2"/>
  </r>
  <r>
    <d v="2020-08-31T00:00:00"/>
    <m/>
    <s v="安徽省壹号职业年金计划国寿信托组合"/>
    <s v="国寿养老配置1号混合型养老金产品"/>
    <s v="职业年金"/>
    <n v="23109.3"/>
    <x v="2"/>
  </r>
  <r>
    <d v="2020-08-31T00:00:00"/>
    <m/>
    <s v="安徽省肆号职业年金计划国寿组合"/>
    <s v="国寿养老配置1号混合型养老金产品"/>
    <s v="职业年金"/>
    <n v="27871.300000000003"/>
    <x v="2"/>
  </r>
  <r>
    <d v="2020-08-31T00:00:00"/>
    <m/>
    <s v="民生安徽省玖号职业年金计划国寿组合"/>
    <s v="国寿养老配置1号混合型养老金产品"/>
    <s v="职业年金"/>
    <n v="8811.66"/>
    <x v="2"/>
  </r>
  <r>
    <d v="2020-08-31T00:00:00"/>
    <s v="CL0034"/>
    <s v="永诚"/>
    <s v="国寿养老配置2号混合型养老金产品"/>
    <s v="集合计划"/>
    <n v="785.47"/>
    <x v="2"/>
  </r>
  <r>
    <d v="2020-08-31T00:00:00"/>
    <m/>
    <s v="永丰"/>
    <s v="国寿养老配置2号混合型养老金产品"/>
    <s v="集合计划"/>
    <n v="3931.66"/>
    <x v="2"/>
  </r>
  <r>
    <d v="2020-08-31T00:00:00"/>
    <m/>
    <s v="永福"/>
    <s v="国寿养老配置2号混合型养老金产品"/>
    <s v="集合计划"/>
    <n v="2.74"/>
    <x v="2"/>
  </r>
  <r>
    <d v="2020-08-31T00:00:00"/>
    <m/>
    <s v="永睿"/>
    <s v="国寿养老配置2号混合型养老金产品"/>
    <s v="集合计划"/>
    <n v="444.24"/>
    <x v="2"/>
  </r>
  <r>
    <d v="2020-08-31T00:00:00"/>
    <m/>
    <s v="永通"/>
    <s v="国寿养老配置2号混合型养老金产品"/>
    <s v="集合计划"/>
    <n v="319.77999999999997"/>
    <x v="2"/>
  </r>
  <r>
    <d v="2020-08-31T00:00:00"/>
    <m/>
    <s v="永祥"/>
    <s v="国寿养老配置2号混合型养老金产品"/>
    <s v="集合计划"/>
    <n v="13.53"/>
    <x v="2"/>
  </r>
  <r>
    <d v="2020-08-31T00:00:00"/>
    <m/>
    <s v="工行安徽中烟工业有限责任公司企业年金计划国寿组合"/>
    <s v="国寿养老配置2号混合型养老金产品"/>
    <s v="单一计划"/>
    <n v="1471.43"/>
    <x v="2"/>
  </r>
  <r>
    <d v="2020-08-31T00:00:00"/>
    <m/>
    <s v="光大中国烟草总公司安徽省公司企业年金计划国寿组合"/>
    <s v="国寿养老配置2号混合型养老金产品"/>
    <s v="单一计划"/>
    <n v="2212.6799999999998"/>
    <x v="2"/>
  </r>
  <r>
    <d v="2020-08-31T00:00:00"/>
    <m/>
    <s v="中行淮南矿业（集团）有限责任公司企业年金计划受托直投（国寿）"/>
    <s v="国寿养老配置2号混合型养老金产品"/>
    <s v="单一计划"/>
    <n v="3537.1"/>
    <x v="2"/>
  </r>
  <r>
    <d v="2020-08-31T00:00:00"/>
    <m/>
    <s v="安徽省壹号职业年金计划国寿信托组合"/>
    <s v="国寿养老配置2号混合型养老金产品"/>
    <s v="职业年金"/>
    <n v="20076.759999999998"/>
    <x v="2"/>
  </r>
  <r>
    <d v="2020-08-31T00:00:00"/>
    <m/>
    <s v="中行徽商银行股份有限公司企业年金计划国寿组合"/>
    <s v="国寿养老配置2号混合型养老金产品"/>
    <s v="单一计划"/>
    <n v="5643.3"/>
    <x v="2"/>
  </r>
  <r>
    <d v="2020-08-31T00:00:00"/>
    <s v="CL0035"/>
    <s v="永丰"/>
    <s v="国寿养老配置3号混合型养老金产品"/>
    <s v="集合计划"/>
    <n v="84.83"/>
    <x v="2"/>
  </r>
  <r>
    <d v="2020-08-31T00:00:00"/>
    <m/>
    <s v="永睿"/>
    <s v="国寿养老配置3号混合型养老金产品"/>
    <s v="集合计划"/>
    <n v="473.77"/>
    <x v="2"/>
  </r>
  <r>
    <d v="2020-08-31T00:00:00"/>
    <m/>
    <s v="永通"/>
    <s v="国寿养老配置3号混合型养老金产品"/>
    <s v="集合计划"/>
    <n v="249.63"/>
    <x v="2"/>
  </r>
  <r>
    <d v="2020-08-31T00:00:00"/>
    <m/>
    <s v="永祥"/>
    <s v="国寿养老配置3号混合型养老金产品"/>
    <s v="集合计划"/>
    <n v="5.41"/>
    <x v="2"/>
  </r>
  <r>
    <d v="2020-08-31T00:00:00"/>
    <m/>
    <s v="永颐"/>
    <s v="国寿养老配置3号混合型养老金产品"/>
    <s v="集合计划"/>
    <n v="211.41"/>
    <x v="2"/>
  </r>
  <r>
    <d v="2020-08-31T00:00:00"/>
    <m/>
    <s v="工行安徽省高速公路控股集团有限公司企业年金计划国寿组合"/>
    <s v="国寿养老配置3号混合型养老金产品"/>
    <s v="单一计划"/>
    <n v="7543.58"/>
    <x v="2"/>
  </r>
  <r>
    <d v="2020-08-31T00:00:00"/>
    <m/>
    <s v="光大中国烟草总公司安徽省公司企业年金计划国寿组合"/>
    <s v="国寿养老配置3号混合型养老金产品"/>
    <s v="单一计划"/>
    <n v="9209.07"/>
    <x v="2"/>
  </r>
  <r>
    <d v="2020-08-31T00:00:00"/>
    <m/>
    <s v="工行中铁四局集团有限公司企业年金计划国寿组合"/>
    <s v="国寿养老配置3号混合型养老金产品"/>
    <s v="单一计划"/>
    <n v="13190.48"/>
    <x v="2"/>
  </r>
  <r>
    <d v="2020-08-31T00:00:00"/>
    <m/>
    <s v="光大银行安徽新华传媒股份有限公司企业年金计划受托直投（国寿）"/>
    <s v="国寿养老配置3号混合型养老金产品"/>
    <s v="单一计划"/>
    <n v="1328.06"/>
    <x v="2"/>
  </r>
  <r>
    <d v="2020-08-31T00:00:00"/>
    <m/>
    <s v="安徽省壹号职业年金计划国寿信托组合"/>
    <s v="国寿养老配置3号混合型养老金产品"/>
    <s v="职业年金"/>
    <n v="18860.21"/>
    <x v="2"/>
  </r>
  <r>
    <d v="2020-08-31T00:00:00"/>
    <m/>
    <s v="农行安徽古井集团有限责任公司企业年金计划国寿组合"/>
    <s v="国寿养老配置3号混合型养老金产品"/>
    <s v="单一计划"/>
    <n v="250.12"/>
    <x v="2"/>
  </r>
  <r>
    <d v="2020-08-31T00:00:00"/>
    <m/>
    <s v="中行徽商银行股份有限公司企业年金计划国寿组合"/>
    <s v="国寿养老配置3号混合型养老金产品"/>
    <s v="单一计划"/>
    <n v="13000.37"/>
    <x v="2"/>
  </r>
  <r>
    <d v="2020-08-31T00:00:00"/>
    <s v="CL0036"/>
    <s v="永丰"/>
    <s v="国寿养老策略1号股票型养老金产品"/>
    <s v="集合计划"/>
    <n v="109.96"/>
    <x v="0"/>
  </r>
  <r>
    <d v="2020-08-31T00:00:00"/>
    <m/>
    <s v="永乐"/>
    <s v="国寿养老策略1号股票型养老金产品"/>
    <s v="集合计划"/>
    <n v="112.23"/>
    <x v="0"/>
  </r>
  <r>
    <d v="2020-08-31T00:00:00"/>
    <m/>
    <s v="永睿"/>
    <s v="国寿养老策略1号股票型养老金产品"/>
    <s v="集合计划"/>
    <n v="47.27"/>
    <x v="0"/>
  </r>
  <r>
    <d v="2020-08-31T00:00:00"/>
    <s v="CL0037"/>
    <s v="永诚"/>
    <s v="国寿养老策略2号股票型养老金产品"/>
    <s v="集合计划"/>
    <n v="756.12"/>
    <x v="0"/>
  </r>
  <r>
    <d v="2020-08-31T00:00:00"/>
    <m/>
    <s v="永睿"/>
    <s v="国寿养老策略2号股票型养老金产品"/>
    <s v="集合计划"/>
    <n v="6.65"/>
    <x v="0"/>
  </r>
  <r>
    <d v="2020-08-31T00:00:00"/>
    <m/>
    <s v="中行淮南矿业（集团）有限责任公司企业年金计划受托直投（国寿）"/>
    <s v="国寿养老策略2号股票型养老金产品"/>
    <s v="单一计划"/>
    <n v="3828.68"/>
    <x v="0"/>
  </r>
  <r>
    <d v="2020-08-31T00:00:00"/>
    <s v="CL0039"/>
    <s v="永诚"/>
    <s v="国寿养老策略4号股票型养老金产品"/>
    <s v="集合计划"/>
    <n v="1376.21"/>
    <x v="0"/>
  </r>
  <r>
    <d v="2020-08-31T00:00:00"/>
    <m/>
    <s v="永丰"/>
    <s v="国寿养老策略4号股票型养老金产品"/>
    <s v="集合计划"/>
    <n v="1334.29"/>
    <x v="0"/>
  </r>
  <r>
    <d v="2020-08-31T00:00:00"/>
    <m/>
    <s v="永福"/>
    <s v="国寿养老策略4号股票型养老金产品"/>
    <s v="集合计划"/>
    <n v="32.049999999999997"/>
    <x v="0"/>
  </r>
  <r>
    <d v="2020-08-31T00:00:00"/>
    <m/>
    <s v="永乐"/>
    <s v="国寿养老策略4号股票型养老金产品"/>
    <s v="集合计划"/>
    <n v="61.24"/>
    <x v="0"/>
  </r>
  <r>
    <d v="2020-08-31T00:00:00"/>
    <m/>
    <s v="永睿"/>
    <s v="国寿养老策略4号股票型养老金产品"/>
    <s v="集合计划"/>
    <n v="226.6"/>
    <x v="0"/>
  </r>
  <r>
    <d v="2020-08-31T00:00:00"/>
    <m/>
    <s v="永颐"/>
    <s v="国寿养老策略4号股票型养老金产品"/>
    <s v="集合计划"/>
    <n v="72.97"/>
    <x v="0"/>
  </r>
  <r>
    <d v="2020-08-31T00:00:00"/>
    <m/>
    <s v="工行安徽省高速公路控股集团有限公司企业年金计划国寿组合"/>
    <s v="国寿养老策略4号股票型养老金产品"/>
    <s v="单一计划"/>
    <n v="15671.24"/>
    <x v="0"/>
  </r>
  <r>
    <d v="2020-08-31T00:00:00"/>
    <m/>
    <s v="光大中国烟草总公司安徽省公司企业年金计划国寿组合"/>
    <s v="国寿养老策略4号股票型养老金产品"/>
    <s v="单一计划"/>
    <n v="32182.11"/>
    <x v="0"/>
  </r>
  <r>
    <d v="2020-08-31T00:00:00"/>
    <m/>
    <s v="中行淮南矿业（集团）有限责任公司企业年金计划受托直投（国寿）"/>
    <s v="国寿养老策略4号股票型养老金产品"/>
    <s v="单一计划"/>
    <n v="3380.6"/>
    <x v="0"/>
  </r>
  <r>
    <d v="2020-08-31T00:00:00"/>
    <m/>
    <s v="民生安徽省玖号职业年金计划国寿组合"/>
    <s v="国寿养老策略4号股票型养老金产品"/>
    <s v="职业年金"/>
    <n v="9942.6299999999992"/>
    <x v="0"/>
  </r>
  <r>
    <d v="2020-08-31T00:00:00"/>
    <s v="CL0040"/>
    <s v="永乐"/>
    <s v="国寿养老稳健1号固定收益型养老金产品"/>
    <s v="集合计划"/>
    <n v="45.06"/>
    <x v="3"/>
  </r>
  <r>
    <d v="2020-08-31T00:00:00"/>
    <m/>
    <s v="永睿"/>
    <s v="国寿养老稳健1号固定收益型养老金产品"/>
    <s v="集合计划"/>
    <n v="25.76"/>
    <x v="3"/>
  </r>
  <r>
    <d v="2020-08-31T00:00:00"/>
    <m/>
    <s v="工行安徽省高速公路控股集团有限公司企业年金计划国寿组合"/>
    <s v="国寿养老稳健1号固定收益型养老金产品"/>
    <s v="单一计划"/>
    <n v="5351.07"/>
    <x v="3"/>
  </r>
  <r>
    <d v="2020-08-31T00:00:00"/>
    <m/>
    <s v="中行国网安徽省电力公司企业年金计划养老金专户平安组合"/>
    <s v="国寿养老稳健1号固定收益型养老金产品"/>
    <s v="单一计划"/>
    <n v="6797.46"/>
    <x v="3"/>
  </r>
  <r>
    <d v="2020-08-31T00:00:00"/>
    <m/>
    <s v="招行天津津融投资服务集团有限公司企业年金计划受托直投（泰康养老）"/>
    <s v="国寿养老稳健1号固定收益型养老金产品"/>
    <s v="单一计划"/>
    <n v="269.04000000000002"/>
    <x v="3"/>
  </r>
  <r>
    <d v="2020-08-31T00:00:00"/>
    <m/>
    <s v="工行青岛四方车辆研究所有限公司企业年金计划受托直投（泰康养老）"/>
    <s v="国寿养老稳健1号固定收益型养老金产品"/>
    <s v="单一计划"/>
    <n v="153.35"/>
    <x v="3"/>
  </r>
  <r>
    <d v="2020-08-31T00:00:00"/>
    <m/>
    <s v="光大银行安徽新华传媒股份有限公司企业年金计划受托直投（国寿）"/>
    <s v="国寿养老稳健1号固定收益型养老金产品"/>
    <s v="单一计划"/>
    <n v="744.95"/>
    <x v="3"/>
  </r>
  <r>
    <d v="2020-08-31T00:00:00"/>
    <s v="CL0046"/>
    <s v="永睿"/>
    <s v="国寿养老质优安泰保险产品型养老金产品（5期）"/>
    <s v="集合计划"/>
    <n v="71.900000000000006"/>
    <x v="9"/>
  </r>
  <r>
    <d v="2020-08-31T00:00:00"/>
    <s v="CL0047"/>
    <s v="永福"/>
    <s v="国寿养老安享鑫祺混合型养老金产品"/>
    <s v="集合计划"/>
    <n v="1.94"/>
    <x v="2"/>
  </r>
  <r>
    <d v="2020-08-31T00:00:00"/>
    <m/>
    <s v="永颐"/>
    <s v="国寿养老安享鑫祺混合型养老金产品"/>
    <s v="集合计划"/>
    <n v="195.52"/>
    <x v="2"/>
  </r>
  <r>
    <d v="2020-08-31T00:00:00"/>
    <m/>
    <s v="安徽省壹号职业年金计划国寿信托组合"/>
    <s v="国寿养老安享鑫祺混合型养老金产品"/>
    <s v="职业年金"/>
    <n v="2865.31"/>
    <x v="2"/>
  </r>
  <r>
    <d v="2020-08-31T00:00:00"/>
    <m/>
    <s v="中行徽商银行股份有限公司企业年金计划国寿组合"/>
    <s v="国寿养老安享鑫祺混合型养老金产品"/>
    <s v="单一计划"/>
    <n v="3402.93"/>
    <x v="2"/>
  </r>
  <r>
    <d v="2020-08-31T00:00:00"/>
    <s v="CL0049"/>
    <s v="永丰"/>
    <s v="国寿养老质优稳利基础设施债权投资计划型养老金产品（3期）"/>
    <s v="集合计划"/>
    <n v="247.56"/>
    <x v="4"/>
  </r>
  <r>
    <d v="2020-08-31T00:00:00"/>
    <m/>
    <s v="永睿"/>
    <s v="国寿养老质优稳利基础设施债权投资计划型养老金产品（3期）"/>
    <s v="集合计划"/>
    <n v="89"/>
    <x v="4"/>
  </r>
  <r>
    <d v="2020-08-31T00:00:00"/>
    <s v="CL0050"/>
    <s v="永睿"/>
    <s v="国寿养老质优稳利基础设施债权投资计划型养老金产品（4期）"/>
    <s v="集合计划"/>
    <n v="13.44"/>
    <x v="4"/>
  </r>
  <r>
    <d v="2020-08-31T00:00:00"/>
    <s v="CL0054"/>
    <s v="永诚"/>
    <s v="国寿养老红利存款型养老金产品（3期）"/>
    <s v="集合计划"/>
    <n v="110.08"/>
    <x v="8"/>
  </r>
  <r>
    <d v="2020-08-31T00:00:00"/>
    <m/>
    <s v="永丰"/>
    <s v="国寿养老红利存款型养老金产品（3期）"/>
    <s v="集合计划"/>
    <n v="74.02"/>
    <x v="8"/>
  </r>
  <r>
    <d v="2020-08-31T00:00:00"/>
    <m/>
    <s v="永通"/>
    <s v="国寿养老红利存款型养老金产品（3期）"/>
    <s v="集合计划"/>
    <n v="48.2"/>
    <x v="8"/>
  </r>
  <r>
    <d v="2020-08-31T00:00:00"/>
    <s v="CL0059"/>
    <s v="永诚"/>
    <s v="国寿养老红利存款型养老金产品（5期）"/>
    <s v="集合计划"/>
    <n v="95.84"/>
    <x v="8"/>
  </r>
  <r>
    <d v="2020-08-31T00:00:00"/>
    <m/>
    <s v="永睿"/>
    <s v="国寿养老红利存款型养老金产品（5期）"/>
    <s v="集合计划"/>
    <n v="142.77000000000001"/>
    <x v="8"/>
  </r>
  <r>
    <d v="2020-08-31T00:00:00"/>
    <m/>
    <s v="中行国网安徽省电力公司企业年金计划国寿组合"/>
    <s v="国寿养老红利存款型养老金产品（5期）"/>
    <s v="单一计划"/>
    <n v="233.66"/>
    <x v="8"/>
  </r>
  <r>
    <d v="2020-08-31T00:00:00"/>
    <s v="CL0060"/>
    <s v="永睿"/>
    <s v="国寿养老红利存款型养老金产品（6期）"/>
    <s v="集合计划"/>
    <n v="0.06"/>
    <x v="8"/>
  </r>
  <r>
    <d v="2020-08-31T00:00:00"/>
    <s v="CL0061"/>
    <s v="工行中国广核集团有限公司企业年金计划海富通组合"/>
    <s v="国寿养老红利存款型养老金产品（7期）"/>
    <s v="单一计划"/>
    <n v="921.19"/>
    <x v="8"/>
  </r>
  <r>
    <d v="2020-08-31T00:00:00"/>
    <s v="CL0063"/>
    <s v="中行淮南矿业（集团）有限责任公司企业年金计划受托直投（国寿）"/>
    <s v="国寿养老稳健4号固定收益型养老金产品"/>
    <s v="单一计划"/>
    <n v="21257.439999999999"/>
    <x v="3"/>
  </r>
  <r>
    <d v="2020-08-31T00:00:00"/>
    <m/>
    <s v="工行铜陵有色金属集团控股有限公司企业年金计划受托直投（国寿）"/>
    <s v="国寿养老稳健4号固定收益型养老金产品"/>
    <s v="单一计划"/>
    <n v="5455.55"/>
    <x v="3"/>
  </r>
  <r>
    <d v="2020-08-31T00:00:00"/>
    <s v="CL0064"/>
    <s v="永诚"/>
    <s v="国寿养老稳健5号固定收益型养老金产品"/>
    <s v="集合计划"/>
    <n v="48.87"/>
    <x v="3"/>
  </r>
  <r>
    <d v="2020-08-31T00:00:00"/>
    <m/>
    <s v="永丰"/>
    <s v="国寿养老稳健5号固定收益型养老金产品"/>
    <s v="集合计划"/>
    <n v="56.47"/>
    <x v="3"/>
  </r>
  <r>
    <d v="2020-08-31T00:00:00"/>
    <m/>
    <s v="永福"/>
    <s v="国寿养老稳健5号固定收益型养老金产品"/>
    <s v="集合计划"/>
    <n v="14.84"/>
    <x v="3"/>
  </r>
  <r>
    <d v="2020-08-31T00:00:00"/>
    <m/>
    <s v="永睿"/>
    <s v="国寿养老稳健5号固定收益型养老金产品"/>
    <s v="集合计划"/>
    <n v="548.78"/>
    <x v="3"/>
  </r>
  <r>
    <d v="2020-08-31T00:00:00"/>
    <m/>
    <s v="光大中国烟草总公司安徽省公司企业年金计划国寿组合"/>
    <s v="国寿养老稳健5号固定收益型养老金产品"/>
    <s v="单一计划"/>
    <n v="533.1"/>
    <x v="3"/>
  </r>
  <r>
    <d v="2020-08-31T00:00:00"/>
    <s v="CL0065"/>
    <s v="永通"/>
    <s v="国寿养老稳健6号固定收益型养老金产品"/>
    <s v="集合计划"/>
    <n v="79.06"/>
    <x v="3"/>
  </r>
  <r>
    <d v="2020-08-31T00:00:00"/>
    <m/>
    <s v="中行淮南矿业（集团）有限责任公司企业年金计划受托直投（国寿）"/>
    <s v="国寿养老稳健6号固定收益型养老金产品"/>
    <s v="单一计划"/>
    <n v="8038.96"/>
    <x v="3"/>
  </r>
  <r>
    <d v="2020-08-31T00:00:00"/>
    <m/>
    <s v="工行铜陵有色金属集团控股有限公司企业年金计划受托直投（国寿）"/>
    <s v="国寿养老稳健6号固定收益型养老金产品"/>
    <s v="单一计划"/>
    <n v="2500.9699999999998"/>
    <x v="3"/>
  </r>
  <r>
    <d v="2020-08-31T00:00:00"/>
    <m/>
    <s v="中行淮北矿业（集团）有限责任公司企业年金计划嘉实"/>
    <s v="国寿养老稳健6号固定收益型养老金产品"/>
    <s v="单一计划"/>
    <n v="5001.93"/>
    <x v="3"/>
  </r>
  <r>
    <d v="2020-08-31T00:00:00"/>
    <m/>
    <s v="建行安徽省能源集团有限公司企业年金计划嘉实"/>
    <s v="国寿养老稳健6号固定收益型养老金产品"/>
    <s v="单一计划"/>
    <n v="2500.9699999999998"/>
    <x v="3"/>
  </r>
  <r>
    <d v="2020-08-31T00:00:00"/>
    <m/>
    <s v="中行淮南矿业（集团）有限责任公司企业年金计划嘉实组合"/>
    <s v="国寿养老稳健6号固定收益型养老金产品"/>
    <s v="单一计划"/>
    <n v="2500.9699999999998"/>
    <x v="3"/>
  </r>
  <r>
    <d v="2020-08-31T00:00:00"/>
    <s v="CL0067"/>
    <s v="永福"/>
    <s v="国寿养老稳健8号固定收益型养老金产品"/>
    <s v="集合计划"/>
    <n v="55.17"/>
    <x v="3"/>
  </r>
  <r>
    <d v="2020-08-31T00:00:00"/>
    <m/>
    <s v="永乐"/>
    <s v="国寿养老稳健8号固定收益型养老金产品"/>
    <s v="集合计划"/>
    <n v="9.0399999999999991"/>
    <x v="3"/>
  </r>
  <r>
    <d v="2020-08-31T00:00:00"/>
    <m/>
    <s v="建行中国电力建设集团有限公司企业年金计划受托直投标准组合（泰康养老）"/>
    <s v="国寿养老稳健8号固定收益型养老金产品"/>
    <s v="单一计划"/>
    <n v="1411.16"/>
    <x v="3"/>
  </r>
  <r>
    <d v="2020-08-31T00:00:00"/>
    <m/>
    <s v="安徽省壹号职业年金计划国寿组合"/>
    <s v="国寿养老稳健8号固定收益型养老金产品"/>
    <s v="职业年金"/>
    <n v="18153.77"/>
    <x v="3"/>
  </r>
  <r>
    <d v="2020-08-31T00:00:00"/>
    <m/>
    <s v="安徽省肆号职业年金计划国寿组合"/>
    <s v="国寿养老稳健8号固定收益型养老金产品"/>
    <s v="职业年金"/>
    <n v="16854.400000000001"/>
    <x v="3"/>
  </r>
  <r>
    <d v="2020-08-31T00:00:00"/>
    <m/>
    <s v="民生安徽省玖号职业年金计划国寿组合"/>
    <s v="国寿养老稳健8号固定收益型养老金产品"/>
    <s v="职业年金"/>
    <n v="4902.8"/>
    <x v="3"/>
  </r>
  <r>
    <d v="2020-08-31T00:00:00"/>
    <m/>
    <s v="招行泰康金色瑞泰企业年金集合计划受托直投平稳增长组合（泰康养老）"/>
    <s v="国寿养老稳健8号固定收益型养老金产品"/>
    <s v="集合计划"/>
    <n v="36.18"/>
    <x v="3"/>
  </r>
  <r>
    <d v="2020-08-31T00:00:00"/>
    <s v="CL0068"/>
    <s v="永诚"/>
    <s v="国寿养老策略5号股票型养老金产品"/>
    <s v="集合计划"/>
    <n v="198.59"/>
    <x v="0"/>
  </r>
  <r>
    <d v="2020-08-31T00:00:00"/>
    <m/>
    <s v="永颐"/>
    <s v="国寿养老策略5号股票型养老金产品"/>
    <s v="集合计划"/>
    <n v="1236.08"/>
    <x v="0"/>
  </r>
  <r>
    <d v="2020-08-31T00:00:00"/>
    <s v="CL0069"/>
    <s v="永诚"/>
    <s v="国寿养老策略6号股票型养老金产品"/>
    <s v="集合计划"/>
    <n v="668.19"/>
    <x v="0"/>
  </r>
  <r>
    <d v="2020-08-31T00:00:00"/>
    <m/>
    <s v="永福"/>
    <s v="国寿养老策略6号股票型养老金产品"/>
    <s v="集合计划"/>
    <n v="5.91"/>
    <x v="0"/>
  </r>
  <r>
    <d v="2020-08-31T00:00:00"/>
    <m/>
    <s v="中行安徽省皖北煤电集团有限责任公司企业年金计划国寿组合"/>
    <s v="国寿养老策略6号股票型养老金产品"/>
    <s v="单一计划"/>
    <n v="1366.37"/>
    <x v="0"/>
  </r>
  <r>
    <d v="2020-08-31T00:00:00"/>
    <m/>
    <s v="光大中国烟草总公司安徽省公司企业年金计划国寿组合"/>
    <s v="国寿养老策略6号股票型养老金产品"/>
    <s v="单一计划"/>
    <n v="2674.84"/>
    <x v="0"/>
  </r>
  <r>
    <d v="2020-08-31T00:00:00"/>
    <s v="CL0071"/>
    <s v="永诚"/>
    <s v="国寿养老策略8号股票型养老金产品"/>
    <s v="集合计划"/>
    <n v="57.05"/>
    <x v="0"/>
  </r>
  <r>
    <d v="2020-08-31T00:00:00"/>
    <m/>
    <s v="永福"/>
    <s v="国寿养老策略8号股票型养老金产品"/>
    <s v="集合计划"/>
    <n v="73.75"/>
    <x v="0"/>
  </r>
  <r>
    <d v="2020-08-31T00:00:00"/>
    <m/>
    <s v="永睿"/>
    <s v="国寿养老策略8号股票型养老金产品"/>
    <s v="集合计划"/>
    <n v="1117.1500000000001"/>
    <x v="0"/>
  </r>
  <r>
    <d v="2020-08-31T00:00:00"/>
    <m/>
    <s v="中行安徽省皖北煤电集团有限责任公司企业年金计划国寿组合"/>
    <s v="国寿养老策略8号股票型养老金产品"/>
    <s v="单一计划"/>
    <n v="13781.33"/>
    <x v="0"/>
  </r>
  <r>
    <d v="2020-08-31T00:00:00"/>
    <m/>
    <s v="工行中铁四局集团有限公司企业年金计划国寿组合"/>
    <s v="国寿养老策略8号股票型养老金产品"/>
    <s v="单一计划"/>
    <n v="15437.5"/>
    <x v="0"/>
  </r>
  <r>
    <d v="2020-08-31T00:00:00"/>
    <m/>
    <s v="农行安徽古井集团有限责任公司企业年金计划国寿组合"/>
    <s v="国寿养老策略8号股票型养老金产品"/>
    <s v="单一计划"/>
    <n v="12090.59"/>
    <x v="0"/>
  </r>
  <r>
    <d v="2020-08-31T00:00:00"/>
    <m/>
    <s v="中行徽商银行股份有限公司企业年金计划国寿组合"/>
    <s v="国寿养老策略8号股票型养老金产品"/>
    <s v="单一计划"/>
    <n v="7955.88"/>
    <x v="0"/>
  </r>
  <r>
    <d v="2020-08-31T00:00:00"/>
    <s v="CL0072"/>
    <s v="永诚"/>
    <s v="国寿养老策略9号股票型养老金产品"/>
    <s v="集合计划"/>
    <n v="1154.45"/>
    <x v="0"/>
  </r>
  <r>
    <d v="2020-08-31T00:00:00"/>
    <m/>
    <s v="永丰"/>
    <s v="国寿养老策略9号股票型养老金产品"/>
    <s v="集合计划"/>
    <n v="10085.01"/>
    <x v="0"/>
  </r>
  <r>
    <d v="2020-08-31T00:00:00"/>
    <m/>
    <s v="永福"/>
    <s v="国寿养老策略9号股票型养老金产品"/>
    <s v="集合计划"/>
    <n v="4.29"/>
    <x v="0"/>
  </r>
  <r>
    <d v="2020-08-31T00:00:00"/>
    <m/>
    <s v="永睿"/>
    <s v="国寿养老策略9号股票型养老金产品"/>
    <s v="集合计划"/>
    <n v="427.06"/>
    <x v="0"/>
  </r>
  <r>
    <d v="2020-08-31T00:00:00"/>
    <m/>
    <s v="永颐"/>
    <s v="国寿养老策略9号股票型养老金产品"/>
    <s v="集合计划"/>
    <n v="346.77"/>
    <x v="0"/>
  </r>
  <r>
    <d v="2020-08-31T00:00:00"/>
    <m/>
    <s v="工行安徽省高速公路控股集团有限公司企业年金计划国寿组合"/>
    <s v="国寿养老策略9号股票型养老金产品"/>
    <s v="单一计划"/>
    <n v="6270.82"/>
    <x v="0"/>
  </r>
  <r>
    <d v="2020-08-31T00:00:00"/>
    <m/>
    <s v="交行安徽省徽商集团有限公司企业年金计划国寿组合"/>
    <s v="国寿养老策略9号股票型养老金产品"/>
    <s v="单一计划"/>
    <n v="4663.79"/>
    <x v="0"/>
  </r>
  <r>
    <d v="2020-08-31T00:00:00"/>
    <m/>
    <s v="工行中铁四局集团有限公司企业年金计划国寿组合"/>
    <s v="国寿养老策略9号股票型养老金产品"/>
    <s v="单一计划"/>
    <n v="1159.53"/>
    <x v="0"/>
  </r>
  <r>
    <d v="2020-08-31T00:00:00"/>
    <m/>
    <s v="中行淮南矿业（集团）有限责任公司企业年金计划受托直投（国寿）"/>
    <s v="国寿养老策略9号股票型养老金产品"/>
    <s v="单一计划"/>
    <n v="2822.57"/>
    <x v="0"/>
  </r>
  <r>
    <d v="2020-08-31T00:00:00"/>
    <s v="CL0073"/>
    <s v="永睿"/>
    <s v="国寿养老红利存款型养老金产品（8期）"/>
    <s v="集合计划"/>
    <n v="109.61"/>
    <x v="8"/>
  </r>
  <r>
    <d v="2020-08-31T00:00:00"/>
    <m/>
    <s v="工行中国广核集团有限公司企业年金计划海富通组合"/>
    <s v="国寿养老红利存款型养老金产品（8期）"/>
    <s v="单一计划"/>
    <n v="918.55"/>
    <x v="8"/>
  </r>
  <r>
    <d v="2020-08-31T00:00:00"/>
    <s v="CL0075"/>
    <s v="永颐"/>
    <s v="国寿养老质优甄选信托产品型养老金产品（12期）"/>
    <s v="集合计划"/>
    <n v="49.19"/>
    <x v="5"/>
  </r>
  <r>
    <d v="2020-08-31T00:00:00"/>
    <s v="CL0077"/>
    <s v="永诚"/>
    <s v="国寿养老质优稳利基础设施债权投资计划型养老金产品（5期）"/>
    <s v="集合计划"/>
    <n v="130.44999999999999"/>
    <x v="4"/>
  </r>
  <r>
    <d v="2020-08-31T00:00:00"/>
    <m/>
    <s v="永丰"/>
    <s v="国寿养老质优稳利基础设施债权投资计划型养老金产品（5期）"/>
    <s v="集合计划"/>
    <n v="570.26"/>
    <x v="4"/>
  </r>
  <r>
    <d v="2020-08-31T00:00:00"/>
    <m/>
    <s v="永睿"/>
    <s v="国寿养老质优稳利基础设施债权投资计划型养老金产品（5期）"/>
    <s v="集合计划"/>
    <n v="386.28"/>
    <x v="4"/>
  </r>
  <r>
    <d v="2020-08-31T00:00:00"/>
    <m/>
    <s v="永颐"/>
    <s v="国寿养老质优稳利基础设施债权投资计划型养老金产品（5期）"/>
    <s v="集合计划"/>
    <n v="62.25"/>
    <x v="4"/>
  </r>
  <r>
    <d v="2020-08-31T00:00:00"/>
    <m/>
    <s v="中行淮南矿业（集团）有限责任公司企业年金计划受托直投（国寿）"/>
    <s v="国寿养老质优稳利基础设施债权投资计划型养老金产品（5期）"/>
    <s v="单一计划"/>
    <n v="17526.68"/>
    <x v="4"/>
  </r>
  <r>
    <d v="2020-08-31T00:00:00"/>
    <s v="CL0082"/>
    <s v="永丰"/>
    <s v="国寿养老配置6号混合型养老金产品"/>
    <s v="集合计划"/>
    <n v="41.8"/>
    <x v="2"/>
  </r>
  <r>
    <d v="2020-08-31T00:00:00"/>
    <m/>
    <s v="永乐"/>
    <s v="国寿养老配置6号混合型养老金产品"/>
    <s v="集合计划"/>
    <n v="14.87"/>
    <x v="2"/>
  </r>
  <r>
    <d v="2020-08-31T00:00:00"/>
    <m/>
    <s v="永睿"/>
    <s v="国寿养老配置6号混合型养老金产品"/>
    <s v="集合计划"/>
    <n v="2.58"/>
    <x v="2"/>
  </r>
  <r>
    <d v="2020-08-31T00:00:00"/>
    <m/>
    <s v="永通"/>
    <s v="国寿养老配置6号混合型养老金产品"/>
    <s v="集合计划"/>
    <n v="119.72"/>
    <x v="2"/>
  </r>
  <r>
    <d v="2020-08-31T00:00:00"/>
    <m/>
    <s v="永祥"/>
    <s v="国寿养老配置6号混合型养老金产品"/>
    <s v="集合计划"/>
    <n v="1.91"/>
    <x v="2"/>
  </r>
  <r>
    <d v="2020-08-31T00:00:00"/>
    <m/>
    <s v="永颐"/>
    <s v="国寿养老配置6号混合型养老金产品"/>
    <s v="集合计划"/>
    <n v="263.64999999999998"/>
    <x v="2"/>
  </r>
  <r>
    <d v="2020-08-31T00:00:00"/>
    <m/>
    <s v="工行安徽中烟工业有限责任公司企业年金计划国寿组合"/>
    <s v="国寿养老配置6号混合型养老金产品"/>
    <s v="单一计划"/>
    <n v="2705.66"/>
    <x v="2"/>
  </r>
  <r>
    <d v="2020-08-31T00:00:00"/>
    <s v="CL0089"/>
    <s v="永丰"/>
    <s v="国寿养老量化多策略FOF混合型养老金产品"/>
    <s v="集合计划"/>
    <n v="219.6"/>
    <x v="10"/>
  </r>
  <r>
    <d v="2020-08-31T00:00:00"/>
    <m/>
    <s v="永乐"/>
    <s v="国寿养老量化多策略FOF混合型养老金产品"/>
    <s v="集合计划"/>
    <n v="95.39"/>
    <x v="10"/>
  </r>
  <r>
    <d v="2020-08-31T00:00:00"/>
    <m/>
    <s v="永睿"/>
    <s v="国寿养老量化多策略FOF混合型养老金产品"/>
    <s v="集合计划"/>
    <n v="136.08000000000001"/>
    <x v="10"/>
  </r>
  <r>
    <d v="2020-08-31T00:00:00"/>
    <m/>
    <s v="永通"/>
    <s v="国寿养老量化多策略FOF混合型养老金产品"/>
    <s v="集合计划"/>
    <n v="363.15"/>
    <x v="10"/>
  </r>
  <r>
    <d v="2020-08-31T00:00:00"/>
    <m/>
    <s v="永祥"/>
    <s v="国寿养老量化多策略FOF混合型养老金产品"/>
    <s v="集合计划"/>
    <n v="30.15"/>
    <x v="10"/>
  </r>
  <r>
    <d v="2020-08-31T00:00:00"/>
    <m/>
    <s v="永颐"/>
    <s v="国寿养老量化多策略FOF混合型养老金产品"/>
    <s v="集合计划"/>
    <n v="184.4"/>
    <x v="10"/>
  </r>
  <r>
    <d v="2020-08-31T00:00:00"/>
    <m/>
    <s v="工行安徽中烟工业有限责任公司企业年金计划国寿组合"/>
    <s v="国寿养老量化多策略FOF混合型养老金产品"/>
    <s v="单一计划"/>
    <n v="2851.23"/>
    <x v="10"/>
  </r>
  <r>
    <d v="2020-08-31T00:00:00"/>
    <s v="CL0092"/>
    <s v="永丰"/>
    <s v="国寿养老质优稳利基础设施债权投资计划型养老金产品（6期）"/>
    <s v="集合计划"/>
    <n v="219.29"/>
    <x v="4"/>
  </r>
  <r>
    <d v="2020-08-31T00:00:00"/>
    <m/>
    <s v="永睿"/>
    <s v="国寿养老质优稳利基础设施债权投资计划型养老金产品（6期）"/>
    <s v="集合计划"/>
    <n v="319.17"/>
    <x v="4"/>
  </r>
  <r>
    <d v="2020-08-31T00:00:00"/>
    <m/>
    <s v="永颐"/>
    <s v="国寿养老质优稳利基础设施债权投资计划型养老金产品（6期）"/>
    <s v="集合计划"/>
    <n v="17.82"/>
    <x v="4"/>
  </r>
  <r>
    <d v="2020-08-31T00:00:00"/>
    <s v="CL0101"/>
    <s v="永通"/>
    <s v="国寿养老多元策略FOF固定收益型养老金产品"/>
    <s v="集合计划"/>
    <n v="494.97"/>
    <x v="10"/>
  </r>
  <r>
    <d v="2020-08-31T00:00:00"/>
    <m/>
    <s v="永祥"/>
    <s v="国寿养老多元策略FOF固定收益型养老金产品"/>
    <s v="集合计划"/>
    <n v="36.46"/>
    <x v="10"/>
  </r>
  <r>
    <d v="2020-08-31T00:00:00"/>
    <m/>
    <s v="永颐"/>
    <s v="国寿养老多元策略FOF固定收益型养老金产品"/>
    <s v="集合计划"/>
    <n v="196.88"/>
    <x v="10"/>
  </r>
  <r>
    <d v="2020-08-31T00:00:00"/>
    <m/>
    <s v="工行安徽中烟工业有限责任公司企业年金计划国寿组合"/>
    <s v="国寿养老多元策略FOF固定收益型养老金产品"/>
    <s v="单一计划"/>
    <n v="3422.94"/>
    <x v="10"/>
  </r>
  <r>
    <d v="2020-08-31T00:00:00"/>
    <s v="CL0103"/>
    <s v="永福"/>
    <s v="国寿养老质优增益基础设施债权投资计划型养老金产品（4期）"/>
    <s v="集合计划"/>
    <n v="11.52"/>
    <x v="4"/>
  </r>
  <r>
    <d v="2020-08-31T00:00:00"/>
    <m/>
    <s v="中行国网安徽省电力公司企业年金计划国寿组合"/>
    <s v="国寿养老质优增益基础设施债权投资计划型养老金产品（4期）"/>
    <s v="单一计划"/>
    <n v="4488.37"/>
    <x v="4"/>
  </r>
  <r>
    <d v="2020-08-31T00:00:00"/>
    <s v="CL0105"/>
    <s v="永福"/>
    <s v="国寿养老质优稳利基础设施债权投资计划型养老金产品（8期）"/>
    <s v="集合计划"/>
    <n v="16.809999999999999"/>
    <x v="4"/>
  </r>
  <r>
    <d v="2020-08-31T00:00:00"/>
    <m/>
    <s v="工行安徽中烟工业有限责任公司企业年金计划国寿组合"/>
    <s v="国寿养老质优稳利基础设施债权投资计划型养老金产品（8期）"/>
    <s v="单一计划"/>
    <n v="715.42"/>
    <x v="4"/>
  </r>
  <r>
    <d v="2020-08-31T00:00:00"/>
    <s v="CL0106"/>
    <s v="永福"/>
    <s v="国寿养老质优稳利基础设施债权投资计划型养老金产品（9期）"/>
    <s v="集合计划"/>
    <n v="6.98"/>
    <x v="4"/>
  </r>
  <r>
    <d v="2020-08-31T00:00:00"/>
    <m/>
    <s v="中行淮南矿业（集团）有限责任公司企业年金计划受托直投（国寿）"/>
    <s v="国寿养老质优稳利基础设施债权投资计划型养老金产品（9期）"/>
    <s v="单一计划"/>
    <n v="8747.5499999999993"/>
    <x v="4"/>
  </r>
  <r>
    <d v="2020-08-31T00:00:00"/>
    <s v="CL0107"/>
    <s v="永福"/>
    <s v="国寿养老质优稳利基础设施债权投资计划型养老金产品（10期）"/>
    <s v="集合计划"/>
    <n v="2.57"/>
    <x v="4"/>
  </r>
  <r>
    <d v="2020-08-31T00:00:00"/>
    <m/>
    <s v="永睿"/>
    <s v="国寿养老质优稳利基础设施债权投资计划型养老金产品（10期）"/>
    <s v="集合计划"/>
    <n v="17.48"/>
    <x v="4"/>
  </r>
  <r>
    <d v="2020-08-31T00:00:00"/>
    <s v="CL0110"/>
    <s v="永福"/>
    <s v="国寿养老质优甄选信托产品型养老金产品（22期）"/>
    <s v="集合计划"/>
    <n v="0.83"/>
    <x v="5"/>
  </r>
  <r>
    <d v="2020-08-31T00:00:00"/>
    <m/>
    <s v="建行中国电力建设集团有限公司企业年金计划受托直投标准组合（泰康养老）"/>
    <s v="国寿养老质优甄选信托产品型养老金产品（22期）"/>
    <s v="单一计划"/>
    <n v="3259.07"/>
    <x v="5"/>
  </r>
  <r>
    <d v="2020-08-31T00:00:00"/>
    <m/>
    <s v="中行淮南矿业（集团）有限责任公司企业年金计划易方达组合"/>
    <s v="国寿养老质优甄选信托产品型养老金产品（22期）"/>
    <s v="单一计划"/>
    <n v="4888.6000000000004"/>
    <x v="5"/>
  </r>
  <r>
    <d v="2020-08-31T00:00:00"/>
    <s v="CL0111"/>
    <s v="永颐"/>
    <s v="国寿养老质优甄选信托产品型养老金产品（23期）"/>
    <s v="集合计划"/>
    <n v="0.28000000000000003"/>
    <x v="5"/>
  </r>
  <r>
    <d v="2020-08-31T00:00:00"/>
    <m/>
    <s v="中行中国南方航空集团有限公司企业年金计划（太平）"/>
    <s v="国寿养老质优甄选信托产品型养老金产品（23期）"/>
    <s v="单一计划"/>
    <n v="1458.19"/>
    <x v="5"/>
  </r>
  <r>
    <d v="2020-08-31T00:00:00"/>
    <m/>
    <s v="工行四川九洲电器集团有限责任公司企业年金计划（太平）"/>
    <s v="国寿养老质优甄选信托产品型养老金产品（23期）"/>
    <s v="单一计划"/>
    <n v="324.04000000000002"/>
    <x v="5"/>
  </r>
  <r>
    <d v="2020-08-31T00:00:00"/>
    <m/>
    <s v="光大云南省农村信用社企业年金计划中金组合"/>
    <s v="国寿养老质优甄选信托产品型养老金产品（23期）"/>
    <s v="单一计划"/>
    <n v="3240.41"/>
    <x v="5"/>
  </r>
  <r>
    <d v="2020-08-31T00:00:00"/>
    <s v="CL0120"/>
    <s v="永丰"/>
    <s v="国寿养老质优稳利基础设施债权投资计划型养老金产品（12期）"/>
    <s v="集合计划"/>
    <n v="55.56"/>
    <x v="4"/>
  </r>
  <r>
    <d v="2020-08-31T00:00:00"/>
    <m/>
    <s v="永福"/>
    <s v="国寿养老质优稳利基础设施债权投资计划型养老金产品（12期）"/>
    <s v="集合计划"/>
    <n v="6.71"/>
    <x v="4"/>
  </r>
  <r>
    <d v="2020-08-31T00:00:00"/>
    <m/>
    <s v="工行铜陵有色金属集团控股有限公司企业年金计划受托直投（国寿）"/>
    <s v="国寿养老质优稳利基础设施债权投资计划型养老金产品（12期）"/>
    <s v="单一计划"/>
    <n v="677.31"/>
    <x v="4"/>
  </r>
  <r>
    <d v="2020-08-31T00:00:00"/>
    <m/>
    <s v="光大银行安徽新华传媒股份有限公司企业年金计划受托直投（国寿）"/>
    <s v="国寿养老质优稳利基础设施债权投资计划型养老金产品（12期）"/>
    <s v="单一计划"/>
    <n v="65.58"/>
    <x v="4"/>
  </r>
  <r>
    <d v="2020-08-31T00:00:00"/>
    <s v="CL0121"/>
    <s v="永颐"/>
    <s v="国寿养老质优稳利基础设施债权投资计划型养老金产品（13期）"/>
    <s v="集合计划"/>
    <n v="41.46"/>
    <x v="4"/>
  </r>
  <r>
    <d v="2020-08-31T00:00:00"/>
    <m/>
    <s v="中行淮南矿业（集团）有限责任公司企业年金计划受托直投（国寿）"/>
    <s v="国寿养老质优稳利基础设施债权投资计划型养老金产品（13期）"/>
    <s v="单一计划"/>
    <n v="2792.98"/>
    <x v="4"/>
  </r>
  <r>
    <d v="2020-08-31T00:00:00"/>
    <s v="CL0122"/>
    <s v="永福"/>
    <s v="国寿养老质优稳利基础设施债权投资计划型养老金产品（14期）"/>
    <s v="集合计划"/>
    <n v="3.39"/>
    <x v="4"/>
  </r>
  <r>
    <d v="2020-08-31T00:00:00"/>
    <m/>
    <s v="永颐"/>
    <s v="国寿养老质优稳利基础设施债权投资计划型养老金产品（14期）"/>
    <s v="集合计划"/>
    <n v="16.940000000000001"/>
    <x v="4"/>
  </r>
  <r>
    <d v="2020-08-31T00:00:00"/>
    <m/>
    <s v="工行安徽省高速公路控股集团有限公司企业年金计划国寿组合"/>
    <s v="国寿养老质优稳利基础设施债权投资计划型养老金产品（14期）"/>
    <s v="单一计划"/>
    <n v="1377.1"/>
    <x v="4"/>
  </r>
  <r>
    <d v="2020-08-31T00:00:00"/>
    <m/>
    <s v="工行安徽中烟工业有限责任公司企业年金计划国寿组合"/>
    <s v="国寿养老质优稳利基础设施债权投资计划型养老金产品（14期）"/>
    <s v="单一计划"/>
    <n v="963.42"/>
    <x v="4"/>
  </r>
  <r>
    <d v="2020-08-31T00:00:00"/>
    <m/>
    <s v="中行淮南矿业（集团）有限责任公司企业年金计划受托直投（国寿）"/>
    <s v="国寿养老质优稳利基础设施债权投资计划型养老金产品（14期）"/>
    <s v="单一计划"/>
    <n v="2780.43"/>
    <x v="4"/>
  </r>
  <r>
    <d v="2020-08-31T00:00:00"/>
    <s v="CL0124"/>
    <s v="永睿"/>
    <s v="国寿养老质优稳利基础设施债权投资计划型养老金产品（16期）"/>
    <s v="集合计划"/>
    <n v="9.5299999999999994"/>
    <x v="4"/>
  </r>
  <r>
    <d v="2020-08-31T00:00:00"/>
    <m/>
    <s v="永颐"/>
    <s v="国寿养老质优稳利基础设施债权投资计划型养老金产品（16期）"/>
    <s v="集合计划"/>
    <n v="2.77"/>
    <x v="4"/>
  </r>
  <r>
    <d v="2020-08-31T00:00:00"/>
    <s v="CL0125"/>
    <s v="永乐"/>
    <s v="国寿养老质优甄选信托产品型养老金产品（24期）"/>
    <s v="集合计划"/>
    <n v="6.16"/>
    <x v="5"/>
  </r>
  <r>
    <d v="2020-08-31T00:00:00"/>
    <m/>
    <s v="永睿"/>
    <s v="国寿养老质优甄选信托产品型养老金产品（24期）"/>
    <s v="集合计划"/>
    <n v="5.58"/>
    <x v="5"/>
  </r>
  <r>
    <d v="2020-08-31T00:00:00"/>
    <m/>
    <s v="光大银行北京控股集团有限公司企业年金计划南方组合"/>
    <s v="国寿养老质优甄选信托产品型养老金产品（24期）"/>
    <s v="单一计划"/>
    <n v="812.45"/>
    <x v="5"/>
  </r>
  <r>
    <d v="2020-08-31T00:00:00"/>
    <m/>
    <s v="中信银行中国航空集团公司企业年金计划南方组合"/>
    <s v="国寿养老质优甄选信托产品型养老金产品（24期）"/>
    <s v="单一计划"/>
    <n v="1949.89"/>
    <x v="5"/>
  </r>
  <r>
    <d v="2020-08-31T00:00:00"/>
    <m/>
    <s v="招商银行深圳市水务（集团）有限公司企业年金计划南方组合"/>
    <s v="国寿养老质优甄选信托产品型养老金产品（24期）"/>
    <s v="单一计划"/>
    <n v="1624.91"/>
    <x v="5"/>
  </r>
  <r>
    <d v="2020-08-31T00:00:00"/>
    <s v="CL0126"/>
    <s v="永福"/>
    <s v="国寿养老质优甄选信托产品型养老金产品（25期）"/>
    <s v="集合计划"/>
    <n v="19.09"/>
    <x v="5"/>
  </r>
  <r>
    <d v="2020-08-31T00:00:00"/>
    <m/>
    <s v="永颐"/>
    <s v="国寿养老质优甄选信托产品型养老金产品（25期）"/>
    <s v="集合计划"/>
    <n v="41.55"/>
    <x v="5"/>
  </r>
  <r>
    <d v="2020-08-31T00:00:00"/>
    <m/>
    <s v="建行中国电力建设集团有限公司企业年金计划受托直投标准组合（泰康养老）"/>
    <s v="国寿养老质优甄选信托产品型养老金产品（25期）"/>
    <s v="单一计划"/>
    <n v="3110.08"/>
    <x v="5"/>
  </r>
  <r>
    <d v="2020-08-31T00:00:00"/>
    <m/>
    <s v="交行太原供水集团有限公司企业年金计划受托直投（泰康养老）"/>
    <s v="国寿养老质优甄选信托产品型养老金产品（25期）"/>
    <s v="单一计划"/>
    <n v="254.46"/>
    <x v="5"/>
  </r>
  <r>
    <d v="2020-08-31T00:00:00"/>
    <m/>
    <s v="中信中国国旅集团有限公司企业年金计划受托直投（泰康养老）"/>
    <s v="国寿养老质优甄选信托产品型养老金产品（25期）"/>
    <s v="单一计划"/>
    <n v="254.46"/>
    <x v="5"/>
  </r>
  <r>
    <d v="2020-08-31T00:00:00"/>
    <s v="CL0130"/>
    <s v="永诚"/>
    <s v="国寿养老质优稳利基础设施债权投资计划型养老金产品（17期）"/>
    <s v="集合计划"/>
    <n v="239.33"/>
    <x v="4"/>
  </r>
  <r>
    <d v="2020-08-31T00:00:00"/>
    <m/>
    <s v="永丰"/>
    <s v="国寿养老质优稳利基础设施债权投资计划型养老金产品（17期）"/>
    <s v="集合计划"/>
    <n v="216.07"/>
    <x v="4"/>
  </r>
  <r>
    <d v="2020-08-31T00:00:00"/>
    <m/>
    <s v="永福"/>
    <s v="国寿养老质优稳利基础设施债权投资计划型养老金产品（17期）"/>
    <s v="集合计划"/>
    <n v="54"/>
    <x v="4"/>
  </r>
  <r>
    <d v="2020-08-31T00:00:00"/>
    <m/>
    <s v="永乐"/>
    <s v="国寿养老质优稳利基础设施债权投资计划型养老金产品（17期）"/>
    <s v="集合计划"/>
    <n v="11.61"/>
    <x v="4"/>
  </r>
  <r>
    <d v="2020-08-31T00:00:00"/>
    <m/>
    <s v="永睿"/>
    <s v="国寿养老质优稳利基础设施债权投资计划型养老金产品（17期）"/>
    <s v="集合计划"/>
    <n v="79.599999999999994"/>
    <x v="4"/>
  </r>
  <r>
    <d v="2020-08-31T00:00:00"/>
    <m/>
    <s v="永通"/>
    <s v="国寿养老质优稳利基础设施债权投资计划型养老金产品（17期）"/>
    <s v="集合计划"/>
    <n v="174.36"/>
    <x v="4"/>
  </r>
  <r>
    <d v="2020-08-31T00:00:00"/>
    <m/>
    <s v="永颐"/>
    <s v="国寿养老质优稳利基础设施债权投资计划型养老金产品（17期）"/>
    <s v="集合计划"/>
    <n v="2.23"/>
    <x v="4"/>
  </r>
  <r>
    <d v="2020-08-31T00:00:00"/>
    <m/>
    <s v="光大中国烟草总公司安徽省公司企业年金计划国寿组合"/>
    <s v="国寿养老质优稳利基础设施债权投资计划型养老金产品（17期）"/>
    <s v="单一计划"/>
    <n v="1793.5"/>
    <x v="4"/>
  </r>
  <r>
    <d v="2020-08-31T00:00:00"/>
    <s v="CL0132"/>
    <s v="永诚"/>
    <s v="国寿养老质优稳利基础设施债权投资计划型养老金产品（19期）"/>
    <s v="集合计划"/>
    <n v="297.43"/>
    <x v="4"/>
  </r>
  <r>
    <d v="2020-08-31T00:00:00"/>
    <m/>
    <s v="永丰"/>
    <s v="国寿养老质优稳利基础设施债权投资计划型养老金产品（19期）"/>
    <s v="集合计划"/>
    <n v="1342.68"/>
    <x v="4"/>
  </r>
  <r>
    <d v="2020-08-31T00:00:00"/>
    <m/>
    <s v="永福"/>
    <s v="国寿养老质优稳利基础设施债权投资计划型养老金产品（19期）"/>
    <s v="集合计划"/>
    <n v="26.38"/>
    <x v="4"/>
  </r>
  <r>
    <d v="2020-08-31T00:00:00"/>
    <m/>
    <s v="永睿"/>
    <s v="国寿养老质优稳利基础设施债权投资计划型养老金产品（19期）"/>
    <s v="集合计划"/>
    <n v="494.62"/>
    <x v="4"/>
  </r>
  <r>
    <d v="2020-08-31T00:00:00"/>
    <s v="CL0140"/>
    <s v="永福"/>
    <s v="国寿养老稳健9号固定收益型养老金产品"/>
    <s v="集合计划"/>
    <n v="71.59"/>
    <x v="3"/>
  </r>
  <r>
    <d v="2020-08-31T00:00:00"/>
    <m/>
    <s v="永乐"/>
    <s v="国寿养老稳健9号固定收益型养老金产品"/>
    <s v="集合计划"/>
    <n v="21.46"/>
    <x v="3"/>
  </r>
  <r>
    <d v="2020-08-31T00:00:00"/>
    <m/>
    <s v="永睿"/>
    <s v="国寿养老稳健9号固定收益型养老金产品"/>
    <s v="集合计划"/>
    <n v="48.67"/>
    <x v="3"/>
  </r>
  <r>
    <d v="2020-08-31T00:00:00"/>
    <m/>
    <s v="工行中铁四局集团有限公司企业年金计划国寿组合"/>
    <s v="国寿养老稳健9号固定收益型养老金产品"/>
    <s v="单一计划"/>
    <n v="1718.71"/>
    <x v="3"/>
  </r>
  <r>
    <d v="2020-08-31T00:00:00"/>
    <m/>
    <s v="光大银行安徽新华传媒股份有限公司企业年金计划受托直投（国寿）"/>
    <s v="国寿养老稳健9号固定收益型养老金产品"/>
    <s v="单一计划"/>
    <n v="1190.93"/>
    <x v="3"/>
  </r>
  <r>
    <d v="2020-08-31T00:00:00"/>
    <m/>
    <s v="农行安徽古井集团有限责任公司企业年金计划国寿组合"/>
    <s v="国寿养老稳健9号固定收益型养老金产品"/>
    <s v="单一计划"/>
    <n v="13847.3"/>
    <x v="3"/>
  </r>
  <r>
    <d v="2020-08-31T00:00:00"/>
    <m/>
    <s v="中行徽商银行股份有限公司企业年金计划国寿组合"/>
    <s v="国寿养老稳健9号固定收益型养老金产品"/>
    <s v="单一计划"/>
    <n v="7113.59"/>
    <x v="3"/>
  </r>
  <r>
    <d v="2020-08-31T00:00:00"/>
    <s v="CL0048"/>
    <s v="永诚"/>
    <s v="国寿养老安享鑫泰混合型养老金产品"/>
    <s v="集合计划"/>
    <n v="8.5299999999999994"/>
    <x v="2"/>
  </r>
  <r>
    <d v="2020-08-31T00:00:00"/>
    <m/>
    <s v="永福"/>
    <s v="国寿养老安享鑫泰混合型养老金产品"/>
    <s v="集合计划"/>
    <n v="39.380000000000003"/>
    <x v="2"/>
  </r>
  <r>
    <d v="2020-08-31T00:00:00"/>
    <m/>
    <s v="农行安徽古井集团有限责任公司企业年金计划国寿组合"/>
    <s v="国寿养老安享鑫泰混合型养老金产品"/>
    <s v="单一计划"/>
    <n v="4367.28"/>
    <x v="2"/>
  </r>
  <r>
    <d v="2020-08-31T00:00:00"/>
    <s v="CL0158"/>
    <s v="永颐"/>
    <s v="国寿养老配置10号混合型养老金产品"/>
    <s v="集合计划"/>
    <n v="37.14"/>
    <x v="2"/>
  </r>
  <r>
    <d v="2020-08-31T00:00:00"/>
    <s v="CL0084"/>
    <s v="永诚"/>
    <s v="国寿养老配置8号混合型养老金产品"/>
    <s v="集合计划"/>
    <n v="750.64"/>
    <x v="2"/>
  </r>
  <r>
    <d v="2020-08-31T00:00:00"/>
    <m/>
    <s v="永丰"/>
    <s v="国寿养老配置8号混合型养老金产品"/>
    <s v="集合计划"/>
    <n v="4606.42"/>
    <x v="2"/>
  </r>
  <r>
    <d v="2020-08-31T00:00:00"/>
    <m/>
    <s v="永乐"/>
    <s v="国寿养老配置8号混合型养老金产品"/>
    <s v="集合计划"/>
    <n v="250.58"/>
    <x v="2"/>
  </r>
  <r>
    <d v="2020-08-31T00:00:00"/>
    <s v="CL0157"/>
    <s v="永诚"/>
    <s v="国寿养老配置9号混合型养老金产品"/>
    <s v="集合计划"/>
    <n v="365.96"/>
    <x v="2"/>
  </r>
  <r>
    <d v="2020-08-31T00:00:00"/>
    <m/>
    <s v="永丰"/>
    <s v="国寿养老配置9号混合型养老金产品"/>
    <s v="集合计划"/>
    <n v="1089.93"/>
    <x v="2"/>
  </r>
  <r>
    <d v="2020-08-31T00:00:00"/>
    <m/>
    <s v="永乐"/>
    <s v="国寿养老配置9号混合型养老金产品"/>
    <s v="集合计划"/>
    <n v="74.760000000000005"/>
    <x v="2"/>
  </r>
  <r>
    <d v="2020-08-31T00:00:00"/>
    <m/>
    <s v="永颐"/>
    <s v="国寿养老配置9号混合型养老金产品"/>
    <s v="集合计划"/>
    <n v="26.99"/>
    <x v="2"/>
  </r>
  <r>
    <d v="2020-08-31T00:00:00"/>
    <s v="CL0080"/>
    <s v="永诚"/>
    <s v="国寿养老配置4号混合型养老金产品"/>
    <s v="集合计划"/>
    <n v="979.43"/>
    <x v="2"/>
  </r>
  <r>
    <d v="2020-08-31T00:00:00"/>
    <m/>
    <s v="永睿"/>
    <s v="国寿养老配置4号混合型养老金产品"/>
    <s v="集合计划"/>
    <n v="498.87"/>
    <x v="2"/>
  </r>
  <r>
    <d v="2020-08-31T00:00:00"/>
    <m/>
    <s v="工行中铁四局集团有限公司企业年金计划国寿组合"/>
    <s v="国寿养老配置4号混合型养老金产品"/>
    <s v="单一计划"/>
    <n v="3088.32"/>
    <x v="2"/>
  </r>
  <r>
    <d v="2020-08-31T00:00:00"/>
    <s v="CL0102"/>
    <s v="中行淮南矿业（集团）有限责任公司企业年金计划受托直投（国寿）"/>
    <s v="国寿养老质优增益基础设施债权投资计划型养老金产品（3期）"/>
    <s v="单一计划"/>
    <n v="427.55"/>
    <x v="4"/>
  </r>
  <r>
    <d v="2020-08-31T00:00:00"/>
    <s v="CL0108"/>
    <s v="中行淮南矿业（集团）有限责任公司企业年金计划受托直投（国寿）"/>
    <s v="国寿养老质优稳利基础设施债权投资计划型养老金产品（11期）"/>
    <s v="单一计划"/>
    <n v="3026.49"/>
    <x v="4"/>
  </r>
  <r>
    <d v="2020-08-31T00:00:00"/>
    <m/>
    <s v="工行铜陵有色金属集团控股有限公司企业年金计划受托直投（国寿）"/>
    <s v="国寿养老质优稳利基础设施债权投资计划型养老金产品（11期）"/>
    <s v="单一计划"/>
    <n v="1196.57"/>
    <x v="4"/>
  </r>
  <r>
    <d v="2020-08-31T00:00:00"/>
    <s v="CL0115"/>
    <s v="工行铜陵有色金属集团控股有限公司企业年金计划受托直投（国寿）"/>
    <s v="国寿养老红利存款型养老金产品（14期）"/>
    <s v="单一计划"/>
    <n v="233.48"/>
    <x v="8"/>
  </r>
  <r>
    <d v="2020-08-31T00:00:00"/>
    <s v="CL0112"/>
    <s v="民生银行中国民生银行股份有限公司企业年金计划工银瑞信组合"/>
    <s v="国寿养老红利存款型养老金产品（11期）"/>
    <s v="单一计划"/>
    <n v="490.6"/>
    <x v="8"/>
  </r>
  <r>
    <d v="2020-08-31T00:00:00"/>
    <m/>
    <s v="建行神华集团有限责任公司企业年金计划工银瑞信组合"/>
    <s v="国寿养老红利存款型养老金产品（11期）"/>
    <s v="单一计划"/>
    <n v="490.6"/>
    <x v="8"/>
  </r>
  <r>
    <d v="2020-08-31T00:00:00"/>
    <s v="CL0160"/>
    <s v="永诚"/>
    <s v="国寿养老生命周期2040混合型养老金产品"/>
    <s v="集合计划"/>
    <n v="216.87"/>
    <x v="2"/>
  </r>
  <r>
    <d v="2020-08-31T00:00:00"/>
    <m/>
    <s v="永乐"/>
    <s v="国寿养老生命周期2040混合型养老金产品"/>
    <s v="集合计划"/>
    <n v="30.77"/>
    <x v="2"/>
  </r>
  <r>
    <d v="2020-08-31T00:00:00"/>
    <m/>
    <s v="永颐"/>
    <s v="国寿养老生命周期2040混合型养老金产品"/>
    <s v="集合计划"/>
    <n v="95.19"/>
    <x v="2"/>
  </r>
  <r>
    <d v="2020-08-31T00:00:00"/>
    <s v="CL0159"/>
    <s v="永丰"/>
    <s v="国寿养老生命周期2035混合型养老金产品"/>
    <s v="集合计划"/>
    <n v="602.24"/>
    <x v="2"/>
  </r>
  <r>
    <d v="2020-08-31T00:00:00"/>
    <m/>
    <s v="永福"/>
    <s v="国寿养老生命周期2035混合型养老金产品"/>
    <s v="集合计划"/>
    <n v="3.63"/>
    <x v="2"/>
  </r>
  <r>
    <d v="2020-08-31T00:00:00"/>
    <s v="CL0146"/>
    <s v="永颐"/>
    <s v="国寿养老生命周期2030混合型养老金产品"/>
    <s v="集合计划"/>
    <n v="137.31"/>
    <x v="2"/>
  </r>
  <r>
    <d v="2020-09-30T00:00:00"/>
    <s v="CL0001"/>
    <s v="永诚"/>
    <s v="国寿养老红运股票型养老金产品"/>
    <s v="集合计划"/>
    <n v="89.11"/>
    <x v="0"/>
  </r>
  <r>
    <d v="2020-09-30T00:00:00"/>
    <m/>
    <s v="永睿"/>
    <s v="国寿养老红运股票型养老金产品"/>
    <s v="集合计划"/>
    <n v="364.75"/>
    <x v="0"/>
  </r>
  <r>
    <d v="2020-09-30T00:00:00"/>
    <m/>
    <s v="工行中铁四局集团有限公司企业年金计划国寿组合"/>
    <s v="国寿养老红运股票型养老金产品"/>
    <s v="单一计划"/>
    <n v="1252.45"/>
    <x v="0"/>
  </r>
  <r>
    <d v="2020-09-30T00:00:00"/>
    <m/>
    <s v="中行淮南矿业（集团）有限责任公司企业年金计划受托直投（国寿）"/>
    <s v="国寿养老红运股票型养老金产品"/>
    <s v="单一计划"/>
    <n v="2683.9"/>
    <x v="0"/>
  </r>
  <r>
    <d v="2020-09-30T00:00:00"/>
    <m/>
    <s v="农行安徽古井集团有限责任公司企业年金计划国寿组合"/>
    <s v="国寿养老红运股票型养老金产品"/>
    <s v="单一计划"/>
    <n v="389.57"/>
    <x v="0"/>
  </r>
  <r>
    <d v="2020-09-30T00:00:00"/>
    <s v="CL0002"/>
    <s v="永福"/>
    <s v="国寿养老红盛债券型养老金产品"/>
    <s v="集合计划"/>
    <n v="113.99"/>
    <x v="1"/>
  </r>
  <r>
    <d v="2020-09-30T00:00:00"/>
    <m/>
    <s v="永乐"/>
    <s v="国寿养老红盛债券型养老金产品"/>
    <s v="集合计划"/>
    <n v="46.08"/>
    <x v="1"/>
  </r>
  <r>
    <d v="2020-09-30T00:00:00"/>
    <m/>
    <s v="永颐"/>
    <s v="国寿养老红盛债券型养老金产品"/>
    <s v="集合计划"/>
    <n v="215.17"/>
    <x v="1"/>
  </r>
  <r>
    <d v="2020-09-30T00:00:00"/>
    <m/>
    <s v="工行安徽省高速公路控股集团有限公司企业年金计划国寿组合"/>
    <s v="国寿养老红盛债券型养老金产品"/>
    <s v="单一计划"/>
    <n v="1159.99"/>
    <x v="1"/>
  </r>
  <r>
    <d v="2020-09-30T00:00:00"/>
    <m/>
    <s v="工行中铁四局集团有限公司企业年金计划国寿组合"/>
    <s v="国寿养老红盛债券型养老金产品"/>
    <s v="单一计划"/>
    <n v="927.2"/>
    <x v="1"/>
  </r>
  <r>
    <d v="2020-09-30T00:00:00"/>
    <m/>
    <s v="中行国网安徽省电力公司企业年金计划养老金专户平安组合"/>
    <s v="国寿养老红盛债券型养老金产品"/>
    <s v="单一计划"/>
    <n v="5342.29"/>
    <x v="1"/>
  </r>
  <r>
    <d v="2020-09-30T00:00:00"/>
    <m/>
    <s v="安徽省壹号职业年金计划国寿组合"/>
    <s v="国寿养老红盛债券型养老金产品"/>
    <s v="职业年金"/>
    <n v="9454.26"/>
    <x v="1"/>
  </r>
  <r>
    <d v="2020-09-30T00:00:00"/>
    <m/>
    <s v="安徽省壹号职业年金计划国寿信托组合"/>
    <s v="国寿养老红盛债券型养老金产品"/>
    <s v="职业年金"/>
    <n v="4366.1899999999996"/>
    <x v="1"/>
  </r>
  <r>
    <d v="2020-09-30T00:00:00"/>
    <m/>
    <s v="安徽省肆号职业年金计划国寿组合"/>
    <s v="国寿养老红盛债券型养老金产品"/>
    <s v="职业年金"/>
    <n v="2926.98"/>
    <x v="1"/>
  </r>
  <r>
    <d v="2020-09-30T00:00:00"/>
    <s v="CL0003"/>
    <s v="永丰"/>
    <s v="国寿养老红运混合型养老金产品"/>
    <s v="集合计划"/>
    <n v="124.9"/>
    <x v="2"/>
  </r>
  <r>
    <d v="2020-09-30T00:00:00"/>
    <m/>
    <s v="永乐"/>
    <s v="国寿养老红运混合型养老金产品"/>
    <s v="集合计划"/>
    <n v="23.69"/>
    <x v="2"/>
  </r>
  <r>
    <d v="2020-09-30T00:00:00"/>
    <m/>
    <s v="永睿"/>
    <s v="国寿养老红运混合型养老金产品"/>
    <s v="集合计划"/>
    <n v="30.51"/>
    <x v="2"/>
  </r>
  <r>
    <d v="2020-09-30T00:00:00"/>
    <m/>
    <s v="永通"/>
    <s v="国寿养老红运混合型养老金产品"/>
    <s v="集合计划"/>
    <n v="321.82"/>
    <x v="2"/>
  </r>
  <r>
    <d v="2020-09-30T00:00:00"/>
    <m/>
    <s v="永颐"/>
    <s v="国寿养老红运混合型养老金产品"/>
    <s v="集合计划"/>
    <n v="43.51"/>
    <x v="2"/>
  </r>
  <r>
    <d v="2020-09-30T00:00:00"/>
    <m/>
    <s v="中行淮南矿业（集团）有限责任公司企业年金计划受托直投（国寿）"/>
    <s v="国寿养老红运混合型养老金产品"/>
    <s v="单一计划"/>
    <n v="5612.65"/>
    <x v="2"/>
  </r>
  <r>
    <d v="2020-09-30T00:00:00"/>
    <m/>
    <s v="光大银行安徽新华传媒股份有限公司企业年金计划受托直投（国寿）"/>
    <s v="国寿养老红运混合型养老金产品"/>
    <s v="单一计划"/>
    <n v="1192.5"/>
    <x v="2"/>
  </r>
  <r>
    <d v="2020-09-30T00:00:00"/>
    <m/>
    <s v="安徽省壹号职业年金计划国寿信托组合"/>
    <s v="国寿养老红运混合型养老金产品"/>
    <s v="职业年金"/>
    <n v="25492.45"/>
    <x v="2"/>
  </r>
  <r>
    <d v="2020-09-30T00:00:00"/>
    <m/>
    <s v="民生安徽省玖号职业年金计划国寿组合"/>
    <s v="国寿养老红运混合型养老金产品"/>
    <s v="职业年金"/>
    <n v="7870.99"/>
    <x v="2"/>
  </r>
  <r>
    <d v="2020-09-30T00:00:00"/>
    <s v="CL0004"/>
    <s v="永诚"/>
    <s v="国寿养老红盛混合型养老金产品"/>
    <s v="集合计划"/>
    <n v="151.65"/>
    <x v="2"/>
  </r>
  <r>
    <d v="2020-09-30T00:00:00"/>
    <m/>
    <s v="永乐"/>
    <s v="国寿养老红盛混合型养老金产品"/>
    <s v="集合计划"/>
    <n v="63.76"/>
    <x v="2"/>
  </r>
  <r>
    <d v="2020-09-30T00:00:00"/>
    <m/>
    <s v="永通"/>
    <s v="国寿养老红盛混合型养老金产品"/>
    <s v="集合计划"/>
    <n v="200.91"/>
    <x v="2"/>
  </r>
  <r>
    <d v="2020-09-30T00:00:00"/>
    <m/>
    <s v="永颐"/>
    <s v="国寿养老红盛混合型养老金产品"/>
    <s v="集合计划"/>
    <n v="73.64"/>
    <x v="2"/>
  </r>
  <r>
    <d v="2020-09-30T00:00:00"/>
    <m/>
    <s v="中行淮南矿业（集团）有限责任公司企业年金计划受托直投（国寿）"/>
    <s v="国寿养老红盛混合型养老金产品"/>
    <s v="单一计划"/>
    <n v="5230.45"/>
    <x v="2"/>
  </r>
  <r>
    <d v="2020-09-30T00:00:00"/>
    <m/>
    <s v="光大银行安徽新华传媒股份有限公司企业年金计划受托直投（国寿）"/>
    <s v="国寿养老红盛混合型养老金产品"/>
    <s v="单一计划"/>
    <n v="623.46"/>
    <x v="2"/>
  </r>
  <r>
    <d v="2020-09-30T00:00:00"/>
    <m/>
    <s v="安徽省壹号职业年金计划国寿信托组合"/>
    <s v="国寿养老红盛混合型养老金产品"/>
    <s v="职业年金"/>
    <n v="24966.5"/>
    <x v="2"/>
  </r>
  <r>
    <d v="2020-09-30T00:00:00"/>
    <m/>
    <s v="民生安徽省玖号职业年金计划国寿组合"/>
    <s v="国寿养老红盛混合型养老金产品"/>
    <s v="职业年金"/>
    <n v="7744.63"/>
    <x v="2"/>
  </r>
  <r>
    <d v="2020-09-30T00:00:00"/>
    <s v="CL0005"/>
    <s v="永诚"/>
    <s v="国寿养老红运固定收益型养老金产品"/>
    <s v="集合计划"/>
    <n v="135.09"/>
    <x v="3"/>
  </r>
  <r>
    <d v="2020-09-30T00:00:00"/>
    <m/>
    <s v="永福"/>
    <s v="国寿养老红运固定收益型养老金产品"/>
    <s v="集合计划"/>
    <n v="22.82"/>
    <x v="3"/>
  </r>
  <r>
    <d v="2020-09-30T00:00:00"/>
    <m/>
    <s v="永睿"/>
    <s v="国寿养老红运固定收益型养老金产品"/>
    <s v="集合计划"/>
    <n v="105"/>
    <x v="3"/>
  </r>
  <r>
    <d v="2020-09-30T00:00:00"/>
    <m/>
    <s v="永通"/>
    <s v="国寿养老红运固定收益型养老金产品"/>
    <s v="集合计划"/>
    <n v="183.24"/>
    <x v="3"/>
  </r>
  <r>
    <d v="2020-09-30T00:00:00"/>
    <m/>
    <s v="永祥"/>
    <s v="国寿养老红运固定收益型养老金产品"/>
    <s v="集合计划"/>
    <n v="17.190000000000001"/>
    <x v="3"/>
  </r>
  <r>
    <d v="2020-09-30T00:00:00"/>
    <m/>
    <s v="工行安徽省高速公路控股集团有限公司企业年金计划国寿组合"/>
    <s v="国寿养老红运固定收益型养老金产品"/>
    <s v="单一计划"/>
    <n v="943.9"/>
    <x v="3"/>
  </r>
  <r>
    <d v="2020-09-30T00:00:00"/>
    <m/>
    <s v="工行中铁四局集团有限公司企业年金计划国寿组合"/>
    <s v="国寿养老红运固定收益型养老金产品"/>
    <s v="单一计划"/>
    <n v="2189.39"/>
    <x v="3"/>
  </r>
  <r>
    <d v="2020-09-30T00:00:00"/>
    <m/>
    <s v="光大银行安徽新华传媒股份有限公司企业年金计划受托直投（国寿）"/>
    <s v="国寿养老红运固定收益型养老金产品"/>
    <s v="单一计划"/>
    <n v="1569.43"/>
    <x v="3"/>
  </r>
  <r>
    <d v="2020-09-30T00:00:00"/>
    <m/>
    <s v="建行建信养老金管理有限责任公司企业年金计划建信组合"/>
    <s v="国寿养老红运固定收益型养老金产品"/>
    <s v="单一计划"/>
    <n v="2412.09"/>
    <x v="3"/>
  </r>
  <r>
    <d v="2020-09-30T00:00:00"/>
    <m/>
    <s v="中行徽商银行股份有限公司企业年金计划国寿组合"/>
    <s v="国寿养老红运固定收益型养老金产品"/>
    <s v="单一计划"/>
    <n v="7856.72"/>
    <x v="3"/>
  </r>
  <r>
    <d v="2020-09-30T00:00:00"/>
    <s v="CL0007"/>
    <s v="永诚"/>
    <s v="国寿养老红利基础设施债权投资计划型养老金产品"/>
    <s v="集合计划"/>
    <n v="115.66"/>
    <x v="4"/>
  </r>
  <r>
    <d v="2020-09-30T00:00:00"/>
    <m/>
    <s v="永丰"/>
    <s v="国寿养老红利基础设施债权投资计划型养老金产品"/>
    <s v="集合计划"/>
    <n v="1180.33"/>
    <x v="4"/>
  </r>
  <r>
    <d v="2020-09-30T00:00:00"/>
    <m/>
    <s v="永福"/>
    <s v="国寿养老红利基础设施债权投资计划型养老金产品"/>
    <s v="集合计划"/>
    <n v="47.69"/>
    <x v="4"/>
  </r>
  <r>
    <d v="2020-09-30T00:00:00"/>
    <m/>
    <s v="永乐"/>
    <s v="国寿养老红利基础设施债权投资计划型养老金产品"/>
    <s v="集合计划"/>
    <n v="30.96"/>
    <x v="4"/>
  </r>
  <r>
    <d v="2020-09-30T00:00:00"/>
    <m/>
    <s v="永睿"/>
    <s v="国寿养老红利基础设施债权投资计划型养老金产品"/>
    <s v="集合计划"/>
    <n v="61.76"/>
    <x v="4"/>
  </r>
  <r>
    <d v="2020-09-30T00:00:00"/>
    <m/>
    <s v="永通"/>
    <s v="国寿养老红利基础设施债权投资计划型养老金产品"/>
    <s v="集合计划"/>
    <n v="385.2"/>
    <x v="4"/>
  </r>
  <r>
    <d v="2020-09-30T00:00:00"/>
    <m/>
    <s v="永祥"/>
    <s v="国寿养老红利基础设施债权投资计划型养老金产品"/>
    <s v="集合计划"/>
    <n v="42.79"/>
    <x v="4"/>
  </r>
  <r>
    <d v="2020-09-30T00:00:00"/>
    <m/>
    <s v="永颐"/>
    <s v="国寿养老红利基础设施债权投资计划型养老金产品"/>
    <s v="集合计划"/>
    <n v="216.22"/>
    <x v="4"/>
  </r>
  <r>
    <d v="2020-09-30T00:00:00"/>
    <m/>
    <s v="中行安徽省皖北煤电集团有限责任公司企业年金计划国寿组合"/>
    <s v="国寿养老红利基础设施债权投资计划型养老金产品"/>
    <s v="单一计划"/>
    <n v="5944.54"/>
    <x v="4"/>
  </r>
  <r>
    <d v="2020-09-30T00:00:00"/>
    <m/>
    <s v="工行安徽中烟工业有限责任公司企业年金计划国寿组合"/>
    <s v="国寿养老红利基础设施债权投资计划型养老金产品"/>
    <s v="单一计划"/>
    <n v="2565.46"/>
    <x v="4"/>
  </r>
  <r>
    <d v="2020-09-30T00:00:00"/>
    <m/>
    <s v="交行安徽省徽商集团有限公司企业年金计划国寿组合"/>
    <s v="国寿养老红利基础设施债权投资计划型养老金产品"/>
    <s v="单一计划"/>
    <n v="1537.25"/>
    <x v="4"/>
  </r>
  <r>
    <d v="2020-09-30T00:00:00"/>
    <m/>
    <s v="工行中铁四局集团有限公司企业年金计划国寿组合"/>
    <s v="国寿养老红利基础设施债权投资计划型养老金产品"/>
    <s v="单一计划"/>
    <n v="3768.82"/>
    <x v="4"/>
  </r>
  <r>
    <d v="2020-09-30T00:00:00"/>
    <m/>
    <s v="中行淮南矿业（集团）有限责任公司企业年金计划海富通组合"/>
    <s v="国寿养老红利基础设施债权投资计划型养老金产品"/>
    <s v="单一计划"/>
    <n v="12411.23"/>
    <x v="4"/>
  </r>
  <r>
    <d v="2020-09-30T00:00:00"/>
    <m/>
    <s v="中行淮南矿业（集团）有限责任公司企业年金计划受托直投（国寿）"/>
    <s v="国寿养老红利基础设施债权投资计划型养老金产品"/>
    <s v="单一计划"/>
    <n v="11558.96"/>
    <x v="4"/>
  </r>
  <r>
    <d v="2020-09-30T00:00:00"/>
    <m/>
    <s v="中行安徽省皖北煤电集团有限责任公司企业年金计划国寿债权组合"/>
    <s v="国寿养老红利基础设施债权投资计划型养老金产品"/>
    <s v="单一计划"/>
    <n v="8895.48"/>
    <x v="4"/>
  </r>
  <r>
    <d v="2020-09-30T00:00:00"/>
    <m/>
    <s v="光大中国烟草总公司安徽省公司企业年金计划平安固收组合"/>
    <s v="国寿养老红利基础设施债权投资计划型养老金产品"/>
    <s v="单一计划"/>
    <n v="13901.03"/>
    <x v="4"/>
  </r>
  <r>
    <d v="2020-09-30T00:00:00"/>
    <m/>
    <s v="中行国网安徽省电力公司企业年金计划养老金专户平安组合"/>
    <s v="国寿养老红利基础设施债权投资计划型养老金产品"/>
    <s v="单一计划"/>
    <n v="2398.11"/>
    <x v="4"/>
  </r>
  <r>
    <d v="2020-09-30T00:00:00"/>
    <m/>
    <s v="中行马钢（集团）控股有限公司企业年金计划海富通组合"/>
    <s v="国寿养老红利基础设施债权投资计划型养老金产品"/>
    <s v="单一计划"/>
    <n v="3975.84"/>
    <x v="4"/>
  </r>
  <r>
    <d v="2020-09-30T00:00:00"/>
    <m/>
    <s v="工行铜陵有色金属集团控股有限公司企业年金计划海富通组合"/>
    <s v="国寿养老红利基础设施债权投资计划型养老金产品"/>
    <s v="单一计划"/>
    <n v="2346.1799999999998"/>
    <x v="4"/>
  </r>
  <r>
    <d v="2020-09-30T00:00:00"/>
    <m/>
    <s v="中国银行淮北矿业（集团）有限责任公司企业年金计划海富通组合"/>
    <s v="国寿养老红利基础设施债权投资计划型养老金产品"/>
    <s v="单一计划"/>
    <n v="9366.6200000000008"/>
    <x v="4"/>
  </r>
  <r>
    <d v="2020-09-30T00:00:00"/>
    <m/>
    <s v="工行安徽中烟工业有限责任公司企业年金计划海富通组合"/>
    <s v="国寿养老红利基础设施债权投资计划型养老金产品"/>
    <s v="单一计划"/>
    <n v="1876.95"/>
    <x v="4"/>
  </r>
  <r>
    <d v="2020-09-30T00:00:00"/>
    <m/>
    <s v="安徽省壹号职业年金计划国寿组合"/>
    <s v="国寿养老红利基础设施债权投资计划型养老金产品"/>
    <s v="职业年金"/>
    <n v="37943.85"/>
    <x v="4"/>
  </r>
  <r>
    <d v="2020-09-30T00:00:00"/>
    <m/>
    <s v="安徽省肆号职业年金计划国寿组合"/>
    <s v="国寿养老红利基础设施债权投资计划型养老金产品"/>
    <s v="职业年金"/>
    <n v="30951.29"/>
    <x v="4"/>
  </r>
  <r>
    <d v="2020-09-30T00:00:00"/>
    <m/>
    <s v="农行安徽古井集团有限责任公司企业年金计划国寿组合"/>
    <s v="国寿养老红利基础设施债权投资计划型养老金产品"/>
    <s v="单一计划"/>
    <n v="1161.22"/>
    <x v="4"/>
  </r>
  <r>
    <d v="2020-09-30T00:00:00"/>
    <m/>
    <s v="民生安徽省玖号职业年金计划国寿组合"/>
    <s v="国寿养老红利基础设施债权投资计划型养老金产品"/>
    <s v="职业年金"/>
    <n v="7683.72"/>
    <x v="4"/>
  </r>
  <r>
    <d v="2020-09-30T00:00:00"/>
    <m/>
    <s v="农行海航集团有限公司企业年金计划海富通组合"/>
    <s v="国寿养老红利基础设施债权投资计划型养老金产品"/>
    <s v="单一计划"/>
    <n v="2346.1799999999998"/>
    <x v="4"/>
  </r>
  <r>
    <d v="2020-09-30T00:00:00"/>
    <s v="CL0008"/>
    <s v="永诚"/>
    <s v="国寿养老红利信托产品型养老金产品"/>
    <s v="集合计划"/>
    <n v="1755.47"/>
    <x v="5"/>
  </r>
  <r>
    <d v="2020-09-30T00:00:00"/>
    <m/>
    <s v="永丰"/>
    <s v="国寿养老红利信托产品型养老金产品"/>
    <s v="集合计划"/>
    <n v="9473.76"/>
    <x v="5"/>
  </r>
  <r>
    <d v="2020-09-30T00:00:00"/>
    <m/>
    <s v="永福"/>
    <s v="国寿养老红利信托产品型养老金产品"/>
    <s v="集合计划"/>
    <n v="74.75"/>
    <x v="5"/>
  </r>
  <r>
    <d v="2020-09-30T00:00:00"/>
    <m/>
    <s v="永乐"/>
    <s v="国寿养老红利信托产品型养老金产品"/>
    <s v="集合计划"/>
    <n v="33.07"/>
    <x v="5"/>
  </r>
  <r>
    <d v="2020-09-30T00:00:00"/>
    <m/>
    <s v="永睿"/>
    <s v="国寿养老红利信托产品型养老金产品"/>
    <s v="集合计划"/>
    <n v="2618.52"/>
    <x v="5"/>
  </r>
  <r>
    <d v="2020-09-30T00:00:00"/>
    <m/>
    <s v="永通"/>
    <s v="国寿养老红利信托产品型养老金产品"/>
    <s v="集合计划"/>
    <n v="977.18"/>
    <x v="5"/>
  </r>
  <r>
    <d v="2020-09-30T00:00:00"/>
    <m/>
    <s v="永祥"/>
    <s v="国寿养老红利信托产品型养老金产品"/>
    <s v="集合计划"/>
    <n v="10.78"/>
    <x v="5"/>
  </r>
  <r>
    <d v="2020-09-30T00:00:00"/>
    <m/>
    <s v="永颐"/>
    <s v="国寿养老红利信托产品型养老金产品"/>
    <s v="集合计划"/>
    <n v="522.46"/>
    <x v="5"/>
  </r>
  <r>
    <d v="2020-09-30T00:00:00"/>
    <m/>
    <s v="中行安徽省皖北煤电集团有限责任公司企业年金计划国寿组合"/>
    <s v="国寿养老红利信托产品型养老金产品"/>
    <s v="单一计划"/>
    <n v="2390.33"/>
    <x v="5"/>
  </r>
  <r>
    <d v="2020-09-30T00:00:00"/>
    <m/>
    <s v="工行安徽省高速公路控股集团有限公司企业年金计划国寿组合"/>
    <s v="国寿养老红利信托产品型养老金产品"/>
    <s v="单一计划"/>
    <n v="2576.4699999999998"/>
    <x v="5"/>
  </r>
  <r>
    <d v="2020-09-30T00:00:00"/>
    <m/>
    <s v="工行安徽中烟工业有限责任公司企业年金计划国寿组合"/>
    <s v="国寿养老红利信托产品型养老金产品"/>
    <s v="单一计划"/>
    <n v="6362.73"/>
    <x v="5"/>
  </r>
  <r>
    <d v="2020-09-30T00:00:00"/>
    <m/>
    <s v="光大中国烟草总公司安徽省公司企业年金计划国寿组合"/>
    <s v="国寿养老红利信托产品型养老金产品"/>
    <s v="单一计划"/>
    <n v="299.67"/>
    <x v="5"/>
  </r>
  <r>
    <d v="2020-09-30T00:00:00"/>
    <m/>
    <s v="交行安徽省徽商集团有限公司企业年金计划国寿组合"/>
    <s v="国寿养老红利信托产品型养老金产品"/>
    <s v="单一计划"/>
    <n v="712.52"/>
    <x v="5"/>
  </r>
  <r>
    <d v="2020-09-30T00:00:00"/>
    <m/>
    <s v="工行中铁四局集团有限公司企业年金计划国寿组合"/>
    <s v="国寿养老红利信托产品型养老金产品"/>
    <s v="单一计划"/>
    <n v="2937.53"/>
    <x v="5"/>
  </r>
  <r>
    <d v="2020-09-30T00:00:00"/>
    <m/>
    <s v="工行铜陵有色金属集团控股有限公司企业年金计划受托直投（国寿）"/>
    <s v="国寿养老红利信托产品型养老金产品"/>
    <s v="单一计划"/>
    <n v="2212.79"/>
    <x v="5"/>
  </r>
  <r>
    <d v="2020-09-30T00:00:00"/>
    <m/>
    <s v="中行国网安徽省电力公司企业年金计划国寿组合"/>
    <s v="国寿养老红利信托产品型养老金产品"/>
    <s v="单一计划"/>
    <n v="14472.48"/>
    <x v="5"/>
  </r>
  <r>
    <d v="2020-09-30T00:00:00"/>
    <m/>
    <s v="中行国网安徽省电力公司企业年金计划养老金专户平安组合"/>
    <s v="国寿养老红利信托产品型养老金产品"/>
    <s v="单一计划"/>
    <n v="1155.42"/>
    <x v="5"/>
  </r>
  <r>
    <d v="2020-09-30T00:00:00"/>
    <m/>
    <s v="光大银行安徽新华传媒股份有限公司企业年金计划受托直投（国寿）"/>
    <s v="国寿养老红利信托产品型养老金产品"/>
    <s v="单一计划"/>
    <n v="1768.95"/>
    <x v="5"/>
  </r>
  <r>
    <d v="2020-09-30T00:00:00"/>
    <m/>
    <s v="中国银行河钢股份有限公司唐山分公司企业年金计划（嘉实）"/>
    <s v="国寿养老红利信托产品型养老金产品"/>
    <s v="单一计划"/>
    <n v="1487.08"/>
    <x v="5"/>
  </r>
  <r>
    <d v="2020-09-30T00:00:00"/>
    <m/>
    <s v="安徽省壹号职业年金计划国寿组合"/>
    <s v="国寿养老红利信托产品型养老金产品"/>
    <s v="职业年金"/>
    <n v="12467.47"/>
    <x v="5"/>
  </r>
  <r>
    <d v="2020-09-30T00:00:00"/>
    <m/>
    <s v="安徽省壹号职业年金计划国寿信托组合"/>
    <s v="国寿养老红利信托产品型养老金产品"/>
    <s v="职业年金"/>
    <n v="380429.05"/>
    <x v="5"/>
  </r>
  <r>
    <d v="2020-09-30T00:00:00"/>
    <m/>
    <s v="安徽省肆号职业年金计划国寿组合"/>
    <s v="国寿养老红利信托产品型养老金产品"/>
    <s v="职业年金"/>
    <n v="7047.3"/>
    <x v="5"/>
  </r>
  <r>
    <d v="2020-09-30T00:00:00"/>
    <m/>
    <s v="农行安徽古井集团有限责任公司企业年金计划国寿组合"/>
    <s v="国寿养老红利信托产品型养老金产品"/>
    <s v="单一计划"/>
    <n v="2174.81"/>
    <x v="5"/>
  </r>
  <r>
    <d v="2020-09-30T00:00:00"/>
    <m/>
    <s v="民生安徽省玖号职业年金计划国寿组合"/>
    <s v="国寿养老红利信托产品型养老金产品"/>
    <s v="职业年金"/>
    <n v="6229.62"/>
    <x v="5"/>
  </r>
  <r>
    <d v="2020-09-30T00:00:00"/>
    <s v="CL0010"/>
    <s v="永诚"/>
    <s v="国寿养老红泰优先股型养老金产品（1期）"/>
    <s v="集合计划"/>
    <n v="45.61"/>
    <x v="6"/>
  </r>
  <r>
    <d v="2020-09-30T00:00:00"/>
    <m/>
    <s v="永丰"/>
    <s v="国寿养老红泰优先股型养老金产品（1期）"/>
    <s v="集合计划"/>
    <n v="0.84"/>
    <x v="6"/>
  </r>
  <r>
    <d v="2020-09-30T00:00:00"/>
    <m/>
    <s v="永福"/>
    <s v="国寿养老红泰优先股型养老金产品（1期）"/>
    <s v="集合计划"/>
    <n v="0.98"/>
    <x v="6"/>
  </r>
  <r>
    <d v="2020-09-30T00:00:00"/>
    <m/>
    <s v="永睿"/>
    <s v="国寿养老红泰优先股型养老金产品（1期）"/>
    <s v="集合计划"/>
    <n v="37.299999999999997"/>
    <x v="6"/>
  </r>
  <r>
    <d v="2020-09-30T00:00:00"/>
    <m/>
    <s v="永通"/>
    <s v="国寿养老红泰优先股型养老金产品（1期）"/>
    <s v="集合计划"/>
    <n v="23.91"/>
    <x v="6"/>
  </r>
  <r>
    <d v="2020-09-30T00:00:00"/>
    <m/>
    <s v="永祥"/>
    <s v="国寿养老红泰优先股型养老金产品（1期）"/>
    <s v="集合计划"/>
    <n v="0.92"/>
    <x v="6"/>
  </r>
  <r>
    <d v="2020-09-30T00:00:00"/>
    <m/>
    <s v="永颐"/>
    <s v="国寿养老红泰优先股型养老金产品（1期）"/>
    <s v="集合计划"/>
    <n v="16.47"/>
    <x v="6"/>
  </r>
  <r>
    <d v="2020-09-30T00:00:00"/>
    <s v="CL0011"/>
    <s v="永诚"/>
    <s v="国寿养老现金增利货币型养老金产品"/>
    <s v="集合计划"/>
    <n v="481.81"/>
    <x v="7"/>
  </r>
  <r>
    <d v="2020-09-30T00:00:00"/>
    <m/>
    <s v="永丰"/>
    <s v="国寿养老现金增利货币型养老金产品"/>
    <s v="集合计划"/>
    <n v="2029.1"/>
    <x v="7"/>
  </r>
  <r>
    <d v="2020-09-30T00:00:00"/>
    <m/>
    <s v="永福"/>
    <s v="国寿养老现金增利货币型养老金产品"/>
    <s v="集合计划"/>
    <n v="88.8"/>
    <x v="7"/>
  </r>
  <r>
    <d v="2020-09-30T00:00:00"/>
    <m/>
    <s v="永乐"/>
    <s v="国寿养老现金增利货币型养老金产品"/>
    <s v="集合计划"/>
    <n v="63.83"/>
    <x v="7"/>
  </r>
  <r>
    <d v="2020-09-30T00:00:00"/>
    <m/>
    <s v="永睿"/>
    <s v="国寿养老现金增利货币型养老金产品"/>
    <s v="集合计划"/>
    <n v="1076.54"/>
    <x v="7"/>
  </r>
  <r>
    <d v="2020-09-30T00:00:00"/>
    <m/>
    <s v="永通"/>
    <s v="国寿养老现金增利货币型养老金产品"/>
    <s v="集合计划"/>
    <n v="559.25"/>
    <x v="7"/>
  </r>
  <r>
    <d v="2020-09-30T00:00:00"/>
    <m/>
    <s v="永祥"/>
    <s v="国寿养老现金增利货币型养老金产品"/>
    <s v="集合计划"/>
    <n v="9.48"/>
    <x v="7"/>
  </r>
  <r>
    <d v="2020-09-30T00:00:00"/>
    <m/>
    <s v="永颐"/>
    <s v="国寿养老现金增利货币型养老金产品"/>
    <s v="集合计划"/>
    <n v="437.76"/>
    <x v="7"/>
  </r>
  <r>
    <d v="2020-09-30T00:00:00"/>
    <m/>
    <s v="中行安徽省皖北煤电集团有限责任公司企业年金计划国寿组合"/>
    <s v="国寿养老现金增利货币型养老金产品"/>
    <s v="单一计划"/>
    <n v="1827.49"/>
    <x v="7"/>
  </r>
  <r>
    <d v="2020-09-30T00:00:00"/>
    <m/>
    <s v="光大中国烟草总公司安徽省公司企业年金计划国寿组合"/>
    <s v="国寿养老现金增利货币型养老金产品"/>
    <s v="单一计划"/>
    <n v="4988.32"/>
    <x v="7"/>
  </r>
  <r>
    <d v="2020-09-30T00:00:00"/>
    <m/>
    <s v="交行安徽省徽商集团有限公司企业年金计划国寿组合"/>
    <s v="国寿养老现金增利货币型养老金产品"/>
    <s v="单一计划"/>
    <n v="560.96"/>
    <x v="7"/>
  </r>
  <r>
    <d v="2020-09-30T00:00:00"/>
    <m/>
    <s v="工行中铁四局集团有限公司企业年金计划国寿组合"/>
    <s v="国寿养老现金增利货币型养老金产品"/>
    <s v="单一计划"/>
    <n v="1726.31"/>
    <x v="7"/>
  </r>
  <r>
    <d v="2020-09-30T00:00:00"/>
    <m/>
    <s v="中行淮南矿业（集团）有限责任公司企业年金计划受托直投（国寿）"/>
    <s v="国寿养老现金增利货币型养老金产品"/>
    <s v="单一计划"/>
    <n v="10968.83"/>
    <x v="7"/>
  </r>
  <r>
    <d v="2020-09-30T00:00:00"/>
    <m/>
    <s v="中行安徽省皖北煤电集团有限责任公司企业年金计划国寿债权组合"/>
    <s v="国寿养老现金增利货币型养老金产品"/>
    <s v="单一计划"/>
    <n v="6235.88"/>
    <x v="7"/>
  </r>
  <r>
    <d v="2020-09-30T00:00:00"/>
    <m/>
    <s v="工行铜陵有色金属集团控股有限公司企业年金计划受托直投（国寿）"/>
    <s v="国寿养老现金增利货币型养老金产品"/>
    <s v="单一计划"/>
    <n v="1010.91"/>
    <x v="7"/>
  </r>
  <r>
    <d v="2020-09-30T00:00:00"/>
    <m/>
    <s v="中行安徽省皖北煤电集团有限责任公司企业年金计划受托直投（国寿）"/>
    <s v="国寿养老现金增利货币型养老金产品"/>
    <s v="单一计划"/>
    <n v="6258.64"/>
    <x v="7"/>
  </r>
  <r>
    <d v="2020-09-30T00:00:00"/>
    <m/>
    <s v="中行国网安徽省电力公司企业年金计划国寿组合"/>
    <s v="国寿养老现金增利货币型养老金产品"/>
    <s v="单一计划"/>
    <n v="9386.3799999999992"/>
    <x v="7"/>
  </r>
  <r>
    <d v="2020-09-30T00:00:00"/>
    <m/>
    <s v="光大银行安徽新华传媒股份有限公司企业年金计划受托直投（国寿）"/>
    <s v="国寿养老现金增利货币型养老金产品"/>
    <s v="单一计划"/>
    <n v="1166.46"/>
    <x v="7"/>
  </r>
  <r>
    <d v="2020-09-30T00:00:00"/>
    <m/>
    <s v="工行昆明铁路局企业年金计划海富通组合"/>
    <s v="国寿养老现金增利货币型养老金产品"/>
    <s v="单一计划"/>
    <n v="2196.83"/>
    <x v="7"/>
  </r>
  <r>
    <d v="2020-09-30T00:00:00"/>
    <m/>
    <s v="安徽省壹号职业年金计划国寿组合"/>
    <s v="国寿养老现金增利货币型养老金产品"/>
    <s v="职业年金"/>
    <n v="11106.64"/>
    <x v="7"/>
  </r>
  <r>
    <d v="2020-09-30T00:00:00"/>
    <m/>
    <s v="安徽省壹号职业年金计划国寿信托组合"/>
    <s v="国寿养老现金增利货币型养老金产品"/>
    <s v="职业年金"/>
    <n v="4038.55"/>
    <x v="7"/>
  </r>
  <r>
    <d v="2020-09-30T00:00:00"/>
    <m/>
    <s v="安徽省肆号职业年金计划国寿组合"/>
    <s v="国寿养老现金增利货币型养老金产品"/>
    <s v="职业年金"/>
    <n v="9105.33"/>
    <x v="7"/>
  </r>
  <r>
    <d v="2020-09-30T00:00:00"/>
    <m/>
    <s v="农行安徽古井集团有限责任公司企业年金计划国寿组合"/>
    <s v="国寿养老现金增利货币型养老金产品"/>
    <s v="单一计划"/>
    <n v="1422.37"/>
    <x v="7"/>
  </r>
  <r>
    <d v="2020-09-30T00:00:00"/>
    <m/>
    <s v="民生安徽省玖号职业年金计划国寿组合"/>
    <s v="国寿养老现金增利货币型养老金产品"/>
    <s v="职业年金"/>
    <n v="3531.88"/>
    <x v="7"/>
  </r>
  <r>
    <d v="2020-09-30T00:00:00"/>
    <m/>
    <s v="中行徽商银行股份有限公司企业年金计划国寿组合"/>
    <s v="国寿养老现金增利货币型养老金产品"/>
    <s v="单一计划"/>
    <n v="4347.1899999999996"/>
    <x v="7"/>
  </r>
  <r>
    <d v="2020-09-30T00:00:00"/>
    <s v="CL0012"/>
    <s v="中信北京农村商业银行股份有限公司企业年金计划嘉实组合"/>
    <s v="国寿养老红利存款型养老金产品（1期）"/>
    <s v="单一计划"/>
    <n v="14981.78"/>
    <x v="8"/>
  </r>
  <r>
    <d v="2020-09-30T00:00:00"/>
    <m/>
    <s v="建行厦门港务控股集团有限公司企业年金计划嘉实组合"/>
    <s v="国寿养老红利存款型养老金产品（1期）"/>
    <s v="单一计划"/>
    <n v="3995.14"/>
    <x v="8"/>
  </r>
  <r>
    <d v="2020-09-30T00:00:00"/>
    <s v="CL0013"/>
    <s v="永丰"/>
    <s v="国寿养老质优稳利基础设施债权投资计划型养老金产品（1期）"/>
    <s v="集合计划"/>
    <n v="333.06"/>
    <x v="4"/>
  </r>
  <r>
    <d v="2020-09-30T00:00:00"/>
    <m/>
    <s v="永睿"/>
    <s v="国寿养老质优稳利基础设施债权投资计划型养老金产品（1期）"/>
    <s v="集合计划"/>
    <n v="169.89"/>
    <x v="4"/>
  </r>
  <r>
    <d v="2020-09-30T00:00:00"/>
    <s v="CL0014"/>
    <s v="永诚"/>
    <s v="国寿养老红泰优先股型养老金产品（2期）"/>
    <s v="集合计划"/>
    <n v="20.350000000000001"/>
    <x v="6"/>
  </r>
  <r>
    <d v="2020-09-30T00:00:00"/>
    <m/>
    <s v="永丰"/>
    <s v="国寿养老红泰优先股型养老金产品（2期）"/>
    <s v="集合计划"/>
    <n v="107.59"/>
    <x v="6"/>
  </r>
  <r>
    <d v="2020-09-30T00:00:00"/>
    <m/>
    <s v="永睿"/>
    <s v="国寿养老红泰优先股型养老金产品（2期）"/>
    <s v="集合计划"/>
    <n v="23.77"/>
    <x v="6"/>
  </r>
  <r>
    <d v="2020-09-30T00:00:00"/>
    <m/>
    <s v="永通"/>
    <s v="国寿养老红泰优先股型养老金产品（2期）"/>
    <s v="集合计划"/>
    <n v="9.4499999999999993"/>
    <x v="6"/>
  </r>
  <r>
    <d v="2020-09-30T00:00:00"/>
    <s v="CL0016"/>
    <s v="永丰"/>
    <s v="国寿养老质优甄选信托产品型养老金产品（2期）"/>
    <s v="集合计划"/>
    <n v="390.44"/>
    <x v="5"/>
  </r>
  <r>
    <d v="2020-09-30T00:00:00"/>
    <m/>
    <s v="永睿"/>
    <s v="国寿养老质优甄选信托产品型养老金产品（2期）"/>
    <s v="集合计划"/>
    <n v="80.569999999999993"/>
    <x v="5"/>
  </r>
  <r>
    <d v="2020-09-30T00:00:00"/>
    <m/>
    <s v="永通"/>
    <s v="国寿养老质优甄选信托产品型养老金产品（2期）"/>
    <s v="集合计划"/>
    <n v="17.600000000000001"/>
    <x v="5"/>
  </r>
  <r>
    <d v="2020-09-30T00:00:00"/>
    <m/>
    <s v="永颐"/>
    <s v="国寿养老质优甄选信托产品型养老金产品（2期）"/>
    <s v="集合计划"/>
    <n v="17.3"/>
    <x v="5"/>
  </r>
  <r>
    <d v="2020-09-30T00:00:00"/>
    <m/>
    <s v="交行安徽省徽商集团有限公司企业年金计划国寿组合"/>
    <s v="国寿养老质优甄选信托产品型养老金产品（2期）"/>
    <s v="单一计划"/>
    <n v="158.96"/>
    <x v="5"/>
  </r>
  <r>
    <d v="2020-09-30T00:00:00"/>
    <s v="CL0020"/>
    <s v="永丰"/>
    <s v="国寿养老策略成长混合型养老金产品"/>
    <s v="集合计划"/>
    <n v="71"/>
    <x v="2"/>
  </r>
  <r>
    <d v="2020-09-30T00:00:00"/>
    <m/>
    <s v="永福"/>
    <s v="国寿养老策略成长混合型养老金产品"/>
    <s v="集合计划"/>
    <n v="4.7300000000000004"/>
    <x v="2"/>
  </r>
  <r>
    <d v="2020-09-30T00:00:00"/>
    <m/>
    <s v="永睿"/>
    <s v="国寿养老策略成长混合型养老金产品"/>
    <s v="集合计划"/>
    <n v="570.4"/>
    <x v="2"/>
  </r>
  <r>
    <d v="2020-09-30T00:00:00"/>
    <m/>
    <s v="永祥"/>
    <s v="国寿养老策略成长混合型养老金产品"/>
    <s v="集合计划"/>
    <n v="9.6300000000000008"/>
    <x v="2"/>
  </r>
  <r>
    <d v="2020-09-30T00:00:00"/>
    <m/>
    <s v="永颐"/>
    <s v="国寿养老策略成长混合型养老金产品"/>
    <s v="集合计划"/>
    <n v="46.66"/>
    <x v="2"/>
  </r>
  <r>
    <d v="2020-09-30T00:00:00"/>
    <m/>
    <s v="中行安徽省皖北煤电集团有限责任公司企业年金计划国寿组合"/>
    <s v="国寿养老策略成长混合型养老金产品"/>
    <s v="单一计划"/>
    <n v="4137.72"/>
    <x v="2"/>
  </r>
  <r>
    <d v="2020-09-30T00:00:00"/>
    <m/>
    <s v="中行淮南矿业（集团）有限责任公司企业年金计划受托直投（国寿）"/>
    <s v="国寿养老策略成长混合型养老金产品"/>
    <s v="单一计划"/>
    <n v="3438.03"/>
    <x v="2"/>
  </r>
  <r>
    <d v="2020-09-30T00:00:00"/>
    <m/>
    <s v="光大银行安徽新华传媒股份有限公司企业年金计划受托直投（国寿）"/>
    <s v="国寿养老策略成长混合型养老金产品"/>
    <s v="单一计划"/>
    <n v="399.78"/>
    <x v="2"/>
  </r>
  <r>
    <d v="2020-09-30T00:00:00"/>
    <m/>
    <s v="安徽省壹号职业年金计划国寿信托组合"/>
    <s v="国寿养老策略成长混合型养老金产品"/>
    <s v="职业年金"/>
    <n v="20085.400000000001"/>
    <x v="2"/>
  </r>
  <r>
    <d v="2020-09-30T00:00:00"/>
    <s v="CL0021"/>
    <s v="永诚"/>
    <s v="国寿养老策略优选股票型养老金产品"/>
    <s v="集合计划"/>
    <n v="194.1"/>
    <x v="0"/>
  </r>
  <r>
    <d v="2020-09-30T00:00:00"/>
    <m/>
    <s v="永丰"/>
    <s v="国寿养老策略优选股票型养老金产品"/>
    <s v="集合计划"/>
    <n v="27051.38"/>
    <x v="0"/>
  </r>
  <r>
    <d v="2020-09-30T00:00:00"/>
    <m/>
    <s v="永乐"/>
    <s v="国寿养老策略优选股票型养老金产品"/>
    <s v="集合计划"/>
    <n v="29.72"/>
    <x v="0"/>
  </r>
  <r>
    <d v="2020-09-30T00:00:00"/>
    <m/>
    <s v="永睿"/>
    <s v="国寿养老策略优选股票型养老金产品"/>
    <s v="集合计划"/>
    <n v="133.85"/>
    <x v="0"/>
  </r>
  <r>
    <d v="2020-09-30T00:00:00"/>
    <m/>
    <s v="中行淮南矿业（集团）有限责任公司企业年金计划受托直投（国寿）"/>
    <s v="国寿养老策略优选股票型养老金产品"/>
    <s v="单一计划"/>
    <n v="3281.81"/>
    <x v="0"/>
  </r>
  <r>
    <d v="2020-09-30T00:00:00"/>
    <s v="CL0022"/>
    <s v="永诚"/>
    <s v="国寿养老研究精选股票型养老金产品"/>
    <s v="集合计划"/>
    <n v="4086.23"/>
    <x v="0"/>
  </r>
  <r>
    <d v="2020-09-30T00:00:00"/>
    <m/>
    <s v="永丰"/>
    <s v="国寿养老研究精选股票型养老金产品"/>
    <s v="集合计划"/>
    <n v="5693.35"/>
    <x v="0"/>
  </r>
  <r>
    <d v="2020-09-30T00:00:00"/>
    <m/>
    <s v="永睿"/>
    <s v="国寿养老研究精选股票型养老金产品"/>
    <s v="集合计划"/>
    <n v="7.92"/>
    <x v="0"/>
  </r>
  <r>
    <d v="2020-09-30T00:00:00"/>
    <m/>
    <s v="光大中国烟草总公司安徽省公司企业年金计划国寿组合"/>
    <s v="国寿养老研究精选股票型养老金产品"/>
    <s v="单一计划"/>
    <n v="3072.96"/>
    <x v="0"/>
  </r>
  <r>
    <d v="2020-09-30T00:00:00"/>
    <m/>
    <s v="中行淮南矿业（集团）有限责任公司企业年金计划受托直投（国寿）"/>
    <s v="国寿养老研究精选股票型养老金产品"/>
    <s v="单一计划"/>
    <n v="3795.12"/>
    <x v="0"/>
  </r>
  <r>
    <d v="2020-09-30T00:00:00"/>
    <s v="CL0024"/>
    <s v="永丰"/>
    <s v="国寿养老质优稳利基础设施债权投资计划型养老金产品（2期）"/>
    <s v="集合计划"/>
    <n v="428.16"/>
    <x v="4"/>
  </r>
  <r>
    <d v="2020-09-30T00:00:00"/>
    <m/>
    <s v="永睿"/>
    <s v="国寿养老质优稳利基础设施债权投资计划型养老金产品（2期）"/>
    <s v="集合计划"/>
    <n v="151.66"/>
    <x v="4"/>
  </r>
  <r>
    <d v="2020-09-30T00:00:00"/>
    <m/>
    <s v="永颐"/>
    <s v="国寿养老质优稳利基础设施债权投资计划型养老金产品（2期）"/>
    <s v="集合计划"/>
    <n v="40.450000000000003"/>
    <x v="4"/>
  </r>
  <r>
    <d v="2020-09-30T00:00:00"/>
    <s v="CL0025"/>
    <s v="永诚"/>
    <s v="国寿养老红信固定收益型养老金产品"/>
    <s v="集合计划"/>
    <n v="435.96"/>
    <x v="3"/>
  </r>
  <r>
    <d v="2020-09-30T00:00:00"/>
    <m/>
    <s v="永丰"/>
    <s v="国寿养老红信固定收益型养老金产品"/>
    <s v="集合计划"/>
    <n v="2661.64"/>
    <x v="3"/>
  </r>
  <r>
    <d v="2020-09-30T00:00:00"/>
    <m/>
    <s v="永乐"/>
    <s v="国寿养老红信固定收益型养老金产品"/>
    <s v="集合计划"/>
    <n v="27.37"/>
    <x v="3"/>
  </r>
  <r>
    <d v="2020-09-30T00:00:00"/>
    <m/>
    <s v="永睿"/>
    <s v="国寿养老红信固定收益型养老金产品"/>
    <s v="集合计划"/>
    <n v="298.01"/>
    <x v="3"/>
  </r>
  <r>
    <d v="2020-09-30T00:00:00"/>
    <m/>
    <s v="永通"/>
    <s v="国寿养老红信固定收益型养老金产品"/>
    <s v="集合计划"/>
    <n v="733"/>
    <x v="3"/>
  </r>
  <r>
    <d v="2020-09-30T00:00:00"/>
    <m/>
    <s v="永祥"/>
    <s v="国寿养老红信固定收益型养老金产品"/>
    <s v="集合计划"/>
    <n v="17.079999999999998"/>
    <x v="3"/>
  </r>
  <r>
    <d v="2020-09-30T00:00:00"/>
    <m/>
    <s v="永颐"/>
    <s v="国寿养老红信固定收益型养老金产品"/>
    <s v="集合计划"/>
    <n v="424.6"/>
    <x v="3"/>
  </r>
  <r>
    <d v="2020-09-30T00:00:00"/>
    <m/>
    <s v="工行安徽省高速公路控股集团有限公司企业年金计划国寿组合"/>
    <s v="国寿养老红信固定收益型养老金产品"/>
    <s v="单一计划"/>
    <n v="3306.72"/>
    <x v="3"/>
  </r>
  <r>
    <d v="2020-09-30T00:00:00"/>
    <m/>
    <s v="工行安徽中烟工业有限责任公司企业年金计划国寿组合"/>
    <s v="国寿养老红信固定收益型养老金产品"/>
    <s v="单一计划"/>
    <n v="11414.7"/>
    <x v="3"/>
  </r>
  <r>
    <d v="2020-09-30T00:00:00"/>
    <m/>
    <s v="交行安徽省徽商集团有限公司企业年金计划国寿组合"/>
    <s v="国寿养老红信固定收益型养老金产品"/>
    <s v="单一计划"/>
    <n v="2734.41"/>
    <x v="3"/>
  </r>
  <r>
    <d v="2020-09-30T00:00:00"/>
    <m/>
    <s v="工行中铁四局集团有限公司企业年金计划国寿组合"/>
    <s v="国寿养老红信固定收益型养老金产品"/>
    <s v="单一计划"/>
    <n v="4752.75"/>
    <x v="3"/>
  </r>
  <r>
    <d v="2020-09-30T00:00:00"/>
    <m/>
    <s v="农行安徽古井集团有限责任公司企业年金计划国寿组合"/>
    <s v="国寿养老红信固定收益型养老金产品"/>
    <s v="单一计划"/>
    <n v="258.02999999999997"/>
    <x v="3"/>
  </r>
  <r>
    <d v="2020-09-30T00:00:00"/>
    <s v="CL0026"/>
    <s v="永诚"/>
    <s v="国寿养老红义固定收益型养老金产品"/>
    <s v="集合计划"/>
    <n v="2568.92"/>
    <x v="3"/>
  </r>
  <r>
    <d v="2020-09-30T00:00:00"/>
    <m/>
    <s v="永丰"/>
    <s v="国寿养老红义固定收益型养老金产品"/>
    <s v="集合计划"/>
    <n v="5212.33"/>
    <x v="3"/>
  </r>
  <r>
    <d v="2020-09-30T00:00:00"/>
    <m/>
    <s v="永乐"/>
    <s v="国寿养老红义固定收益型养老金产品"/>
    <s v="集合计划"/>
    <n v="58"/>
    <x v="3"/>
  </r>
  <r>
    <d v="2020-09-30T00:00:00"/>
    <m/>
    <s v="永睿"/>
    <s v="国寿养老红义固定收益型养老金产品"/>
    <s v="集合计划"/>
    <n v="132.49"/>
    <x v="3"/>
  </r>
  <r>
    <d v="2020-09-30T00:00:00"/>
    <m/>
    <s v="永通"/>
    <s v="国寿养老红义固定收益型养老金产品"/>
    <s v="集合计划"/>
    <n v="1982.52"/>
    <x v="3"/>
  </r>
  <r>
    <d v="2020-09-30T00:00:00"/>
    <m/>
    <s v="永祥"/>
    <s v="国寿养老红义固定收益型养老金产品"/>
    <s v="集合计划"/>
    <n v="10.88"/>
    <x v="3"/>
  </r>
  <r>
    <d v="2020-09-30T00:00:00"/>
    <m/>
    <s v="永颐"/>
    <s v="国寿养老红义固定收益型养老金产品"/>
    <s v="集合计划"/>
    <n v="207.22"/>
    <x v="3"/>
  </r>
  <r>
    <d v="2020-09-30T00:00:00"/>
    <m/>
    <s v="中行安徽省皖北煤电集团有限责任公司企业年金计划国寿组合"/>
    <s v="国寿养老红义固定收益型养老金产品"/>
    <s v="单一计划"/>
    <n v="15545.57"/>
    <x v="3"/>
  </r>
  <r>
    <d v="2020-09-30T00:00:00"/>
    <m/>
    <s v="工行安徽省高速公路控股集团有限公司企业年金计划国寿组合"/>
    <s v="国寿养老红义固定收益型养老金产品"/>
    <s v="单一计划"/>
    <n v="637"/>
    <x v="3"/>
  </r>
  <r>
    <d v="2020-09-30T00:00:00"/>
    <m/>
    <s v="工行安徽中烟工业有限责任公司企业年金计划国寿组合"/>
    <s v="国寿养老红义固定收益型养老金产品"/>
    <s v="单一计划"/>
    <n v="2808.77"/>
    <x v="3"/>
  </r>
  <r>
    <d v="2020-09-30T00:00:00"/>
    <m/>
    <s v="交行安徽省徽商集团有限公司企业年金计划国寿组合"/>
    <s v="国寿养老红义固定收益型养老金产品"/>
    <s v="单一计划"/>
    <n v="2383.35"/>
    <x v="3"/>
  </r>
  <r>
    <d v="2020-09-30T00:00:00"/>
    <m/>
    <s v="工行铜陵有色金属集团控股有限公司企业年金计划受托直投（国寿）"/>
    <s v="国寿养老红义固定收益型养老金产品"/>
    <s v="单一计划"/>
    <n v="374.13"/>
    <x v="3"/>
  </r>
  <r>
    <d v="2020-09-30T00:00:00"/>
    <m/>
    <s v="中行国网安徽省电力公司企业年金计划养老金专户平安组合"/>
    <s v="国寿养老红义固定收益型养老金产品"/>
    <s v="单一计划"/>
    <n v="9210.23"/>
    <x v="3"/>
  </r>
  <r>
    <d v="2020-09-30T00:00:00"/>
    <m/>
    <s v="光大银行安徽新华传媒股份有限公司企业年金计划受托直投（国寿）"/>
    <s v="国寿养老红义固定收益型养老金产品"/>
    <s v="单一计划"/>
    <n v="594.46"/>
    <x v="3"/>
  </r>
  <r>
    <d v="2020-09-30T00:00:00"/>
    <m/>
    <s v="农行安徽古井集团有限责任公司企业年金计划国寿组合"/>
    <s v="国寿养老红义固定收益型养老金产品"/>
    <s v="单一计划"/>
    <n v="257.95"/>
    <x v="3"/>
  </r>
  <r>
    <d v="2020-09-30T00:00:00"/>
    <m/>
    <s v="中行徽商银行股份有限公司企业年金计划国寿组合"/>
    <s v="国寿养老红义固定收益型养老金产品"/>
    <s v="单一计划"/>
    <n v="21371.88"/>
    <x v="3"/>
  </r>
  <r>
    <d v="2020-09-30T00:00:00"/>
    <s v="CL0027"/>
    <s v="永乐"/>
    <s v="国寿养老红仁固定收益型养老金产品"/>
    <s v="集合计划"/>
    <n v="47.81"/>
    <x v="3"/>
  </r>
  <r>
    <d v="2020-09-30T00:00:00"/>
    <m/>
    <s v="永睿"/>
    <s v="国寿养老红仁固定收益型养老金产品"/>
    <s v="集合计划"/>
    <n v="3510.74"/>
    <x v="3"/>
  </r>
  <r>
    <d v="2020-09-30T00:00:00"/>
    <m/>
    <s v="工行安徽省高速公路控股集团有限公司企业年金计划国寿组合"/>
    <s v="国寿养老红仁固定收益型养老金产品"/>
    <s v="单一计划"/>
    <n v="7863.84"/>
    <x v="3"/>
  </r>
  <r>
    <d v="2020-09-30T00:00:00"/>
    <m/>
    <s v="光大中国烟草总公司安徽省公司企业年金计划国寿组合"/>
    <s v="国寿养老红仁固定收益型养老金产品"/>
    <s v="单一计划"/>
    <n v="11190.14"/>
    <x v="3"/>
  </r>
  <r>
    <d v="2020-09-30T00:00:00"/>
    <m/>
    <s v="光大银行安徽新华传媒股份有限公司企业年金计划受托直投（国寿）"/>
    <s v="国寿养老红仁固定收益型养老金产品"/>
    <s v="单一计划"/>
    <n v="565.89"/>
    <x v="3"/>
  </r>
  <r>
    <d v="2020-09-30T00:00:00"/>
    <s v="CL0033"/>
    <s v="永福"/>
    <s v="国寿养老配置1号混合型养老金产品"/>
    <s v="集合计划"/>
    <n v="335.14"/>
    <x v="2"/>
  </r>
  <r>
    <d v="2020-09-30T00:00:00"/>
    <m/>
    <s v="安徽省壹号职业年金计划国寿组合"/>
    <s v="国寿养老配置1号混合型养老金产品"/>
    <s v="职业年金"/>
    <n v="41027.17"/>
    <x v="2"/>
  </r>
  <r>
    <d v="2020-09-30T00:00:00"/>
    <m/>
    <s v="安徽省壹号职业年金计划国寿信托组合"/>
    <s v="国寿养老配置1号混合型养老金产品"/>
    <s v="职业年金"/>
    <n v="19103.3"/>
    <x v="2"/>
  </r>
  <r>
    <d v="2020-09-30T00:00:00"/>
    <m/>
    <s v="安徽省肆号职业年金计划国寿组合"/>
    <s v="国寿养老配置1号混合型养老金产品"/>
    <s v="职业年金"/>
    <n v="32816.300000000003"/>
    <x v="2"/>
  </r>
  <r>
    <d v="2020-09-30T00:00:00"/>
    <m/>
    <s v="民生安徽省玖号职业年金计划国寿组合"/>
    <s v="国寿养老配置1号混合型养老金产品"/>
    <s v="职业年金"/>
    <n v="9472.7900000000009"/>
    <x v="2"/>
  </r>
  <r>
    <d v="2020-09-30T00:00:00"/>
    <s v="CL0034"/>
    <s v="永诚"/>
    <s v="国寿养老配置2号混合型养老金产品"/>
    <s v="集合计划"/>
    <n v="891.92"/>
    <x v="2"/>
  </r>
  <r>
    <d v="2020-09-30T00:00:00"/>
    <m/>
    <s v="永丰"/>
    <s v="国寿养老配置2号混合型养老金产品"/>
    <s v="集合计划"/>
    <n v="4681.51"/>
    <x v="2"/>
  </r>
  <r>
    <d v="2020-09-30T00:00:00"/>
    <m/>
    <s v="永福"/>
    <s v="国寿养老配置2号混合型养老金产品"/>
    <s v="集合计划"/>
    <n v="2.97"/>
    <x v="2"/>
  </r>
  <r>
    <d v="2020-09-30T00:00:00"/>
    <m/>
    <s v="永睿"/>
    <s v="国寿养老配置2号混合型养老金产品"/>
    <s v="集合计划"/>
    <n v="482.42"/>
    <x v="2"/>
  </r>
  <r>
    <d v="2020-09-30T00:00:00"/>
    <m/>
    <s v="永通"/>
    <s v="国寿养老配置2号混合型养老金产品"/>
    <s v="集合计划"/>
    <n v="358.49"/>
    <x v="2"/>
  </r>
  <r>
    <d v="2020-09-30T00:00:00"/>
    <m/>
    <s v="永祥"/>
    <s v="国寿养老配置2号混合型养老金产品"/>
    <s v="集合计划"/>
    <n v="16.82"/>
    <x v="2"/>
  </r>
  <r>
    <d v="2020-09-30T00:00:00"/>
    <m/>
    <s v="工行安徽中烟工业有限责任公司企业年金计划国寿组合"/>
    <s v="国寿养老配置2号混合型养老金产品"/>
    <s v="单一计划"/>
    <n v="1611.06"/>
    <x v="2"/>
  </r>
  <r>
    <d v="2020-09-30T00:00:00"/>
    <m/>
    <s v="光大中国烟草总公司安徽省公司企业年金计划国寿组合"/>
    <s v="国寿养老配置2号混合型养老金产品"/>
    <s v="单一计划"/>
    <n v="2422.64"/>
    <x v="2"/>
  </r>
  <r>
    <d v="2020-09-30T00:00:00"/>
    <m/>
    <s v="中行淮南矿业（集团）有限责任公司企业年金计划受托直投（国寿）"/>
    <s v="国寿养老配置2号混合型养老金产品"/>
    <s v="单一计划"/>
    <n v="3872.74"/>
    <x v="2"/>
  </r>
  <r>
    <d v="2020-09-30T00:00:00"/>
    <m/>
    <s v="建行中国电力建设集团有限公司企业年金计划受托直投标准组合（泰康养老）"/>
    <s v="国寿养老配置2号混合型养老金产品"/>
    <s v="单一计划"/>
    <n v="5910.3"/>
    <x v="2"/>
  </r>
  <r>
    <d v="2020-09-30T00:00:00"/>
    <m/>
    <s v="工行青岛四方车辆研究所有限公司企业年金计划受托直投（泰康养老）"/>
    <s v="国寿养老配置2号混合型养老金产品"/>
    <s v="单一计划"/>
    <n v="768.44"/>
    <x v="2"/>
  </r>
  <r>
    <d v="2020-09-30T00:00:00"/>
    <m/>
    <s v="安徽省壹号职业年金计划国寿信托组合"/>
    <s v="国寿养老配置2号混合型养老金产品"/>
    <s v="职业年金"/>
    <n v="31988.39"/>
    <x v="2"/>
  </r>
  <r>
    <d v="2020-09-30T00:00:00"/>
    <m/>
    <s v="中行徽商银行股份有限公司企业年金计划国寿组合"/>
    <s v="国寿养老配置2号混合型养老金产品"/>
    <s v="单一计划"/>
    <n v="6178.81"/>
    <x v="2"/>
  </r>
  <r>
    <d v="2020-09-30T00:00:00"/>
    <m/>
    <s v="招行泰康金色瑞泰企业年金集合计划受托直投平稳增长组合（泰康养老）"/>
    <s v="国寿养老配置2号混合型养老金产品"/>
    <s v="集合计划"/>
    <n v="73.459999999999994"/>
    <x v="2"/>
  </r>
  <r>
    <d v="2020-09-30T00:00:00"/>
    <m/>
    <s v="建行镇海石化建安工程有限公司企业年金计划受托直投（泰康养老）"/>
    <s v="国寿养老配置2号混合型养老金产品"/>
    <s v="单一计划"/>
    <n v="821.98"/>
    <x v="2"/>
  </r>
  <r>
    <d v="2020-09-30T00:00:00"/>
    <s v="CL0035"/>
    <s v="永丰"/>
    <s v="国寿养老配置3号混合型养老金产品"/>
    <s v="集合计划"/>
    <n v="106.31"/>
    <x v="2"/>
  </r>
  <r>
    <d v="2020-09-30T00:00:00"/>
    <m/>
    <s v="永睿"/>
    <s v="国寿养老配置3号混合型养老金产品"/>
    <s v="集合计划"/>
    <n v="527.65"/>
    <x v="2"/>
  </r>
  <r>
    <d v="2020-09-30T00:00:00"/>
    <m/>
    <s v="永通"/>
    <s v="国寿养老配置3号混合型养老金产品"/>
    <s v="集合计划"/>
    <n v="238.16"/>
    <x v="2"/>
  </r>
  <r>
    <d v="2020-09-30T00:00:00"/>
    <m/>
    <s v="永祥"/>
    <s v="国寿养老配置3号混合型养老金产品"/>
    <s v="集合计划"/>
    <n v="5.73"/>
    <x v="2"/>
  </r>
  <r>
    <d v="2020-09-30T00:00:00"/>
    <m/>
    <s v="永颐"/>
    <s v="国寿养老配置3号混合型养老金产品"/>
    <s v="集合计划"/>
    <n v="256.14"/>
    <x v="2"/>
  </r>
  <r>
    <d v="2020-09-30T00:00:00"/>
    <m/>
    <s v="工行安徽省高速公路控股集团有限公司企业年金计划国寿组合"/>
    <s v="国寿养老配置3号混合型养老金产品"/>
    <s v="单一计划"/>
    <n v="7029.07"/>
    <x v="2"/>
  </r>
  <r>
    <d v="2020-09-30T00:00:00"/>
    <m/>
    <s v="光大中国烟草总公司安徽省公司企业年金计划国寿组合"/>
    <s v="国寿养老配置3号混合型养老金产品"/>
    <s v="单一计划"/>
    <n v="8580.9699999999993"/>
    <x v="2"/>
  </r>
  <r>
    <d v="2020-09-30T00:00:00"/>
    <m/>
    <s v="工行中铁四局集团有限公司企业年金计划国寿组合"/>
    <s v="国寿养老配置3号混合型养老金产品"/>
    <s v="单一计划"/>
    <n v="12290.83"/>
    <x v="2"/>
  </r>
  <r>
    <d v="2020-09-30T00:00:00"/>
    <m/>
    <s v="光大银行安徽新华传媒股份有限公司企业年金计划受托直投（国寿）"/>
    <s v="国寿养老配置3号混合型养老金产品"/>
    <s v="单一计划"/>
    <n v="1237.48"/>
    <x v="2"/>
  </r>
  <r>
    <d v="2020-09-30T00:00:00"/>
    <m/>
    <s v="安徽省壹号职业年金计划国寿信托组合"/>
    <s v="国寿养老配置3号混合型养老金产品"/>
    <s v="职业年金"/>
    <n v="17573.86"/>
    <x v="2"/>
  </r>
  <r>
    <d v="2020-09-30T00:00:00"/>
    <m/>
    <s v="农行安徽古井集团有限责任公司企业年金计划国寿组合"/>
    <s v="国寿养老配置3号混合型养老金产品"/>
    <s v="单一计划"/>
    <n v="233.06"/>
    <x v="2"/>
  </r>
  <r>
    <d v="2020-09-30T00:00:00"/>
    <m/>
    <s v="中行徽商银行股份有限公司企业年金计划国寿组合"/>
    <s v="国寿养老配置3号混合型养老金产品"/>
    <s v="单一计划"/>
    <n v="12113.68"/>
    <x v="2"/>
  </r>
  <r>
    <d v="2020-09-30T00:00:00"/>
    <s v="CL0036"/>
    <s v="永丰"/>
    <s v="国寿养老策略1号股票型养老金产品"/>
    <s v="集合计划"/>
    <n v="112.77"/>
    <x v="0"/>
  </r>
  <r>
    <d v="2020-09-30T00:00:00"/>
    <m/>
    <s v="永乐"/>
    <s v="国寿养老策略1号股票型养老金产品"/>
    <s v="集合计划"/>
    <n v="113.53"/>
    <x v="0"/>
  </r>
  <r>
    <d v="2020-09-30T00:00:00"/>
    <m/>
    <s v="永睿"/>
    <s v="国寿养老策略1号股票型养老金产品"/>
    <s v="集合计划"/>
    <n v="49.06"/>
    <x v="0"/>
  </r>
  <r>
    <d v="2020-09-30T00:00:00"/>
    <s v="CL0037"/>
    <s v="永诚"/>
    <s v="国寿养老策略2号股票型养老金产品"/>
    <s v="集合计划"/>
    <n v="650.41"/>
    <x v="0"/>
  </r>
  <r>
    <d v="2020-09-30T00:00:00"/>
    <m/>
    <s v="永睿"/>
    <s v="国寿养老策略2号股票型养老金产品"/>
    <s v="集合计划"/>
    <n v="5.62"/>
    <x v="0"/>
  </r>
  <r>
    <d v="2020-09-30T00:00:00"/>
    <m/>
    <s v="中行淮南矿业（集团）有限责任公司企业年金计划受托直投（国寿）"/>
    <s v="国寿养老策略2号股票型养老金产品"/>
    <s v="单一计划"/>
    <n v="3266.26"/>
    <x v="0"/>
  </r>
  <r>
    <d v="2020-09-30T00:00:00"/>
    <m/>
    <s v="中行徽商银行股份有限公司企业年金计划国寿组合"/>
    <s v="国寿养老策略2号股票型养老金产品"/>
    <s v="单一计划"/>
    <n v="4208.13"/>
    <x v="0"/>
  </r>
  <r>
    <d v="2020-09-30T00:00:00"/>
    <s v="CL0039"/>
    <s v="永诚"/>
    <s v="国寿养老策略4号股票型养老金产品"/>
    <s v="集合计划"/>
    <n v="1418.93"/>
    <x v="0"/>
  </r>
  <r>
    <d v="2020-09-30T00:00:00"/>
    <m/>
    <s v="永丰"/>
    <s v="国寿养老策略4号股票型养老金产品"/>
    <s v="集合计划"/>
    <n v="1226.96"/>
    <x v="0"/>
  </r>
  <r>
    <d v="2020-09-30T00:00:00"/>
    <m/>
    <s v="永福"/>
    <s v="国寿养老策略4号股票型养老金产品"/>
    <s v="集合计划"/>
    <n v="31.66"/>
    <x v="0"/>
  </r>
  <r>
    <d v="2020-09-30T00:00:00"/>
    <m/>
    <s v="永乐"/>
    <s v="国寿养老策略4号股票型养老金产品"/>
    <s v="集合计划"/>
    <n v="70.87"/>
    <x v="0"/>
  </r>
  <r>
    <d v="2020-09-30T00:00:00"/>
    <m/>
    <s v="永睿"/>
    <s v="国寿养老策略4号股票型养老金产品"/>
    <s v="集合计划"/>
    <n v="224.34"/>
    <x v="0"/>
  </r>
  <r>
    <d v="2020-09-30T00:00:00"/>
    <m/>
    <s v="永颐"/>
    <s v="国寿养老策略4号股票型养老金产品"/>
    <s v="集合计划"/>
    <n v="70.83"/>
    <x v="0"/>
  </r>
  <r>
    <d v="2020-09-30T00:00:00"/>
    <m/>
    <s v="工行安徽省高速公路控股集团有限公司企业年金计划国寿组合"/>
    <s v="国寿养老策略4号股票型养老金产品"/>
    <s v="单一计划"/>
    <n v="21312.87"/>
    <x v="0"/>
  </r>
  <r>
    <d v="2020-09-30T00:00:00"/>
    <m/>
    <s v="光大中国烟草总公司安徽省公司企业年金计划国寿组合"/>
    <s v="国寿养老策略4号股票型养老金产品"/>
    <s v="单一计划"/>
    <n v="36418.28"/>
    <x v="0"/>
  </r>
  <r>
    <d v="2020-09-30T00:00:00"/>
    <m/>
    <s v="中行淮南矿业（集团）有限责任公司企业年金计划受托直投（国寿）"/>
    <s v="国寿养老策略4号股票型养老金产品"/>
    <s v="单一计划"/>
    <n v="4771.3100000000004"/>
    <x v="0"/>
  </r>
  <r>
    <d v="2020-09-30T00:00:00"/>
    <m/>
    <s v="民生安徽省玖号职业年金计划国寿组合"/>
    <s v="国寿养老策略4号股票型养老金产品"/>
    <s v="职业年金"/>
    <n v="11419.63"/>
    <x v="0"/>
  </r>
  <r>
    <d v="2020-09-30T00:00:00"/>
    <s v="CL0040"/>
    <s v="永乐"/>
    <s v="国寿养老稳健1号固定收益型养老金产品"/>
    <s v="集合计划"/>
    <n v="43.52"/>
    <x v="3"/>
  </r>
  <r>
    <d v="2020-09-30T00:00:00"/>
    <m/>
    <s v="永睿"/>
    <s v="国寿养老稳健1号固定收益型养老金产品"/>
    <s v="集合计划"/>
    <n v="25.2"/>
    <x v="3"/>
  </r>
  <r>
    <d v="2020-09-30T00:00:00"/>
    <m/>
    <s v="工行安徽省高速公路控股集团有限公司企业年金计划国寿组合"/>
    <s v="国寿养老稳健1号固定收益型养老金产品"/>
    <s v="单一计划"/>
    <n v="5277.06"/>
    <x v="3"/>
  </r>
  <r>
    <d v="2020-09-30T00:00:00"/>
    <m/>
    <s v="中行国网安徽省电力公司企业年金计划养老金专户平安组合"/>
    <s v="国寿养老稳健1号固定收益型养老金产品"/>
    <s v="单一计划"/>
    <n v="6703.45"/>
    <x v="3"/>
  </r>
  <r>
    <d v="2020-09-30T00:00:00"/>
    <m/>
    <s v="工行青岛四方车辆研究所有限公司企业年金计划受托直投（泰康养老）"/>
    <s v="国寿养老稳健1号固定收益型养老金产品"/>
    <s v="单一计划"/>
    <n v="151.22999999999999"/>
    <x v="3"/>
  </r>
  <r>
    <d v="2020-09-30T00:00:00"/>
    <m/>
    <s v="光大银行安徽新华传媒股份有限公司企业年金计划受托直投（国寿）"/>
    <s v="国寿养老稳健1号固定收益型养老金产品"/>
    <s v="单一计划"/>
    <n v="590.39"/>
    <x v="3"/>
  </r>
  <r>
    <d v="2020-09-30T00:00:00"/>
    <s v="CL0046"/>
    <s v="永睿"/>
    <s v="国寿养老质优安泰保险产品型养老金产品（5期）"/>
    <s v="集合计划"/>
    <n v="21.39"/>
    <x v="9"/>
  </r>
  <r>
    <d v="2020-09-30T00:00:00"/>
    <s v="CL0047"/>
    <s v="永福"/>
    <s v="国寿养老安享鑫祺混合型养老金产品"/>
    <s v="集合计划"/>
    <n v="2.0299999999999998"/>
    <x v="2"/>
  </r>
  <r>
    <d v="2020-09-30T00:00:00"/>
    <m/>
    <s v="永颐"/>
    <s v="国寿养老安享鑫祺混合型养老金产品"/>
    <s v="集合计划"/>
    <n v="249.96"/>
    <x v="2"/>
  </r>
  <r>
    <d v="2020-09-30T00:00:00"/>
    <m/>
    <s v="安徽省壹号职业年金计划国寿信托组合"/>
    <s v="国寿养老安享鑫祺混合型养老金产品"/>
    <s v="职业年金"/>
    <n v="3027.92"/>
    <x v="2"/>
  </r>
  <r>
    <d v="2020-09-30T00:00:00"/>
    <m/>
    <s v="中行徽商银行股份有限公司企业年金计划国寿组合"/>
    <s v="国寿养老安享鑫祺混合型养老金产品"/>
    <s v="单一计划"/>
    <n v="3596.06"/>
    <x v="2"/>
  </r>
  <r>
    <d v="2020-09-30T00:00:00"/>
    <s v="CL0049"/>
    <s v="永丰"/>
    <s v="国寿养老质优稳利基础设施债权投资计划型养老金产品（3期）"/>
    <s v="集合计划"/>
    <n v="238.72"/>
    <x v="4"/>
  </r>
  <r>
    <d v="2020-09-30T00:00:00"/>
    <m/>
    <s v="永睿"/>
    <s v="国寿养老质优稳利基础设施债权投资计划型养老金产品（3期）"/>
    <s v="集合计划"/>
    <n v="85.8"/>
    <x v="4"/>
  </r>
  <r>
    <d v="2020-09-30T00:00:00"/>
    <s v="CL0050"/>
    <s v="永睿"/>
    <s v="国寿养老质优稳利基础设施债权投资计划型养老金产品（4期）"/>
    <s v="集合计划"/>
    <n v="12.97"/>
    <x v="4"/>
  </r>
  <r>
    <d v="2020-09-30T00:00:00"/>
    <s v="CL0054"/>
    <s v="永诚"/>
    <s v="国寿养老红利存款型养老金产品（3期）"/>
    <s v="集合计划"/>
    <n v="108.96"/>
    <x v="8"/>
  </r>
  <r>
    <d v="2020-09-30T00:00:00"/>
    <m/>
    <s v="永丰"/>
    <s v="国寿养老红利存款型养老金产品（3期）"/>
    <s v="集合计划"/>
    <n v="72.09"/>
    <x v="8"/>
  </r>
  <r>
    <d v="2020-09-30T00:00:00"/>
    <m/>
    <s v="永通"/>
    <s v="国寿养老红利存款型养老金产品（3期）"/>
    <s v="集合计划"/>
    <n v="48.44"/>
    <x v="8"/>
  </r>
  <r>
    <d v="2020-09-30T00:00:00"/>
    <s v="CL0059"/>
    <s v="永诚"/>
    <s v="国寿养老红利存款型养老金产品（5期）"/>
    <s v="集合计划"/>
    <n v="95.18"/>
    <x v="8"/>
  </r>
  <r>
    <d v="2020-09-30T00:00:00"/>
    <m/>
    <s v="永睿"/>
    <s v="国寿养老红利存款型养老金产品（5期）"/>
    <s v="集合计划"/>
    <n v="139.47"/>
    <x v="8"/>
  </r>
  <r>
    <d v="2020-09-30T00:00:00"/>
    <m/>
    <s v="中行国网安徽省电力公司企业年金计划国寿组合"/>
    <s v="国寿养老红利存款型养老金产品（5期）"/>
    <s v="单一计划"/>
    <n v="230.15"/>
    <x v="8"/>
  </r>
  <r>
    <d v="2020-09-30T00:00:00"/>
    <s v="CL0060"/>
    <s v="永睿"/>
    <s v="国寿养老红利存款型养老金产品（6期）"/>
    <s v="集合计划"/>
    <n v="0.05"/>
    <x v="8"/>
  </r>
  <r>
    <d v="2020-09-30T00:00:00"/>
    <s v="CL0061"/>
    <s v="工行中国广核集团有限公司企业年金计划海富通组合"/>
    <s v="国寿养老红利存款型养老金产品（7期）"/>
    <s v="单一计划"/>
    <n v="899.15"/>
    <x v="8"/>
  </r>
  <r>
    <d v="2020-09-30T00:00:00"/>
    <s v="CL0063"/>
    <s v="中行淮南矿业（集团）有限责任公司企业年金计划受托直投（国寿）"/>
    <s v="国寿养老稳健4号固定收益型养老金产品"/>
    <s v="单一计划"/>
    <n v="19691.490000000002"/>
    <x v="3"/>
  </r>
  <r>
    <d v="2020-09-30T00:00:00"/>
    <m/>
    <s v="工行铜陵有色金属集团控股有限公司企业年金计划受托直投（国寿）"/>
    <s v="国寿养老稳健4号固定收益型养老金产品"/>
    <s v="单一计划"/>
    <n v="5053.66"/>
    <x v="3"/>
  </r>
  <r>
    <d v="2020-09-30T00:00:00"/>
    <s v="CL0064"/>
    <s v="永诚"/>
    <s v="国寿养老稳健5号固定收益型养老金产品"/>
    <s v="集合计划"/>
    <n v="47.86"/>
    <x v="3"/>
  </r>
  <r>
    <d v="2020-09-30T00:00:00"/>
    <m/>
    <s v="永丰"/>
    <s v="国寿养老稳健5号固定收益型养老金产品"/>
    <s v="集合计划"/>
    <n v="54.42"/>
    <x v="3"/>
  </r>
  <r>
    <d v="2020-09-30T00:00:00"/>
    <m/>
    <s v="永福"/>
    <s v="国寿养老稳健5号固定收益型养老金产品"/>
    <s v="集合计划"/>
    <n v="14.27"/>
    <x v="3"/>
  </r>
  <r>
    <d v="2020-09-30T00:00:00"/>
    <m/>
    <s v="永睿"/>
    <s v="国寿养老稳健5号固定收益型养老金产品"/>
    <s v="集合计划"/>
    <n v="528.72"/>
    <x v="3"/>
  </r>
  <r>
    <d v="2020-09-30T00:00:00"/>
    <m/>
    <s v="光大中国烟草总公司安徽省公司企业年金计划国寿组合"/>
    <s v="国寿养老稳健5号固定收益型养老金产品"/>
    <s v="单一计划"/>
    <n v="517.85"/>
    <x v="3"/>
  </r>
  <r>
    <d v="2020-09-30T00:00:00"/>
    <s v="CL0065"/>
    <s v="永通"/>
    <s v="国寿养老稳健6号固定收益型养老金产品"/>
    <s v="集合计划"/>
    <n v="93.24"/>
    <x v="3"/>
  </r>
  <r>
    <d v="2020-09-30T00:00:00"/>
    <m/>
    <s v="中行淮南矿业（集团）有限责任公司企业年金计划受托直投（国寿）"/>
    <s v="国寿养老稳健6号固定收益型养老金产品"/>
    <s v="单一计划"/>
    <n v="9259"/>
    <x v="3"/>
  </r>
  <r>
    <d v="2020-09-30T00:00:00"/>
    <m/>
    <s v="工行铜陵有色金属集团控股有限公司企业年金计划受托直投（国寿）"/>
    <s v="国寿养老稳健6号固定收益型养老金产品"/>
    <s v="单一计划"/>
    <n v="2880.53"/>
    <x v="3"/>
  </r>
  <r>
    <d v="2020-09-30T00:00:00"/>
    <m/>
    <s v="中行淮北矿业（集团）有限责任公司企业年金计划嘉实"/>
    <s v="国寿养老稳健6号固定收益型养老金产品"/>
    <s v="单一计划"/>
    <n v="5761.05"/>
    <x v="3"/>
  </r>
  <r>
    <d v="2020-09-30T00:00:00"/>
    <m/>
    <s v="建行安徽省能源集团有限公司企业年金计划嘉实"/>
    <s v="国寿养老稳健6号固定收益型养老金产品"/>
    <s v="单一计划"/>
    <n v="2880.53"/>
    <x v="3"/>
  </r>
  <r>
    <d v="2020-09-30T00:00:00"/>
    <m/>
    <s v="中行淮南矿业（集团）有限责任公司企业年金计划嘉实组合"/>
    <s v="国寿养老稳健6号固定收益型养老金产品"/>
    <s v="单一计划"/>
    <n v="2880.53"/>
    <x v="3"/>
  </r>
  <r>
    <d v="2020-09-30T00:00:00"/>
    <s v="CL0067"/>
    <s v="永福"/>
    <s v="国寿养老稳健8号固定收益型养老金产品"/>
    <s v="集合计划"/>
    <n v="52.39"/>
    <x v="3"/>
  </r>
  <r>
    <d v="2020-09-30T00:00:00"/>
    <m/>
    <s v="永乐"/>
    <s v="国寿养老稳健8号固定收益型养老金产品"/>
    <s v="集合计划"/>
    <n v="7.37"/>
    <x v="3"/>
  </r>
  <r>
    <d v="2020-09-30T00:00:00"/>
    <m/>
    <s v="建行中国电力建设集团有限公司企业年金计划受托直投标准组合（泰康养老）"/>
    <s v="国寿养老稳健8号固定收益型养老金产品"/>
    <s v="单一计划"/>
    <n v="1173.75"/>
    <x v="3"/>
  </r>
  <r>
    <d v="2020-09-30T00:00:00"/>
    <m/>
    <s v="安徽省壹号职业年金计划国寿组合"/>
    <s v="国寿养老稳健8号固定收益型养老金产品"/>
    <s v="职业年金"/>
    <n v="14633.23"/>
    <x v="3"/>
  </r>
  <r>
    <d v="2020-09-30T00:00:00"/>
    <m/>
    <s v="安徽省肆号职业年金计划国寿组合"/>
    <s v="国寿养老稳健8号固定收益型养老金产品"/>
    <s v="职业年金"/>
    <n v="13121.96"/>
    <x v="3"/>
  </r>
  <r>
    <d v="2020-09-30T00:00:00"/>
    <m/>
    <s v="民生安徽省玖号职业年金计划国寿组合"/>
    <s v="国寿养老稳健8号固定收益型养老金产品"/>
    <s v="职业年金"/>
    <n v="4101.51"/>
    <x v="3"/>
  </r>
  <r>
    <d v="2020-09-30T00:00:00"/>
    <m/>
    <s v="招行泰康金色瑞泰企业年金集合计划受托直投平稳增长组合（泰康养老）"/>
    <s v="国寿养老稳健8号固定收益型养老金产品"/>
    <s v="集合计划"/>
    <n v="30.1"/>
    <x v="3"/>
  </r>
  <r>
    <d v="2020-09-30T00:00:00"/>
    <s v="CL0068"/>
    <s v="永诚"/>
    <s v="国寿养老策略5号股票型养老金产品"/>
    <s v="集合计划"/>
    <n v="203.43"/>
    <x v="0"/>
  </r>
  <r>
    <d v="2020-09-30T00:00:00"/>
    <m/>
    <s v="永乐"/>
    <s v="国寿养老策略5号股票型养老金产品"/>
    <s v="集合计划"/>
    <n v="11.9"/>
    <x v="0"/>
  </r>
  <r>
    <d v="2020-09-30T00:00:00"/>
    <m/>
    <s v="永颐"/>
    <s v="国寿养老策略5号股票型养老金产品"/>
    <s v="集合计划"/>
    <n v="1221.04"/>
    <x v="0"/>
  </r>
  <r>
    <d v="2020-09-30T00:00:00"/>
    <s v="CL0069"/>
    <s v="永诚"/>
    <s v="国寿养老策略6号股票型养老金产品"/>
    <s v="集合计划"/>
    <n v="671.69"/>
    <x v="0"/>
  </r>
  <r>
    <d v="2020-09-30T00:00:00"/>
    <m/>
    <s v="永福"/>
    <s v="国寿养老策略6号股票型养老金产品"/>
    <s v="集合计划"/>
    <n v="3.74"/>
    <x v="0"/>
  </r>
  <r>
    <d v="2020-09-30T00:00:00"/>
    <m/>
    <s v="中行安徽省皖北煤电集团有限责任公司企业年金计划国寿组合"/>
    <s v="国寿养老策略6号股票型养老金产品"/>
    <s v="单一计划"/>
    <n v="1362.19"/>
    <x v="0"/>
  </r>
  <r>
    <d v="2020-09-30T00:00:00"/>
    <m/>
    <s v="光大中国烟草总公司安徽省公司企业年金计划国寿组合"/>
    <s v="国寿养老策略6号股票型养老金产品"/>
    <s v="单一计划"/>
    <n v="2666.64"/>
    <x v="0"/>
  </r>
  <r>
    <d v="2020-09-30T00:00:00"/>
    <s v="CL0071"/>
    <s v="永诚"/>
    <s v="国寿养老策略8号股票型养老金产品"/>
    <s v="集合计划"/>
    <n v="131.5"/>
    <x v="0"/>
  </r>
  <r>
    <d v="2020-09-30T00:00:00"/>
    <m/>
    <s v="永福"/>
    <s v="国寿养老策略8号股票型养老金产品"/>
    <s v="集合计划"/>
    <n v="76.06"/>
    <x v="0"/>
  </r>
  <r>
    <d v="2020-09-30T00:00:00"/>
    <m/>
    <s v="永睿"/>
    <s v="国寿养老策略8号股票型养老金产品"/>
    <s v="集合计划"/>
    <n v="1154.67"/>
    <x v="0"/>
  </r>
  <r>
    <d v="2020-09-30T00:00:00"/>
    <m/>
    <s v="中行安徽省皖北煤电集团有限责任公司企业年金计划国寿组合"/>
    <s v="国寿养老策略8号股票型养老金产品"/>
    <s v="单一计划"/>
    <n v="14361.61"/>
    <x v="0"/>
  </r>
  <r>
    <d v="2020-09-30T00:00:00"/>
    <m/>
    <s v="工行中铁四局集团有限公司企业年金计划国寿组合"/>
    <s v="国寿养老策略8号股票型养老金产品"/>
    <s v="单一计划"/>
    <n v="16087.52"/>
    <x v="0"/>
  </r>
  <r>
    <d v="2020-09-30T00:00:00"/>
    <m/>
    <s v="农行安徽古井集团有限责任公司企业年金计划国寿组合"/>
    <s v="国寿养老策略8号股票型养老金产品"/>
    <s v="单一计划"/>
    <n v="12599.68"/>
    <x v="0"/>
  </r>
  <r>
    <d v="2020-09-30T00:00:00"/>
    <m/>
    <s v="中行徽商银行股份有限公司企业年金计划国寿组合"/>
    <s v="国寿养老策略8号股票型养老金产品"/>
    <s v="单一计划"/>
    <n v="9509.01"/>
    <x v="0"/>
  </r>
  <r>
    <d v="2020-09-30T00:00:00"/>
    <s v="CL0072"/>
    <s v="永诚"/>
    <s v="国寿养老策略9号股票型养老金产品"/>
    <s v="集合计划"/>
    <n v="1003.14"/>
    <x v="0"/>
  </r>
  <r>
    <d v="2020-09-30T00:00:00"/>
    <m/>
    <s v="永丰"/>
    <s v="国寿养老策略9号股票型养老金产品"/>
    <s v="集合计划"/>
    <n v="8622.74"/>
    <x v="0"/>
  </r>
  <r>
    <d v="2020-09-30T00:00:00"/>
    <m/>
    <s v="永福"/>
    <s v="国寿养老策略9号股票型养老金产品"/>
    <s v="集合计划"/>
    <n v="3.66"/>
    <x v="0"/>
  </r>
  <r>
    <d v="2020-09-30T00:00:00"/>
    <m/>
    <s v="永睿"/>
    <s v="国寿养老策略9号股票型养老金产品"/>
    <s v="集合计划"/>
    <n v="365.01"/>
    <x v="0"/>
  </r>
  <r>
    <d v="2020-09-30T00:00:00"/>
    <m/>
    <s v="永颐"/>
    <s v="国寿养老策略9号股票型养老金产品"/>
    <s v="集合计划"/>
    <n v="290.58"/>
    <x v="0"/>
  </r>
  <r>
    <d v="2020-09-30T00:00:00"/>
    <m/>
    <s v="交行安徽省徽商集团有限公司企业年金计划国寿组合"/>
    <s v="国寿养老策略9号股票型养老金产品"/>
    <s v="单一计划"/>
    <n v="4019.08"/>
    <x v="0"/>
  </r>
  <r>
    <d v="2020-09-30T00:00:00"/>
    <m/>
    <s v="工行中铁四局集团有限公司企业年金计划国寿组合"/>
    <s v="国寿养老策略9号股票型养老金产品"/>
    <s v="单一计划"/>
    <n v="999.24"/>
    <x v="0"/>
  </r>
  <r>
    <d v="2020-09-30T00:00:00"/>
    <m/>
    <s v="中行淮南矿业（集团）有限责任公司企业年金计划受托直投（国寿）"/>
    <s v="国寿养老策略9号股票型养老金产品"/>
    <s v="单一计划"/>
    <n v="2432.38"/>
    <x v="0"/>
  </r>
  <r>
    <d v="2020-09-30T00:00:00"/>
    <s v="CL0073"/>
    <s v="永睿"/>
    <s v="国寿养老红利存款型养老金产品（8期）"/>
    <s v="集合计划"/>
    <n v="105.68"/>
    <x v="8"/>
  </r>
  <r>
    <d v="2020-09-30T00:00:00"/>
    <m/>
    <s v="工行中国广核集团有限公司企业年金计划海富通组合"/>
    <s v="国寿养老红利存款型养老金产品（8期）"/>
    <s v="单一计划"/>
    <n v="892.92"/>
    <x v="8"/>
  </r>
  <r>
    <d v="2020-09-30T00:00:00"/>
    <s v="CL0075"/>
    <s v="永颐"/>
    <s v="国寿养老质优甄选信托产品型养老金产品（12期）"/>
    <s v="集合计划"/>
    <n v="44.65"/>
    <x v="5"/>
  </r>
  <r>
    <d v="2020-09-30T00:00:00"/>
    <s v="CL0077"/>
    <s v="永诚"/>
    <s v="国寿养老质优稳利基础设施债权投资计划型养老金产品（5期）"/>
    <s v="集合计划"/>
    <n v="128.05000000000001"/>
    <x v="4"/>
  </r>
  <r>
    <d v="2020-09-30T00:00:00"/>
    <m/>
    <s v="永丰"/>
    <s v="国寿养老质优稳利基础设施债权投资计划型养老金产品（5期）"/>
    <s v="集合计划"/>
    <n v="550.84"/>
    <x v="4"/>
  </r>
  <r>
    <d v="2020-09-30T00:00:00"/>
    <m/>
    <s v="永睿"/>
    <s v="国寿养老质优稳利基础设施债权投资计划型养老金产品（5期）"/>
    <s v="集合计划"/>
    <n v="372.99"/>
    <x v="4"/>
  </r>
  <r>
    <d v="2020-09-30T00:00:00"/>
    <m/>
    <s v="永颐"/>
    <s v="国寿养老质优稳利基础设施债权投资计划型养老金产品（5期）"/>
    <s v="集合计划"/>
    <n v="58.93"/>
    <x v="4"/>
  </r>
  <r>
    <d v="2020-09-30T00:00:00"/>
    <m/>
    <s v="中行淮南矿业（集团）有限责任公司企业年金计划受托直投（国寿）"/>
    <s v="国寿养老质优稳利基础设施债权投资计划型养老金产品（5期）"/>
    <s v="单一计划"/>
    <n v="17063.55"/>
    <x v="4"/>
  </r>
  <r>
    <d v="2020-09-30T00:00:00"/>
    <s v="CL0081"/>
    <s v="永通"/>
    <s v="国寿养老配置5号混合型养老金产品"/>
    <s v="集合计划"/>
    <n v="23.99"/>
    <x v="2"/>
  </r>
  <r>
    <d v="2020-09-30T00:00:00"/>
    <s v="CL0082"/>
    <s v="永丰"/>
    <s v="国寿养老配置6号混合型养老金产品"/>
    <s v="集合计划"/>
    <n v="37.72"/>
    <x v="2"/>
  </r>
  <r>
    <d v="2020-09-30T00:00:00"/>
    <m/>
    <s v="永乐"/>
    <s v="国寿养老配置6号混合型养老金产品"/>
    <s v="集合计划"/>
    <n v="15.13"/>
    <x v="2"/>
  </r>
  <r>
    <d v="2020-09-30T00:00:00"/>
    <m/>
    <s v="永睿"/>
    <s v="国寿养老配置6号混合型养老金产品"/>
    <s v="集合计划"/>
    <n v="2.33"/>
    <x v="2"/>
  </r>
  <r>
    <d v="2020-09-30T00:00:00"/>
    <m/>
    <s v="永通"/>
    <s v="国寿养老配置6号混合型养老金产品"/>
    <s v="集合计划"/>
    <n v="111.5"/>
    <x v="2"/>
  </r>
  <r>
    <d v="2020-09-30T00:00:00"/>
    <m/>
    <s v="永祥"/>
    <s v="国寿养老配置6号混合型养老金产品"/>
    <s v="集合计划"/>
    <n v="1.97"/>
    <x v="2"/>
  </r>
  <r>
    <d v="2020-09-30T00:00:00"/>
    <m/>
    <s v="永颐"/>
    <s v="国寿养老配置6号混合型养老金产品"/>
    <s v="集合计划"/>
    <n v="233.19"/>
    <x v="2"/>
  </r>
  <r>
    <d v="2020-09-30T00:00:00"/>
    <m/>
    <s v="工行安徽中烟工业有限责任公司企业年金计划国寿组合"/>
    <s v="国寿养老配置6号混合型养老金产品"/>
    <s v="单一计划"/>
    <n v="2461.0500000000002"/>
    <x v="2"/>
  </r>
  <r>
    <d v="2020-09-30T00:00:00"/>
    <s v="CL0089"/>
    <s v="永丰"/>
    <s v="国寿养老量化多策略FOF混合型养老金产品"/>
    <s v="集合计划"/>
    <n v="209.05"/>
    <x v="10"/>
  </r>
  <r>
    <d v="2020-09-30T00:00:00"/>
    <m/>
    <s v="永乐"/>
    <s v="国寿养老量化多策略FOF混合型养老金产品"/>
    <s v="集合计划"/>
    <n v="89.33"/>
    <x v="10"/>
  </r>
  <r>
    <d v="2020-09-30T00:00:00"/>
    <m/>
    <s v="永睿"/>
    <s v="国寿养老量化多策略FOF混合型养老金产品"/>
    <s v="集合计划"/>
    <n v="129.49"/>
    <x v="10"/>
  </r>
  <r>
    <d v="2020-09-30T00:00:00"/>
    <m/>
    <s v="永通"/>
    <s v="国寿养老量化多策略FOF混合型养老金产品"/>
    <s v="集合计划"/>
    <n v="356.75"/>
    <x v="10"/>
  </r>
  <r>
    <d v="2020-09-30T00:00:00"/>
    <m/>
    <s v="永祥"/>
    <s v="国寿养老量化多策略FOF混合型养老金产品"/>
    <s v="集合计划"/>
    <n v="32.840000000000003"/>
    <x v="10"/>
  </r>
  <r>
    <d v="2020-09-30T00:00:00"/>
    <m/>
    <s v="永颐"/>
    <s v="国寿养老量化多策略FOF混合型养老金产品"/>
    <s v="集合计划"/>
    <n v="165.81"/>
    <x v="10"/>
  </r>
  <r>
    <d v="2020-09-30T00:00:00"/>
    <m/>
    <s v="工行安徽中烟工业有限责任公司企业年金计划国寿组合"/>
    <s v="国寿养老量化多策略FOF混合型养老金产品"/>
    <s v="单一计划"/>
    <n v="2735.58"/>
    <x v="10"/>
  </r>
  <r>
    <d v="2020-09-30T00:00:00"/>
    <s v="CL0092"/>
    <s v="永丰"/>
    <s v="国寿养老质优稳利基础设施债权投资计划型养老金产品（6期）"/>
    <s v="集合计划"/>
    <n v="215.73"/>
    <x v="4"/>
  </r>
  <r>
    <d v="2020-09-30T00:00:00"/>
    <m/>
    <s v="永睿"/>
    <s v="国寿养老质优稳利基础设施债权投资计划型养老金产品（6期）"/>
    <s v="集合计划"/>
    <n v="313.88"/>
    <x v="4"/>
  </r>
  <r>
    <d v="2020-09-30T00:00:00"/>
    <m/>
    <s v="永颐"/>
    <s v="国寿养老质优稳利基础设施债权投资计划型养老金产品（6期）"/>
    <s v="集合计划"/>
    <n v="17.18"/>
    <x v="4"/>
  </r>
  <r>
    <d v="2020-09-30T00:00:00"/>
    <s v="CL0101"/>
    <s v="永通"/>
    <s v="国寿养老多元策略FOF固定收益型养老金产品"/>
    <s v="集合计划"/>
    <n v="491.12"/>
    <x v="10"/>
  </r>
  <r>
    <d v="2020-09-30T00:00:00"/>
    <m/>
    <s v="永祥"/>
    <s v="国寿养老多元策略FOF固定收益型养老金产品"/>
    <s v="集合计划"/>
    <n v="63.71"/>
    <x v="10"/>
  </r>
  <r>
    <d v="2020-09-30T00:00:00"/>
    <m/>
    <s v="永颐"/>
    <s v="国寿养老多元策略FOF固定收益型养老金产品"/>
    <s v="集合计划"/>
    <n v="179.43"/>
    <x v="10"/>
  </r>
  <r>
    <d v="2020-09-30T00:00:00"/>
    <m/>
    <s v="工行安徽中烟工业有限责任公司企业年金计划国寿组合"/>
    <s v="国寿养老多元策略FOF固定收益型养老金产品"/>
    <s v="单一计划"/>
    <n v="4831.5"/>
    <x v="10"/>
  </r>
  <r>
    <d v="2020-09-30T00:00:00"/>
    <s v="CL0103"/>
    <s v="永福"/>
    <s v="国寿养老质优增益基础设施债权投资计划型养老金产品（4期）"/>
    <s v="集合计划"/>
    <n v="11.09"/>
    <x v="4"/>
  </r>
  <r>
    <d v="2020-09-30T00:00:00"/>
    <m/>
    <s v="中行国网安徽省电力公司企业年金计划国寿组合"/>
    <s v="国寿养老质优增益基础设施债权投资计划型养老金产品（4期）"/>
    <s v="单一计划"/>
    <n v="4365.96"/>
    <x v="4"/>
  </r>
  <r>
    <d v="2020-09-30T00:00:00"/>
    <s v="CL0105"/>
    <s v="永福"/>
    <s v="国寿养老质优稳利基础设施债权投资计划型养老金产品（8期）"/>
    <s v="集合计划"/>
    <n v="16.2"/>
    <x v="4"/>
  </r>
  <r>
    <d v="2020-09-30T00:00:00"/>
    <m/>
    <s v="工行安徽中烟工业有限责任公司企业年金计划国寿组合"/>
    <s v="国寿养老质优稳利基础设施债权投资计划型养老金产品（8期）"/>
    <s v="单一计划"/>
    <n v="696.59"/>
    <x v="4"/>
  </r>
  <r>
    <d v="2020-09-30T00:00:00"/>
    <s v="CL0106"/>
    <s v="永福"/>
    <s v="国寿养老质优稳利基础设施债权投资计划型养老金产品（9期）"/>
    <s v="集合计划"/>
    <n v="6.88"/>
    <x v="4"/>
  </r>
  <r>
    <d v="2020-09-30T00:00:00"/>
    <m/>
    <s v="中行淮南矿业（集团）有限责任公司企业年金计划受托直投（国寿）"/>
    <s v="国寿养老质优稳利基础设施债权投资计划型养老金产品（9期）"/>
    <s v="单一计划"/>
    <n v="8712.42"/>
    <x v="4"/>
  </r>
  <r>
    <d v="2020-09-30T00:00:00"/>
    <s v="CL0107"/>
    <s v="永福"/>
    <s v="国寿养老质优稳利基础设施债权投资计划型养老金产品（10期）"/>
    <s v="集合计划"/>
    <n v="2.48"/>
    <x v="4"/>
  </r>
  <r>
    <d v="2020-09-30T00:00:00"/>
    <m/>
    <s v="永睿"/>
    <s v="国寿养老质优稳利基础设施债权投资计划型养老金产品（10期）"/>
    <s v="集合计划"/>
    <n v="16.87"/>
    <x v="4"/>
  </r>
  <r>
    <d v="2020-09-30T00:00:00"/>
    <s v="CL0110"/>
    <s v="永福"/>
    <s v="国寿养老质优甄选信托产品型养老金产品（22期）"/>
    <s v="集合计划"/>
    <n v="0.8"/>
    <x v="5"/>
  </r>
  <r>
    <d v="2020-09-30T00:00:00"/>
    <m/>
    <s v="建行中国电力建设集团有限公司企业年金计划受托直投标准组合（泰康养老）"/>
    <s v="国寿养老质优甄选信托产品型养老金产品（22期）"/>
    <s v="单一计划"/>
    <n v="3176.2"/>
    <x v="5"/>
  </r>
  <r>
    <d v="2020-09-30T00:00:00"/>
    <m/>
    <s v="中行淮南矿业（集团）有限责任公司企业年金计划易方达组合"/>
    <s v="国寿养老质优甄选信托产品型养老金产品（22期）"/>
    <s v="单一计划"/>
    <n v="4764.3"/>
    <x v="5"/>
  </r>
  <r>
    <d v="2020-09-30T00:00:00"/>
    <s v="CL0111"/>
    <s v="永颐"/>
    <s v="国寿养老质优甄选信托产品型养老金产品（23期）"/>
    <s v="集合计划"/>
    <n v="0.26"/>
    <x v="5"/>
  </r>
  <r>
    <d v="2020-09-30T00:00:00"/>
    <m/>
    <s v="中行中国南方航空集团有限公司企业年金计划（太平）"/>
    <s v="国寿养老质优甄选信托产品型养老金产品（23期）"/>
    <s v="单一计划"/>
    <n v="1421.25"/>
    <x v="5"/>
  </r>
  <r>
    <d v="2020-09-30T00:00:00"/>
    <m/>
    <s v="工行四川九洲电器集团有限责任公司企业年金计划（太平）"/>
    <s v="国寿养老质优甄选信托产品型养老金产品（23期）"/>
    <s v="单一计划"/>
    <n v="315.83"/>
    <x v="5"/>
  </r>
  <r>
    <d v="2020-09-30T00:00:00"/>
    <m/>
    <s v="光大云南省农村信用社企业年金计划中金组合"/>
    <s v="国寿养老质优甄选信托产品型养老金产品（23期）"/>
    <s v="单一计划"/>
    <n v="3158.33"/>
    <x v="5"/>
  </r>
  <r>
    <d v="2020-09-30T00:00:00"/>
    <s v="CL0120"/>
    <s v="永丰"/>
    <s v="国寿养老质优稳利基础设施债权投资计划型养老金产品（12期）"/>
    <s v="集合计划"/>
    <n v="53.66"/>
    <x v="4"/>
  </r>
  <r>
    <d v="2020-09-30T00:00:00"/>
    <m/>
    <s v="永福"/>
    <s v="国寿养老质优稳利基础设施债权投资计划型养老金产品（12期）"/>
    <s v="集合计划"/>
    <n v="6.46"/>
    <x v="4"/>
  </r>
  <r>
    <d v="2020-09-30T00:00:00"/>
    <m/>
    <s v="永颐"/>
    <s v="国寿养老质优稳利基础设施债权投资计划型养老金产品（12期）"/>
    <s v="集合计划"/>
    <n v="12.83"/>
    <x v="4"/>
  </r>
  <r>
    <d v="2020-09-30T00:00:00"/>
    <m/>
    <s v="工行铜陵有色金属集团控股有限公司企业年金计划受托直投（国寿）"/>
    <s v="国寿养老质优稳利基础设施债权投资计划型养老金产品（12期）"/>
    <s v="单一计划"/>
    <n v="659.33"/>
    <x v="4"/>
  </r>
  <r>
    <d v="2020-09-30T00:00:00"/>
    <m/>
    <s v="光大银行安徽新华传媒股份有限公司企业年金计划受托直投（国寿）"/>
    <s v="国寿养老质优稳利基础设施债权投资计划型养老金产品（12期）"/>
    <s v="单一计划"/>
    <n v="63.84"/>
    <x v="4"/>
  </r>
  <r>
    <d v="2020-09-30T00:00:00"/>
    <s v="CL0121"/>
    <s v="永颐"/>
    <s v="国寿养老质优稳利基础设施债权投资计划型养老金产品（13期）"/>
    <s v="集合计划"/>
    <n v="39.49"/>
    <x v="4"/>
  </r>
  <r>
    <d v="2020-09-30T00:00:00"/>
    <m/>
    <s v="中行淮南矿业（集团）有限责任公司企业年金计划受托直投（国寿）"/>
    <s v="国寿养老质优稳利基础设施债权投资计划型养老金产品（13期）"/>
    <s v="单一计划"/>
    <n v="2735.29"/>
    <x v="4"/>
  </r>
  <r>
    <d v="2020-09-30T00:00:00"/>
    <s v="CL0122"/>
    <s v="永福"/>
    <s v="国寿养老质优稳利基础设施债权投资计划型养老金产品（14期）"/>
    <s v="集合计划"/>
    <n v="3.27"/>
    <x v="4"/>
  </r>
  <r>
    <d v="2020-09-30T00:00:00"/>
    <m/>
    <s v="永颐"/>
    <s v="国寿养老质优稳利基础设施债权投资计划型养老金产品（14期）"/>
    <s v="集合计划"/>
    <n v="16.03"/>
    <x v="4"/>
  </r>
  <r>
    <d v="2020-09-30T00:00:00"/>
    <m/>
    <s v="工行安徽省高速公路控股集团有限公司企业年金计划国寿组合"/>
    <s v="国寿养老质优稳利基础设施债权投资计划型养老金产品（14期）"/>
    <s v="单一计划"/>
    <n v="1340.08"/>
    <x v="4"/>
  </r>
  <r>
    <d v="2020-09-30T00:00:00"/>
    <m/>
    <s v="工行安徽中烟工业有限责任公司企业年金计划国寿组合"/>
    <s v="国寿养老质优稳利基础设施债权投资计划型养老金产品（14期）"/>
    <s v="单一计划"/>
    <n v="937.52"/>
    <x v="4"/>
  </r>
  <r>
    <d v="2020-09-30T00:00:00"/>
    <m/>
    <s v="中行淮南矿业（集团）有限责任公司企业年金计划受托直投（国寿）"/>
    <s v="国寿养老质优稳利基础设施债权投资计划型养老金产品（14期）"/>
    <s v="单一计划"/>
    <n v="2705.67"/>
    <x v="4"/>
  </r>
  <r>
    <d v="2020-09-30T00:00:00"/>
    <s v="CL0124"/>
    <s v="永睿"/>
    <s v="国寿养老质优稳利基础设施债权投资计划型养老金产品（16期）"/>
    <s v="集合计划"/>
    <n v="9.26"/>
    <x v="4"/>
  </r>
  <r>
    <d v="2020-09-30T00:00:00"/>
    <m/>
    <s v="永颐"/>
    <s v="国寿养老质优稳利基础设施债权投资计划型养老金产品（16期）"/>
    <s v="集合计划"/>
    <n v="2.63"/>
    <x v="4"/>
  </r>
  <r>
    <d v="2020-09-30T00:00:00"/>
    <s v="CL0125"/>
    <s v="永乐"/>
    <s v="国寿养老质优甄选信托产品型养老金产品（24期）"/>
    <s v="集合计划"/>
    <n v="5.78"/>
    <x v="5"/>
  </r>
  <r>
    <d v="2020-09-30T00:00:00"/>
    <m/>
    <s v="永睿"/>
    <s v="国寿养老质优甄选信托产品型养老金产品（24期）"/>
    <s v="集合计划"/>
    <n v="5.3"/>
    <x v="5"/>
  </r>
  <r>
    <d v="2020-09-30T00:00:00"/>
    <m/>
    <s v="中信银行中国航空集团公司企业年金计划南方组合"/>
    <s v="国寿养老质优甄选信托产品型养老金产品（24期）"/>
    <s v="单一计划"/>
    <n v="1867.41"/>
    <x v="5"/>
  </r>
  <r>
    <d v="2020-09-30T00:00:00"/>
    <m/>
    <s v="招商银行深圳市水务（集团）有限公司企业年金计划南方组合"/>
    <s v="国寿养老质优甄选信托产品型养老金产品（24期）"/>
    <s v="单一计划"/>
    <n v="1556.17"/>
    <x v="5"/>
  </r>
  <r>
    <d v="2020-09-30T00:00:00"/>
    <m/>
    <s v="中行北京控股集团有限公司企业年金计划南方组合"/>
    <s v="国寿养老质优甄选信托产品型养老金产品（24期）"/>
    <s v="单一计划"/>
    <n v="778.09"/>
    <x v="5"/>
  </r>
  <r>
    <d v="2020-09-30T00:00:00"/>
    <s v="CL0126"/>
    <s v="永福"/>
    <s v="国寿养老质优甄选信托产品型养老金产品（25期）"/>
    <s v="集合计划"/>
    <n v="18.41"/>
    <x v="5"/>
  </r>
  <r>
    <d v="2020-09-30T00:00:00"/>
    <m/>
    <s v="永颐"/>
    <s v="国寿养老质优甄选信托产品型养老金产品（25期）"/>
    <s v="集合计划"/>
    <n v="39.369999999999997"/>
    <x v="5"/>
  </r>
  <r>
    <d v="2020-09-30T00:00:00"/>
    <m/>
    <s v="建行中国电力建设集团有限公司企业年金计划受托直投标准组合（泰康养老）"/>
    <s v="国寿养老质优甄选信托产品型养老金产品（25期）"/>
    <s v="单一计划"/>
    <n v="3030.91"/>
    <x v="5"/>
  </r>
  <r>
    <d v="2020-09-30T00:00:00"/>
    <s v="CL0130"/>
    <s v="永诚"/>
    <s v="国寿养老质优稳利基础设施债权投资计划型养老金产品（17期）"/>
    <s v="集合计划"/>
    <n v="234.72"/>
    <x v="4"/>
  </r>
  <r>
    <d v="2020-09-30T00:00:00"/>
    <m/>
    <s v="永丰"/>
    <s v="国寿养老质优稳利基础设施债权投资计划型养老金产品（17期）"/>
    <s v="集合计划"/>
    <n v="208.51"/>
    <x v="4"/>
  </r>
  <r>
    <d v="2020-09-30T00:00:00"/>
    <m/>
    <s v="永福"/>
    <s v="国寿养老质优稳利基础设施债权投资计划型养老金产品（17期）"/>
    <s v="集合计划"/>
    <n v="51.98"/>
    <x v="4"/>
  </r>
  <r>
    <d v="2020-09-30T00:00:00"/>
    <m/>
    <s v="永乐"/>
    <s v="国寿养老质优稳利基础设施债权投资计划型养老金产品（17期）"/>
    <s v="集合计划"/>
    <n v="11.06"/>
    <x v="4"/>
  </r>
  <r>
    <d v="2020-09-30T00:00:00"/>
    <m/>
    <s v="永睿"/>
    <s v="国寿养老质优稳利基础设施债权投资计划型养老金产品（17期）"/>
    <s v="集合计划"/>
    <n v="76.790000000000006"/>
    <x v="4"/>
  </r>
  <r>
    <d v="2020-09-30T00:00:00"/>
    <m/>
    <s v="永通"/>
    <s v="国寿养老质优稳利基础设施债权投资计划型养老金产品（17期）"/>
    <s v="集合计划"/>
    <n v="173.64"/>
    <x v="4"/>
  </r>
  <r>
    <d v="2020-09-30T00:00:00"/>
    <m/>
    <s v="永颐"/>
    <s v="国寿养老质优稳利基础设施债权投资计划型养老金产品（17期）"/>
    <s v="集合计划"/>
    <n v="2.11"/>
    <x v="4"/>
  </r>
  <r>
    <d v="2020-09-30T00:00:00"/>
    <m/>
    <s v="光大中国烟草总公司安徽省公司企业年金计划国寿组合"/>
    <s v="国寿养老质优稳利基础设施债权投资计划型养老金产品（17期）"/>
    <s v="单一计划"/>
    <n v="1744.43"/>
    <x v="4"/>
  </r>
  <r>
    <d v="2020-09-30T00:00:00"/>
    <s v="CL0132"/>
    <s v="永诚"/>
    <s v="国寿养老质优稳利基础设施债权投资计划型养老金产品（19期）"/>
    <s v="集合计划"/>
    <n v="291.68"/>
    <x v="4"/>
  </r>
  <r>
    <d v="2020-09-30T00:00:00"/>
    <m/>
    <s v="永丰"/>
    <s v="国寿养老质优稳利基础设施债权投资计划型养老金产品（19期）"/>
    <s v="集合计划"/>
    <n v="1295.6199999999999"/>
    <x v="4"/>
  </r>
  <r>
    <d v="2020-09-30T00:00:00"/>
    <m/>
    <s v="永福"/>
    <s v="国寿养老质优稳利基础设施债权投资计划型养老金产品（19期）"/>
    <s v="集合计划"/>
    <n v="25.39"/>
    <x v="4"/>
  </r>
  <r>
    <d v="2020-09-30T00:00:00"/>
    <m/>
    <s v="永睿"/>
    <s v="国寿养老质优稳利基础设施债权投资计划型养老金产品（19期）"/>
    <s v="集合计划"/>
    <n v="477.12"/>
    <x v="4"/>
  </r>
  <r>
    <d v="2020-09-30T00:00:00"/>
    <s v="CL0140"/>
    <s v="永福"/>
    <s v="国寿养老稳健9号固定收益型养老金产品"/>
    <s v="集合计划"/>
    <n v="82.55"/>
    <x v="3"/>
  </r>
  <r>
    <d v="2020-09-30T00:00:00"/>
    <m/>
    <s v="永乐"/>
    <s v="国寿养老稳健9号固定收益型养老金产品"/>
    <s v="集合计划"/>
    <n v="21.42"/>
    <x v="3"/>
  </r>
  <r>
    <d v="2020-09-30T00:00:00"/>
    <m/>
    <s v="永睿"/>
    <s v="国寿养老稳健9号固定收益型养老金产品"/>
    <s v="集合计划"/>
    <n v="49.19"/>
    <x v="3"/>
  </r>
  <r>
    <d v="2020-09-30T00:00:00"/>
    <m/>
    <s v="工行中铁四局集团有限公司企业年金计划国寿组合"/>
    <s v="国寿养老稳健9号固定收益型养老金产品"/>
    <s v="单一计划"/>
    <n v="1751.65"/>
    <x v="3"/>
  </r>
  <r>
    <d v="2020-09-30T00:00:00"/>
    <m/>
    <s v="光大银行安徽新华传媒股份有限公司企业年金计划受托直投（国寿）"/>
    <s v="国寿养老稳健9号固定收益型养老金产品"/>
    <s v="单一计划"/>
    <n v="1213.75"/>
    <x v="3"/>
  </r>
  <r>
    <d v="2020-09-30T00:00:00"/>
    <m/>
    <s v="农行安徽古井集团有限责任公司企业年金计划国寿组合"/>
    <s v="国寿养老稳健9号固定收益型养老金产品"/>
    <s v="单一计划"/>
    <n v="15720.57"/>
    <x v="3"/>
  </r>
  <r>
    <d v="2020-09-30T00:00:00"/>
    <m/>
    <s v="中行徽商银行股份有限公司企业年金计划国寿组合"/>
    <s v="国寿养老稳健9号固定收益型养老金产品"/>
    <s v="单一计划"/>
    <n v="7249.92"/>
    <x v="3"/>
  </r>
  <r>
    <d v="2020-09-30T00:00:00"/>
    <s v="CL0048"/>
    <s v="永诚"/>
    <s v="国寿养老安享鑫泰混合型养老金产品"/>
    <s v="集合计划"/>
    <n v="8.6"/>
    <x v="2"/>
  </r>
  <r>
    <d v="2020-09-30T00:00:00"/>
    <m/>
    <s v="永福"/>
    <s v="国寿养老安享鑫泰混合型养老金产品"/>
    <s v="集合计划"/>
    <n v="40.880000000000003"/>
    <x v="2"/>
  </r>
  <r>
    <d v="2020-09-30T00:00:00"/>
    <m/>
    <s v="农行安徽古井集团有限责任公司企业年金计划国寿组合"/>
    <s v="国寿养老安享鑫泰混合型养老金产品"/>
    <s v="单一计划"/>
    <n v="4821.8100000000004"/>
    <x v="2"/>
  </r>
  <r>
    <d v="2020-09-30T00:00:00"/>
    <s v="CL0158"/>
    <s v="永颐"/>
    <s v="国寿养老配置10号混合型养老金产品"/>
    <s v="集合计划"/>
    <n v="37.29"/>
    <x v="2"/>
  </r>
  <r>
    <d v="2020-09-30T00:00:00"/>
    <s v="CL0084"/>
    <s v="永诚"/>
    <s v="国寿养老配置8号混合型养老金产品"/>
    <s v="集合计划"/>
    <n v="772.99"/>
    <x v="2"/>
  </r>
  <r>
    <d v="2020-09-30T00:00:00"/>
    <m/>
    <s v="永丰"/>
    <s v="国寿养老配置8号混合型养老金产品"/>
    <s v="集合计划"/>
    <n v="4667.57"/>
    <x v="2"/>
  </r>
  <r>
    <d v="2020-09-30T00:00:00"/>
    <m/>
    <s v="永乐"/>
    <s v="国寿养老配置8号混合型养老金产品"/>
    <s v="集合计划"/>
    <n v="250.66"/>
    <x v="2"/>
  </r>
  <r>
    <d v="2020-09-30T00:00:00"/>
    <s v="CL0157"/>
    <s v="永诚"/>
    <s v="国寿养老配置9号混合型养老金产品"/>
    <s v="集合计划"/>
    <n v="373.38"/>
    <x v="2"/>
  </r>
  <r>
    <d v="2020-09-30T00:00:00"/>
    <m/>
    <s v="永丰"/>
    <s v="国寿养老配置9号混合型养老金产品"/>
    <s v="集合计划"/>
    <n v="1094.18"/>
    <x v="2"/>
  </r>
  <r>
    <d v="2020-09-30T00:00:00"/>
    <m/>
    <s v="永乐"/>
    <s v="国寿养老配置9号混合型养老金产品"/>
    <s v="集合计划"/>
    <n v="74.09"/>
    <x v="2"/>
  </r>
  <r>
    <d v="2020-09-30T00:00:00"/>
    <m/>
    <s v="永颐"/>
    <s v="国寿养老配置9号混合型养老金产品"/>
    <s v="集合计划"/>
    <n v="26.55"/>
    <x v="2"/>
  </r>
  <r>
    <d v="2020-09-30T00:00:00"/>
    <s v="CL0080"/>
    <s v="永诚"/>
    <s v="国寿养老配置4号混合型养老金产品"/>
    <s v="集合计划"/>
    <n v="1057.19"/>
    <x v="2"/>
  </r>
  <r>
    <d v="2020-09-30T00:00:00"/>
    <m/>
    <s v="永睿"/>
    <s v="国寿养老配置4号混合型养老金产品"/>
    <s v="集合计划"/>
    <n v="494"/>
    <x v="2"/>
  </r>
  <r>
    <d v="2020-09-30T00:00:00"/>
    <m/>
    <s v="工行中铁四局集团有限公司企业年金计划国寿组合"/>
    <s v="国寿养老配置4号混合型养老金产品"/>
    <s v="单一计划"/>
    <n v="3083.39"/>
    <x v="2"/>
  </r>
  <r>
    <d v="2020-09-30T00:00:00"/>
    <s v="CL0102"/>
    <s v="中行淮南矿业（集团）有限责任公司企业年金计划受托直投（国寿）"/>
    <s v="国寿养老质优增益基础设施债权投资计划型养老金产品（3期）"/>
    <s v="单一计划"/>
    <n v="416.2"/>
    <x v="4"/>
  </r>
  <r>
    <d v="2020-09-30T00:00:00"/>
    <s v="CL0108"/>
    <s v="中行淮南矿业（集团）有限责任公司企业年金计划受托直投（国寿）"/>
    <s v="国寿养老质优稳利基础设施债权投资计划型养老金产品（11期）"/>
    <s v="单一计划"/>
    <n v="2945.88"/>
    <x v="4"/>
  </r>
  <r>
    <d v="2020-09-30T00:00:00"/>
    <m/>
    <s v="工行铜陵有色金属集团控股有限公司企业年金计划受托直投（国寿）"/>
    <s v="国寿养老质优稳利基础设施债权投资计划型养老金产品（11期）"/>
    <s v="单一计划"/>
    <n v="1164.7"/>
    <x v="4"/>
  </r>
  <r>
    <d v="2020-09-30T00:00:00"/>
    <s v="CL0115"/>
    <s v="工行铜陵有色金属集团控股有限公司企业年金计划受托直投（国寿）"/>
    <s v="国寿养老红利存款型养老金产品（14期）"/>
    <s v="单一计划"/>
    <n v="227.05"/>
    <x v="8"/>
  </r>
  <r>
    <d v="2020-09-30T00:00:00"/>
    <s v="CL0112"/>
    <s v="民生银行中国民生银行股份有限公司企业年金计划工银瑞信组合"/>
    <s v="国寿养老红利存款型养老金产品（11期）"/>
    <s v="单一计划"/>
    <n v="477.24"/>
    <x v="8"/>
  </r>
  <r>
    <d v="2020-09-30T00:00:00"/>
    <m/>
    <s v="建行神华集团有限责任公司企业年金计划工银瑞信组合"/>
    <s v="国寿养老红利存款型养老金产品（11期）"/>
    <s v="单一计划"/>
    <n v="477.24"/>
    <x v="8"/>
  </r>
  <r>
    <d v="2020-09-30T00:00:00"/>
    <s v="CL0160"/>
    <s v="永诚"/>
    <s v="国寿养老生命周期2040混合型养老金产品"/>
    <s v="集合计划"/>
    <n v="164.45"/>
    <x v="2"/>
  </r>
  <r>
    <d v="2020-09-30T00:00:00"/>
    <m/>
    <s v="永乐"/>
    <s v="国寿养老生命周期2040混合型养老金产品"/>
    <s v="集合计划"/>
    <n v="22.67"/>
    <x v="2"/>
  </r>
  <r>
    <d v="2020-09-30T00:00:00"/>
    <m/>
    <s v="永颐"/>
    <s v="国寿养老生命周期2040混合型养老金产品"/>
    <s v="集合计划"/>
    <n v="69.61"/>
    <x v="2"/>
  </r>
  <r>
    <d v="2020-09-30T00:00:00"/>
    <s v="CL0159"/>
    <s v="永丰"/>
    <s v="国寿养老生命周期2035混合型养老金产品"/>
    <s v="集合计划"/>
    <n v="558.55999999999995"/>
    <x v="2"/>
  </r>
  <r>
    <d v="2020-09-30T00:00:00"/>
    <m/>
    <s v="永福"/>
    <s v="国寿养老生命周期2035混合型养老金产品"/>
    <s v="集合计划"/>
    <n v="3.36"/>
    <x v="2"/>
  </r>
  <r>
    <d v="2020-09-30T00:00:00"/>
    <s v="CL0146"/>
    <s v="永颐"/>
    <s v="国寿养老生命周期2030混合型养老金产品"/>
    <s v="集合计划"/>
    <n v="154.84"/>
    <x v="2"/>
  </r>
  <r>
    <d v="2020-09-30T00:00:00"/>
    <s v="CL0133"/>
    <s v="永诚"/>
    <s v="国寿养老质优稳利基础设施债权投资计划型养老金产品（20期）"/>
    <s v="集合计划"/>
    <n v="466.52"/>
    <x v="4"/>
  </r>
  <r>
    <d v="2020-09-30T00:00:00"/>
    <m/>
    <s v="永丰"/>
    <s v="国寿养老质优稳利基础设施债权投资计划型养老金产品（20期）"/>
    <s v="集合计划"/>
    <n v="1382.76"/>
    <x v="4"/>
  </r>
  <r>
    <d v="2020-09-30T00:00:00"/>
    <m/>
    <s v="永睿"/>
    <s v="国寿养老质优稳利基础设施债权投资计划型养老金产品（20期）"/>
    <s v="集合计划"/>
    <n v="416.95"/>
    <x v="4"/>
  </r>
  <r>
    <d v="2020-09-30T00:00:00"/>
    <m/>
    <s v="永通"/>
    <s v="国寿养老质优稳利基础设施债权投资计划型养老金产品（20期）"/>
    <s v="集合计划"/>
    <n v="293.82"/>
    <x v="4"/>
  </r>
  <r>
    <d v="2020-09-30T00:00:00"/>
    <s v="CL0070"/>
    <s v="永乐"/>
    <s v="国寿养老策略7号股票型养老金产品"/>
    <s v="集合计划"/>
    <n v="12.11"/>
    <x v="0"/>
  </r>
  <r>
    <d v="2020-07-31T00:00:00"/>
    <s v="CL0001"/>
    <s v="永诚"/>
    <s v="国寿养老红运股票型养老金产品"/>
    <s v="集合计划"/>
    <n v="40.98"/>
    <x v="0"/>
  </r>
  <r>
    <d v="2020-07-31T00:00:00"/>
    <m/>
    <s v="永丰"/>
    <s v="国寿养老红运股票型养老金产品"/>
    <s v="集合计划"/>
    <n v="210.02"/>
    <x v="0"/>
  </r>
  <r>
    <d v="2020-07-31T00:00:00"/>
    <m/>
    <s v="永睿"/>
    <s v="国寿养老红运股票型养老金产品"/>
    <s v="集合计划"/>
    <n v="377.23"/>
    <x v="0"/>
  </r>
  <r>
    <d v="2020-07-31T00:00:00"/>
    <m/>
    <s v="中行淮南矿业（集团）有限责任公司企业年金计划受托直投（国寿）"/>
    <s v="国寿养老红运股票型养老金产品"/>
    <s v="单一计划"/>
    <n v="2760.63"/>
    <x v="0"/>
  </r>
  <r>
    <d v="2020-07-31T00:00:00"/>
    <m/>
    <s v="农行安徽古井集团有限责任公司企业年金计划国寿组合"/>
    <s v="国寿养老红运股票型养老金产品"/>
    <s v="单一计划"/>
    <n v="400.71"/>
    <x v="0"/>
  </r>
  <r>
    <d v="2020-07-31T00:00:00"/>
    <s v="CL0002"/>
    <s v="永福"/>
    <s v="国寿养老红盛债券型养老金产品"/>
    <s v="集合计划"/>
    <n v="162.62"/>
    <x v="1"/>
  </r>
  <r>
    <d v="2020-07-31T00:00:00"/>
    <m/>
    <s v="永乐"/>
    <s v="国寿养老红盛债券型养老金产品"/>
    <s v="集合计划"/>
    <n v="52.91"/>
    <x v="1"/>
  </r>
  <r>
    <d v="2020-07-31T00:00:00"/>
    <m/>
    <s v="永颐"/>
    <s v="国寿养老红盛债券型养老金产品"/>
    <s v="集合计划"/>
    <n v="279.73"/>
    <x v="1"/>
  </r>
  <r>
    <d v="2020-07-31T00:00:00"/>
    <m/>
    <s v="工行安徽省高速公路控股集团有限公司企业年金计划国寿组合"/>
    <s v="国寿养老红盛债券型养老金产品"/>
    <s v="单一计划"/>
    <n v="1282.52"/>
    <x v="1"/>
  </r>
  <r>
    <d v="2020-07-31T00:00:00"/>
    <m/>
    <s v="工行中铁四局集团有限公司企业年金计划国寿组合"/>
    <s v="国寿养老红盛债券型养老金产品"/>
    <s v="单一计划"/>
    <n v="1025.1500000000001"/>
    <x v="1"/>
  </r>
  <r>
    <d v="2020-07-31T00:00:00"/>
    <m/>
    <s v="中行国网安徽省电力公司企业年金计划养老金专户平安组合"/>
    <s v="国寿养老红盛债券型养老金产品"/>
    <s v="单一计划"/>
    <n v="5906.64"/>
    <x v="1"/>
  </r>
  <r>
    <d v="2020-07-31T00:00:00"/>
    <m/>
    <s v="安徽省壹号职业年金计划国寿组合"/>
    <s v="国寿养老红盛债券型养老金产品"/>
    <s v="职业年金"/>
    <n v="6443.58"/>
    <x v="1"/>
  </r>
  <r>
    <d v="2020-07-31T00:00:00"/>
    <m/>
    <s v="安徽省肆号职业年金计划国寿组合"/>
    <s v="国寿养老红盛债券型养老金产品"/>
    <s v="职业年金"/>
    <n v="449.52"/>
    <x v="1"/>
  </r>
  <r>
    <d v="2020-07-31T00:00:00"/>
    <m/>
    <s v="民生安徽省玖号职业年金计划国寿组合"/>
    <s v="国寿养老红盛债券型养老金产品"/>
    <s v="职业年金"/>
    <n v="37.47"/>
    <x v="1"/>
  </r>
  <r>
    <d v="2020-07-31T00:00:00"/>
    <s v="CL0003"/>
    <s v="永丰"/>
    <s v="国寿养老红运混合型养老金产品"/>
    <s v="集合计划"/>
    <n v="120.73"/>
    <x v="2"/>
  </r>
  <r>
    <d v="2020-07-31T00:00:00"/>
    <m/>
    <s v="永乐"/>
    <s v="国寿养老红运混合型养老金产品"/>
    <s v="集合计划"/>
    <n v="24.46"/>
    <x v="2"/>
  </r>
  <r>
    <d v="2020-07-31T00:00:00"/>
    <m/>
    <s v="永睿"/>
    <s v="国寿养老红运混合型养老金产品"/>
    <s v="集合计划"/>
    <n v="29.65"/>
    <x v="2"/>
  </r>
  <r>
    <d v="2020-07-31T00:00:00"/>
    <m/>
    <s v="永通"/>
    <s v="国寿养老红运混合型养老金产品"/>
    <s v="集合计划"/>
    <n v="296.48"/>
    <x v="2"/>
  </r>
  <r>
    <d v="2020-07-31T00:00:00"/>
    <m/>
    <s v="永颐"/>
    <s v="国寿养老红运混合型养老金产品"/>
    <s v="集合计划"/>
    <n v="26.88"/>
    <x v="2"/>
  </r>
  <r>
    <d v="2020-07-31T00:00:00"/>
    <m/>
    <s v="中行淮南矿业（集团）有限责任公司企业年金计划受托直投（国寿）"/>
    <s v="国寿养老红运混合型养老金产品"/>
    <s v="单一计划"/>
    <n v="9748.85"/>
    <x v="2"/>
  </r>
  <r>
    <d v="2020-07-31T00:00:00"/>
    <m/>
    <s v="光大银行安徽新华传媒股份有限公司企业年金计划受托直投（国寿）"/>
    <s v="国寿养老红运混合型养老金产品"/>
    <s v="单一计划"/>
    <n v="355.3"/>
    <x v="2"/>
  </r>
  <r>
    <d v="2020-07-31T00:00:00"/>
    <s v="CL0004"/>
    <s v="永诚"/>
    <s v="国寿养老红盛混合型养老金产品"/>
    <s v="集合计划"/>
    <n v="164.93"/>
    <x v="2"/>
  </r>
  <r>
    <d v="2020-07-31T00:00:00"/>
    <m/>
    <s v="永通"/>
    <s v="国寿养老红盛混合型养老金产品"/>
    <s v="集合计划"/>
    <n v="206.76"/>
    <x v="2"/>
  </r>
  <r>
    <d v="2020-07-31T00:00:00"/>
    <m/>
    <s v="永颐"/>
    <s v="国寿养老红盛混合型养老金产品"/>
    <s v="集合计划"/>
    <n v="83.63"/>
    <x v="2"/>
  </r>
  <r>
    <d v="2020-07-31T00:00:00"/>
    <m/>
    <s v="中行淮南矿业（集团）有限责任公司企业年金计划受托直投（国寿）"/>
    <s v="国寿养老红盛混合型养老金产品"/>
    <s v="单一计划"/>
    <n v="9800.76"/>
    <x v="2"/>
  </r>
  <r>
    <d v="2020-07-31T00:00:00"/>
    <m/>
    <s v="光大银行安徽新华传媒股份有限公司企业年金计划受托直投（国寿）"/>
    <s v="国寿养老红盛混合型养老金产品"/>
    <s v="单一计划"/>
    <n v="343"/>
    <x v="2"/>
  </r>
  <r>
    <d v="2020-07-31T00:00:00"/>
    <s v="CL0005"/>
    <s v="永福"/>
    <s v="国寿养老红运固定收益型养老金产品"/>
    <s v="集合计划"/>
    <n v="37.549999999999997"/>
    <x v="3"/>
  </r>
  <r>
    <d v="2020-07-31T00:00:00"/>
    <m/>
    <s v="永睿"/>
    <s v="国寿养老红运固定收益型养老金产品"/>
    <s v="集合计划"/>
    <n v="102.17"/>
    <x v="3"/>
  </r>
  <r>
    <d v="2020-07-31T00:00:00"/>
    <m/>
    <s v="永通"/>
    <s v="国寿养老红运固定收益型养老金产品"/>
    <s v="集合计划"/>
    <n v="261.32"/>
    <x v="3"/>
  </r>
  <r>
    <d v="2020-07-31T00:00:00"/>
    <m/>
    <s v="永祥"/>
    <s v="国寿养老红运固定收益型养老金产品"/>
    <s v="集合计划"/>
    <n v="12.7"/>
    <x v="3"/>
  </r>
  <r>
    <d v="2020-07-31T00:00:00"/>
    <m/>
    <s v="工行安徽省高速公路控股集团有限公司企业年金计划国寿组合"/>
    <s v="国寿养老红运固定收益型养老金产品"/>
    <s v="单一计划"/>
    <n v="913.44"/>
    <x v="3"/>
  </r>
  <r>
    <d v="2020-07-31T00:00:00"/>
    <m/>
    <s v="交行安徽省徽商集团有限公司企业年金计划国寿组合"/>
    <s v="国寿养老红运固定收益型养老金产品"/>
    <s v="单一计划"/>
    <n v="208.66"/>
    <x v="3"/>
  </r>
  <r>
    <d v="2020-07-31T00:00:00"/>
    <m/>
    <s v="工行中铁四局集团有限公司企业年金计划国寿组合"/>
    <s v="国寿养老红运固定收益型养老金产品"/>
    <s v="单一计划"/>
    <n v="2118.7399999999998"/>
    <x v="3"/>
  </r>
  <r>
    <d v="2020-07-31T00:00:00"/>
    <m/>
    <s v="光大银行安徽新华传媒股份有限公司企业年金计划受托直投（国寿）"/>
    <s v="国寿养老红运固定收益型养老金产品"/>
    <s v="单一计划"/>
    <n v="1518.78"/>
    <x v="3"/>
  </r>
  <r>
    <d v="2020-07-31T00:00:00"/>
    <m/>
    <s v="建行建信养老金管理有限责任公司企业年金计划建信组合"/>
    <s v="国寿养老红运固定收益型养老金产品"/>
    <s v="单一计划"/>
    <n v="2334.25"/>
    <x v="3"/>
  </r>
  <r>
    <d v="2020-07-31T00:00:00"/>
    <m/>
    <s v="中行徽商银行股份有限公司企业年金计划国寿组合"/>
    <s v="国寿养老红运固定收益型养老金产品"/>
    <s v="单一计划"/>
    <n v="7603.18"/>
    <x v="3"/>
  </r>
  <r>
    <d v="2020-07-31T00:00:00"/>
    <s v="CL0007"/>
    <s v="永诚"/>
    <s v="国寿养老红利基础设施债权投资计划型养老金产品"/>
    <s v="集合计划"/>
    <n v="119.58"/>
    <x v="4"/>
  </r>
  <r>
    <d v="2020-07-31T00:00:00"/>
    <m/>
    <s v="永丰"/>
    <s v="国寿养老红利基础设施债权投资计划型养老金产品"/>
    <s v="集合计划"/>
    <n v="1211.52"/>
    <x v="4"/>
  </r>
  <r>
    <d v="2020-07-31T00:00:00"/>
    <m/>
    <s v="永福"/>
    <s v="国寿养老红利基础设施债权投资计划型养老金产品"/>
    <s v="集合计划"/>
    <n v="45.33"/>
    <x v="4"/>
  </r>
  <r>
    <d v="2020-07-31T00:00:00"/>
    <m/>
    <s v="永乐"/>
    <s v="国寿养老红利基础设施债权投资计划型养老金产品"/>
    <s v="集合计划"/>
    <n v="22.77"/>
    <x v="4"/>
  </r>
  <r>
    <d v="2020-07-31T00:00:00"/>
    <m/>
    <s v="永睿"/>
    <s v="国寿养老红利基础设施债权投资计划型养老金产品"/>
    <s v="集合计划"/>
    <n v="63.74"/>
    <x v="4"/>
  </r>
  <r>
    <d v="2020-07-31T00:00:00"/>
    <m/>
    <s v="永通"/>
    <s v="国寿养老红利基础设施债权投资计划型养老金产品"/>
    <s v="集合计划"/>
    <n v="376.84"/>
    <x v="4"/>
  </r>
  <r>
    <d v="2020-07-31T00:00:00"/>
    <m/>
    <s v="永祥"/>
    <s v="国寿养老红利基础设施债权投资计划型养老金产品"/>
    <s v="集合计划"/>
    <n v="33.520000000000003"/>
    <x v="4"/>
  </r>
  <r>
    <d v="2020-07-31T00:00:00"/>
    <m/>
    <s v="永颐"/>
    <s v="国寿养老红利基础设施债权投资计划型养老金产品"/>
    <s v="集合计划"/>
    <n v="177.87"/>
    <x v="4"/>
  </r>
  <r>
    <d v="2020-07-31T00:00:00"/>
    <m/>
    <s v="中行安徽省皖北煤电集团有限责任公司企业年金计划国寿组合"/>
    <s v="国寿养老红利基础设施债权投资计划型养老金产品"/>
    <s v="单一计划"/>
    <n v="6101.11"/>
    <x v="4"/>
  </r>
  <r>
    <d v="2020-07-31T00:00:00"/>
    <m/>
    <s v="工行安徽中烟工业有限责任公司企业年金计划国寿组合"/>
    <s v="国寿养老红利基础设施债权投资计划型养老金产品"/>
    <s v="单一计划"/>
    <n v="2633.03"/>
    <x v="4"/>
  </r>
  <r>
    <d v="2020-07-31T00:00:00"/>
    <m/>
    <s v="交行安徽省徽商集团有限公司企业年金计划国寿组合"/>
    <s v="国寿养老红利基础设施债权投资计划型养老金产品"/>
    <s v="单一计划"/>
    <n v="1577.74"/>
    <x v="4"/>
  </r>
  <r>
    <d v="2020-07-31T00:00:00"/>
    <m/>
    <s v="工行中铁四局集团有限公司企业年金计划国寿组合"/>
    <s v="国寿养老红利基础设施债权投资计划型养老金产品"/>
    <s v="单一计划"/>
    <n v="3868.09"/>
    <x v="4"/>
  </r>
  <r>
    <d v="2020-07-31T00:00:00"/>
    <m/>
    <s v="中行淮南矿业（集团）有限责任公司企业年金计划海富通组合"/>
    <s v="国寿养老红利基础设施债权投资计划型养老金产品"/>
    <s v="单一计划"/>
    <n v="12738.12"/>
    <x v="4"/>
  </r>
  <r>
    <d v="2020-07-31T00:00:00"/>
    <m/>
    <s v="中行淮南矿业（集团）有限责任公司企业年金计划受托直投（国寿）"/>
    <s v="国寿养老红利基础设施债权投资计划型养老金产品"/>
    <s v="单一计划"/>
    <n v="11863.4"/>
    <x v="4"/>
  </r>
  <r>
    <d v="2020-07-31T00:00:00"/>
    <m/>
    <s v="光大中国烟草总公司安徽省公司企业年金计划平安固收组合"/>
    <s v="国寿养老红利基础设施债权投资计划型养老金产品"/>
    <s v="单一计划"/>
    <n v="14267.15"/>
    <x v="4"/>
  </r>
  <r>
    <d v="2020-07-31T00:00:00"/>
    <m/>
    <s v="中行国网安徽省电力公司企业年金计划养老金专户平安组合"/>
    <s v="国寿养老红利基础设施债权投资计划型养老金产品"/>
    <s v="单一计划"/>
    <n v="2461.27"/>
    <x v="4"/>
  </r>
  <r>
    <d v="2020-07-31T00:00:00"/>
    <m/>
    <s v="中行马钢（集团）控股有限公司企业年金计划海富通组合"/>
    <s v="国寿养老红利基础设施债权投资计划型养老金产品"/>
    <s v="单一计划"/>
    <n v="4080.55"/>
    <x v="4"/>
  </r>
  <r>
    <d v="2020-07-31T00:00:00"/>
    <m/>
    <s v="工行铜陵有色金属集团控股有限公司企业年金计划海富通组合"/>
    <s v="国寿养老红利基础设施债权投资计划型养老金产品"/>
    <s v="单一计划"/>
    <n v="2407.98"/>
    <x v="4"/>
  </r>
  <r>
    <d v="2020-07-31T00:00:00"/>
    <m/>
    <s v="工商银行海航集团有限公司企业年金计划海富通组合"/>
    <s v="国寿养老红利基础设施债权投资计划型养老金产品"/>
    <s v="单一计划"/>
    <n v="2407.98"/>
    <x v="4"/>
  </r>
  <r>
    <d v="2020-07-31T00:00:00"/>
    <m/>
    <s v="中国银行淮北矿业（集团）有限责任公司企业年金计划海富通组合"/>
    <s v="国寿养老红利基础设施债权投资计划型养老金产品"/>
    <s v="单一计划"/>
    <n v="9613.32"/>
    <x v="4"/>
  </r>
  <r>
    <d v="2020-07-31T00:00:00"/>
    <m/>
    <s v="工行安徽中烟工业有限责任公司企业年金计划海富通组合"/>
    <s v="国寿养老红利基础设施债权投资计划型养老金产品"/>
    <s v="单一计划"/>
    <n v="1926.38"/>
    <x v="4"/>
  </r>
  <r>
    <d v="2020-07-31T00:00:00"/>
    <m/>
    <s v="安徽省壹号职业年金计划国寿组合"/>
    <s v="国寿养老红利基础设施债权投资计划型养老金产品"/>
    <s v="职业年金"/>
    <n v="33593.379999999997"/>
    <x v="4"/>
  </r>
  <r>
    <d v="2020-07-31T00:00:00"/>
    <m/>
    <s v="安徽省肆号职业年金计划国寿组合"/>
    <s v="国寿养老红利基础设施债权投资计划型养老金产品"/>
    <s v="职业年金"/>
    <n v="29150.06"/>
    <x v="4"/>
  </r>
  <r>
    <d v="2020-07-31T00:00:00"/>
    <m/>
    <s v="农行安徽古井集团有限责任公司企业年金计划国寿组合"/>
    <s v="国寿养老红利基础设施债权投资计划型养老金产品"/>
    <s v="单一计划"/>
    <n v="1191.81"/>
    <x v="4"/>
  </r>
  <r>
    <d v="2020-07-31T00:00:00"/>
    <m/>
    <s v="民生安徽省玖号职业年金计划国寿组合"/>
    <s v="国寿养老红利基础设施债权投资计划型养老金产品"/>
    <s v="职业年金"/>
    <n v="9486.61"/>
    <x v="4"/>
  </r>
  <r>
    <d v="2020-07-31T00:00:00"/>
    <s v="CL0008"/>
    <s v="永诚"/>
    <s v="国寿养老红利信托产品型养老金产品"/>
    <s v="集合计划"/>
    <n v="1810.6"/>
    <x v="5"/>
  </r>
  <r>
    <d v="2020-07-31T00:00:00"/>
    <m/>
    <s v="永丰"/>
    <s v="国寿养老红利信托产品型养老金产品"/>
    <s v="集合计划"/>
    <n v="9700.7999999999993"/>
    <x v="5"/>
  </r>
  <r>
    <d v="2020-07-31T00:00:00"/>
    <m/>
    <s v="永福"/>
    <s v="国寿养老红利信托产品型养老金产品"/>
    <s v="集合计划"/>
    <n v="65.87"/>
    <x v="5"/>
  </r>
  <r>
    <d v="2020-07-31T00:00:00"/>
    <m/>
    <s v="永乐"/>
    <s v="国寿养老红利信托产品型养老金产品"/>
    <s v="集合计划"/>
    <n v="34"/>
    <x v="5"/>
  </r>
  <r>
    <d v="2020-07-31T00:00:00"/>
    <m/>
    <s v="永睿"/>
    <s v="国寿养老红利信托产品型养老金产品"/>
    <s v="集合计划"/>
    <n v="2695.75"/>
    <x v="5"/>
  </r>
  <r>
    <d v="2020-07-31T00:00:00"/>
    <m/>
    <s v="永通"/>
    <s v="国寿养老红利信托产品型养老金产品"/>
    <s v="集合计划"/>
    <n v="953.67"/>
    <x v="5"/>
  </r>
  <r>
    <d v="2020-07-31T00:00:00"/>
    <m/>
    <s v="永祥"/>
    <s v="国寿养老红利信托产品型养老金产品"/>
    <s v="集合计划"/>
    <n v="8.43"/>
    <x v="5"/>
  </r>
  <r>
    <d v="2020-07-31T00:00:00"/>
    <m/>
    <s v="永颐"/>
    <s v="国寿养老红利信托产品型养老金产品"/>
    <s v="集合计划"/>
    <n v="502.28"/>
    <x v="5"/>
  </r>
  <r>
    <d v="2020-07-31T00:00:00"/>
    <m/>
    <s v="中行安徽省皖北煤电集团有限责任公司企业年金计划国寿组合"/>
    <s v="国寿养老红利信托产品型养老金产品"/>
    <s v="单一计划"/>
    <n v="2447.41"/>
    <x v="5"/>
  </r>
  <r>
    <d v="2020-07-31T00:00:00"/>
    <m/>
    <s v="工行安徽省高速公路控股集团有限公司企业年金计划国寿组合"/>
    <s v="国寿养老红利信托产品型养老金产品"/>
    <s v="单一计划"/>
    <n v="2637.99"/>
    <x v="5"/>
  </r>
  <r>
    <d v="2020-07-31T00:00:00"/>
    <m/>
    <s v="工行安徽中烟工业有限责任公司企业年金计划国寿组合"/>
    <s v="国寿养老红利信托产品型养老金产品"/>
    <s v="单一计划"/>
    <n v="6514.65"/>
    <x v="5"/>
  </r>
  <r>
    <d v="2020-07-31T00:00:00"/>
    <m/>
    <s v="光大中国烟草总公司安徽省公司企业年金计划国寿组合"/>
    <s v="国寿养老红利信托产品型养老金产品"/>
    <s v="单一计划"/>
    <n v="306.82"/>
    <x v="5"/>
  </r>
  <r>
    <d v="2020-07-31T00:00:00"/>
    <m/>
    <s v="交行安徽省徽商集团有限公司企业年金计划国寿组合"/>
    <s v="国寿养老红利信托产品型养老金产品"/>
    <s v="单一计划"/>
    <n v="729.54"/>
    <x v="5"/>
  </r>
  <r>
    <d v="2020-07-31T00:00:00"/>
    <m/>
    <s v="工行中铁四局集团有限公司企业年金计划国寿组合"/>
    <s v="国寿养老红利信托产品型养老金产品"/>
    <s v="单一计划"/>
    <n v="3007.67"/>
    <x v="5"/>
  </r>
  <r>
    <d v="2020-07-31T00:00:00"/>
    <m/>
    <s v="工行铜陵有色金属集团控股有限公司企业年金计划受托直投（国寿）"/>
    <s v="国寿养老红利信托产品型养老金产品"/>
    <s v="单一计划"/>
    <n v="2265.63"/>
    <x v="5"/>
  </r>
  <r>
    <d v="2020-07-31T00:00:00"/>
    <m/>
    <s v="中行国网安徽省电力公司企业年金计划国寿组合"/>
    <s v="国寿养老红利信托产品型养老金产品"/>
    <s v="单一计划"/>
    <n v="14818.04"/>
    <x v="5"/>
  </r>
  <r>
    <d v="2020-07-31T00:00:00"/>
    <m/>
    <s v="中行国网安徽省电力公司企业年金计划养老金专户平安组合"/>
    <s v="国寿养老红利信托产品型养老金产品"/>
    <s v="单一计划"/>
    <n v="1183.01"/>
    <x v="5"/>
  </r>
  <r>
    <d v="2020-07-31T00:00:00"/>
    <m/>
    <s v="光大银行安徽新华传媒股份有限公司企业年金计划受托直投（国寿）"/>
    <s v="国寿养老红利信托产品型养老金产品"/>
    <s v="单一计划"/>
    <n v="1811.18"/>
    <x v="5"/>
  </r>
  <r>
    <d v="2020-07-31T00:00:00"/>
    <m/>
    <s v="招行深圳市机场（集团）有限公司企业年金计划受托直投（泰康养老）"/>
    <s v="国寿养老红利信托产品型养老金产品"/>
    <s v="单一计划"/>
    <n v="185.36"/>
    <x v="5"/>
  </r>
  <r>
    <d v="2020-07-31T00:00:00"/>
    <m/>
    <s v="中国银行河钢股份有限公司唐山分公司企业年金计划（嘉实）"/>
    <s v="国寿养老红利信托产品型养老金产品"/>
    <s v="单一计划"/>
    <n v="1522.59"/>
    <x v="5"/>
  </r>
  <r>
    <d v="2020-07-31T00:00:00"/>
    <m/>
    <s v="安徽省壹号职业年金计划国寿组合"/>
    <s v="国寿养老红利信托产品型养老金产品"/>
    <s v="职业年金"/>
    <n v="9688.33"/>
    <x v="5"/>
  </r>
  <r>
    <d v="2020-07-31T00:00:00"/>
    <m/>
    <s v="安徽省壹号职业年金计划国寿信托组合"/>
    <s v="国寿养老红利信托产品型养老金产品"/>
    <s v="职业年金"/>
    <n v="390124.1"/>
    <x v="5"/>
  </r>
  <r>
    <d v="2020-07-31T00:00:00"/>
    <m/>
    <s v="安徽省肆号职业年金计划国寿组合"/>
    <s v="国寿养老红利信托产品型养老金产品"/>
    <s v="职业年金"/>
    <n v="5660.17"/>
    <x v="5"/>
  </r>
  <r>
    <d v="2020-07-31T00:00:00"/>
    <m/>
    <s v="农行安徽古井集团有限责任公司企业年金计划国寿组合"/>
    <s v="国寿养老红利信托产品型养老金产品"/>
    <s v="单一计划"/>
    <n v="2226.7399999999998"/>
    <x v="5"/>
  </r>
  <r>
    <d v="2020-07-31T00:00:00"/>
    <m/>
    <s v="民生安徽省玖号职业年金计划国寿组合"/>
    <s v="国寿养老红利信托产品型养老金产品"/>
    <s v="职业年金"/>
    <n v="4779.97"/>
    <x v="5"/>
  </r>
  <r>
    <d v="2020-07-31T00:00:00"/>
    <s v="CL0010"/>
    <s v="永诚"/>
    <s v="国寿养老红泰优先股型养老金产品（1期）"/>
    <s v="集合计划"/>
    <n v="47"/>
    <x v="6"/>
  </r>
  <r>
    <d v="2020-07-31T00:00:00"/>
    <m/>
    <s v="永丰"/>
    <s v="国寿养老红泰优先股型养老金产品（1期）"/>
    <s v="集合计划"/>
    <n v="0.86"/>
    <x v="6"/>
  </r>
  <r>
    <d v="2020-07-31T00:00:00"/>
    <m/>
    <s v="永福"/>
    <s v="国寿养老红泰优先股型养老金产品（1期）"/>
    <s v="集合计划"/>
    <n v="1.01"/>
    <x v="6"/>
  </r>
  <r>
    <d v="2020-07-31T00:00:00"/>
    <m/>
    <s v="永睿"/>
    <s v="国寿养老红泰优先股型养老金产品（1期）"/>
    <s v="集合计划"/>
    <n v="38.369999999999997"/>
    <x v="6"/>
  </r>
  <r>
    <d v="2020-07-31T00:00:00"/>
    <m/>
    <s v="永通"/>
    <s v="国寿养老红泰优先股型养老金产品（1期）"/>
    <s v="集合计划"/>
    <n v="23.31"/>
    <x v="6"/>
  </r>
  <r>
    <d v="2020-07-31T00:00:00"/>
    <m/>
    <s v="永祥"/>
    <s v="国寿养老红泰优先股型养老金产品（1期）"/>
    <s v="集合计划"/>
    <n v="0.72"/>
    <x v="6"/>
  </r>
  <r>
    <d v="2020-07-31T00:00:00"/>
    <m/>
    <s v="永颐"/>
    <s v="国寿养老红泰优先股型养老金产品（1期）"/>
    <s v="集合计划"/>
    <n v="17.72"/>
    <x v="6"/>
  </r>
  <r>
    <d v="2020-07-31T00:00:00"/>
    <s v="CL0011"/>
    <s v="永诚"/>
    <s v="国寿养老现金增利货币型养老金产品"/>
    <s v="集合计划"/>
    <n v="521.5"/>
    <x v="7"/>
  </r>
  <r>
    <d v="2020-07-31T00:00:00"/>
    <m/>
    <s v="永丰"/>
    <s v="国寿养老现金增利货币型养老金产品"/>
    <s v="集合计划"/>
    <n v="3862.3"/>
    <x v="7"/>
  </r>
  <r>
    <d v="2020-07-31T00:00:00"/>
    <m/>
    <s v="永福"/>
    <s v="国寿养老现金增利货币型养老金产品"/>
    <s v="集合计划"/>
    <n v="85.49"/>
    <x v="7"/>
  </r>
  <r>
    <d v="2020-07-31T00:00:00"/>
    <m/>
    <s v="永乐"/>
    <s v="国寿养老现金增利货币型养老金产品"/>
    <s v="集合计划"/>
    <n v="61.87"/>
    <x v="7"/>
  </r>
  <r>
    <d v="2020-07-31T00:00:00"/>
    <m/>
    <s v="永睿"/>
    <s v="国寿养老现金增利货币型养老金产品"/>
    <s v="集合计划"/>
    <n v="795.59"/>
    <x v="7"/>
  </r>
  <r>
    <d v="2020-07-31T00:00:00"/>
    <m/>
    <s v="永通"/>
    <s v="国寿养老现金增利货币型养老金产品"/>
    <s v="集合计划"/>
    <n v="549.92999999999995"/>
    <x v="7"/>
  </r>
  <r>
    <d v="2020-07-31T00:00:00"/>
    <m/>
    <s v="永祥"/>
    <s v="国寿养老现金增利货币型养老金产品"/>
    <s v="集合计划"/>
    <n v="7.13"/>
    <x v="7"/>
  </r>
  <r>
    <d v="2020-07-31T00:00:00"/>
    <m/>
    <s v="永颐"/>
    <s v="国寿养老现金增利货币型养老金产品"/>
    <s v="集合计划"/>
    <n v="419.79"/>
    <x v="7"/>
  </r>
  <r>
    <d v="2020-07-31T00:00:00"/>
    <m/>
    <s v="中行安徽省皖北煤电集团有限责任公司企业年金计划国寿组合"/>
    <s v="国寿养老现金增利货币型养老金产品"/>
    <s v="单一计划"/>
    <n v="1840.91"/>
    <x v="7"/>
  </r>
  <r>
    <d v="2020-07-31T00:00:00"/>
    <m/>
    <s v="光大中国烟草总公司安徽省公司企业年金计划国寿组合"/>
    <s v="国寿养老现金增利货币型养老金产品"/>
    <s v="单一计划"/>
    <n v="2458.3200000000002"/>
    <x v="7"/>
  </r>
  <r>
    <d v="2020-07-31T00:00:00"/>
    <m/>
    <s v="交行安徽省徽商集团有限公司企业年金计划国寿组合"/>
    <s v="国寿养老现金增利货币型养老金产品"/>
    <s v="单一计划"/>
    <n v="485.28"/>
    <x v="7"/>
  </r>
  <r>
    <d v="2020-07-31T00:00:00"/>
    <m/>
    <s v="工行中铁四局集团有限公司企业年金计划国寿组合"/>
    <s v="国寿养老现金增利货币型养老金产品"/>
    <s v="单一计划"/>
    <n v="1738.98"/>
    <x v="7"/>
  </r>
  <r>
    <d v="2020-07-31T00:00:00"/>
    <m/>
    <s v="中行淮南矿业（集团）有限责任公司企业年金计划受托直投（国寿）"/>
    <s v="国寿养老现金增利货币型养老金产品"/>
    <s v="单一计划"/>
    <n v="11168.43"/>
    <x v="7"/>
  </r>
  <r>
    <d v="2020-07-31T00:00:00"/>
    <m/>
    <s v="中行安徽省皖北煤电集团有限责任公司企业年金计划国寿债权组合"/>
    <s v="国寿养老现金增利货币型养老金产品"/>
    <s v="单一计划"/>
    <n v="11371.34"/>
    <x v="7"/>
  </r>
  <r>
    <d v="2020-07-31T00:00:00"/>
    <m/>
    <s v="工行铜陵有色金属集团控股有限公司企业年金计划受托直投（国寿）"/>
    <s v="国寿养老现金增利货币型养老金产品"/>
    <s v="单一计划"/>
    <n v="1029.3900000000001"/>
    <x v="7"/>
  </r>
  <r>
    <d v="2020-07-31T00:00:00"/>
    <m/>
    <s v="中行安徽省皖北煤电集团有限责任公司企业年金计划受托直投（国寿）"/>
    <s v="国寿养老现金增利货币型养老金产品"/>
    <s v="单一计划"/>
    <n v="701.89"/>
    <x v="7"/>
  </r>
  <r>
    <d v="2020-07-31T00:00:00"/>
    <m/>
    <s v="中行国网安徽省电力公司企业年金计划国寿组合"/>
    <s v="国寿养老现金增利货币型养老金产品"/>
    <s v="单一计划"/>
    <n v="9455.2999999999993"/>
    <x v="7"/>
  </r>
  <r>
    <d v="2020-07-31T00:00:00"/>
    <m/>
    <s v="光大银行安徽新华传媒股份有限公司企业年金计划受托直投（国寿）"/>
    <s v="国寿养老现金增利货币型养老金产品"/>
    <s v="单一计划"/>
    <n v="949.59"/>
    <x v="7"/>
  </r>
  <r>
    <d v="2020-07-31T00:00:00"/>
    <m/>
    <s v="工行昆明铁路局企业年金计划海富通组合"/>
    <s v="国寿养老现金增利货币型养老金产品"/>
    <s v="单一计划"/>
    <n v="2212.96"/>
    <x v="7"/>
  </r>
  <r>
    <d v="2020-07-31T00:00:00"/>
    <m/>
    <s v="安徽省壹号职业年金计划国寿组合"/>
    <s v="国寿养老现金增利货币型养老金产品"/>
    <s v="职业年金"/>
    <n v="9722.23"/>
    <x v="7"/>
  </r>
  <r>
    <d v="2020-07-31T00:00:00"/>
    <m/>
    <s v="安徽省壹号职业年金计划国寿信托组合"/>
    <s v="国寿养老现金增利货币型养老金产品"/>
    <s v="职业年金"/>
    <n v="3271.99"/>
    <x v="7"/>
  </r>
  <r>
    <d v="2020-07-31T00:00:00"/>
    <m/>
    <s v="安徽省肆号职业年金计划国寿组合"/>
    <s v="国寿养老现金增利货币型养老金产品"/>
    <s v="职业年金"/>
    <n v="8429.08"/>
    <x v="7"/>
  </r>
  <r>
    <d v="2020-07-31T00:00:00"/>
    <m/>
    <s v="农行安徽古井集团有限责任公司企业年金计划国寿组合"/>
    <s v="国寿养老现金增利货币型养老金产品"/>
    <s v="单一计划"/>
    <n v="1265.08"/>
    <x v="7"/>
  </r>
  <r>
    <d v="2020-07-31T00:00:00"/>
    <m/>
    <s v="民生安徽省玖号职业年金计划国寿组合"/>
    <s v="国寿养老现金增利货币型养老金产品"/>
    <s v="职业年金"/>
    <n v="2753.42"/>
    <x v="7"/>
  </r>
  <r>
    <d v="2020-07-31T00:00:00"/>
    <m/>
    <s v="中行徽商银行股份有限公司企业年金计划国寿组合"/>
    <s v="国寿养老现金增利货币型养老金产品"/>
    <s v="单一计划"/>
    <n v="4379.1099999999997"/>
    <x v="7"/>
  </r>
  <r>
    <d v="2020-07-31T00:00:00"/>
    <s v="CL0012"/>
    <s v="中信北京农村商业银行股份有限公司企业年金计划嘉实组合"/>
    <s v="国寿养老红利存款型养老金产品（1期）"/>
    <s v="单一计划"/>
    <n v="15886.25"/>
    <x v="8"/>
  </r>
  <r>
    <d v="2020-07-31T00:00:00"/>
    <m/>
    <s v="建行厦门港务控股集团有限公司企业年金计划嘉实组合"/>
    <s v="国寿养老红利存款型养老金产品（1期）"/>
    <s v="单一计划"/>
    <n v="4236.33"/>
    <x v="8"/>
  </r>
  <r>
    <d v="2020-07-31T00:00:00"/>
    <s v="CL0013"/>
    <s v="永丰"/>
    <s v="国寿养老质优稳利基础设施债权投资计划型养老金产品（1期）"/>
    <s v="集合计划"/>
    <n v="341.17"/>
    <x v="4"/>
  </r>
  <r>
    <d v="2020-07-31T00:00:00"/>
    <m/>
    <s v="永睿"/>
    <s v="国寿养老质优稳利基础设施债权投资计划型养老金产品（1期）"/>
    <s v="集合计划"/>
    <n v="174.96"/>
    <x v="4"/>
  </r>
  <r>
    <d v="2020-07-31T00:00:00"/>
    <s v="CL0014"/>
    <s v="永诚"/>
    <s v="国寿养老红泰优先股型养老金产品（2期）"/>
    <s v="集合计划"/>
    <n v="21"/>
    <x v="6"/>
  </r>
  <r>
    <d v="2020-07-31T00:00:00"/>
    <m/>
    <s v="永丰"/>
    <s v="国寿养老红泰优先股型养老金产品（2期）"/>
    <s v="集合计划"/>
    <n v="110.22"/>
    <x v="6"/>
  </r>
  <r>
    <d v="2020-07-31T00:00:00"/>
    <m/>
    <s v="永睿"/>
    <s v="国寿养老红泰优先股型养老金产品（2期）"/>
    <s v="集合计划"/>
    <n v="24.48"/>
    <x v="6"/>
  </r>
  <r>
    <d v="2020-07-31T00:00:00"/>
    <m/>
    <s v="永通"/>
    <s v="国寿养老红泰优先股型养老金产品（2期）"/>
    <s v="集合计划"/>
    <n v="9.2200000000000006"/>
    <x v="6"/>
  </r>
  <r>
    <d v="2020-07-31T00:00:00"/>
    <s v="CL0016"/>
    <s v="永丰"/>
    <s v="国寿养老质优甄选信托产品型养老金产品（2期）"/>
    <s v="集合计划"/>
    <n v="399.49"/>
    <x v="5"/>
  </r>
  <r>
    <d v="2020-07-31T00:00:00"/>
    <m/>
    <s v="永睿"/>
    <s v="国寿养老质优甄选信托产品型养老金产品（2期）"/>
    <s v="集合计划"/>
    <n v="82.88"/>
    <x v="5"/>
  </r>
  <r>
    <d v="2020-07-31T00:00:00"/>
    <m/>
    <s v="永通"/>
    <s v="国寿养老质优甄选信托产品型养老金产品（2期）"/>
    <s v="集合计划"/>
    <n v="17.16"/>
    <x v="5"/>
  </r>
  <r>
    <d v="2020-07-31T00:00:00"/>
    <m/>
    <s v="永颐"/>
    <s v="国寿养老质优甄选信托产品型养老金产品（2期）"/>
    <s v="集合计划"/>
    <n v="18.62"/>
    <x v="5"/>
  </r>
  <r>
    <d v="2020-07-31T00:00:00"/>
    <m/>
    <s v="交行安徽省徽商集团有限公司企业年金计划国寿组合"/>
    <s v="国寿养老质优甄选信托产品型养老金产品（2期）"/>
    <s v="单一计划"/>
    <n v="162.63"/>
    <x v="5"/>
  </r>
  <r>
    <d v="2020-07-31T00:00:00"/>
    <s v="CL0020"/>
    <s v="永丰"/>
    <s v="国寿养老策略成长混合型养老金产品"/>
    <s v="集合计划"/>
    <n v="51.69"/>
    <x v="2"/>
  </r>
  <r>
    <d v="2020-07-31T00:00:00"/>
    <m/>
    <s v="永睿"/>
    <s v="国寿养老策略成长混合型养老金产品"/>
    <s v="集合计划"/>
    <n v="417.53"/>
    <x v="2"/>
  </r>
  <r>
    <d v="2020-07-31T00:00:00"/>
    <m/>
    <s v="永祥"/>
    <s v="国寿养老策略成长混合型养老金产品"/>
    <s v="集合计划"/>
    <n v="5.35"/>
    <x v="2"/>
  </r>
  <r>
    <d v="2020-07-31T00:00:00"/>
    <m/>
    <s v="永颐"/>
    <s v="国寿养老策略成长混合型养老金产品"/>
    <s v="集合计划"/>
    <n v="35.729999999999997"/>
    <x v="2"/>
  </r>
  <r>
    <d v="2020-07-31T00:00:00"/>
    <m/>
    <s v="中行安徽省皖北煤电集团有限责任公司企业年金计划国寿组合"/>
    <s v="国寿养老策略成长混合型养老金产品"/>
    <s v="单一计划"/>
    <n v="3012.26"/>
    <x v="2"/>
  </r>
  <r>
    <d v="2020-07-31T00:00:00"/>
    <m/>
    <s v="中行淮南矿业（集团）有限责任公司企业年金计划受托直投（国寿）"/>
    <s v="国寿养老策略成长混合型养老金产品"/>
    <s v="单一计划"/>
    <n v="7073.64"/>
    <x v="2"/>
  </r>
  <r>
    <d v="2020-07-31T00:00:00"/>
    <s v="CL0021"/>
    <s v="永诚"/>
    <s v="国寿养老策略优选股票型养老金产品"/>
    <s v="集合计划"/>
    <n v="153.85"/>
    <x v="0"/>
  </r>
  <r>
    <d v="2020-07-31T00:00:00"/>
    <m/>
    <s v="永丰"/>
    <s v="国寿养老策略优选股票型养老金产品"/>
    <s v="集合计划"/>
    <n v="23181.29"/>
    <x v="0"/>
  </r>
  <r>
    <d v="2020-07-31T00:00:00"/>
    <m/>
    <s v="永睿"/>
    <s v="国寿养老策略优选股票型养老金产品"/>
    <s v="集合计划"/>
    <n v="120.53"/>
    <x v="0"/>
  </r>
  <r>
    <d v="2020-07-31T00:00:00"/>
    <m/>
    <s v="中行淮南矿业（集团）有限责任公司企业年金计划受托直投（国寿）"/>
    <s v="国寿养老策略优选股票型养老金产品"/>
    <s v="单一计划"/>
    <n v="1868.31"/>
    <x v="0"/>
  </r>
  <r>
    <d v="2020-07-31T00:00:00"/>
    <s v="CL0022"/>
    <s v="永诚"/>
    <s v="国寿养老研究精选股票型养老金产品"/>
    <s v="集合计划"/>
    <n v="2897.25"/>
    <x v="0"/>
  </r>
  <r>
    <d v="2020-07-31T00:00:00"/>
    <m/>
    <s v="永丰"/>
    <s v="国寿养老研究精选股票型养老金产品"/>
    <s v="集合计划"/>
    <n v="4900.72"/>
    <x v="0"/>
  </r>
  <r>
    <d v="2020-07-31T00:00:00"/>
    <m/>
    <s v="永睿"/>
    <s v="国寿养老研究精选股票型养老金产品"/>
    <s v="集合计划"/>
    <n v="6.73"/>
    <x v="0"/>
  </r>
  <r>
    <d v="2020-07-31T00:00:00"/>
    <m/>
    <s v="光大中国烟草总公司安徽省公司企业年金计划国寿组合"/>
    <s v="国寿养老研究精选股票型养老金产品"/>
    <s v="单一计划"/>
    <n v="2599.15"/>
    <x v="0"/>
  </r>
  <r>
    <d v="2020-07-31T00:00:00"/>
    <s v="CL0024"/>
    <s v="永丰"/>
    <s v="国寿养老质优稳利基础设施债权投资计划型养老金产品（2期）"/>
    <s v="集合计划"/>
    <n v="439.81"/>
    <x v="4"/>
  </r>
  <r>
    <d v="2020-07-31T00:00:00"/>
    <m/>
    <s v="永睿"/>
    <s v="国寿养老质优稳利基础设施债权投资计划型养老金产品（2期）"/>
    <s v="集合计划"/>
    <n v="156.63"/>
    <x v="4"/>
  </r>
  <r>
    <d v="2020-07-31T00:00:00"/>
    <m/>
    <s v="永颐"/>
    <s v="国寿养老质优稳利基础设施债权投资计划型养老金产品（2期）"/>
    <s v="集合计划"/>
    <n v="43.7"/>
    <x v="4"/>
  </r>
  <r>
    <d v="2020-07-31T00:00:00"/>
    <s v="CL0025"/>
    <s v="永丰"/>
    <s v="国寿养老红信固定收益型养老金产品"/>
    <s v="集合计划"/>
    <n v="1241.07"/>
    <x v="3"/>
  </r>
  <r>
    <d v="2020-07-31T00:00:00"/>
    <m/>
    <s v="永乐"/>
    <s v="国寿养老红信固定收益型养老金产品"/>
    <s v="集合计划"/>
    <n v="26.43"/>
    <x v="3"/>
  </r>
  <r>
    <d v="2020-07-31T00:00:00"/>
    <m/>
    <s v="永睿"/>
    <s v="国寿养老红信固定收益型养老金产品"/>
    <s v="集合计划"/>
    <n v="36.06"/>
    <x v="3"/>
  </r>
  <r>
    <d v="2020-07-31T00:00:00"/>
    <m/>
    <s v="永通"/>
    <s v="国寿养老红信固定收益型养老金产品"/>
    <s v="集合计划"/>
    <n v="780.96"/>
    <x v="3"/>
  </r>
  <r>
    <d v="2020-07-31T00:00:00"/>
    <m/>
    <s v="永祥"/>
    <s v="国寿养老红信固定收益型养老金产品"/>
    <s v="集合计划"/>
    <n v="13.19"/>
    <x v="3"/>
  </r>
  <r>
    <d v="2020-07-31T00:00:00"/>
    <m/>
    <s v="永颐"/>
    <s v="国寿养老红信固定收益型养老金产品"/>
    <s v="集合计划"/>
    <n v="459.75"/>
    <x v="3"/>
  </r>
  <r>
    <d v="2020-07-31T00:00:00"/>
    <m/>
    <s v="工行安徽省高速公路控股集团有限公司企业年金计划国寿组合"/>
    <s v="国寿养老红信固定收益型养老金产品"/>
    <s v="单一计划"/>
    <n v="3343.75"/>
    <x v="3"/>
  </r>
  <r>
    <d v="2020-07-31T00:00:00"/>
    <m/>
    <s v="工行安徽中烟工业有限责任公司企业年金计划国寿组合"/>
    <s v="国寿养老红信固定收益型养老金产品"/>
    <s v="单一计划"/>
    <n v="11542.53"/>
    <x v="3"/>
  </r>
  <r>
    <d v="2020-07-31T00:00:00"/>
    <m/>
    <s v="交行安徽省徽商集团有限公司企业年金计划国寿组合"/>
    <s v="国寿养老红信固定收益型养老金产品"/>
    <s v="单一计划"/>
    <n v="2056.04"/>
    <x v="3"/>
  </r>
  <r>
    <d v="2020-07-31T00:00:00"/>
    <m/>
    <s v="工行中铁四局集团有限公司企业年金计划国寿组合"/>
    <s v="国寿养老红信固定收益型养老金产品"/>
    <s v="单一计划"/>
    <n v="4805.9799999999996"/>
    <x v="3"/>
  </r>
  <r>
    <d v="2020-07-31T00:00:00"/>
    <m/>
    <s v="农行安徽古井集团有限责任公司企业年金计划国寿组合"/>
    <s v="国寿养老红信固定收益型养老金产品"/>
    <s v="单一计划"/>
    <n v="260.92"/>
    <x v="3"/>
  </r>
  <r>
    <d v="2020-07-31T00:00:00"/>
    <s v="CL0026"/>
    <s v="永诚"/>
    <s v="国寿养老红义固定收益型养老金产品"/>
    <s v="集合计划"/>
    <n v="3830.13"/>
    <x v="3"/>
  </r>
  <r>
    <d v="2020-07-31T00:00:00"/>
    <m/>
    <s v="永丰"/>
    <s v="国寿养老红义固定收益型养老金产品"/>
    <s v="集合计划"/>
    <n v="5185.66"/>
    <x v="3"/>
  </r>
  <r>
    <d v="2020-07-31T00:00:00"/>
    <m/>
    <s v="永乐"/>
    <s v="国寿养老红义固定收益型养老金产品"/>
    <s v="集合计划"/>
    <n v="61.3"/>
    <x v="3"/>
  </r>
  <r>
    <d v="2020-07-31T00:00:00"/>
    <m/>
    <s v="永睿"/>
    <s v="国寿养老红义固定收益型养老金产品"/>
    <s v="集合计划"/>
    <n v="739.11"/>
    <x v="3"/>
  </r>
  <r>
    <d v="2020-07-31T00:00:00"/>
    <m/>
    <s v="永通"/>
    <s v="国寿养老红义固定收益型养老金产品"/>
    <s v="集合计划"/>
    <n v="1899.92"/>
    <x v="3"/>
  </r>
  <r>
    <d v="2020-07-31T00:00:00"/>
    <m/>
    <s v="永祥"/>
    <s v="国寿养老红义固定收益型养老金产品"/>
    <s v="集合计划"/>
    <n v="5.99"/>
    <x v="3"/>
  </r>
  <r>
    <d v="2020-07-31T00:00:00"/>
    <m/>
    <s v="永颐"/>
    <s v="国寿养老红义固定收益型养老金产品"/>
    <s v="集合计划"/>
    <n v="137.08000000000001"/>
    <x v="3"/>
  </r>
  <r>
    <d v="2020-07-31T00:00:00"/>
    <m/>
    <s v="中行安徽省皖北煤电集团有限责任公司企业年金计划国寿组合"/>
    <s v="国寿养老红义固定收益型养老金产品"/>
    <s v="单一计划"/>
    <n v="15693.77"/>
    <x v="3"/>
  </r>
  <r>
    <d v="2020-07-31T00:00:00"/>
    <m/>
    <s v="工行安徽省高速公路控股集团有限公司企业年金计划国寿组合"/>
    <s v="国寿养老红义固定收益型养老金产品"/>
    <s v="单一计划"/>
    <n v="640.45000000000005"/>
    <x v="3"/>
  </r>
  <r>
    <d v="2020-07-31T00:00:00"/>
    <m/>
    <s v="工行安徽中烟工业有限责任公司企业年金计划国寿组合"/>
    <s v="国寿养老红义固定收益型养老金产品"/>
    <s v="单一计划"/>
    <n v="2898.08"/>
    <x v="3"/>
  </r>
  <r>
    <d v="2020-07-31T00:00:00"/>
    <m/>
    <s v="交行安徽省徽商集团有限公司企业年金计划国寿组合"/>
    <s v="国寿养老红义固定收益型养老金产品"/>
    <s v="单一计划"/>
    <n v="2188.19"/>
    <x v="3"/>
  </r>
  <r>
    <d v="2020-07-31T00:00:00"/>
    <m/>
    <s v="工行铜陵有色金属集团控股有限公司企业年金计划受托直投（国寿）"/>
    <s v="国寿养老红义固定收益型养老金产品"/>
    <s v="单一计划"/>
    <n v="376.15"/>
    <x v="3"/>
  </r>
  <r>
    <d v="2020-07-31T00:00:00"/>
    <m/>
    <s v="中行国网安徽省电力公司企业年金计划养老金专户平安组合"/>
    <s v="国寿养老红义固定收益型养老金产品"/>
    <s v="单一计划"/>
    <n v="9260.0300000000007"/>
    <x v="3"/>
  </r>
  <r>
    <d v="2020-07-31T00:00:00"/>
    <m/>
    <s v="光大银行安徽新华传媒股份有限公司企业年金计划受托直投（国寿）"/>
    <s v="国寿养老红义固定收益型养老金产品"/>
    <s v="单一计划"/>
    <n v="744.59"/>
    <x v="3"/>
  </r>
  <r>
    <d v="2020-07-31T00:00:00"/>
    <m/>
    <s v="农行安徽古井集团有限责任公司企业年金计划国寿组合"/>
    <s v="国寿养老红义固定收益型养老金产品"/>
    <s v="单一计划"/>
    <n v="259.35000000000002"/>
    <x v="3"/>
  </r>
  <r>
    <d v="2020-07-31T00:00:00"/>
    <s v="CL0027"/>
    <s v="永乐"/>
    <s v="国寿养老红仁固定收益型养老金产品"/>
    <s v="集合计划"/>
    <n v="52.45"/>
    <x v="3"/>
  </r>
  <r>
    <d v="2020-07-31T00:00:00"/>
    <m/>
    <s v="永睿"/>
    <s v="国寿养老红仁固定收益型养老金产品"/>
    <s v="集合计划"/>
    <n v="1328.83"/>
    <x v="3"/>
  </r>
  <r>
    <d v="2020-07-31T00:00:00"/>
    <m/>
    <s v="工行安徽省高速公路控股集团有限公司企业年金计划国寿组合"/>
    <s v="国寿养老红仁固定收益型养老金产品"/>
    <s v="单一计划"/>
    <n v="8307.76"/>
    <x v="3"/>
  </r>
  <r>
    <d v="2020-07-31T00:00:00"/>
    <m/>
    <s v="光大中国烟草总公司安徽省公司企业年金计划国寿组合"/>
    <s v="国寿养老红仁固定收益型养老金产品"/>
    <s v="单一计划"/>
    <n v="17190.45"/>
    <x v="3"/>
  </r>
  <r>
    <d v="2020-07-31T00:00:00"/>
    <m/>
    <s v="光大银行安徽新华传媒股份有限公司企业年金计划受托直投（国寿）"/>
    <s v="国寿养老红仁固定收益型养老金产品"/>
    <s v="单一计划"/>
    <n v="744.04"/>
    <x v="3"/>
  </r>
  <r>
    <d v="2020-07-31T00:00:00"/>
    <s v="CL0033"/>
    <s v="永福"/>
    <s v="国寿养老配置1号混合型养老金产品"/>
    <s v="集合计划"/>
    <n v="380.08"/>
    <x v="2"/>
  </r>
  <r>
    <d v="2020-07-31T00:00:00"/>
    <m/>
    <s v="安徽省壹号职业年金计划国寿组合"/>
    <s v="国寿养老配置1号混合型养老金产品"/>
    <s v="职业年金"/>
    <n v="34550.17"/>
    <x v="2"/>
  </r>
  <r>
    <d v="2020-07-31T00:00:00"/>
    <m/>
    <s v="安徽省壹号职业年金计划国寿信托组合"/>
    <s v="国寿养老配置1号混合型养老金产品"/>
    <s v="职业年金"/>
    <n v="62.82"/>
    <x v="2"/>
  </r>
  <r>
    <d v="2020-07-31T00:00:00"/>
    <m/>
    <s v="安徽省肆号职业年金计划国寿组合"/>
    <s v="国寿养老配置1号混合型养老金产品"/>
    <s v="职业年金"/>
    <n v="27180.28"/>
    <x v="2"/>
  </r>
  <r>
    <d v="2020-07-31T00:00:00"/>
    <m/>
    <s v="民生安徽省玖号职业年金计划国寿组合"/>
    <s v="国寿养老配置1号混合型养老金产品"/>
    <s v="职业年金"/>
    <n v="8593.18"/>
    <x v="2"/>
  </r>
  <r>
    <d v="2020-07-31T00:00:00"/>
    <s v="CL0034"/>
    <s v="永诚"/>
    <s v="国寿养老配置2号混合型养老金产品"/>
    <s v="集合计划"/>
    <n v="779.63"/>
    <x v="2"/>
  </r>
  <r>
    <d v="2020-07-31T00:00:00"/>
    <m/>
    <s v="永丰"/>
    <s v="国寿养老配置2号混合型养老金产品"/>
    <s v="集合计划"/>
    <n v="3832.43"/>
    <x v="2"/>
  </r>
  <r>
    <d v="2020-07-31T00:00:00"/>
    <m/>
    <s v="永福"/>
    <s v="国寿养老配置2号混合型养老金产品"/>
    <s v="集合计划"/>
    <n v="2.69"/>
    <x v="2"/>
  </r>
  <r>
    <d v="2020-07-31T00:00:00"/>
    <m/>
    <s v="永睿"/>
    <s v="国寿养老配置2号混合型养老金产品"/>
    <s v="集合计划"/>
    <n v="435.22"/>
    <x v="2"/>
  </r>
  <r>
    <d v="2020-07-31T00:00:00"/>
    <m/>
    <s v="永祥"/>
    <s v="国寿养老配置2号混合型养老金产品"/>
    <s v="集合计划"/>
    <n v="11.52"/>
    <x v="2"/>
  </r>
  <r>
    <d v="2020-07-31T00:00:00"/>
    <m/>
    <s v="工行安徽中烟工业有限责任公司企业年金计划国寿组合"/>
    <s v="国寿养老配置2号混合型养老金产品"/>
    <s v="单一计划"/>
    <n v="1445.5"/>
    <x v="2"/>
  </r>
  <r>
    <d v="2020-07-31T00:00:00"/>
    <m/>
    <s v="光大中国烟草总公司安徽省公司企业年金计划国寿组合"/>
    <s v="国寿养老配置2号混合型养老金产品"/>
    <s v="单一计划"/>
    <n v="2173.6799999999998"/>
    <x v="2"/>
  </r>
  <r>
    <d v="2020-07-31T00:00:00"/>
    <m/>
    <s v="中行淮南矿业（集团）有限责任公司企业年金计划受托直投（国寿）"/>
    <s v="国寿养老配置2号混合型养老金产品"/>
    <s v="单一计划"/>
    <n v="4192.5200000000004"/>
    <x v="2"/>
  </r>
  <r>
    <d v="2020-07-31T00:00:00"/>
    <m/>
    <s v="中行徽商银行股份有限公司企业年金计划国寿组合"/>
    <s v="国寿养老配置2号混合型养老金产品"/>
    <s v="单一计划"/>
    <n v="5543.85"/>
    <x v="2"/>
  </r>
  <r>
    <d v="2020-07-31T00:00:00"/>
    <s v="CL0035"/>
    <s v="永丰"/>
    <s v="国寿养老配置3号混合型养老金产品"/>
    <s v="集合计划"/>
    <n v="93.02"/>
    <x v="2"/>
  </r>
  <r>
    <d v="2020-07-31T00:00:00"/>
    <m/>
    <s v="永乐"/>
    <s v="国寿养老配置3号混合型养老金产品"/>
    <s v="集合计划"/>
    <n v="41.94"/>
    <x v="2"/>
  </r>
  <r>
    <d v="2020-07-31T00:00:00"/>
    <m/>
    <s v="永睿"/>
    <s v="国寿养老配置3号混合型养老金产品"/>
    <s v="集合计划"/>
    <n v="465.94"/>
    <x v="2"/>
  </r>
  <r>
    <d v="2020-07-31T00:00:00"/>
    <m/>
    <s v="永通"/>
    <s v="国寿养老配置3号混合型养老金产品"/>
    <s v="集合计划"/>
    <n v="376.74"/>
    <x v="2"/>
  </r>
  <r>
    <d v="2020-07-31T00:00:00"/>
    <m/>
    <s v="永祥"/>
    <s v="国寿养老配置3号混合型养老金产品"/>
    <s v="集合计划"/>
    <n v="5.29"/>
    <x v="2"/>
  </r>
  <r>
    <d v="2020-07-31T00:00:00"/>
    <m/>
    <s v="永颐"/>
    <s v="国寿养老配置3号混合型养老金产品"/>
    <s v="集合计划"/>
    <n v="272.42"/>
    <x v="2"/>
  </r>
  <r>
    <d v="2020-07-31T00:00:00"/>
    <m/>
    <s v="工行安徽省高速公路控股集团有限公司企业年金计划国寿组合"/>
    <s v="国寿养老配置3号混合型养老金产品"/>
    <s v="单一计划"/>
    <n v="7433.07"/>
    <x v="2"/>
  </r>
  <r>
    <d v="2020-07-31T00:00:00"/>
    <m/>
    <s v="光大中国烟草总公司安徽省公司企业年金计划国寿组合"/>
    <s v="国寿养老配置3号混合型养老金产品"/>
    <s v="单一计划"/>
    <n v="9074.16"/>
    <x v="2"/>
  </r>
  <r>
    <d v="2020-07-31T00:00:00"/>
    <m/>
    <s v="工行中铁四局集团有限公司企业年金计划国寿组合"/>
    <s v="国寿养老配置3号混合型养老金产品"/>
    <s v="单一计划"/>
    <n v="12997.24"/>
    <x v="2"/>
  </r>
  <r>
    <d v="2020-07-31T00:00:00"/>
    <m/>
    <s v="光大银行安徽新华传媒股份有限公司企业年金计划受托直投（国寿）"/>
    <s v="国寿养老配置3号混合型养老金产品"/>
    <s v="单一计划"/>
    <n v="1308.5999999999999"/>
    <x v="2"/>
  </r>
  <r>
    <d v="2020-07-31T00:00:00"/>
    <m/>
    <s v="安徽省壹号职业年金计划国寿信托组合"/>
    <s v="国寿养老配置3号混合型养老金产品"/>
    <s v="职业年金"/>
    <n v="69127.27"/>
    <x v="2"/>
  </r>
  <r>
    <d v="2020-07-31T00:00:00"/>
    <m/>
    <s v="农行安徽古井集团有限责任公司企业年金计划国寿组合"/>
    <s v="国寿养老配置3号混合型养老金产品"/>
    <s v="单一计划"/>
    <n v="246.45"/>
    <x v="2"/>
  </r>
  <r>
    <d v="2020-07-31T00:00:00"/>
    <m/>
    <s v="中行徽商银行股份有限公司企业年金计划国寿组合"/>
    <s v="国寿养老配置3号混合型养老金产品"/>
    <s v="单一计划"/>
    <n v="12809.92"/>
    <x v="2"/>
  </r>
  <r>
    <d v="2020-07-31T00:00:00"/>
    <s v="CL0036"/>
    <s v="永丰"/>
    <s v="国寿养老策略1号股票型养老金产品"/>
    <s v="集合计划"/>
    <n v="91.37"/>
    <x v="0"/>
  </r>
  <r>
    <d v="2020-07-31T00:00:00"/>
    <m/>
    <s v="永乐"/>
    <s v="国寿养老策略1号股票型养老金产品"/>
    <s v="集合计划"/>
    <n v="115.04"/>
    <x v="0"/>
  </r>
  <r>
    <d v="2020-07-31T00:00:00"/>
    <m/>
    <s v="永睿"/>
    <s v="国寿养老策略1号股票型养老金产品"/>
    <s v="集合计划"/>
    <n v="39.94"/>
    <x v="0"/>
  </r>
  <r>
    <d v="2020-07-31T00:00:00"/>
    <m/>
    <s v="光大银行安徽新华传媒股份有限公司企业年金计划受托直投（国寿）"/>
    <s v="国寿养老策略1号股票型养老金产品"/>
    <s v="单一计划"/>
    <n v="510.04"/>
    <x v="0"/>
  </r>
  <r>
    <d v="2020-07-31T00:00:00"/>
    <s v="CL0037"/>
    <s v="永诚"/>
    <s v="国寿养老策略2号股票型养老金产品"/>
    <s v="集合计划"/>
    <n v="660.88"/>
    <x v="0"/>
  </r>
  <r>
    <d v="2020-07-31T00:00:00"/>
    <m/>
    <s v="永睿"/>
    <s v="国寿养老策略2号股票型养老金产品"/>
    <s v="集合计划"/>
    <n v="5.7"/>
    <x v="0"/>
  </r>
  <r>
    <d v="2020-07-31T00:00:00"/>
    <m/>
    <s v="中行淮南矿业（集团）有限责任公司企业年金计划受托直投（国寿）"/>
    <s v="国寿养老策略2号股票型养老金产品"/>
    <s v="单一计划"/>
    <n v="3294.6"/>
    <x v="0"/>
  </r>
  <r>
    <d v="2020-07-31T00:00:00"/>
    <s v="CL0039"/>
    <s v="永诚"/>
    <s v="国寿养老策略4号股票型养老金产品"/>
    <s v="集合计划"/>
    <n v="1257.6500000000001"/>
    <x v="0"/>
  </r>
  <r>
    <d v="2020-07-31T00:00:00"/>
    <m/>
    <s v="永丰"/>
    <s v="国寿养老策略4号股票型养老金产品"/>
    <s v="集合计划"/>
    <n v="1261.0999999999999"/>
    <x v="0"/>
  </r>
  <r>
    <d v="2020-07-31T00:00:00"/>
    <m/>
    <s v="永福"/>
    <s v="国寿养老策略4号股票型养老金产品"/>
    <s v="集合计划"/>
    <n v="29.03"/>
    <x v="0"/>
  </r>
  <r>
    <d v="2020-07-31T00:00:00"/>
    <m/>
    <s v="永睿"/>
    <s v="国寿养老策略4号股票型养老金产品"/>
    <s v="集合计划"/>
    <n v="204.71"/>
    <x v="0"/>
  </r>
  <r>
    <d v="2020-07-31T00:00:00"/>
    <m/>
    <s v="永颐"/>
    <s v="国寿养老策略4号股票型养老金产品"/>
    <s v="集合计划"/>
    <n v="67.61"/>
    <x v="0"/>
  </r>
  <r>
    <d v="2020-07-31T00:00:00"/>
    <m/>
    <s v="工行安徽省高速公路控股集团有限公司企业年金计划国寿组合"/>
    <s v="国寿养老策略4号股票型养老金产品"/>
    <s v="单一计划"/>
    <n v="11199.91"/>
    <x v="0"/>
  </r>
  <r>
    <d v="2020-07-31T00:00:00"/>
    <m/>
    <s v="光大中国烟草总公司安徽省公司企业年金计划国寿组合"/>
    <s v="国寿养老策略4号股票型养老金产品"/>
    <s v="单一计划"/>
    <n v="25143.21"/>
    <x v="0"/>
  </r>
  <r>
    <d v="2020-07-31T00:00:00"/>
    <m/>
    <s v="中行淮南矿业（集团）有限责任公司企业年金计划受托直投（国寿）"/>
    <s v="国寿养老策略4号股票型养老金产品"/>
    <s v="单一计划"/>
    <n v="3062.4"/>
    <x v="0"/>
  </r>
  <r>
    <d v="2020-07-31T00:00:00"/>
    <m/>
    <s v="民生安徽省玖号职业年金计划国寿组合"/>
    <s v="国寿养老策略4号股票型养老金产品"/>
    <s v="职业年金"/>
    <n v="6490.72"/>
    <x v="0"/>
  </r>
  <r>
    <d v="2020-07-31T00:00:00"/>
    <s v="CL0040"/>
    <s v="永乐"/>
    <s v="国寿养老稳健1号固定收益型养老金产品"/>
    <s v="集合计划"/>
    <n v="41.32"/>
    <x v="3"/>
  </r>
  <r>
    <d v="2020-07-31T00:00:00"/>
    <m/>
    <s v="永睿"/>
    <s v="国寿养老稳健1号固定收益型养老金产品"/>
    <s v="集合计划"/>
    <n v="25.34"/>
    <x v="3"/>
  </r>
  <r>
    <d v="2020-07-31T00:00:00"/>
    <m/>
    <s v="工行安徽省高速公路控股集团有限公司企业年金计划国寿组合"/>
    <s v="国寿养老稳健1号固定收益型养老金产品"/>
    <s v="单一计划"/>
    <n v="5276.83"/>
    <x v="3"/>
  </r>
  <r>
    <d v="2020-07-31T00:00:00"/>
    <m/>
    <s v="中行国网安徽省电力公司企业年金计划养老金专户平安组合"/>
    <s v="国寿养老稳健1号固定收益型养老金产品"/>
    <s v="单一计划"/>
    <n v="6703.16"/>
    <x v="3"/>
  </r>
  <r>
    <d v="2020-07-31T00:00:00"/>
    <m/>
    <s v="招行天津津融投资服务集团有限公司企业年金计划受托直投（泰康养老）"/>
    <s v="国寿养老稳健1号固定收益型养老金产品"/>
    <s v="单一计划"/>
    <n v="265.3"/>
    <x v="3"/>
  </r>
  <r>
    <d v="2020-07-31T00:00:00"/>
    <m/>
    <s v="工行青岛四方车辆研究所有限公司企业年金计划受托直投（泰康养老）"/>
    <s v="国寿养老稳健1号固定收益型养老金产品"/>
    <s v="单一计划"/>
    <n v="151.22"/>
    <x v="3"/>
  </r>
  <r>
    <d v="2020-07-31T00:00:00"/>
    <m/>
    <s v="光大银行安徽新华传媒股份有限公司企业年金计划受托直投（国寿）"/>
    <s v="国寿养老稳健1号固定收益型养老金产品"/>
    <s v="单一计划"/>
    <n v="734.62"/>
    <x v="3"/>
  </r>
  <r>
    <d v="2020-07-31T00:00:00"/>
    <s v="CL0046"/>
    <s v="永睿"/>
    <s v="国寿养老质优安泰保险产品型养老金产品（5期）"/>
    <s v="集合计划"/>
    <n v="71.42"/>
    <x v="9"/>
  </r>
  <r>
    <d v="2020-07-31T00:00:00"/>
    <s v="CL0047"/>
    <s v="永福"/>
    <s v="国寿养老安享鑫祺混合型养老金产品"/>
    <s v="集合计划"/>
    <n v="2.02"/>
    <x v="2"/>
  </r>
  <r>
    <d v="2020-07-31T00:00:00"/>
    <m/>
    <s v="永颐"/>
    <s v="国寿养老安享鑫祺混合型养老金产品"/>
    <s v="集合计划"/>
    <n v="208.27"/>
    <x v="2"/>
  </r>
  <r>
    <d v="2020-07-31T00:00:00"/>
    <s v="CL0049"/>
    <s v="永丰"/>
    <s v="国寿养老质优稳利基础设施债权投资计划型养老金产品（3期）"/>
    <s v="集合计划"/>
    <n v="244.89"/>
    <x v="4"/>
  </r>
  <r>
    <d v="2020-07-31T00:00:00"/>
    <m/>
    <s v="永睿"/>
    <s v="国寿养老质优稳利基础设施债权投资计划型养老金产品（3期）"/>
    <s v="集合计划"/>
    <n v="88.49"/>
    <x v="4"/>
  </r>
  <r>
    <d v="2020-07-31T00:00:00"/>
    <s v="CL0050"/>
    <s v="永睿"/>
    <s v="国寿养老质优稳利基础设施债权投资计划型养老金产品（4期）"/>
    <s v="集合计划"/>
    <n v="13.35"/>
    <x v="4"/>
  </r>
  <r>
    <d v="2020-07-31T00:00:00"/>
    <s v="CL0054"/>
    <s v="永诚"/>
    <s v="国寿养老红利存款型养老金产品（3期）"/>
    <s v="集合计划"/>
    <n v="111.42"/>
    <x v="8"/>
  </r>
  <r>
    <d v="2020-07-31T00:00:00"/>
    <m/>
    <s v="永丰"/>
    <s v="国寿养老红利存款型养老金产品（3期）"/>
    <s v="集合计划"/>
    <n v="73.19"/>
    <x v="8"/>
  </r>
  <r>
    <d v="2020-07-31T00:00:00"/>
    <m/>
    <s v="永通"/>
    <s v="国寿养老红利存款型养老金产品（3期）"/>
    <s v="集合计划"/>
    <n v="46.87"/>
    <x v="8"/>
  </r>
  <r>
    <d v="2020-07-31T00:00:00"/>
    <s v="CL0059"/>
    <s v="永诚"/>
    <s v="国寿养老红利存款型养老金产品（5期）"/>
    <s v="集合计划"/>
    <n v="97"/>
    <x v="8"/>
  </r>
  <r>
    <d v="2020-07-31T00:00:00"/>
    <m/>
    <s v="永睿"/>
    <s v="国寿养老红利存款型养老金产品（5期）"/>
    <s v="集合计划"/>
    <n v="141.87"/>
    <x v="8"/>
  </r>
  <r>
    <d v="2020-07-31T00:00:00"/>
    <m/>
    <s v="中行国网安徽省电力公司企业年金计划国寿组合"/>
    <s v="国寿养老红利存款型养老金产品（5期）"/>
    <s v="单一计划"/>
    <n v="232.82"/>
    <x v="8"/>
  </r>
  <r>
    <d v="2020-07-31T00:00:00"/>
    <s v="CL0060"/>
    <s v="永睿"/>
    <s v="国寿养老红利存款型养老金产品（6期）"/>
    <s v="集合计划"/>
    <n v="0.05"/>
    <x v="8"/>
  </r>
  <r>
    <d v="2020-07-31T00:00:00"/>
    <s v="CL0061"/>
    <s v="工行中国广核集团有限公司企业年金计划海富通组合"/>
    <s v="国寿养老红利存款型养老金产品（7期）"/>
    <s v="单一计划"/>
    <n v="916.95"/>
    <x v="8"/>
  </r>
  <r>
    <d v="2020-07-31T00:00:00"/>
    <s v="CL0063"/>
    <s v="中行淮南矿业（集团）有限责任公司企业年金计划受托直投（国寿）"/>
    <s v="国寿养老稳健4号固定收益型养老金产品"/>
    <s v="单一计划"/>
    <n v="21129.279999999999"/>
    <x v="3"/>
  </r>
  <r>
    <d v="2020-07-31T00:00:00"/>
    <m/>
    <s v="工行铜陵有色金属集团控股有限公司企业年金计划受托直投（国寿）"/>
    <s v="国寿养老稳健4号固定收益型养老金产品"/>
    <s v="单一计划"/>
    <n v="5422.66"/>
    <x v="3"/>
  </r>
  <r>
    <d v="2020-07-31T00:00:00"/>
    <s v="CL0064"/>
    <s v="永诚"/>
    <s v="国寿养老稳健5号固定收益型养老金产品"/>
    <s v="集合计划"/>
    <n v="46.93"/>
    <x v="3"/>
  </r>
  <r>
    <d v="2020-07-31T00:00:00"/>
    <m/>
    <s v="永丰"/>
    <s v="国寿养老稳健5号固定收益型养老金产品"/>
    <s v="集合计划"/>
    <n v="52.98"/>
    <x v="3"/>
  </r>
  <r>
    <d v="2020-07-31T00:00:00"/>
    <m/>
    <s v="永福"/>
    <s v="国寿养老稳健5号固定收益型养老金产品"/>
    <s v="集合计划"/>
    <n v="14.03"/>
    <x v="3"/>
  </r>
  <r>
    <d v="2020-07-31T00:00:00"/>
    <m/>
    <s v="永睿"/>
    <s v="国寿养老稳健5号固定收益型养老金产品"/>
    <s v="集合计划"/>
    <n v="517.44000000000005"/>
    <x v="3"/>
  </r>
  <r>
    <d v="2020-07-31T00:00:00"/>
    <m/>
    <s v="光大中国烟草总公司安徽省公司企业年金计划国寿组合"/>
    <s v="国寿养老稳健5号固定收益型养老金产品"/>
    <s v="单一计划"/>
    <n v="504.04"/>
    <x v="3"/>
  </r>
  <r>
    <d v="2020-07-31T00:00:00"/>
    <s v="CL0065"/>
    <s v="永通"/>
    <s v="国寿养老稳健6号固定收益型养老金产品"/>
    <s v="集合计划"/>
    <n v="90.85"/>
    <x v="3"/>
  </r>
  <r>
    <d v="2020-07-31T00:00:00"/>
    <m/>
    <s v="中行淮南矿业（集团）有限责任公司企业年金计划受托直投（国寿）"/>
    <s v="国寿养老稳健6号固定收益型养老金产品"/>
    <s v="单一计划"/>
    <n v="9464.7800000000007"/>
    <x v="3"/>
  </r>
  <r>
    <d v="2020-07-31T00:00:00"/>
    <m/>
    <s v="工行铜陵有色金属集团控股有限公司企业年金计划受托直投（国寿）"/>
    <s v="国寿养老稳健6号固定收益型养老金产品"/>
    <s v="单一计划"/>
    <n v="2944.55"/>
    <x v="3"/>
  </r>
  <r>
    <d v="2020-07-31T00:00:00"/>
    <m/>
    <s v="中行淮北矿业（集团）有限责任公司企业年金计划嘉实"/>
    <s v="国寿养老稳健6号固定收益型养老金产品"/>
    <s v="单一计划"/>
    <n v="5889.09"/>
    <x v="3"/>
  </r>
  <r>
    <d v="2020-07-31T00:00:00"/>
    <m/>
    <s v="建行安徽省能源集团有限公司企业年金计划嘉实"/>
    <s v="国寿养老稳健6号固定收益型养老金产品"/>
    <s v="单一计划"/>
    <n v="2944.55"/>
    <x v="3"/>
  </r>
  <r>
    <d v="2020-07-31T00:00:00"/>
    <m/>
    <s v="中行淮南矿业（集团）有限责任公司企业年金计划嘉实组合"/>
    <s v="国寿养老稳健6号固定收益型养老金产品"/>
    <s v="单一计划"/>
    <n v="2944.55"/>
    <x v="3"/>
  </r>
  <r>
    <d v="2020-07-31T00:00:00"/>
    <s v="CL0067"/>
    <s v="永丰"/>
    <s v="国寿养老稳健8号固定收益型养老金产品"/>
    <s v="集合计划"/>
    <n v="214.77"/>
    <x v="3"/>
  </r>
  <r>
    <d v="2020-07-31T00:00:00"/>
    <m/>
    <s v="永福"/>
    <s v="国寿养老稳健8号固定收益型养老金产品"/>
    <s v="集合计划"/>
    <n v="89.44"/>
    <x v="3"/>
  </r>
  <r>
    <d v="2020-07-31T00:00:00"/>
    <m/>
    <s v="永乐"/>
    <s v="国寿养老稳健8号固定收益型养老金产品"/>
    <s v="集合计划"/>
    <n v="25.25"/>
    <x v="3"/>
  </r>
  <r>
    <d v="2020-07-31T00:00:00"/>
    <m/>
    <s v="建行中国电力建设集团有限公司企业年金计划受托直投标准组合（泰康养老）"/>
    <s v="国寿养老稳健8号固定收益型养老金产品"/>
    <s v="单一计划"/>
    <n v="3872.33"/>
    <x v="3"/>
  </r>
  <r>
    <d v="2020-07-31T00:00:00"/>
    <m/>
    <s v="安徽省壹号职业年金计划国寿组合"/>
    <s v="国寿养老稳健8号固定收益型养老金产品"/>
    <s v="职业年金"/>
    <n v="47156.229999999996"/>
    <x v="3"/>
  </r>
  <r>
    <d v="2020-07-31T00:00:00"/>
    <m/>
    <s v="安徽省壹号职业年金计划国寿信托组合"/>
    <s v="国寿养老稳健8号固定收益型养老金产品"/>
    <s v="职业年金"/>
    <n v="20547.62"/>
    <x v="3"/>
  </r>
  <r>
    <d v="2020-07-31T00:00:00"/>
    <m/>
    <s v="安徽省肆号职业年金计划国寿组合"/>
    <s v="国寿养老稳健8号固定收益型养老金产品"/>
    <s v="职业年金"/>
    <n v="45312.63"/>
    <x v="3"/>
  </r>
  <r>
    <d v="2020-07-31T00:00:00"/>
    <m/>
    <s v="民生安徽省玖号职业年金计划国寿组合"/>
    <s v="国寿养老稳健8号固定收益型养老金产品"/>
    <s v="职业年金"/>
    <n v="11638.66"/>
    <x v="3"/>
  </r>
  <r>
    <d v="2020-07-31T00:00:00"/>
    <m/>
    <s v="招行泰康金色瑞泰企业年金集合计划受托直投平稳增长组合（泰康养老）"/>
    <s v="国寿养老稳健8号固定收益型养老金产品"/>
    <s v="集合计划"/>
    <n v="99.29"/>
    <x v="3"/>
  </r>
  <r>
    <d v="2020-07-31T00:00:00"/>
    <s v="CL0068"/>
    <s v="永诚"/>
    <s v="国寿养老策略5号股票型养老金产品"/>
    <s v="集合计划"/>
    <n v="164.72"/>
    <x v="0"/>
  </r>
  <r>
    <d v="2020-07-31T00:00:00"/>
    <m/>
    <s v="永颐"/>
    <s v="国寿养老策略5号股票型养老金产品"/>
    <s v="集合计划"/>
    <n v="1032.42"/>
    <x v="0"/>
  </r>
  <r>
    <d v="2020-07-31T00:00:00"/>
    <s v="CL0069"/>
    <s v="永诚"/>
    <s v="国寿养老策略6号股票型养老金产品"/>
    <s v="集合计划"/>
    <n v="621.11"/>
    <x v="0"/>
  </r>
  <r>
    <d v="2020-07-31T00:00:00"/>
    <m/>
    <s v="永福"/>
    <s v="国寿养老策略6号股票型养老金产品"/>
    <s v="集合计划"/>
    <n v="5.4"/>
    <x v="0"/>
  </r>
  <r>
    <d v="2020-07-31T00:00:00"/>
    <m/>
    <s v="中行安徽省皖北煤电集团有限责任公司企业年金计划国寿组合"/>
    <s v="国寿养老策略6号股票型养老金产品"/>
    <s v="单一计划"/>
    <n v="1250.42"/>
    <x v="0"/>
  </r>
  <r>
    <d v="2020-07-31T00:00:00"/>
    <m/>
    <s v="光大中国烟草总公司安徽省公司企业年金计划国寿组合"/>
    <s v="国寿养老策略6号股票型养老金产品"/>
    <s v="单一计划"/>
    <n v="2447.83"/>
    <x v="0"/>
  </r>
  <r>
    <d v="2020-07-31T00:00:00"/>
    <s v="CL0071"/>
    <s v="永诚"/>
    <s v="国寿养老策略8号股票型养老金产品"/>
    <s v="集合计划"/>
    <n v="45.61"/>
    <x v="0"/>
  </r>
  <r>
    <d v="2020-07-31T00:00:00"/>
    <m/>
    <s v="永丰"/>
    <s v="国寿养老策略8号股票型养老金产品"/>
    <s v="集合计划"/>
    <n v="227.29"/>
    <x v="0"/>
  </r>
  <r>
    <d v="2020-07-31T00:00:00"/>
    <m/>
    <s v="永福"/>
    <s v="国寿养老策略8号股票型养老金产品"/>
    <s v="集合计划"/>
    <n v="66.09"/>
    <x v="0"/>
  </r>
  <r>
    <d v="2020-07-31T00:00:00"/>
    <m/>
    <s v="永睿"/>
    <s v="国寿养老策略8号股票型养老金产品"/>
    <s v="集合计划"/>
    <n v="998.41"/>
    <x v="0"/>
  </r>
  <r>
    <d v="2020-07-31T00:00:00"/>
    <m/>
    <s v="中行安徽省皖北煤电集团有限责任公司企业年金计划国寿组合"/>
    <s v="国寿养老策略8号股票型养老金产品"/>
    <s v="单一计划"/>
    <n v="12350.27"/>
    <x v="0"/>
  </r>
  <r>
    <d v="2020-07-31T00:00:00"/>
    <m/>
    <s v="工行中铁四局集团有限公司企业年金计划国寿组合"/>
    <s v="国寿养老策略8号股票型养老金产品"/>
    <s v="单一计划"/>
    <n v="13834.46"/>
    <x v="0"/>
  </r>
  <r>
    <d v="2020-07-31T00:00:00"/>
    <m/>
    <s v="农行安徽古井集团有限责任公司企业年金计划国寿组合"/>
    <s v="国寿养老策略8号股票型养老金产品"/>
    <s v="单一计划"/>
    <n v="7985.9"/>
    <x v="0"/>
  </r>
  <r>
    <d v="2020-07-31T00:00:00"/>
    <s v="CL0072"/>
    <s v="永诚"/>
    <s v="国寿养老策略9号股票型养老金产品"/>
    <s v="集合计划"/>
    <n v="1084.55"/>
    <x v="0"/>
  </r>
  <r>
    <d v="2020-07-31T00:00:00"/>
    <m/>
    <s v="永丰"/>
    <s v="国寿养老策略9号股票型养老金产品"/>
    <s v="集合计划"/>
    <n v="9255.32"/>
    <x v="0"/>
  </r>
  <r>
    <d v="2020-07-31T00:00:00"/>
    <m/>
    <s v="永福"/>
    <s v="国寿养老策略9号股票型养老金产品"/>
    <s v="集合计划"/>
    <n v="3.97"/>
    <x v="0"/>
  </r>
  <r>
    <d v="2020-07-31T00:00:00"/>
    <m/>
    <s v="永睿"/>
    <s v="国寿养老策略9号股票型养老金产品"/>
    <s v="集合计划"/>
    <n v="393.91"/>
    <x v="0"/>
  </r>
  <r>
    <d v="2020-07-31T00:00:00"/>
    <m/>
    <s v="永颐"/>
    <s v="国寿养老策略9号股票型养老金产品"/>
    <s v="集合计划"/>
    <n v="328.05"/>
    <x v="0"/>
  </r>
  <r>
    <d v="2020-07-31T00:00:00"/>
    <m/>
    <s v="工行安徽省高速公路控股集团有限公司企业年金计划国寿组合"/>
    <s v="国寿养老策略9号股票型养老金产品"/>
    <s v="单一计划"/>
    <n v="5799.9"/>
    <x v="0"/>
  </r>
  <r>
    <d v="2020-07-31T00:00:00"/>
    <m/>
    <s v="工行安徽中烟工业有限责任公司企业年金计划国寿组合"/>
    <s v="国寿养老策略9号股票型养老金产品"/>
    <s v="单一计划"/>
    <n v="3537.45"/>
    <x v="0"/>
  </r>
  <r>
    <d v="2020-07-31T00:00:00"/>
    <m/>
    <s v="交行安徽省徽商集团有限公司企业年金计划国寿组合"/>
    <s v="国寿养老策略9号股票型养老金产品"/>
    <s v="单一计划"/>
    <n v="4313.5600000000004"/>
    <x v="0"/>
  </r>
  <r>
    <d v="2020-07-31T00:00:00"/>
    <m/>
    <s v="工行中铁四局集团有限公司企业年金计划国寿组合"/>
    <s v="国寿养老策略9号股票型养老金产品"/>
    <s v="单一计划"/>
    <n v="1072.46"/>
    <x v="0"/>
  </r>
  <r>
    <d v="2020-07-31T00:00:00"/>
    <m/>
    <s v="中行淮南矿业（集团）有限责任公司企业年金计划受托直投（国寿）"/>
    <s v="国寿养老策略9号股票型养老金产品"/>
    <s v="单一计划"/>
    <n v="2610.6"/>
    <x v="0"/>
  </r>
  <r>
    <d v="2020-07-31T00:00:00"/>
    <s v="CL0073"/>
    <s v="永睿"/>
    <s v="国寿养老红利存款型养老金产品（8期）"/>
    <s v="集合计划"/>
    <n v="109.5"/>
    <x v="8"/>
  </r>
  <r>
    <d v="2020-07-31T00:00:00"/>
    <m/>
    <s v="工行中国广核集团有限公司企业年金计划海富通组合"/>
    <s v="国寿养老红利存款型养老金产品（8期）"/>
    <s v="单一计划"/>
    <n v="920.14"/>
    <x v="8"/>
  </r>
  <r>
    <d v="2020-07-31T00:00:00"/>
    <s v="CL0075"/>
    <s v="永颐"/>
    <s v="国寿养老质优甄选信托产品型养老金产品（12期）"/>
    <s v="集合计划"/>
    <n v="48.22"/>
    <x v="5"/>
  </r>
  <r>
    <d v="2020-07-31T00:00:00"/>
    <s v="CL0077"/>
    <s v="永诚"/>
    <s v="国寿养老质优稳利基础设施债权投资计划型养老金产品（5期）"/>
    <s v="集合计划"/>
    <n v="131.88"/>
    <x v="4"/>
  </r>
  <r>
    <d v="2020-07-31T00:00:00"/>
    <m/>
    <s v="永丰"/>
    <s v="国寿养老质优稳利基础设施债权投资计划型养老金产品（5期）"/>
    <s v="集合计划"/>
    <n v="563.19000000000005"/>
    <x v="4"/>
  </r>
  <r>
    <d v="2020-07-31T00:00:00"/>
    <m/>
    <s v="永睿"/>
    <s v="国寿养老质优稳利基础设施债权投资计划型养老金产品（5期）"/>
    <s v="集合计划"/>
    <n v="383.41"/>
    <x v="4"/>
  </r>
  <r>
    <d v="2020-07-31T00:00:00"/>
    <m/>
    <s v="永颐"/>
    <s v="国寿养老质优稳利基础设施债权投资计划型养老金产品（5期）"/>
    <s v="集合计划"/>
    <n v="63.37"/>
    <x v="4"/>
  </r>
  <r>
    <d v="2020-07-31T00:00:00"/>
    <m/>
    <s v="中行淮南矿业（集团）有限责任公司企业年金计划受托直投（国寿）"/>
    <s v="国寿养老质优稳利基础设施债权投资计划型养老金产品（5期）"/>
    <s v="单一计划"/>
    <n v="17444.490000000002"/>
    <x v="4"/>
  </r>
  <r>
    <d v="2020-07-31T00:00:00"/>
    <s v="CL0082"/>
    <s v="永丰"/>
    <s v="国寿养老配置6号混合型养老金产品"/>
    <s v="集合计划"/>
    <n v="40.520000000000003"/>
    <x v="2"/>
  </r>
  <r>
    <d v="2020-07-31T00:00:00"/>
    <m/>
    <s v="永乐"/>
    <s v="国寿养老配置6号混合型养老金产品"/>
    <s v="集合计划"/>
    <n v="10.75"/>
    <x v="2"/>
  </r>
  <r>
    <d v="2020-07-31T00:00:00"/>
    <m/>
    <s v="永睿"/>
    <s v="国寿养老配置6号混合型养老金产品"/>
    <s v="集合计划"/>
    <n v="2.52"/>
    <x v="2"/>
  </r>
  <r>
    <d v="2020-07-31T00:00:00"/>
    <m/>
    <s v="永通"/>
    <s v="国寿养老配置6号混合型养老金产品"/>
    <s v="集合计划"/>
    <n v="114.15"/>
    <x v="2"/>
  </r>
  <r>
    <d v="2020-07-31T00:00:00"/>
    <m/>
    <s v="永祥"/>
    <s v="国寿养老配置6号混合型养老金产品"/>
    <s v="集合计划"/>
    <n v="1.61"/>
    <x v="2"/>
  </r>
  <r>
    <d v="2020-07-31T00:00:00"/>
    <m/>
    <s v="永颐"/>
    <s v="国寿养老配置6号混合型养老金产品"/>
    <s v="集合计划"/>
    <n v="263.45"/>
    <x v="2"/>
  </r>
  <r>
    <d v="2020-07-31T00:00:00"/>
    <m/>
    <s v="工行安徽中烟工业有限责任公司企业年金计划国寿组合"/>
    <s v="国寿养老配置6号混合型养老金产品"/>
    <s v="单一计划"/>
    <n v="2643.24"/>
    <x v="2"/>
  </r>
  <r>
    <d v="2020-07-31T00:00:00"/>
    <s v="CL0089"/>
    <s v="永丰"/>
    <s v="国寿养老量化多策略FOF混合型养老金产品"/>
    <s v="集合计划"/>
    <n v="215.24"/>
    <x v="10"/>
  </r>
  <r>
    <d v="2020-07-31T00:00:00"/>
    <m/>
    <s v="永乐"/>
    <s v="国寿养老量化多策略FOF混合型养老金产品"/>
    <s v="集合计划"/>
    <n v="95.85"/>
    <x v="10"/>
  </r>
  <r>
    <d v="2020-07-31T00:00:00"/>
    <m/>
    <s v="永睿"/>
    <s v="国寿养老量化多策略FOF混合型养老金产品"/>
    <s v="集合计划"/>
    <n v="134.05000000000001"/>
    <x v="10"/>
  </r>
  <r>
    <d v="2020-07-31T00:00:00"/>
    <m/>
    <s v="永通"/>
    <s v="国寿养老量化多策略FOF混合型养老金产品"/>
    <s v="集合计划"/>
    <n v="350.1"/>
    <x v="10"/>
  </r>
  <r>
    <d v="2020-07-31T00:00:00"/>
    <m/>
    <s v="永祥"/>
    <s v="国寿养老量化多策略FOF混合型养老金产品"/>
    <s v="集合计划"/>
    <n v="25.81"/>
    <x v="10"/>
  </r>
  <r>
    <d v="2020-07-31T00:00:00"/>
    <m/>
    <s v="永颐"/>
    <s v="国寿养老量化多策略FOF混合型养老金产品"/>
    <s v="集合计划"/>
    <n v="186.31"/>
    <x v="10"/>
  </r>
  <r>
    <d v="2020-07-31T00:00:00"/>
    <m/>
    <s v="工行安徽中烟工业有限责任公司企业年金计划国寿组合"/>
    <s v="国寿养老量化多策略FOF混合型养老金产品"/>
    <s v="单一计划"/>
    <n v="2816.43"/>
    <x v="10"/>
  </r>
  <r>
    <d v="2020-07-31T00:00:00"/>
    <s v="CL0092"/>
    <s v="永丰"/>
    <s v="国寿养老质优稳利基础设施债权投资计划型养老金产品（6期）"/>
    <s v="集合计划"/>
    <n v="216.4"/>
    <x v="4"/>
  </r>
  <r>
    <d v="2020-07-31T00:00:00"/>
    <m/>
    <s v="永睿"/>
    <s v="国寿养老质优稳利基础设施债权投资计划型养老金产品（6期）"/>
    <s v="集合计划"/>
    <n v="316.56"/>
    <x v="4"/>
  </r>
  <r>
    <d v="2020-07-31T00:00:00"/>
    <m/>
    <s v="永颐"/>
    <s v="国寿养老质优稳利基础设施债权投资计划型养老金产品（6期）"/>
    <s v="集合计划"/>
    <n v="18.12"/>
    <x v="4"/>
  </r>
  <r>
    <d v="2020-07-31T00:00:00"/>
    <s v="CL0097"/>
    <s v="永祥"/>
    <s v="国寿养老质优甄选信托产品型养老金产品（18期）"/>
    <s v="集合计划"/>
    <n v="2.3199999999999998"/>
    <x v="5"/>
  </r>
  <r>
    <d v="2020-07-31T00:00:00"/>
    <m/>
    <s v="永颐"/>
    <s v="国寿养老质优甄选信托产品型养老金产品（18期）"/>
    <s v="集合计划"/>
    <n v="74.290000000000006"/>
    <x v="5"/>
  </r>
  <r>
    <d v="2020-07-31T00:00:00"/>
    <s v="CL0101"/>
    <s v="永通"/>
    <s v="国寿养老多元策略FOF固定收益型养老金产品"/>
    <s v="集合计划"/>
    <n v="481.34"/>
    <x v="10"/>
  </r>
  <r>
    <d v="2020-07-31T00:00:00"/>
    <m/>
    <s v="永祥"/>
    <s v="国寿养老多元策略FOF固定收益型养老金产品"/>
    <s v="集合计划"/>
    <n v="34.090000000000003"/>
    <x v="10"/>
  </r>
  <r>
    <d v="2020-07-31T00:00:00"/>
    <m/>
    <s v="永颐"/>
    <s v="国寿养老多元策略FOF固定收益型养老金产品"/>
    <s v="集合计划"/>
    <n v="219.31"/>
    <x v="10"/>
  </r>
  <r>
    <d v="2020-07-31T00:00:00"/>
    <m/>
    <s v="工行安徽中烟工业有限责任公司企业年金计划国寿组合"/>
    <s v="国寿养老多元策略FOF固定收益型养老金产品"/>
    <s v="单一计划"/>
    <n v="1762.2"/>
    <x v="10"/>
  </r>
  <r>
    <d v="2020-07-31T00:00:00"/>
    <s v="CL0103"/>
    <s v="永福"/>
    <s v="国寿养老质优增益基础设施债权投资计划型养老金产品（4期）"/>
    <s v="集合计划"/>
    <n v="11.47"/>
    <x v="4"/>
  </r>
  <r>
    <d v="2020-07-31T00:00:00"/>
    <m/>
    <s v="中行国网安徽省电力公司企业年金计划国寿组合"/>
    <s v="国寿养老质优增益基础设施债权投资计划型养老金产品（4期）"/>
    <s v="单一计划"/>
    <n v="4470.29"/>
    <x v="4"/>
  </r>
  <r>
    <d v="2020-07-31T00:00:00"/>
    <s v="CL0105"/>
    <s v="永福"/>
    <s v="国寿养老质优稳利基础设施债权投资计划型养老金产品（8期）"/>
    <s v="集合计划"/>
    <n v="16.72"/>
    <x v="4"/>
  </r>
  <r>
    <d v="2020-07-31T00:00:00"/>
    <m/>
    <s v="工行安徽中烟工业有限责任公司企业年金计划国寿组合"/>
    <s v="国寿养老质优稳利基础设施债权投资计划型养老金产品（8期）"/>
    <s v="单一计划"/>
    <n v="711.99"/>
    <x v="4"/>
  </r>
  <r>
    <d v="2020-07-31T00:00:00"/>
    <s v="CL0106"/>
    <s v="永福"/>
    <s v="国寿养老质优稳利基础设施债权投资计划型养老金产品（9期）"/>
    <s v="集合计划"/>
    <n v="6.95"/>
    <x v="4"/>
  </r>
  <r>
    <d v="2020-07-31T00:00:00"/>
    <m/>
    <s v="中行淮南矿业（集团）有限责任公司企业年金计划受托直投（国寿）"/>
    <s v="国寿养老质优稳利基础设施债权投资计划型养老金产品（9期）"/>
    <s v="单一计划"/>
    <n v="8707.7000000000007"/>
    <x v="4"/>
  </r>
  <r>
    <d v="2020-07-31T00:00:00"/>
    <s v="CL0107"/>
    <s v="永福"/>
    <s v="国寿养老质优稳利基础设施债权投资计划型养老金产品（10期）"/>
    <s v="集合计划"/>
    <n v="2.56"/>
    <x v="4"/>
  </r>
  <r>
    <d v="2020-07-31T00:00:00"/>
    <m/>
    <s v="永睿"/>
    <s v="国寿养老质优稳利基础设施债权投资计划型养老金产品（10期）"/>
    <s v="集合计划"/>
    <n v="17.34"/>
    <x v="4"/>
  </r>
  <r>
    <d v="2020-07-31T00:00:00"/>
    <s v="CL0110"/>
    <s v="永福"/>
    <s v="国寿养老质优甄选信托产品型养老金产品（22期）"/>
    <s v="集合计划"/>
    <n v="0.82"/>
    <x v="5"/>
  </r>
  <r>
    <d v="2020-07-31T00:00:00"/>
    <m/>
    <s v="建行中国电力建设集团有限公司企业年金计划受托直投标准组合（泰康养老）"/>
    <s v="国寿养老质优甄选信托产品型养老金产品（22期）"/>
    <s v="单一计划"/>
    <n v="3241.06"/>
    <x v="5"/>
  </r>
  <r>
    <d v="2020-07-31T00:00:00"/>
    <m/>
    <s v="中行淮南矿业（集团）有限责任公司企业年金计划易方达组合"/>
    <s v="国寿养老质优甄选信托产品型养老金产品（22期）"/>
    <s v="单一计划"/>
    <n v="4861.6000000000004"/>
    <x v="5"/>
  </r>
  <r>
    <d v="2020-07-31T00:00:00"/>
    <s v="CL0111"/>
    <s v="永颐"/>
    <s v="国寿养老质优甄选信托产品型养老金产品（23期）"/>
    <s v="集合计划"/>
    <n v="0.28000000000000003"/>
    <x v="5"/>
  </r>
  <r>
    <d v="2020-07-31T00:00:00"/>
    <m/>
    <s v="中行中国南方航空集团有限公司企业年金计划（太平）"/>
    <s v="国寿养老质优甄选信托产品型养老金产品（23期）"/>
    <s v="单一计划"/>
    <n v="1450.02"/>
    <x v="5"/>
  </r>
  <r>
    <d v="2020-07-31T00:00:00"/>
    <m/>
    <s v="工行四川九洲电器集团有限责任公司企业年金计划（太平）"/>
    <s v="国寿养老质优甄选信托产品型养老金产品（23期）"/>
    <s v="单一计划"/>
    <n v="322.23"/>
    <x v="5"/>
  </r>
  <r>
    <d v="2020-07-31T00:00:00"/>
    <m/>
    <s v="光大云南省农村信用社企业年金计划中金组合"/>
    <s v="国寿养老质优甄选信托产品型养老金产品（23期）"/>
    <s v="单一计划"/>
    <n v="3222.26"/>
    <x v="5"/>
  </r>
  <r>
    <d v="2020-07-31T00:00:00"/>
    <s v="CL0120"/>
    <s v="永丰"/>
    <s v="国寿养老质优稳利基础设施债权投资计划型养老金产品（12期）"/>
    <s v="集合计划"/>
    <n v="54.88"/>
    <x v="4"/>
  </r>
  <r>
    <d v="2020-07-31T00:00:00"/>
    <m/>
    <s v="永福"/>
    <s v="国寿养老质优稳利基础设施债权投资计划型养老金产品（12期）"/>
    <s v="集合计划"/>
    <n v="6.68"/>
    <x v="4"/>
  </r>
  <r>
    <d v="2020-07-31T00:00:00"/>
    <m/>
    <s v="工行铜陵有色金属集团控股有限公司企业年金计划受托直投（国寿）"/>
    <s v="国寿养老质优稳利基础设施债权投资计划型养老金产品（12期）"/>
    <s v="单一计划"/>
    <n v="674.2"/>
    <x v="4"/>
  </r>
  <r>
    <d v="2020-07-31T00:00:00"/>
    <m/>
    <s v="光大银行安徽新华传媒股份有限公司企业年金计划受托直投（国寿）"/>
    <s v="国寿养老质优稳利基础设施债权投资计划型养老金产品（12期）"/>
    <s v="单一计划"/>
    <n v="65.28"/>
    <x v="4"/>
  </r>
  <r>
    <d v="2020-07-31T00:00:00"/>
    <s v="CL0121"/>
    <s v="永颐"/>
    <s v="国寿养老质优稳利基础设施债权投资计划型养老金产品（13期）"/>
    <s v="集合计划"/>
    <n v="42.22"/>
    <x v="4"/>
  </r>
  <r>
    <d v="2020-07-31T00:00:00"/>
    <m/>
    <s v="中行淮南矿业（集团）有限责任公司企业年金计划受托直投（国寿）"/>
    <s v="国寿养老质优稳利基础设施债权投资计划型养老金产品（13期）"/>
    <s v="单一计划"/>
    <n v="2780.13"/>
    <x v="4"/>
  </r>
  <r>
    <d v="2020-07-31T00:00:00"/>
    <s v="CL0122"/>
    <s v="永福"/>
    <s v="国寿养老质优稳利基础设施债权投资计划型养老金产品（14期）"/>
    <s v="集合计划"/>
    <n v="3.38"/>
    <x v="4"/>
  </r>
  <r>
    <d v="2020-07-31T00:00:00"/>
    <m/>
    <s v="永颐"/>
    <s v="国寿养老质优稳利基础设施债权投资计划型养老金产品（14期）"/>
    <s v="集合计划"/>
    <n v="17.25"/>
    <x v="4"/>
  </r>
  <r>
    <d v="2020-07-31T00:00:00"/>
    <m/>
    <s v="工行安徽省高速公路控股集团有限公司企业年金计划国寿组合"/>
    <s v="国寿养老质优稳利基础设施债权投资计划型养老金产品（14期）"/>
    <s v="单一计划"/>
    <n v="1370.92"/>
    <x v="4"/>
  </r>
  <r>
    <d v="2020-07-31T00:00:00"/>
    <m/>
    <s v="工行安徽中烟工业有限责任公司企业年金计划国寿组合"/>
    <s v="国寿养老质优稳利基础设施债权投资计划型养老金产品（14期）"/>
    <s v="单一计划"/>
    <n v="959.09"/>
    <x v="4"/>
  </r>
  <r>
    <d v="2020-07-31T00:00:00"/>
    <m/>
    <s v="中行淮南矿业（集团）有限责任公司企业年金计划受托直投（国寿）"/>
    <s v="国寿养老质优稳利基础设施债权投资计划型养老金产品（14期）"/>
    <s v="单一计划"/>
    <n v="2767.93"/>
    <x v="4"/>
  </r>
  <r>
    <d v="2020-07-31T00:00:00"/>
    <s v="CL0124"/>
    <s v="永睿"/>
    <s v="国寿养老质优稳利基础设施债权投资计划型养老金产品（16期）"/>
    <s v="集合计划"/>
    <n v="9.48"/>
    <x v="4"/>
  </r>
  <r>
    <d v="2020-07-31T00:00:00"/>
    <m/>
    <s v="永颐"/>
    <s v="国寿养老质优稳利基础设施债权投资计划型养老金产品（16期）"/>
    <s v="集合计划"/>
    <n v="2.82"/>
    <x v="4"/>
  </r>
  <r>
    <d v="2020-07-31T00:00:00"/>
    <s v="CL0125"/>
    <s v="永乐"/>
    <s v="国寿养老质优甄选信托产品型养老金产品（24期）"/>
    <s v="集合计划"/>
    <n v="6.21"/>
    <x v="5"/>
  </r>
  <r>
    <d v="2020-07-31T00:00:00"/>
    <m/>
    <s v="永睿"/>
    <s v="国寿养老质优甄选信托产品型养老金产品（24期）"/>
    <s v="集合计划"/>
    <n v="5.52"/>
    <x v="5"/>
  </r>
  <r>
    <d v="2020-07-31T00:00:00"/>
    <m/>
    <s v="光大银行北京控股集团有限公司企业年金计划南方组合"/>
    <s v="国寿养老质优甄选信托产品型养老金产品（24期）"/>
    <s v="单一计划"/>
    <n v="806.13"/>
    <x v="5"/>
  </r>
  <r>
    <d v="2020-07-31T00:00:00"/>
    <m/>
    <s v="中信银行中国航空集团公司企业年金计划南方组合"/>
    <s v="国寿养老质优甄选信托产品型养老金产品（24期）"/>
    <s v="单一计划"/>
    <n v="1934.72"/>
    <x v="5"/>
  </r>
  <r>
    <d v="2020-07-31T00:00:00"/>
    <m/>
    <s v="招商银行深圳市水务（集团）有限公司企业年金计划南方组合"/>
    <s v="国寿养老质优甄选信托产品型养老金产品（24期）"/>
    <s v="单一计划"/>
    <n v="1612.26"/>
    <x v="5"/>
  </r>
  <r>
    <d v="2020-07-31T00:00:00"/>
    <s v="CL0126"/>
    <s v="永福"/>
    <s v="国寿养老质优甄选信托产品型养老金产品（25期）"/>
    <s v="集合计划"/>
    <n v="18.98"/>
    <x v="5"/>
  </r>
  <r>
    <d v="2020-07-31T00:00:00"/>
    <m/>
    <s v="永颐"/>
    <s v="国寿养老质优甄选信托产品型养老金产品（25期）"/>
    <s v="集合计划"/>
    <n v="42.27"/>
    <x v="5"/>
  </r>
  <r>
    <d v="2020-07-31T00:00:00"/>
    <m/>
    <s v="建行中国电力建设集团有限公司企业年金计划受托直投标准组合（泰康养老）"/>
    <s v="国寿养老质优甄选信托产品型养老金产品（25期）"/>
    <s v="单一计划"/>
    <n v="3092.98"/>
    <x v="5"/>
  </r>
  <r>
    <d v="2020-07-31T00:00:00"/>
    <m/>
    <s v="交行太原供水集团有限公司企业年金计划受托直投（泰康养老）"/>
    <s v="国寿养老质优甄选信托产品型养老金产品（25期）"/>
    <s v="单一计划"/>
    <n v="253.06"/>
    <x v="5"/>
  </r>
  <r>
    <d v="2020-07-31T00:00:00"/>
    <m/>
    <s v="中信中国国旅集团有限公司企业年金计划受托直投（泰康养老）"/>
    <s v="国寿养老质优甄选信托产品型养老金产品（25期）"/>
    <s v="单一计划"/>
    <n v="253.06"/>
    <x v="5"/>
  </r>
  <r>
    <d v="2020-07-31T00:00:00"/>
    <s v="CL0130"/>
    <s v="永诚"/>
    <s v="国寿养老质优稳利基础设施债权投资计划型养老金产品（17期）"/>
    <s v="集合计划"/>
    <n v="242.13"/>
    <x v="4"/>
  </r>
  <r>
    <d v="2020-07-31T00:00:00"/>
    <m/>
    <s v="永丰"/>
    <s v="国寿养老质优稳利基础设施债权投资计划型养老金产品（17期）"/>
    <s v="集合计划"/>
    <n v="213.55"/>
    <x v="4"/>
  </r>
  <r>
    <d v="2020-07-31T00:00:00"/>
    <m/>
    <s v="永福"/>
    <s v="国寿养老质优稳利基础设施债权投资计划型养老金产品（17期）"/>
    <s v="集合计划"/>
    <n v="53.78"/>
    <x v="4"/>
  </r>
  <r>
    <d v="2020-07-31T00:00:00"/>
    <m/>
    <s v="永乐"/>
    <s v="国寿养老质优稳利基础设施债权投资计划型养老金产品（17期）"/>
    <s v="集合计划"/>
    <n v="11.76"/>
    <x v="4"/>
  </r>
  <r>
    <d v="2020-07-31T00:00:00"/>
    <m/>
    <s v="永睿"/>
    <s v="国寿养老质优稳利基础设施债权投资计划型养老金产品（17期）"/>
    <s v="集合计划"/>
    <n v="79.06"/>
    <x v="4"/>
  </r>
  <r>
    <d v="2020-07-31T00:00:00"/>
    <m/>
    <s v="永通"/>
    <s v="国寿养老质优稳利基础设施债权投资计划型养老金产品（17期）"/>
    <s v="集合计划"/>
    <n v="169.49"/>
    <x v="4"/>
  </r>
  <r>
    <d v="2020-07-31T00:00:00"/>
    <m/>
    <s v="永颐"/>
    <s v="国寿养老质优稳利基础设施债权投资计划型养老金产品（17期）"/>
    <s v="集合计划"/>
    <n v="2.27"/>
    <x v="4"/>
  </r>
  <r>
    <d v="2020-07-31T00:00:00"/>
    <m/>
    <s v="光大中国烟草总公司安徽省公司企业年金计划国寿组合"/>
    <s v="国寿养老质优稳利基础设施债权投资计划型养老金产品（17期）"/>
    <s v="单一计划"/>
    <n v="1786.4"/>
    <x v="4"/>
  </r>
  <r>
    <d v="2020-07-31T00:00:00"/>
    <s v="CL0132"/>
    <s v="永诚"/>
    <s v="国寿养老质优稳利基础设施债权投资计划型养老金产品（19期）"/>
    <s v="集合计划"/>
    <n v="300.92"/>
    <x v="4"/>
  </r>
  <r>
    <d v="2020-07-31T00:00:00"/>
    <m/>
    <s v="永丰"/>
    <s v="国寿养老质优稳利基础设施债权投资计划型养老金产品（19期）"/>
    <s v="集合计划"/>
    <n v="1327.05"/>
    <x v="4"/>
  </r>
  <r>
    <d v="2020-07-31T00:00:00"/>
    <m/>
    <s v="永福"/>
    <s v="国寿养老质优稳利基础设施债权投资计划型养老金产品（19期）"/>
    <s v="集合计划"/>
    <n v="26.28"/>
    <x v="4"/>
  </r>
  <r>
    <d v="2020-07-31T00:00:00"/>
    <m/>
    <s v="永睿"/>
    <s v="国寿养老质优稳利基础设施债权投资计划型养老金产品（19期）"/>
    <s v="集合计划"/>
    <n v="491.34"/>
    <x v="4"/>
  </r>
  <r>
    <d v="2020-07-31T00:00:00"/>
    <s v="CL0140"/>
    <s v="永福"/>
    <s v="国寿养老稳健9号固定收益型养老金产品"/>
    <s v="集合计划"/>
    <n v="63.19"/>
    <x v="3"/>
  </r>
  <r>
    <d v="2020-07-31T00:00:00"/>
    <m/>
    <s v="永乐"/>
    <s v="国寿养老稳健9号固定收益型养老金产品"/>
    <s v="集合计划"/>
    <n v="20.28"/>
    <x v="3"/>
  </r>
  <r>
    <d v="2020-07-31T00:00:00"/>
    <m/>
    <s v="永睿"/>
    <s v="国寿养老稳健9号固定收益型养老金产品"/>
    <s v="集合计划"/>
    <n v="49.52"/>
    <x v="3"/>
  </r>
  <r>
    <d v="2020-07-31T00:00:00"/>
    <m/>
    <s v="工行中铁四局集团有限公司企业年金计划国寿组合"/>
    <s v="国寿养老稳健9号固定收益型养老金产品"/>
    <s v="单一计划"/>
    <n v="1753.72"/>
    <x v="3"/>
  </r>
  <r>
    <d v="2020-07-31T00:00:00"/>
    <m/>
    <s v="光大银行安徽新华传媒股份有限公司企业年金计划受托直投（国寿）"/>
    <s v="国寿养老稳健9号固定收益型养老金产品"/>
    <s v="单一计划"/>
    <n v="1215.19"/>
    <x v="3"/>
  </r>
  <r>
    <d v="2020-07-31T00:00:00"/>
    <m/>
    <s v="农行安徽古井集团有限责任公司企业年金计划国寿组合"/>
    <s v="国寿养老稳健9号固定收益型养老金产品"/>
    <s v="单一计划"/>
    <n v="12349.39"/>
    <x v="3"/>
  </r>
  <r>
    <d v="2020-07-31T00:00:00"/>
    <m/>
    <s v="中行徽商银行股份有限公司企业年金计划国寿组合"/>
    <s v="国寿养老稳健9号固定收益型养老金产品"/>
    <s v="单一计划"/>
    <n v="7258.5"/>
    <x v="3"/>
  </r>
  <r>
    <d v="2020-07-31T00:00:00"/>
    <s v="CL0048"/>
    <s v="永诚"/>
    <s v="国寿养老安享鑫泰混合型养老金产品"/>
    <s v="集合计划"/>
    <n v="7.83"/>
    <x v="2"/>
  </r>
  <r>
    <d v="2020-07-31T00:00:00"/>
    <m/>
    <s v="永福"/>
    <s v="国寿养老安享鑫泰混合型养老金产品"/>
    <s v="集合计划"/>
    <n v="33.74"/>
    <x v="2"/>
  </r>
  <r>
    <d v="2020-07-31T00:00:00"/>
    <m/>
    <s v="农行安徽古井集团有限责任公司企业年金计划国寿组合"/>
    <s v="国寿养老安享鑫泰混合型养老金产品"/>
    <s v="单一计划"/>
    <n v="4015.72"/>
    <x v="2"/>
  </r>
  <r>
    <d v="2020-07-31T00:00:00"/>
    <s v="CL0158"/>
    <s v="永颐"/>
    <s v="国寿养老配置10号混合型养老金产品"/>
    <s v="集合计划"/>
    <n v="34.049999999999997"/>
    <x v="2"/>
  </r>
  <r>
    <d v="2020-07-31T00:00:00"/>
    <s v="CL0084"/>
    <s v="永诚"/>
    <s v="国寿养老配置8号混合型养老金产品"/>
    <s v="集合计划"/>
    <n v="375.85"/>
    <x v="2"/>
  </r>
  <r>
    <d v="2020-07-31T00:00:00"/>
    <m/>
    <s v="永丰"/>
    <s v="国寿养老配置8号混合型养老金产品"/>
    <s v="集合计划"/>
    <n v="2253.15"/>
    <x v="2"/>
  </r>
  <r>
    <d v="2020-07-31T00:00:00"/>
    <m/>
    <s v="永乐"/>
    <s v="国寿养老配置8号混合型养老金产品"/>
    <s v="集合计划"/>
    <n v="125.65"/>
    <x v="2"/>
  </r>
  <r>
    <d v="2020-07-31T00:00:00"/>
    <s v="CL0157"/>
    <s v="永诚"/>
    <s v="国寿养老配置9号混合型养老金产品"/>
    <s v="集合计划"/>
    <n v="193.52"/>
    <x v="2"/>
  </r>
  <r>
    <d v="2020-07-31T00:00:00"/>
    <m/>
    <s v="永丰"/>
    <s v="国寿养老配置9号混合型养老金产品"/>
    <s v="集合计划"/>
    <n v="563.03"/>
    <x v="2"/>
  </r>
  <r>
    <d v="2020-07-31T00:00:00"/>
    <m/>
    <s v="永颐"/>
    <s v="国寿养老配置9号混合型养老金产品"/>
    <s v="集合计划"/>
    <n v="14.37"/>
    <x v="2"/>
  </r>
  <r>
    <d v="2020-07-31T00:00:00"/>
    <s v="CL0080"/>
    <s v="工行中铁四局集团有限公司企业年金计划国寿组合"/>
    <s v="国寿养老配置4号混合型养老金产品"/>
    <s v="单一计划"/>
    <n v="3310.54"/>
    <x v="2"/>
  </r>
  <r>
    <d v="2020-07-31T00:00:00"/>
    <s v="CL0102"/>
    <s v="中行淮南矿业（集团）有限责任公司企业年金计划受托直投（国寿）"/>
    <s v="国寿养老质优增益基础设施债权投资计划型养老金产品（3期）"/>
    <s v="单一计划"/>
    <n v="429.28"/>
    <x v="4"/>
  </r>
  <r>
    <d v="2020-07-31T00:00:00"/>
    <s v="CL0108"/>
    <s v="中行淮南矿业（集团）有限责任公司企业年金计划受托直投（国寿）"/>
    <s v="国寿养老质优稳利基础设施债权投资计划型养老金产品（11期）"/>
    <s v="单一计划"/>
    <n v="3012.72"/>
    <x v="4"/>
  </r>
  <r>
    <d v="2020-07-31T00:00:00"/>
    <m/>
    <s v="工行铜陵有色金属集团控股有限公司企业年金计划受托直投（国寿）"/>
    <s v="国寿养老质优稳利基础设施债权投资计划型养老金产品（11期）"/>
    <s v="单一计划"/>
    <n v="1191.1300000000001"/>
    <x v="4"/>
  </r>
  <r>
    <d v="2020-07-31T00:00:00"/>
    <s v="CL0115"/>
    <s v="工行铜陵有色金属集团控股有限公司企业年金计划受托直投（国寿）"/>
    <s v="国寿养老红利存款型养老金产品（14期）"/>
    <s v="单一计划"/>
    <n v="232.54"/>
    <x v="8"/>
  </r>
  <r>
    <d v="2020-07-31T00:00:00"/>
    <s v="CL0112"/>
    <s v="民生银行中国民生银行股份有限公司企业年金计划工银瑞信组合"/>
    <s v="国寿养老红利存款型养老金产品（11期）"/>
    <s v="单一计划"/>
    <n v="488.64"/>
    <x v="8"/>
  </r>
  <r>
    <d v="2020-07-31T00:00:00"/>
    <m/>
    <s v="建行神华集团有限责任公司企业年金计划工银瑞信组合"/>
    <s v="国寿养老红利存款型养老金产品（11期）"/>
    <s v="单一计划"/>
    <n v="488.64"/>
    <x v="8"/>
  </r>
  <r>
    <m/>
    <m/>
    <m/>
    <m/>
    <m/>
    <m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数据透视表1" cacheId="1" applyNumberFormats="0" applyBorderFormats="0" applyFontFormats="0" applyPatternFormats="0" applyAlignmentFormats="0" applyWidthHeightFormats="1" dataCaption="值" updatedVersion="6" minRefreshableVersion="3" useAutoFormatting="1" createdVersion="6" indent="0" outline="1" outlineData="1" multipleFieldFilters="0">
  <location ref="G1:G16" firstHeaderRow="1" firstDataRow="1" firstDataCol="1"/>
  <pivotFields count="1">
    <pivotField axis="axisRow" showAll="0">
      <items count="15">
        <item x="0"/>
        <item x="2"/>
        <item x="1"/>
        <item x="6"/>
        <item x="4"/>
        <item x="3"/>
        <item x="5"/>
        <item x="13"/>
        <item x="7"/>
        <item x="8"/>
        <item x="9"/>
        <item x="10"/>
        <item x="11"/>
        <item x="12"/>
        <item t="default"/>
      </items>
    </pivotField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2" cacheId="0" applyNumberFormats="0" applyBorderFormats="0" applyFontFormats="0" applyPatternFormats="0" applyAlignmentFormats="0" applyWidthHeightFormats="1" dataCaption="值" updatedVersion="6" minRefreshableVersion="3" useAutoFormatting="1" createdVersion="6" indent="0" outline="1" outlineData="1" multipleFieldFilters="0">
  <location ref="K3:L11" firstHeaderRow="1" firstDataRow="1" firstDataCol="1" rowPageCount="1" colPageCount="1"/>
  <pivotFields count="4">
    <pivotField axis="axisPage" multipleItemSelectionAllowed="1" showAll="0">
      <items count="24">
        <item h="1" x="7"/>
        <item h="1" x="8"/>
        <item h="1" x="9"/>
        <item h="1" x="0"/>
        <item m="1" x="22"/>
        <item h="1" x="2"/>
        <item h="1" x="3"/>
        <item h="1" x="4"/>
        <item h="1" x="5"/>
        <item h="1" x="6"/>
        <item h="1" x="10"/>
        <item h="1" x="21"/>
        <item h="1" x="1"/>
        <item h="1" x="11"/>
        <item h="1" x="12"/>
        <item x="13"/>
        <item h="1" x="14"/>
        <item h="1" x="15"/>
        <item h="1" x="16"/>
        <item h="1" x="17"/>
        <item h="1" x="18"/>
        <item h="1" x="19"/>
        <item h="1" x="20"/>
        <item t="default"/>
      </items>
    </pivotField>
    <pivotField showAll="0"/>
    <pivotField dataField="1" showAll="0" defaultSubtotal="0"/>
    <pivotField axis="axisRow" showAll="0">
      <items count="11">
        <item x="0"/>
        <item x="1"/>
        <item x="2"/>
        <item x="6"/>
        <item x="4"/>
        <item x="3"/>
        <item x="5"/>
        <item x="9"/>
        <item x="8"/>
        <item x="7"/>
        <item t="default"/>
      </items>
    </pivotField>
  </pivotFields>
  <rowFields count="1">
    <field x="3"/>
  </rowFields>
  <rowItems count="8">
    <i>
      <x/>
    </i>
    <i>
      <x v="2"/>
    </i>
    <i>
      <x v="3"/>
    </i>
    <i>
      <x v="4"/>
    </i>
    <i>
      <x v="5"/>
    </i>
    <i>
      <x v="6"/>
    </i>
    <i>
      <x v="9"/>
    </i>
    <i t="grand">
      <x/>
    </i>
  </rowItems>
  <colItems count="1">
    <i/>
  </colItems>
  <pageFields count="1">
    <pageField fld="0" hier="0"/>
  </pageFields>
  <dataFields count="1">
    <dataField name="求和项:计提（含税含准备金）" fld="2" baseField="3" baseItem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数据透视表2" cacheId="3" applyNumberFormats="0" applyBorderFormats="0" applyFontFormats="0" applyPatternFormats="0" applyAlignmentFormats="0" applyWidthHeightFormats="1" dataCaption="值" updatedVersion="6" minRefreshableVersion="3" useAutoFormatting="1" itemPrintTitles="1" createdVersion="6" indent="0" outline="1" outlineData="1" multipleFieldFilters="0">
  <location ref="P2:Q15" firstHeaderRow="1" firstDataRow="1" firstDataCol="1"/>
  <pivotFields count="7">
    <pivotField showAll="0"/>
    <pivotField showAll="0"/>
    <pivotField showAll="0"/>
    <pivotField showAll="0"/>
    <pivotField showAll="0"/>
    <pivotField dataField="1" showAll="0"/>
    <pivotField axis="axisRow" showAll="0">
      <items count="13">
        <item x="10"/>
        <item x="9"/>
        <item x="8"/>
        <item x="0"/>
        <item x="3"/>
        <item x="2"/>
        <item x="7"/>
        <item x="4"/>
        <item x="5"/>
        <item x="6"/>
        <item x="1"/>
        <item x="11"/>
        <item t="default"/>
      </items>
    </pivotField>
  </pivotFields>
  <rowFields count="1">
    <field x="6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求和项:应收管理费" fld="5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数据透视表1" cacheId="2" applyNumberFormats="0" applyBorderFormats="0" applyFontFormats="0" applyPatternFormats="0" applyAlignmentFormats="0" applyWidthHeightFormats="1" dataCaption="值" updatedVersion="6" minRefreshableVersion="3" useAutoFormatting="1" itemPrintTitles="1" createdVersion="6" indent="0" outline="1" outlineData="1" multipleFieldFilters="0" chartFormat="6">
  <location ref="L1:M84" firstHeaderRow="1" firstDataRow="1" firstDataCol="1"/>
  <pivotFields count="6">
    <pivotField showAll="0"/>
    <pivotField showAll="0"/>
    <pivotField showAll="0">
      <items count="64">
        <item x="11"/>
        <item x="16"/>
        <item x="10"/>
        <item x="8"/>
        <item x="22"/>
        <item x="30"/>
        <item x="37"/>
        <item x="41"/>
        <item x="50"/>
        <item x="27"/>
        <item x="32"/>
        <item x="42"/>
        <item x="2"/>
        <item x="28"/>
        <item x="15"/>
        <item x="52"/>
        <item x="51"/>
        <item x="31"/>
        <item x="25"/>
        <item x="44"/>
        <item x="19"/>
        <item x="39"/>
        <item x="58"/>
        <item x="60"/>
        <item x="46"/>
        <item x="18"/>
        <item x="55"/>
        <item x="12"/>
        <item x="57"/>
        <item x="4"/>
        <item x="59"/>
        <item x="0"/>
        <item x="13"/>
        <item x="5"/>
        <item x="6"/>
        <item x="1"/>
        <item x="14"/>
        <item x="17"/>
        <item x="7"/>
        <item x="34"/>
        <item x="47"/>
        <item x="40"/>
        <item x="54"/>
        <item x="35"/>
        <item x="29"/>
        <item x="24"/>
        <item x="21"/>
        <item x="36"/>
        <item x="61"/>
        <item x="33"/>
        <item x="9"/>
        <item x="43"/>
        <item x="23"/>
        <item x="45"/>
        <item x="3"/>
        <item x="48"/>
        <item x="20"/>
        <item x="26"/>
        <item x="49"/>
        <item x="38"/>
        <item x="53"/>
        <item x="56"/>
        <item x="62"/>
        <item t="default"/>
      </items>
    </pivotField>
    <pivotField axis="axisRow" showAll="0">
      <items count="83">
        <item x="28"/>
        <item x="65"/>
        <item x="23"/>
        <item x="24"/>
        <item x="25"/>
        <item x="39"/>
        <item x="40"/>
        <item x="79"/>
        <item x="41"/>
        <item x="42"/>
        <item x="13"/>
        <item x="14"/>
        <item x="49"/>
        <item x="73"/>
        <item x="72"/>
        <item x="9"/>
        <item x="31"/>
        <item x="32"/>
        <item x="33"/>
        <item x="34"/>
        <item x="43"/>
        <item x="5"/>
        <item x="6"/>
        <item x="19"/>
        <item x="3"/>
        <item x="1"/>
        <item x="7"/>
        <item x="11"/>
        <item x="17"/>
        <item x="18"/>
        <item x="0"/>
        <item x="4"/>
        <item x="2"/>
        <item x="47"/>
        <item x="66"/>
        <item x="20"/>
        <item x="21"/>
        <item x="22"/>
        <item x="69"/>
        <item x="77"/>
        <item x="46"/>
        <item x="67"/>
        <item x="68"/>
        <item x="76"/>
        <item x="75"/>
        <item x="74"/>
        <item x="26"/>
        <item x="35"/>
        <item x="36"/>
        <item x="37"/>
        <item x="38"/>
        <item x="64"/>
        <item x="8"/>
        <item x="15"/>
        <item x="27"/>
        <item x="53"/>
        <item x="71"/>
        <item x="56"/>
        <item x="57"/>
        <item x="58"/>
        <item x="59"/>
        <item x="62"/>
        <item x="63"/>
        <item x="10"/>
        <item x="78"/>
        <item x="16"/>
        <item x="29"/>
        <item x="30"/>
        <item x="45"/>
        <item x="48"/>
        <item x="51"/>
        <item x="52"/>
        <item x="70"/>
        <item x="50"/>
        <item x="44"/>
        <item x="80"/>
        <item x="54"/>
        <item x="55"/>
        <item x="60"/>
        <item x="61"/>
        <item x="12"/>
        <item x="81"/>
        <item t="default"/>
      </items>
    </pivotField>
    <pivotField showAll="0">
      <items count="5">
        <item x="1"/>
        <item x="0"/>
        <item x="2"/>
        <item h="1" x="3"/>
        <item t="default"/>
      </items>
    </pivotField>
    <pivotField dataField="1" showAll="0"/>
  </pivotFields>
  <rowFields count="1">
    <field x="3"/>
  </rowFields>
  <rowItems count="8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 t="grand">
      <x/>
    </i>
  </rowItems>
  <colItems count="1">
    <i/>
  </colItems>
  <dataFields count="1">
    <dataField name="求和项:应收管理费" fld="5" baseField="4" baseItem="0"/>
  </dataFields>
  <chartFormats count="1"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19"/>
  <sheetViews>
    <sheetView zoomScale="90" zoomScaleNormal="90" workbookViewId="0">
      <selection activeCell="F13" sqref="F13"/>
    </sheetView>
  </sheetViews>
  <sheetFormatPr defaultColWidth="9" defaultRowHeight="13.8"/>
  <cols>
    <col min="1" max="1" width="11.21875" customWidth="1"/>
    <col min="2" max="2" width="18.44140625" customWidth="1"/>
    <col min="3" max="3" width="18.33203125" customWidth="1"/>
    <col min="4" max="4" width="21.109375" customWidth="1"/>
    <col min="5" max="5" width="14.77734375" customWidth="1"/>
    <col min="6" max="6" width="13" customWidth="1"/>
    <col min="7" max="7" width="12.77734375" customWidth="1"/>
    <col min="8" max="8" width="13.33203125" customWidth="1"/>
    <col min="9" max="9" width="12.109375" customWidth="1"/>
    <col min="10" max="10" width="10.33203125" customWidth="1"/>
    <col min="11" max="11" width="12.109375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9">
      <c r="A2" s="6">
        <v>43131</v>
      </c>
      <c r="B2" s="64">
        <f>SUMIFS('单一计划（含税）'!$C:$C,'单一计划（含税）'!$A:$A,投管汇总校验!A2)*0.92</f>
        <v>63176.43680000001</v>
      </c>
      <c r="C2" s="64">
        <f>SUMIF('集合计划（含税）'!$A:$A,投管汇总校验!A2,'集合计划（含税）'!$D:$D)*0.92</f>
        <v>288667.59039999999</v>
      </c>
      <c r="D2" s="64"/>
      <c r="E2" s="64">
        <f>SUM(B2:D2)</f>
        <v>351844.02720000001</v>
      </c>
      <c r="F2" s="65">
        <v>347835.06</v>
      </c>
      <c r="G2" s="66">
        <f>(E2-F2)/E2</f>
        <v>1.139416016779839E-2</v>
      </c>
      <c r="H2" s="41"/>
    </row>
    <row r="3" spans="1:9">
      <c r="A3" s="6">
        <v>43159</v>
      </c>
      <c r="B3" s="64">
        <f>SUMIFS('单一计划（含税）'!$C:$C,'单一计划（含税）'!$A:$A,投管汇总校验!A3)*0.92</f>
        <v>57328.079600000005</v>
      </c>
      <c r="C3" s="64">
        <f>SUMIF('集合计划（含税）'!$A:$A,投管汇总校验!A3,'集合计划（含税）'!$D:$D)*0.92</f>
        <v>265429.83480000001</v>
      </c>
      <c r="D3" s="64">
        <f>I19</f>
        <v>363880.43</v>
      </c>
      <c r="E3" s="64">
        <f t="shared" ref="E3:E12" si="0">SUM(B3:D3)</f>
        <v>686638.34440000006</v>
      </c>
      <c r="F3" s="65"/>
      <c r="G3" s="66"/>
      <c r="H3" s="41"/>
    </row>
    <row r="4" spans="1:9">
      <c r="A4" s="6">
        <v>43190</v>
      </c>
      <c r="B4" s="64">
        <f>SUMIFS('单一计划（含税）'!$C:$C,'单一计划（含税）'!$A:$A,投管汇总校验!A4)*0.92</f>
        <v>61246.240000000005</v>
      </c>
      <c r="C4" s="64">
        <f>SUMIF('集合计划（含税）'!$A:$A,投管汇总校验!A4,'集合计划（含税）'!$D:$D)*0.92</f>
        <v>280699.85680000001</v>
      </c>
      <c r="D4" s="64"/>
      <c r="E4" s="64">
        <f t="shared" si="0"/>
        <v>341946.0968</v>
      </c>
      <c r="F4" s="65">
        <v>338081.26</v>
      </c>
      <c r="G4" s="66">
        <f t="shared" ref="G4:G13" si="1">(E4-F4)/E4</f>
        <v>1.1302473799724303E-2</v>
      </c>
      <c r="H4" s="41"/>
    </row>
    <row r="5" spans="1:9">
      <c r="A5" s="6">
        <v>43220</v>
      </c>
      <c r="B5" s="64">
        <f>SUMIFS('单一计划（含税）'!$C:$C,'单一计划（含税）'!$A:$A,投管汇总校验!A5)*0.92</f>
        <v>58126.087600000006</v>
      </c>
      <c r="C5" s="64">
        <f>SUMIF('集合计划（含税）'!$A:$A,投管汇总校验!A5,'集合计划（含税）'!$D:$D)*0.92</f>
        <v>284910.66000000003</v>
      </c>
      <c r="D5" s="64"/>
      <c r="E5" s="64">
        <f t="shared" si="0"/>
        <v>343036.74760000006</v>
      </c>
      <c r="F5" s="65">
        <v>339839.55</v>
      </c>
      <c r="G5" s="66">
        <f t="shared" si="1"/>
        <v>9.3202772658286231E-3</v>
      </c>
      <c r="H5" s="41"/>
    </row>
    <row r="6" spans="1:9">
      <c r="A6" s="6">
        <v>43251</v>
      </c>
      <c r="B6" s="64">
        <f>SUMIFS('单一计划（含税）'!$C:$C,'单一计划（含税）'!$A:$A,投管汇总校验!A6)*0.92</f>
        <v>60798.715199999999</v>
      </c>
      <c r="C6" s="64">
        <f>SUMIF('集合计划（含税）'!$A:$A,投管汇总校验!A6,'集合计划（含税）'!$D:$D)*0.92</f>
        <v>304296.29280000005</v>
      </c>
      <c r="D6" s="64"/>
      <c r="E6" s="64">
        <f t="shared" si="0"/>
        <v>365095.00800000003</v>
      </c>
      <c r="F6" s="65">
        <v>361910.65</v>
      </c>
      <c r="G6" s="66">
        <f t="shared" si="1"/>
        <v>8.7219981928649305E-3</v>
      </c>
      <c r="H6" s="41"/>
    </row>
    <row r="7" spans="1:9">
      <c r="A7" s="6">
        <v>43281</v>
      </c>
      <c r="B7" s="64">
        <f>SUMIFS('单一计划（含税）'!$C:$C,'单一计划（含税）'!$A:$A,投管汇总校验!A7)*0.92</f>
        <v>58456.7264</v>
      </c>
      <c r="C7" s="64">
        <f>SUMIF('集合计划（含税）'!$A:$A,投管汇总校验!A7,'集合计划（含税）'!$D:$D)*0.92</f>
        <v>291504.92560000002</v>
      </c>
      <c r="D7" s="64">
        <f>I18</f>
        <v>244389.77</v>
      </c>
      <c r="E7" s="64">
        <f t="shared" si="0"/>
        <v>594351.42200000002</v>
      </c>
      <c r="F7" s="65"/>
      <c r="G7" s="66"/>
      <c r="H7" s="41"/>
    </row>
    <row r="8" spans="1:9">
      <c r="A8" s="6">
        <v>43312</v>
      </c>
      <c r="B8" s="64">
        <f>SUMIFS('单一计划（含税）'!$C:$C,'单一计划（含税）'!$A:$A,投管汇总校验!A8)*0.92</f>
        <v>59961.634800000007</v>
      </c>
      <c r="C8" s="64">
        <f>SUMIF('集合计划（含税）'!$A:$A,投管汇总校验!A8,'集合计划（含税）'!$D:$D)*0.92</f>
        <v>305642.40919999999</v>
      </c>
      <c r="D8" s="64"/>
      <c r="E8" s="64">
        <f t="shared" si="0"/>
        <v>365604.04399999999</v>
      </c>
      <c r="F8" s="65">
        <v>362604.3</v>
      </c>
      <c r="G8" s="66">
        <f t="shared" si="1"/>
        <v>8.2048983024925349E-3</v>
      </c>
      <c r="H8" s="41"/>
    </row>
    <row r="9" spans="1:9">
      <c r="A9" s="6">
        <v>43343</v>
      </c>
      <c r="B9" s="64">
        <f>SUMIFS('单一计划（含税）'!$C:$C,'单一计划（含税）'!$A:$A,投管汇总校验!A9)*0.92</f>
        <v>59283.061200000004</v>
      </c>
      <c r="C9" s="64">
        <f>SUMIF('集合计划（含税）'!$A:$A,投管汇总校验!A9,'集合计划（含税）'!$D:$D)*0.92</f>
        <v>309798.24239999999</v>
      </c>
      <c r="D9" s="64"/>
      <c r="E9" s="64">
        <f t="shared" si="0"/>
        <v>369081.30359999998</v>
      </c>
      <c r="F9" s="65">
        <v>366309.16</v>
      </c>
      <c r="G9" s="66">
        <f t="shared" si="1"/>
        <v>7.5109293615272972E-3</v>
      </c>
      <c r="H9" s="41"/>
    </row>
    <row r="10" spans="1:9">
      <c r="A10" s="6">
        <v>43373</v>
      </c>
      <c r="B10" s="64">
        <f>SUMIFS('单一计划（含税）'!$C:$C,'单一计划（含税）'!$A:$A,投管汇总校验!A10)*0.92</f>
        <v>52422.069200000005</v>
      </c>
      <c r="C10" s="64">
        <f>SUMIF('集合计划（含税）'!$A:$A,投管汇总校验!A10,'集合计划（含税）'!$D:$D)*0.92</f>
        <v>297295.49760000006</v>
      </c>
      <c r="D10" s="64"/>
      <c r="E10" s="64">
        <f t="shared" si="0"/>
        <v>349717.56680000009</v>
      </c>
      <c r="F10" s="65">
        <v>347860.08</v>
      </c>
      <c r="G10" s="66">
        <f t="shared" si="1"/>
        <v>5.311391180593308E-3</v>
      </c>
      <c r="H10" s="41"/>
    </row>
    <row r="11" spans="1:9">
      <c r="A11" s="6">
        <v>43404</v>
      </c>
      <c r="B11" s="64">
        <f>SUMIFS('单一计划（含税）'!$C:$C,'单一计划（含税）'!$A:$A,投管汇总校验!A11)*0.92</f>
        <v>55277.004000000001</v>
      </c>
      <c r="C11" s="64">
        <f>SUMIF('集合计划（含税）'!$A:$A,投管汇总校验!A11,'集合计划（含税）'!$D:$D)*0.92</f>
        <v>314032.41360000003</v>
      </c>
      <c r="D11" s="64"/>
      <c r="E11" s="64">
        <f t="shared" si="0"/>
        <v>369309.41760000004</v>
      </c>
      <c r="F11" s="65">
        <v>367364.66</v>
      </c>
      <c r="G11" s="66">
        <f t="shared" si="1"/>
        <v>5.2659301586141568E-3</v>
      </c>
      <c r="H11" s="41"/>
    </row>
    <row r="12" spans="1:9">
      <c r="A12" s="6">
        <v>43434</v>
      </c>
      <c r="B12" s="64">
        <f>SUMIFS('单一计划（含税）'!$C:$C,'单一计划（含税）'!$A:$A,投管汇总校验!A12)*0.92</f>
        <v>53121.0484</v>
      </c>
      <c r="C12" s="64">
        <f>SUMIF('集合计划（含税）'!$A:$A,投管汇总校验!A12,'集合计划（含税）'!$D:$D)*0.92</f>
        <v>310963.74440000003</v>
      </c>
      <c r="D12" s="64"/>
      <c r="E12" s="64">
        <f t="shared" si="0"/>
        <v>364084.79280000005</v>
      </c>
      <c r="F12" s="65">
        <v>362449.33</v>
      </c>
      <c r="G12" s="66">
        <f t="shared" si="1"/>
        <v>4.4919832751664363E-3</v>
      </c>
      <c r="H12" s="41"/>
    </row>
    <row r="13" spans="1:9">
      <c r="A13" s="6">
        <v>43465</v>
      </c>
      <c r="B13" s="64">
        <f>SUMIFS('单一计划（含税）'!$C:$C,'单一计划（含税）'!$A:$A,投管汇总校验!A13)*0.92</f>
        <v>53021.872400000007</v>
      </c>
      <c r="C13" s="64">
        <f>SUMIF('集合计划（含税）'!$A:$A,投管汇总校验!A13,'集合计划（含税）'!$D:$D)*0.92</f>
        <v>313352.71760000003</v>
      </c>
      <c r="D13" s="64"/>
      <c r="E13" s="64">
        <f t="shared" ref="E13" si="2">SUM(B13:D13)</f>
        <v>366374.59</v>
      </c>
      <c r="F13" s="65">
        <v>356805.88</v>
      </c>
      <c r="G13" s="66">
        <f t="shared" si="1"/>
        <v>2.6117286136028213E-2</v>
      </c>
      <c r="H13" s="41"/>
    </row>
    <row r="14" spans="1:9">
      <c r="A14" t="s">
        <v>8</v>
      </c>
      <c r="B14" s="41">
        <f>SUM(B2:B13)</f>
        <v>692218.97559999989</v>
      </c>
      <c r="C14" s="41">
        <f>SUM(C2:C13)</f>
        <v>3566594.1851999997</v>
      </c>
      <c r="D14" s="41">
        <f t="shared" ref="D14:E14" si="3">SUM(D2:D13)</f>
        <v>608270.19999999995</v>
      </c>
      <c r="E14" s="41">
        <f t="shared" si="3"/>
        <v>4867083.3608000008</v>
      </c>
      <c r="G14" s="41">
        <f>E14/10000</f>
        <v>486.70833608000009</v>
      </c>
    </row>
    <row r="15" spans="1:9">
      <c r="G15">
        <f>529.52</f>
        <v>529.52</v>
      </c>
      <c r="H15" s="41">
        <f>G14-G15</f>
        <v>-42.811663919999887</v>
      </c>
      <c r="I15" s="66">
        <f>H15/G15</f>
        <v>-8.0849946970841302E-2</v>
      </c>
    </row>
    <row r="17" spans="2:13">
      <c r="B17" t="s">
        <v>0</v>
      </c>
      <c r="C17" s="5" t="s">
        <v>9</v>
      </c>
      <c r="D17" s="5" t="s">
        <v>10</v>
      </c>
      <c r="E17" s="5" t="s">
        <v>11</v>
      </c>
      <c r="F17" s="5" t="s">
        <v>12</v>
      </c>
      <c r="G17" s="4" t="s">
        <v>13</v>
      </c>
      <c r="H17" s="4" t="s">
        <v>14</v>
      </c>
      <c r="I17" s="4" t="s">
        <v>15</v>
      </c>
      <c r="J17" s="4" t="s">
        <v>16</v>
      </c>
      <c r="K17" s="4" t="s">
        <v>17</v>
      </c>
    </row>
    <row r="18" spans="2:13">
      <c r="B18" s="6">
        <v>43281</v>
      </c>
      <c r="C18" s="5" t="s">
        <v>18</v>
      </c>
      <c r="D18" s="5">
        <v>174</v>
      </c>
      <c r="E18" s="5" t="s">
        <v>19</v>
      </c>
      <c r="F18" s="5">
        <v>4340</v>
      </c>
      <c r="G18" s="4">
        <v>323816.45</v>
      </c>
      <c r="H18" s="4">
        <v>259053.16</v>
      </c>
      <c r="I18" s="4">
        <v>244389.77</v>
      </c>
      <c r="J18" s="4">
        <v>14663.39</v>
      </c>
      <c r="K18" s="4">
        <v>64763.29</v>
      </c>
      <c r="L18" s="66">
        <f>J18/H18</f>
        <v>5.6603787423399887E-2</v>
      </c>
      <c r="M18">
        <f>I18/G18</f>
        <v>0.75471697006128002</v>
      </c>
    </row>
    <row r="19" spans="2:13">
      <c r="B19" s="6">
        <v>43159</v>
      </c>
      <c r="C19" s="5" t="s">
        <v>20</v>
      </c>
      <c r="D19" s="5">
        <v>127</v>
      </c>
      <c r="E19" s="5" t="s">
        <v>19</v>
      </c>
      <c r="F19" s="5">
        <v>4340</v>
      </c>
      <c r="G19" s="5">
        <v>482141.58</v>
      </c>
      <c r="H19" s="5">
        <v>385713.26</v>
      </c>
      <c r="I19" s="5">
        <v>363880.43</v>
      </c>
      <c r="J19" s="5">
        <v>21832.83</v>
      </c>
      <c r="K19" s="5">
        <v>96428.32</v>
      </c>
      <c r="L19" s="66">
        <f>J19/H19</f>
        <v>5.6603783857469669E-2</v>
      </c>
      <c r="M19">
        <f>I19/G19</f>
        <v>0.75471696508730901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37"/>
  <sheetViews>
    <sheetView workbookViewId="0">
      <pane ySplit="3" topLeftCell="A4" activePane="bottomLeft" state="frozen"/>
      <selection pane="bottomLeft" activeCell="F37" sqref="F37"/>
    </sheetView>
  </sheetViews>
  <sheetFormatPr defaultColWidth="9" defaultRowHeight="13.8"/>
  <cols>
    <col min="1" max="1" width="11.21875" customWidth="1"/>
    <col min="2" max="2" width="12.109375" customWidth="1"/>
    <col min="3" max="4" width="16.44140625" style="64" customWidth="1"/>
    <col min="5" max="6" width="19.21875" style="64" customWidth="1"/>
    <col min="8" max="8" width="11.6640625" bestFit="1" customWidth="1"/>
    <col min="9" max="9" width="15.109375" customWidth="1"/>
    <col min="10" max="10" width="11.6640625" customWidth="1"/>
  </cols>
  <sheetData>
    <row r="1" spans="1:11" ht="17.399999999999999">
      <c r="A1" t="s">
        <v>0</v>
      </c>
      <c r="B1" s="61" t="s">
        <v>21</v>
      </c>
      <c r="C1" s="28" t="s">
        <v>15</v>
      </c>
      <c r="D1" s="28" t="s">
        <v>22</v>
      </c>
      <c r="E1" s="28" t="s">
        <v>23</v>
      </c>
      <c r="F1" s="28" t="s">
        <v>24</v>
      </c>
      <c r="J1" t="s">
        <v>25</v>
      </c>
      <c r="K1" t="s">
        <v>26</v>
      </c>
    </row>
    <row r="2" spans="1:11">
      <c r="A2" s="6">
        <v>43131</v>
      </c>
      <c r="C2" s="64">
        <v>347835.06</v>
      </c>
      <c r="D2" s="64">
        <v>22202.2378723404</v>
      </c>
      <c r="E2" s="64">
        <v>56268.177872340399</v>
      </c>
      <c r="F2" s="64">
        <v>313769.12</v>
      </c>
      <c r="G2" s="41">
        <f t="shared" ref="G2:G25" si="0">D2/(C2+D2)</f>
        <v>5.9999999999999928E-2</v>
      </c>
      <c r="I2" s="64"/>
      <c r="J2" s="41"/>
    </row>
    <row r="3" spans="1:11">
      <c r="A3" s="6">
        <v>43159</v>
      </c>
      <c r="C3" s="64">
        <v>683089.09</v>
      </c>
      <c r="D3" s="64">
        <v>43601.4312765957</v>
      </c>
      <c r="E3" s="64">
        <v>438179.831276596</v>
      </c>
      <c r="F3" s="64">
        <v>288510.69</v>
      </c>
      <c r="G3" s="41">
        <f t="shared" si="0"/>
        <v>5.9999999999999949E-2</v>
      </c>
      <c r="I3" s="64"/>
      <c r="J3" s="41"/>
      <c r="K3" t="s">
        <v>27</v>
      </c>
    </row>
    <row r="4" spans="1:11">
      <c r="A4" s="6">
        <v>43190</v>
      </c>
      <c r="C4" s="64">
        <v>338081.26</v>
      </c>
      <c r="D4" s="64">
        <v>21579.654893617</v>
      </c>
      <c r="E4" s="64">
        <v>54552.374893617103</v>
      </c>
      <c r="F4" s="64">
        <v>305108.53999999998</v>
      </c>
      <c r="G4" s="41">
        <f t="shared" si="0"/>
        <v>5.9999999999999935E-2</v>
      </c>
      <c r="I4" s="64"/>
      <c r="J4" s="41"/>
    </row>
    <row r="5" spans="1:11">
      <c r="A5" s="6">
        <v>43220</v>
      </c>
      <c r="C5" s="64">
        <v>339839.55</v>
      </c>
      <c r="D5" s="64">
        <v>21691.886170212802</v>
      </c>
      <c r="E5" s="64">
        <v>51845.936170212699</v>
      </c>
      <c r="F5" s="64">
        <v>309685.5</v>
      </c>
      <c r="G5" s="41">
        <f t="shared" si="0"/>
        <v>6.0000000000000088E-2</v>
      </c>
      <c r="I5" s="64"/>
      <c r="J5" s="41"/>
    </row>
    <row r="6" spans="1:11">
      <c r="A6" s="6">
        <v>43251</v>
      </c>
      <c r="C6" s="64">
        <v>361910.65</v>
      </c>
      <c r="D6" s="64">
        <v>23100.679787233999</v>
      </c>
      <c r="E6" s="64">
        <v>54254.489787234103</v>
      </c>
      <c r="F6" s="64">
        <v>330756.84000000003</v>
      </c>
      <c r="G6" s="41">
        <f t="shared" si="0"/>
        <v>5.9999999999999894E-2</v>
      </c>
      <c r="I6" s="64"/>
      <c r="J6" s="41"/>
    </row>
    <row r="7" spans="1:11">
      <c r="A7" s="6">
        <v>43281</v>
      </c>
      <c r="C7" s="64">
        <v>591262.52</v>
      </c>
      <c r="D7" s="64">
        <v>37740.160851063803</v>
      </c>
      <c r="E7" s="64">
        <v>312149.50085106399</v>
      </c>
      <c r="F7" s="64">
        <v>316853.18</v>
      </c>
      <c r="G7" s="41">
        <f t="shared" si="0"/>
        <v>5.9999999999999963E-2</v>
      </c>
      <c r="I7" s="64"/>
      <c r="J7" s="41"/>
    </row>
    <row r="8" spans="1:11">
      <c r="A8" s="6">
        <v>43312</v>
      </c>
      <c r="C8" s="64">
        <v>362604.3</v>
      </c>
      <c r="D8" s="64">
        <v>23144.955319148899</v>
      </c>
      <c r="E8" s="64">
        <v>53529.245319148897</v>
      </c>
      <c r="F8" s="64">
        <v>332220.01</v>
      </c>
      <c r="G8" s="41">
        <f t="shared" si="0"/>
        <v>5.9999999999999915E-2</v>
      </c>
      <c r="I8" s="64"/>
      <c r="J8" s="41"/>
    </row>
    <row r="9" spans="1:11">
      <c r="A9" s="6">
        <v>43343</v>
      </c>
      <c r="C9" s="64">
        <v>366309.16</v>
      </c>
      <c r="D9" s="64">
        <v>23381.435744680799</v>
      </c>
      <c r="E9" s="64">
        <v>52953.375744680903</v>
      </c>
      <c r="F9" s="64">
        <v>336737.22</v>
      </c>
      <c r="G9" s="41">
        <f t="shared" si="0"/>
        <v>5.9999999999999873E-2</v>
      </c>
      <c r="I9" s="64"/>
      <c r="J9" s="41"/>
    </row>
    <row r="10" spans="1:11">
      <c r="A10" s="6">
        <v>43373</v>
      </c>
      <c r="C10" s="64">
        <v>347860.08</v>
      </c>
      <c r="D10" s="64">
        <v>22203.834893617</v>
      </c>
      <c r="E10" s="64">
        <v>46916.634893617098</v>
      </c>
      <c r="F10" s="64">
        <v>323147.28000000003</v>
      </c>
      <c r="G10" s="41">
        <f t="shared" si="0"/>
        <v>5.9999999999999942E-2</v>
      </c>
      <c r="I10" s="64"/>
      <c r="J10" s="41"/>
    </row>
    <row r="11" spans="1:11">
      <c r="A11" s="6">
        <v>43404</v>
      </c>
      <c r="C11" s="64">
        <v>367364.66</v>
      </c>
      <c r="D11" s="64">
        <v>23448.808085106401</v>
      </c>
      <c r="E11" s="64">
        <v>49473.8880851063</v>
      </c>
      <c r="F11" s="64">
        <v>341339.58</v>
      </c>
      <c r="G11" s="41">
        <f t="shared" si="0"/>
        <v>6.0000000000000053E-2</v>
      </c>
      <c r="I11" s="64"/>
      <c r="J11" s="41"/>
    </row>
    <row r="12" spans="1:11">
      <c r="A12" s="6">
        <v>43434</v>
      </c>
      <c r="C12" s="64">
        <v>362449.33</v>
      </c>
      <c r="D12" s="64">
        <v>23135.0636170213</v>
      </c>
      <c r="E12" s="64">
        <v>47580.323617021197</v>
      </c>
      <c r="F12" s="64">
        <v>338004.07</v>
      </c>
      <c r="G12" s="41">
        <f t="shared" si="0"/>
        <v>6.0000000000000053E-2</v>
      </c>
      <c r="I12" s="64"/>
      <c r="J12" s="41"/>
    </row>
    <row r="13" spans="1:11">
      <c r="A13" s="6">
        <v>43465</v>
      </c>
      <c r="C13" s="64">
        <v>826629.77</v>
      </c>
      <c r="D13" s="64">
        <v>52763.602340425503</v>
      </c>
      <c r="E13" s="64">
        <v>547893.37234042597</v>
      </c>
      <c r="F13" s="64">
        <v>331500</v>
      </c>
      <c r="G13" s="41">
        <f t="shared" si="0"/>
        <v>5.999999999999997E-2</v>
      </c>
      <c r="I13" s="64"/>
      <c r="J13" s="41"/>
    </row>
    <row r="14" spans="1:11">
      <c r="A14" s="6">
        <v>43496</v>
      </c>
      <c r="B14" t="s">
        <v>19</v>
      </c>
      <c r="C14" s="64">
        <v>421225.21</v>
      </c>
      <c r="D14" s="64">
        <v>26886.715531914899</v>
      </c>
      <c r="E14" s="64">
        <v>84365.995531914901</v>
      </c>
      <c r="F14" s="64">
        <v>363745.93</v>
      </c>
      <c r="G14" s="41">
        <f t="shared" si="0"/>
        <v>6.0000000000000005E-2</v>
      </c>
      <c r="H14" s="41">
        <f>F14*(1-G14)</f>
        <v>341921.17419999995</v>
      </c>
      <c r="I14" s="64"/>
      <c r="J14" s="41"/>
    </row>
    <row r="15" spans="1:11" ht="17.399999999999999">
      <c r="A15" s="6">
        <v>43524</v>
      </c>
      <c r="B15" s="62" t="s">
        <v>19</v>
      </c>
      <c r="C15" s="63">
        <v>351188.71</v>
      </c>
      <c r="D15" s="32">
        <v>21071.32</v>
      </c>
      <c r="E15" s="32">
        <v>68260.960000000006</v>
      </c>
      <c r="F15" s="32">
        <v>303999.07</v>
      </c>
      <c r="G15" s="41">
        <f t="shared" si="0"/>
        <v>5.6603766995881877E-2</v>
      </c>
      <c r="H15" s="41">
        <f t="shared" ref="H15:H25" si="1">F15*(1-G15)</f>
        <v>286791.57747475524</v>
      </c>
      <c r="I15" s="64"/>
      <c r="J15" s="41"/>
    </row>
    <row r="16" spans="1:11" ht="17.399999999999999">
      <c r="A16" s="6">
        <v>43555</v>
      </c>
      <c r="B16" s="62" t="s">
        <v>19</v>
      </c>
      <c r="C16" s="63">
        <v>411925.08</v>
      </c>
      <c r="D16" s="32">
        <v>24715.51</v>
      </c>
      <c r="E16" s="32">
        <v>80287.789999999994</v>
      </c>
      <c r="F16" s="32">
        <v>356352.8</v>
      </c>
      <c r="G16" s="41">
        <f t="shared" si="0"/>
        <v>5.6603784819913322E-2</v>
      </c>
      <c r="H16" s="41">
        <f t="shared" si="1"/>
        <v>336181.88278882636</v>
      </c>
      <c r="I16" s="64"/>
      <c r="J16" s="41"/>
    </row>
    <row r="17" spans="1:9" ht="17.399999999999999">
      <c r="A17" s="6">
        <v>43585</v>
      </c>
      <c r="B17" s="62" t="s">
        <v>19</v>
      </c>
      <c r="C17" s="63">
        <v>399229.73</v>
      </c>
      <c r="D17" s="32">
        <v>23953.78</v>
      </c>
      <c r="E17" s="32">
        <v>78831.259999999995</v>
      </c>
      <c r="F17" s="32">
        <v>344352.25</v>
      </c>
      <c r="G17" s="41">
        <f t="shared" si="0"/>
        <v>5.660376511362647E-2</v>
      </c>
      <c r="H17" s="41">
        <f t="shared" si="1"/>
        <v>324860.61612465122</v>
      </c>
    </row>
    <row r="18" spans="1:9" ht="17.399999999999999">
      <c r="A18" s="6">
        <v>43616</v>
      </c>
      <c r="B18" s="62" t="s">
        <v>19</v>
      </c>
      <c r="C18" s="63">
        <v>408455.46</v>
      </c>
      <c r="D18" s="32">
        <v>24507.33</v>
      </c>
      <c r="E18" s="32">
        <v>81477.22</v>
      </c>
      <c r="F18" s="32">
        <v>351485.57</v>
      </c>
      <c r="G18" s="41">
        <f t="shared" si="0"/>
        <v>5.6603778814341067E-2</v>
      </c>
      <c r="H18" s="41">
        <f t="shared" si="1"/>
        <v>331590.1585392874</v>
      </c>
    </row>
    <row r="19" spans="1:9" ht="17.399999999999999">
      <c r="A19" s="6">
        <v>43646</v>
      </c>
      <c r="B19" s="79" t="s">
        <v>19</v>
      </c>
      <c r="C19" s="80">
        <v>398400.87</v>
      </c>
      <c r="D19" s="81">
        <v>23904.05</v>
      </c>
      <c r="E19" s="81">
        <v>78276.929999999993</v>
      </c>
      <c r="F19" s="81">
        <v>344027.99</v>
      </c>
      <c r="G19" s="41">
        <f t="shared" si="0"/>
        <v>5.6603768670277395E-2</v>
      </c>
      <c r="H19" s="41">
        <f t="shared" si="1"/>
        <v>324554.7092379395</v>
      </c>
    </row>
    <row r="20" spans="1:9" ht="17.399999999999999">
      <c r="A20" s="6">
        <v>43677</v>
      </c>
      <c r="B20" s="79" t="s">
        <v>19</v>
      </c>
      <c r="C20" s="80">
        <v>414722.42</v>
      </c>
      <c r="D20" s="81">
        <v>24883.34</v>
      </c>
      <c r="E20" s="81">
        <v>78388.98</v>
      </c>
      <c r="F20" s="81">
        <v>361216.78</v>
      </c>
      <c r="G20" s="41">
        <f t="shared" si="0"/>
        <v>5.6603762425678862E-2</v>
      </c>
      <c r="H20" s="41">
        <f t="shared" si="1"/>
        <v>340770.55120071128</v>
      </c>
    </row>
    <row r="21" spans="1:9" ht="17.399999999999999">
      <c r="A21" s="6">
        <v>43708</v>
      </c>
      <c r="B21" s="79" t="s">
        <v>19</v>
      </c>
      <c r="C21" s="80">
        <v>414400.03</v>
      </c>
      <c r="D21" s="81">
        <v>24864</v>
      </c>
      <c r="E21" s="81">
        <v>77449.460000000006</v>
      </c>
      <c r="F21" s="81">
        <v>361814.57</v>
      </c>
      <c r="G21" s="41">
        <f t="shared" si="0"/>
        <v>5.6603769719091271E-2</v>
      </c>
      <c r="H21" s="41">
        <f t="shared" si="1"/>
        <v>341334.50139870797</v>
      </c>
    </row>
    <row r="22" spans="1:9">
      <c r="A22" s="6">
        <v>43738</v>
      </c>
      <c r="C22" s="64">
        <v>413561.85</v>
      </c>
      <c r="D22" s="64">
        <v>24813.71</v>
      </c>
      <c r="E22" s="64">
        <v>77398.05</v>
      </c>
      <c r="F22" s="64">
        <v>360977.51</v>
      </c>
      <c r="G22" s="41">
        <f t="shared" si="0"/>
        <v>5.6603771432878237E-2</v>
      </c>
      <c r="H22" s="41">
        <f t="shared" si="1"/>
        <v>340544.82153155049</v>
      </c>
    </row>
    <row r="23" spans="1:9">
      <c r="A23" s="6">
        <v>43769</v>
      </c>
      <c r="C23" s="64">
        <v>440862.81</v>
      </c>
      <c r="D23" s="64">
        <v>26451.77</v>
      </c>
      <c r="E23" s="64">
        <v>87948.92</v>
      </c>
      <c r="F23" s="64">
        <v>379365.66000000003</v>
      </c>
      <c r="G23" s="41">
        <f t="shared" si="0"/>
        <v>5.6603776411170391E-2</v>
      </c>
      <c r="H23" s="41">
        <f t="shared" si="1"/>
        <v>357892.13100328395</v>
      </c>
    </row>
    <row r="24" spans="1:9">
      <c r="A24" s="6">
        <v>43799</v>
      </c>
      <c r="C24" s="64">
        <v>396626.98</v>
      </c>
      <c r="D24" s="64">
        <v>23797.62</v>
      </c>
      <c r="E24" s="64">
        <v>66834.86</v>
      </c>
      <c r="F24" s="64">
        <v>353589.74000000005</v>
      </c>
      <c r="G24" s="41">
        <f t="shared" si="0"/>
        <v>5.6603776277601263E-2</v>
      </c>
      <c r="H24" s="41">
        <f t="shared" si="1"/>
        <v>333575.22546298482</v>
      </c>
    </row>
    <row r="25" spans="1:9">
      <c r="A25" s="6">
        <v>43830</v>
      </c>
      <c r="C25" s="64">
        <v>414163.78</v>
      </c>
      <c r="D25" s="64">
        <v>24849.83</v>
      </c>
      <c r="E25" s="64">
        <v>68923.81</v>
      </c>
      <c r="F25" s="64">
        <v>370089.8</v>
      </c>
      <c r="G25" s="41">
        <f t="shared" si="0"/>
        <v>5.6603780461384784E-2</v>
      </c>
      <c r="H25" s="41">
        <f t="shared" si="1"/>
        <v>349141.31820980215</v>
      </c>
      <c r="I25" s="41">
        <f>SUM(H14:H25)</f>
        <v>4009158.6671725004</v>
      </c>
    </row>
    <row r="26" spans="1:9">
      <c r="A26" s="6">
        <v>43830</v>
      </c>
      <c r="C26" s="100">
        <v>1049983.3999999999</v>
      </c>
      <c r="D26" s="100">
        <v>62999</v>
      </c>
      <c r="E26" s="100">
        <v>1112982.3999999999</v>
      </c>
      <c r="F26" s="100"/>
      <c r="G26" s="98" t="s">
        <v>182</v>
      </c>
    </row>
    <row r="27" spans="1:9">
      <c r="A27" s="6">
        <v>43830</v>
      </c>
      <c r="C27" s="100">
        <v>19095.88</v>
      </c>
      <c r="D27" s="100">
        <v>1145.75</v>
      </c>
      <c r="E27" s="100">
        <v>3014.94</v>
      </c>
      <c r="F27" s="100">
        <v>17226.689999999991</v>
      </c>
      <c r="G27" s="98" t="s">
        <v>183</v>
      </c>
    </row>
    <row r="28" spans="1:9">
      <c r="A28" s="6">
        <v>43861</v>
      </c>
      <c r="C28" s="100">
        <v>434162.57</v>
      </c>
      <c r="D28" s="100">
        <v>26049.75</v>
      </c>
      <c r="E28" s="100">
        <v>77945.960000000006</v>
      </c>
      <c r="F28" s="100">
        <v>382266.36</v>
      </c>
    </row>
    <row r="29" spans="1:9">
      <c r="A29" s="6">
        <v>43890</v>
      </c>
      <c r="C29" s="100">
        <v>434567.69</v>
      </c>
      <c r="D29" s="100">
        <v>26074.06</v>
      </c>
      <c r="E29" s="100">
        <v>75072.070000000007</v>
      </c>
      <c r="F29" s="100">
        <v>385569.68000000005</v>
      </c>
    </row>
    <row r="30" spans="1:9">
      <c r="A30" s="6">
        <v>43921</v>
      </c>
      <c r="C30" s="100">
        <v>471784.14</v>
      </c>
      <c r="D30" s="100">
        <v>28307.05</v>
      </c>
      <c r="E30" s="100">
        <v>83352.19</v>
      </c>
      <c r="F30" s="100">
        <v>416739.00000000006</v>
      </c>
    </row>
    <row r="31" spans="1:9">
      <c r="A31" s="6">
        <v>43951</v>
      </c>
      <c r="C31" s="98">
        <v>448405.89</v>
      </c>
      <c r="D31" s="98">
        <v>26904.35</v>
      </c>
      <c r="E31" s="98">
        <v>76307.3</v>
      </c>
      <c r="F31" s="98">
        <v>399002.94</v>
      </c>
    </row>
    <row r="32" spans="1:9">
      <c r="A32" s="6">
        <v>43982</v>
      </c>
      <c r="C32" s="98">
        <v>471417.91</v>
      </c>
      <c r="D32" s="98">
        <v>28285.07</v>
      </c>
      <c r="E32" s="98">
        <v>76503.67</v>
      </c>
      <c r="F32" s="98">
        <v>423199.30999999994</v>
      </c>
    </row>
    <row r="33" spans="1:6">
      <c r="A33" s="6">
        <v>44012</v>
      </c>
      <c r="C33" s="64">
        <v>467252.79</v>
      </c>
      <c r="D33" s="64">
        <v>28035.17</v>
      </c>
      <c r="E33" s="64">
        <v>74254.3</v>
      </c>
      <c r="F33" s="64">
        <v>421033.66</v>
      </c>
    </row>
    <row r="34" spans="1:6">
      <c r="A34" s="108">
        <v>44043</v>
      </c>
      <c r="B34" s="98" t="s">
        <v>19</v>
      </c>
      <c r="C34" s="98">
        <v>467252.79</v>
      </c>
      <c r="D34" s="98">
        <v>28035.17</v>
      </c>
      <c r="E34" s="98">
        <v>74254.3</v>
      </c>
      <c r="F34" s="98">
        <v>421033.66</v>
      </c>
    </row>
    <row r="35" spans="1:6">
      <c r="A35" s="6">
        <v>44074</v>
      </c>
      <c r="C35" s="98">
        <v>497282.08</v>
      </c>
      <c r="D35" s="98">
        <v>29836.92</v>
      </c>
      <c r="E35" s="98">
        <v>122249.68</v>
      </c>
      <c r="F35" s="98">
        <v>404869.32000000007</v>
      </c>
    </row>
    <row r="36" spans="1:6">
      <c r="A36" s="6">
        <v>44104</v>
      </c>
      <c r="C36" s="64">
        <v>495588.49</v>
      </c>
      <c r="D36" s="64">
        <v>29735.31</v>
      </c>
      <c r="E36" s="64">
        <v>96936.4</v>
      </c>
      <c r="F36" s="64">
        <v>428387.39999999997</v>
      </c>
    </row>
    <row r="37" spans="1:6">
      <c r="A37" s="108">
        <v>44135</v>
      </c>
      <c r="B37" s="98">
        <v>4340</v>
      </c>
      <c r="C37" s="98">
        <v>502854.13</v>
      </c>
      <c r="D37" s="98">
        <v>30171.25</v>
      </c>
      <c r="E37" s="98">
        <v>96091.7</v>
      </c>
      <c r="F37" s="98">
        <v>436933.68000000011</v>
      </c>
    </row>
  </sheetData>
  <phoneticPr fontId="1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258"/>
  <sheetViews>
    <sheetView topLeftCell="A223" workbookViewId="0">
      <selection activeCell="D250" sqref="D250:D258"/>
    </sheetView>
  </sheetViews>
  <sheetFormatPr defaultColWidth="9" defaultRowHeight="13.8"/>
  <cols>
    <col min="1" max="1" width="11.21875" customWidth="1"/>
    <col min="2" max="2" width="39.109375" customWidth="1"/>
    <col min="3" max="3" width="12.77734375" customWidth="1"/>
    <col min="4" max="4" width="15.21875" customWidth="1"/>
    <col min="5" max="5" width="25.5546875" customWidth="1"/>
    <col min="7" max="7" width="41.33203125" customWidth="1"/>
    <col min="11" max="11" width="13.88671875" customWidth="1"/>
    <col min="12" max="12" width="29.77734375" customWidth="1"/>
    <col min="15" max="15" width="13.88671875" customWidth="1"/>
    <col min="16" max="16" width="11.21875" customWidth="1"/>
    <col min="17" max="17" width="13.88671875" customWidth="1"/>
    <col min="18" max="18" width="18.44140625" customWidth="1"/>
    <col min="19" max="19" width="10.5546875" customWidth="1"/>
  </cols>
  <sheetData>
    <row r="1" spans="1:20" ht="41.4">
      <c r="A1" t="s">
        <v>0</v>
      </c>
      <c r="B1" s="1" t="s">
        <v>9</v>
      </c>
      <c r="C1" s="2" t="s">
        <v>28</v>
      </c>
      <c r="D1" t="s">
        <v>29</v>
      </c>
      <c r="E1" s="42" t="s">
        <v>30</v>
      </c>
      <c r="G1" s="97" t="s">
        <v>31</v>
      </c>
      <c r="H1" t="s">
        <v>29</v>
      </c>
      <c r="K1" s="97" t="s">
        <v>0</v>
      </c>
      <c r="L1" s="52">
        <v>43496</v>
      </c>
      <c r="O1" t="s">
        <v>32</v>
      </c>
      <c r="P1" t="s">
        <v>0</v>
      </c>
      <c r="Q1" t="s">
        <v>33</v>
      </c>
      <c r="R1" t="s">
        <v>34</v>
      </c>
      <c r="S1" t="s">
        <v>35</v>
      </c>
      <c r="T1" t="s">
        <v>36</v>
      </c>
    </row>
    <row r="2" spans="1:20">
      <c r="A2" s="6">
        <v>43220</v>
      </c>
      <c r="B2" s="43" t="s">
        <v>37</v>
      </c>
      <c r="C2" s="44">
        <v>8999.98</v>
      </c>
      <c r="D2" t="str">
        <f>VLOOKUP(B2,$G:$H,2,0)</f>
        <v>安徽高速</v>
      </c>
      <c r="G2" s="45" t="s">
        <v>37</v>
      </c>
      <c r="H2" t="s">
        <v>38</v>
      </c>
      <c r="P2" s="6">
        <v>43159</v>
      </c>
      <c r="Q2" t="s">
        <v>39</v>
      </c>
      <c r="R2" s="54">
        <f>S2*1.06/0.8</f>
        <v>482141.56974999997</v>
      </c>
      <c r="S2" s="54">
        <v>363880.43</v>
      </c>
      <c r="T2" s="55" t="s">
        <v>40</v>
      </c>
    </row>
    <row r="3" spans="1:20">
      <c r="A3" s="6">
        <v>43220</v>
      </c>
      <c r="B3" s="43" t="s">
        <v>41</v>
      </c>
      <c r="C3" s="44">
        <v>5062.05</v>
      </c>
      <c r="D3" t="str">
        <f t="shared" ref="D3:D66" si="0">VLOOKUP(B3,$G:$H,2,0)</f>
        <v>安徽盐业</v>
      </c>
      <c r="G3" s="45" t="s">
        <v>42</v>
      </c>
      <c r="H3" t="s">
        <v>43</v>
      </c>
      <c r="K3" s="97" t="s">
        <v>31</v>
      </c>
      <c r="L3" t="s">
        <v>44</v>
      </c>
      <c r="P3" s="6">
        <v>43281</v>
      </c>
      <c r="Q3" t="s">
        <v>45</v>
      </c>
      <c r="R3" s="54">
        <f>S3*1.06/0.8</f>
        <v>323816.44524999999</v>
      </c>
      <c r="S3" s="54">
        <v>244389.77</v>
      </c>
    </row>
    <row r="4" spans="1:20">
      <c r="A4" s="6">
        <v>43220</v>
      </c>
      <c r="B4" s="43" t="s">
        <v>42</v>
      </c>
      <c r="C4" s="44">
        <v>1383.42</v>
      </c>
      <c r="D4" t="str">
        <f t="shared" si="0"/>
        <v>徽商集团</v>
      </c>
      <c r="G4" s="45" t="s">
        <v>41</v>
      </c>
      <c r="H4" t="s">
        <v>46</v>
      </c>
      <c r="K4" s="45" t="s">
        <v>38</v>
      </c>
      <c r="L4" s="53">
        <v>11791.18</v>
      </c>
      <c r="P4" s="6">
        <v>43465</v>
      </c>
      <c r="Q4" t="s">
        <v>39</v>
      </c>
      <c r="R4" s="54">
        <v>392466.77</v>
      </c>
      <c r="S4" s="54">
        <f>R4*0.8/1.06</f>
        <v>296201.3358490566</v>
      </c>
    </row>
    <row r="5" spans="1:20">
      <c r="A5" s="6">
        <v>43220</v>
      </c>
      <c r="B5" s="43" t="s">
        <v>47</v>
      </c>
      <c r="C5" s="44">
        <v>9653.4100000000108</v>
      </c>
      <c r="D5" t="str">
        <f t="shared" si="0"/>
        <v>皖北煤电债权</v>
      </c>
      <c r="G5" s="45" t="s">
        <v>48</v>
      </c>
      <c r="H5" t="s">
        <v>49</v>
      </c>
      <c r="K5" s="45" t="s">
        <v>43</v>
      </c>
      <c r="L5" s="53">
        <v>1560.82</v>
      </c>
      <c r="P5" s="6">
        <v>43465</v>
      </c>
      <c r="Q5" t="s">
        <v>50</v>
      </c>
      <c r="R5" s="54">
        <v>219434.26</v>
      </c>
      <c r="S5" s="54">
        <f>R5*0.8/1.06</f>
        <v>165610.76226415095</v>
      </c>
    </row>
    <row r="6" spans="1:20">
      <c r="A6" s="6">
        <v>43220</v>
      </c>
      <c r="B6" s="43" t="s">
        <v>51</v>
      </c>
      <c r="C6" s="44">
        <v>14201.75</v>
      </c>
      <c r="D6" t="str">
        <f t="shared" si="0"/>
        <v>皖北煤电信托</v>
      </c>
      <c r="G6" s="45" t="s">
        <v>51</v>
      </c>
      <c r="H6" t="s">
        <v>52</v>
      </c>
      <c r="K6" s="45" t="s">
        <v>49</v>
      </c>
      <c r="L6" s="53">
        <v>17913.2</v>
      </c>
      <c r="R6" s="54"/>
      <c r="S6" s="54"/>
    </row>
    <row r="7" spans="1:20">
      <c r="A7" s="6">
        <v>43220</v>
      </c>
      <c r="B7" s="43" t="s">
        <v>53</v>
      </c>
      <c r="C7" s="44">
        <v>8048.56</v>
      </c>
      <c r="D7" t="str">
        <f t="shared" si="0"/>
        <v>中铁四局</v>
      </c>
      <c r="G7" s="45" t="s">
        <v>47</v>
      </c>
      <c r="H7" t="s">
        <v>47</v>
      </c>
      <c r="K7" s="45" t="s">
        <v>52</v>
      </c>
      <c r="L7" s="53">
        <v>16025.39</v>
      </c>
      <c r="R7" s="54"/>
      <c r="S7" s="54"/>
    </row>
    <row r="8" spans="1:20">
      <c r="A8" s="6">
        <v>43220</v>
      </c>
      <c r="B8" s="43" t="s">
        <v>48</v>
      </c>
      <c r="C8" s="44">
        <v>15831.36</v>
      </c>
      <c r="D8" t="str">
        <f t="shared" si="0"/>
        <v>徽商银行信托</v>
      </c>
      <c r="G8" s="45" t="s">
        <v>53</v>
      </c>
      <c r="H8" t="s">
        <v>54</v>
      </c>
      <c r="K8" s="45" t="s">
        <v>47</v>
      </c>
      <c r="L8" s="53">
        <v>6463.38</v>
      </c>
      <c r="R8" s="54"/>
      <c r="S8" s="54"/>
    </row>
    <row r="9" spans="1:20">
      <c r="A9" s="6">
        <v>43251</v>
      </c>
      <c r="B9" s="46" t="s">
        <v>37</v>
      </c>
      <c r="C9" s="44">
        <v>9357.61</v>
      </c>
      <c r="D9" t="str">
        <f t="shared" si="0"/>
        <v>安徽高速</v>
      </c>
      <c r="G9" s="45" t="s">
        <v>55</v>
      </c>
      <c r="K9" s="45" t="s">
        <v>54</v>
      </c>
      <c r="L9" s="53">
        <v>7232.97</v>
      </c>
      <c r="R9" s="54"/>
      <c r="S9" s="54"/>
    </row>
    <row r="10" spans="1:20">
      <c r="A10" s="6">
        <v>43251</v>
      </c>
      <c r="B10" s="46" t="s">
        <v>41</v>
      </c>
      <c r="C10" s="44">
        <v>5623.65</v>
      </c>
      <c r="D10" t="str">
        <f t="shared" si="0"/>
        <v>安徽盐业</v>
      </c>
      <c r="G10" s="45" t="s">
        <v>56</v>
      </c>
      <c r="H10" t="s">
        <v>39</v>
      </c>
      <c r="K10" s="45" t="s">
        <v>39</v>
      </c>
      <c r="L10" s="53">
        <v>42454.05</v>
      </c>
      <c r="R10" s="54"/>
      <c r="S10" s="54"/>
    </row>
    <row r="11" spans="1:20">
      <c r="A11" s="6">
        <v>43251</v>
      </c>
      <c r="B11" s="46" t="s">
        <v>42</v>
      </c>
      <c r="C11" s="44">
        <v>1409.3</v>
      </c>
      <c r="D11" t="str">
        <f t="shared" si="0"/>
        <v>徽商集团</v>
      </c>
      <c r="G11" s="45" t="s">
        <v>158</v>
      </c>
      <c r="H11" s="77" t="s">
        <v>159</v>
      </c>
      <c r="K11" s="45" t="s">
        <v>57</v>
      </c>
      <c r="L11" s="53">
        <v>103440.98999999999</v>
      </c>
      <c r="R11" s="54"/>
      <c r="S11" s="54"/>
    </row>
    <row r="12" spans="1:20">
      <c r="A12" s="6">
        <v>43251</v>
      </c>
      <c r="B12" s="46" t="s">
        <v>47</v>
      </c>
      <c r="C12" s="44">
        <v>10166.14</v>
      </c>
      <c r="D12" t="str">
        <f t="shared" si="0"/>
        <v>皖北煤电债权</v>
      </c>
      <c r="G12" s="45" t="s">
        <v>18</v>
      </c>
      <c r="H12" s="77" t="s">
        <v>245</v>
      </c>
      <c r="R12" s="54"/>
      <c r="S12" s="54"/>
    </row>
    <row r="13" spans="1:20">
      <c r="A13" s="6">
        <v>43251</v>
      </c>
      <c r="B13" s="46" t="s">
        <v>51</v>
      </c>
      <c r="C13" s="44">
        <v>14705.26</v>
      </c>
      <c r="D13" t="str">
        <f t="shared" si="0"/>
        <v>皖北煤电信托</v>
      </c>
      <c r="G13" s="45" t="s">
        <v>184</v>
      </c>
      <c r="H13" s="77" t="s">
        <v>246</v>
      </c>
      <c r="R13" s="54"/>
      <c r="S13" s="54"/>
    </row>
    <row r="14" spans="1:20">
      <c r="A14" s="6">
        <v>43251</v>
      </c>
      <c r="B14" s="47" t="s">
        <v>53</v>
      </c>
      <c r="C14" s="44">
        <v>8454.93</v>
      </c>
      <c r="D14" t="str">
        <f t="shared" si="0"/>
        <v>中铁四局</v>
      </c>
      <c r="G14" s="45" t="s">
        <v>126</v>
      </c>
      <c r="H14" s="77" t="s">
        <v>247</v>
      </c>
    </row>
    <row r="15" spans="1:20">
      <c r="A15" s="6">
        <v>43251</v>
      </c>
      <c r="B15" s="48" t="s">
        <v>48</v>
      </c>
      <c r="C15" s="44">
        <v>16368.67</v>
      </c>
      <c r="D15" t="str">
        <f t="shared" si="0"/>
        <v>徽商银行信托</v>
      </c>
      <c r="G15" s="45" t="s">
        <v>244</v>
      </c>
      <c r="H15" s="77" t="s">
        <v>495</v>
      </c>
    </row>
    <row r="16" spans="1:20">
      <c r="A16" s="6">
        <v>43281</v>
      </c>
      <c r="B16" s="49" t="s">
        <v>37</v>
      </c>
      <c r="C16" s="50">
        <v>9069.42</v>
      </c>
      <c r="D16" t="str">
        <f t="shared" si="0"/>
        <v>安徽高速</v>
      </c>
      <c r="G16" s="45" t="s">
        <v>57</v>
      </c>
    </row>
    <row r="17" spans="1:8">
      <c r="A17" s="6">
        <v>43281</v>
      </c>
      <c r="B17" s="49" t="s">
        <v>41</v>
      </c>
      <c r="C17" s="50">
        <v>5635.68</v>
      </c>
      <c r="D17" t="str">
        <f t="shared" si="0"/>
        <v>安徽盐业</v>
      </c>
    </row>
    <row r="18" spans="1:8">
      <c r="A18" s="6">
        <v>43281</v>
      </c>
      <c r="B18" s="49" t="s">
        <v>42</v>
      </c>
      <c r="C18" s="50">
        <v>1366.24</v>
      </c>
      <c r="D18" t="str">
        <f t="shared" si="0"/>
        <v>徽商集团</v>
      </c>
    </row>
    <row r="19" spans="1:8">
      <c r="A19" s="6">
        <v>43281</v>
      </c>
      <c r="B19" s="49" t="s">
        <v>47</v>
      </c>
      <c r="C19" s="50">
        <v>9817.51</v>
      </c>
      <c r="D19" t="str">
        <f t="shared" si="0"/>
        <v>皖北煤电债权</v>
      </c>
      <c r="G19" t="s">
        <v>18</v>
      </c>
      <c r="H19" s="77" t="s">
        <v>185</v>
      </c>
    </row>
    <row r="20" spans="1:8">
      <c r="A20" s="6">
        <v>43281</v>
      </c>
      <c r="B20" s="49" t="s">
        <v>51</v>
      </c>
      <c r="C20" s="50">
        <v>14290.98</v>
      </c>
      <c r="D20" t="str">
        <f t="shared" si="0"/>
        <v>皖北煤电信托</v>
      </c>
      <c r="G20" t="s">
        <v>184</v>
      </c>
      <c r="H20" s="77" t="s">
        <v>186</v>
      </c>
    </row>
    <row r="21" spans="1:8">
      <c r="A21" s="6">
        <v>43281</v>
      </c>
      <c r="B21" s="49" t="s">
        <v>53</v>
      </c>
      <c r="C21" s="50">
        <v>7445.88</v>
      </c>
      <c r="D21" t="str">
        <f t="shared" si="0"/>
        <v>中铁四局</v>
      </c>
      <c r="G21" t="s">
        <v>126</v>
      </c>
      <c r="H21" s="77" t="s">
        <v>187</v>
      </c>
    </row>
    <row r="22" spans="1:8">
      <c r="A22" s="6">
        <v>43281</v>
      </c>
      <c r="B22" s="49" t="s">
        <v>48</v>
      </c>
      <c r="C22" s="50">
        <v>15914.21</v>
      </c>
      <c r="D22" t="str">
        <f t="shared" si="0"/>
        <v>徽商银行信托</v>
      </c>
    </row>
    <row r="23" spans="1:8">
      <c r="A23" s="6">
        <v>43312</v>
      </c>
      <c r="B23" s="49" t="s">
        <v>37</v>
      </c>
      <c r="C23" s="4">
        <v>9374.7800000000097</v>
      </c>
      <c r="D23" t="str">
        <f t="shared" si="0"/>
        <v>安徽高速</v>
      </c>
    </row>
    <row r="24" spans="1:8">
      <c r="A24" s="6">
        <v>43312</v>
      </c>
      <c r="B24" s="49" t="s">
        <v>41</v>
      </c>
      <c r="C24" s="4">
        <v>5718.0099999999902</v>
      </c>
      <c r="D24" t="str">
        <f t="shared" si="0"/>
        <v>安徽盐业</v>
      </c>
    </row>
    <row r="25" spans="1:8">
      <c r="A25" s="6">
        <v>43312</v>
      </c>
      <c r="B25" s="49" t="s">
        <v>42</v>
      </c>
      <c r="C25" s="4">
        <v>1410.66</v>
      </c>
      <c r="D25" t="str">
        <f t="shared" si="0"/>
        <v>徽商集团</v>
      </c>
    </row>
    <row r="26" spans="1:8">
      <c r="A26" s="6">
        <v>43312</v>
      </c>
      <c r="B26" s="49" t="s">
        <v>47</v>
      </c>
      <c r="C26" s="4">
        <v>10218.24</v>
      </c>
      <c r="D26" t="str">
        <f t="shared" si="0"/>
        <v>皖北煤电债权</v>
      </c>
    </row>
    <row r="27" spans="1:8">
      <c r="A27" s="6">
        <v>43312</v>
      </c>
      <c r="B27" s="49" t="s">
        <v>51</v>
      </c>
      <c r="C27" s="4">
        <v>14817.97</v>
      </c>
      <c r="D27" t="str">
        <f t="shared" si="0"/>
        <v>皖北煤电信托</v>
      </c>
    </row>
    <row r="28" spans="1:8">
      <c r="A28" s="6">
        <v>43312</v>
      </c>
      <c r="B28" s="49" t="s">
        <v>53</v>
      </c>
      <c r="C28" s="4">
        <v>7146.95</v>
      </c>
      <c r="D28" t="str">
        <f t="shared" si="0"/>
        <v>中铁四局</v>
      </c>
    </row>
    <row r="29" spans="1:8">
      <c r="A29" s="6">
        <v>43312</v>
      </c>
      <c r="B29" s="49" t="s">
        <v>48</v>
      </c>
      <c r="C29" s="4">
        <v>16489.080000000002</v>
      </c>
      <c r="D29" t="str">
        <f t="shared" si="0"/>
        <v>徽商银行信托</v>
      </c>
    </row>
    <row r="30" spans="1:8">
      <c r="A30" s="6">
        <v>43343</v>
      </c>
      <c r="B30" s="46" t="s">
        <v>37</v>
      </c>
      <c r="C30" s="44">
        <v>9474.4</v>
      </c>
      <c r="D30" t="str">
        <f t="shared" si="0"/>
        <v>安徽高速</v>
      </c>
    </row>
    <row r="31" spans="1:8">
      <c r="A31" s="6">
        <v>43343</v>
      </c>
      <c r="B31" s="46" t="s">
        <v>41</v>
      </c>
      <c r="C31" s="44">
        <v>4538.63</v>
      </c>
      <c r="D31" t="str">
        <f t="shared" si="0"/>
        <v>安徽盐业</v>
      </c>
    </row>
    <row r="32" spans="1:8">
      <c r="A32" s="6">
        <v>43343</v>
      </c>
      <c r="B32" s="46" t="s">
        <v>42</v>
      </c>
      <c r="C32" s="44">
        <v>1432.45</v>
      </c>
      <c r="D32" t="str">
        <f t="shared" si="0"/>
        <v>徽商集团</v>
      </c>
    </row>
    <row r="33" spans="1:4">
      <c r="A33" s="6">
        <v>43343</v>
      </c>
      <c r="B33" s="46" t="s">
        <v>47</v>
      </c>
      <c r="C33" s="44">
        <v>10252.36</v>
      </c>
      <c r="D33" t="str">
        <f t="shared" si="0"/>
        <v>皖北煤电债权</v>
      </c>
    </row>
    <row r="34" spans="1:4">
      <c r="A34" s="6">
        <v>43343</v>
      </c>
      <c r="B34" s="46" t="s">
        <v>51</v>
      </c>
      <c r="C34" s="44">
        <v>14902.85</v>
      </c>
      <c r="D34" t="str">
        <f t="shared" si="0"/>
        <v>皖北煤电信托</v>
      </c>
    </row>
    <row r="35" spans="1:4">
      <c r="A35" s="6">
        <v>43343</v>
      </c>
      <c r="B35" s="46" t="s">
        <v>53</v>
      </c>
      <c r="C35" s="44">
        <v>7233.55</v>
      </c>
      <c r="D35" t="str">
        <f t="shared" si="0"/>
        <v>中铁四局</v>
      </c>
    </row>
    <row r="36" spans="1:4">
      <c r="A36" s="6">
        <v>43343</v>
      </c>
      <c r="B36" s="46" t="s">
        <v>48</v>
      </c>
      <c r="C36" s="44">
        <v>16603.87</v>
      </c>
      <c r="D36" t="str">
        <f t="shared" si="0"/>
        <v>徽商银行信托</v>
      </c>
    </row>
    <row r="37" spans="1:4">
      <c r="A37" s="6">
        <v>43373</v>
      </c>
      <c r="B37" s="46" t="s">
        <v>37</v>
      </c>
      <c r="C37" s="51">
        <v>10575.88</v>
      </c>
      <c r="D37" t="str">
        <f t="shared" si="0"/>
        <v>安徽高速</v>
      </c>
    </row>
    <row r="38" spans="1:4">
      <c r="A38" s="6">
        <v>43373</v>
      </c>
      <c r="B38" s="46" t="s">
        <v>42</v>
      </c>
      <c r="C38" s="51">
        <v>1388.81</v>
      </c>
      <c r="D38" t="str">
        <f t="shared" si="0"/>
        <v>徽商集团</v>
      </c>
    </row>
    <row r="39" spans="1:4">
      <c r="A39" s="6">
        <v>43373</v>
      </c>
      <c r="B39" s="46" t="s">
        <v>47</v>
      </c>
      <c r="C39" s="51">
        <v>9958.99</v>
      </c>
      <c r="D39" t="str">
        <f t="shared" si="0"/>
        <v>皖北煤电债权</v>
      </c>
    </row>
    <row r="40" spans="1:4">
      <c r="A40" s="6">
        <v>43373</v>
      </c>
      <c r="B40" s="46" t="s">
        <v>51</v>
      </c>
      <c r="C40" s="51">
        <v>14505.48</v>
      </c>
      <c r="D40" t="str">
        <f t="shared" si="0"/>
        <v>皖北煤电信托</v>
      </c>
    </row>
    <row r="41" spans="1:4">
      <c r="A41" s="6">
        <v>43373</v>
      </c>
      <c r="B41" s="46" t="s">
        <v>53</v>
      </c>
      <c r="C41" s="51">
        <v>6401.33</v>
      </c>
      <c r="D41" t="str">
        <f t="shared" si="0"/>
        <v>中铁四局</v>
      </c>
    </row>
    <row r="42" spans="1:4">
      <c r="A42" s="6">
        <v>43373</v>
      </c>
      <c r="B42" s="46" t="s">
        <v>48</v>
      </c>
      <c r="C42" s="51">
        <v>16179.92</v>
      </c>
      <c r="D42" t="str">
        <f t="shared" si="0"/>
        <v>徽商银行信托</v>
      </c>
    </row>
    <row r="43" spans="1:4">
      <c r="A43" s="6">
        <v>43373</v>
      </c>
      <c r="B43" s="46" t="s">
        <v>41</v>
      </c>
      <c r="C43" s="51">
        <v>-2029.9</v>
      </c>
      <c r="D43" t="str">
        <f t="shared" si="0"/>
        <v>安徽盐业</v>
      </c>
    </row>
    <row r="44" spans="1:4">
      <c r="A44" s="6">
        <v>43404</v>
      </c>
      <c r="B44" s="49" t="s">
        <v>37</v>
      </c>
      <c r="C44" s="51">
        <v>10702.33</v>
      </c>
      <c r="D44" t="str">
        <f t="shared" si="0"/>
        <v>安徽高速</v>
      </c>
    </row>
    <row r="45" spans="1:4">
      <c r="A45" s="6">
        <v>43404</v>
      </c>
      <c r="B45" s="49" t="s">
        <v>42</v>
      </c>
      <c r="C45" s="51">
        <v>1436.92</v>
      </c>
      <c r="D45" t="str">
        <f t="shared" si="0"/>
        <v>徽商集团</v>
      </c>
    </row>
    <row r="46" spans="1:4">
      <c r="A46" s="6">
        <v>43404</v>
      </c>
      <c r="B46" s="49" t="s">
        <v>47</v>
      </c>
      <c r="C46" s="51">
        <v>10382.379999999999</v>
      </c>
      <c r="D46" t="str">
        <f t="shared" si="0"/>
        <v>皖北煤电债权</v>
      </c>
    </row>
    <row r="47" spans="1:4">
      <c r="A47" s="6">
        <v>43404</v>
      </c>
      <c r="B47" s="49" t="s">
        <v>51</v>
      </c>
      <c r="C47" s="51">
        <v>15012.25</v>
      </c>
      <c r="D47" t="str">
        <f t="shared" si="0"/>
        <v>皖北煤电信托</v>
      </c>
    </row>
    <row r="48" spans="1:4">
      <c r="A48" s="6">
        <v>43404</v>
      </c>
      <c r="B48" s="49" t="s">
        <v>53</v>
      </c>
      <c r="C48" s="51">
        <v>5817.6</v>
      </c>
      <c r="D48" t="str">
        <f t="shared" si="0"/>
        <v>中铁四局</v>
      </c>
    </row>
    <row r="49" spans="1:4">
      <c r="A49" s="6">
        <v>43404</v>
      </c>
      <c r="B49" s="49" t="s">
        <v>48</v>
      </c>
      <c r="C49" s="51">
        <v>16732.22</v>
      </c>
      <c r="D49" t="str">
        <f t="shared" si="0"/>
        <v>徽商银行信托</v>
      </c>
    </row>
    <row r="50" spans="1:4">
      <c r="A50" s="6">
        <v>43131</v>
      </c>
      <c r="B50" s="46" t="s">
        <v>37</v>
      </c>
      <c r="C50" s="44">
        <v>9302.56</v>
      </c>
      <c r="D50" t="str">
        <f t="shared" si="0"/>
        <v>安徽高速</v>
      </c>
    </row>
    <row r="51" spans="1:4">
      <c r="A51" s="6">
        <v>43131</v>
      </c>
      <c r="B51" s="46" t="s">
        <v>41</v>
      </c>
      <c r="C51" s="44">
        <v>7072.96</v>
      </c>
      <c r="D51" t="str">
        <f t="shared" si="0"/>
        <v>安徽盐业</v>
      </c>
    </row>
    <row r="52" spans="1:4">
      <c r="A52" s="6">
        <v>43131</v>
      </c>
      <c r="B52" s="46" t="s">
        <v>42</v>
      </c>
      <c r="C52" s="44">
        <v>1430.52</v>
      </c>
      <c r="D52" t="str">
        <f t="shared" si="0"/>
        <v>徽商集团</v>
      </c>
    </row>
    <row r="53" spans="1:4">
      <c r="A53" s="6">
        <v>43131</v>
      </c>
      <c r="B53" s="46" t="s">
        <v>47</v>
      </c>
      <c r="C53" s="44">
        <v>12816.44</v>
      </c>
      <c r="D53" t="str">
        <f t="shared" si="0"/>
        <v>皖北煤电债权</v>
      </c>
    </row>
    <row r="54" spans="1:4">
      <c r="A54" s="6">
        <v>43131</v>
      </c>
      <c r="B54" s="46" t="s">
        <v>51</v>
      </c>
      <c r="C54" s="44">
        <v>14114.68</v>
      </c>
      <c r="D54" t="str">
        <f t="shared" si="0"/>
        <v>皖北煤电信托</v>
      </c>
    </row>
    <row r="55" spans="1:4">
      <c r="A55" s="6">
        <v>43131</v>
      </c>
      <c r="B55" s="47" t="s">
        <v>53</v>
      </c>
      <c r="C55" s="44">
        <v>10964.62</v>
      </c>
      <c r="D55" t="str">
        <f t="shared" si="0"/>
        <v>中铁四局</v>
      </c>
    </row>
    <row r="56" spans="1:4">
      <c r="A56" s="6">
        <v>43131</v>
      </c>
      <c r="B56" s="48" t="s">
        <v>48</v>
      </c>
      <c r="C56" s="44">
        <v>12968.26</v>
      </c>
      <c r="D56" t="str">
        <f t="shared" si="0"/>
        <v>徽商银行信托</v>
      </c>
    </row>
    <row r="57" spans="1:4">
      <c r="A57" s="6">
        <v>43159</v>
      </c>
      <c r="B57" s="43" t="s">
        <v>37</v>
      </c>
      <c r="C57" s="44">
        <v>8375.92</v>
      </c>
      <c r="D57" t="str">
        <f t="shared" si="0"/>
        <v>安徽高速</v>
      </c>
    </row>
    <row r="58" spans="1:4">
      <c r="A58" s="6">
        <v>43159</v>
      </c>
      <c r="B58" s="43" t="s">
        <v>41</v>
      </c>
      <c r="C58" s="44">
        <v>5648.26</v>
      </c>
      <c r="D58" t="str">
        <f t="shared" si="0"/>
        <v>安徽盐业</v>
      </c>
    </row>
    <row r="59" spans="1:4">
      <c r="A59" s="6">
        <v>43159</v>
      </c>
      <c r="B59" s="43" t="s">
        <v>42</v>
      </c>
      <c r="C59" s="44">
        <v>1297.44</v>
      </c>
      <c r="D59" t="str">
        <f t="shared" si="0"/>
        <v>徽商集团</v>
      </c>
    </row>
    <row r="60" spans="1:4">
      <c r="A60" s="6">
        <v>43159</v>
      </c>
      <c r="B60" s="43" t="s">
        <v>47</v>
      </c>
      <c r="C60" s="44">
        <v>10700.88</v>
      </c>
      <c r="D60" t="str">
        <f t="shared" si="0"/>
        <v>皖北煤电债权</v>
      </c>
    </row>
    <row r="61" spans="1:4">
      <c r="A61" s="6">
        <v>43159</v>
      </c>
      <c r="B61" s="43" t="s">
        <v>51</v>
      </c>
      <c r="C61" s="44">
        <v>12156.52</v>
      </c>
      <c r="D61" t="str">
        <f t="shared" si="0"/>
        <v>皖北煤电信托</v>
      </c>
    </row>
    <row r="62" spans="1:4">
      <c r="A62" s="6">
        <v>43159</v>
      </c>
      <c r="B62" s="43" t="s">
        <v>53</v>
      </c>
      <c r="C62" s="44">
        <v>9545.4500000000007</v>
      </c>
      <c r="D62" t="str">
        <f t="shared" si="0"/>
        <v>中铁四局</v>
      </c>
    </row>
    <row r="63" spans="1:4">
      <c r="A63" s="6">
        <v>43159</v>
      </c>
      <c r="B63" s="43" t="s">
        <v>48</v>
      </c>
      <c r="C63" s="44">
        <v>14588.66</v>
      </c>
      <c r="D63" t="str">
        <f t="shared" si="0"/>
        <v>徽商银行信托</v>
      </c>
    </row>
    <row r="64" spans="1:4">
      <c r="A64" s="6">
        <v>43190</v>
      </c>
      <c r="B64" s="43" t="s">
        <v>37</v>
      </c>
      <c r="C64" s="44">
        <v>9285.85</v>
      </c>
      <c r="D64" t="str">
        <f t="shared" si="0"/>
        <v>安徽高速</v>
      </c>
    </row>
    <row r="65" spans="1:4">
      <c r="A65" s="6">
        <v>43190</v>
      </c>
      <c r="B65" s="43" t="s">
        <v>41</v>
      </c>
      <c r="C65" s="44">
        <v>5543.16</v>
      </c>
      <c r="D65" t="str">
        <f t="shared" si="0"/>
        <v>安徽盐业</v>
      </c>
    </row>
    <row r="66" spans="1:4">
      <c r="A66" s="6">
        <v>43190</v>
      </c>
      <c r="B66" s="43" t="s">
        <v>42</v>
      </c>
      <c r="C66" s="44">
        <v>1442.24</v>
      </c>
      <c r="D66" t="str">
        <f t="shared" si="0"/>
        <v>徽商集团</v>
      </c>
    </row>
    <row r="67" spans="1:4">
      <c r="A67" s="6">
        <v>43190</v>
      </c>
      <c r="B67" s="43" t="s">
        <v>47</v>
      </c>
      <c r="C67" s="44">
        <v>10349.06</v>
      </c>
      <c r="D67" t="str">
        <f t="shared" ref="D67:D131" si="1">VLOOKUP(B67,$G:$H,2,0)</f>
        <v>皖北煤电债权</v>
      </c>
    </row>
    <row r="68" spans="1:4">
      <c r="A68" s="6">
        <v>43190</v>
      </c>
      <c r="B68" s="43" t="s">
        <v>51</v>
      </c>
      <c r="C68" s="44">
        <v>14277.12</v>
      </c>
      <c r="D68" t="str">
        <f t="shared" si="1"/>
        <v>皖北煤电信托</v>
      </c>
    </row>
    <row r="69" spans="1:4">
      <c r="A69" s="6">
        <v>43190</v>
      </c>
      <c r="B69" s="43" t="s">
        <v>53</v>
      </c>
      <c r="C69" s="44">
        <v>9636.81</v>
      </c>
      <c r="D69" t="str">
        <f t="shared" si="1"/>
        <v>中铁四局</v>
      </c>
    </row>
    <row r="70" spans="1:4">
      <c r="A70" s="6">
        <v>43190</v>
      </c>
      <c r="B70" s="43" t="s">
        <v>48</v>
      </c>
      <c r="C70" s="44">
        <v>16037.76</v>
      </c>
      <c r="D70" t="str">
        <f t="shared" si="1"/>
        <v>徽商银行信托</v>
      </c>
    </row>
    <row r="71" spans="1:4">
      <c r="A71" s="6">
        <v>43434</v>
      </c>
      <c r="B71" s="49" t="s">
        <v>37</v>
      </c>
      <c r="C71" s="4">
        <v>10603.3</v>
      </c>
      <c r="D71" t="str">
        <f t="shared" si="1"/>
        <v>安徽高速</v>
      </c>
    </row>
    <row r="72" spans="1:4">
      <c r="A72" s="6">
        <v>43434</v>
      </c>
      <c r="B72" s="49" t="s">
        <v>42</v>
      </c>
      <c r="C72" s="4">
        <v>1416.87</v>
      </c>
      <c r="D72" t="str">
        <f t="shared" si="1"/>
        <v>徽商集团</v>
      </c>
    </row>
    <row r="73" spans="1:4">
      <c r="A73" s="6">
        <v>43434</v>
      </c>
      <c r="B73" s="49" t="s">
        <v>47</v>
      </c>
      <c r="C73" s="4">
        <v>9444.8499999999894</v>
      </c>
      <c r="D73" t="str">
        <f t="shared" si="1"/>
        <v>皖北煤电债权</v>
      </c>
    </row>
    <row r="74" spans="1:4">
      <c r="A74" s="6">
        <v>43434</v>
      </c>
      <c r="B74" s="49" t="s">
        <v>51</v>
      </c>
      <c r="C74" s="4">
        <v>14660.74</v>
      </c>
      <c r="D74" t="str">
        <f t="shared" si="1"/>
        <v>皖北煤电信托</v>
      </c>
    </row>
    <row r="75" spans="1:4">
      <c r="A75" s="6">
        <v>43434</v>
      </c>
      <c r="B75" s="49" t="s">
        <v>53</v>
      </c>
      <c r="C75" s="4">
        <v>5239.4800000000096</v>
      </c>
      <c r="D75" t="str">
        <f t="shared" si="1"/>
        <v>中铁四局</v>
      </c>
    </row>
    <row r="76" spans="1:4">
      <c r="A76" s="6">
        <v>43434</v>
      </c>
      <c r="B76" s="49" t="s">
        <v>48</v>
      </c>
      <c r="C76" s="4">
        <v>16375.03</v>
      </c>
      <c r="D76" t="str">
        <f t="shared" si="1"/>
        <v>徽商银行信托</v>
      </c>
    </row>
    <row r="77" spans="1:4">
      <c r="A77" s="6">
        <v>43465</v>
      </c>
      <c r="B77" s="56" t="s">
        <v>37</v>
      </c>
      <c r="C77" s="4">
        <v>10848.09</v>
      </c>
      <c r="D77" t="str">
        <f t="shared" si="1"/>
        <v>安徽高速</v>
      </c>
    </row>
    <row r="78" spans="1:4">
      <c r="A78" s="6">
        <v>43465</v>
      </c>
      <c r="B78" s="56" t="s">
        <v>42</v>
      </c>
      <c r="C78" s="4">
        <v>1488.54</v>
      </c>
      <c r="D78" t="str">
        <f t="shared" si="1"/>
        <v>徽商集团</v>
      </c>
    </row>
    <row r="79" spans="1:4">
      <c r="A79" s="6">
        <v>43465</v>
      </c>
      <c r="B79" s="56" t="s">
        <v>47</v>
      </c>
      <c r="C79" s="4">
        <v>7795.42</v>
      </c>
      <c r="D79" t="str">
        <f t="shared" si="1"/>
        <v>皖北煤电债权</v>
      </c>
    </row>
    <row r="80" spans="1:4">
      <c r="A80" s="6">
        <v>43465</v>
      </c>
      <c r="B80" s="56" t="s">
        <v>51</v>
      </c>
      <c r="C80" s="4">
        <v>15172.49</v>
      </c>
      <c r="D80" t="str">
        <f t="shared" si="1"/>
        <v>皖北煤电信托</v>
      </c>
    </row>
    <row r="81" spans="1:5">
      <c r="A81" s="6">
        <v>43465</v>
      </c>
      <c r="B81" s="57" t="s">
        <v>53</v>
      </c>
      <c r="C81" s="4">
        <v>6146.75</v>
      </c>
      <c r="D81" t="str">
        <f t="shared" si="1"/>
        <v>中铁四局</v>
      </c>
    </row>
    <row r="82" spans="1:5">
      <c r="A82" s="6">
        <v>43465</v>
      </c>
      <c r="B82" s="58" t="s">
        <v>48</v>
      </c>
      <c r="C82" s="4">
        <v>16941.5</v>
      </c>
      <c r="D82" t="str">
        <f t="shared" si="1"/>
        <v>徽商银行信托</v>
      </c>
    </row>
    <row r="83" spans="1:5">
      <c r="A83" s="6">
        <v>43465</v>
      </c>
      <c r="B83" s="59" t="s">
        <v>37</v>
      </c>
      <c r="C83" s="4">
        <v>367.15000000000902</v>
      </c>
      <c r="D83" t="str">
        <f t="shared" si="1"/>
        <v>安徽高速</v>
      </c>
      <c r="E83" t="s">
        <v>58</v>
      </c>
    </row>
    <row r="84" spans="1:5">
      <c r="A84" s="6">
        <v>43465</v>
      </c>
      <c r="B84" s="59" t="s">
        <v>42</v>
      </c>
      <c r="C84" s="4">
        <v>17.090000000000099</v>
      </c>
      <c r="D84" t="str">
        <f t="shared" si="1"/>
        <v>徽商集团</v>
      </c>
      <c r="E84" t="s">
        <v>58</v>
      </c>
    </row>
    <row r="85" spans="1:5">
      <c r="A85" s="6">
        <v>43465</v>
      </c>
      <c r="B85" s="59" t="s">
        <v>47</v>
      </c>
      <c r="C85" s="4">
        <v>-985.79999999998802</v>
      </c>
      <c r="D85" t="str">
        <f t="shared" si="1"/>
        <v>皖北煤电债权</v>
      </c>
      <c r="E85" t="s">
        <v>58</v>
      </c>
    </row>
    <row r="86" spans="1:5">
      <c r="A86" s="6">
        <v>43465</v>
      </c>
      <c r="B86" s="59" t="s">
        <v>51</v>
      </c>
      <c r="C86" s="4">
        <v>193.82000000000701</v>
      </c>
      <c r="D86" t="str">
        <f t="shared" si="1"/>
        <v>皖北煤电信托</v>
      </c>
      <c r="E86" t="s">
        <v>58</v>
      </c>
    </row>
    <row r="87" spans="1:5">
      <c r="A87" s="6">
        <v>43465</v>
      </c>
      <c r="B87" s="59" t="s">
        <v>53</v>
      </c>
      <c r="C87" s="4">
        <v>-630.25</v>
      </c>
      <c r="D87" t="str">
        <f t="shared" si="1"/>
        <v>中铁四局</v>
      </c>
      <c r="E87" t="s">
        <v>58</v>
      </c>
    </row>
    <row r="88" spans="1:5">
      <c r="A88" s="6">
        <v>43465</v>
      </c>
      <c r="B88" s="59" t="s">
        <v>48</v>
      </c>
      <c r="C88" s="4">
        <v>277.66999999998399</v>
      </c>
      <c r="D88" t="str">
        <f t="shared" si="1"/>
        <v>徽商银行信托</v>
      </c>
      <c r="E88" t="s">
        <v>58</v>
      </c>
    </row>
    <row r="89" spans="1:5">
      <c r="A89" s="6">
        <v>43496</v>
      </c>
      <c r="B89" s="49" t="s">
        <v>37</v>
      </c>
      <c r="C89" s="44">
        <v>11791.18</v>
      </c>
      <c r="D89" t="str">
        <f t="shared" si="1"/>
        <v>安徽高速</v>
      </c>
    </row>
    <row r="90" spans="1:5">
      <c r="A90" s="6">
        <v>43496</v>
      </c>
      <c r="B90" s="49" t="s">
        <v>56</v>
      </c>
      <c r="C90" s="44">
        <v>42454.05</v>
      </c>
      <c r="D90" t="str">
        <f t="shared" si="1"/>
        <v>烟草肥外</v>
      </c>
    </row>
    <row r="91" spans="1:5">
      <c r="A91" s="6">
        <v>43496</v>
      </c>
      <c r="B91" s="49" t="s">
        <v>42</v>
      </c>
      <c r="C91" s="44">
        <v>1560.82</v>
      </c>
      <c r="D91" t="str">
        <f t="shared" si="1"/>
        <v>徽商集团</v>
      </c>
    </row>
    <row r="92" spans="1:5">
      <c r="A92" s="6">
        <v>43496</v>
      </c>
      <c r="B92" s="49" t="s">
        <v>47</v>
      </c>
      <c r="C92" s="44">
        <v>6463.38</v>
      </c>
      <c r="D92" t="str">
        <f t="shared" si="1"/>
        <v>皖北煤电债权</v>
      </c>
    </row>
    <row r="93" spans="1:5">
      <c r="A93" s="6">
        <v>43496</v>
      </c>
      <c r="B93" s="49" t="s">
        <v>51</v>
      </c>
      <c r="C93" s="44">
        <v>16025.39</v>
      </c>
      <c r="D93" t="str">
        <f t="shared" si="1"/>
        <v>皖北煤电信托</v>
      </c>
    </row>
    <row r="94" spans="1:5">
      <c r="A94" s="6">
        <v>43496</v>
      </c>
      <c r="B94" s="49" t="s">
        <v>53</v>
      </c>
      <c r="C94" s="44">
        <v>7232.97</v>
      </c>
      <c r="D94" t="str">
        <f t="shared" si="1"/>
        <v>中铁四局</v>
      </c>
    </row>
    <row r="95" spans="1:5">
      <c r="A95" s="6">
        <v>43496</v>
      </c>
      <c r="B95" s="49" t="s">
        <v>48</v>
      </c>
      <c r="C95" s="44">
        <v>17913.2</v>
      </c>
      <c r="D95" t="str">
        <f t="shared" si="1"/>
        <v>徽商银行信托</v>
      </c>
      <c r="E95" s="41">
        <f>SUM(C89:C95)</f>
        <v>103440.99</v>
      </c>
    </row>
    <row r="96" spans="1:5" ht="17.399999999999999">
      <c r="A96" s="6">
        <v>43524</v>
      </c>
      <c r="B96" s="30" t="s">
        <v>37</v>
      </c>
      <c r="C96" s="32">
        <v>10723.79</v>
      </c>
      <c r="D96" t="str">
        <f t="shared" si="1"/>
        <v>安徽高速</v>
      </c>
      <c r="E96" s="41">
        <f>E95*0.94</f>
        <v>97234.530599999998</v>
      </c>
    </row>
    <row r="97" spans="1:5" ht="17.399999999999999">
      <c r="A97" s="6">
        <v>43524</v>
      </c>
      <c r="B97" s="30" t="s">
        <v>56</v>
      </c>
      <c r="C97" s="32">
        <v>35412.78</v>
      </c>
      <c r="D97" t="str">
        <f t="shared" si="1"/>
        <v>烟草肥外</v>
      </c>
      <c r="E97">
        <v>84366</v>
      </c>
    </row>
    <row r="98" spans="1:5" ht="17.399999999999999">
      <c r="A98" s="6">
        <v>43524</v>
      </c>
      <c r="B98" s="30" t="s">
        <v>42</v>
      </c>
      <c r="C98" s="32">
        <v>1278.8</v>
      </c>
      <c r="D98" t="str">
        <f t="shared" si="1"/>
        <v>徽商集团</v>
      </c>
    </row>
    <row r="99" spans="1:5" ht="17.399999999999999">
      <c r="A99" s="6">
        <v>43524</v>
      </c>
      <c r="B99" s="30" t="s">
        <v>47</v>
      </c>
      <c r="C99" s="32">
        <v>3700.31</v>
      </c>
      <c r="D99" t="str">
        <f t="shared" si="1"/>
        <v>皖北煤电债权</v>
      </c>
      <c r="E99" s="41"/>
    </row>
    <row r="100" spans="1:5" ht="17.399999999999999">
      <c r="A100" s="6">
        <v>43524</v>
      </c>
      <c r="B100" s="30" t="s">
        <v>51</v>
      </c>
      <c r="C100" s="32">
        <v>13090.6</v>
      </c>
      <c r="D100" t="str">
        <f t="shared" si="1"/>
        <v>皖北煤电信托</v>
      </c>
    </row>
    <row r="101" spans="1:5" ht="17.399999999999999">
      <c r="A101" s="6">
        <v>43524</v>
      </c>
      <c r="B101" s="30" t="s">
        <v>53</v>
      </c>
      <c r="C101" s="32">
        <v>6474.35</v>
      </c>
      <c r="D101" t="str">
        <f t="shared" si="1"/>
        <v>中铁四局</v>
      </c>
    </row>
    <row r="102" spans="1:5" ht="17.399999999999999">
      <c r="A102" s="6">
        <v>43524</v>
      </c>
      <c r="B102" s="30" t="s">
        <v>48</v>
      </c>
      <c r="C102" s="32">
        <v>14645.57</v>
      </c>
      <c r="D102" t="str">
        <f t="shared" si="1"/>
        <v>徽商银行信托</v>
      </c>
    </row>
    <row r="103" spans="1:5" ht="15.6">
      <c r="A103" s="6">
        <v>43555</v>
      </c>
      <c r="B103" s="49" t="s">
        <v>37</v>
      </c>
      <c r="C103" s="60">
        <v>12494.49</v>
      </c>
      <c r="D103" t="str">
        <f t="shared" si="1"/>
        <v>安徽高速</v>
      </c>
    </row>
    <row r="104" spans="1:5" ht="15.6">
      <c r="A104" s="6">
        <v>43555</v>
      </c>
      <c r="B104" s="49" t="s">
        <v>56</v>
      </c>
      <c r="C104" s="60">
        <v>40853.089999999997</v>
      </c>
      <c r="D104" t="str">
        <f t="shared" si="1"/>
        <v>烟草肥外</v>
      </c>
    </row>
    <row r="105" spans="1:5" ht="15.6">
      <c r="A105" s="6">
        <v>43555</v>
      </c>
      <c r="B105" s="49" t="s">
        <v>42</v>
      </c>
      <c r="C105" s="60">
        <v>1503.24</v>
      </c>
      <c r="D105" t="str">
        <f t="shared" si="1"/>
        <v>徽商集团</v>
      </c>
    </row>
    <row r="106" spans="1:5" ht="15.6">
      <c r="A106" s="6">
        <v>43555</v>
      </c>
      <c r="B106" s="49" t="s">
        <v>47</v>
      </c>
      <c r="C106" s="60">
        <v>4629.67</v>
      </c>
      <c r="D106" t="str">
        <f t="shared" si="1"/>
        <v>皖北煤电债权</v>
      </c>
    </row>
    <row r="107" spans="1:5" ht="15.6">
      <c r="A107" s="6">
        <v>43555</v>
      </c>
      <c r="B107" s="49" t="s">
        <v>51</v>
      </c>
      <c r="C107" s="60">
        <v>15397.44</v>
      </c>
      <c r="D107" t="str">
        <f t="shared" si="1"/>
        <v>皖北煤电信托</v>
      </c>
    </row>
    <row r="108" spans="1:5" ht="15.6">
      <c r="A108" s="6">
        <v>43555</v>
      </c>
      <c r="B108" s="49" t="s">
        <v>53</v>
      </c>
      <c r="C108" s="60">
        <v>8245.49</v>
      </c>
      <c r="D108" t="str">
        <f t="shared" si="1"/>
        <v>中铁四局</v>
      </c>
    </row>
    <row r="109" spans="1:5" ht="15.6">
      <c r="A109" s="6">
        <v>43555</v>
      </c>
      <c r="B109" s="49" t="s">
        <v>48</v>
      </c>
      <c r="C109" s="60">
        <v>17236.32</v>
      </c>
      <c r="D109" t="str">
        <f t="shared" si="1"/>
        <v>徽商银行信托</v>
      </c>
    </row>
    <row r="110" spans="1:5">
      <c r="A110" s="6">
        <v>43585</v>
      </c>
      <c r="B110" s="49" t="s">
        <v>37</v>
      </c>
      <c r="C110" s="44">
        <v>11615.23</v>
      </c>
      <c r="D110" t="str">
        <f t="shared" si="1"/>
        <v>安徽高速</v>
      </c>
    </row>
    <row r="111" spans="1:5">
      <c r="A111" s="6">
        <v>43585</v>
      </c>
      <c r="B111" s="49" t="s">
        <v>56</v>
      </c>
      <c r="C111" s="44">
        <v>40561.82</v>
      </c>
      <c r="D111" t="str">
        <f t="shared" si="1"/>
        <v>烟草肥外</v>
      </c>
    </row>
    <row r="112" spans="1:5">
      <c r="A112" s="6">
        <v>43585</v>
      </c>
      <c r="B112" s="49" t="s">
        <v>42</v>
      </c>
      <c r="C112" s="44">
        <v>1463.19</v>
      </c>
      <c r="D112" t="str">
        <f t="shared" si="1"/>
        <v>徽商集团</v>
      </c>
    </row>
    <row r="113" spans="1:4">
      <c r="A113" s="6">
        <v>43585</v>
      </c>
      <c r="B113" s="49" t="s">
        <v>47</v>
      </c>
      <c r="C113" s="44">
        <v>4449.09</v>
      </c>
      <c r="D113" t="str">
        <f t="shared" si="1"/>
        <v>皖北煤电债权</v>
      </c>
    </row>
    <row r="114" spans="1:4">
      <c r="A114" s="6">
        <v>43585</v>
      </c>
      <c r="B114" s="49" t="s">
        <v>51</v>
      </c>
      <c r="C114" s="44">
        <v>14981.24</v>
      </c>
      <c r="D114" t="str">
        <f t="shared" si="1"/>
        <v>皖北煤电信托</v>
      </c>
    </row>
    <row r="115" spans="1:4">
      <c r="A115" s="6">
        <v>43585</v>
      </c>
      <c r="B115" s="49" t="s">
        <v>53</v>
      </c>
      <c r="C115" s="44">
        <v>8693.43</v>
      </c>
      <c r="D115" t="str">
        <f t="shared" si="1"/>
        <v>中铁四局</v>
      </c>
    </row>
    <row r="116" spans="1:4">
      <c r="A116" s="6">
        <v>43585</v>
      </c>
      <c r="B116" s="49" t="s">
        <v>48</v>
      </c>
      <c r="C116" s="44">
        <v>16775.080000000002</v>
      </c>
      <c r="D116" t="str">
        <f t="shared" si="1"/>
        <v>徽商银行信托</v>
      </c>
    </row>
    <row r="117" spans="1:4">
      <c r="A117" s="6">
        <v>43616</v>
      </c>
      <c r="B117" s="49" t="s">
        <v>37</v>
      </c>
      <c r="C117" s="44">
        <v>11022.2</v>
      </c>
      <c r="D117" t="str">
        <f t="shared" si="1"/>
        <v>安徽高速</v>
      </c>
    </row>
    <row r="118" spans="1:4">
      <c r="A118" s="6">
        <v>43616</v>
      </c>
      <c r="B118" s="49" t="s">
        <v>56</v>
      </c>
      <c r="C118" s="44">
        <v>42802.39</v>
      </c>
      <c r="D118" t="str">
        <f t="shared" si="1"/>
        <v>烟草肥外</v>
      </c>
    </row>
    <row r="119" spans="1:4">
      <c r="A119" s="6">
        <v>43616</v>
      </c>
      <c r="B119" s="49" t="s">
        <v>42</v>
      </c>
      <c r="C119" s="44">
        <v>1508.4</v>
      </c>
      <c r="D119" t="str">
        <f t="shared" si="1"/>
        <v>徽商集团</v>
      </c>
    </row>
    <row r="120" spans="1:4">
      <c r="A120" s="6">
        <v>43616</v>
      </c>
      <c r="B120" s="49" t="s">
        <v>47</v>
      </c>
      <c r="C120" s="44">
        <v>4639.95</v>
      </c>
      <c r="D120" t="str">
        <f t="shared" si="1"/>
        <v>皖北煤电债权</v>
      </c>
    </row>
    <row r="121" spans="1:4">
      <c r="A121" s="6">
        <v>43616</v>
      </c>
      <c r="B121" s="49" t="s">
        <v>51</v>
      </c>
      <c r="C121" s="44">
        <v>15553.56</v>
      </c>
      <c r="D121" t="str">
        <f t="shared" si="1"/>
        <v>皖北煤电信托</v>
      </c>
    </row>
    <row r="122" spans="1:4">
      <c r="A122" s="6">
        <v>43616</v>
      </c>
      <c r="B122" s="49" t="s">
        <v>53</v>
      </c>
      <c r="C122" s="44">
        <v>8893.01</v>
      </c>
      <c r="D122" t="str">
        <f t="shared" si="1"/>
        <v>中铁四局</v>
      </c>
    </row>
    <row r="123" spans="1:4">
      <c r="A123" s="6">
        <v>43616</v>
      </c>
      <c r="B123" s="49" t="s">
        <v>48</v>
      </c>
      <c r="C123" s="44">
        <v>17427.009999999998</v>
      </c>
      <c r="D123" t="str">
        <f t="shared" si="1"/>
        <v>徽商银行信托</v>
      </c>
    </row>
    <row r="124" spans="1:4">
      <c r="A124" s="6">
        <v>43646</v>
      </c>
      <c r="B124" s="67" t="s">
        <v>37</v>
      </c>
      <c r="C124" s="68">
        <v>10661.130000000005</v>
      </c>
      <c r="D124" t="str">
        <f t="shared" si="1"/>
        <v>安徽高速</v>
      </c>
    </row>
    <row r="125" spans="1:4">
      <c r="A125" s="6">
        <v>43646</v>
      </c>
      <c r="B125" s="67" t="s">
        <v>56</v>
      </c>
      <c r="C125" s="68">
        <v>41564.19</v>
      </c>
      <c r="D125" t="str">
        <f t="shared" si="1"/>
        <v>烟草肥外</v>
      </c>
    </row>
    <row r="126" spans="1:4">
      <c r="A126" s="6">
        <v>43646</v>
      </c>
      <c r="B126" s="67" t="s">
        <v>42</v>
      </c>
      <c r="C126" s="68">
        <v>1465.8900000000003</v>
      </c>
      <c r="D126" t="str">
        <f t="shared" si="1"/>
        <v>徽商集团</v>
      </c>
    </row>
    <row r="127" spans="1:4">
      <c r="A127" s="6">
        <v>43646</v>
      </c>
      <c r="B127" s="67" t="s">
        <v>47</v>
      </c>
      <c r="C127" s="68">
        <v>3637.8199999999997</v>
      </c>
      <c r="D127" t="str">
        <f t="shared" si="1"/>
        <v>皖北煤电债权</v>
      </c>
    </row>
    <row r="128" spans="1:4">
      <c r="A128" s="6">
        <v>43646</v>
      </c>
      <c r="B128" s="67" t="s">
        <v>51</v>
      </c>
      <c r="C128" s="68">
        <v>15129.840000000011</v>
      </c>
      <c r="D128" t="str">
        <f t="shared" si="1"/>
        <v>皖北煤电信托</v>
      </c>
    </row>
    <row r="129" spans="1:4">
      <c r="A129" s="6">
        <v>43646</v>
      </c>
      <c r="B129" s="67" t="s">
        <v>53</v>
      </c>
      <c r="C129" s="68">
        <v>8420.82</v>
      </c>
      <c r="D129" t="str">
        <f t="shared" si="1"/>
        <v>中铁四局</v>
      </c>
    </row>
    <row r="130" spans="1:4">
      <c r="A130" s="6">
        <v>43646</v>
      </c>
      <c r="B130" s="67" t="s">
        <v>48</v>
      </c>
      <c r="C130" s="68">
        <v>16966.47</v>
      </c>
      <c r="D130" t="str">
        <f t="shared" si="1"/>
        <v>徽商银行信托</v>
      </c>
    </row>
    <row r="131" spans="1:4">
      <c r="A131" s="6">
        <v>43677</v>
      </c>
      <c r="B131" s="87" t="s">
        <v>37</v>
      </c>
      <c r="C131" s="88">
        <v>8924.5599999999977</v>
      </c>
      <c r="D131" t="str">
        <f t="shared" si="1"/>
        <v>安徽高速</v>
      </c>
    </row>
    <row r="132" spans="1:4">
      <c r="A132" s="6">
        <v>43677</v>
      </c>
      <c r="B132" s="87" t="s">
        <v>56</v>
      </c>
      <c r="C132" s="88">
        <v>42071.700000000012</v>
      </c>
      <c r="D132" t="str">
        <f t="shared" ref="D132:D195" si="2">VLOOKUP(B132,$G:$H,2,0)</f>
        <v>烟草肥外</v>
      </c>
    </row>
    <row r="133" spans="1:4">
      <c r="A133" s="6">
        <v>43677</v>
      </c>
      <c r="B133" s="87" t="s">
        <v>42</v>
      </c>
      <c r="C133" s="88">
        <v>1209.5300000000007</v>
      </c>
      <c r="D133" t="str">
        <f t="shared" si="2"/>
        <v>徽商集团</v>
      </c>
    </row>
    <row r="134" spans="1:4">
      <c r="A134" s="6">
        <v>43677</v>
      </c>
      <c r="B134" s="87" t="s">
        <v>47</v>
      </c>
      <c r="C134" s="88">
        <v>3800.0799999999981</v>
      </c>
      <c r="D134" t="str">
        <f t="shared" si="2"/>
        <v>皖北煤电债权</v>
      </c>
    </row>
    <row r="135" spans="1:4">
      <c r="A135" s="6">
        <v>43677</v>
      </c>
      <c r="B135" s="87" t="s">
        <v>51</v>
      </c>
      <c r="C135" s="88">
        <v>15684.729999999996</v>
      </c>
      <c r="D135" t="str">
        <f t="shared" si="2"/>
        <v>皖北煤电信托</v>
      </c>
    </row>
    <row r="136" spans="1:4">
      <c r="A136" s="6">
        <v>43677</v>
      </c>
      <c r="B136" s="87" t="s">
        <v>53</v>
      </c>
      <c r="C136" s="88">
        <v>8700.3499999999985</v>
      </c>
      <c r="D136" t="str">
        <f t="shared" si="2"/>
        <v>中铁四局</v>
      </c>
    </row>
    <row r="137" spans="1:4">
      <c r="A137" s="6">
        <v>43677</v>
      </c>
      <c r="B137" s="87" t="s">
        <v>48</v>
      </c>
      <c r="C137" s="88">
        <v>17595.28</v>
      </c>
      <c r="D137" t="str">
        <f t="shared" si="2"/>
        <v>徽商银行信托</v>
      </c>
    </row>
    <row r="138" spans="1:4">
      <c r="A138" s="6">
        <v>43708</v>
      </c>
      <c r="B138" s="89" t="s">
        <v>37</v>
      </c>
      <c r="C138" s="90">
        <v>6955.429999999993</v>
      </c>
      <c r="D138" t="str">
        <f t="shared" si="2"/>
        <v>安徽高速</v>
      </c>
    </row>
    <row r="139" spans="1:4">
      <c r="A139" s="6">
        <v>43708</v>
      </c>
      <c r="B139" s="89" t="s">
        <v>56</v>
      </c>
      <c r="C139" s="90">
        <v>41156.579999999958</v>
      </c>
      <c r="D139" t="str">
        <f t="shared" si="2"/>
        <v>烟草肥外</v>
      </c>
    </row>
    <row r="140" spans="1:4">
      <c r="A140" s="6">
        <v>43708</v>
      </c>
      <c r="B140" s="89" t="s">
        <v>42</v>
      </c>
      <c r="C140" s="90">
        <v>1137.1499999999996</v>
      </c>
      <c r="D140" t="str">
        <f t="shared" si="2"/>
        <v>徽商集团</v>
      </c>
    </row>
    <row r="141" spans="1:4">
      <c r="A141" s="6">
        <v>43708</v>
      </c>
      <c r="B141" s="89" t="s">
        <v>140</v>
      </c>
      <c r="C141" s="90">
        <v>3738.2599999999984</v>
      </c>
      <c r="D141" t="str">
        <f t="shared" si="2"/>
        <v>皖北煤电债权</v>
      </c>
    </row>
    <row r="142" spans="1:4">
      <c r="A142" s="6">
        <v>43708</v>
      </c>
      <c r="B142" s="89" t="s">
        <v>51</v>
      </c>
      <c r="C142" s="90">
        <v>15783.179999999993</v>
      </c>
      <c r="D142" t="str">
        <f t="shared" si="2"/>
        <v>皖北煤电信托</v>
      </c>
    </row>
    <row r="143" spans="1:4">
      <c r="A143" s="6">
        <v>43708</v>
      </c>
      <c r="B143" s="89" t="s">
        <v>53</v>
      </c>
      <c r="C143" s="90">
        <v>10327.740000000005</v>
      </c>
      <c r="D143" t="str">
        <f t="shared" si="2"/>
        <v>中铁四局</v>
      </c>
    </row>
    <row r="144" spans="1:4">
      <c r="A144" s="6">
        <v>43708</v>
      </c>
      <c r="B144" s="89" t="s">
        <v>141</v>
      </c>
      <c r="C144" s="90">
        <v>17713.49000000002</v>
      </c>
      <c r="D144" t="str">
        <f t="shared" si="2"/>
        <v>徽商银行信托</v>
      </c>
    </row>
    <row r="145" spans="1:4">
      <c r="A145" s="6">
        <v>43799</v>
      </c>
      <c r="B145" t="s">
        <v>158</v>
      </c>
      <c r="C145">
        <v>616.49</v>
      </c>
      <c r="D145" t="str">
        <f t="shared" si="2"/>
        <v>安徽古井</v>
      </c>
    </row>
    <row r="146" spans="1:4">
      <c r="A146" s="6">
        <v>43799</v>
      </c>
      <c r="B146" t="s">
        <v>48</v>
      </c>
      <c r="C146">
        <v>676.37999999997555</v>
      </c>
      <c r="D146" t="str">
        <f t="shared" si="2"/>
        <v>徽商银行信托</v>
      </c>
    </row>
    <row r="147" spans="1:4">
      <c r="A147" s="6">
        <v>43799</v>
      </c>
      <c r="B147" t="s">
        <v>53</v>
      </c>
      <c r="C147">
        <v>13874.970000000001</v>
      </c>
      <c r="D147" t="str">
        <f t="shared" si="2"/>
        <v>中铁四局</v>
      </c>
    </row>
    <row r="148" spans="1:4">
      <c r="A148" s="6">
        <v>43799</v>
      </c>
      <c r="B148" t="s">
        <v>51</v>
      </c>
      <c r="C148">
        <v>14952.190000000002</v>
      </c>
      <c r="D148" t="str">
        <f t="shared" si="2"/>
        <v>皖北煤电信托</v>
      </c>
    </row>
    <row r="149" spans="1:4">
      <c r="A149" s="6">
        <v>43799</v>
      </c>
      <c r="B149" t="s">
        <v>47</v>
      </c>
      <c r="C149">
        <v>3630.75</v>
      </c>
      <c r="D149" t="str">
        <f t="shared" si="2"/>
        <v>皖北煤电债权</v>
      </c>
    </row>
    <row r="150" spans="1:4">
      <c r="A150" s="6">
        <v>43799</v>
      </c>
      <c r="B150" t="s">
        <v>42</v>
      </c>
      <c r="C150">
        <v>1057.9099999999999</v>
      </c>
      <c r="D150" t="str">
        <f t="shared" si="2"/>
        <v>徽商集团</v>
      </c>
    </row>
    <row r="151" spans="1:4">
      <c r="A151" s="6">
        <v>43799</v>
      </c>
      <c r="B151" t="s">
        <v>56</v>
      </c>
      <c r="C151">
        <v>37528.789999999979</v>
      </c>
      <c r="D151" t="str">
        <f t="shared" si="2"/>
        <v>烟草肥外</v>
      </c>
    </row>
    <row r="152" spans="1:4">
      <c r="A152" s="6">
        <v>43799</v>
      </c>
      <c r="B152" t="s">
        <v>37</v>
      </c>
      <c r="C152">
        <v>11206.089999999997</v>
      </c>
      <c r="D152" t="str">
        <f t="shared" si="2"/>
        <v>安徽高速</v>
      </c>
    </row>
    <row r="153" spans="1:4">
      <c r="A153" s="6">
        <v>43769</v>
      </c>
      <c r="B153" s="98" t="s">
        <v>48</v>
      </c>
      <c r="C153" s="98">
        <v>17811.820000000007</v>
      </c>
      <c r="D153" t="str">
        <f t="shared" si="2"/>
        <v>徽商银行信托</v>
      </c>
    </row>
    <row r="154" spans="1:4">
      <c r="A154" s="6">
        <v>43769</v>
      </c>
      <c r="B154" s="98" t="s">
        <v>53</v>
      </c>
      <c r="C154" s="98">
        <v>13928.289999999994</v>
      </c>
      <c r="D154" t="str">
        <f t="shared" si="2"/>
        <v>中铁四局</v>
      </c>
    </row>
    <row r="155" spans="1:4">
      <c r="A155" s="6">
        <v>43769</v>
      </c>
      <c r="B155" s="98" t="s">
        <v>51</v>
      </c>
      <c r="C155" s="98">
        <v>15936.029999999999</v>
      </c>
      <c r="D155" t="str">
        <f t="shared" si="2"/>
        <v>皖北煤电信托</v>
      </c>
    </row>
    <row r="156" spans="1:4">
      <c r="A156" s="6">
        <v>43769</v>
      </c>
      <c r="B156" s="98" t="s">
        <v>47</v>
      </c>
      <c r="C156" s="98">
        <v>3851.0400000000009</v>
      </c>
      <c r="D156" t="str">
        <f t="shared" si="2"/>
        <v>皖北煤电债权</v>
      </c>
    </row>
    <row r="157" spans="1:4">
      <c r="A157" s="6">
        <v>43769</v>
      </c>
      <c r="B157" s="98" t="s">
        <v>42</v>
      </c>
      <c r="C157" s="98">
        <v>11961.66</v>
      </c>
      <c r="D157" t="str">
        <f t="shared" si="2"/>
        <v>徽商集团</v>
      </c>
    </row>
    <row r="158" spans="1:4">
      <c r="A158" s="6">
        <v>43769</v>
      </c>
      <c r="B158" s="98" t="s">
        <v>56</v>
      </c>
      <c r="C158" s="98">
        <v>39342.910000000033</v>
      </c>
      <c r="D158" t="str">
        <f t="shared" si="2"/>
        <v>烟草肥外</v>
      </c>
    </row>
    <row r="159" spans="1:4">
      <c r="A159" s="6">
        <v>43769</v>
      </c>
      <c r="B159" s="98" t="s">
        <v>37</v>
      </c>
      <c r="C159" s="98">
        <v>7104.4000000000087</v>
      </c>
      <c r="D159" t="str">
        <f t="shared" si="2"/>
        <v>安徽高速</v>
      </c>
    </row>
    <row r="160" spans="1:4">
      <c r="A160" s="6">
        <v>43738</v>
      </c>
      <c r="B160" t="s">
        <v>37</v>
      </c>
      <c r="C160">
        <v>7404.9700000000012</v>
      </c>
      <c r="D160" t="str">
        <f t="shared" si="2"/>
        <v>安徽高速</v>
      </c>
    </row>
    <row r="161" spans="1:5">
      <c r="A161" s="6">
        <v>43738</v>
      </c>
      <c r="B161" t="s">
        <v>56</v>
      </c>
      <c r="C161">
        <v>39567.890000000014</v>
      </c>
      <c r="D161" t="str">
        <f t="shared" si="2"/>
        <v>烟草肥外</v>
      </c>
    </row>
    <row r="162" spans="1:5">
      <c r="A162" s="6">
        <v>43738</v>
      </c>
      <c r="B162" t="s">
        <v>42</v>
      </c>
      <c r="C162">
        <v>1119.5</v>
      </c>
      <c r="D162" t="str">
        <f t="shared" si="2"/>
        <v>徽商集团</v>
      </c>
    </row>
    <row r="163" spans="1:5">
      <c r="A163" s="6">
        <v>43738</v>
      </c>
      <c r="B163" t="s">
        <v>47</v>
      </c>
      <c r="C163">
        <v>3667.7200000000012</v>
      </c>
      <c r="D163" t="str">
        <f t="shared" si="2"/>
        <v>皖北煤电债权</v>
      </c>
    </row>
    <row r="164" spans="1:5">
      <c r="A164" s="6">
        <v>43738</v>
      </c>
      <c r="B164" t="s">
        <v>51</v>
      </c>
      <c r="C164">
        <v>15337.960000000006</v>
      </c>
      <c r="D164" t="str">
        <f t="shared" si="2"/>
        <v>皖北煤电信托</v>
      </c>
    </row>
    <row r="165" spans="1:5">
      <c r="A165" s="6">
        <v>43738</v>
      </c>
      <c r="B165" t="s">
        <v>53</v>
      </c>
      <c r="C165">
        <v>12431.089999999997</v>
      </c>
      <c r="D165" t="str">
        <f t="shared" si="2"/>
        <v>中铁四局</v>
      </c>
    </row>
    <row r="166" spans="1:5">
      <c r="A166" s="6">
        <v>43738</v>
      </c>
      <c r="B166" t="s">
        <v>48</v>
      </c>
      <c r="C166">
        <v>17218.429999999993</v>
      </c>
      <c r="D166" t="str">
        <f t="shared" si="2"/>
        <v>徽商银行信托</v>
      </c>
    </row>
    <row r="167" spans="1:5">
      <c r="A167" s="6">
        <v>43830</v>
      </c>
      <c r="B167" t="s">
        <v>48</v>
      </c>
      <c r="C167">
        <v>-9180.4500000000007</v>
      </c>
      <c r="D167" t="str">
        <f t="shared" si="2"/>
        <v>徽商银行信托</v>
      </c>
    </row>
    <row r="168" spans="1:5">
      <c r="A168" s="6">
        <v>43830</v>
      </c>
      <c r="B168" t="s">
        <v>158</v>
      </c>
      <c r="C168">
        <v>433.93</v>
      </c>
      <c r="D168" t="str">
        <f t="shared" si="2"/>
        <v>安徽古井</v>
      </c>
    </row>
    <row r="169" spans="1:5">
      <c r="A169" s="6">
        <v>43830</v>
      </c>
      <c r="B169" t="s">
        <v>53</v>
      </c>
      <c r="C169">
        <v>16055.45</v>
      </c>
      <c r="D169" t="str">
        <f t="shared" si="2"/>
        <v>中铁四局</v>
      </c>
    </row>
    <row r="170" spans="1:5">
      <c r="A170" s="6">
        <v>43830</v>
      </c>
      <c r="B170" t="s">
        <v>51</v>
      </c>
      <c r="C170">
        <v>16589.939999999999</v>
      </c>
      <c r="D170" t="str">
        <f t="shared" si="2"/>
        <v>皖北煤电信托</v>
      </c>
    </row>
    <row r="171" spans="1:5">
      <c r="A171" s="6">
        <v>43830</v>
      </c>
      <c r="B171" t="s">
        <v>47</v>
      </c>
      <c r="C171">
        <v>4011.18</v>
      </c>
      <c r="D171" t="str">
        <f t="shared" si="2"/>
        <v>皖北煤电债权</v>
      </c>
    </row>
    <row r="172" spans="1:5">
      <c r="A172" s="6">
        <v>43830</v>
      </c>
      <c r="B172" t="s">
        <v>42</v>
      </c>
      <c r="C172">
        <v>1203.29</v>
      </c>
      <c r="D172" t="str">
        <f t="shared" si="2"/>
        <v>徽商集团</v>
      </c>
    </row>
    <row r="173" spans="1:5">
      <c r="A173" s="6">
        <v>43830</v>
      </c>
      <c r="B173" t="s">
        <v>56</v>
      </c>
      <c r="C173">
        <v>42883.61</v>
      </c>
      <c r="D173" t="str">
        <f t="shared" si="2"/>
        <v>烟草肥外</v>
      </c>
    </row>
    <row r="174" spans="1:5">
      <c r="A174" s="6">
        <v>43830</v>
      </c>
      <c r="B174" t="s">
        <v>37</v>
      </c>
      <c r="C174">
        <v>14157.81</v>
      </c>
      <c r="D174" t="str">
        <f t="shared" si="2"/>
        <v>安徽高速</v>
      </c>
    </row>
    <row r="175" spans="1:5">
      <c r="A175" s="6">
        <v>43830</v>
      </c>
      <c r="B175" t="s">
        <v>18</v>
      </c>
      <c r="C175">
        <v>239724.21</v>
      </c>
      <c r="D175" t="str">
        <f t="shared" si="2"/>
        <v>安徽中烟</v>
      </c>
      <c r="E175" t="s">
        <v>182</v>
      </c>
    </row>
    <row r="176" spans="1:5">
      <c r="A176" s="6">
        <v>43830</v>
      </c>
      <c r="B176" t="s">
        <v>184</v>
      </c>
      <c r="C176">
        <v>1055104.1499999999</v>
      </c>
      <c r="D176" t="str">
        <f t="shared" si="2"/>
        <v>安徽电力</v>
      </c>
      <c r="E176" t="s">
        <v>182</v>
      </c>
    </row>
    <row r="177" spans="1:5">
      <c r="A177" s="6">
        <v>43830</v>
      </c>
      <c r="B177" t="s">
        <v>126</v>
      </c>
      <c r="C177">
        <v>96399.64</v>
      </c>
      <c r="D177" t="str">
        <f t="shared" si="2"/>
        <v>皖北煤电</v>
      </c>
      <c r="E177" t="s">
        <v>182</v>
      </c>
    </row>
    <row r="178" spans="1:5">
      <c r="A178" s="6">
        <v>43830</v>
      </c>
      <c r="B178" t="s">
        <v>48</v>
      </c>
      <c r="C178">
        <v>-34.909999999974389</v>
      </c>
      <c r="D178" t="str">
        <f t="shared" si="2"/>
        <v>徽商银行信托</v>
      </c>
      <c r="E178" t="s">
        <v>183</v>
      </c>
    </row>
    <row r="179" spans="1:5">
      <c r="A179" s="6">
        <v>43830</v>
      </c>
      <c r="B179" t="s">
        <v>158</v>
      </c>
      <c r="C179">
        <v>141.51999999999998</v>
      </c>
      <c r="D179" t="str">
        <f t="shared" si="2"/>
        <v>安徽古井</v>
      </c>
      <c r="E179" t="s">
        <v>183</v>
      </c>
    </row>
    <row r="180" spans="1:5">
      <c r="A180" s="6">
        <v>43830</v>
      </c>
      <c r="B180" t="s">
        <v>53</v>
      </c>
      <c r="C180">
        <v>2187.8499999999913</v>
      </c>
      <c r="D180" t="str">
        <f t="shared" si="2"/>
        <v>中铁四局</v>
      </c>
      <c r="E180" t="s">
        <v>183</v>
      </c>
    </row>
    <row r="181" spans="1:5">
      <c r="A181" s="6">
        <v>43830</v>
      </c>
      <c r="B181" t="s">
        <v>51</v>
      </c>
      <c r="C181">
        <v>157.6699999999837</v>
      </c>
      <c r="D181" t="str">
        <f t="shared" si="2"/>
        <v>皖北煤电信托</v>
      </c>
      <c r="E181" t="s">
        <v>183</v>
      </c>
    </row>
    <row r="182" spans="1:5">
      <c r="A182" s="6">
        <v>43830</v>
      </c>
      <c r="B182" t="s">
        <v>47</v>
      </c>
      <c r="C182">
        <v>-247.06999999999971</v>
      </c>
      <c r="D182" t="str">
        <f t="shared" si="2"/>
        <v>皖北煤电债权</v>
      </c>
      <c r="E182" t="s">
        <v>183</v>
      </c>
    </row>
    <row r="183" spans="1:5">
      <c r="A183" s="6">
        <v>43830</v>
      </c>
      <c r="B183" t="s">
        <v>42</v>
      </c>
      <c r="C183">
        <v>-369.46000000000276</v>
      </c>
      <c r="D183" t="str">
        <f t="shared" si="2"/>
        <v>徽商集团</v>
      </c>
      <c r="E183" t="s">
        <v>183</v>
      </c>
    </row>
    <row r="184" spans="1:5">
      <c r="A184" s="6">
        <v>43830</v>
      </c>
      <c r="B184" t="s">
        <v>56</v>
      </c>
      <c r="C184">
        <v>548.80999999999767</v>
      </c>
      <c r="D184" t="str">
        <f t="shared" si="2"/>
        <v>烟草肥外</v>
      </c>
      <c r="E184" t="s">
        <v>183</v>
      </c>
    </row>
    <row r="185" spans="1:5">
      <c r="A185" s="6">
        <v>43830</v>
      </c>
      <c r="B185" t="s">
        <v>37</v>
      </c>
      <c r="C185">
        <v>1384.2700000000041</v>
      </c>
      <c r="D185" t="str">
        <f t="shared" si="2"/>
        <v>安徽高速</v>
      </c>
      <c r="E185" t="s">
        <v>183</v>
      </c>
    </row>
    <row r="186" spans="1:5">
      <c r="A186" s="6">
        <v>43861</v>
      </c>
      <c r="B186" s="98" t="s">
        <v>158</v>
      </c>
      <c r="C186" s="98">
        <v>1242.76</v>
      </c>
      <c r="D186" t="str">
        <f t="shared" si="2"/>
        <v>安徽古井</v>
      </c>
    </row>
    <row r="187" spans="1:5">
      <c r="A187" s="6">
        <v>43861</v>
      </c>
      <c r="B187" s="98" t="s">
        <v>53</v>
      </c>
      <c r="C187" s="98">
        <v>17608.36</v>
      </c>
      <c r="D187" t="str">
        <f t="shared" si="2"/>
        <v>中铁四局</v>
      </c>
    </row>
    <row r="188" spans="1:5">
      <c r="A188" s="6">
        <v>43861</v>
      </c>
      <c r="B188" s="98" t="s">
        <v>51</v>
      </c>
      <c r="C188" s="98">
        <v>16103.62</v>
      </c>
      <c r="D188" t="str">
        <f t="shared" si="2"/>
        <v>皖北煤电信托</v>
      </c>
    </row>
    <row r="189" spans="1:5">
      <c r="A189" s="6">
        <v>43861</v>
      </c>
      <c r="B189" s="98" t="s">
        <v>47</v>
      </c>
      <c r="C189" s="98">
        <v>3565.53</v>
      </c>
      <c r="D189" t="str">
        <f t="shared" si="2"/>
        <v>皖北煤电债权</v>
      </c>
    </row>
    <row r="190" spans="1:5">
      <c r="A190" s="6">
        <v>43861</v>
      </c>
      <c r="B190" s="98" t="s">
        <v>42</v>
      </c>
      <c r="C190" s="98">
        <v>1203.2</v>
      </c>
      <c r="D190" t="str">
        <f t="shared" si="2"/>
        <v>徽商集团</v>
      </c>
    </row>
    <row r="191" spans="1:5">
      <c r="A191" s="6">
        <v>43861</v>
      </c>
      <c r="B191" s="98" t="s">
        <v>56</v>
      </c>
      <c r="C191" s="98">
        <v>44189.46</v>
      </c>
      <c r="D191" t="str">
        <f t="shared" si="2"/>
        <v>烟草肥外</v>
      </c>
    </row>
    <row r="192" spans="1:5">
      <c r="A192" s="6">
        <v>43861</v>
      </c>
      <c r="B192" s="98" t="s">
        <v>37</v>
      </c>
      <c r="C192" s="98">
        <v>13519.52</v>
      </c>
      <c r="D192" t="str">
        <f t="shared" si="2"/>
        <v>安徽高速</v>
      </c>
    </row>
    <row r="193" spans="1:4">
      <c r="A193" s="6">
        <v>43890</v>
      </c>
      <c r="B193" s="98" t="s">
        <v>158</v>
      </c>
      <c r="C193" s="98">
        <v>1770.3100000000002</v>
      </c>
      <c r="D193" t="str">
        <f t="shared" si="2"/>
        <v>安徽古井</v>
      </c>
    </row>
    <row r="194" spans="1:4">
      <c r="A194" s="6">
        <v>43890</v>
      </c>
      <c r="B194" s="98" t="s">
        <v>53</v>
      </c>
      <c r="C194" s="98">
        <v>15926.349999999999</v>
      </c>
      <c r="D194" t="str">
        <f t="shared" si="2"/>
        <v>中铁四局</v>
      </c>
    </row>
    <row r="195" spans="1:4">
      <c r="A195" s="6">
        <v>43890</v>
      </c>
      <c r="B195" s="98" t="s">
        <v>51</v>
      </c>
      <c r="C195" s="98">
        <v>15137.63</v>
      </c>
      <c r="D195" t="str">
        <f t="shared" si="2"/>
        <v>皖北煤电信托</v>
      </c>
    </row>
    <row r="196" spans="1:4">
      <c r="A196" s="6">
        <v>43890</v>
      </c>
      <c r="B196" s="98" t="s">
        <v>47</v>
      </c>
      <c r="C196" s="98">
        <v>3346.82</v>
      </c>
      <c r="D196" t="str">
        <f t="shared" ref="D196:D258" si="3">VLOOKUP(B196,$G:$H,2,0)</f>
        <v>皖北煤电债权</v>
      </c>
    </row>
    <row r="197" spans="1:4">
      <c r="A197" s="6">
        <v>43890</v>
      </c>
      <c r="B197" s="98" t="s">
        <v>42</v>
      </c>
      <c r="C197" s="98">
        <v>1127.5899999999999</v>
      </c>
      <c r="D197" t="str">
        <f t="shared" si="3"/>
        <v>徽商集团</v>
      </c>
    </row>
    <row r="198" spans="1:4">
      <c r="A198" s="6">
        <v>43890</v>
      </c>
      <c r="B198" s="98" t="s">
        <v>56</v>
      </c>
      <c r="C198" s="98">
        <v>43755.689999999995</v>
      </c>
      <c r="D198" t="str">
        <f t="shared" si="3"/>
        <v>烟草肥外</v>
      </c>
    </row>
    <row r="199" spans="1:4">
      <c r="A199" s="6">
        <v>43890</v>
      </c>
      <c r="B199" s="98" t="s">
        <v>37</v>
      </c>
      <c r="C199" s="98">
        <v>12775.7</v>
      </c>
      <c r="D199" t="str">
        <f t="shared" si="3"/>
        <v>安徽高速</v>
      </c>
    </row>
    <row r="200" spans="1:4">
      <c r="A200" s="6">
        <v>43921</v>
      </c>
      <c r="B200" s="98" t="s">
        <v>158</v>
      </c>
      <c r="C200" s="98">
        <v>1760.0799999999992</v>
      </c>
      <c r="D200" t="str">
        <f t="shared" si="3"/>
        <v>安徽古井</v>
      </c>
    </row>
    <row r="201" spans="1:4">
      <c r="A201" s="6">
        <v>43921</v>
      </c>
      <c r="B201" s="98" t="s">
        <v>53</v>
      </c>
      <c r="C201" s="98">
        <v>15003.059999999998</v>
      </c>
      <c r="D201" t="str">
        <f t="shared" si="3"/>
        <v>中铁四局</v>
      </c>
    </row>
    <row r="202" spans="1:4">
      <c r="A202" s="6">
        <v>43921</v>
      </c>
      <c r="B202" s="98" t="s">
        <v>51</v>
      </c>
      <c r="C202" s="98">
        <v>16245.599999999997</v>
      </c>
      <c r="D202" t="str">
        <f t="shared" si="3"/>
        <v>皖北煤电信托</v>
      </c>
    </row>
    <row r="203" spans="1:4">
      <c r="A203" s="6">
        <v>43921</v>
      </c>
      <c r="B203" s="98" t="s">
        <v>47</v>
      </c>
      <c r="C203" s="98">
        <v>3583.809999999999</v>
      </c>
      <c r="D203" t="str">
        <f t="shared" si="3"/>
        <v>皖北煤电债权</v>
      </c>
    </row>
    <row r="204" spans="1:4">
      <c r="A204" s="6">
        <v>43921</v>
      </c>
      <c r="B204" s="98" t="s">
        <v>42</v>
      </c>
      <c r="C204" s="98">
        <v>1219.6499999999999</v>
      </c>
      <c r="D204" t="str">
        <f t="shared" si="3"/>
        <v>徽商集团</v>
      </c>
    </row>
    <row r="205" spans="1:4">
      <c r="A205" s="6">
        <v>43921</v>
      </c>
      <c r="B205" s="98" t="s">
        <v>56</v>
      </c>
      <c r="C205" s="98">
        <v>48505.520000000026</v>
      </c>
      <c r="D205" t="str">
        <f t="shared" si="3"/>
        <v>烟草肥外</v>
      </c>
    </row>
    <row r="206" spans="1:4">
      <c r="A206" s="6">
        <v>43921</v>
      </c>
      <c r="B206" s="98" t="s">
        <v>37</v>
      </c>
      <c r="C206" s="98">
        <v>17872.519999999997</v>
      </c>
      <c r="D206" t="str">
        <f t="shared" si="3"/>
        <v>安徽高速</v>
      </c>
    </row>
    <row r="207" spans="1:4">
      <c r="A207" s="6">
        <v>43951</v>
      </c>
      <c r="B207" s="98" t="s">
        <v>158</v>
      </c>
      <c r="C207" s="98">
        <v>1121.1400000000001</v>
      </c>
      <c r="D207" t="str">
        <f t="shared" si="3"/>
        <v>安徽古井</v>
      </c>
    </row>
    <row r="208" spans="1:4">
      <c r="A208" s="6">
        <v>43951</v>
      </c>
      <c r="B208" s="98" t="s">
        <v>53</v>
      </c>
      <c r="C208" s="98">
        <v>10725.330000000002</v>
      </c>
      <c r="D208" t="str">
        <f t="shared" si="3"/>
        <v>中铁四局</v>
      </c>
    </row>
    <row r="209" spans="1:4">
      <c r="A209" s="6">
        <v>43951</v>
      </c>
      <c r="B209" s="98" t="s">
        <v>51</v>
      </c>
      <c r="C209" s="98">
        <v>15804.570000000002</v>
      </c>
      <c r="D209" t="str">
        <f t="shared" si="3"/>
        <v>皖北煤电信托</v>
      </c>
    </row>
    <row r="210" spans="1:4">
      <c r="A210" s="6">
        <v>43951</v>
      </c>
      <c r="B210" s="98" t="s">
        <v>47</v>
      </c>
      <c r="C210" s="98">
        <v>3484.5000000000005</v>
      </c>
      <c r="D210" t="str">
        <f t="shared" si="3"/>
        <v>皖北煤电债权</v>
      </c>
    </row>
    <row r="211" spans="1:4">
      <c r="A211" s="6">
        <v>43951</v>
      </c>
      <c r="B211" s="98" t="s">
        <v>42</v>
      </c>
      <c r="C211" s="98">
        <v>1173.0399999999997</v>
      </c>
      <c r="D211" t="str">
        <f t="shared" si="3"/>
        <v>徽商集团</v>
      </c>
    </row>
    <row r="212" spans="1:4">
      <c r="A212" s="6">
        <v>43951</v>
      </c>
      <c r="B212" s="98" t="s">
        <v>56</v>
      </c>
      <c r="C212" s="98">
        <v>45193.699999999975</v>
      </c>
      <c r="D212" t="str">
        <f t="shared" si="3"/>
        <v>烟草肥外</v>
      </c>
    </row>
    <row r="213" spans="1:4">
      <c r="A213" s="6">
        <v>43951</v>
      </c>
      <c r="B213" s="98" t="s">
        <v>37</v>
      </c>
      <c r="C213" s="98">
        <v>17881.840000000004</v>
      </c>
      <c r="D213" t="str">
        <f t="shared" si="3"/>
        <v>安徽高速</v>
      </c>
    </row>
    <row r="214" spans="1:4">
      <c r="A214" s="6">
        <v>43982</v>
      </c>
      <c r="B214" s="98" t="s">
        <v>158</v>
      </c>
      <c r="C214" s="98">
        <v>1163.4399999999998</v>
      </c>
      <c r="D214" t="str">
        <f t="shared" si="3"/>
        <v>安徽古井</v>
      </c>
    </row>
    <row r="215" spans="1:4">
      <c r="A215" s="6">
        <v>43982</v>
      </c>
      <c r="B215" s="98" t="s">
        <v>53</v>
      </c>
      <c r="C215" s="98">
        <v>9252.2200000000084</v>
      </c>
      <c r="D215" t="str">
        <f t="shared" si="3"/>
        <v>中铁四局</v>
      </c>
    </row>
    <row r="216" spans="1:4">
      <c r="A216" s="6">
        <v>43982</v>
      </c>
      <c r="B216" s="98" t="s">
        <v>51</v>
      </c>
      <c r="C216" s="98">
        <v>16395.070000000007</v>
      </c>
      <c r="D216" t="str">
        <f t="shared" si="3"/>
        <v>皖北煤电信托</v>
      </c>
    </row>
    <row r="217" spans="1:4">
      <c r="A217" s="6">
        <v>43982</v>
      </c>
      <c r="B217" s="98" t="s">
        <v>47</v>
      </c>
      <c r="C217" s="98">
        <v>3613.8699999999985</v>
      </c>
      <c r="D217" t="str">
        <f t="shared" si="3"/>
        <v>皖北煤电债权</v>
      </c>
    </row>
    <row r="218" spans="1:4">
      <c r="A218" s="6">
        <v>43982</v>
      </c>
      <c r="B218" s="98" t="s">
        <v>42</v>
      </c>
      <c r="C218" s="98">
        <v>1375.6400000000006</v>
      </c>
      <c r="D218" t="str">
        <f t="shared" si="3"/>
        <v>徽商集团</v>
      </c>
    </row>
    <row r="219" spans="1:4">
      <c r="A219" s="6">
        <v>43982</v>
      </c>
      <c r="B219" s="98" t="s">
        <v>56</v>
      </c>
      <c r="C219" s="98">
        <v>49002.630000000012</v>
      </c>
      <c r="D219" t="str">
        <f t="shared" si="3"/>
        <v>烟草肥外</v>
      </c>
    </row>
    <row r="220" spans="1:4">
      <c r="A220" s="6">
        <v>43982</v>
      </c>
      <c r="B220" s="98" t="s">
        <v>37</v>
      </c>
      <c r="C220" s="98">
        <v>14826.720000000001</v>
      </c>
      <c r="D220" t="str">
        <f t="shared" si="3"/>
        <v>安徽高速</v>
      </c>
    </row>
    <row r="221" spans="1:4">
      <c r="A221" s="6">
        <v>44012</v>
      </c>
      <c r="B221" s="98" t="s">
        <v>158</v>
      </c>
      <c r="C221" s="98">
        <v>1146.7000000000005</v>
      </c>
      <c r="D221" t="str">
        <f t="shared" si="3"/>
        <v>安徽古井</v>
      </c>
    </row>
    <row r="222" spans="1:4">
      <c r="A222" s="6">
        <v>44012</v>
      </c>
      <c r="B222" s="98" t="s">
        <v>53</v>
      </c>
      <c r="C222" s="98">
        <v>7870.1299999999901</v>
      </c>
      <c r="D222" t="str">
        <f t="shared" si="3"/>
        <v>中铁四局</v>
      </c>
    </row>
    <row r="223" spans="1:4">
      <c r="A223" s="6">
        <v>44012</v>
      </c>
      <c r="B223" s="98" t="s">
        <v>51</v>
      </c>
      <c r="C223" s="98">
        <v>15942.560000000005</v>
      </c>
      <c r="D223" t="str">
        <f t="shared" si="3"/>
        <v>皖北煤电信托</v>
      </c>
    </row>
    <row r="224" spans="1:4">
      <c r="A224" s="6">
        <v>44012</v>
      </c>
      <c r="B224" s="98" t="s">
        <v>47</v>
      </c>
      <c r="C224" s="98">
        <v>3512.5400000000031</v>
      </c>
      <c r="D224" t="str">
        <f t="shared" si="3"/>
        <v>皖北煤电债权</v>
      </c>
    </row>
    <row r="225" spans="1:4">
      <c r="A225" s="6">
        <v>44012</v>
      </c>
      <c r="B225" s="98" t="s">
        <v>42</v>
      </c>
      <c r="C225" s="98">
        <v>1176.7399999999996</v>
      </c>
      <c r="D225" t="str">
        <f t="shared" si="3"/>
        <v>徽商集团</v>
      </c>
    </row>
    <row r="226" spans="1:4">
      <c r="A226" s="6">
        <v>44012</v>
      </c>
      <c r="B226" s="98" t="s">
        <v>56</v>
      </c>
      <c r="C226" s="98">
        <v>49176.460000000014</v>
      </c>
      <c r="D226" t="str">
        <f t="shared" si="3"/>
        <v>烟草肥外</v>
      </c>
    </row>
    <row r="227" spans="1:4">
      <c r="A227" s="6">
        <v>44012</v>
      </c>
      <c r="B227" s="98" t="s">
        <v>37</v>
      </c>
      <c r="C227" s="98">
        <v>13992.75</v>
      </c>
      <c r="D227" t="str">
        <f t="shared" si="3"/>
        <v>安徽高速</v>
      </c>
    </row>
    <row r="228" spans="1:4">
      <c r="A228" s="6">
        <v>44043</v>
      </c>
      <c r="B228" t="s">
        <v>158</v>
      </c>
      <c r="C228">
        <v>1146.7000000000005</v>
      </c>
      <c r="D228" t="str">
        <f t="shared" si="3"/>
        <v>安徽古井</v>
      </c>
    </row>
    <row r="229" spans="1:4">
      <c r="A229" s="6">
        <v>44043</v>
      </c>
      <c r="B229" t="s">
        <v>53</v>
      </c>
      <c r="C229">
        <v>7870.1299999999901</v>
      </c>
      <c r="D229" t="str">
        <f t="shared" si="3"/>
        <v>中铁四局</v>
      </c>
    </row>
    <row r="230" spans="1:4">
      <c r="A230" s="6">
        <v>44043</v>
      </c>
      <c r="B230" t="s">
        <v>51</v>
      </c>
      <c r="C230">
        <v>15942.560000000005</v>
      </c>
      <c r="D230" t="str">
        <f t="shared" si="3"/>
        <v>皖北煤电信托</v>
      </c>
    </row>
    <row r="231" spans="1:4">
      <c r="A231" s="6">
        <v>44043</v>
      </c>
      <c r="B231" t="s">
        <v>47</v>
      </c>
      <c r="C231">
        <v>3512.5400000000031</v>
      </c>
      <c r="D231" t="str">
        <f t="shared" si="3"/>
        <v>皖北煤电债权</v>
      </c>
    </row>
    <row r="232" spans="1:4">
      <c r="A232" s="6">
        <v>44043</v>
      </c>
      <c r="B232" t="s">
        <v>42</v>
      </c>
      <c r="C232">
        <v>1176.7399999999996</v>
      </c>
      <c r="D232" t="str">
        <f t="shared" si="3"/>
        <v>徽商集团</v>
      </c>
    </row>
    <row r="233" spans="1:4">
      <c r="A233" s="6">
        <v>44043</v>
      </c>
      <c r="B233" t="s">
        <v>56</v>
      </c>
      <c r="C233">
        <v>49176.460000000014</v>
      </c>
      <c r="D233" t="str">
        <f t="shared" si="3"/>
        <v>烟草肥外</v>
      </c>
    </row>
    <row r="234" spans="1:4">
      <c r="A234" s="6">
        <v>44043</v>
      </c>
      <c r="B234" t="s">
        <v>37</v>
      </c>
      <c r="C234">
        <v>13992.75</v>
      </c>
      <c r="D234" t="str">
        <f t="shared" si="3"/>
        <v>安徽高速</v>
      </c>
    </row>
    <row r="235" spans="1:4">
      <c r="A235" s="6">
        <v>44074</v>
      </c>
      <c r="B235" s="98" t="s">
        <v>244</v>
      </c>
      <c r="C235" s="98">
        <v>53426.210000000006</v>
      </c>
      <c r="D235" t="str">
        <f t="shared" si="3"/>
        <v>徽商银行信托</v>
      </c>
    </row>
    <row r="236" spans="1:4">
      <c r="A236" s="6">
        <v>44074</v>
      </c>
      <c r="B236" s="98" t="s">
        <v>158</v>
      </c>
      <c r="C236" s="98">
        <v>2173.79</v>
      </c>
      <c r="D236" t="str">
        <f t="shared" si="3"/>
        <v>安徽古井</v>
      </c>
    </row>
    <row r="237" spans="1:4">
      <c r="A237" s="6">
        <v>44074</v>
      </c>
      <c r="B237" s="98" t="s">
        <v>53</v>
      </c>
      <c r="C237" s="98">
        <v>6008.4900000000052</v>
      </c>
      <c r="D237" t="str">
        <f t="shared" si="3"/>
        <v>中铁四局</v>
      </c>
    </row>
    <row r="238" spans="1:4">
      <c r="A238" s="6">
        <v>44074</v>
      </c>
      <c r="B238" s="98" t="s">
        <v>51</v>
      </c>
      <c r="C238" s="98">
        <v>16587.700000000004</v>
      </c>
      <c r="D238" t="str">
        <f t="shared" si="3"/>
        <v>皖北煤电信托</v>
      </c>
    </row>
    <row r="239" spans="1:4">
      <c r="A239" s="6">
        <v>44074</v>
      </c>
      <c r="B239" s="98" t="s">
        <v>47</v>
      </c>
      <c r="C239" s="98">
        <v>3661.9200000000042</v>
      </c>
      <c r="D239" t="str">
        <f t="shared" si="3"/>
        <v>皖北煤电债权</v>
      </c>
    </row>
    <row r="240" spans="1:4">
      <c r="A240" s="6">
        <v>44074</v>
      </c>
      <c r="B240" s="98" t="s">
        <v>42</v>
      </c>
      <c r="C240" s="98">
        <v>1499.0199999999993</v>
      </c>
      <c r="D240" t="str">
        <f t="shared" si="3"/>
        <v>徽商集团</v>
      </c>
    </row>
    <row r="241" spans="1:4">
      <c r="A241" s="6">
        <v>44074</v>
      </c>
      <c r="B241" s="98" t="s">
        <v>56</v>
      </c>
      <c r="C241" s="98">
        <v>53814.150000000016</v>
      </c>
      <c r="D241" t="str">
        <f t="shared" si="3"/>
        <v>烟草肥外</v>
      </c>
    </row>
    <row r="242" spans="1:4">
      <c r="A242" s="6">
        <v>44074</v>
      </c>
      <c r="B242" s="98" t="s">
        <v>37</v>
      </c>
      <c r="C242" s="98">
        <v>15640.820000000007</v>
      </c>
      <c r="D242" t="str">
        <f t="shared" si="3"/>
        <v>安徽高速</v>
      </c>
    </row>
    <row r="243" spans="1:4">
      <c r="A243" s="6">
        <v>44104</v>
      </c>
      <c r="B243" s="98" t="s">
        <v>244</v>
      </c>
      <c r="C243" s="98">
        <v>27861.040000000008</v>
      </c>
      <c r="D243" t="str">
        <f t="shared" si="3"/>
        <v>徽商银行信托</v>
      </c>
    </row>
    <row r="244" spans="1:4">
      <c r="A244" s="6">
        <v>44104</v>
      </c>
      <c r="B244" s="98" t="s">
        <v>158</v>
      </c>
      <c r="C244" s="98">
        <v>2094.2599999999993</v>
      </c>
      <c r="D244" t="str">
        <f t="shared" si="3"/>
        <v>安徽古井</v>
      </c>
    </row>
    <row r="245" spans="1:4">
      <c r="A245" s="6">
        <v>44104</v>
      </c>
      <c r="B245" s="98" t="s">
        <v>53</v>
      </c>
      <c r="C245" s="98">
        <v>5292.8600000000006</v>
      </c>
      <c r="D245" t="str">
        <f t="shared" si="3"/>
        <v>中铁四局</v>
      </c>
    </row>
    <row r="246" spans="1:4">
      <c r="A246" s="6">
        <v>44104</v>
      </c>
      <c r="B246" s="98" t="s">
        <v>51</v>
      </c>
      <c r="C246" s="98">
        <v>13913.049999999996</v>
      </c>
      <c r="D246" t="str">
        <f t="shared" si="3"/>
        <v>皖北煤电信托</v>
      </c>
    </row>
    <row r="247" spans="1:4">
      <c r="A247" s="6">
        <v>44104</v>
      </c>
      <c r="B247" s="98" t="s">
        <v>47</v>
      </c>
      <c r="C247" s="98">
        <v>1205.8799999999969</v>
      </c>
      <c r="D247" t="str">
        <f t="shared" si="3"/>
        <v>皖北煤电债权</v>
      </c>
    </row>
    <row r="248" spans="1:4">
      <c r="A248" s="6">
        <v>44104</v>
      </c>
      <c r="B248" s="98" t="s">
        <v>42</v>
      </c>
      <c r="C248" s="98">
        <v>1228.3899999999996</v>
      </c>
      <c r="D248" t="str">
        <f t="shared" si="3"/>
        <v>徽商集团</v>
      </c>
    </row>
    <row r="249" spans="1:4">
      <c r="A249" s="6">
        <v>44104</v>
      </c>
      <c r="B249" s="98" t="s">
        <v>56</v>
      </c>
      <c r="C249" s="98">
        <v>54424.049999999996</v>
      </c>
      <c r="D249" t="str">
        <f t="shared" si="3"/>
        <v>烟草肥外</v>
      </c>
    </row>
    <row r="250" spans="1:4">
      <c r="A250" s="6">
        <v>44104</v>
      </c>
      <c r="B250" s="98" t="s">
        <v>37</v>
      </c>
      <c r="C250" s="98">
        <v>15150.970000000001</v>
      </c>
      <c r="D250" t="str">
        <f t="shared" si="3"/>
        <v>安徽高速</v>
      </c>
    </row>
    <row r="251" spans="1:4">
      <c r="A251" s="6">
        <v>44135</v>
      </c>
      <c r="B251" s="98" t="s">
        <v>244</v>
      </c>
      <c r="C251" s="98">
        <v>35659.25999999998</v>
      </c>
      <c r="D251" t="str">
        <f t="shared" si="3"/>
        <v>徽商银行信托</v>
      </c>
    </row>
    <row r="252" spans="1:4">
      <c r="A252" s="6">
        <v>44135</v>
      </c>
      <c r="B252" s="98" t="s">
        <v>158</v>
      </c>
      <c r="C252" s="98">
        <v>1910.8400000000001</v>
      </c>
      <c r="D252" t="str">
        <f t="shared" si="3"/>
        <v>安徽古井</v>
      </c>
    </row>
    <row r="253" spans="1:4">
      <c r="A253" s="6">
        <v>44135</v>
      </c>
      <c r="B253" s="98" t="s">
        <v>53</v>
      </c>
      <c r="C253" s="98">
        <v>6078.3700000000026</v>
      </c>
      <c r="D253" t="str">
        <f t="shared" si="3"/>
        <v>中铁四局</v>
      </c>
    </row>
    <row r="254" spans="1:4">
      <c r="A254" s="6">
        <v>44135</v>
      </c>
      <c r="B254" s="98" t="s">
        <v>51</v>
      </c>
      <c r="C254" s="98">
        <v>1388.6000000000058</v>
      </c>
      <c r="D254" t="str">
        <f t="shared" si="3"/>
        <v>皖北煤电信托</v>
      </c>
    </row>
    <row r="255" spans="1:4">
      <c r="A255" s="6">
        <v>44135</v>
      </c>
      <c r="B255" s="98" t="s">
        <v>47</v>
      </c>
      <c r="C255" s="98">
        <v>250.80000000000291</v>
      </c>
      <c r="D255" t="str">
        <f t="shared" si="3"/>
        <v>皖北煤电债权</v>
      </c>
    </row>
    <row r="256" spans="1:4">
      <c r="A256" s="6">
        <v>44135</v>
      </c>
      <c r="B256" s="98" t="s">
        <v>42</v>
      </c>
      <c r="C256" s="98">
        <v>1732.6200000000015</v>
      </c>
      <c r="D256" t="str">
        <f t="shared" si="3"/>
        <v>徽商集团</v>
      </c>
    </row>
    <row r="257" spans="1:4">
      <c r="A257" s="6">
        <v>44135</v>
      </c>
      <c r="B257" s="98" t="s">
        <v>56</v>
      </c>
      <c r="C257" s="98">
        <v>57683.640000000036</v>
      </c>
      <c r="D257" t="str">
        <f t="shared" si="3"/>
        <v>烟草肥外</v>
      </c>
    </row>
    <row r="258" spans="1:4">
      <c r="A258" s="6">
        <v>44135</v>
      </c>
      <c r="B258" s="98" t="s">
        <v>37</v>
      </c>
      <c r="C258" s="98">
        <v>15410.499999999993</v>
      </c>
      <c r="D258" t="str">
        <f t="shared" si="3"/>
        <v>安徽高速</v>
      </c>
    </row>
  </sheetData>
  <autoFilter ref="A1:D206"/>
  <phoneticPr fontId="1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7"/>
  <sheetViews>
    <sheetView topLeftCell="A7" workbookViewId="0">
      <selection activeCell="D37" sqref="D37"/>
    </sheetView>
  </sheetViews>
  <sheetFormatPr defaultColWidth="9" defaultRowHeight="13.8"/>
  <cols>
    <col min="1" max="1" width="11.21875" customWidth="1"/>
    <col min="4" max="4" width="15.33203125" customWidth="1"/>
  </cols>
  <sheetData>
    <row r="1" spans="1:7">
      <c r="A1" t="s">
        <v>0</v>
      </c>
      <c r="B1" s="21" t="s">
        <v>59</v>
      </c>
      <c r="C1" s="21" t="s">
        <v>10</v>
      </c>
      <c r="D1" s="21" t="s">
        <v>60</v>
      </c>
      <c r="E1" s="78" t="s">
        <v>133</v>
      </c>
    </row>
    <row r="2" spans="1:7" ht="18.600000000000001">
      <c r="A2" s="6">
        <v>43131</v>
      </c>
      <c r="B2" s="7" t="s">
        <v>19</v>
      </c>
      <c r="C2" s="20">
        <v>4340</v>
      </c>
      <c r="D2" s="38">
        <v>313769.12</v>
      </c>
    </row>
    <row r="3" spans="1:7" ht="18.600000000000001">
      <c r="A3" s="6">
        <v>43159</v>
      </c>
      <c r="B3" s="7" t="s">
        <v>19</v>
      </c>
      <c r="C3" s="20">
        <v>4340</v>
      </c>
      <c r="D3" s="38">
        <v>288510.69</v>
      </c>
    </row>
    <row r="4" spans="1:7" ht="18.600000000000001">
      <c r="A4" s="6">
        <v>43190</v>
      </c>
      <c r="B4" s="7" t="s">
        <v>19</v>
      </c>
      <c r="C4" s="20">
        <v>4340</v>
      </c>
      <c r="D4" s="38">
        <v>305108.53999999998</v>
      </c>
    </row>
    <row r="5" spans="1:7" ht="18.600000000000001">
      <c r="A5" s="6">
        <v>43220</v>
      </c>
      <c r="B5" s="7" t="s">
        <v>19</v>
      </c>
      <c r="C5" s="20">
        <v>4340</v>
      </c>
      <c r="D5" s="38">
        <v>309685.5</v>
      </c>
    </row>
    <row r="6" spans="1:7" ht="18.600000000000001">
      <c r="A6" s="6">
        <v>43251</v>
      </c>
      <c r="B6" s="7" t="s">
        <v>19</v>
      </c>
      <c r="C6" s="20">
        <v>4340</v>
      </c>
      <c r="D6" s="38">
        <v>330756.84000000003</v>
      </c>
    </row>
    <row r="7" spans="1:7" ht="18.600000000000001">
      <c r="A7" s="6">
        <v>43281</v>
      </c>
      <c r="B7" s="7" t="s">
        <v>19</v>
      </c>
      <c r="C7" s="20">
        <v>4340</v>
      </c>
      <c r="D7" s="38">
        <v>316853.18</v>
      </c>
    </row>
    <row r="8" spans="1:7" ht="18.600000000000001">
      <c r="A8" s="6">
        <v>43312</v>
      </c>
      <c r="B8" s="7" t="s">
        <v>19</v>
      </c>
      <c r="C8" s="20">
        <v>4340</v>
      </c>
      <c r="D8" s="38">
        <v>332220.01</v>
      </c>
    </row>
    <row r="9" spans="1:7" ht="18.600000000000001">
      <c r="A9" s="6">
        <v>43343</v>
      </c>
      <c r="B9" s="7" t="s">
        <v>19</v>
      </c>
      <c r="C9" s="20">
        <v>4340</v>
      </c>
      <c r="D9" s="38">
        <v>336737.22</v>
      </c>
    </row>
    <row r="10" spans="1:7" ht="18.600000000000001">
      <c r="A10" s="6">
        <v>43373</v>
      </c>
      <c r="B10" s="7" t="s">
        <v>19</v>
      </c>
      <c r="C10" s="20">
        <v>4340</v>
      </c>
      <c r="D10" s="38">
        <v>323147.28000000003</v>
      </c>
    </row>
    <row r="11" spans="1:7" ht="18.600000000000001">
      <c r="A11" s="6">
        <v>43404</v>
      </c>
      <c r="B11" s="7" t="s">
        <v>19</v>
      </c>
      <c r="C11" s="20">
        <v>4340</v>
      </c>
      <c r="D11" s="38">
        <v>341339.58</v>
      </c>
    </row>
    <row r="12" spans="1:7" ht="18.600000000000001">
      <c r="A12" s="6">
        <v>43434</v>
      </c>
      <c r="B12" s="7" t="s">
        <v>19</v>
      </c>
      <c r="C12" s="20">
        <v>4340</v>
      </c>
      <c r="D12" s="38">
        <v>338004.07</v>
      </c>
    </row>
    <row r="13" spans="1:7" ht="18.600000000000001">
      <c r="A13" s="6">
        <v>43465</v>
      </c>
      <c r="B13" s="7" t="s">
        <v>19</v>
      </c>
      <c r="C13" s="20">
        <v>4340</v>
      </c>
      <c r="D13" s="38">
        <v>9100.7800000000007</v>
      </c>
      <c r="E13" s="77" t="s">
        <v>132</v>
      </c>
    </row>
    <row r="14" spans="1:7" ht="18.600000000000001">
      <c r="A14" s="6">
        <v>43465</v>
      </c>
      <c r="B14" s="7" t="s">
        <v>19</v>
      </c>
      <c r="C14" s="20">
        <v>4340</v>
      </c>
      <c r="D14" s="38">
        <v>331500</v>
      </c>
    </row>
    <row r="15" spans="1:7" ht="18.600000000000001">
      <c r="A15" s="6">
        <v>43496</v>
      </c>
      <c r="B15" s="7" t="s">
        <v>19</v>
      </c>
      <c r="C15" s="20">
        <v>4340</v>
      </c>
      <c r="D15" s="38">
        <v>363745.93</v>
      </c>
      <c r="F15" s="40"/>
      <c r="G15" s="41"/>
    </row>
    <row r="16" spans="1:7" ht="18.600000000000001">
      <c r="A16" s="6">
        <v>43524</v>
      </c>
      <c r="B16" s="7" t="s">
        <v>19</v>
      </c>
      <c r="C16" s="20">
        <v>4340</v>
      </c>
      <c r="D16" s="32">
        <v>303999.07</v>
      </c>
      <c r="F16" s="40"/>
      <c r="G16" s="41"/>
    </row>
    <row r="17" spans="1:4" ht="18.600000000000001">
      <c r="A17" s="6">
        <v>43555</v>
      </c>
      <c r="B17" s="7" t="s">
        <v>19</v>
      </c>
      <c r="C17" s="20">
        <v>4340</v>
      </c>
      <c r="D17" s="32">
        <v>356352.8</v>
      </c>
    </row>
    <row r="18" spans="1:4" ht="18.600000000000001">
      <c r="A18" s="6">
        <v>43585</v>
      </c>
      <c r="B18" s="7" t="str">
        <f t="shared" ref="B18:C20" si="0">B17</f>
        <v>安徽</v>
      </c>
      <c r="C18" s="20">
        <f t="shared" si="0"/>
        <v>4340</v>
      </c>
      <c r="D18" s="32">
        <v>344352.25</v>
      </c>
    </row>
    <row r="19" spans="1:4" ht="18.600000000000001">
      <c r="A19" s="6">
        <v>43616</v>
      </c>
      <c r="B19" s="7" t="str">
        <f t="shared" si="0"/>
        <v>安徽</v>
      </c>
      <c r="C19" s="20">
        <f t="shared" si="0"/>
        <v>4340</v>
      </c>
      <c r="D19" s="32">
        <v>351485.57</v>
      </c>
    </row>
    <row r="20" spans="1:4" ht="18.600000000000001">
      <c r="A20" s="6">
        <v>43646</v>
      </c>
      <c r="B20" s="7" t="str">
        <f t="shared" si="0"/>
        <v>安徽</v>
      </c>
      <c r="C20" s="20">
        <f t="shared" si="0"/>
        <v>4340</v>
      </c>
      <c r="D20" s="69">
        <v>344027.99</v>
      </c>
    </row>
    <row r="21" spans="1:4">
      <c r="A21" s="6">
        <v>43677</v>
      </c>
      <c r="D21">
        <v>361216.78</v>
      </c>
    </row>
    <row r="22" spans="1:4" ht="17.399999999999999">
      <c r="A22" s="6">
        <v>43708</v>
      </c>
      <c r="D22" s="81">
        <v>361814.57</v>
      </c>
    </row>
    <row r="23" spans="1:4">
      <c r="A23" s="6">
        <v>43738</v>
      </c>
      <c r="D23">
        <v>360977.51</v>
      </c>
    </row>
    <row r="24" spans="1:4">
      <c r="A24" s="6">
        <v>43769</v>
      </c>
      <c r="D24">
        <v>379365.66000000003</v>
      </c>
    </row>
    <row r="25" spans="1:4">
      <c r="A25" s="6">
        <v>43799</v>
      </c>
      <c r="D25">
        <v>353589.74000000005</v>
      </c>
    </row>
    <row r="26" spans="1:4">
      <c r="A26" s="6">
        <v>43830</v>
      </c>
      <c r="D26">
        <v>370089.8</v>
      </c>
    </row>
    <row r="27" spans="1:4">
      <c r="A27" s="6">
        <v>43830</v>
      </c>
      <c r="D27" s="98">
        <v>17226.689999999991</v>
      </c>
    </row>
    <row r="28" spans="1:4">
      <c r="A28" s="6">
        <v>43861</v>
      </c>
      <c r="D28" s="98">
        <v>382266.36</v>
      </c>
    </row>
    <row r="29" spans="1:4">
      <c r="A29" s="6">
        <v>43890</v>
      </c>
      <c r="D29">
        <v>385569.68000000005</v>
      </c>
    </row>
    <row r="30" spans="1:4">
      <c r="A30" s="6">
        <v>43921</v>
      </c>
      <c r="D30" s="98">
        <v>416739.00000000006</v>
      </c>
    </row>
    <row r="31" spans="1:4">
      <c r="A31" s="6">
        <v>43951</v>
      </c>
      <c r="D31" s="98">
        <v>399002.94</v>
      </c>
    </row>
    <row r="32" spans="1:4">
      <c r="A32" s="6">
        <v>43982</v>
      </c>
      <c r="D32" s="98">
        <v>423199.30999999994</v>
      </c>
    </row>
    <row r="33" spans="1:4">
      <c r="A33" s="6">
        <v>44012</v>
      </c>
      <c r="D33" s="98">
        <v>421033.66</v>
      </c>
    </row>
    <row r="34" spans="1:4">
      <c r="A34" s="6">
        <f>投资管理费收入汇总!A34</f>
        <v>44043</v>
      </c>
      <c r="D34">
        <f>投资管理费收入汇总!F34</f>
        <v>421033.66</v>
      </c>
    </row>
    <row r="35" spans="1:4">
      <c r="A35" s="6">
        <v>44074</v>
      </c>
      <c r="D35" s="98">
        <v>404869.32000000007</v>
      </c>
    </row>
    <row r="36" spans="1:4">
      <c r="A36" s="6">
        <v>44104</v>
      </c>
      <c r="D36" s="64">
        <v>428387.39999999997</v>
      </c>
    </row>
    <row r="37" spans="1:4">
      <c r="A37" s="6">
        <v>44135</v>
      </c>
      <c r="D37">
        <v>436933.68000000011</v>
      </c>
    </row>
  </sheetData>
  <autoFilter ref="A1:E1"/>
  <phoneticPr fontId="1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37"/>
  <sheetViews>
    <sheetView topLeftCell="A13" workbookViewId="0">
      <selection activeCell="A38" sqref="A38"/>
    </sheetView>
  </sheetViews>
  <sheetFormatPr defaultColWidth="9" defaultRowHeight="13.8"/>
  <cols>
    <col min="1" max="1" width="11.21875" customWidth="1"/>
    <col min="4" max="5" width="16.44140625" bestFit="1" customWidth="1"/>
    <col min="6" max="6" width="13" customWidth="1"/>
  </cols>
  <sheetData>
    <row r="1" spans="1:6">
      <c r="A1" t="s">
        <v>0</v>
      </c>
      <c r="B1" s="37" t="s">
        <v>21</v>
      </c>
      <c r="C1" s="37" t="s">
        <v>10</v>
      </c>
      <c r="D1" s="37" t="s">
        <v>60</v>
      </c>
      <c r="E1" s="37" t="s">
        <v>15</v>
      </c>
      <c r="F1" s="37" t="s">
        <v>61</v>
      </c>
    </row>
    <row r="2" spans="1:6" ht="18.600000000000001">
      <c r="A2" s="6">
        <v>43220</v>
      </c>
      <c r="B2" s="7" t="s">
        <v>19</v>
      </c>
      <c r="C2" s="20">
        <v>4340</v>
      </c>
      <c r="D2" s="38">
        <v>275209.01</v>
      </c>
      <c r="E2" s="38">
        <v>259631.14</v>
      </c>
      <c r="F2" s="39">
        <v>15577.87</v>
      </c>
    </row>
    <row r="3" spans="1:6" ht="18.600000000000001">
      <c r="A3" s="6">
        <v>43251</v>
      </c>
      <c r="B3" s="7" t="s">
        <v>19</v>
      </c>
      <c r="C3" s="20">
        <v>4340</v>
      </c>
      <c r="D3" s="38">
        <v>300407.7</v>
      </c>
      <c r="E3" s="38">
        <v>283403.49</v>
      </c>
      <c r="F3" s="39">
        <v>17004.21</v>
      </c>
    </row>
    <row r="4" spans="1:6" ht="18.600000000000001">
      <c r="A4" s="6">
        <v>43281</v>
      </c>
      <c r="B4" s="7" t="s">
        <v>19</v>
      </c>
      <c r="C4" s="20">
        <v>4340</v>
      </c>
      <c r="D4" s="38">
        <v>295901.38</v>
      </c>
      <c r="E4" s="38">
        <v>279152.25</v>
      </c>
      <c r="F4" s="39">
        <v>16749.13</v>
      </c>
    </row>
    <row r="5" spans="1:6" ht="18.600000000000001">
      <c r="A5" s="6">
        <v>43312</v>
      </c>
      <c r="B5" s="7" t="s">
        <v>19</v>
      </c>
      <c r="C5" s="20">
        <v>4340</v>
      </c>
      <c r="D5" s="38">
        <v>343676.41</v>
      </c>
      <c r="E5" s="38">
        <v>324223.03000000003</v>
      </c>
      <c r="F5" s="39">
        <v>19453.38</v>
      </c>
    </row>
    <row r="6" spans="1:6" ht="18.600000000000001">
      <c r="A6" s="6">
        <v>43343</v>
      </c>
      <c r="B6" s="7" t="s">
        <v>19</v>
      </c>
      <c r="C6" s="20">
        <v>4340</v>
      </c>
      <c r="D6" s="38">
        <v>354980.12</v>
      </c>
      <c r="E6" s="38">
        <v>334886.90999999997</v>
      </c>
      <c r="F6" s="39">
        <v>20093.21</v>
      </c>
    </row>
    <row r="7" spans="1:6" ht="18.600000000000001">
      <c r="A7" s="6">
        <v>43373</v>
      </c>
      <c r="B7" s="7" t="s">
        <v>19</v>
      </c>
      <c r="C7" s="20">
        <v>4340</v>
      </c>
      <c r="D7" s="38">
        <v>343195.48</v>
      </c>
      <c r="E7" s="38">
        <v>323769.32</v>
      </c>
      <c r="F7" s="39">
        <v>19426.16</v>
      </c>
    </row>
    <row r="8" spans="1:6" ht="18.600000000000001">
      <c r="A8" s="6">
        <v>43404</v>
      </c>
      <c r="B8" s="7" t="s">
        <v>19</v>
      </c>
      <c r="C8" s="20">
        <v>4340</v>
      </c>
      <c r="D8" s="38">
        <v>356176.14</v>
      </c>
      <c r="E8" s="38">
        <v>336015.23</v>
      </c>
      <c r="F8" s="39">
        <v>20160.91</v>
      </c>
    </row>
    <row r="9" spans="1:6" ht="18.600000000000001">
      <c r="A9" s="6">
        <v>43131</v>
      </c>
      <c r="B9" s="7" t="s">
        <v>19</v>
      </c>
      <c r="C9" s="20">
        <v>4340</v>
      </c>
      <c r="D9" s="38">
        <v>293497.06</v>
      </c>
      <c r="E9" s="38">
        <v>276884.02</v>
      </c>
      <c r="F9" s="39">
        <v>16613.04</v>
      </c>
    </row>
    <row r="10" spans="1:6" ht="18.600000000000001">
      <c r="A10" s="6">
        <v>43159</v>
      </c>
      <c r="B10" s="7" t="s">
        <v>19</v>
      </c>
      <c r="C10" s="20">
        <v>4340</v>
      </c>
      <c r="D10" s="38">
        <v>261302.03</v>
      </c>
      <c r="E10" s="38">
        <v>246511.35</v>
      </c>
      <c r="F10" s="39">
        <v>14790.68</v>
      </c>
    </row>
    <row r="11" spans="1:6" ht="18.600000000000001">
      <c r="A11" s="6">
        <v>43190</v>
      </c>
      <c r="B11" s="7" t="s">
        <v>19</v>
      </c>
      <c r="C11" s="20">
        <v>4340</v>
      </c>
      <c r="D11" s="38">
        <v>290722.11</v>
      </c>
      <c r="E11" s="38">
        <v>274266.14</v>
      </c>
      <c r="F11" s="39">
        <v>16455.97</v>
      </c>
    </row>
    <row r="12" spans="1:6" ht="18.600000000000001">
      <c r="A12" s="6">
        <v>43434</v>
      </c>
      <c r="B12" s="7" t="s">
        <v>19</v>
      </c>
      <c r="C12" s="20">
        <v>4340</v>
      </c>
      <c r="D12" s="38">
        <v>357149.85</v>
      </c>
      <c r="E12" s="38">
        <v>336933.82</v>
      </c>
      <c r="F12" s="39">
        <v>20216.03</v>
      </c>
    </row>
    <row r="13" spans="1:6" ht="18.600000000000001">
      <c r="A13" s="6">
        <v>43465</v>
      </c>
      <c r="B13" s="7" t="s">
        <v>19</v>
      </c>
      <c r="C13" s="20">
        <v>4340</v>
      </c>
      <c r="D13" s="38">
        <v>371880.25</v>
      </c>
      <c r="E13" s="38">
        <v>350830.42</v>
      </c>
      <c r="F13" s="39">
        <v>21049.83</v>
      </c>
    </row>
    <row r="14" spans="1:6" ht="18.600000000000001">
      <c r="A14" t="s">
        <v>58</v>
      </c>
      <c r="B14" s="7" t="s">
        <v>19</v>
      </c>
      <c r="C14" s="20">
        <v>4340</v>
      </c>
      <c r="D14" s="38">
        <v>-6902.61</v>
      </c>
      <c r="E14" s="38">
        <v>-6511.9</v>
      </c>
      <c r="F14" s="39">
        <v>-390.71</v>
      </c>
    </row>
    <row r="15" spans="1:6" ht="18.600000000000001">
      <c r="A15" s="6">
        <v>43496</v>
      </c>
      <c r="B15" s="7" t="s">
        <v>19</v>
      </c>
      <c r="C15" s="20">
        <v>4340</v>
      </c>
      <c r="D15" s="38">
        <v>386248.6</v>
      </c>
      <c r="E15" s="38">
        <v>364385.47</v>
      </c>
      <c r="F15" s="39">
        <v>21863.13</v>
      </c>
    </row>
    <row r="16" spans="1:6" ht="18">
      <c r="A16" s="6">
        <v>43524</v>
      </c>
      <c r="B16" s="20" t="s">
        <v>19</v>
      </c>
      <c r="D16" s="19">
        <v>339381.02</v>
      </c>
      <c r="E16" s="19">
        <v>320170.77</v>
      </c>
      <c r="F16" s="19">
        <v>19210.25</v>
      </c>
    </row>
    <row r="17" spans="1:6" ht="18">
      <c r="A17" s="6">
        <v>43555</v>
      </c>
      <c r="D17" s="19">
        <v>413968.39</v>
      </c>
      <c r="E17" s="19">
        <v>390536.22</v>
      </c>
      <c r="F17" s="19">
        <v>23432.17</v>
      </c>
    </row>
    <row r="18" spans="1:6" ht="18">
      <c r="A18" s="6">
        <v>43585</v>
      </c>
      <c r="D18" s="19">
        <v>465378.83</v>
      </c>
      <c r="E18" s="19">
        <v>439036.63</v>
      </c>
      <c r="F18" s="19">
        <v>26342.2</v>
      </c>
    </row>
    <row r="19" spans="1:6" ht="18">
      <c r="A19" s="6">
        <v>43616</v>
      </c>
      <c r="D19" s="19">
        <v>476484.8</v>
      </c>
      <c r="E19" s="19">
        <v>449513.96</v>
      </c>
      <c r="F19" s="19">
        <v>26970.84</v>
      </c>
    </row>
    <row r="20" spans="1:6" ht="18">
      <c r="A20" s="6">
        <v>43646</v>
      </c>
      <c r="D20" s="70">
        <v>500096.77999999985</v>
      </c>
      <c r="E20" s="70">
        <v>471789.42</v>
      </c>
      <c r="F20" s="70">
        <v>28307.360000000001</v>
      </c>
    </row>
    <row r="21" spans="1:6" ht="18">
      <c r="A21" s="6">
        <v>43677</v>
      </c>
      <c r="D21" s="86">
        <v>494347.59999999992</v>
      </c>
      <c r="E21" s="86">
        <v>466365.66</v>
      </c>
      <c r="F21" s="86">
        <v>27981.94</v>
      </c>
    </row>
    <row r="22" spans="1:6" ht="18">
      <c r="A22" s="6">
        <v>43708</v>
      </c>
      <c r="D22" s="86">
        <v>1056046.3899999999</v>
      </c>
      <c r="E22" s="86">
        <v>996270.18</v>
      </c>
      <c r="F22" s="86">
        <v>59776.21</v>
      </c>
    </row>
    <row r="23" spans="1:6" ht="18">
      <c r="A23" s="6">
        <v>43738</v>
      </c>
      <c r="D23" s="99">
        <v>1113933.8500000003</v>
      </c>
      <c r="E23" s="99">
        <v>1050880.99</v>
      </c>
      <c r="F23" s="99">
        <v>63052.86</v>
      </c>
    </row>
    <row r="24" spans="1:6">
      <c r="A24" s="6">
        <v>43769</v>
      </c>
      <c r="D24">
        <v>1203571.27</v>
      </c>
      <c r="E24">
        <v>1135444.5900000001</v>
      </c>
      <c r="F24">
        <v>68126.679999999993</v>
      </c>
    </row>
    <row r="25" spans="1:6">
      <c r="A25" s="6">
        <v>43799</v>
      </c>
      <c r="D25">
        <v>1160018.3399999999</v>
      </c>
      <c r="E25">
        <v>1094356.92</v>
      </c>
      <c r="F25">
        <v>65661.42</v>
      </c>
    </row>
    <row r="26" spans="1:6">
      <c r="A26" s="6">
        <v>43830</v>
      </c>
      <c r="D26">
        <v>1294558.7700000005</v>
      </c>
      <c r="E26">
        <v>1221281.8600000001</v>
      </c>
      <c r="F26">
        <v>73276.91</v>
      </c>
    </row>
    <row r="27" spans="1:6">
      <c r="A27" s="6">
        <v>43830</v>
      </c>
      <c r="B27" s="98">
        <v>4340</v>
      </c>
      <c r="C27" s="98" t="s">
        <v>19</v>
      </c>
      <c r="D27" s="98">
        <v>163035.08999999994</v>
      </c>
      <c r="E27" s="98">
        <v>153806.69</v>
      </c>
      <c r="F27" s="98">
        <v>9228.4</v>
      </c>
    </row>
    <row r="28" spans="1:6">
      <c r="A28" s="6">
        <v>43861</v>
      </c>
      <c r="D28" s="98">
        <v>1341992.1599999999</v>
      </c>
      <c r="E28" s="98">
        <v>1266030.3400000001</v>
      </c>
      <c r="F28" s="98">
        <v>75961.820000000007</v>
      </c>
    </row>
    <row r="29" spans="1:6">
      <c r="A29" s="6">
        <v>43890</v>
      </c>
      <c r="D29" s="98">
        <v>1286191.6600000006</v>
      </c>
      <c r="E29" s="98">
        <v>1213388.3600000001</v>
      </c>
      <c r="F29" s="98">
        <v>72803.3</v>
      </c>
    </row>
    <row r="30" spans="1:6">
      <c r="A30" s="6">
        <v>43921</v>
      </c>
      <c r="D30" s="98">
        <v>1409677.9800000002</v>
      </c>
      <c r="E30" s="98">
        <v>1329884.8899999999</v>
      </c>
      <c r="F30" s="98">
        <v>79793.09</v>
      </c>
    </row>
    <row r="31" spans="1:6">
      <c r="A31" s="6">
        <v>43951</v>
      </c>
      <c r="D31" s="98">
        <v>1392494.35</v>
      </c>
      <c r="E31" s="98">
        <v>1313673.92</v>
      </c>
      <c r="F31" s="98">
        <v>78820.429999999993</v>
      </c>
    </row>
    <row r="32" spans="1:6">
      <c r="A32" s="6">
        <v>43982</v>
      </c>
      <c r="B32" s="98">
        <v>4340</v>
      </c>
      <c r="C32" s="98" t="s">
        <v>19</v>
      </c>
      <c r="D32" s="98">
        <v>1463246.7500000002</v>
      </c>
      <c r="E32" s="98">
        <v>1380421.46</v>
      </c>
      <c r="F32" s="98">
        <v>82825.289999999994</v>
      </c>
    </row>
    <row r="33" spans="1:6">
      <c r="A33" s="6">
        <v>44012</v>
      </c>
      <c r="B33" s="98">
        <v>4340</v>
      </c>
      <c r="C33" s="98" t="s">
        <v>19</v>
      </c>
      <c r="D33" s="98">
        <v>1530442.2600000002</v>
      </c>
      <c r="E33" s="98">
        <v>1443813.45</v>
      </c>
      <c r="F33" s="98">
        <v>86628.81</v>
      </c>
    </row>
    <row r="34" spans="1:6">
      <c r="A34" s="6">
        <v>44043</v>
      </c>
      <c r="B34" s="98">
        <v>4340</v>
      </c>
      <c r="C34" s="98" t="s">
        <v>19</v>
      </c>
      <c r="D34" s="98">
        <v>1530442.2600000002</v>
      </c>
      <c r="E34" s="98">
        <v>1443813.45</v>
      </c>
      <c r="F34" s="98">
        <v>86628.81</v>
      </c>
    </row>
    <row r="35" spans="1:6">
      <c r="A35" s="6">
        <v>44074</v>
      </c>
      <c r="B35" s="98">
        <v>4340</v>
      </c>
      <c r="C35" s="98" t="s">
        <v>19</v>
      </c>
      <c r="D35" s="98">
        <v>1603779.4200000002</v>
      </c>
      <c r="E35" s="98">
        <v>1512999.45</v>
      </c>
      <c r="F35" s="98">
        <v>90779.97</v>
      </c>
    </row>
    <row r="36" spans="1:6">
      <c r="A36" s="6">
        <v>44104</v>
      </c>
      <c r="B36" s="98">
        <v>4340</v>
      </c>
      <c r="C36" s="98" t="s">
        <v>19</v>
      </c>
      <c r="D36" s="100">
        <v>1664651.2900000003</v>
      </c>
      <c r="E36" s="100">
        <v>1570425.75</v>
      </c>
      <c r="F36" s="100">
        <v>94225.54</v>
      </c>
    </row>
    <row r="37" spans="1:6">
      <c r="A37" s="6">
        <v>44135</v>
      </c>
      <c r="B37" s="98">
        <v>4340</v>
      </c>
      <c r="C37" s="98" t="s">
        <v>19</v>
      </c>
      <c r="D37" s="98">
        <v>1733715.5000000002</v>
      </c>
      <c r="E37" s="98">
        <v>1635580.66</v>
      </c>
      <c r="F37" s="98">
        <v>98134.84</v>
      </c>
    </row>
  </sheetData>
  <phoneticPr fontId="1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651"/>
  <sheetViews>
    <sheetView topLeftCell="A1264" workbookViewId="0">
      <selection activeCell="G1223" sqref="G1223:G1651"/>
    </sheetView>
  </sheetViews>
  <sheetFormatPr defaultRowHeight="13.8"/>
  <cols>
    <col min="1" max="1" width="11.21875" bestFit="1" customWidth="1"/>
    <col min="2" max="2" width="9.5546875" bestFit="1" customWidth="1"/>
    <col min="3" max="3" width="75.33203125" bestFit="1" customWidth="1"/>
    <col min="4" max="4" width="62.21875" bestFit="1" customWidth="1"/>
    <col min="5" max="5" width="9.5546875" bestFit="1" customWidth="1"/>
    <col min="6" max="6" width="11.6640625" bestFit="1" customWidth="1"/>
    <col min="12" max="12" width="62.21875" customWidth="1"/>
    <col min="13" max="13" width="18.77734375" bestFit="1" customWidth="1"/>
    <col min="16" max="16" width="13.88671875" bestFit="1" customWidth="1"/>
    <col min="17" max="17" width="18.77734375" bestFit="1" customWidth="1"/>
  </cols>
  <sheetData>
    <row r="1" spans="1:21">
      <c r="A1" s="77" t="s">
        <v>469</v>
      </c>
      <c r="B1" s="98" t="s">
        <v>248</v>
      </c>
      <c r="C1" s="98" t="s">
        <v>249</v>
      </c>
      <c r="D1" s="98" t="s">
        <v>250</v>
      </c>
      <c r="E1" s="98" t="s">
        <v>251</v>
      </c>
      <c r="F1" s="98" t="s">
        <v>252</v>
      </c>
      <c r="G1" s="109" t="s">
        <v>529</v>
      </c>
      <c r="L1" s="97" t="s">
        <v>31</v>
      </c>
      <c r="M1" t="s">
        <v>498</v>
      </c>
    </row>
    <row r="2" spans="1:21">
      <c r="A2" s="6">
        <v>44074</v>
      </c>
      <c r="B2" s="98" t="s">
        <v>253</v>
      </c>
      <c r="C2" s="98" t="s">
        <v>254</v>
      </c>
      <c r="D2" s="98" t="s">
        <v>255</v>
      </c>
      <c r="E2" s="98" t="s">
        <v>256</v>
      </c>
      <c r="F2" s="98">
        <v>53.16</v>
      </c>
      <c r="G2" t="str">
        <f>VLOOKUP(D2,L:N,3,0)</f>
        <v>股票型</v>
      </c>
      <c r="L2" s="45" t="s">
        <v>355</v>
      </c>
      <c r="M2" s="53">
        <v>13551.960000000001</v>
      </c>
      <c r="N2" s="77" t="s">
        <v>500</v>
      </c>
      <c r="P2" s="97" t="s">
        <v>31</v>
      </c>
      <c r="Q2" t="s">
        <v>498</v>
      </c>
      <c r="S2" s="77" t="s">
        <v>530</v>
      </c>
      <c r="T2" s="77" t="s">
        <v>531</v>
      </c>
      <c r="U2" s="77" t="s">
        <v>531</v>
      </c>
    </row>
    <row r="3" spans="1:21">
      <c r="A3" s="6">
        <v>44074</v>
      </c>
      <c r="B3" s="98"/>
      <c r="C3" s="98" t="s">
        <v>257</v>
      </c>
      <c r="D3" s="98" t="s">
        <v>255</v>
      </c>
      <c r="E3" s="98" t="s">
        <v>256</v>
      </c>
      <c r="F3" s="98">
        <v>438.02</v>
      </c>
      <c r="G3" t="str">
        <f t="shared" ref="G3:G66" si="0">VLOOKUP(D3,L:N,3,0)</f>
        <v>股票型</v>
      </c>
      <c r="L3" s="45" t="s">
        <v>444</v>
      </c>
      <c r="M3" s="53">
        <v>13343.769999999999</v>
      </c>
      <c r="N3" s="77" t="s">
        <v>500</v>
      </c>
      <c r="P3" s="45" t="s">
        <v>502</v>
      </c>
      <c r="Q3" s="53">
        <v>23636.590000000004</v>
      </c>
      <c r="S3" t="s">
        <v>509</v>
      </c>
      <c r="T3">
        <v>1454968.9900000002</v>
      </c>
      <c r="U3">
        <f>T3/10000</f>
        <v>145.49689900000001</v>
      </c>
    </row>
    <row r="4" spans="1:21">
      <c r="A4" s="6">
        <v>44074</v>
      </c>
      <c r="B4" s="98"/>
      <c r="C4" s="98" t="s">
        <v>258</v>
      </c>
      <c r="D4" s="98" t="s">
        <v>255</v>
      </c>
      <c r="E4" s="98" t="s">
        <v>259</v>
      </c>
      <c r="F4" s="98">
        <v>1491.74</v>
      </c>
      <c r="G4" t="str">
        <f t="shared" si="0"/>
        <v>股票型</v>
      </c>
      <c r="L4" s="45" t="s">
        <v>343</v>
      </c>
      <c r="M4" s="53">
        <v>1301.2099999999998</v>
      </c>
      <c r="N4" s="77" t="s">
        <v>501</v>
      </c>
      <c r="P4" s="45" t="s">
        <v>524</v>
      </c>
      <c r="Q4" s="53">
        <v>164.71</v>
      </c>
      <c r="S4" t="s">
        <v>499</v>
      </c>
      <c r="T4">
        <v>928186.84000000043</v>
      </c>
      <c r="U4">
        <f t="shared" ref="U4:U13" si="1">T4/10000</f>
        <v>92.818684000000047</v>
      </c>
    </row>
    <row r="5" spans="1:21">
      <c r="A5" s="6">
        <v>44074</v>
      </c>
      <c r="B5" s="98"/>
      <c r="C5" s="98" t="s">
        <v>260</v>
      </c>
      <c r="D5" s="98" t="s">
        <v>255</v>
      </c>
      <c r="E5" s="98" t="s">
        <v>259</v>
      </c>
      <c r="F5" s="98">
        <v>3196.69</v>
      </c>
      <c r="G5" t="str">
        <f t="shared" si="0"/>
        <v>股票型</v>
      </c>
      <c r="L5" s="45" t="s">
        <v>345</v>
      </c>
      <c r="M5" s="53">
        <v>16683.05</v>
      </c>
      <c r="N5" s="77" t="s">
        <v>501</v>
      </c>
      <c r="P5" s="45" t="s">
        <v>504</v>
      </c>
      <c r="Q5" s="53">
        <v>72267.37</v>
      </c>
      <c r="S5" t="s">
        <v>511</v>
      </c>
      <c r="T5">
        <v>840755.08</v>
      </c>
      <c r="U5">
        <f t="shared" si="1"/>
        <v>84.075507999999999</v>
      </c>
    </row>
    <row r="6" spans="1:21">
      <c r="A6" s="6">
        <v>44074</v>
      </c>
      <c r="B6" s="98"/>
      <c r="C6" s="98" t="s">
        <v>261</v>
      </c>
      <c r="D6" s="98" t="s">
        <v>255</v>
      </c>
      <c r="E6" s="98" t="s">
        <v>259</v>
      </c>
      <c r="F6" s="98">
        <v>464</v>
      </c>
      <c r="G6" t="str">
        <f t="shared" si="0"/>
        <v>股票型</v>
      </c>
      <c r="L6" s="45" t="s">
        <v>347</v>
      </c>
      <c r="M6" s="53">
        <v>189961.95999999996</v>
      </c>
      <c r="N6" s="77" t="s">
        <v>501</v>
      </c>
      <c r="P6" s="45" t="s">
        <v>501</v>
      </c>
      <c r="Q6" s="53">
        <v>579715.00999999989</v>
      </c>
      <c r="S6" t="s">
        <v>507</v>
      </c>
      <c r="T6">
        <v>639670.76000000047</v>
      </c>
      <c r="U6">
        <f t="shared" si="1"/>
        <v>63.967076000000048</v>
      </c>
    </row>
    <row r="7" spans="1:21">
      <c r="A7" s="6">
        <v>44074</v>
      </c>
      <c r="B7" s="98" t="s">
        <v>262</v>
      </c>
      <c r="C7" s="98" t="s">
        <v>263</v>
      </c>
      <c r="D7" s="98" t="s">
        <v>264</v>
      </c>
      <c r="E7" s="98" t="s">
        <v>256</v>
      </c>
      <c r="F7" s="98">
        <v>109.64</v>
      </c>
      <c r="G7" t="str">
        <f t="shared" si="0"/>
        <v>债券型</v>
      </c>
      <c r="L7" s="45" t="s">
        <v>383</v>
      </c>
      <c r="M7" s="53">
        <v>4068.18</v>
      </c>
      <c r="N7" s="77" t="s">
        <v>501</v>
      </c>
      <c r="P7" s="45" t="s">
        <v>511</v>
      </c>
      <c r="Q7" s="53">
        <v>840755.08</v>
      </c>
      <c r="S7" t="s">
        <v>501</v>
      </c>
      <c r="T7">
        <v>579715.00999999989</v>
      </c>
      <c r="U7">
        <f t="shared" si="1"/>
        <v>57.971500999999989</v>
      </c>
    </row>
    <row r="8" spans="1:21">
      <c r="A8" s="6">
        <v>44074</v>
      </c>
      <c r="B8" s="98"/>
      <c r="C8" s="98" t="s">
        <v>265</v>
      </c>
      <c r="D8" s="98" t="s">
        <v>264</v>
      </c>
      <c r="E8" s="98" t="s">
        <v>256</v>
      </c>
      <c r="F8" s="98">
        <v>51.85</v>
      </c>
      <c r="G8" t="str">
        <f t="shared" si="0"/>
        <v>债券型</v>
      </c>
      <c r="L8" s="45" t="s">
        <v>385</v>
      </c>
      <c r="M8" s="53">
        <v>13744.33</v>
      </c>
      <c r="N8" s="77" t="s">
        <v>501</v>
      </c>
      <c r="P8" s="45" t="s">
        <v>499</v>
      </c>
      <c r="Q8" s="53">
        <v>928186.84000000043</v>
      </c>
      <c r="S8" t="s">
        <v>503</v>
      </c>
      <c r="T8">
        <v>230634.72999999995</v>
      </c>
      <c r="U8">
        <f t="shared" si="1"/>
        <v>23.063472999999995</v>
      </c>
    </row>
    <row r="9" spans="1:21">
      <c r="A9" s="6">
        <v>44074</v>
      </c>
      <c r="B9" s="98"/>
      <c r="C9" s="98" t="s">
        <v>266</v>
      </c>
      <c r="D9" s="98" t="s">
        <v>264</v>
      </c>
      <c r="E9" s="98" t="s">
        <v>256</v>
      </c>
      <c r="F9" s="98">
        <v>243.86</v>
      </c>
      <c r="G9" t="str">
        <f t="shared" si="0"/>
        <v>债券型</v>
      </c>
      <c r="L9" s="45" t="s">
        <v>485</v>
      </c>
      <c r="M9" s="53">
        <v>12.11</v>
      </c>
      <c r="N9" s="77" t="s">
        <v>501</v>
      </c>
      <c r="P9" s="45" t="s">
        <v>503</v>
      </c>
      <c r="Q9" s="53">
        <v>230634.72999999995</v>
      </c>
      <c r="S9" t="s">
        <v>504</v>
      </c>
      <c r="T9">
        <v>72267.37</v>
      </c>
      <c r="U9">
        <f t="shared" si="1"/>
        <v>7.226737</v>
      </c>
    </row>
    <row r="10" spans="1:21">
      <c r="A10" s="6">
        <v>44074</v>
      </c>
      <c r="B10" s="98"/>
      <c r="C10" s="98" t="s">
        <v>267</v>
      </c>
      <c r="D10" s="98" t="s">
        <v>264</v>
      </c>
      <c r="E10" s="98" t="s">
        <v>259</v>
      </c>
      <c r="F10" s="98">
        <v>1278.3699999999999</v>
      </c>
      <c r="G10" t="str">
        <f t="shared" si="0"/>
        <v>债券型</v>
      </c>
      <c r="L10" s="45" t="s">
        <v>387</v>
      </c>
      <c r="M10" s="53">
        <v>139941.32999999999</v>
      </c>
      <c r="N10" s="77" t="s">
        <v>501</v>
      </c>
      <c r="P10" s="45" t="s">
        <v>507</v>
      </c>
      <c r="Q10" s="53">
        <v>639670.76000000047</v>
      </c>
      <c r="S10" t="s">
        <v>514</v>
      </c>
      <c r="T10">
        <v>54983.48000000001</v>
      </c>
      <c r="U10">
        <f t="shared" si="1"/>
        <v>5.4983480000000009</v>
      </c>
    </row>
    <row r="11" spans="1:21">
      <c r="A11" s="6">
        <v>44074</v>
      </c>
      <c r="B11" s="98"/>
      <c r="C11" s="98" t="s">
        <v>258</v>
      </c>
      <c r="D11" s="98" t="s">
        <v>264</v>
      </c>
      <c r="E11" s="98" t="s">
        <v>259</v>
      </c>
      <c r="F11" s="98">
        <v>1021.83</v>
      </c>
      <c r="G11" t="str">
        <f t="shared" si="0"/>
        <v>债券型</v>
      </c>
      <c r="L11" s="45" t="s">
        <v>389</v>
      </c>
      <c r="M11" s="53">
        <v>73069.890000000029</v>
      </c>
      <c r="N11" s="77" t="s">
        <v>501</v>
      </c>
      <c r="P11" s="45" t="s">
        <v>509</v>
      </c>
      <c r="Q11" s="53">
        <v>1454968.9900000002</v>
      </c>
      <c r="S11" t="s">
        <v>502</v>
      </c>
      <c r="T11">
        <v>23636.590000000004</v>
      </c>
      <c r="U11">
        <f t="shared" si="1"/>
        <v>2.3636590000000002</v>
      </c>
    </row>
    <row r="12" spans="1:21">
      <c r="A12" s="6">
        <v>44074</v>
      </c>
      <c r="B12" s="98"/>
      <c r="C12" s="98" t="s">
        <v>268</v>
      </c>
      <c r="D12" s="98" t="s">
        <v>264</v>
      </c>
      <c r="E12" s="98" t="s">
        <v>259</v>
      </c>
      <c r="F12" s="98">
        <v>5887.52</v>
      </c>
      <c r="G12" t="str">
        <f t="shared" si="0"/>
        <v>债券型</v>
      </c>
      <c r="L12" s="45" t="s">
        <v>323</v>
      </c>
      <c r="M12" s="53">
        <v>69024.73000000001</v>
      </c>
      <c r="N12" s="77" t="s">
        <v>499</v>
      </c>
      <c r="P12" s="45" t="s">
        <v>506</v>
      </c>
      <c r="Q12" s="53">
        <v>876.72000000000025</v>
      </c>
      <c r="S12" t="s">
        <v>506</v>
      </c>
      <c r="T12">
        <v>876.72000000000025</v>
      </c>
      <c r="U12">
        <f t="shared" si="1"/>
        <v>8.7672000000000028E-2</v>
      </c>
    </row>
    <row r="13" spans="1:21">
      <c r="A13" s="6">
        <v>44074</v>
      </c>
      <c r="B13" s="98"/>
      <c r="C13" s="98" t="s">
        <v>269</v>
      </c>
      <c r="D13" s="98" t="s">
        <v>264</v>
      </c>
      <c r="E13" s="98" t="s">
        <v>270</v>
      </c>
      <c r="F13" s="98">
        <v>6131.53</v>
      </c>
      <c r="G13" t="str">
        <f t="shared" si="0"/>
        <v>债券型</v>
      </c>
      <c r="L13" s="45" t="s">
        <v>325</v>
      </c>
      <c r="M13" s="53">
        <v>85349.07</v>
      </c>
      <c r="N13" s="77" t="s">
        <v>501</v>
      </c>
      <c r="P13" s="45" t="s">
        <v>514</v>
      </c>
      <c r="Q13" s="53">
        <v>54983.48000000001</v>
      </c>
      <c r="S13" t="s">
        <v>524</v>
      </c>
      <c r="T13">
        <v>164.71</v>
      </c>
      <c r="U13">
        <f t="shared" si="1"/>
        <v>1.6471E-2</v>
      </c>
    </row>
    <row r="14" spans="1:21">
      <c r="A14" s="6">
        <v>44074</v>
      </c>
      <c r="B14" s="98"/>
      <c r="C14" s="98" t="s">
        <v>271</v>
      </c>
      <c r="D14" s="98" t="s">
        <v>264</v>
      </c>
      <c r="E14" s="98" t="s">
        <v>270</v>
      </c>
      <c r="F14" s="98">
        <v>25.33</v>
      </c>
      <c r="G14" t="str">
        <f t="shared" si="0"/>
        <v>债券型</v>
      </c>
      <c r="L14" s="45" t="s">
        <v>403</v>
      </c>
      <c r="M14" s="53">
        <v>12213.95</v>
      </c>
      <c r="N14" s="77" t="s">
        <v>502</v>
      </c>
      <c r="P14" s="45" t="s">
        <v>55</v>
      </c>
      <c r="Q14" s="53"/>
    </row>
    <row r="15" spans="1:21">
      <c r="A15" s="6">
        <v>44074</v>
      </c>
      <c r="B15" s="98"/>
      <c r="C15" s="98" t="s">
        <v>272</v>
      </c>
      <c r="D15" s="98" t="s">
        <v>264</v>
      </c>
      <c r="E15" s="98" t="s">
        <v>270</v>
      </c>
      <c r="F15" s="98">
        <v>41.26</v>
      </c>
      <c r="G15" t="str">
        <f t="shared" si="0"/>
        <v>债券型</v>
      </c>
      <c r="L15" s="45" t="s">
        <v>461</v>
      </c>
      <c r="M15" s="53">
        <v>2912.96</v>
      </c>
      <c r="N15" s="77" t="s">
        <v>505</v>
      </c>
      <c r="P15" s="45" t="s">
        <v>57</v>
      </c>
      <c r="Q15" s="53">
        <v>4825860.2800000012</v>
      </c>
    </row>
    <row r="16" spans="1:21">
      <c r="A16" s="6">
        <v>44074</v>
      </c>
      <c r="B16" s="98" t="s">
        <v>273</v>
      </c>
      <c r="C16" s="98" t="s">
        <v>274</v>
      </c>
      <c r="D16" s="98" t="s">
        <v>275</v>
      </c>
      <c r="E16" s="98" t="s">
        <v>256</v>
      </c>
      <c r="F16" s="98">
        <v>127.37</v>
      </c>
      <c r="G16" t="str">
        <f t="shared" si="0"/>
        <v>混合型</v>
      </c>
      <c r="L16" s="45" t="s">
        <v>458</v>
      </c>
      <c r="M16" s="53">
        <v>693.06999999999994</v>
      </c>
      <c r="N16" s="77" t="s">
        <v>504</v>
      </c>
    </row>
    <row r="17" spans="1:14">
      <c r="A17" s="6">
        <v>44074</v>
      </c>
      <c r="B17" s="98"/>
      <c r="C17" s="98" t="s">
        <v>265</v>
      </c>
      <c r="D17" s="98" t="s">
        <v>275</v>
      </c>
      <c r="E17" s="98" t="s">
        <v>256</v>
      </c>
      <c r="F17" s="98">
        <v>21.77</v>
      </c>
      <c r="G17" t="str">
        <f t="shared" si="0"/>
        <v>混合型</v>
      </c>
      <c r="L17" s="45" t="s">
        <v>314</v>
      </c>
      <c r="M17" s="53">
        <v>60765.46</v>
      </c>
      <c r="N17" s="77" t="s">
        <v>504</v>
      </c>
    </row>
    <row r="18" spans="1:14">
      <c r="A18" s="6">
        <v>44074</v>
      </c>
      <c r="B18" s="98"/>
      <c r="C18" s="98" t="s">
        <v>257</v>
      </c>
      <c r="D18" s="98" t="s">
        <v>275</v>
      </c>
      <c r="E18" s="98" t="s">
        <v>256</v>
      </c>
      <c r="F18" s="98">
        <v>31.12</v>
      </c>
      <c r="G18" t="str">
        <f t="shared" si="0"/>
        <v>混合型</v>
      </c>
      <c r="L18" s="45" t="s">
        <v>361</v>
      </c>
      <c r="M18" s="53">
        <v>693.2700000000001</v>
      </c>
      <c r="N18" s="77" t="s">
        <v>504</v>
      </c>
    </row>
    <row r="19" spans="1:14">
      <c r="A19" s="6">
        <v>44074</v>
      </c>
      <c r="B19" s="98"/>
      <c r="C19" s="98" t="s">
        <v>276</v>
      </c>
      <c r="D19" s="98" t="s">
        <v>275</v>
      </c>
      <c r="E19" s="98" t="s">
        <v>256</v>
      </c>
      <c r="F19" s="98">
        <v>318</v>
      </c>
      <c r="G19" t="str">
        <f t="shared" si="0"/>
        <v>混合型</v>
      </c>
      <c r="L19" s="45" t="s">
        <v>363</v>
      </c>
      <c r="M19" s="53">
        <v>1408.76</v>
      </c>
      <c r="N19" s="77" t="s">
        <v>504</v>
      </c>
    </row>
    <row r="20" spans="1:14">
      <c r="A20" s="6">
        <v>44074</v>
      </c>
      <c r="B20" s="98"/>
      <c r="C20" s="98" t="s">
        <v>266</v>
      </c>
      <c r="D20" s="98" t="s">
        <v>275</v>
      </c>
      <c r="E20" s="98" t="s">
        <v>256</v>
      </c>
      <c r="F20" s="98">
        <v>29.15</v>
      </c>
      <c r="G20" t="str">
        <f t="shared" si="0"/>
        <v>混合型</v>
      </c>
      <c r="L20" s="45" t="s">
        <v>365</v>
      </c>
      <c r="M20" s="53">
        <v>0.16</v>
      </c>
      <c r="N20" s="77" t="s">
        <v>504</v>
      </c>
    </row>
    <row r="21" spans="1:14">
      <c r="A21" s="6">
        <v>44074</v>
      </c>
      <c r="B21" s="98"/>
      <c r="C21" s="98" t="s">
        <v>260</v>
      </c>
      <c r="D21" s="98" t="s">
        <v>275</v>
      </c>
      <c r="E21" s="98" t="s">
        <v>259</v>
      </c>
      <c r="F21" s="98">
        <v>6630.06</v>
      </c>
      <c r="G21" t="str">
        <f t="shared" si="0"/>
        <v>混合型</v>
      </c>
      <c r="L21" s="45" t="s">
        <v>368</v>
      </c>
      <c r="M21" s="53">
        <v>2737.29</v>
      </c>
      <c r="N21" s="77" t="s">
        <v>504</v>
      </c>
    </row>
    <row r="22" spans="1:14">
      <c r="A22" s="6">
        <v>44074</v>
      </c>
      <c r="B22" s="98"/>
      <c r="C22" s="98" t="s">
        <v>277</v>
      </c>
      <c r="D22" s="98" t="s">
        <v>275</v>
      </c>
      <c r="E22" s="98" t="s">
        <v>259</v>
      </c>
      <c r="F22" s="98">
        <v>811.65</v>
      </c>
      <c r="G22" t="str">
        <f t="shared" si="0"/>
        <v>混合型</v>
      </c>
      <c r="L22" s="45" t="s">
        <v>391</v>
      </c>
      <c r="M22" s="53">
        <v>3056.3999999999996</v>
      </c>
      <c r="N22" s="77" t="s">
        <v>504</v>
      </c>
    </row>
    <row r="23" spans="1:14">
      <c r="A23" s="6">
        <v>44074</v>
      </c>
      <c r="B23" s="98"/>
      <c r="C23" s="98" t="s">
        <v>278</v>
      </c>
      <c r="D23" s="98" t="s">
        <v>275</v>
      </c>
      <c r="E23" s="98" t="s">
        <v>270</v>
      </c>
      <c r="F23" s="98">
        <v>25791.79</v>
      </c>
      <c r="G23" t="str">
        <f t="shared" si="0"/>
        <v>混合型</v>
      </c>
      <c r="L23" s="45" t="s">
        <v>288</v>
      </c>
      <c r="M23" s="53">
        <v>479787.82000000007</v>
      </c>
      <c r="N23" s="77" t="s">
        <v>508</v>
      </c>
    </row>
    <row r="24" spans="1:14">
      <c r="A24" s="6">
        <v>44074</v>
      </c>
      <c r="B24" s="98" t="s">
        <v>279</v>
      </c>
      <c r="C24" s="98" t="s">
        <v>254</v>
      </c>
      <c r="D24" s="98" t="s">
        <v>280</v>
      </c>
      <c r="E24" s="98" t="s">
        <v>256</v>
      </c>
      <c r="F24" s="98">
        <v>145.93</v>
      </c>
      <c r="G24" t="str">
        <f t="shared" si="0"/>
        <v>混合型</v>
      </c>
      <c r="L24" s="45" t="s">
        <v>300</v>
      </c>
      <c r="M24" s="53">
        <v>1390205.62</v>
      </c>
      <c r="N24" s="77" t="s">
        <v>510</v>
      </c>
    </row>
    <row r="25" spans="1:14">
      <c r="A25" s="6">
        <v>44074</v>
      </c>
      <c r="B25" s="98"/>
      <c r="C25" s="98" t="s">
        <v>276</v>
      </c>
      <c r="D25" s="98" t="s">
        <v>280</v>
      </c>
      <c r="E25" s="98" t="s">
        <v>256</v>
      </c>
      <c r="F25" s="98">
        <v>190.39</v>
      </c>
      <c r="G25" t="str">
        <f t="shared" si="0"/>
        <v>混合型</v>
      </c>
      <c r="L25" s="45" t="s">
        <v>335</v>
      </c>
      <c r="M25" s="53">
        <v>73202.33</v>
      </c>
      <c r="N25" s="77" t="s">
        <v>512</v>
      </c>
    </row>
    <row r="26" spans="1:14">
      <c r="A26" s="6">
        <v>44074</v>
      </c>
      <c r="B26" s="98"/>
      <c r="C26" s="98" t="s">
        <v>266</v>
      </c>
      <c r="D26" s="98" t="s">
        <v>280</v>
      </c>
      <c r="E26" s="98" t="s">
        <v>256</v>
      </c>
      <c r="F26" s="98">
        <v>73.489999999999995</v>
      </c>
      <c r="G26" t="str">
        <f t="shared" si="0"/>
        <v>混合型</v>
      </c>
      <c r="L26" s="45" t="s">
        <v>280</v>
      </c>
      <c r="M26" s="53">
        <v>80164.309999999983</v>
      </c>
      <c r="N26" s="77" t="s">
        <v>513</v>
      </c>
    </row>
    <row r="27" spans="1:14">
      <c r="A27" s="6">
        <v>44074</v>
      </c>
      <c r="B27" s="98"/>
      <c r="C27" s="98" t="s">
        <v>260</v>
      </c>
      <c r="D27" s="98" t="s">
        <v>280</v>
      </c>
      <c r="E27" s="98" t="s">
        <v>259</v>
      </c>
      <c r="F27" s="98">
        <v>5454.46</v>
      </c>
      <c r="G27" t="str">
        <f t="shared" si="0"/>
        <v>混合型</v>
      </c>
      <c r="L27" s="45" t="s">
        <v>264</v>
      </c>
      <c r="M27" s="53">
        <v>54983.48000000001</v>
      </c>
      <c r="N27" s="77" t="s">
        <v>515</v>
      </c>
    </row>
    <row r="28" spans="1:14">
      <c r="A28" s="6">
        <v>44074</v>
      </c>
      <c r="B28" s="98"/>
      <c r="C28" s="98" t="s">
        <v>277</v>
      </c>
      <c r="D28" s="98" t="s">
        <v>280</v>
      </c>
      <c r="E28" s="98" t="s">
        <v>259</v>
      </c>
      <c r="F28" s="98">
        <v>420.63</v>
      </c>
      <c r="G28" t="str">
        <f t="shared" si="0"/>
        <v>混合型</v>
      </c>
      <c r="L28" s="45" t="s">
        <v>307</v>
      </c>
      <c r="M28" s="53">
        <v>384.24</v>
      </c>
      <c r="N28" s="77" t="s">
        <v>506</v>
      </c>
    </row>
    <row r="29" spans="1:14">
      <c r="A29" s="6">
        <v>44074</v>
      </c>
      <c r="B29" s="98"/>
      <c r="C29" s="98" t="s">
        <v>278</v>
      </c>
      <c r="D29" s="98" t="s">
        <v>280</v>
      </c>
      <c r="E29" s="98" t="s">
        <v>270</v>
      </c>
      <c r="F29" s="98">
        <v>24225.33</v>
      </c>
      <c r="G29" t="str">
        <f t="shared" si="0"/>
        <v>混合型</v>
      </c>
      <c r="L29" s="45" t="s">
        <v>319</v>
      </c>
      <c r="M29" s="53">
        <v>492.48</v>
      </c>
      <c r="N29" s="77" t="s">
        <v>506</v>
      </c>
    </row>
    <row r="30" spans="1:14">
      <c r="A30" s="6">
        <v>44074</v>
      </c>
      <c r="B30" s="98" t="s">
        <v>281</v>
      </c>
      <c r="C30" s="98" t="s">
        <v>254</v>
      </c>
      <c r="D30" s="98" t="s">
        <v>282</v>
      </c>
      <c r="E30" s="98" t="s">
        <v>256</v>
      </c>
      <c r="F30" s="98">
        <v>58.81</v>
      </c>
      <c r="G30" t="str">
        <f t="shared" si="0"/>
        <v>固收型</v>
      </c>
      <c r="L30" s="45" t="s">
        <v>331</v>
      </c>
      <c r="M30" s="53">
        <v>76190.049999999988</v>
      </c>
      <c r="N30" s="77" t="s">
        <v>516</v>
      </c>
    </row>
    <row r="31" spans="1:14">
      <c r="A31" s="6">
        <v>44074</v>
      </c>
      <c r="B31" s="98"/>
      <c r="C31" s="98" t="s">
        <v>263</v>
      </c>
      <c r="D31" s="98" t="s">
        <v>282</v>
      </c>
      <c r="E31" s="98" t="s">
        <v>256</v>
      </c>
      <c r="F31" s="98">
        <v>37.619999999999997</v>
      </c>
      <c r="G31" t="str">
        <f t="shared" si="0"/>
        <v>固收型</v>
      </c>
      <c r="L31" s="45" t="s">
        <v>333</v>
      </c>
      <c r="M31" s="53">
        <v>179842.38</v>
      </c>
      <c r="N31" s="77" t="s">
        <v>517</v>
      </c>
    </row>
    <row r="32" spans="1:14">
      <c r="A32" s="6">
        <v>44074</v>
      </c>
      <c r="B32" s="98"/>
      <c r="C32" s="98" t="s">
        <v>257</v>
      </c>
      <c r="D32" s="98" t="s">
        <v>282</v>
      </c>
      <c r="E32" s="98" t="s">
        <v>256</v>
      </c>
      <c r="F32" s="98">
        <v>102.64</v>
      </c>
      <c r="G32" t="str">
        <f t="shared" si="0"/>
        <v>固收型</v>
      </c>
      <c r="L32" s="45" t="s">
        <v>255</v>
      </c>
      <c r="M32" s="53">
        <v>14212.96</v>
      </c>
      <c r="N32" s="77" t="s">
        <v>518</v>
      </c>
    </row>
    <row r="33" spans="1:14">
      <c r="A33" s="6">
        <v>44074</v>
      </c>
      <c r="B33" s="98"/>
      <c r="C33" s="98" t="s">
        <v>276</v>
      </c>
      <c r="D33" s="98" t="s">
        <v>282</v>
      </c>
      <c r="E33" s="98" t="s">
        <v>256</v>
      </c>
      <c r="F33" s="98">
        <v>183.29</v>
      </c>
      <c r="G33" t="str">
        <f t="shared" si="0"/>
        <v>固收型</v>
      </c>
      <c r="L33" s="45" t="s">
        <v>282</v>
      </c>
      <c r="M33" s="53">
        <v>45668.06</v>
      </c>
      <c r="N33" s="77" t="s">
        <v>519</v>
      </c>
    </row>
    <row r="34" spans="1:14">
      <c r="A34" s="6">
        <v>44074</v>
      </c>
      <c r="B34" s="98"/>
      <c r="C34" s="98" t="s">
        <v>283</v>
      </c>
      <c r="D34" s="98" t="s">
        <v>282</v>
      </c>
      <c r="E34" s="98" t="s">
        <v>256</v>
      </c>
      <c r="F34" s="98">
        <v>14.68</v>
      </c>
      <c r="G34" t="str">
        <f t="shared" si="0"/>
        <v>固收型</v>
      </c>
      <c r="L34" s="45" t="s">
        <v>275</v>
      </c>
      <c r="M34" s="53">
        <v>85076.280000000028</v>
      </c>
      <c r="N34" s="77" t="s">
        <v>513</v>
      </c>
    </row>
    <row r="35" spans="1:14">
      <c r="A35" s="6">
        <v>44074</v>
      </c>
      <c r="B35" s="98"/>
      <c r="C35" s="98" t="s">
        <v>267</v>
      </c>
      <c r="D35" s="98" t="s">
        <v>282</v>
      </c>
      <c r="E35" s="98" t="s">
        <v>259</v>
      </c>
      <c r="F35" s="98">
        <v>915.2</v>
      </c>
      <c r="G35" t="str">
        <f t="shared" si="0"/>
        <v>固收型</v>
      </c>
      <c r="L35" s="45" t="s">
        <v>399</v>
      </c>
      <c r="M35" s="53">
        <v>11422.64</v>
      </c>
      <c r="N35" s="77" t="s">
        <v>520</v>
      </c>
    </row>
    <row r="36" spans="1:14">
      <c r="A36" s="6">
        <v>44074</v>
      </c>
      <c r="B36" s="98"/>
      <c r="C36" s="98" t="s">
        <v>284</v>
      </c>
      <c r="D36" s="98" t="s">
        <v>282</v>
      </c>
      <c r="E36" s="98" t="s">
        <v>259</v>
      </c>
      <c r="F36" s="98">
        <v>209.06</v>
      </c>
      <c r="G36" t="str">
        <f t="shared" si="0"/>
        <v>固收型</v>
      </c>
      <c r="L36" s="45" t="s">
        <v>446</v>
      </c>
      <c r="M36" s="53">
        <v>108.48</v>
      </c>
      <c r="N36" s="77" t="s">
        <v>513</v>
      </c>
    </row>
    <row r="37" spans="1:14">
      <c r="A37" s="6">
        <v>44074</v>
      </c>
      <c r="B37" s="98"/>
      <c r="C37" s="98" t="s">
        <v>258</v>
      </c>
      <c r="D37" s="98" t="s">
        <v>282</v>
      </c>
      <c r="E37" s="98" t="s">
        <v>259</v>
      </c>
      <c r="F37" s="98">
        <v>2122.8200000000002</v>
      </c>
      <c r="G37" t="str">
        <f t="shared" si="0"/>
        <v>固收型</v>
      </c>
      <c r="L37" s="45" t="s">
        <v>337</v>
      </c>
      <c r="M37" s="53">
        <v>269492.87</v>
      </c>
      <c r="N37" s="77" t="s">
        <v>499</v>
      </c>
    </row>
    <row r="38" spans="1:14">
      <c r="A38" s="6">
        <v>44074</v>
      </c>
      <c r="B38" s="98"/>
      <c r="C38" s="98" t="s">
        <v>277</v>
      </c>
      <c r="D38" s="98" t="s">
        <v>282</v>
      </c>
      <c r="E38" s="98" t="s">
        <v>259</v>
      </c>
      <c r="F38" s="98">
        <v>1521.71</v>
      </c>
      <c r="G38" t="str">
        <f t="shared" si="0"/>
        <v>固收型</v>
      </c>
      <c r="L38" s="45" t="s">
        <v>339</v>
      </c>
      <c r="M38" s="53">
        <v>116937.68000000001</v>
      </c>
      <c r="N38" s="77" t="s">
        <v>499</v>
      </c>
    </row>
    <row r="39" spans="1:14">
      <c r="A39" s="6">
        <v>44074</v>
      </c>
      <c r="B39" s="98"/>
      <c r="C39" s="98" t="s">
        <v>285</v>
      </c>
      <c r="D39" s="98" t="s">
        <v>282</v>
      </c>
      <c r="E39" s="98" t="s">
        <v>259</v>
      </c>
      <c r="F39" s="98">
        <v>2338.75</v>
      </c>
      <c r="G39" t="str">
        <f t="shared" si="0"/>
        <v>固收型</v>
      </c>
      <c r="L39" s="45" t="s">
        <v>341</v>
      </c>
      <c r="M39" s="53">
        <v>238851.94000000003</v>
      </c>
      <c r="N39" s="77" t="s">
        <v>499</v>
      </c>
    </row>
    <row r="40" spans="1:14">
      <c r="A40" s="6">
        <v>44074</v>
      </c>
      <c r="B40" s="98"/>
      <c r="C40" s="98" t="s">
        <v>286</v>
      </c>
      <c r="D40" s="98" t="s">
        <v>282</v>
      </c>
      <c r="E40" s="98" t="s">
        <v>259</v>
      </c>
      <c r="F40" s="98">
        <v>7617.82</v>
      </c>
      <c r="G40" t="str">
        <f t="shared" si="0"/>
        <v>固收型</v>
      </c>
      <c r="L40" s="45" t="s">
        <v>452</v>
      </c>
      <c r="M40" s="53">
        <v>12511.739999999998</v>
      </c>
      <c r="N40" s="77" t="s">
        <v>499</v>
      </c>
    </row>
    <row r="41" spans="1:14">
      <c r="A41" s="6">
        <v>44074</v>
      </c>
      <c r="B41" s="98" t="s">
        <v>287</v>
      </c>
      <c r="C41" s="98" t="s">
        <v>254</v>
      </c>
      <c r="D41" s="98" t="s">
        <v>288</v>
      </c>
      <c r="E41" s="98" t="s">
        <v>256</v>
      </c>
      <c r="F41" s="98">
        <v>117.89</v>
      </c>
      <c r="G41" t="str">
        <f t="shared" si="0"/>
        <v>基础设施债权</v>
      </c>
      <c r="L41" s="45" t="s">
        <v>480</v>
      </c>
      <c r="M41" s="53">
        <v>23.99</v>
      </c>
      <c r="N41" s="77" t="s">
        <v>499</v>
      </c>
    </row>
    <row r="42" spans="1:14">
      <c r="A42" s="6">
        <v>44074</v>
      </c>
      <c r="B42" s="98"/>
      <c r="C42" s="98" t="s">
        <v>274</v>
      </c>
      <c r="D42" s="98" t="s">
        <v>288</v>
      </c>
      <c r="E42" s="98" t="s">
        <v>256</v>
      </c>
      <c r="F42" s="98">
        <v>1222.7</v>
      </c>
      <c r="G42" t="str">
        <f t="shared" si="0"/>
        <v>基础设施债权</v>
      </c>
      <c r="L42" s="45" t="s">
        <v>397</v>
      </c>
      <c r="M42" s="53">
        <v>9089.32</v>
      </c>
      <c r="N42" s="77" t="s">
        <v>499</v>
      </c>
    </row>
    <row r="43" spans="1:14">
      <c r="A43" s="6">
        <v>44074</v>
      </c>
      <c r="B43" s="98"/>
      <c r="C43" s="98" t="s">
        <v>263</v>
      </c>
      <c r="D43" s="98" t="s">
        <v>288</v>
      </c>
      <c r="E43" s="98" t="s">
        <v>256</v>
      </c>
      <c r="F43" s="98">
        <v>49</v>
      </c>
      <c r="G43" t="str">
        <f t="shared" si="0"/>
        <v>基础设施债权</v>
      </c>
      <c r="L43" s="45" t="s">
        <v>448</v>
      </c>
      <c r="M43" s="53">
        <v>14053.51</v>
      </c>
      <c r="N43" s="77" t="s">
        <v>499</v>
      </c>
    </row>
    <row r="44" spans="1:14">
      <c r="A44" s="6">
        <v>44074</v>
      </c>
      <c r="B44" s="98"/>
      <c r="C44" s="98" t="s">
        <v>265</v>
      </c>
      <c r="D44" s="98" t="s">
        <v>288</v>
      </c>
      <c r="E44" s="98" t="s">
        <v>256</v>
      </c>
      <c r="F44" s="98">
        <v>22.42</v>
      </c>
      <c r="G44" t="str">
        <f t="shared" si="0"/>
        <v>基础设施债权</v>
      </c>
      <c r="L44" s="45" t="s">
        <v>450</v>
      </c>
      <c r="M44" s="53">
        <v>3896.76</v>
      </c>
      <c r="N44" s="77" t="s">
        <v>499</v>
      </c>
    </row>
    <row r="45" spans="1:14">
      <c r="A45" s="6">
        <v>44074</v>
      </c>
      <c r="B45" s="98"/>
      <c r="C45" s="98" t="s">
        <v>257</v>
      </c>
      <c r="D45" s="98" t="s">
        <v>288</v>
      </c>
      <c r="E45" s="98" t="s">
        <v>256</v>
      </c>
      <c r="F45" s="98">
        <v>64</v>
      </c>
      <c r="G45" t="str">
        <f t="shared" si="0"/>
        <v>基础设施债权</v>
      </c>
      <c r="L45" s="45" t="s">
        <v>468</v>
      </c>
      <c r="M45" s="53">
        <v>292.14999999999998</v>
      </c>
      <c r="N45" s="77" t="s">
        <v>521</v>
      </c>
    </row>
    <row r="46" spans="1:14">
      <c r="A46" s="6">
        <v>44074</v>
      </c>
      <c r="B46" s="98"/>
      <c r="C46" s="98" t="s">
        <v>276</v>
      </c>
      <c r="D46" s="98" t="s">
        <v>288</v>
      </c>
      <c r="E46" s="98" t="s">
        <v>256</v>
      </c>
      <c r="F46" s="98">
        <v>386.66</v>
      </c>
      <c r="G46" t="str">
        <f t="shared" si="0"/>
        <v>基础设施债权</v>
      </c>
      <c r="L46" s="45" t="s">
        <v>466</v>
      </c>
      <c r="M46" s="53">
        <v>1167.7899999999997</v>
      </c>
      <c r="N46" s="77" t="s">
        <v>522</v>
      </c>
    </row>
    <row r="47" spans="1:14">
      <c r="A47" s="6">
        <v>44074</v>
      </c>
      <c r="B47" s="98"/>
      <c r="C47" s="98" t="s">
        <v>283</v>
      </c>
      <c r="D47" s="98" t="s">
        <v>288</v>
      </c>
      <c r="E47" s="98" t="s">
        <v>256</v>
      </c>
      <c r="F47" s="98">
        <v>38.729999999999997</v>
      </c>
      <c r="G47" t="str">
        <f t="shared" si="0"/>
        <v>基础设施债权</v>
      </c>
      <c r="L47" s="45" t="s">
        <v>464</v>
      </c>
      <c r="M47" s="53">
        <v>599.56000000000006</v>
      </c>
      <c r="N47" s="77" t="s">
        <v>500</v>
      </c>
    </row>
    <row r="48" spans="1:14">
      <c r="A48" s="6">
        <v>44074</v>
      </c>
      <c r="B48" s="98"/>
      <c r="C48" s="98" t="s">
        <v>266</v>
      </c>
      <c r="D48" s="98" t="s">
        <v>288</v>
      </c>
      <c r="E48" s="98" t="s">
        <v>256</v>
      </c>
      <c r="F48" s="98">
        <v>180.36</v>
      </c>
      <c r="G48" t="str">
        <f t="shared" si="0"/>
        <v>基础设施债权</v>
      </c>
      <c r="L48" s="45" t="s">
        <v>349</v>
      </c>
      <c r="M48" s="53">
        <v>39375.330000000009</v>
      </c>
      <c r="N48" s="77" t="s">
        <v>523</v>
      </c>
    </row>
    <row r="49" spans="1:14">
      <c r="A49" s="6">
        <v>44074</v>
      </c>
      <c r="B49" s="98"/>
      <c r="C49" s="98" t="s">
        <v>289</v>
      </c>
      <c r="D49" s="98" t="s">
        <v>288</v>
      </c>
      <c r="E49" s="98" t="s">
        <v>259</v>
      </c>
      <c r="F49" s="98">
        <v>6109.65</v>
      </c>
      <c r="G49" t="str">
        <f t="shared" si="0"/>
        <v>基础设施债权</v>
      </c>
      <c r="L49" s="45" t="s">
        <v>370</v>
      </c>
      <c r="M49" s="53">
        <v>78010.080000000002</v>
      </c>
      <c r="N49" s="77" t="s">
        <v>523</v>
      </c>
    </row>
    <row r="50" spans="1:14">
      <c r="A50" s="6">
        <v>44074</v>
      </c>
      <c r="B50" s="98"/>
      <c r="C50" s="98" t="s">
        <v>290</v>
      </c>
      <c r="D50" s="98" t="s">
        <v>288</v>
      </c>
      <c r="E50" s="98" t="s">
        <v>259</v>
      </c>
      <c r="F50" s="98">
        <v>2636.72</v>
      </c>
      <c r="G50" t="str">
        <f t="shared" si="0"/>
        <v>基础设施债权</v>
      </c>
      <c r="L50" s="45" t="s">
        <v>372</v>
      </c>
      <c r="M50" s="53">
        <v>3500.6</v>
      </c>
      <c r="N50" s="77" t="s">
        <v>523</v>
      </c>
    </row>
    <row r="51" spans="1:14">
      <c r="A51" s="6">
        <v>44074</v>
      </c>
      <c r="B51" s="98"/>
      <c r="C51" s="98" t="s">
        <v>284</v>
      </c>
      <c r="D51" s="98" t="s">
        <v>288</v>
      </c>
      <c r="E51" s="98" t="s">
        <v>259</v>
      </c>
      <c r="F51" s="98">
        <v>1579.95</v>
      </c>
      <c r="G51" t="str">
        <f t="shared" si="0"/>
        <v>基础设施债权</v>
      </c>
      <c r="L51" s="45" t="s">
        <v>374</v>
      </c>
      <c r="M51" s="53">
        <v>68656.110000000015</v>
      </c>
      <c r="N51" s="77" t="s">
        <v>523</v>
      </c>
    </row>
    <row r="52" spans="1:14">
      <c r="A52" s="6">
        <v>44074</v>
      </c>
      <c r="B52" s="98"/>
      <c r="C52" s="98" t="s">
        <v>258</v>
      </c>
      <c r="D52" s="98" t="s">
        <v>288</v>
      </c>
      <c r="E52" s="98" t="s">
        <v>259</v>
      </c>
      <c r="F52" s="98">
        <v>3873.5</v>
      </c>
      <c r="G52" t="str">
        <f t="shared" si="0"/>
        <v>基础设施债权</v>
      </c>
      <c r="L52" s="45" t="s">
        <v>379</v>
      </c>
      <c r="M52" s="53">
        <v>203499.05000000002</v>
      </c>
      <c r="N52" s="77" t="s">
        <v>523</v>
      </c>
    </row>
    <row r="53" spans="1:14">
      <c r="A53" s="6">
        <v>44074</v>
      </c>
      <c r="B53" s="98"/>
      <c r="C53" s="98" t="s">
        <v>291</v>
      </c>
      <c r="D53" s="98" t="s">
        <v>288</v>
      </c>
      <c r="E53" s="98" t="s">
        <v>259</v>
      </c>
      <c r="F53" s="98">
        <v>12755.95</v>
      </c>
      <c r="G53" t="str">
        <f t="shared" si="0"/>
        <v>基础设施债权</v>
      </c>
      <c r="L53" s="45" t="s">
        <v>442</v>
      </c>
      <c r="M53" s="53">
        <v>72811.09</v>
      </c>
      <c r="N53" s="77" t="s">
        <v>523</v>
      </c>
    </row>
    <row r="54" spans="1:14">
      <c r="A54" s="6">
        <v>44074</v>
      </c>
      <c r="B54" s="98"/>
      <c r="C54" s="98" t="s">
        <v>260</v>
      </c>
      <c r="D54" s="98" t="s">
        <v>288</v>
      </c>
      <c r="E54" s="98" t="s">
        <v>259</v>
      </c>
      <c r="F54" s="98">
        <v>11880</v>
      </c>
      <c r="G54" t="str">
        <f t="shared" si="0"/>
        <v>基础设施债权</v>
      </c>
      <c r="L54" s="45" t="s">
        <v>309</v>
      </c>
      <c r="M54" s="53">
        <v>230634.72999999995</v>
      </c>
      <c r="N54" s="77" t="s">
        <v>503</v>
      </c>
    </row>
    <row r="55" spans="1:14">
      <c r="A55" s="6">
        <v>44074</v>
      </c>
      <c r="B55" s="98"/>
      <c r="C55" s="98" t="s">
        <v>292</v>
      </c>
      <c r="D55" s="98" t="s">
        <v>288</v>
      </c>
      <c r="E55" s="98" t="s">
        <v>259</v>
      </c>
      <c r="F55" s="98">
        <v>9142.5499999999993</v>
      </c>
      <c r="G55" t="str">
        <f t="shared" si="0"/>
        <v>基础设施债权</v>
      </c>
      <c r="L55" s="45" t="s">
        <v>327</v>
      </c>
      <c r="M55" s="53">
        <v>41370.92</v>
      </c>
      <c r="N55" s="77" t="s">
        <v>501</v>
      </c>
    </row>
    <row r="56" spans="1:14">
      <c r="A56" s="6">
        <v>44074</v>
      </c>
      <c r="B56" s="98"/>
      <c r="C56" s="98" t="s">
        <v>293</v>
      </c>
      <c r="D56" s="98" t="s">
        <v>288</v>
      </c>
      <c r="E56" s="98" t="s">
        <v>259</v>
      </c>
      <c r="F56" s="98">
        <v>14287.13</v>
      </c>
      <c r="G56" t="str">
        <f t="shared" si="0"/>
        <v>基础设施债权</v>
      </c>
      <c r="L56" s="45" t="s">
        <v>353</v>
      </c>
      <c r="M56" s="53">
        <v>164.71</v>
      </c>
      <c r="N56" s="77" t="s">
        <v>525</v>
      </c>
    </row>
    <row r="57" spans="1:14">
      <c r="A57" s="6">
        <v>44074</v>
      </c>
      <c r="B57" s="98"/>
      <c r="C57" s="98" t="s">
        <v>268</v>
      </c>
      <c r="D57" s="98" t="s">
        <v>288</v>
      </c>
      <c r="E57" s="98" t="s">
        <v>259</v>
      </c>
      <c r="F57" s="98">
        <v>2464.7199999999998</v>
      </c>
      <c r="G57" t="str">
        <f t="shared" si="0"/>
        <v>基础设施债权</v>
      </c>
      <c r="L57" s="45" t="s">
        <v>411</v>
      </c>
      <c r="M57" s="53">
        <v>59.300000000000011</v>
      </c>
      <c r="N57" s="77" t="s">
        <v>526</v>
      </c>
    </row>
    <row r="58" spans="1:14">
      <c r="A58" s="6">
        <v>44074</v>
      </c>
      <c r="B58" s="98"/>
      <c r="C58" s="98" t="s">
        <v>294</v>
      </c>
      <c r="D58" s="98" t="s">
        <v>288</v>
      </c>
      <c r="E58" s="98" t="s">
        <v>259</v>
      </c>
      <c r="F58" s="98">
        <v>4086.26</v>
      </c>
      <c r="G58" t="str">
        <f t="shared" si="0"/>
        <v>基础设施债权</v>
      </c>
      <c r="L58" s="45" t="s">
        <v>456</v>
      </c>
      <c r="M58" s="53">
        <v>12537.489999999998</v>
      </c>
      <c r="N58" s="77" t="s">
        <v>526</v>
      </c>
    </row>
    <row r="59" spans="1:14">
      <c r="A59" s="6">
        <v>44074</v>
      </c>
      <c r="B59" s="98"/>
      <c r="C59" s="98" t="s">
        <v>295</v>
      </c>
      <c r="D59" s="98" t="s">
        <v>288</v>
      </c>
      <c r="E59" s="98" t="s">
        <v>259</v>
      </c>
      <c r="F59" s="98">
        <v>2411.35</v>
      </c>
      <c r="G59" t="str">
        <f t="shared" si="0"/>
        <v>基础设施债权</v>
      </c>
      <c r="L59" s="45" t="s">
        <v>421</v>
      </c>
      <c r="M59" s="53">
        <v>2402.3200000000002</v>
      </c>
      <c r="N59" s="77" t="s">
        <v>526</v>
      </c>
    </row>
    <row r="60" spans="1:14">
      <c r="A60" s="6">
        <v>44074</v>
      </c>
      <c r="B60" s="98"/>
      <c r="C60" s="98" t="s">
        <v>296</v>
      </c>
      <c r="D60" s="98" t="s">
        <v>288</v>
      </c>
      <c r="E60" s="98" t="s">
        <v>259</v>
      </c>
      <c r="F60" s="98">
        <v>2411.35</v>
      </c>
      <c r="G60" t="str">
        <f t="shared" si="0"/>
        <v>基础设施债权</v>
      </c>
      <c r="L60" s="45" t="s">
        <v>423</v>
      </c>
      <c r="M60" s="53">
        <v>8431.57</v>
      </c>
      <c r="N60" s="77" t="s">
        <v>526</v>
      </c>
    </row>
    <row r="61" spans="1:14">
      <c r="A61" s="6">
        <v>44074</v>
      </c>
      <c r="B61" s="98"/>
      <c r="C61" s="98" t="s">
        <v>297</v>
      </c>
      <c r="D61" s="98" t="s">
        <v>288</v>
      </c>
      <c r="E61" s="98" t="s">
        <v>259</v>
      </c>
      <c r="F61" s="98">
        <v>9626.7800000000007</v>
      </c>
      <c r="G61" t="str">
        <f t="shared" si="0"/>
        <v>基础设施债权</v>
      </c>
      <c r="L61" s="45" t="s">
        <v>425</v>
      </c>
      <c r="M61" s="53">
        <v>15262.42</v>
      </c>
      <c r="N61" s="77" t="s">
        <v>526</v>
      </c>
    </row>
    <row r="62" spans="1:14">
      <c r="A62" s="6">
        <v>44074</v>
      </c>
      <c r="B62" s="98"/>
      <c r="C62" s="98" t="s">
        <v>298</v>
      </c>
      <c r="D62" s="98" t="s">
        <v>288</v>
      </c>
      <c r="E62" s="98" t="s">
        <v>259</v>
      </c>
      <c r="F62" s="98">
        <v>1929.08</v>
      </c>
      <c r="G62" t="str">
        <f t="shared" si="0"/>
        <v>基础设施债权</v>
      </c>
      <c r="L62" s="45" t="s">
        <v>427</v>
      </c>
      <c r="M62" s="53">
        <v>36.49</v>
      </c>
      <c r="N62" s="77" t="s">
        <v>526</v>
      </c>
    </row>
    <row r="63" spans="1:14">
      <c r="A63" s="6">
        <v>44074</v>
      </c>
      <c r="B63" s="98"/>
      <c r="C63" s="98" t="s">
        <v>269</v>
      </c>
      <c r="D63" s="98" t="s">
        <v>288</v>
      </c>
      <c r="E63" s="98" t="s">
        <v>270</v>
      </c>
      <c r="F63" s="98">
        <v>35942.079999999994</v>
      </c>
      <c r="G63" t="str">
        <f t="shared" si="0"/>
        <v>基础设施债权</v>
      </c>
      <c r="L63" s="45" t="s">
        <v>438</v>
      </c>
      <c r="M63" s="53">
        <v>7632.380000000001</v>
      </c>
      <c r="N63" s="77" t="s">
        <v>526</v>
      </c>
    </row>
    <row r="64" spans="1:14">
      <c r="A64" s="6">
        <v>44074</v>
      </c>
      <c r="B64" s="98"/>
      <c r="C64" s="98" t="s">
        <v>271</v>
      </c>
      <c r="D64" s="98" t="s">
        <v>288</v>
      </c>
      <c r="E64" s="98" t="s">
        <v>270</v>
      </c>
      <c r="F64" s="98">
        <v>30543.890000000003</v>
      </c>
      <c r="G64" t="str">
        <f t="shared" si="0"/>
        <v>基础设施债权</v>
      </c>
      <c r="L64" s="45" t="s">
        <v>440</v>
      </c>
      <c r="M64" s="53">
        <v>6396.51</v>
      </c>
      <c r="N64" s="77" t="s">
        <v>526</v>
      </c>
    </row>
    <row r="65" spans="1:14">
      <c r="A65" s="6">
        <v>44074</v>
      </c>
      <c r="B65" s="98"/>
      <c r="C65" s="98" t="s">
        <v>261</v>
      </c>
      <c r="D65" s="98" t="s">
        <v>288</v>
      </c>
      <c r="E65" s="98" t="s">
        <v>259</v>
      </c>
      <c r="F65" s="98">
        <v>1193.48</v>
      </c>
      <c r="G65" t="str">
        <f t="shared" si="0"/>
        <v>基础设施债权</v>
      </c>
      <c r="L65" s="45" t="s">
        <v>317</v>
      </c>
      <c r="M65" s="53">
        <v>1540.37</v>
      </c>
      <c r="N65" s="77" t="s">
        <v>526</v>
      </c>
    </row>
    <row r="66" spans="1:14">
      <c r="A66" s="6">
        <v>44074</v>
      </c>
      <c r="B66" s="98"/>
      <c r="C66" s="98" t="s">
        <v>272</v>
      </c>
      <c r="D66" s="98" t="s">
        <v>288</v>
      </c>
      <c r="E66" s="98" t="s">
        <v>270</v>
      </c>
      <c r="F66" s="98">
        <v>10699.13</v>
      </c>
      <c r="G66" t="str">
        <f t="shared" si="0"/>
        <v>基础设施债权</v>
      </c>
      <c r="L66" s="45" t="s">
        <v>483</v>
      </c>
      <c r="M66" s="53">
        <v>2560.0500000000002</v>
      </c>
      <c r="N66" s="77" t="s">
        <v>526</v>
      </c>
    </row>
    <row r="67" spans="1:14">
      <c r="A67" s="6">
        <v>44074</v>
      </c>
      <c r="B67" s="98" t="s">
        <v>299</v>
      </c>
      <c r="C67" s="98" t="s">
        <v>254</v>
      </c>
      <c r="D67" s="98" t="s">
        <v>300</v>
      </c>
      <c r="E67" s="98" t="s">
        <v>256</v>
      </c>
      <c r="F67" s="98">
        <v>1785.58</v>
      </c>
      <c r="G67" t="str">
        <f t="shared" ref="G67:G130" si="2">VLOOKUP(D67,L:N,3,0)</f>
        <v>信托型</v>
      </c>
      <c r="L67" s="45" t="s">
        <v>329</v>
      </c>
      <c r="M67" s="53">
        <v>1905.1100000000004</v>
      </c>
      <c r="N67" s="77" t="s">
        <v>526</v>
      </c>
    </row>
    <row r="68" spans="1:14">
      <c r="A68" s="6">
        <v>44074</v>
      </c>
      <c r="B68" s="98"/>
      <c r="C68" s="98" t="s">
        <v>274</v>
      </c>
      <c r="D68" s="98" t="s">
        <v>300</v>
      </c>
      <c r="E68" s="98" t="s">
        <v>256</v>
      </c>
      <c r="F68" s="98">
        <v>9793.16</v>
      </c>
      <c r="G68" t="str">
        <f t="shared" si="2"/>
        <v>信托型</v>
      </c>
      <c r="L68" s="45" t="s">
        <v>357</v>
      </c>
      <c r="M68" s="53">
        <v>994.45999999999992</v>
      </c>
      <c r="N68" s="77" t="s">
        <v>526</v>
      </c>
    </row>
    <row r="69" spans="1:14">
      <c r="A69" s="6">
        <v>44074</v>
      </c>
      <c r="B69" s="98"/>
      <c r="C69" s="98" t="s">
        <v>263</v>
      </c>
      <c r="D69" s="98" t="s">
        <v>300</v>
      </c>
      <c r="E69" s="98" t="s">
        <v>256</v>
      </c>
      <c r="F69" s="98">
        <v>66.63</v>
      </c>
      <c r="G69" t="str">
        <f t="shared" si="2"/>
        <v>信托型</v>
      </c>
      <c r="L69" s="45" t="s">
        <v>359</v>
      </c>
      <c r="M69" s="53">
        <v>39.76</v>
      </c>
      <c r="N69" s="77" t="s">
        <v>526</v>
      </c>
    </row>
    <row r="70" spans="1:14">
      <c r="A70" s="6">
        <v>44074</v>
      </c>
      <c r="B70" s="98"/>
      <c r="C70" s="98" t="s">
        <v>265</v>
      </c>
      <c r="D70" s="98" t="s">
        <v>300</v>
      </c>
      <c r="E70" s="98" t="s">
        <v>256</v>
      </c>
      <c r="F70" s="98">
        <v>34.630000000000003</v>
      </c>
      <c r="G70" t="str">
        <f t="shared" si="2"/>
        <v>信托型</v>
      </c>
      <c r="L70" s="45" t="s">
        <v>395</v>
      </c>
      <c r="M70" s="53">
        <v>55436.62000000001</v>
      </c>
      <c r="N70" s="77" t="s">
        <v>526</v>
      </c>
    </row>
    <row r="71" spans="1:14">
      <c r="A71" s="6">
        <v>44074</v>
      </c>
      <c r="B71" s="98"/>
      <c r="C71" s="98" t="s">
        <v>257</v>
      </c>
      <c r="D71" s="98" t="s">
        <v>300</v>
      </c>
      <c r="E71" s="98" t="s">
        <v>256</v>
      </c>
      <c r="F71" s="98">
        <v>2707.73</v>
      </c>
      <c r="G71" t="str">
        <f t="shared" si="2"/>
        <v>信托型</v>
      </c>
      <c r="L71" s="45" t="s">
        <v>401</v>
      </c>
      <c r="M71" s="53">
        <v>1654.15</v>
      </c>
      <c r="N71" s="77" t="s">
        <v>526</v>
      </c>
    </row>
    <row r="72" spans="1:14">
      <c r="A72" s="6">
        <v>44074</v>
      </c>
      <c r="B72" s="98"/>
      <c r="C72" s="98" t="s">
        <v>276</v>
      </c>
      <c r="D72" s="98" t="s">
        <v>300</v>
      </c>
      <c r="E72" s="98" t="s">
        <v>256</v>
      </c>
      <c r="F72" s="98">
        <v>978.81</v>
      </c>
      <c r="G72" t="str">
        <f t="shared" si="2"/>
        <v>信托型</v>
      </c>
      <c r="L72" s="45" t="s">
        <v>407</v>
      </c>
      <c r="M72" s="53">
        <v>2173.73</v>
      </c>
      <c r="N72" s="77" t="s">
        <v>526</v>
      </c>
    </row>
    <row r="73" spans="1:14">
      <c r="A73" s="6">
        <v>44074</v>
      </c>
      <c r="B73" s="98"/>
      <c r="C73" s="98" t="s">
        <v>283</v>
      </c>
      <c r="D73" s="98" t="s">
        <v>300</v>
      </c>
      <c r="E73" s="98" t="s">
        <v>256</v>
      </c>
      <c r="F73" s="98">
        <v>9.74</v>
      </c>
      <c r="G73" t="str">
        <f t="shared" si="2"/>
        <v>信托型</v>
      </c>
      <c r="L73" s="45" t="s">
        <v>409</v>
      </c>
      <c r="M73" s="53">
        <v>26188.48</v>
      </c>
      <c r="N73" s="77" t="s">
        <v>526</v>
      </c>
    </row>
    <row r="74" spans="1:14">
      <c r="A74" s="6">
        <v>44074</v>
      </c>
      <c r="B74" s="98"/>
      <c r="C74" s="98" t="s">
        <v>266</v>
      </c>
      <c r="D74" s="98" t="s">
        <v>300</v>
      </c>
      <c r="E74" s="98" t="s">
        <v>256</v>
      </c>
      <c r="F74" s="98">
        <v>496.02</v>
      </c>
      <c r="G74" t="str">
        <f t="shared" si="2"/>
        <v>信托型</v>
      </c>
      <c r="L74" s="45" t="s">
        <v>454</v>
      </c>
      <c r="M74" s="53">
        <v>1273.03</v>
      </c>
      <c r="N74" s="77" t="s">
        <v>526</v>
      </c>
    </row>
    <row r="75" spans="1:14">
      <c r="A75" s="6">
        <v>44074</v>
      </c>
      <c r="B75" s="98"/>
      <c r="C75" s="98" t="s">
        <v>289</v>
      </c>
      <c r="D75" s="98" t="s">
        <v>300</v>
      </c>
      <c r="E75" s="98" t="s">
        <v>259</v>
      </c>
      <c r="F75" s="98">
        <v>2451.5500000000002</v>
      </c>
      <c r="G75" t="str">
        <f t="shared" si="2"/>
        <v>信托型</v>
      </c>
      <c r="L75" s="45" t="s">
        <v>405</v>
      </c>
      <c r="M75" s="53">
        <v>13358.7</v>
      </c>
      <c r="N75" s="77" t="s">
        <v>526</v>
      </c>
    </row>
    <row r="76" spans="1:14">
      <c r="A76" s="6">
        <v>44074</v>
      </c>
      <c r="B76" s="98"/>
      <c r="C76" s="98" t="s">
        <v>267</v>
      </c>
      <c r="D76" s="98" t="s">
        <v>300</v>
      </c>
      <c r="E76" s="98" t="s">
        <v>259</v>
      </c>
      <c r="F76" s="98">
        <v>2642.45</v>
      </c>
      <c r="G76" t="str">
        <f t="shared" si="2"/>
        <v>信托型</v>
      </c>
      <c r="L76" s="45" t="s">
        <v>393</v>
      </c>
      <c r="M76" s="53">
        <v>142.06</v>
      </c>
      <c r="N76" s="77" t="s">
        <v>527</v>
      </c>
    </row>
    <row r="77" spans="1:14">
      <c r="A77" s="6">
        <v>44074</v>
      </c>
      <c r="B77" s="98"/>
      <c r="C77" s="98" t="s">
        <v>290</v>
      </c>
      <c r="D77" s="98" t="s">
        <v>300</v>
      </c>
      <c r="E77" s="98" t="s">
        <v>259</v>
      </c>
      <c r="F77" s="98">
        <v>6525.68</v>
      </c>
      <c r="G77" t="str">
        <f t="shared" si="2"/>
        <v>信托型</v>
      </c>
      <c r="L77" s="45" t="s">
        <v>497</v>
      </c>
      <c r="M77" s="53">
        <v>76.61</v>
      </c>
      <c r="N77" s="77" t="s">
        <v>528</v>
      </c>
    </row>
    <row r="78" spans="1:14">
      <c r="A78" s="6">
        <v>44074</v>
      </c>
      <c r="B78" s="98"/>
      <c r="C78" s="98" t="s">
        <v>301</v>
      </c>
      <c r="D78" s="98" t="s">
        <v>300</v>
      </c>
      <c r="E78" s="98" t="s">
        <v>259</v>
      </c>
      <c r="F78" s="98">
        <v>307.33999999999997</v>
      </c>
      <c r="G78" t="str">
        <f t="shared" si="2"/>
        <v>信托型</v>
      </c>
      <c r="L78" s="45" t="s">
        <v>413</v>
      </c>
      <c r="M78" s="53">
        <v>24193.279999999999</v>
      </c>
      <c r="N78" s="77" t="s">
        <v>527</v>
      </c>
    </row>
    <row r="79" spans="1:14">
      <c r="A79" s="6">
        <v>44074</v>
      </c>
      <c r="B79" s="98"/>
      <c r="C79" s="98" t="s">
        <v>284</v>
      </c>
      <c r="D79" s="98" t="s">
        <v>300</v>
      </c>
      <c r="E79" s="98" t="s">
        <v>259</v>
      </c>
      <c r="F79" s="98">
        <v>730.77</v>
      </c>
      <c r="G79" t="str">
        <f t="shared" si="2"/>
        <v>信托型</v>
      </c>
      <c r="L79" s="45" t="s">
        <v>416</v>
      </c>
      <c r="M79" s="53">
        <v>14913.380000000001</v>
      </c>
      <c r="N79" s="77" t="s">
        <v>527</v>
      </c>
    </row>
    <row r="80" spans="1:14">
      <c r="A80" s="6">
        <v>44074</v>
      </c>
      <c r="B80" s="98"/>
      <c r="C80" s="98" t="s">
        <v>258</v>
      </c>
      <c r="D80" s="98" t="s">
        <v>300</v>
      </c>
      <c r="E80" s="98" t="s">
        <v>259</v>
      </c>
      <c r="F80" s="98">
        <v>3012.76</v>
      </c>
      <c r="G80" t="str">
        <f t="shared" si="2"/>
        <v>信托型</v>
      </c>
      <c r="L80" s="45" t="s">
        <v>429</v>
      </c>
      <c r="M80" s="53">
        <v>12976.579999999998</v>
      </c>
      <c r="N80" s="77" t="s">
        <v>527</v>
      </c>
    </row>
    <row r="81" spans="1:14">
      <c r="A81" s="6">
        <v>44074</v>
      </c>
      <c r="B81" s="98"/>
      <c r="C81" s="98" t="s">
        <v>302</v>
      </c>
      <c r="D81" s="98" t="s">
        <v>300</v>
      </c>
      <c r="E81" s="98" t="s">
        <v>259</v>
      </c>
      <c r="F81" s="98">
        <v>2269.46</v>
      </c>
      <c r="G81" t="str">
        <f t="shared" si="2"/>
        <v>信托型</v>
      </c>
      <c r="L81" s="45" t="s">
        <v>434</v>
      </c>
      <c r="M81" s="53">
        <v>10428.679999999998</v>
      </c>
      <c r="N81" s="77" t="s">
        <v>527</v>
      </c>
    </row>
    <row r="82" spans="1:14">
      <c r="A82" s="6">
        <v>44074</v>
      </c>
      <c r="B82" s="98"/>
      <c r="C82" s="98" t="s">
        <v>303</v>
      </c>
      <c r="D82" s="98" t="s">
        <v>300</v>
      </c>
      <c r="E82" s="98" t="s">
        <v>259</v>
      </c>
      <c r="F82" s="98">
        <v>14843.12</v>
      </c>
      <c r="G82" t="str">
        <f t="shared" si="2"/>
        <v>信托型</v>
      </c>
      <c r="L82" s="45" t="s">
        <v>321</v>
      </c>
      <c r="M82" s="53">
        <v>2032.7799999999997</v>
      </c>
      <c r="N82" s="77" t="s">
        <v>527</v>
      </c>
    </row>
    <row r="83" spans="1:14">
      <c r="A83" s="6">
        <v>44074</v>
      </c>
      <c r="B83" s="98"/>
      <c r="C83" s="98" t="s">
        <v>268</v>
      </c>
      <c r="D83" s="98" t="s">
        <v>300</v>
      </c>
      <c r="E83" s="98" t="s">
        <v>259</v>
      </c>
      <c r="F83" s="98">
        <v>1185.01</v>
      </c>
      <c r="G83" t="str">
        <f t="shared" si="2"/>
        <v>信托型</v>
      </c>
      <c r="L83" s="45" t="s">
        <v>55</v>
      </c>
      <c r="M83" s="53"/>
    </row>
    <row r="84" spans="1:14">
      <c r="A84" s="6">
        <v>44074</v>
      </c>
      <c r="B84" s="98"/>
      <c r="C84" s="98" t="s">
        <v>277</v>
      </c>
      <c r="D84" s="98" t="s">
        <v>300</v>
      </c>
      <c r="E84" s="98" t="s">
        <v>259</v>
      </c>
      <c r="F84" s="98">
        <v>1814.25</v>
      </c>
      <c r="G84" t="str">
        <f t="shared" si="2"/>
        <v>信托型</v>
      </c>
      <c r="L84" s="45" t="s">
        <v>57</v>
      </c>
      <c r="M84" s="53">
        <v>4825860.2800000021</v>
      </c>
    </row>
    <row r="85" spans="1:14">
      <c r="A85" s="6">
        <v>44074</v>
      </c>
      <c r="B85" s="98"/>
      <c r="C85" s="98" t="s">
        <v>304</v>
      </c>
      <c r="D85" s="98" t="s">
        <v>300</v>
      </c>
      <c r="E85" s="98" t="s">
        <v>259</v>
      </c>
      <c r="F85" s="98">
        <v>185.68</v>
      </c>
      <c r="G85" t="str">
        <f t="shared" si="2"/>
        <v>信托型</v>
      </c>
    </row>
    <row r="86" spans="1:14">
      <c r="A86" s="6">
        <v>44074</v>
      </c>
      <c r="B86" s="98"/>
      <c r="C86" s="98" t="s">
        <v>305</v>
      </c>
      <c r="D86" s="98" t="s">
        <v>300</v>
      </c>
      <c r="E86" s="98" t="s">
        <v>259</v>
      </c>
      <c r="F86" s="98">
        <v>1525.16</v>
      </c>
      <c r="G86" t="str">
        <f t="shared" si="2"/>
        <v>信托型</v>
      </c>
    </row>
    <row r="87" spans="1:14">
      <c r="A87" s="6">
        <v>44074</v>
      </c>
      <c r="B87" s="98"/>
      <c r="C87" s="98" t="s">
        <v>269</v>
      </c>
      <c r="D87" s="98" t="s">
        <v>300</v>
      </c>
      <c r="E87" s="98" t="s">
        <v>270</v>
      </c>
      <c r="F87" s="98">
        <v>11107.98</v>
      </c>
      <c r="G87" t="str">
        <f t="shared" si="2"/>
        <v>信托型</v>
      </c>
    </row>
    <row r="88" spans="1:14">
      <c r="A88" s="6">
        <v>44074</v>
      </c>
      <c r="B88" s="98"/>
      <c r="C88" s="98" t="s">
        <v>278</v>
      </c>
      <c r="D88" s="98" t="s">
        <v>300</v>
      </c>
      <c r="E88" s="98" t="s">
        <v>270</v>
      </c>
      <c r="F88" s="98">
        <v>385677.23</v>
      </c>
      <c r="G88" t="str">
        <f t="shared" si="2"/>
        <v>信托型</v>
      </c>
    </row>
    <row r="89" spans="1:14">
      <c r="A89" s="6">
        <v>44074</v>
      </c>
      <c r="B89" s="98"/>
      <c r="C89" s="98" t="s">
        <v>271</v>
      </c>
      <c r="D89" s="98" t="s">
        <v>300</v>
      </c>
      <c r="E89" s="98" t="s">
        <v>270</v>
      </c>
      <c r="F89" s="98">
        <v>6486.23</v>
      </c>
      <c r="G89" t="str">
        <f t="shared" si="2"/>
        <v>信托型</v>
      </c>
    </row>
    <row r="90" spans="1:14">
      <c r="A90" s="6">
        <v>44074</v>
      </c>
      <c r="B90" s="98"/>
      <c r="C90" s="98" t="s">
        <v>261</v>
      </c>
      <c r="D90" s="98" t="s">
        <v>300</v>
      </c>
      <c r="E90" s="98" t="s">
        <v>259</v>
      </c>
      <c r="F90" s="98">
        <v>2230.5100000000002</v>
      </c>
      <c r="G90" t="str">
        <f t="shared" si="2"/>
        <v>信托型</v>
      </c>
    </row>
    <row r="91" spans="1:14">
      <c r="A91" s="6">
        <v>44074</v>
      </c>
      <c r="B91" s="98"/>
      <c r="C91" s="98" t="s">
        <v>272</v>
      </c>
      <c r="D91" s="98" t="s">
        <v>300</v>
      </c>
      <c r="E91" s="98" t="s">
        <v>270</v>
      </c>
      <c r="F91" s="98">
        <v>5467.33</v>
      </c>
      <c r="G91" t="str">
        <f t="shared" si="2"/>
        <v>信托型</v>
      </c>
    </row>
    <row r="92" spans="1:14">
      <c r="A92" s="6">
        <v>44074</v>
      </c>
      <c r="B92" s="98" t="s">
        <v>306</v>
      </c>
      <c r="C92" s="98" t="s">
        <v>254</v>
      </c>
      <c r="D92" s="98" t="s">
        <v>307</v>
      </c>
      <c r="E92" s="98" t="s">
        <v>256</v>
      </c>
      <c r="F92" s="98">
        <v>46.48</v>
      </c>
      <c r="G92" t="str">
        <f t="shared" si="2"/>
        <v>优先股</v>
      </c>
    </row>
    <row r="93" spans="1:14">
      <c r="A93" s="6">
        <v>44074</v>
      </c>
      <c r="B93" s="98"/>
      <c r="C93" s="98" t="s">
        <v>274</v>
      </c>
      <c r="D93" s="98" t="s">
        <v>307</v>
      </c>
      <c r="E93" s="98" t="s">
        <v>256</v>
      </c>
      <c r="F93" s="98">
        <v>0.87</v>
      </c>
      <c r="G93" t="str">
        <f t="shared" si="2"/>
        <v>优先股</v>
      </c>
    </row>
    <row r="94" spans="1:14">
      <c r="A94" s="6">
        <v>44074</v>
      </c>
      <c r="B94" s="98"/>
      <c r="C94" s="98" t="s">
        <v>263</v>
      </c>
      <c r="D94" s="98" t="s">
        <v>307</v>
      </c>
      <c r="E94" s="98" t="s">
        <v>256</v>
      </c>
      <c r="F94" s="98">
        <v>1.01</v>
      </c>
      <c r="G94" t="str">
        <f t="shared" si="2"/>
        <v>优先股</v>
      </c>
    </row>
    <row r="95" spans="1:14">
      <c r="A95" s="6">
        <v>44074</v>
      </c>
      <c r="B95" s="98"/>
      <c r="C95" s="98" t="s">
        <v>257</v>
      </c>
      <c r="D95" s="98" t="s">
        <v>307</v>
      </c>
      <c r="E95" s="98" t="s">
        <v>256</v>
      </c>
      <c r="F95" s="98">
        <v>38.64</v>
      </c>
      <c r="G95" t="str">
        <f t="shared" si="2"/>
        <v>优先股</v>
      </c>
    </row>
    <row r="96" spans="1:14">
      <c r="A96" s="6">
        <v>44074</v>
      </c>
      <c r="B96" s="98"/>
      <c r="C96" s="98" t="s">
        <v>276</v>
      </c>
      <c r="D96" s="98" t="s">
        <v>307</v>
      </c>
      <c r="E96" s="98" t="s">
        <v>256</v>
      </c>
      <c r="F96" s="98">
        <v>23.99</v>
      </c>
      <c r="G96" t="str">
        <f t="shared" si="2"/>
        <v>优先股</v>
      </c>
    </row>
    <row r="97" spans="1:7">
      <c r="A97" s="6">
        <v>44074</v>
      </c>
      <c r="B97" s="98"/>
      <c r="C97" s="98" t="s">
        <v>283</v>
      </c>
      <c r="D97" s="98" t="s">
        <v>307</v>
      </c>
      <c r="E97" s="98" t="s">
        <v>256</v>
      </c>
      <c r="F97" s="98">
        <v>0.83</v>
      </c>
      <c r="G97" t="str">
        <f t="shared" si="2"/>
        <v>优先股</v>
      </c>
    </row>
    <row r="98" spans="1:7">
      <c r="A98" s="6">
        <v>44074</v>
      </c>
      <c r="B98" s="98"/>
      <c r="C98" s="98" t="s">
        <v>266</v>
      </c>
      <c r="D98" s="98" t="s">
        <v>307</v>
      </c>
      <c r="E98" s="98" t="s">
        <v>256</v>
      </c>
      <c r="F98" s="98">
        <v>17.399999999999999</v>
      </c>
      <c r="G98" t="str">
        <f t="shared" si="2"/>
        <v>优先股</v>
      </c>
    </row>
    <row r="99" spans="1:7">
      <c r="A99" s="6">
        <v>44074</v>
      </c>
      <c r="B99" s="98" t="s">
        <v>308</v>
      </c>
      <c r="C99" s="98" t="s">
        <v>254</v>
      </c>
      <c r="D99" s="98" t="s">
        <v>309</v>
      </c>
      <c r="E99" s="98" t="s">
        <v>256</v>
      </c>
      <c r="F99" s="98">
        <v>466.45</v>
      </c>
      <c r="G99" t="str">
        <f t="shared" si="2"/>
        <v>货币型</v>
      </c>
    </row>
    <row r="100" spans="1:7">
      <c r="A100" s="6">
        <v>44074</v>
      </c>
      <c r="B100" s="98"/>
      <c r="C100" s="98" t="s">
        <v>274</v>
      </c>
      <c r="D100" s="98" t="s">
        <v>309</v>
      </c>
      <c r="E100" s="98" t="s">
        <v>256</v>
      </c>
      <c r="F100" s="98">
        <v>3810.77</v>
      </c>
      <c r="G100" t="str">
        <f t="shared" si="2"/>
        <v>货币型</v>
      </c>
    </row>
    <row r="101" spans="1:7">
      <c r="A101" s="6">
        <v>44074</v>
      </c>
      <c r="B101" s="98"/>
      <c r="C101" s="98" t="s">
        <v>263</v>
      </c>
      <c r="D101" s="98" t="s">
        <v>309</v>
      </c>
      <c r="E101" s="98" t="s">
        <v>256</v>
      </c>
      <c r="F101" s="98">
        <v>84.17</v>
      </c>
      <c r="G101" t="str">
        <f t="shared" si="2"/>
        <v>货币型</v>
      </c>
    </row>
    <row r="102" spans="1:7">
      <c r="A102" s="6">
        <v>44074</v>
      </c>
      <c r="B102" s="98"/>
      <c r="C102" s="98" t="s">
        <v>265</v>
      </c>
      <c r="D102" s="98" t="s">
        <v>309</v>
      </c>
      <c r="E102" s="98" t="s">
        <v>256</v>
      </c>
      <c r="F102" s="98">
        <v>63.72</v>
      </c>
      <c r="G102" t="str">
        <f t="shared" si="2"/>
        <v>货币型</v>
      </c>
    </row>
    <row r="103" spans="1:7">
      <c r="A103" s="6">
        <v>44074</v>
      </c>
      <c r="B103" s="98"/>
      <c r="C103" s="98" t="s">
        <v>257</v>
      </c>
      <c r="D103" s="98" t="s">
        <v>309</v>
      </c>
      <c r="E103" s="98" t="s">
        <v>256</v>
      </c>
      <c r="F103" s="98">
        <v>764.39</v>
      </c>
      <c r="G103" t="str">
        <f t="shared" si="2"/>
        <v>货币型</v>
      </c>
    </row>
    <row r="104" spans="1:7">
      <c r="A104" s="6">
        <v>44074</v>
      </c>
      <c r="B104" s="98"/>
      <c r="C104" s="98" t="s">
        <v>276</v>
      </c>
      <c r="D104" s="98" t="s">
        <v>309</v>
      </c>
      <c r="E104" s="98" t="s">
        <v>256</v>
      </c>
      <c r="F104" s="98">
        <v>532.17999999999995</v>
      </c>
      <c r="G104" t="str">
        <f t="shared" si="2"/>
        <v>货币型</v>
      </c>
    </row>
    <row r="105" spans="1:7">
      <c r="A105" s="6">
        <v>44074</v>
      </c>
      <c r="B105" s="98"/>
      <c r="C105" s="98" t="s">
        <v>283</v>
      </c>
      <c r="D105" s="98" t="s">
        <v>309</v>
      </c>
      <c r="E105" s="98" t="s">
        <v>256</v>
      </c>
      <c r="F105" s="98">
        <v>8.14</v>
      </c>
      <c r="G105" t="str">
        <f t="shared" si="2"/>
        <v>货币型</v>
      </c>
    </row>
    <row r="106" spans="1:7">
      <c r="A106" s="6">
        <v>44074</v>
      </c>
      <c r="B106" s="98"/>
      <c r="C106" s="98" t="s">
        <v>266</v>
      </c>
      <c r="D106" s="98" t="s">
        <v>309</v>
      </c>
      <c r="E106" s="98" t="s">
        <v>256</v>
      </c>
      <c r="F106" s="98">
        <v>432.12</v>
      </c>
      <c r="G106" t="str">
        <f t="shared" si="2"/>
        <v>货币型</v>
      </c>
    </row>
    <row r="107" spans="1:7">
      <c r="A107" s="6">
        <v>44074</v>
      </c>
      <c r="B107" s="98"/>
      <c r="C107" s="98" t="s">
        <v>289</v>
      </c>
      <c r="D107" s="98" t="s">
        <v>309</v>
      </c>
      <c r="E107" s="98" t="s">
        <v>259</v>
      </c>
      <c r="F107" s="98">
        <v>1780.61</v>
      </c>
      <c r="G107" t="str">
        <f t="shared" si="2"/>
        <v>货币型</v>
      </c>
    </row>
    <row r="108" spans="1:7">
      <c r="A108" s="6">
        <v>44074</v>
      </c>
      <c r="B108" s="98"/>
      <c r="C108" s="98" t="s">
        <v>301</v>
      </c>
      <c r="D108" s="98" t="s">
        <v>309</v>
      </c>
      <c r="E108" s="98" t="s">
        <v>259</v>
      </c>
      <c r="F108" s="98">
        <v>2377.8000000000002</v>
      </c>
      <c r="G108" t="str">
        <f t="shared" si="2"/>
        <v>货币型</v>
      </c>
    </row>
    <row r="109" spans="1:7">
      <c r="A109" s="6">
        <v>44074</v>
      </c>
      <c r="B109" s="98"/>
      <c r="C109" s="98" t="s">
        <v>284</v>
      </c>
      <c r="D109" s="98" t="s">
        <v>309</v>
      </c>
      <c r="E109" s="98" t="s">
        <v>259</v>
      </c>
      <c r="F109" s="98">
        <v>546.57000000000005</v>
      </c>
      <c r="G109" t="str">
        <f t="shared" si="2"/>
        <v>货币型</v>
      </c>
    </row>
    <row r="110" spans="1:7">
      <c r="A110" s="6">
        <v>44074</v>
      </c>
      <c r="B110" s="98"/>
      <c r="C110" s="98" t="s">
        <v>258</v>
      </c>
      <c r="D110" s="98" t="s">
        <v>309</v>
      </c>
      <c r="E110" s="98" t="s">
        <v>259</v>
      </c>
      <c r="F110" s="98">
        <v>1682.02</v>
      </c>
      <c r="G110" t="str">
        <f t="shared" si="2"/>
        <v>货币型</v>
      </c>
    </row>
    <row r="111" spans="1:7">
      <c r="A111" s="6">
        <v>44074</v>
      </c>
      <c r="B111" s="98"/>
      <c r="C111" s="98" t="s">
        <v>260</v>
      </c>
      <c r="D111" s="98" t="s">
        <v>309</v>
      </c>
      <c r="E111" s="98" t="s">
        <v>259</v>
      </c>
      <c r="F111" s="98">
        <v>11797.95</v>
      </c>
      <c r="G111" t="str">
        <f t="shared" si="2"/>
        <v>货币型</v>
      </c>
    </row>
    <row r="112" spans="1:7">
      <c r="A112" s="6">
        <v>44074</v>
      </c>
      <c r="B112" s="98"/>
      <c r="C112" s="98" t="s">
        <v>292</v>
      </c>
      <c r="D112" s="98" t="s">
        <v>309</v>
      </c>
      <c r="E112" s="98" t="s">
        <v>259</v>
      </c>
      <c r="F112" s="98">
        <v>935.07</v>
      </c>
      <c r="G112" t="str">
        <f t="shared" si="2"/>
        <v>货币型</v>
      </c>
    </row>
    <row r="113" spans="1:7">
      <c r="A113" s="6">
        <v>44074</v>
      </c>
      <c r="B113" s="98"/>
      <c r="C113" s="98" t="s">
        <v>302</v>
      </c>
      <c r="D113" s="98" t="s">
        <v>309</v>
      </c>
      <c r="E113" s="98" t="s">
        <v>259</v>
      </c>
      <c r="F113" s="98">
        <v>984.98</v>
      </c>
      <c r="G113" t="str">
        <f t="shared" si="2"/>
        <v>货币型</v>
      </c>
    </row>
    <row r="114" spans="1:7">
      <c r="A114" s="6">
        <v>44074</v>
      </c>
      <c r="B114" s="98"/>
      <c r="C114" s="98" t="s">
        <v>310</v>
      </c>
      <c r="D114" s="98" t="s">
        <v>309</v>
      </c>
      <c r="E114" s="98" t="s">
        <v>259</v>
      </c>
      <c r="F114" s="98">
        <v>569</v>
      </c>
      <c r="G114" t="str">
        <f t="shared" si="2"/>
        <v>货币型</v>
      </c>
    </row>
    <row r="115" spans="1:7">
      <c r="A115" s="6">
        <v>44074</v>
      </c>
      <c r="B115" s="98"/>
      <c r="C115" s="98" t="s">
        <v>303</v>
      </c>
      <c r="D115" s="98" t="s">
        <v>309</v>
      </c>
      <c r="E115" s="98" t="s">
        <v>259</v>
      </c>
      <c r="F115" s="98">
        <v>9145.57</v>
      </c>
      <c r="G115" t="str">
        <f t="shared" si="2"/>
        <v>货币型</v>
      </c>
    </row>
    <row r="116" spans="1:7">
      <c r="A116" s="6">
        <v>44074</v>
      </c>
      <c r="B116" s="98"/>
      <c r="C116" s="98" t="s">
        <v>277</v>
      </c>
      <c r="D116" s="98" t="s">
        <v>309</v>
      </c>
      <c r="E116" s="98" t="s">
        <v>259</v>
      </c>
      <c r="F116" s="98">
        <v>1132.8800000000001</v>
      </c>
      <c r="G116" t="str">
        <f t="shared" si="2"/>
        <v>货币型</v>
      </c>
    </row>
    <row r="117" spans="1:7">
      <c r="A117" s="6">
        <v>44074</v>
      </c>
      <c r="B117" s="98"/>
      <c r="C117" s="98" t="s">
        <v>311</v>
      </c>
      <c r="D117" s="98" t="s">
        <v>309</v>
      </c>
      <c r="E117" s="98" t="s">
        <v>259</v>
      </c>
      <c r="F117" s="98">
        <v>2140.4699999999998</v>
      </c>
      <c r="G117" t="str">
        <f t="shared" si="2"/>
        <v>货币型</v>
      </c>
    </row>
    <row r="118" spans="1:7">
      <c r="A118" s="6">
        <v>44074</v>
      </c>
      <c r="B118" s="98"/>
      <c r="C118" s="98" t="s">
        <v>269</v>
      </c>
      <c r="D118" s="98" t="s">
        <v>309</v>
      </c>
      <c r="E118" s="98" t="s">
        <v>270</v>
      </c>
      <c r="F118" s="98">
        <v>10052.290000000001</v>
      </c>
      <c r="G118" t="str">
        <f t="shared" si="2"/>
        <v>货币型</v>
      </c>
    </row>
    <row r="119" spans="1:7">
      <c r="A119" s="6">
        <v>44074</v>
      </c>
      <c r="B119" s="98"/>
      <c r="C119" s="98" t="s">
        <v>271</v>
      </c>
      <c r="D119" s="98" t="s">
        <v>309</v>
      </c>
      <c r="E119" s="98" t="s">
        <v>270</v>
      </c>
      <c r="F119" s="98">
        <v>8549.08</v>
      </c>
      <c r="G119" t="str">
        <f t="shared" si="2"/>
        <v>货币型</v>
      </c>
    </row>
    <row r="120" spans="1:7">
      <c r="A120" s="6">
        <v>44074</v>
      </c>
      <c r="B120" s="98"/>
      <c r="C120" s="98" t="s">
        <v>261</v>
      </c>
      <c r="D120" s="98" t="s">
        <v>309</v>
      </c>
      <c r="E120" s="98" t="s">
        <v>259</v>
      </c>
      <c r="F120" s="98">
        <v>1385.88</v>
      </c>
      <c r="G120" t="str">
        <f t="shared" si="2"/>
        <v>货币型</v>
      </c>
    </row>
    <row r="121" spans="1:7">
      <c r="A121" s="6">
        <v>44074</v>
      </c>
      <c r="B121" s="98"/>
      <c r="C121" s="98" t="s">
        <v>272</v>
      </c>
      <c r="D121" s="98" t="s">
        <v>309</v>
      </c>
      <c r="E121" s="98" t="s">
        <v>270</v>
      </c>
      <c r="F121" s="98">
        <v>2994.52</v>
      </c>
      <c r="G121" t="str">
        <f t="shared" si="2"/>
        <v>货币型</v>
      </c>
    </row>
    <row r="122" spans="1:7">
      <c r="A122" s="6">
        <v>44074</v>
      </c>
      <c r="B122" s="98"/>
      <c r="C122" s="98" t="s">
        <v>286</v>
      </c>
      <c r="D122" s="98" t="s">
        <v>309</v>
      </c>
      <c r="E122" s="98" t="s">
        <v>259</v>
      </c>
      <c r="F122" s="98">
        <v>4235.66</v>
      </c>
      <c r="G122" t="str">
        <f t="shared" si="2"/>
        <v>货币型</v>
      </c>
    </row>
    <row r="123" spans="1:7">
      <c r="A123" s="6">
        <v>44074</v>
      </c>
      <c r="B123" s="98" t="s">
        <v>312</v>
      </c>
      <c r="C123" s="98" t="s">
        <v>313</v>
      </c>
      <c r="D123" s="98" t="s">
        <v>314</v>
      </c>
      <c r="E123" s="98" t="s">
        <v>259</v>
      </c>
      <c r="F123" s="98">
        <v>17104.71</v>
      </c>
      <c r="G123" t="str">
        <f t="shared" si="2"/>
        <v>存款型</v>
      </c>
    </row>
    <row r="124" spans="1:7">
      <c r="A124" s="6">
        <v>44074</v>
      </c>
      <c r="B124" s="98"/>
      <c r="C124" s="98" t="s">
        <v>315</v>
      </c>
      <c r="D124" s="98" t="s">
        <v>314</v>
      </c>
      <c r="E124" s="98" t="s">
        <v>259</v>
      </c>
      <c r="F124" s="98">
        <v>4561.25</v>
      </c>
      <c r="G124" t="str">
        <f t="shared" si="2"/>
        <v>存款型</v>
      </c>
    </row>
    <row r="125" spans="1:7">
      <c r="A125" s="6">
        <v>44074</v>
      </c>
      <c r="B125" s="98" t="s">
        <v>316</v>
      </c>
      <c r="C125" s="98" t="s">
        <v>274</v>
      </c>
      <c r="D125" s="98" t="s">
        <v>317</v>
      </c>
      <c r="E125" s="98" t="s">
        <v>256</v>
      </c>
      <c r="F125" s="98">
        <v>345.17</v>
      </c>
      <c r="G125" t="str">
        <f t="shared" si="2"/>
        <v>基础设施债权</v>
      </c>
    </row>
    <row r="126" spans="1:7">
      <c r="A126" s="6">
        <v>44074</v>
      </c>
      <c r="B126" s="98"/>
      <c r="C126" s="98" t="s">
        <v>257</v>
      </c>
      <c r="D126" s="98" t="s">
        <v>317</v>
      </c>
      <c r="E126" s="98" t="s">
        <v>256</v>
      </c>
      <c r="F126" s="98">
        <v>176.12</v>
      </c>
      <c r="G126" t="str">
        <f t="shared" si="2"/>
        <v>基础设施债权</v>
      </c>
    </row>
    <row r="127" spans="1:7">
      <c r="A127" s="6">
        <v>44074</v>
      </c>
      <c r="B127" s="98" t="s">
        <v>318</v>
      </c>
      <c r="C127" s="98" t="s">
        <v>254</v>
      </c>
      <c r="D127" s="98" t="s">
        <v>319</v>
      </c>
      <c r="E127" s="98" t="s">
        <v>256</v>
      </c>
      <c r="F127" s="98">
        <v>20.75</v>
      </c>
      <c r="G127" t="str">
        <f t="shared" si="2"/>
        <v>优先股</v>
      </c>
    </row>
    <row r="128" spans="1:7">
      <c r="A128" s="6">
        <v>44074</v>
      </c>
      <c r="B128" s="98"/>
      <c r="C128" s="98" t="s">
        <v>274</v>
      </c>
      <c r="D128" s="98" t="s">
        <v>319</v>
      </c>
      <c r="E128" s="98" t="s">
        <v>256</v>
      </c>
      <c r="F128" s="98">
        <v>111.51</v>
      </c>
      <c r="G128" t="str">
        <f t="shared" si="2"/>
        <v>优先股</v>
      </c>
    </row>
    <row r="129" spans="1:7">
      <c r="A129" s="6">
        <v>44074</v>
      </c>
      <c r="B129" s="98"/>
      <c r="C129" s="98" t="s">
        <v>257</v>
      </c>
      <c r="D129" s="98" t="s">
        <v>319</v>
      </c>
      <c r="E129" s="98" t="s">
        <v>256</v>
      </c>
      <c r="F129" s="98">
        <v>24.65</v>
      </c>
      <c r="G129" t="str">
        <f t="shared" si="2"/>
        <v>优先股</v>
      </c>
    </row>
    <row r="130" spans="1:7">
      <c r="A130" s="6">
        <v>44074</v>
      </c>
      <c r="B130" s="98"/>
      <c r="C130" s="98" t="s">
        <v>276</v>
      </c>
      <c r="D130" s="98" t="s">
        <v>319</v>
      </c>
      <c r="E130" s="98" t="s">
        <v>256</v>
      </c>
      <c r="F130" s="98">
        <v>9.49</v>
      </c>
      <c r="G130" t="str">
        <f t="shared" si="2"/>
        <v>优先股</v>
      </c>
    </row>
    <row r="131" spans="1:7">
      <c r="A131" s="6">
        <v>44074</v>
      </c>
      <c r="B131" s="98" t="s">
        <v>320</v>
      </c>
      <c r="C131" s="98" t="s">
        <v>274</v>
      </c>
      <c r="D131" s="98" t="s">
        <v>321</v>
      </c>
      <c r="E131" s="98" t="s">
        <v>256</v>
      </c>
      <c r="F131" s="98">
        <v>404.38</v>
      </c>
      <c r="G131" t="str">
        <f t="shared" ref="G131:G194" si="3">VLOOKUP(D131,L:N,3,0)</f>
        <v>信托型</v>
      </c>
    </row>
    <row r="132" spans="1:7">
      <c r="A132" s="6">
        <v>44074</v>
      </c>
      <c r="B132" s="98"/>
      <c r="C132" s="98" t="s">
        <v>257</v>
      </c>
      <c r="D132" s="98" t="s">
        <v>321</v>
      </c>
      <c r="E132" s="98" t="s">
        <v>256</v>
      </c>
      <c r="F132" s="98">
        <v>83.47</v>
      </c>
      <c r="G132" t="str">
        <f t="shared" si="3"/>
        <v>信托型</v>
      </c>
    </row>
    <row r="133" spans="1:7">
      <c r="A133" s="6">
        <v>44074</v>
      </c>
      <c r="B133" s="98"/>
      <c r="C133" s="98" t="s">
        <v>276</v>
      </c>
      <c r="D133" s="98" t="s">
        <v>321</v>
      </c>
      <c r="E133" s="98" t="s">
        <v>256</v>
      </c>
      <c r="F133" s="98">
        <v>17.66</v>
      </c>
      <c r="G133" t="str">
        <f t="shared" si="3"/>
        <v>信托型</v>
      </c>
    </row>
    <row r="134" spans="1:7">
      <c r="A134" s="6">
        <v>44074</v>
      </c>
      <c r="B134" s="98"/>
      <c r="C134" s="98" t="s">
        <v>266</v>
      </c>
      <c r="D134" s="98" t="s">
        <v>321</v>
      </c>
      <c r="E134" s="98" t="s">
        <v>256</v>
      </c>
      <c r="F134" s="98">
        <v>18.28</v>
      </c>
      <c r="G134" t="str">
        <f t="shared" si="3"/>
        <v>信托型</v>
      </c>
    </row>
    <row r="135" spans="1:7">
      <c r="A135" s="6">
        <v>44074</v>
      </c>
      <c r="B135" s="98"/>
      <c r="C135" s="98" t="s">
        <v>284</v>
      </c>
      <c r="D135" s="98" t="s">
        <v>321</v>
      </c>
      <c r="E135" s="98" t="s">
        <v>259</v>
      </c>
      <c r="F135" s="98">
        <v>163.34</v>
      </c>
      <c r="G135" t="str">
        <f t="shared" si="3"/>
        <v>信托型</v>
      </c>
    </row>
    <row r="136" spans="1:7">
      <c r="A136" s="6">
        <v>44074</v>
      </c>
      <c r="B136" s="98" t="s">
        <v>322</v>
      </c>
      <c r="C136" s="98" t="s">
        <v>274</v>
      </c>
      <c r="D136" s="98" t="s">
        <v>323</v>
      </c>
      <c r="E136" s="98" t="s">
        <v>256</v>
      </c>
      <c r="F136" s="98">
        <v>68.44</v>
      </c>
      <c r="G136" t="str">
        <f t="shared" si="3"/>
        <v>混合型</v>
      </c>
    </row>
    <row r="137" spans="1:7">
      <c r="A137" s="6">
        <v>44074</v>
      </c>
      <c r="B137" s="98"/>
      <c r="C137" s="98" t="s">
        <v>257</v>
      </c>
      <c r="D137" s="98" t="s">
        <v>323</v>
      </c>
      <c r="E137" s="98" t="s">
        <v>256</v>
      </c>
      <c r="F137" s="98">
        <v>550.04</v>
      </c>
      <c r="G137" t="str">
        <f t="shared" si="3"/>
        <v>混合型</v>
      </c>
    </row>
    <row r="138" spans="1:7">
      <c r="A138" s="6">
        <v>44074</v>
      </c>
      <c r="B138" s="98"/>
      <c r="C138" s="98" t="s">
        <v>283</v>
      </c>
      <c r="D138" s="98" t="s">
        <v>323</v>
      </c>
      <c r="E138" s="98" t="s">
        <v>256</v>
      </c>
      <c r="F138" s="98">
        <v>8.11</v>
      </c>
      <c r="G138" t="str">
        <f t="shared" si="3"/>
        <v>混合型</v>
      </c>
    </row>
    <row r="139" spans="1:7">
      <c r="A139" s="6">
        <v>44074</v>
      </c>
      <c r="B139" s="98"/>
      <c r="C139" s="98" t="s">
        <v>266</v>
      </c>
      <c r="D139" s="98" t="s">
        <v>323</v>
      </c>
      <c r="E139" s="98" t="s">
        <v>256</v>
      </c>
      <c r="F139" s="98">
        <v>45.9</v>
      </c>
      <c r="G139" t="str">
        <f t="shared" si="3"/>
        <v>混合型</v>
      </c>
    </row>
    <row r="140" spans="1:7">
      <c r="A140" s="6">
        <v>44074</v>
      </c>
      <c r="B140" s="98"/>
      <c r="C140" s="98" t="s">
        <v>289</v>
      </c>
      <c r="D140" s="98" t="s">
        <v>323</v>
      </c>
      <c r="E140" s="98" t="s">
        <v>259</v>
      </c>
      <c r="F140" s="98">
        <v>3957.39</v>
      </c>
      <c r="G140" t="str">
        <f t="shared" si="3"/>
        <v>混合型</v>
      </c>
    </row>
    <row r="141" spans="1:7">
      <c r="A141" s="6">
        <v>44074</v>
      </c>
      <c r="B141" s="98"/>
      <c r="C141" s="98" t="s">
        <v>260</v>
      </c>
      <c r="D141" s="98" t="s">
        <v>323</v>
      </c>
      <c r="E141" s="98" t="s">
        <v>259</v>
      </c>
      <c r="F141" s="98">
        <v>5825.26</v>
      </c>
      <c r="G141" t="str">
        <f t="shared" si="3"/>
        <v>混合型</v>
      </c>
    </row>
    <row r="142" spans="1:7">
      <c r="A142" s="6">
        <v>44074</v>
      </c>
      <c r="B142" s="98"/>
      <c r="C142" s="98" t="s">
        <v>278</v>
      </c>
      <c r="D142" s="98" t="s">
        <v>323</v>
      </c>
      <c r="E142" s="98" t="s">
        <v>270</v>
      </c>
      <c r="F142" s="98">
        <v>19210.04</v>
      </c>
      <c r="G142" t="str">
        <f t="shared" si="3"/>
        <v>混合型</v>
      </c>
    </row>
    <row r="143" spans="1:7">
      <c r="A143" s="6">
        <v>44074</v>
      </c>
      <c r="B143" s="98" t="s">
        <v>324</v>
      </c>
      <c r="C143" s="98" t="s">
        <v>254</v>
      </c>
      <c r="D143" s="98" t="s">
        <v>325</v>
      </c>
      <c r="E143" s="98" t="s">
        <v>256</v>
      </c>
      <c r="F143" s="98">
        <v>188.55</v>
      </c>
      <c r="G143" t="str">
        <f t="shared" si="3"/>
        <v>股票型</v>
      </c>
    </row>
    <row r="144" spans="1:7">
      <c r="A144" s="6">
        <v>44074</v>
      </c>
      <c r="B144" s="98"/>
      <c r="C144" s="98" t="s">
        <v>274</v>
      </c>
      <c r="D144" s="98" t="s">
        <v>325</v>
      </c>
      <c r="E144" s="98" t="s">
        <v>256</v>
      </c>
      <c r="F144" s="98">
        <v>26944.54</v>
      </c>
      <c r="G144" t="str">
        <f t="shared" si="3"/>
        <v>股票型</v>
      </c>
    </row>
    <row r="145" spans="1:7">
      <c r="A145" s="6">
        <v>44074</v>
      </c>
      <c r="B145" s="98"/>
      <c r="C145" s="98" t="s">
        <v>265</v>
      </c>
      <c r="D145" s="98" t="s">
        <v>325</v>
      </c>
      <c r="E145" s="98" t="s">
        <v>256</v>
      </c>
      <c r="F145" s="98">
        <v>25.65</v>
      </c>
      <c r="G145" t="str">
        <f t="shared" si="3"/>
        <v>股票型</v>
      </c>
    </row>
    <row r="146" spans="1:7">
      <c r="A146" s="6">
        <v>44074</v>
      </c>
      <c r="B146" s="98"/>
      <c r="C146" s="98" t="s">
        <v>257</v>
      </c>
      <c r="D146" s="98" t="s">
        <v>325</v>
      </c>
      <c r="E146" s="98" t="s">
        <v>256</v>
      </c>
      <c r="F146" s="98">
        <v>132.18</v>
      </c>
      <c r="G146" t="str">
        <f t="shared" si="3"/>
        <v>股票型</v>
      </c>
    </row>
    <row r="147" spans="1:7">
      <c r="A147" s="6">
        <v>44074</v>
      </c>
      <c r="B147" s="98"/>
      <c r="C147" s="98" t="s">
        <v>260</v>
      </c>
      <c r="D147" s="98" t="s">
        <v>325</v>
      </c>
      <c r="E147" s="98" t="s">
        <v>259</v>
      </c>
      <c r="F147" s="98">
        <v>2043.31</v>
      </c>
      <c r="G147" t="str">
        <f t="shared" si="3"/>
        <v>股票型</v>
      </c>
    </row>
    <row r="148" spans="1:7">
      <c r="A148" s="6">
        <v>44074</v>
      </c>
      <c r="B148" s="98" t="s">
        <v>326</v>
      </c>
      <c r="C148" s="98" t="s">
        <v>254</v>
      </c>
      <c r="D148" s="98" t="s">
        <v>327</v>
      </c>
      <c r="E148" s="98" t="s">
        <v>256</v>
      </c>
      <c r="F148" s="98">
        <v>3308.31</v>
      </c>
      <c r="G148" t="str">
        <f t="shared" si="3"/>
        <v>股票型</v>
      </c>
    </row>
    <row r="149" spans="1:7">
      <c r="A149" s="6">
        <v>44074</v>
      </c>
      <c r="B149" s="98"/>
      <c r="C149" s="98" t="s">
        <v>274</v>
      </c>
      <c r="D149" s="98" t="s">
        <v>327</v>
      </c>
      <c r="E149" s="98" t="s">
        <v>256</v>
      </c>
      <c r="F149" s="98">
        <v>5624.64</v>
      </c>
      <c r="G149" t="str">
        <f t="shared" si="3"/>
        <v>股票型</v>
      </c>
    </row>
    <row r="150" spans="1:7">
      <c r="A150" s="6">
        <v>44074</v>
      </c>
      <c r="B150" s="98"/>
      <c r="C150" s="98" t="s">
        <v>257</v>
      </c>
      <c r="D150" s="98" t="s">
        <v>327</v>
      </c>
      <c r="E150" s="98" t="s">
        <v>256</v>
      </c>
      <c r="F150" s="98">
        <v>7.82</v>
      </c>
      <c r="G150" t="str">
        <f t="shared" si="3"/>
        <v>股票型</v>
      </c>
    </row>
    <row r="151" spans="1:7">
      <c r="A151" s="6">
        <v>44074</v>
      </c>
      <c r="B151" s="98"/>
      <c r="C151" s="98" t="s">
        <v>301</v>
      </c>
      <c r="D151" s="98" t="s">
        <v>327</v>
      </c>
      <c r="E151" s="98" t="s">
        <v>259</v>
      </c>
      <c r="F151" s="98">
        <v>3012.07</v>
      </c>
      <c r="G151" t="str">
        <f t="shared" si="3"/>
        <v>股票型</v>
      </c>
    </row>
    <row r="152" spans="1:7">
      <c r="A152" s="6">
        <v>44074</v>
      </c>
      <c r="B152" s="98"/>
      <c r="C152" s="98" t="s">
        <v>260</v>
      </c>
      <c r="D152" s="98" t="s">
        <v>327</v>
      </c>
      <c r="E152" s="98" t="s">
        <v>259</v>
      </c>
      <c r="F152" s="98">
        <v>2358.65</v>
      </c>
      <c r="G152" t="str">
        <f t="shared" si="3"/>
        <v>股票型</v>
      </c>
    </row>
    <row r="153" spans="1:7">
      <c r="A153" s="6">
        <v>44074</v>
      </c>
      <c r="B153" s="98" t="s">
        <v>328</v>
      </c>
      <c r="C153" s="98" t="s">
        <v>274</v>
      </c>
      <c r="D153" s="98" t="s">
        <v>329</v>
      </c>
      <c r="E153" s="98" t="s">
        <v>256</v>
      </c>
      <c r="F153" s="98">
        <v>444.39</v>
      </c>
      <c r="G153" t="str">
        <f t="shared" si="3"/>
        <v>基础设施债权</v>
      </c>
    </row>
    <row r="154" spans="1:7">
      <c r="A154" s="6">
        <v>44074</v>
      </c>
      <c r="B154" s="98"/>
      <c r="C154" s="98" t="s">
        <v>257</v>
      </c>
      <c r="D154" s="98" t="s">
        <v>329</v>
      </c>
      <c r="E154" s="98" t="s">
        <v>256</v>
      </c>
      <c r="F154" s="98">
        <v>157.47</v>
      </c>
      <c r="G154" t="str">
        <f t="shared" si="3"/>
        <v>基础设施债权</v>
      </c>
    </row>
    <row r="155" spans="1:7">
      <c r="A155" s="6">
        <v>44074</v>
      </c>
      <c r="B155" s="98"/>
      <c r="C155" s="98" t="s">
        <v>266</v>
      </c>
      <c r="D155" s="98" t="s">
        <v>329</v>
      </c>
      <c r="E155" s="98" t="s">
        <v>256</v>
      </c>
      <c r="F155" s="98">
        <v>42.84</v>
      </c>
      <c r="G155" t="str">
        <f t="shared" si="3"/>
        <v>基础设施债权</v>
      </c>
    </row>
    <row r="156" spans="1:7">
      <c r="A156" s="6">
        <v>44074</v>
      </c>
      <c r="B156" s="98" t="s">
        <v>330</v>
      </c>
      <c r="C156" s="98" t="s">
        <v>254</v>
      </c>
      <c r="D156" s="98" t="s">
        <v>331</v>
      </c>
      <c r="E156" s="98" t="s">
        <v>256</v>
      </c>
      <c r="F156" s="98">
        <v>425.94</v>
      </c>
      <c r="G156" t="str">
        <f t="shared" si="3"/>
        <v>固收型</v>
      </c>
    </row>
    <row r="157" spans="1:7">
      <c r="A157" s="6">
        <v>44074</v>
      </c>
      <c r="B157" s="98"/>
      <c r="C157" s="98" t="s">
        <v>274</v>
      </c>
      <c r="D157" s="98" t="s">
        <v>331</v>
      </c>
      <c r="E157" s="98" t="s">
        <v>256</v>
      </c>
      <c r="F157" s="98">
        <v>960.85</v>
      </c>
      <c r="G157" t="str">
        <f t="shared" si="3"/>
        <v>固收型</v>
      </c>
    </row>
    <row r="158" spans="1:7">
      <c r="A158" s="6">
        <v>44074</v>
      </c>
      <c r="B158" s="98"/>
      <c r="C158" s="98" t="s">
        <v>265</v>
      </c>
      <c r="D158" s="98" t="s">
        <v>331</v>
      </c>
      <c r="E158" s="98" t="s">
        <v>256</v>
      </c>
      <c r="F158" s="98">
        <v>37.270000000000003</v>
      </c>
      <c r="G158" t="str">
        <f t="shared" si="3"/>
        <v>固收型</v>
      </c>
    </row>
    <row r="159" spans="1:7">
      <c r="A159" s="6">
        <v>44074</v>
      </c>
      <c r="B159" s="98"/>
      <c r="C159" s="98" t="s">
        <v>257</v>
      </c>
      <c r="D159" s="98" t="s">
        <v>331</v>
      </c>
      <c r="E159" s="98" t="s">
        <v>256</v>
      </c>
      <c r="F159" s="98">
        <v>35.229999999999997</v>
      </c>
      <c r="G159" t="str">
        <f t="shared" si="3"/>
        <v>固收型</v>
      </c>
    </row>
    <row r="160" spans="1:7">
      <c r="A160" s="6">
        <v>44074</v>
      </c>
      <c r="B160" s="98"/>
      <c r="C160" s="98" t="s">
        <v>276</v>
      </c>
      <c r="D160" s="98" t="s">
        <v>331</v>
      </c>
      <c r="E160" s="98" t="s">
        <v>256</v>
      </c>
      <c r="F160" s="98">
        <v>699.09</v>
      </c>
      <c r="G160" t="str">
        <f t="shared" si="3"/>
        <v>固收型</v>
      </c>
    </row>
    <row r="161" spans="1:7">
      <c r="A161" s="6">
        <v>44074</v>
      </c>
      <c r="B161" s="98"/>
      <c r="C161" s="98" t="s">
        <v>283</v>
      </c>
      <c r="D161" s="98" t="s">
        <v>331</v>
      </c>
      <c r="E161" s="98" t="s">
        <v>256</v>
      </c>
      <c r="F161" s="98">
        <v>14.82</v>
      </c>
      <c r="G161" t="str">
        <f t="shared" si="3"/>
        <v>固收型</v>
      </c>
    </row>
    <row r="162" spans="1:7">
      <c r="A162" s="6">
        <v>44074</v>
      </c>
      <c r="B162" s="98"/>
      <c r="C162" s="98" t="s">
        <v>266</v>
      </c>
      <c r="D162" s="98" t="s">
        <v>331</v>
      </c>
      <c r="E162" s="98" t="s">
        <v>256</v>
      </c>
      <c r="F162" s="98">
        <v>451.05</v>
      </c>
      <c r="G162" t="str">
        <f t="shared" si="3"/>
        <v>固收型</v>
      </c>
    </row>
    <row r="163" spans="1:7">
      <c r="A163" s="6">
        <v>44074</v>
      </c>
      <c r="B163" s="98"/>
      <c r="C163" s="98" t="s">
        <v>267</v>
      </c>
      <c r="D163" s="98" t="s">
        <v>331</v>
      </c>
      <c r="E163" s="98" t="s">
        <v>259</v>
      </c>
      <c r="F163" s="98">
        <v>3257.59</v>
      </c>
      <c r="G163" t="str">
        <f t="shared" si="3"/>
        <v>固收型</v>
      </c>
    </row>
    <row r="164" spans="1:7">
      <c r="A164" s="6">
        <v>44074</v>
      </c>
      <c r="B164" s="98"/>
      <c r="C164" s="98" t="s">
        <v>290</v>
      </c>
      <c r="D164" s="98" t="s">
        <v>331</v>
      </c>
      <c r="E164" s="98" t="s">
        <v>259</v>
      </c>
      <c r="F164" s="98">
        <v>11245.11</v>
      </c>
      <c r="G164" t="str">
        <f t="shared" si="3"/>
        <v>固收型</v>
      </c>
    </row>
    <row r="165" spans="1:7">
      <c r="A165" s="6">
        <v>44074</v>
      </c>
      <c r="B165" s="98"/>
      <c r="C165" s="98" t="s">
        <v>284</v>
      </c>
      <c r="D165" s="98" t="s">
        <v>331</v>
      </c>
      <c r="E165" s="98" t="s">
        <v>259</v>
      </c>
      <c r="F165" s="98">
        <v>2495.81</v>
      </c>
      <c r="G165" t="str">
        <f t="shared" si="3"/>
        <v>固收型</v>
      </c>
    </row>
    <row r="166" spans="1:7">
      <c r="A166" s="6">
        <v>44074</v>
      </c>
      <c r="B166" s="98"/>
      <c r="C166" s="98" t="s">
        <v>258</v>
      </c>
      <c r="D166" s="98" t="s">
        <v>331</v>
      </c>
      <c r="E166" s="98" t="s">
        <v>259</v>
      </c>
      <c r="F166" s="98">
        <v>4682.1400000000003</v>
      </c>
      <c r="G166" t="str">
        <f t="shared" si="3"/>
        <v>固收型</v>
      </c>
    </row>
    <row r="167" spans="1:7">
      <c r="A167" s="6">
        <v>44074</v>
      </c>
      <c r="B167" s="98"/>
      <c r="C167" s="98" t="s">
        <v>261</v>
      </c>
      <c r="D167" s="98" t="s">
        <v>331</v>
      </c>
      <c r="E167" s="98" t="s">
        <v>259</v>
      </c>
      <c r="F167" s="98">
        <v>254.2</v>
      </c>
      <c r="G167" t="str">
        <f t="shared" si="3"/>
        <v>固收型</v>
      </c>
    </row>
    <row r="168" spans="1:7">
      <c r="A168" s="6">
        <v>44074</v>
      </c>
      <c r="B168" s="98" t="s">
        <v>332</v>
      </c>
      <c r="C168" s="98" t="s">
        <v>254</v>
      </c>
      <c r="D168" s="98" t="s">
        <v>333</v>
      </c>
      <c r="E168" s="98" t="s">
        <v>256</v>
      </c>
      <c r="F168" s="98">
        <v>2779.38</v>
      </c>
      <c r="G168" t="str">
        <f t="shared" si="3"/>
        <v>固收型</v>
      </c>
    </row>
    <row r="169" spans="1:7">
      <c r="A169" s="6">
        <v>44074</v>
      </c>
      <c r="B169" s="98"/>
      <c r="C169" s="98" t="s">
        <v>274</v>
      </c>
      <c r="D169" s="98" t="s">
        <v>333</v>
      </c>
      <c r="E169" s="98" t="s">
        <v>256</v>
      </c>
      <c r="F169" s="98">
        <v>5731.19</v>
      </c>
      <c r="G169" t="str">
        <f t="shared" si="3"/>
        <v>固收型</v>
      </c>
    </row>
    <row r="170" spans="1:7">
      <c r="A170" s="6">
        <v>44074</v>
      </c>
      <c r="B170" s="98"/>
      <c r="C170" s="98" t="s">
        <v>265</v>
      </c>
      <c r="D170" s="98" t="s">
        <v>333</v>
      </c>
      <c r="E170" s="98" t="s">
        <v>256</v>
      </c>
      <c r="F170" s="98">
        <v>64.63</v>
      </c>
      <c r="G170" t="str">
        <f t="shared" si="3"/>
        <v>固收型</v>
      </c>
    </row>
    <row r="171" spans="1:7">
      <c r="A171" s="6">
        <v>44074</v>
      </c>
      <c r="B171" s="98"/>
      <c r="C171" s="98" t="s">
        <v>257</v>
      </c>
      <c r="D171" s="98" t="s">
        <v>333</v>
      </c>
      <c r="E171" s="98" t="s">
        <v>256</v>
      </c>
      <c r="F171" s="98">
        <v>145.72999999999999</v>
      </c>
      <c r="G171" t="str">
        <f t="shared" si="3"/>
        <v>固收型</v>
      </c>
    </row>
    <row r="172" spans="1:7">
      <c r="A172" s="6">
        <v>44074</v>
      </c>
      <c r="B172" s="98"/>
      <c r="C172" s="98" t="s">
        <v>276</v>
      </c>
      <c r="D172" s="98" t="s">
        <v>333</v>
      </c>
      <c r="E172" s="98" t="s">
        <v>256</v>
      </c>
      <c r="F172" s="98">
        <v>2112.29</v>
      </c>
      <c r="G172" t="str">
        <f t="shared" si="3"/>
        <v>固收型</v>
      </c>
    </row>
    <row r="173" spans="1:7">
      <c r="A173" s="6">
        <v>44074</v>
      </c>
      <c r="B173" s="98"/>
      <c r="C173" s="98" t="s">
        <v>283</v>
      </c>
      <c r="D173" s="98" t="s">
        <v>333</v>
      </c>
      <c r="E173" s="98" t="s">
        <v>256</v>
      </c>
      <c r="F173" s="98">
        <v>10.46</v>
      </c>
      <c r="G173" t="str">
        <f t="shared" si="3"/>
        <v>固收型</v>
      </c>
    </row>
    <row r="174" spans="1:7">
      <c r="A174" s="6">
        <v>44074</v>
      </c>
      <c r="B174" s="98"/>
      <c r="C174" s="98" t="s">
        <v>266</v>
      </c>
      <c r="D174" s="98" t="s">
        <v>333</v>
      </c>
      <c r="E174" s="98" t="s">
        <v>256</v>
      </c>
      <c r="F174" s="98">
        <v>281.89999999999998</v>
      </c>
      <c r="G174" t="str">
        <f t="shared" si="3"/>
        <v>固收型</v>
      </c>
    </row>
    <row r="175" spans="1:7">
      <c r="A175" s="6">
        <v>44074</v>
      </c>
      <c r="B175" s="98"/>
      <c r="C175" s="98" t="s">
        <v>289</v>
      </c>
      <c r="D175" s="98" t="s">
        <v>333</v>
      </c>
      <c r="E175" s="98" t="s">
        <v>259</v>
      </c>
      <c r="F175" s="98">
        <v>17028.62</v>
      </c>
      <c r="G175" t="str">
        <f t="shared" si="3"/>
        <v>固收型</v>
      </c>
    </row>
    <row r="176" spans="1:7">
      <c r="A176" s="6">
        <v>44074</v>
      </c>
      <c r="B176" s="98"/>
      <c r="C176" s="98" t="s">
        <v>267</v>
      </c>
      <c r="D176" s="98" t="s">
        <v>333</v>
      </c>
      <c r="E176" s="98" t="s">
        <v>259</v>
      </c>
      <c r="F176" s="98">
        <v>694.92</v>
      </c>
      <c r="G176" t="str">
        <f t="shared" si="3"/>
        <v>固收型</v>
      </c>
    </row>
    <row r="177" spans="1:7">
      <c r="A177" s="6">
        <v>44074</v>
      </c>
      <c r="B177" s="98"/>
      <c r="C177" s="98" t="s">
        <v>290</v>
      </c>
      <c r="D177" s="98" t="s">
        <v>333</v>
      </c>
      <c r="E177" s="98" t="s">
        <v>259</v>
      </c>
      <c r="F177" s="98">
        <v>3144.58</v>
      </c>
      <c r="G177" t="str">
        <f t="shared" si="3"/>
        <v>固收型</v>
      </c>
    </row>
    <row r="178" spans="1:7">
      <c r="A178" s="6">
        <v>44074</v>
      </c>
      <c r="B178" s="98"/>
      <c r="C178" s="98" t="s">
        <v>284</v>
      </c>
      <c r="D178" s="98" t="s">
        <v>333</v>
      </c>
      <c r="E178" s="98" t="s">
        <v>259</v>
      </c>
      <c r="F178" s="98">
        <v>2374.31</v>
      </c>
      <c r="G178" t="str">
        <f t="shared" si="3"/>
        <v>固收型</v>
      </c>
    </row>
    <row r="179" spans="1:7">
      <c r="A179" s="6">
        <v>44074</v>
      </c>
      <c r="B179" s="98"/>
      <c r="C179" s="98" t="s">
        <v>302</v>
      </c>
      <c r="D179" s="98" t="s">
        <v>333</v>
      </c>
      <c r="E179" s="98" t="s">
        <v>259</v>
      </c>
      <c r="F179" s="98">
        <v>408.14</v>
      </c>
      <c r="G179" t="str">
        <f t="shared" si="3"/>
        <v>固收型</v>
      </c>
    </row>
    <row r="180" spans="1:7">
      <c r="A180" s="6">
        <v>44074</v>
      </c>
      <c r="B180" s="98"/>
      <c r="C180" s="98" t="s">
        <v>268</v>
      </c>
      <c r="D180" s="98" t="s">
        <v>333</v>
      </c>
      <c r="E180" s="98" t="s">
        <v>259</v>
      </c>
      <c r="F180" s="98">
        <v>10047.66</v>
      </c>
      <c r="G180" t="str">
        <f t="shared" si="3"/>
        <v>固收型</v>
      </c>
    </row>
    <row r="181" spans="1:7">
      <c r="A181" s="6">
        <v>44074</v>
      </c>
      <c r="B181" s="98"/>
      <c r="C181" s="98" t="s">
        <v>277</v>
      </c>
      <c r="D181" s="98" t="s">
        <v>333</v>
      </c>
      <c r="E181" s="98" t="s">
        <v>259</v>
      </c>
      <c r="F181" s="98">
        <v>807.92</v>
      </c>
      <c r="G181" t="str">
        <f t="shared" si="3"/>
        <v>固收型</v>
      </c>
    </row>
    <row r="182" spans="1:7">
      <c r="A182" s="6">
        <v>44074</v>
      </c>
      <c r="B182" s="98"/>
      <c r="C182" s="98" t="s">
        <v>261</v>
      </c>
      <c r="D182" s="98" t="s">
        <v>333</v>
      </c>
      <c r="E182" s="98" t="s">
        <v>259</v>
      </c>
      <c r="F182" s="98">
        <v>281.41000000000003</v>
      </c>
      <c r="G182" t="str">
        <f t="shared" si="3"/>
        <v>固收型</v>
      </c>
    </row>
    <row r="183" spans="1:7">
      <c r="A183" s="6">
        <v>44074</v>
      </c>
      <c r="B183" s="98"/>
      <c r="C183" s="98" t="s">
        <v>286</v>
      </c>
      <c r="D183" s="98" t="s">
        <v>333</v>
      </c>
      <c r="E183" s="98" t="s">
        <v>259</v>
      </c>
      <c r="F183" s="98">
        <v>26653.74</v>
      </c>
      <c r="G183" t="str">
        <f t="shared" si="3"/>
        <v>固收型</v>
      </c>
    </row>
    <row r="184" spans="1:7">
      <c r="A184" s="6">
        <v>44074</v>
      </c>
      <c r="B184" s="98" t="s">
        <v>334</v>
      </c>
      <c r="C184" s="98" t="s">
        <v>265</v>
      </c>
      <c r="D184" s="98" t="s">
        <v>335</v>
      </c>
      <c r="E184" s="98" t="s">
        <v>256</v>
      </c>
      <c r="F184" s="98">
        <v>48.57</v>
      </c>
      <c r="G184" t="str">
        <f t="shared" si="3"/>
        <v>固收型</v>
      </c>
    </row>
    <row r="185" spans="1:7">
      <c r="A185" s="6">
        <v>44074</v>
      </c>
      <c r="B185" s="98"/>
      <c r="C185" s="98" t="s">
        <v>257</v>
      </c>
      <c r="D185" s="98" t="s">
        <v>335</v>
      </c>
      <c r="E185" s="98" t="s">
        <v>256</v>
      </c>
      <c r="F185" s="98">
        <v>2233.27</v>
      </c>
      <c r="G185" t="str">
        <f t="shared" si="3"/>
        <v>固收型</v>
      </c>
    </row>
    <row r="186" spans="1:7">
      <c r="A186" s="6">
        <v>44074</v>
      </c>
      <c r="B186" s="98"/>
      <c r="C186" s="98" t="s">
        <v>267</v>
      </c>
      <c r="D186" s="98" t="s">
        <v>335</v>
      </c>
      <c r="E186" s="98" t="s">
        <v>259</v>
      </c>
      <c r="F186" s="98">
        <v>7823.96</v>
      </c>
      <c r="G186" t="str">
        <f t="shared" si="3"/>
        <v>固收型</v>
      </c>
    </row>
    <row r="187" spans="1:7">
      <c r="A187" s="6">
        <v>44074</v>
      </c>
      <c r="B187" s="98"/>
      <c r="C187" s="98" t="s">
        <v>301</v>
      </c>
      <c r="D187" s="98" t="s">
        <v>335</v>
      </c>
      <c r="E187" s="98" t="s">
        <v>259</v>
      </c>
      <c r="F187" s="98">
        <v>11593.87</v>
      </c>
      <c r="G187" t="str">
        <f t="shared" si="3"/>
        <v>固收型</v>
      </c>
    </row>
    <row r="188" spans="1:7">
      <c r="A188" s="6">
        <v>44074</v>
      </c>
      <c r="B188" s="98"/>
      <c r="C188" s="98" t="s">
        <v>277</v>
      </c>
      <c r="D188" s="98" t="s">
        <v>335</v>
      </c>
      <c r="E188" s="98" t="s">
        <v>259</v>
      </c>
      <c r="F188" s="98">
        <v>700.71</v>
      </c>
      <c r="G188" t="str">
        <f t="shared" si="3"/>
        <v>固收型</v>
      </c>
    </row>
    <row r="189" spans="1:7">
      <c r="A189" s="6">
        <v>44074</v>
      </c>
      <c r="B189" s="98" t="s">
        <v>336</v>
      </c>
      <c r="C189" s="98" t="s">
        <v>263</v>
      </c>
      <c r="D189" s="98" t="s">
        <v>337</v>
      </c>
      <c r="E189" s="98" t="s">
        <v>256</v>
      </c>
      <c r="F189" s="98">
        <v>325.11</v>
      </c>
      <c r="G189" t="str">
        <f t="shared" si="3"/>
        <v>混合型</v>
      </c>
    </row>
    <row r="190" spans="1:7">
      <c r="A190" s="6">
        <v>44074</v>
      </c>
      <c r="B190" s="98"/>
      <c r="C190" s="98" t="s">
        <v>269</v>
      </c>
      <c r="D190" s="98" t="s">
        <v>337</v>
      </c>
      <c r="E190" s="98" t="s">
        <v>270</v>
      </c>
      <c r="F190" s="98">
        <v>35854.269999999997</v>
      </c>
      <c r="G190" t="str">
        <f t="shared" si="3"/>
        <v>混合型</v>
      </c>
    </row>
    <row r="191" spans="1:7">
      <c r="A191" s="6">
        <v>44074</v>
      </c>
      <c r="B191" s="98"/>
      <c r="C191" s="98" t="s">
        <v>278</v>
      </c>
      <c r="D191" s="98" t="s">
        <v>337</v>
      </c>
      <c r="E191" s="98" t="s">
        <v>270</v>
      </c>
      <c r="F191" s="98">
        <v>23109.3</v>
      </c>
      <c r="G191" t="str">
        <f t="shared" si="3"/>
        <v>混合型</v>
      </c>
    </row>
    <row r="192" spans="1:7">
      <c r="A192" s="6">
        <v>44074</v>
      </c>
      <c r="B192" s="98"/>
      <c r="C192" s="98" t="s">
        <v>271</v>
      </c>
      <c r="D192" s="98" t="s">
        <v>337</v>
      </c>
      <c r="E192" s="98" t="s">
        <v>270</v>
      </c>
      <c r="F192" s="98">
        <v>27871.300000000003</v>
      </c>
      <c r="G192" t="str">
        <f t="shared" si="3"/>
        <v>混合型</v>
      </c>
    </row>
    <row r="193" spans="1:7">
      <c r="A193" s="6">
        <v>44074</v>
      </c>
      <c r="B193" s="98"/>
      <c r="C193" s="98" t="s">
        <v>272</v>
      </c>
      <c r="D193" s="98" t="s">
        <v>337</v>
      </c>
      <c r="E193" s="98" t="s">
        <v>270</v>
      </c>
      <c r="F193" s="98">
        <v>8811.66</v>
      </c>
      <c r="G193" t="str">
        <f t="shared" si="3"/>
        <v>混合型</v>
      </c>
    </row>
    <row r="194" spans="1:7">
      <c r="A194" s="6">
        <v>44074</v>
      </c>
      <c r="B194" s="98" t="s">
        <v>338</v>
      </c>
      <c r="C194" s="98" t="s">
        <v>254</v>
      </c>
      <c r="D194" s="98" t="s">
        <v>339</v>
      </c>
      <c r="E194" s="98" t="s">
        <v>256</v>
      </c>
      <c r="F194" s="98">
        <v>785.47</v>
      </c>
      <c r="G194" t="str">
        <f t="shared" si="3"/>
        <v>混合型</v>
      </c>
    </row>
    <row r="195" spans="1:7">
      <c r="A195" s="6">
        <v>44074</v>
      </c>
      <c r="B195" s="98"/>
      <c r="C195" s="98" t="s">
        <v>274</v>
      </c>
      <c r="D195" s="98" t="s">
        <v>339</v>
      </c>
      <c r="E195" s="98" t="s">
        <v>256</v>
      </c>
      <c r="F195" s="98">
        <v>3931.66</v>
      </c>
      <c r="G195" t="str">
        <f t="shared" ref="G195:G258" si="4">VLOOKUP(D195,L:N,3,0)</f>
        <v>混合型</v>
      </c>
    </row>
    <row r="196" spans="1:7">
      <c r="A196" s="6">
        <v>44074</v>
      </c>
      <c r="B196" s="98"/>
      <c r="C196" s="98" t="s">
        <v>263</v>
      </c>
      <c r="D196" s="98" t="s">
        <v>339</v>
      </c>
      <c r="E196" s="98" t="s">
        <v>256</v>
      </c>
      <c r="F196" s="98">
        <v>2.74</v>
      </c>
      <c r="G196" t="str">
        <f t="shared" si="4"/>
        <v>混合型</v>
      </c>
    </row>
    <row r="197" spans="1:7">
      <c r="A197" s="6">
        <v>44074</v>
      </c>
      <c r="B197" s="98"/>
      <c r="C197" s="98" t="s">
        <v>257</v>
      </c>
      <c r="D197" s="98" t="s">
        <v>339</v>
      </c>
      <c r="E197" s="98" t="s">
        <v>256</v>
      </c>
      <c r="F197" s="98">
        <v>444.24</v>
      </c>
      <c r="G197" t="str">
        <f t="shared" si="4"/>
        <v>混合型</v>
      </c>
    </row>
    <row r="198" spans="1:7">
      <c r="A198" s="6">
        <v>44074</v>
      </c>
      <c r="B198" s="98"/>
      <c r="C198" s="98" t="s">
        <v>276</v>
      </c>
      <c r="D198" s="98" t="s">
        <v>339</v>
      </c>
      <c r="E198" s="98" t="s">
        <v>256</v>
      </c>
      <c r="F198" s="98">
        <v>319.77999999999997</v>
      </c>
      <c r="G198" t="str">
        <f t="shared" si="4"/>
        <v>混合型</v>
      </c>
    </row>
    <row r="199" spans="1:7">
      <c r="A199" s="6">
        <v>44074</v>
      </c>
      <c r="B199" s="98"/>
      <c r="C199" s="98" t="s">
        <v>283</v>
      </c>
      <c r="D199" s="98" t="s">
        <v>339</v>
      </c>
      <c r="E199" s="98" t="s">
        <v>256</v>
      </c>
      <c r="F199" s="98">
        <v>13.53</v>
      </c>
      <c r="G199" t="str">
        <f t="shared" si="4"/>
        <v>混合型</v>
      </c>
    </row>
    <row r="200" spans="1:7">
      <c r="A200" s="6">
        <v>44074</v>
      </c>
      <c r="B200" s="98"/>
      <c r="C200" s="98" t="s">
        <v>290</v>
      </c>
      <c r="D200" s="98" t="s">
        <v>339</v>
      </c>
      <c r="E200" s="98" t="s">
        <v>259</v>
      </c>
      <c r="F200" s="98">
        <v>1471.43</v>
      </c>
      <c r="G200" t="str">
        <f t="shared" si="4"/>
        <v>混合型</v>
      </c>
    </row>
    <row r="201" spans="1:7">
      <c r="A201" s="6">
        <v>44074</v>
      </c>
      <c r="B201" s="98"/>
      <c r="C201" s="98" t="s">
        <v>301</v>
      </c>
      <c r="D201" s="98" t="s">
        <v>339</v>
      </c>
      <c r="E201" s="98" t="s">
        <v>259</v>
      </c>
      <c r="F201" s="98">
        <v>2212.6799999999998</v>
      </c>
      <c r="G201" t="str">
        <f t="shared" si="4"/>
        <v>混合型</v>
      </c>
    </row>
    <row r="202" spans="1:7">
      <c r="A202" s="6">
        <v>44074</v>
      </c>
      <c r="B202" s="98"/>
      <c r="C202" s="98" t="s">
        <v>260</v>
      </c>
      <c r="D202" s="98" t="s">
        <v>339</v>
      </c>
      <c r="E202" s="98" t="s">
        <v>259</v>
      </c>
      <c r="F202" s="98">
        <v>3537.1</v>
      </c>
      <c r="G202" t="str">
        <f t="shared" si="4"/>
        <v>混合型</v>
      </c>
    </row>
    <row r="203" spans="1:7">
      <c r="A203" s="6">
        <v>44074</v>
      </c>
      <c r="B203" s="98"/>
      <c r="C203" s="98" t="s">
        <v>278</v>
      </c>
      <c r="D203" s="98" t="s">
        <v>339</v>
      </c>
      <c r="E203" s="98" t="s">
        <v>270</v>
      </c>
      <c r="F203" s="98">
        <v>20076.759999999998</v>
      </c>
      <c r="G203" t="str">
        <f t="shared" si="4"/>
        <v>混合型</v>
      </c>
    </row>
    <row r="204" spans="1:7">
      <c r="A204" s="6">
        <v>44074</v>
      </c>
      <c r="B204" s="98"/>
      <c r="C204" s="98" t="s">
        <v>286</v>
      </c>
      <c r="D204" s="98" t="s">
        <v>339</v>
      </c>
      <c r="E204" s="98" t="s">
        <v>259</v>
      </c>
      <c r="F204" s="98">
        <v>5643.3</v>
      </c>
      <c r="G204" t="str">
        <f t="shared" si="4"/>
        <v>混合型</v>
      </c>
    </row>
    <row r="205" spans="1:7">
      <c r="A205" s="6">
        <v>44074</v>
      </c>
      <c r="B205" s="98" t="s">
        <v>340</v>
      </c>
      <c r="C205" s="98" t="s">
        <v>274</v>
      </c>
      <c r="D205" s="98" t="s">
        <v>341</v>
      </c>
      <c r="E205" s="98" t="s">
        <v>256</v>
      </c>
      <c r="F205" s="98">
        <v>84.83</v>
      </c>
      <c r="G205" t="str">
        <f t="shared" si="4"/>
        <v>混合型</v>
      </c>
    </row>
    <row r="206" spans="1:7">
      <c r="A206" s="6">
        <v>44074</v>
      </c>
      <c r="B206" s="98"/>
      <c r="C206" s="98" t="s">
        <v>257</v>
      </c>
      <c r="D206" s="98" t="s">
        <v>341</v>
      </c>
      <c r="E206" s="98" t="s">
        <v>256</v>
      </c>
      <c r="F206" s="98">
        <v>473.77</v>
      </c>
      <c r="G206" t="str">
        <f t="shared" si="4"/>
        <v>混合型</v>
      </c>
    </row>
    <row r="207" spans="1:7">
      <c r="A207" s="6">
        <v>44074</v>
      </c>
      <c r="B207" s="98"/>
      <c r="C207" s="98" t="s">
        <v>276</v>
      </c>
      <c r="D207" s="98" t="s">
        <v>341</v>
      </c>
      <c r="E207" s="98" t="s">
        <v>256</v>
      </c>
      <c r="F207" s="98">
        <v>249.63</v>
      </c>
      <c r="G207" t="str">
        <f t="shared" si="4"/>
        <v>混合型</v>
      </c>
    </row>
    <row r="208" spans="1:7">
      <c r="A208" s="6">
        <v>44074</v>
      </c>
      <c r="B208" s="98"/>
      <c r="C208" s="98" t="s">
        <v>283</v>
      </c>
      <c r="D208" s="98" t="s">
        <v>341</v>
      </c>
      <c r="E208" s="98" t="s">
        <v>256</v>
      </c>
      <c r="F208" s="98">
        <v>5.41</v>
      </c>
      <c r="G208" t="str">
        <f t="shared" si="4"/>
        <v>混合型</v>
      </c>
    </row>
    <row r="209" spans="1:7">
      <c r="A209" s="6">
        <v>44074</v>
      </c>
      <c r="B209" s="98"/>
      <c r="C209" s="98" t="s">
        <v>266</v>
      </c>
      <c r="D209" s="98" t="s">
        <v>341</v>
      </c>
      <c r="E209" s="98" t="s">
        <v>256</v>
      </c>
      <c r="F209" s="98">
        <v>211.41</v>
      </c>
      <c r="G209" t="str">
        <f t="shared" si="4"/>
        <v>混合型</v>
      </c>
    </row>
    <row r="210" spans="1:7">
      <c r="A210" s="6">
        <v>44074</v>
      </c>
      <c r="B210" s="98"/>
      <c r="C210" s="98" t="s">
        <v>267</v>
      </c>
      <c r="D210" s="98" t="s">
        <v>341</v>
      </c>
      <c r="E210" s="98" t="s">
        <v>259</v>
      </c>
      <c r="F210" s="98">
        <v>7543.58</v>
      </c>
      <c r="G210" t="str">
        <f t="shared" si="4"/>
        <v>混合型</v>
      </c>
    </row>
    <row r="211" spans="1:7">
      <c r="A211" s="6">
        <v>44074</v>
      </c>
      <c r="B211" s="98"/>
      <c r="C211" s="98" t="s">
        <v>301</v>
      </c>
      <c r="D211" s="98" t="s">
        <v>341</v>
      </c>
      <c r="E211" s="98" t="s">
        <v>259</v>
      </c>
      <c r="F211" s="98">
        <v>9209.07</v>
      </c>
      <c r="G211" t="str">
        <f t="shared" si="4"/>
        <v>混合型</v>
      </c>
    </row>
    <row r="212" spans="1:7">
      <c r="A212" s="6">
        <v>44074</v>
      </c>
      <c r="B212" s="98"/>
      <c r="C212" s="98" t="s">
        <v>258</v>
      </c>
      <c r="D212" s="98" t="s">
        <v>341</v>
      </c>
      <c r="E212" s="98" t="s">
        <v>259</v>
      </c>
      <c r="F212" s="98">
        <v>13190.48</v>
      </c>
      <c r="G212" t="str">
        <f t="shared" si="4"/>
        <v>混合型</v>
      </c>
    </row>
    <row r="213" spans="1:7">
      <c r="A213" s="6">
        <v>44074</v>
      </c>
      <c r="B213" s="98"/>
      <c r="C213" s="98" t="s">
        <v>277</v>
      </c>
      <c r="D213" s="98" t="s">
        <v>341</v>
      </c>
      <c r="E213" s="98" t="s">
        <v>259</v>
      </c>
      <c r="F213" s="98">
        <v>1328.06</v>
      </c>
      <c r="G213" t="str">
        <f t="shared" si="4"/>
        <v>混合型</v>
      </c>
    </row>
    <row r="214" spans="1:7">
      <c r="A214" s="6">
        <v>44074</v>
      </c>
      <c r="B214" s="98"/>
      <c r="C214" s="98" t="s">
        <v>278</v>
      </c>
      <c r="D214" s="98" t="s">
        <v>341</v>
      </c>
      <c r="E214" s="98" t="s">
        <v>270</v>
      </c>
      <c r="F214" s="98">
        <v>18860.21</v>
      </c>
      <c r="G214" t="str">
        <f t="shared" si="4"/>
        <v>混合型</v>
      </c>
    </row>
    <row r="215" spans="1:7">
      <c r="A215" s="6">
        <v>44074</v>
      </c>
      <c r="B215" s="98"/>
      <c r="C215" s="98" t="s">
        <v>261</v>
      </c>
      <c r="D215" s="98" t="s">
        <v>341</v>
      </c>
      <c r="E215" s="98" t="s">
        <v>259</v>
      </c>
      <c r="F215" s="98">
        <v>250.12</v>
      </c>
      <c r="G215" t="str">
        <f t="shared" si="4"/>
        <v>混合型</v>
      </c>
    </row>
    <row r="216" spans="1:7">
      <c r="A216" s="6">
        <v>44074</v>
      </c>
      <c r="B216" s="98"/>
      <c r="C216" s="98" t="s">
        <v>286</v>
      </c>
      <c r="D216" s="98" t="s">
        <v>341</v>
      </c>
      <c r="E216" s="98" t="s">
        <v>259</v>
      </c>
      <c r="F216" s="98">
        <v>13000.37</v>
      </c>
      <c r="G216" t="str">
        <f t="shared" si="4"/>
        <v>混合型</v>
      </c>
    </row>
    <row r="217" spans="1:7">
      <c r="A217" s="6">
        <v>44074</v>
      </c>
      <c r="B217" s="98" t="s">
        <v>342</v>
      </c>
      <c r="C217" s="98" t="s">
        <v>274</v>
      </c>
      <c r="D217" s="98" t="s">
        <v>343</v>
      </c>
      <c r="E217" s="98" t="s">
        <v>256</v>
      </c>
      <c r="F217" s="98">
        <v>109.96</v>
      </c>
      <c r="G217" t="str">
        <f t="shared" si="4"/>
        <v>股票型</v>
      </c>
    </row>
    <row r="218" spans="1:7">
      <c r="A218" s="6">
        <v>44074</v>
      </c>
      <c r="B218" s="98"/>
      <c r="C218" s="98" t="s">
        <v>265</v>
      </c>
      <c r="D218" s="98" t="s">
        <v>343</v>
      </c>
      <c r="E218" s="98" t="s">
        <v>256</v>
      </c>
      <c r="F218" s="98">
        <v>112.23</v>
      </c>
      <c r="G218" t="str">
        <f t="shared" si="4"/>
        <v>股票型</v>
      </c>
    </row>
    <row r="219" spans="1:7">
      <c r="A219" s="6">
        <v>44074</v>
      </c>
      <c r="B219" s="98"/>
      <c r="C219" s="98" t="s">
        <v>257</v>
      </c>
      <c r="D219" s="98" t="s">
        <v>343</v>
      </c>
      <c r="E219" s="98" t="s">
        <v>256</v>
      </c>
      <c r="F219" s="98">
        <v>47.27</v>
      </c>
      <c r="G219" t="str">
        <f t="shared" si="4"/>
        <v>股票型</v>
      </c>
    </row>
    <row r="220" spans="1:7">
      <c r="A220" s="6">
        <v>44074</v>
      </c>
      <c r="B220" s="98" t="s">
        <v>344</v>
      </c>
      <c r="C220" s="98" t="s">
        <v>254</v>
      </c>
      <c r="D220" s="98" t="s">
        <v>345</v>
      </c>
      <c r="E220" s="98" t="s">
        <v>256</v>
      </c>
      <c r="F220" s="98">
        <v>756.12</v>
      </c>
      <c r="G220" t="str">
        <f t="shared" si="4"/>
        <v>股票型</v>
      </c>
    </row>
    <row r="221" spans="1:7">
      <c r="A221" s="6">
        <v>44074</v>
      </c>
      <c r="B221" s="98"/>
      <c r="C221" s="98" t="s">
        <v>257</v>
      </c>
      <c r="D221" s="98" t="s">
        <v>345</v>
      </c>
      <c r="E221" s="98" t="s">
        <v>256</v>
      </c>
      <c r="F221" s="98">
        <v>6.65</v>
      </c>
      <c r="G221" t="str">
        <f t="shared" si="4"/>
        <v>股票型</v>
      </c>
    </row>
    <row r="222" spans="1:7">
      <c r="A222" s="6">
        <v>44074</v>
      </c>
      <c r="B222" s="98"/>
      <c r="C222" s="98" t="s">
        <v>260</v>
      </c>
      <c r="D222" s="98" t="s">
        <v>345</v>
      </c>
      <c r="E222" s="98" t="s">
        <v>259</v>
      </c>
      <c r="F222" s="98">
        <v>3828.68</v>
      </c>
      <c r="G222" t="str">
        <f t="shared" si="4"/>
        <v>股票型</v>
      </c>
    </row>
    <row r="223" spans="1:7">
      <c r="A223" s="6">
        <v>44074</v>
      </c>
      <c r="B223" s="98" t="s">
        <v>346</v>
      </c>
      <c r="C223" s="98" t="s">
        <v>254</v>
      </c>
      <c r="D223" s="98" t="s">
        <v>347</v>
      </c>
      <c r="E223" s="98" t="s">
        <v>256</v>
      </c>
      <c r="F223" s="98">
        <v>1376.21</v>
      </c>
      <c r="G223" t="str">
        <f t="shared" si="4"/>
        <v>股票型</v>
      </c>
    </row>
    <row r="224" spans="1:7">
      <c r="A224" s="6">
        <v>44074</v>
      </c>
      <c r="B224" s="98"/>
      <c r="C224" s="98" t="s">
        <v>274</v>
      </c>
      <c r="D224" s="98" t="s">
        <v>347</v>
      </c>
      <c r="E224" s="98" t="s">
        <v>256</v>
      </c>
      <c r="F224" s="98">
        <v>1334.29</v>
      </c>
      <c r="G224" t="str">
        <f t="shared" si="4"/>
        <v>股票型</v>
      </c>
    </row>
    <row r="225" spans="1:7">
      <c r="A225" s="6">
        <v>44074</v>
      </c>
      <c r="B225" s="98"/>
      <c r="C225" s="98" t="s">
        <v>263</v>
      </c>
      <c r="D225" s="98" t="s">
        <v>347</v>
      </c>
      <c r="E225" s="98" t="s">
        <v>256</v>
      </c>
      <c r="F225" s="98">
        <v>32.049999999999997</v>
      </c>
      <c r="G225" t="str">
        <f t="shared" si="4"/>
        <v>股票型</v>
      </c>
    </row>
    <row r="226" spans="1:7">
      <c r="A226" s="6">
        <v>44074</v>
      </c>
      <c r="B226" s="98"/>
      <c r="C226" s="98" t="s">
        <v>265</v>
      </c>
      <c r="D226" s="98" t="s">
        <v>347</v>
      </c>
      <c r="E226" s="98" t="s">
        <v>256</v>
      </c>
      <c r="F226" s="98">
        <v>61.24</v>
      </c>
      <c r="G226" t="str">
        <f t="shared" si="4"/>
        <v>股票型</v>
      </c>
    </row>
    <row r="227" spans="1:7">
      <c r="A227" s="6">
        <v>44074</v>
      </c>
      <c r="B227" s="98"/>
      <c r="C227" s="98" t="s">
        <v>257</v>
      </c>
      <c r="D227" s="98" t="s">
        <v>347</v>
      </c>
      <c r="E227" s="98" t="s">
        <v>256</v>
      </c>
      <c r="F227" s="98">
        <v>226.6</v>
      </c>
      <c r="G227" t="str">
        <f t="shared" si="4"/>
        <v>股票型</v>
      </c>
    </row>
    <row r="228" spans="1:7">
      <c r="A228" s="6">
        <v>44074</v>
      </c>
      <c r="B228" s="98"/>
      <c r="C228" s="98" t="s">
        <v>266</v>
      </c>
      <c r="D228" s="98" t="s">
        <v>347</v>
      </c>
      <c r="E228" s="98" t="s">
        <v>256</v>
      </c>
      <c r="F228" s="98">
        <v>72.97</v>
      </c>
      <c r="G228" t="str">
        <f t="shared" si="4"/>
        <v>股票型</v>
      </c>
    </row>
    <row r="229" spans="1:7">
      <c r="A229" s="6">
        <v>44074</v>
      </c>
      <c r="B229" s="98"/>
      <c r="C229" s="98" t="s">
        <v>267</v>
      </c>
      <c r="D229" s="98" t="s">
        <v>347</v>
      </c>
      <c r="E229" s="98" t="s">
        <v>259</v>
      </c>
      <c r="F229" s="98">
        <v>15671.24</v>
      </c>
      <c r="G229" t="str">
        <f t="shared" si="4"/>
        <v>股票型</v>
      </c>
    </row>
    <row r="230" spans="1:7">
      <c r="A230" s="6">
        <v>44074</v>
      </c>
      <c r="B230" s="98"/>
      <c r="C230" s="98" t="s">
        <v>301</v>
      </c>
      <c r="D230" s="98" t="s">
        <v>347</v>
      </c>
      <c r="E230" s="98" t="s">
        <v>259</v>
      </c>
      <c r="F230" s="98">
        <v>32182.11</v>
      </c>
      <c r="G230" t="str">
        <f t="shared" si="4"/>
        <v>股票型</v>
      </c>
    </row>
    <row r="231" spans="1:7">
      <c r="A231" s="6">
        <v>44074</v>
      </c>
      <c r="B231" s="98"/>
      <c r="C231" s="98" t="s">
        <v>260</v>
      </c>
      <c r="D231" s="98" t="s">
        <v>347</v>
      </c>
      <c r="E231" s="98" t="s">
        <v>259</v>
      </c>
      <c r="F231" s="98">
        <v>3380.6</v>
      </c>
      <c r="G231" t="str">
        <f t="shared" si="4"/>
        <v>股票型</v>
      </c>
    </row>
    <row r="232" spans="1:7">
      <c r="A232" s="6">
        <v>44074</v>
      </c>
      <c r="B232" s="98"/>
      <c r="C232" s="98" t="s">
        <v>272</v>
      </c>
      <c r="D232" s="98" t="s">
        <v>347</v>
      </c>
      <c r="E232" s="98" t="s">
        <v>270</v>
      </c>
      <c r="F232" s="98">
        <v>9942.6299999999992</v>
      </c>
      <c r="G232" t="str">
        <f t="shared" si="4"/>
        <v>股票型</v>
      </c>
    </row>
    <row r="233" spans="1:7">
      <c r="A233" s="6">
        <v>44074</v>
      </c>
      <c r="B233" s="98" t="s">
        <v>348</v>
      </c>
      <c r="C233" s="98" t="s">
        <v>265</v>
      </c>
      <c r="D233" s="98" t="s">
        <v>349</v>
      </c>
      <c r="E233" s="98" t="s">
        <v>256</v>
      </c>
      <c r="F233" s="98">
        <v>45.06</v>
      </c>
      <c r="G233" t="str">
        <f t="shared" si="4"/>
        <v>固收型</v>
      </c>
    </row>
    <row r="234" spans="1:7">
      <c r="A234" s="6">
        <v>44074</v>
      </c>
      <c r="B234" s="98"/>
      <c r="C234" s="98" t="s">
        <v>257</v>
      </c>
      <c r="D234" s="98" t="s">
        <v>349</v>
      </c>
      <c r="E234" s="98" t="s">
        <v>256</v>
      </c>
      <c r="F234" s="98">
        <v>25.76</v>
      </c>
      <c r="G234" t="str">
        <f t="shared" si="4"/>
        <v>固收型</v>
      </c>
    </row>
    <row r="235" spans="1:7">
      <c r="A235" s="6">
        <v>44074</v>
      </c>
      <c r="B235" s="98"/>
      <c r="C235" s="98" t="s">
        <v>267</v>
      </c>
      <c r="D235" s="98" t="s">
        <v>349</v>
      </c>
      <c r="E235" s="98" t="s">
        <v>259</v>
      </c>
      <c r="F235" s="98">
        <v>5351.07</v>
      </c>
      <c r="G235" t="str">
        <f t="shared" si="4"/>
        <v>固收型</v>
      </c>
    </row>
    <row r="236" spans="1:7">
      <c r="A236" s="6">
        <v>44074</v>
      </c>
      <c r="B236" s="98"/>
      <c r="C236" s="98" t="s">
        <v>268</v>
      </c>
      <c r="D236" s="98" t="s">
        <v>349</v>
      </c>
      <c r="E236" s="98" t="s">
        <v>259</v>
      </c>
      <c r="F236" s="98">
        <v>6797.46</v>
      </c>
      <c r="G236" t="str">
        <f t="shared" si="4"/>
        <v>固收型</v>
      </c>
    </row>
    <row r="237" spans="1:7">
      <c r="A237" s="6">
        <v>44074</v>
      </c>
      <c r="B237" s="98"/>
      <c r="C237" s="98" t="s">
        <v>350</v>
      </c>
      <c r="D237" s="98" t="s">
        <v>349</v>
      </c>
      <c r="E237" s="98" t="s">
        <v>259</v>
      </c>
      <c r="F237" s="98">
        <v>269.04000000000002</v>
      </c>
      <c r="G237" t="str">
        <f t="shared" si="4"/>
        <v>固收型</v>
      </c>
    </row>
    <row r="238" spans="1:7">
      <c r="A238" s="6">
        <v>44074</v>
      </c>
      <c r="B238" s="98"/>
      <c r="C238" s="98" t="s">
        <v>351</v>
      </c>
      <c r="D238" s="98" t="s">
        <v>349</v>
      </c>
      <c r="E238" s="98" t="s">
        <v>259</v>
      </c>
      <c r="F238" s="98">
        <v>153.35</v>
      </c>
      <c r="G238" t="str">
        <f t="shared" si="4"/>
        <v>固收型</v>
      </c>
    </row>
    <row r="239" spans="1:7">
      <c r="A239" s="6">
        <v>44074</v>
      </c>
      <c r="B239" s="98"/>
      <c r="C239" s="98" t="s">
        <v>277</v>
      </c>
      <c r="D239" s="98" t="s">
        <v>349</v>
      </c>
      <c r="E239" s="98" t="s">
        <v>259</v>
      </c>
      <c r="F239" s="98">
        <v>744.95</v>
      </c>
      <c r="G239" t="str">
        <f t="shared" si="4"/>
        <v>固收型</v>
      </c>
    </row>
    <row r="240" spans="1:7">
      <c r="A240" s="6">
        <v>44074</v>
      </c>
      <c r="B240" s="98" t="s">
        <v>352</v>
      </c>
      <c r="C240" s="98" t="s">
        <v>257</v>
      </c>
      <c r="D240" s="98" t="s">
        <v>353</v>
      </c>
      <c r="E240" s="98" t="s">
        <v>256</v>
      </c>
      <c r="F240" s="98">
        <v>71.900000000000006</v>
      </c>
      <c r="G240" t="str">
        <f t="shared" si="4"/>
        <v>保险产品</v>
      </c>
    </row>
    <row r="241" spans="1:7">
      <c r="A241" s="6">
        <v>44074</v>
      </c>
      <c r="B241" s="98" t="s">
        <v>354</v>
      </c>
      <c r="C241" s="98" t="s">
        <v>263</v>
      </c>
      <c r="D241" s="98" t="s">
        <v>355</v>
      </c>
      <c r="E241" s="98" t="s">
        <v>256</v>
      </c>
      <c r="F241" s="98">
        <v>1.94</v>
      </c>
      <c r="G241" t="str">
        <f t="shared" si="4"/>
        <v>混合型</v>
      </c>
    </row>
    <row r="242" spans="1:7">
      <c r="A242" s="6">
        <v>44074</v>
      </c>
      <c r="B242" s="98"/>
      <c r="C242" s="98" t="s">
        <v>266</v>
      </c>
      <c r="D242" s="98" t="s">
        <v>355</v>
      </c>
      <c r="E242" s="98" t="s">
        <v>256</v>
      </c>
      <c r="F242" s="98">
        <v>195.52</v>
      </c>
      <c r="G242" t="str">
        <f t="shared" si="4"/>
        <v>混合型</v>
      </c>
    </row>
    <row r="243" spans="1:7">
      <c r="A243" s="6">
        <v>44074</v>
      </c>
      <c r="B243" s="98"/>
      <c r="C243" s="98" t="s">
        <v>278</v>
      </c>
      <c r="D243" s="98" t="s">
        <v>355</v>
      </c>
      <c r="E243" s="98" t="s">
        <v>270</v>
      </c>
      <c r="F243" s="98">
        <v>2865.31</v>
      </c>
      <c r="G243" t="str">
        <f t="shared" si="4"/>
        <v>混合型</v>
      </c>
    </row>
    <row r="244" spans="1:7">
      <c r="A244" s="6">
        <v>44074</v>
      </c>
      <c r="B244" s="98"/>
      <c r="C244" s="98" t="s">
        <v>286</v>
      </c>
      <c r="D244" s="98" t="s">
        <v>355</v>
      </c>
      <c r="E244" s="98" t="s">
        <v>259</v>
      </c>
      <c r="F244" s="98">
        <v>3402.93</v>
      </c>
      <c r="G244" t="str">
        <f t="shared" si="4"/>
        <v>混合型</v>
      </c>
    </row>
    <row r="245" spans="1:7">
      <c r="A245" s="6">
        <v>44074</v>
      </c>
      <c r="B245" s="98" t="s">
        <v>356</v>
      </c>
      <c r="C245" s="98" t="s">
        <v>274</v>
      </c>
      <c r="D245" s="98" t="s">
        <v>357</v>
      </c>
      <c r="E245" s="98" t="s">
        <v>256</v>
      </c>
      <c r="F245" s="98">
        <v>247.56</v>
      </c>
      <c r="G245" t="str">
        <f t="shared" si="4"/>
        <v>基础设施债权</v>
      </c>
    </row>
    <row r="246" spans="1:7">
      <c r="A246" s="6">
        <v>44074</v>
      </c>
      <c r="B246" s="98"/>
      <c r="C246" s="98" t="s">
        <v>257</v>
      </c>
      <c r="D246" s="98" t="s">
        <v>357</v>
      </c>
      <c r="E246" s="98" t="s">
        <v>256</v>
      </c>
      <c r="F246" s="98">
        <v>89</v>
      </c>
      <c r="G246" t="str">
        <f t="shared" si="4"/>
        <v>基础设施债权</v>
      </c>
    </row>
    <row r="247" spans="1:7">
      <c r="A247" s="6">
        <v>44074</v>
      </c>
      <c r="B247" s="98" t="s">
        <v>358</v>
      </c>
      <c r="C247" s="98" t="s">
        <v>257</v>
      </c>
      <c r="D247" s="98" t="s">
        <v>359</v>
      </c>
      <c r="E247" s="98" t="s">
        <v>256</v>
      </c>
      <c r="F247" s="98">
        <v>13.44</v>
      </c>
      <c r="G247" t="str">
        <f t="shared" si="4"/>
        <v>基础设施债权</v>
      </c>
    </row>
    <row r="248" spans="1:7">
      <c r="A248" s="6">
        <v>44074</v>
      </c>
      <c r="B248" s="98" t="s">
        <v>360</v>
      </c>
      <c r="C248" s="98" t="s">
        <v>254</v>
      </c>
      <c r="D248" s="98" t="s">
        <v>361</v>
      </c>
      <c r="E248" s="98" t="s">
        <v>256</v>
      </c>
      <c r="F248" s="98">
        <v>110.08</v>
      </c>
      <c r="G248" t="str">
        <f t="shared" si="4"/>
        <v>存款型</v>
      </c>
    </row>
    <row r="249" spans="1:7">
      <c r="A249" s="6">
        <v>44074</v>
      </c>
      <c r="B249" s="98"/>
      <c r="C249" s="98" t="s">
        <v>274</v>
      </c>
      <c r="D249" s="98" t="s">
        <v>361</v>
      </c>
      <c r="E249" s="98" t="s">
        <v>256</v>
      </c>
      <c r="F249" s="98">
        <v>74.02</v>
      </c>
      <c r="G249" t="str">
        <f t="shared" si="4"/>
        <v>存款型</v>
      </c>
    </row>
    <row r="250" spans="1:7">
      <c r="A250" s="6">
        <v>44074</v>
      </c>
      <c r="B250" s="98"/>
      <c r="C250" s="98" t="s">
        <v>276</v>
      </c>
      <c r="D250" s="98" t="s">
        <v>361</v>
      </c>
      <c r="E250" s="98" t="s">
        <v>256</v>
      </c>
      <c r="F250" s="98">
        <v>48.2</v>
      </c>
      <c r="G250" t="str">
        <f t="shared" si="4"/>
        <v>存款型</v>
      </c>
    </row>
    <row r="251" spans="1:7">
      <c r="A251" s="6">
        <v>44074</v>
      </c>
      <c r="B251" s="98" t="s">
        <v>362</v>
      </c>
      <c r="C251" s="98" t="s">
        <v>254</v>
      </c>
      <c r="D251" s="98" t="s">
        <v>363</v>
      </c>
      <c r="E251" s="98" t="s">
        <v>256</v>
      </c>
      <c r="F251" s="98">
        <v>95.84</v>
      </c>
      <c r="G251" t="str">
        <f t="shared" si="4"/>
        <v>存款型</v>
      </c>
    </row>
    <row r="252" spans="1:7">
      <c r="A252" s="6">
        <v>44074</v>
      </c>
      <c r="B252" s="98"/>
      <c r="C252" s="98" t="s">
        <v>257</v>
      </c>
      <c r="D252" s="98" t="s">
        <v>363</v>
      </c>
      <c r="E252" s="98" t="s">
        <v>256</v>
      </c>
      <c r="F252" s="98">
        <v>142.77000000000001</v>
      </c>
      <c r="G252" t="str">
        <f t="shared" si="4"/>
        <v>存款型</v>
      </c>
    </row>
    <row r="253" spans="1:7">
      <c r="A253" s="6">
        <v>44074</v>
      </c>
      <c r="B253" s="98"/>
      <c r="C253" s="98" t="s">
        <v>303</v>
      </c>
      <c r="D253" s="98" t="s">
        <v>363</v>
      </c>
      <c r="E253" s="98" t="s">
        <v>259</v>
      </c>
      <c r="F253" s="98">
        <v>233.66</v>
      </c>
      <c r="G253" t="str">
        <f t="shared" si="4"/>
        <v>存款型</v>
      </c>
    </row>
    <row r="254" spans="1:7">
      <c r="A254" s="6">
        <v>44074</v>
      </c>
      <c r="B254" s="98" t="s">
        <v>364</v>
      </c>
      <c r="C254" s="98" t="s">
        <v>257</v>
      </c>
      <c r="D254" s="98" t="s">
        <v>365</v>
      </c>
      <c r="E254" s="98" t="s">
        <v>256</v>
      </c>
      <c r="F254" s="98">
        <v>0.06</v>
      </c>
      <c r="G254" t="str">
        <f t="shared" si="4"/>
        <v>存款型</v>
      </c>
    </row>
    <row r="255" spans="1:7">
      <c r="A255" s="6">
        <v>44074</v>
      </c>
      <c r="B255" s="98" t="s">
        <v>366</v>
      </c>
      <c r="C255" s="98" t="s">
        <v>367</v>
      </c>
      <c r="D255" s="98" t="s">
        <v>368</v>
      </c>
      <c r="E255" s="98" t="s">
        <v>259</v>
      </c>
      <c r="F255" s="98">
        <v>921.19</v>
      </c>
      <c r="G255" t="str">
        <f t="shared" si="4"/>
        <v>存款型</v>
      </c>
    </row>
    <row r="256" spans="1:7">
      <c r="A256" s="6">
        <v>44074</v>
      </c>
      <c r="B256" s="98" t="s">
        <v>369</v>
      </c>
      <c r="C256" s="98" t="s">
        <v>260</v>
      </c>
      <c r="D256" s="98" t="s">
        <v>370</v>
      </c>
      <c r="E256" s="98" t="s">
        <v>259</v>
      </c>
      <c r="F256" s="98">
        <v>21257.439999999999</v>
      </c>
      <c r="G256" t="str">
        <f t="shared" si="4"/>
        <v>固收型</v>
      </c>
    </row>
    <row r="257" spans="1:7">
      <c r="A257" s="6">
        <v>44074</v>
      </c>
      <c r="B257" s="98"/>
      <c r="C257" s="98" t="s">
        <v>302</v>
      </c>
      <c r="D257" s="98" t="s">
        <v>370</v>
      </c>
      <c r="E257" s="98" t="s">
        <v>259</v>
      </c>
      <c r="F257" s="98">
        <v>5455.55</v>
      </c>
      <c r="G257" t="str">
        <f t="shared" si="4"/>
        <v>固收型</v>
      </c>
    </row>
    <row r="258" spans="1:7">
      <c r="A258" s="6">
        <v>44074</v>
      </c>
      <c r="B258" s="98" t="s">
        <v>371</v>
      </c>
      <c r="C258" s="98" t="s">
        <v>254</v>
      </c>
      <c r="D258" s="98" t="s">
        <v>372</v>
      </c>
      <c r="E258" s="98" t="s">
        <v>256</v>
      </c>
      <c r="F258" s="98">
        <v>48.87</v>
      </c>
      <c r="G258" t="str">
        <f t="shared" si="4"/>
        <v>固收型</v>
      </c>
    </row>
    <row r="259" spans="1:7">
      <c r="A259" s="6">
        <v>44074</v>
      </c>
      <c r="B259" s="98"/>
      <c r="C259" s="98" t="s">
        <v>274</v>
      </c>
      <c r="D259" s="98" t="s">
        <v>372</v>
      </c>
      <c r="E259" s="98" t="s">
        <v>256</v>
      </c>
      <c r="F259" s="98">
        <v>56.47</v>
      </c>
      <c r="G259" t="str">
        <f t="shared" ref="G259:G322" si="5">VLOOKUP(D259,L:N,3,0)</f>
        <v>固收型</v>
      </c>
    </row>
    <row r="260" spans="1:7">
      <c r="A260" s="6">
        <v>44074</v>
      </c>
      <c r="B260" s="98"/>
      <c r="C260" s="98" t="s">
        <v>263</v>
      </c>
      <c r="D260" s="98" t="s">
        <v>372</v>
      </c>
      <c r="E260" s="98" t="s">
        <v>256</v>
      </c>
      <c r="F260" s="98">
        <v>14.84</v>
      </c>
      <c r="G260" t="str">
        <f t="shared" si="5"/>
        <v>固收型</v>
      </c>
    </row>
    <row r="261" spans="1:7">
      <c r="A261" s="6">
        <v>44074</v>
      </c>
      <c r="B261" s="98"/>
      <c r="C261" s="98" t="s">
        <v>257</v>
      </c>
      <c r="D261" s="98" t="s">
        <v>372</v>
      </c>
      <c r="E261" s="98" t="s">
        <v>256</v>
      </c>
      <c r="F261" s="98">
        <v>548.78</v>
      </c>
      <c r="G261" t="str">
        <f t="shared" si="5"/>
        <v>固收型</v>
      </c>
    </row>
    <row r="262" spans="1:7">
      <c r="A262" s="6">
        <v>44074</v>
      </c>
      <c r="B262" s="98"/>
      <c r="C262" s="98" t="s">
        <v>301</v>
      </c>
      <c r="D262" s="98" t="s">
        <v>372</v>
      </c>
      <c r="E262" s="98" t="s">
        <v>259</v>
      </c>
      <c r="F262" s="98">
        <v>533.1</v>
      </c>
      <c r="G262" t="str">
        <f t="shared" si="5"/>
        <v>固收型</v>
      </c>
    </row>
    <row r="263" spans="1:7">
      <c r="A263" s="6">
        <v>44074</v>
      </c>
      <c r="B263" s="98" t="s">
        <v>373</v>
      </c>
      <c r="C263" s="98" t="s">
        <v>276</v>
      </c>
      <c r="D263" s="98" t="s">
        <v>374</v>
      </c>
      <c r="E263" s="98" t="s">
        <v>256</v>
      </c>
      <c r="F263" s="98">
        <v>79.06</v>
      </c>
      <c r="G263" t="str">
        <f t="shared" si="5"/>
        <v>固收型</v>
      </c>
    </row>
    <row r="264" spans="1:7">
      <c r="A264" s="6">
        <v>44074</v>
      </c>
      <c r="B264" s="98"/>
      <c r="C264" s="98" t="s">
        <v>260</v>
      </c>
      <c r="D264" s="98" t="s">
        <v>374</v>
      </c>
      <c r="E264" s="98" t="s">
        <v>259</v>
      </c>
      <c r="F264" s="98">
        <v>8038.96</v>
      </c>
      <c r="G264" t="str">
        <f t="shared" si="5"/>
        <v>固收型</v>
      </c>
    </row>
    <row r="265" spans="1:7">
      <c r="A265" s="6">
        <v>44074</v>
      </c>
      <c r="B265" s="98"/>
      <c r="C265" s="98" t="s">
        <v>302</v>
      </c>
      <c r="D265" s="98" t="s">
        <v>374</v>
      </c>
      <c r="E265" s="98" t="s">
        <v>259</v>
      </c>
      <c r="F265" s="98">
        <v>2500.9699999999998</v>
      </c>
      <c r="G265" t="str">
        <f t="shared" si="5"/>
        <v>固收型</v>
      </c>
    </row>
    <row r="266" spans="1:7">
      <c r="A266" s="6">
        <v>44074</v>
      </c>
      <c r="B266" s="98"/>
      <c r="C266" s="98" t="s">
        <v>375</v>
      </c>
      <c r="D266" s="98" t="s">
        <v>374</v>
      </c>
      <c r="E266" s="98" t="s">
        <v>259</v>
      </c>
      <c r="F266" s="98">
        <v>5001.93</v>
      </c>
      <c r="G266" t="str">
        <f t="shared" si="5"/>
        <v>固收型</v>
      </c>
    </row>
    <row r="267" spans="1:7">
      <c r="A267" s="6">
        <v>44074</v>
      </c>
      <c r="B267" s="98"/>
      <c r="C267" s="98" t="s">
        <v>376</v>
      </c>
      <c r="D267" s="98" t="s">
        <v>374</v>
      </c>
      <c r="E267" s="98" t="s">
        <v>259</v>
      </c>
      <c r="F267" s="98">
        <v>2500.9699999999998</v>
      </c>
      <c r="G267" t="str">
        <f t="shared" si="5"/>
        <v>固收型</v>
      </c>
    </row>
    <row r="268" spans="1:7">
      <c r="A268" s="6">
        <v>44074</v>
      </c>
      <c r="B268" s="98"/>
      <c r="C268" s="98" t="s">
        <v>377</v>
      </c>
      <c r="D268" s="98" t="s">
        <v>374</v>
      </c>
      <c r="E268" s="98" t="s">
        <v>259</v>
      </c>
      <c r="F268" s="98">
        <v>2500.9699999999998</v>
      </c>
      <c r="G268" t="str">
        <f t="shared" si="5"/>
        <v>固收型</v>
      </c>
    </row>
    <row r="269" spans="1:7">
      <c r="A269" s="6">
        <v>44074</v>
      </c>
      <c r="B269" s="98" t="s">
        <v>378</v>
      </c>
      <c r="C269" s="98" t="s">
        <v>263</v>
      </c>
      <c r="D269" s="98" t="s">
        <v>379</v>
      </c>
      <c r="E269" s="98" t="s">
        <v>256</v>
      </c>
      <c r="F269" s="98">
        <v>55.17</v>
      </c>
      <c r="G269" t="str">
        <f t="shared" si="5"/>
        <v>固收型</v>
      </c>
    </row>
    <row r="270" spans="1:7">
      <c r="A270" s="6">
        <v>44074</v>
      </c>
      <c r="B270" s="98"/>
      <c r="C270" s="98" t="s">
        <v>265</v>
      </c>
      <c r="D270" s="98" t="s">
        <v>379</v>
      </c>
      <c r="E270" s="98" t="s">
        <v>256</v>
      </c>
      <c r="F270" s="98">
        <v>9.0399999999999991</v>
      </c>
      <c r="G270" t="str">
        <f t="shared" si="5"/>
        <v>固收型</v>
      </c>
    </row>
    <row r="271" spans="1:7">
      <c r="A271" s="6">
        <v>44074</v>
      </c>
      <c r="B271" s="98"/>
      <c r="C271" s="98" t="s">
        <v>380</v>
      </c>
      <c r="D271" s="98" t="s">
        <v>379</v>
      </c>
      <c r="E271" s="98" t="s">
        <v>259</v>
      </c>
      <c r="F271" s="98">
        <v>1411.16</v>
      </c>
      <c r="G271" t="str">
        <f t="shared" si="5"/>
        <v>固收型</v>
      </c>
    </row>
    <row r="272" spans="1:7">
      <c r="A272" s="6">
        <v>44074</v>
      </c>
      <c r="B272" s="98"/>
      <c r="C272" s="98" t="s">
        <v>269</v>
      </c>
      <c r="D272" s="98" t="s">
        <v>379</v>
      </c>
      <c r="E272" s="98" t="s">
        <v>270</v>
      </c>
      <c r="F272" s="98">
        <v>18153.77</v>
      </c>
      <c r="G272" t="str">
        <f t="shared" si="5"/>
        <v>固收型</v>
      </c>
    </row>
    <row r="273" spans="1:7">
      <c r="A273" s="6">
        <v>44074</v>
      </c>
      <c r="B273" s="98"/>
      <c r="C273" s="98" t="s">
        <v>271</v>
      </c>
      <c r="D273" s="98" t="s">
        <v>379</v>
      </c>
      <c r="E273" s="98" t="s">
        <v>270</v>
      </c>
      <c r="F273" s="98">
        <v>16854.400000000001</v>
      </c>
      <c r="G273" t="str">
        <f t="shared" si="5"/>
        <v>固收型</v>
      </c>
    </row>
    <row r="274" spans="1:7">
      <c r="A274" s="6">
        <v>44074</v>
      </c>
      <c r="B274" s="98"/>
      <c r="C274" s="98" t="s">
        <v>272</v>
      </c>
      <c r="D274" s="98" t="s">
        <v>379</v>
      </c>
      <c r="E274" s="98" t="s">
        <v>270</v>
      </c>
      <c r="F274" s="98">
        <v>4902.8</v>
      </c>
      <c r="G274" t="str">
        <f t="shared" si="5"/>
        <v>固收型</v>
      </c>
    </row>
    <row r="275" spans="1:7">
      <c r="A275" s="6">
        <v>44074</v>
      </c>
      <c r="B275" s="98"/>
      <c r="C275" s="98" t="s">
        <v>381</v>
      </c>
      <c r="D275" s="98" t="s">
        <v>379</v>
      </c>
      <c r="E275" s="98" t="s">
        <v>256</v>
      </c>
      <c r="F275" s="98">
        <v>36.18</v>
      </c>
      <c r="G275" t="str">
        <f t="shared" si="5"/>
        <v>固收型</v>
      </c>
    </row>
    <row r="276" spans="1:7">
      <c r="A276" s="6">
        <v>44074</v>
      </c>
      <c r="B276" s="98" t="s">
        <v>382</v>
      </c>
      <c r="C276" s="98" t="s">
        <v>254</v>
      </c>
      <c r="D276" s="98" t="s">
        <v>383</v>
      </c>
      <c r="E276" s="98" t="s">
        <v>256</v>
      </c>
      <c r="F276" s="98">
        <v>198.59</v>
      </c>
      <c r="G276" t="str">
        <f t="shared" si="5"/>
        <v>股票型</v>
      </c>
    </row>
    <row r="277" spans="1:7">
      <c r="A277" s="6">
        <v>44074</v>
      </c>
      <c r="B277" s="98"/>
      <c r="C277" s="98" t="s">
        <v>266</v>
      </c>
      <c r="D277" s="98" t="s">
        <v>383</v>
      </c>
      <c r="E277" s="98" t="s">
        <v>256</v>
      </c>
      <c r="F277" s="98">
        <v>1236.08</v>
      </c>
      <c r="G277" t="str">
        <f t="shared" si="5"/>
        <v>股票型</v>
      </c>
    </row>
    <row r="278" spans="1:7">
      <c r="A278" s="6">
        <v>44074</v>
      </c>
      <c r="B278" s="98" t="s">
        <v>384</v>
      </c>
      <c r="C278" s="98" t="s">
        <v>254</v>
      </c>
      <c r="D278" s="98" t="s">
        <v>385</v>
      </c>
      <c r="E278" s="98" t="s">
        <v>256</v>
      </c>
      <c r="F278" s="98">
        <v>668.19</v>
      </c>
      <c r="G278" t="str">
        <f t="shared" si="5"/>
        <v>股票型</v>
      </c>
    </row>
    <row r="279" spans="1:7">
      <c r="A279" s="6">
        <v>44074</v>
      </c>
      <c r="B279" s="98"/>
      <c r="C279" s="98" t="s">
        <v>263</v>
      </c>
      <c r="D279" s="98" t="s">
        <v>385</v>
      </c>
      <c r="E279" s="98" t="s">
        <v>256</v>
      </c>
      <c r="F279" s="98">
        <v>5.91</v>
      </c>
      <c r="G279" t="str">
        <f t="shared" si="5"/>
        <v>股票型</v>
      </c>
    </row>
    <row r="280" spans="1:7">
      <c r="A280" s="6">
        <v>44074</v>
      </c>
      <c r="B280" s="98"/>
      <c r="C280" s="98" t="s">
        <v>289</v>
      </c>
      <c r="D280" s="98" t="s">
        <v>385</v>
      </c>
      <c r="E280" s="98" t="s">
        <v>259</v>
      </c>
      <c r="F280" s="98">
        <v>1366.37</v>
      </c>
      <c r="G280" t="str">
        <f t="shared" si="5"/>
        <v>股票型</v>
      </c>
    </row>
    <row r="281" spans="1:7">
      <c r="A281" s="6">
        <v>44074</v>
      </c>
      <c r="B281" s="98"/>
      <c r="C281" s="98" t="s">
        <v>301</v>
      </c>
      <c r="D281" s="98" t="s">
        <v>385</v>
      </c>
      <c r="E281" s="98" t="s">
        <v>259</v>
      </c>
      <c r="F281" s="98">
        <v>2674.84</v>
      </c>
      <c r="G281" t="str">
        <f t="shared" si="5"/>
        <v>股票型</v>
      </c>
    </row>
    <row r="282" spans="1:7">
      <c r="A282" s="6">
        <v>44074</v>
      </c>
      <c r="B282" s="98" t="s">
        <v>386</v>
      </c>
      <c r="C282" s="98" t="s">
        <v>254</v>
      </c>
      <c r="D282" s="98" t="s">
        <v>387</v>
      </c>
      <c r="E282" s="98" t="s">
        <v>256</v>
      </c>
      <c r="F282" s="98">
        <v>57.05</v>
      </c>
      <c r="G282" t="str">
        <f t="shared" si="5"/>
        <v>股票型</v>
      </c>
    </row>
    <row r="283" spans="1:7">
      <c r="A283" s="6">
        <v>44074</v>
      </c>
      <c r="B283" s="98"/>
      <c r="C283" s="98" t="s">
        <v>263</v>
      </c>
      <c r="D283" s="98" t="s">
        <v>387</v>
      </c>
      <c r="E283" s="98" t="s">
        <v>256</v>
      </c>
      <c r="F283" s="98">
        <v>73.75</v>
      </c>
      <c r="G283" t="str">
        <f t="shared" si="5"/>
        <v>股票型</v>
      </c>
    </row>
    <row r="284" spans="1:7">
      <c r="A284" s="6">
        <v>44074</v>
      </c>
      <c r="B284" s="98"/>
      <c r="C284" s="98" t="s">
        <v>257</v>
      </c>
      <c r="D284" s="98" t="s">
        <v>387</v>
      </c>
      <c r="E284" s="98" t="s">
        <v>256</v>
      </c>
      <c r="F284" s="98">
        <v>1117.1500000000001</v>
      </c>
      <c r="G284" t="str">
        <f t="shared" si="5"/>
        <v>股票型</v>
      </c>
    </row>
    <row r="285" spans="1:7">
      <c r="A285" s="6">
        <v>44074</v>
      </c>
      <c r="B285" s="98"/>
      <c r="C285" s="98" t="s">
        <v>289</v>
      </c>
      <c r="D285" s="98" t="s">
        <v>387</v>
      </c>
      <c r="E285" s="98" t="s">
        <v>259</v>
      </c>
      <c r="F285" s="98">
        <v>13781.33</v>
      </c>
      <c r="G285" t="str">
        <f t="shared" si="5"/>
        <v>股票型</v>
      </c>
    </row>
    <row r="286" spans="1:7">
      <c r="A286" s="6">
        <v>44074</v>
      </c>
      <c r="B286" s="98"/>
      <c r="C286" s="98" t="s">
        <v>258</v>
      </c>
      <c r="D286" s="98" t="s">
        <v>387</v>
      </c>
      <c r="E286" s="98" t="s">
        <v>259</v>
      </c>
      <c r="F286" s="98">
        <v>15437.5</v>
      </c>
      <c r="G286" t="str">
        <f t="shared" si="5"/>
        <v>股票型</v>
      </c>
    </row>
    <row r="287" spans="1:7">
      <c r="A287" s="6">
        <v>44074</v>
      </c>
      <c r="B287" s="98"/>
      <c r="C287" s="98" t="s">
        <v>261</v>
      </c>
      <c r="D287" s="98" t="s">
        <v>387</v>
      </c>
      <c r="E287" s="98" t="s">
        <v>259</v>
      </c>
      <c r="F287" s="98">
        <v>12090.59</v>
      </c>
      <c r="G287" t="str">
        <f t="shared" si="5"/>
        <v>股票型</v>
      </c>
    </row>
    <row r="288" spans="1:7">
      <c r="A288" s="6">
        <v>44074</v>
      </c>
      <c r="B288" s="98"/>
      <c r="C288" s="98" t="s">
        <v>286</v>
      </c>
      <c r="D288" s="98" t="s">
        <v>387</v>
      </c>
      <c r="E288" s="98" t="s">
        <v>259</v>
      </c>
      <c r="F288" s="98">
        <v>7955.88</v>
      </c>
      <c r="G288" t="str">
        <f t="shared" si="5"/>
        <v>股票型</v>
      </c>
    </row>
    <row r="289" spans="1:7">
      <c r="A289" s="6">
        <v>44074</v>
      </c>
      <c r="B289" s="98" t="s">
        <v>388</v>
      </c>
      <c r="C289" s="98" t="s">
        <v>254</v>
      </c>
      <c r="D289" s="98" t="s">
        <v>389</v>
      </c>
      <c r="E289" s="98" t="s">
        <v>256</v>
      </c>
      <c r="F289" s="98">
        <v>1154.45</v>
      </c>
      <c r="G289" t="str">
        <f t="shared" si="5"/>
        <v>股票型</v>
      </c>
    </row>
    <row r="290" spans="1:7">
      <c r="A290" s="6">
        <v>44074</v>
      </c>
      <c r="B290" s="98"/>
      <c r="C290" s="98" t="s">
        <v>274</v>
      </c>
      <c r="D290" s="98" t="s">
        <v>389</v>
      </c>
      <c r="E290" s="98" t="s">
        <v>256</v>
      </c>
      <c r="F290" s="98">
        <v>10085.01</v>
      </c>
      <c r="G290" t="str">
        <f t="shared" si="5"/>
        <v>股票型</v>
      </c>
    </row>
    <row r="291" spans="1:7">
      <c r="A291" s="6">
        <v>44074</v>
      </c>
      <c r="B291" s="98"/>
      <c r="C291" s="98" t="s">
        <v>263</v>
      </c>
      <c r="D291" s="98" t="s">
        <v>389</v>
      </c>
      <c r="E291" s="98" t="s">
        <v>256</v>
      </c>
      <c r="F291" s="98">
        <v>4.29</v>
      </c>
      <c r="G291" t="str">
        <f t="shared" si="5"/>
        <v>股票型</v>
      </c>
    </row>
    <row r="292" spans="1:7">
      <c r="A292" s="6">
        <v>44074</v>
      </c>
      <c r="B292" s="98"/>
      <c r="C292" s="98" t="s">
        <v>257</v>
      </c>
      <c r="D292" s="98" t="s">
        <v>389</v>
      </c>
      <c r="E292" s="98" t="s">
        <v>256</v>
      </c>
      <c r="F292" s="98">
        <v>427.06</v>
      </c>
      <c r="G292" t="str">
        <f t="shared" si="5"/>
        <v>股票型</v>
      </c>
    </row>
    <row r="293" spans="1:7">
      <c r="A293" s="6">
        <v>44074</v>
      </c>
      <c r="B293" s="98"/>
      <c r="C293" s="98" t="s">
        <v>266</v>
      </c>
      <c r="D293" s="98" t="s">
        <v>389</v>
      </c>
      <c r="E293" s="98" t="s">
        <v>256</v>
      </c>
      <c r="F293" s="98">
        <v>346.77</v>
      </c>
      <c r="G293" t="str">
        <f t="shared" si="5"/>
        <v>股票型</v>
      </c>
    </row>
    <row r="294" spans="1:7">
      <c r="A294" s="6">
        <v>44074</v>
      </c>
      <c r="B294" s="98"/>
      <c r="C294" s="98" t="s">
        <v>267</v>
      </c>
      <c r="D294" s="98" t="s">
        <v>389</v>
      </c>
      <c r="E294" s="98" t="s">
        <v>259</v>
      </c>
      <c r="F294" s="98">
        <v>6270.82</v>
      </c>
      <c r="G294" t="str">
        <f t="shared" si="5"/>
        <v>股票型</v>
      </c>
    </row>
    <row r="295" spans="1:7">
      <c r="A295" s="6">
        <v>44074</v>
      </c>
      <c r="B295" s="98"/>
      <c r="C295" s="98" t="s">
        <v>284</v>
      </c>
      <c r="D295" s="98" t="s">
        <v>389</v>
      </c>
      <c r="E295" s="98" t="s">
        <v>259</v>
      </c>
      <c r="F295" s="98">
        <v>4663.79</v>
      </c>
      <c r="G295" t="str">
        <f t="shared" si="5"/>
        <v>股票型</v>
      </c>
    </row>
    <row r="296" spans="1:7">
      <c r="A296" s="6">
        <v>44074</v>
      </c>
      <c r="B296" s="98"/>
      <c r="C296" s="98" t="s">
        <v>258</v>
      </c>
      <c r="D296" s="98" t="s">
        <v>389</v>
      </c>
      <c r="E296" s="98" t="s">
        <v>259</v>
      </c>
      <c r="F296" s="98">
        <v>1159.53</v>
      </c>
      <c r="G296" t="str">
        <f t="shared" si="5"/>
        <v>股票型</v>
      </c>
    </row>
    <row r="297" spans="1:7">
      <c r="A297" s="6">
        <v>44074</v>
      </c>
      <c r="B297" s="98"/>
      <c r="C297" s="98" t="s">
        <v>260</v>
      </c>
      <c r="D297" s="98" t="s">
        <v>389</v>
      </c>
      <c r="E297" s="98" t="s">
        <v>259</v>
      </c>
      <c r="F297" s="98">
        <v>2822.57</v>
      </c>
      <c r="G297" t="str">
        <f t="shared" si="5"/>
        <v>股票型</v>
      </c>
    </row>
    <row r="298" spans="1:7">
      <c r="A298" s="6">
        <v>44074</v>
      </c>
      <c r="B298" s="98" t="s">
        <v>390</v>
      </c>
      <c r="C298" s="98" t="s">
        <v>257</v>
      </c>
      <c r="D298" s="98" t="s">
        <v>391</v>
      </c>
      <c r="E298" s="98" t="s">
        <v>256</v>
      </c>
      <c r="F298" s="98">
        <v>109.61</v>
      </c>
      <c r="G298" t="str">
        <f t="shared" si="5"/>
        <v>存款型</v>
      </c>
    </row>
    <row r="299" spans="1:7">
      <c r="A299" s="6">
        <v>44074</v>
      </c>
      <c r="B299" s="98"/>
      <c r="C299" s="98" t="s">
        <v>367</v>
      </c>
      <c r="D299" s="98" t="s">
        <v>391</v>
      </c>
      <c r="E299" s="98" t="s">
        <v>259</v>
      </c>
      <c r="F299" s="98">
        <v>918.55</v>
      </c>
      <c r="G299" t="str">
        <f t="shared" si="5"/>
        <v>存款型</v>
      </c>
    </row>
    <row r="300" spans="1:7">
      <c r="A300" s="6">
        <v>44074</v>
      </c>
      <c r="B300" s="98" t="s">
        <v>392</v>
      </c>
      <c r="C300" s="98" t="s">
        <v>266</v>
      </c>
      <c r="D300" s="98" t="s">
        <v>393</v>
      </c>
      <c r="E300" s="98" t="s">
        <v>256</v>
      </c>
      <c r="F300" s="98">
        <v>49.19</v>
      </c>
      <c r="G300" t="str">
        <f t="shared" si="5"/>
        <v>信托型</v>
      </c>
    </row>
    <row r="301" spans="1:7">
      <c r="A301" s="6">
        <v>44074</v>
      </c>
      <c r="B301" s="98" t="s">
        <v>394</v>
      </c>
      <c r="C301" s="98" t="s">
        <v>254</v>
      </c>
      <c r="D301" s="98" t="s">
        <v>395</v>
      </c>
      <c r="E301" s="98" t="s">
        <v>256</v>
      </c>
      <c r="F301" s="98">
        <v>130.44999999999999</v>
      </c>
      <c r="G301" t="str">
        <f t="shared" si="5"/>
        <v>基础设施债权</v>
      </c>
    </row>
    <row r="302" spans="1:7">
      <c r="A302" s="6">
        <v>44074</v>
      </c>
      <c r="B302" s="98"/>
      <c r="C302" s="98" t="s">
        <v>274</v>
      </c>
      <c r="D302" s="98" t="s">
        <v>395</v>
      </c>
      <c r="E302" s="98" t="s">
        <v>256</v>
      </c>
      <c r="F302" s="98">
        <v>570.26</v>
      </c>
      <c r="G302" t="str">
        <f t="shared" si="5"/>
        <v>基础设施债权</v>
      </c>
    </row>
    <row r="303" spans="1:7">
      <c r="A303" s="6">
        <v>44074</v>
      </c>
      <c r="B303" s="98"/>
      <c r="C303" s="98" t="s">
        <v>257</v>
      </c>
      <c r="D303" s="98" t="s">
        <v>395</v>
      </c>
      <c r="E303" s="98" t="s">
        <v>256</v>
      </c>
      <c r="F303" s="98">
        <v>386.28</v>
      </c>
      <c r="G303" t="str">
        <f t="shared" si="5"/>
        <v>基础设施债权</v>
      </c>
    </row>
    <row r="304" spans="1:7">
      <c r="A304" s="6">
        <v>44074</v>
      </c>
      <c r="B304" s="98"/>
      <c r="C304" s="98" t="s">
        <v>266</v>
      </c>
      <c r="D304" s="98" t="s">
        <v>395</v>
      </c>
      <c r="E304" s="98" t="s">
        <v>256</v>
      </c>
      <c r="F304" s="98">
        <v>62.25</v>
      </c>
      <c r="G304" t="str">
        <f t="shared" si="5"/>
        <v>基础设施债权</v>
      </c>
    </row>
    <row r="305" spans="1:7">
      <c r="A305" s="6">
        <v>44074</v>
      </c>
      <c r="B305" s="98"/>
      <c r="C305" s="98" t="s">
        <v>260</v>
      </c>
      <c r="D305" s="98" t="s">
        <v>395</v>
      </c>
      <c r="E305" s="98" t="s">
        <v>259</v>
      </c>
      <c r="F305" s="98">
        <v>17526.68</v>
      </c>
      <c r="G305" t="str">
        <f t="shared" si="5"/>
        <v>基础设施债权</v>
      </c>
    </row>
    <row r="306" spans="1:7">
      <c r="A306" s="6">
        <v>44074</v>
      </c>
      <c r="B306" s="98" t="s">
        <v>396</v>
      </c>
      <c r="C306" s="98" t="s">
        <v>274</v>
      </c>
      <c r="D306" s="98" t="s">
        <v>397</v>
      </c>
      <c r="E306" s="98" t="s">
        <v>256</v>
      </c>
      <c r="F306" s="98">
        <v>41.8</v>
      </c>
      <c r="G306" t="str">
        <f t="shared" si="5"/>
        <v>混合型</v>
      </c>
    </row>
    <row r="307" spans="1:7">
      <c r="A307" s="6">
        <v>44074</v>
      </c>
      <c r="B307" s="98"/>
      <c r="C307" s="98" t="s">
        <v>265</v>
      </c>
      <c r="D307" s="98" t="s">
        <v>397</v>
      </c>
      <c r="E307" s="98" t="s">
        <v>256</v>
      </c>
      <c r="F307" s="98">
        <v>14.87</v>
      </c>
      <c r="G307" t="str">
        <f t="shared" si="5"/>
        <v>混合型</v>
      </c>
    </row>
    <row r="308" spans="1:7">
      <c r="A308" s="6">
        <v>44074</v>
      </c>
      <c r="B308" s="98"/>
      <c r="C308" s="98" t="s">
        <v>257</v>
      </c>
      <c r="D308" s="98" t="s">
        <v>397</v>
      </c>
      <c r="E308" s="98" t="s">
        <v>256</v>
      </c>
      <c r="F308" s="98">
        <v>2.58</v>
      </c>
      <c r="G308" t="str">
        <f t="shared" si="5"/>
        <v>混合型</v>
      </c>
    </row>
    <row r="309" spans="1:7">
      <c r="A309" s="6">
        <v>44074</v>
      </c>
      <c r="B309" s="98"/>
      <c r="C309" s="98" t="s">
        <v>276</v>
      </c>
      <c r="D309" s="98" t="s">
        <v>397</v>
      </c>
      <c r="E309" s="98" t="s">
        <v>256</v>
      </c>
      <c r="F309" s="98">
        <v>119.72</v>
      </c>
      <c r="G309" t="str">
        <f t="shared" si="5"/>
        <v>混合型</v>
      </c>
    </row>
    <row r="310" spans="1:7">
      <c r="A310" s="6">
        <v>44074</v>
      </c>
      <c r="B310" s="98"/>
      <c r="C310" s="98" t="s">
        <v>283</v>
      </c>
      <c r="D310" s="98" t="s">
        <v>397</v>
      </c>
      <c r="E310" s="98" t="s">
        <v>256</v>
      </c>
      <c r="F310" s="98">
        <v>1.91</v>
      </c>
      <c r="G310" t="str">
        <f t="shared" si="5"/>
        <v>混合型</v>
      </c>
    </row>
    <row r="311" spans="1:7">
      <c r="A311" s="6">
        <v>44074</v>
      </c>
      <c r="B311" s="98"/>
      <c r="C311" s="98" t="s">
        <v>266</v>
      </c>
      <c r="D311" s="98" t="s">
        <v>397</v>
      </c>
      <c r="E311" s="98" t="s">
        <v>256</v>
      </c>
      <c r="F311" s="98">
        <v>263.64999999999998</v>
      </c>
      <c r="G311" t="str">
        <f t="shared" si="5"/>
        <v>混合型</v>
      </c>
    </row>
    <row r="312" spans="1:7">
      <c r="A312" s="6">
        <v>44074</v>
      </c>
      <c r="B312" s="98"/>
      <c r="C312" s="98" t="s">
        <v>290</v>
      </c>
      <c r="D312" s="98" t="s">
        <v>397</v>
      </c>
      <c r="E312" s="98" t="s">
        <v>259</v>
      </c>
      <c r="F312" s="98">
        <v>2705.66</v>
      </c>
      <c r="G312" t="str">
        <f t="shared" si="5"/>
        <v>混合型</v>
      </c>
    </row>
    <row r="313" spans="1:7">
      <c r="A313" s="6">
        <v>44074</v>
      </c>
      <c r="B313" s="98" t="s">
        <v>398</v>
      </c>
      <c r="C313" s="98" t="s">
        <v>274</v>
      </c>
      <c r="D313" s="98" t="s">
        <v>399</v>
      </c>
      <c r="E313" s="98" t="s">
        <v>256</v>
      </c>
      <c r="F313" s="98">
        <v>219.6</v>
      </c>
      <c r="G313" t="str">
        <f t="shared" si="5"/>
        <v>FOF</v>
      </c>
    </row>
    <row r="314" spans="1:7">
      <c r="A314" s="6">
        <v>44074</v>
      </c>
      <c r="B314" s="98"/>
      <c r="C314" s="98" t="s">
        <v>265</v>
      </c>
      <c r="D314" s="98" t="s">
        <v>399</v>
      </c>
      <c r="E314" s="98" t="s">
        <v>256</v>
      </c>
      <c r="F314" s="98">
        <v>95.39</v>
      </c>
      <c r="G314" t="str">
        <f t="shared" si="5"/>
        <v>FOF</v>
      </c>
    </row>
    <row r="315" spans="1:7">
      <c r="A315" s="6">
        <v>44074</v>
      </c>
      <c r="B315" s="98"/>
      <c r="C315" s="98" t="s">
        <v>257</v>
      </c>
      <c r="D315" s="98" t="s">
        <v>399</v>
      </c>
      <c r="E315" s="98" t="s">
        <v>256</v>
      </c>
      <c r="F315" s="98">
        <v>136.08000000000001</v>
      </c>
      <c r="G315" t="str">
        <f t="shared" si="5"/>
        <v>FOF</v>
      </c>
    </row>
    <row r="316" spans="1:7">
      <c r="A316" s="6">
        <v>44074</v>
      </c>
      <c r="B316" s="98"/>
      <c r="C316" s="98" t="s">
        <v>276</v>
      </c>
      <c r="D316" s="98" t="s">
        <v>399</v>
      </c>
      <c r="E316" s="98" t="s">
        <v>256</v>
      </c>
      <c r="F316" s="98">
        <v>363.15</v>
      </c>
      <c r="G316" t="str">
        <f t="shared" si="5"/>
        <v>FOF</v>
      </c>
    </row>
    <row r="317" spans="1:7">
      <c r="A317" s="6">
        <v>44074</v>
      </c>
      <c r="B317" s="98"/>
      <c r="C317" s="98" t="s">
        <v>283</v>
      </c>
      <c r="D317" s="98" t="s">
        <v>399</v>
      </c>
      <c r="E317" s="98" t="s">
        <v>256</v>
      </c>
      <c r="F317" s="98">
        <v>30.15</v>
      </c>
      <c r="G317" t="str">
        <f t="shared" si="5"/>
        <v>FOF</v>
      </c>
    </row>
    <row r="318" spans="1:7">
      <c r="A318" s="6">
        <v>44074</v>
      </c>
      <c r="B318" s="98"/>
      <c r="C318" s="98" t="s">
        <v>266</v>
      </c>
      <c r="D318" s="98" t="s">
        <v>399</v>
      </c>
      <c r="E318" s="98" t="s">
        <v>256</v>
      </c>
      <c r="F318" s="98">
        <v>184.4</v>
      </c>
      <c r="G318" t="str">
        <f t="shared" si="5"/>
        <v>FOF</v>
      </c>
    </row>
    <row r="319" spans="1:7">
      <c r="A319" s="6">
        <v>44074</v>
      </c>
      <c r="B319" s="98"/>
      <c r="C319" s="98" t="s">
        <v>290</v>
      </c>
      <c r="D319" s="98" t="s">
        <v>399</v>
      </c>
      <c r="E319" s="98" t="s">
        <v>259</v>
      </c>
      <c r="F319" s="98">
        <v>2851.23</v>
      </c>
      <c r="G319" t="str">
        <f t="shared" si="5"/>
        <v>FOF</v>
      </c>
    </row>
    <row r="320" spans="1:7">
      <c r="A320" s="6">
        <v>44074</v>
      </c>
      <c r="B320" s="98" t="s">
        <v>400</v>
      </c>
      <c r="C320" s="98" t="s">
        <v>274</v>
      </c>
      <c r="D320" s="98" t="s">
        <v>401</v>
      </c>
      <c r="E320" s="98" t="s">
        <v>256</v>
      </c>
      <c r="F320" s="98">
        <v>219.29</v>
      </c>
      <c r="G320" t="str">
        <f t="shared" si="5"/>
        <v>基础设施债权</v>
      </c>
    </row>
    <row r="321" spans="1:7">
      <c r="A321" s="6">
        <v>44074</v>
      </c>
      <c r="B321" s="98"/>
      <c r="C321" s="98" t="s">
        <v>257</v>
      </c>
      <c r="D321" s="98" t="s">
        <v>401</v>
      </c>
      <c r="E321" s="98" t="s">
        <v>256</v>
      </c>
      <c r="F321" s="98">
        <v>319.17</v>
      </c>
      <c r="G321" t="str">
        <f t="shared" si="5"/>
        <v>基础设施债权</v>
      </c>
    </row>
    <row r="322" spans="1:7">
      <c r="A322" s="6">
        <v>44074</v>
      </c>
      <c r="B322" s="98"/>
      <c r="C322" s="98" t="s">
        <v>266</v>
      </c>
      <c r="D322" s="98" t="s">
        <v>401</v>
      </c>
      <c r="E322" s="98" t="s">
        <v>256</v>
      </c>
      <c r="F322" s="98">
        <v>17.82</v>
      </c>
      <c r="G322" t="str">
        <f t="shared" si="5"/>
        <v>基础设施债权</v>
      </c>
    </row>
    <row r="323" spans="1:7">
      <c r="A323" s="6">
        <v>44074</v>
      </c>
      <c r="B323" s="98" t="s">
        <v>402</v>
      </c>
      <c r="C323" s="98" t="s">
        <v>276</v>
      </c>
      <c r="D323" s="98" t="s">
        <v>403</v>
      </c>
      <c r="E323" s="98" t="s">
        <v>256</v>
      </c>
      <c r="F323" s="98">
        <v>494.97</v>
      </c>
      <c r="G323" t="str">
        <f t="shared" ref="G323:G386" si="6">VLOOKUP(D323,L:N,3,0)</f>
        <v>FOF</v>
      </c>
    </row>
    <row r="324" spans="1:7">
      <c r="A324" s="6">
        <v>44074</v>
      </c>
      <c r="B324" s="98"/>
      <c r="C324" s="98" t="s">
        <v>283</v>
      </c>
      <c r="D324" s="98" t="s">
        <v>403</v>
      </c>
      <c r="E324" s="98" t="s">
        <v>256</v>
      </c>
      <c r="F324" s="98">
        <v>36.46</v>
      </c>
      <c r="G324" t="str">
        <f t="shared" si="6"/>
        <v>FOF</v>
      </c>
    </row>
    <row r="325" spans="1:7">
      <c r="A325" s="6">
        <v>44074</v>
      </c>
      <c r="B325" s="98"/>
      <c r="C325" s="98" t="s">
        <v>266</v>
      </c>
      <c r="D325" s="98" t="s">
        <v>403</v>
      </c>
      <c r="E325" s="98" t="s">
        <v>256</v>
      </c>
      <c r="F325" s="98">
        <v>196.88</v>
      </c>
      <c r="G325" t="str">
        <f t="shared" si="6"/>
        <v>FOF</v>
      </c>
    </row>
    <row r="326" spans="1:7">
      <c r="A326" s="6">
        <v>44074</v>
      </c>
      <c r="B326" s="98"/>
      <c r="C326" s="98" t="s">
        <v>290</v>
      </c>
      <c r="D326" s="98" t="s">
        <v>403</v>
      </c>
      <c r="E326" s="98" t="s">
        <v>259</v>
      </c>
      <c r="F326" s="98">
        <v>3422.94</v>
      </c>
      <c r="G326" t="str">
        <f t="shared" si="6"/>
        <v>FOF</v>
      </c>
    </row>
    <row r="327" spans="1:7">
      <c r="A327" s="6">
        <v>44074</v>
      </c>
      <c r="B327" s="98" t="s">
        <v>404</v>
      </c>
      <c r="C327" s="98" t="s">
        <v>263</v>
      </c>
      <c r="D327" s="98" t="s">
        <v>405</v>
      </c>
      <c r="E327" s="98" t="s">
        <v>256</v>
      </c>
      <c r="F327" s="98">
        <v>11.52</v>
      </c>
      <c r="G327" t="str">
        <f t="shared" si="6"/>
        <v>基础设施债权</v>
      </c>
    </row>
    <row r="328" spans="1:7">
      <c r="A328" s="6">
        <v>44074</v>
      </c>
      <c r="B328" s="98"/>
      <c r="C328" s="98" t="s">
        <v>303</v>
      </c>
      <c r="D328" s="98" t="s">
        <v>405</v>
      </c>
      <c r="E328" s="98" t="s">
        <v>259</v>
      </c>
      <c r="F328" s="98">
        <v>4488.37</v>
      </c>
      <c r="G328" t="str">
        <f t="shared" si="6"/>
        <v>基础设施债权</v>
      </c>
    </row>
    <row r="329" spans="1:7">
      <c r="A329" s="6">
        <v>44074</v>
      </c>
      <c r="B329" s="98" t="s">
        <v>406</v>
      </c>
      <c r="C329" s="98" t="s">
        <v>263</v>
      </c>
      <c r="D329" s="98" t="s">
        <v>407</v>
      </c>
      <c r="E329" s="98" t="s">
        <v>256</v>
      </c>
      <c r="F329" s="98">
        <v>16.809999999999999</v>
      </c>
      <c r="G329" t="str">
        <f t="shared" si="6"/>
        <v>基础设施债权</v>
      </c>
    </row>
    <row r="330" spans="1:7">
      <c r="A330" s="6">
        <v>44074</v>
      </c>
      <c r="B330" s="98"/>
      <c r="C330" s="98" t="s">
        <v>290</v>
      </c>
      <c r="D330" s="98" t="s">
        <v>407</v>
      </c>
      <c r="E330" s="98" t="s">
        <v>259</v>
      </c>
      <c r="F330" s="98">
        <v>715.42</v>
      </c>
      <c r="G330" t="str">
        <f t="shared" si="6"/>
        <v>基础设施债权</v>
      </c>
    </row>
    <row r="331" spans="1:7">
      <c r="A331" s="6">
        <v>44074</v>
      </c>
      <c r="B331" s="98" t="s">
        <v>408</v>
      </c>
      <c r="C331" s="98" t="s">
        <v>263</v>
      </c>
      <c r="D331" s="98" t="s">
        <v>409</v>
      </c>
      <c r="E331" s="98" t="s">
        <v>256</v>
      </c>
      <c r="F331" s="98">
        <v>6.98</v>
      </c>
      <c r="G331" t="str">
        <f t="shared" si="6"/>
        <v>基础设施债权</v>
      </c>
    </row>
    <row r="332" spans="1:7">
      <c r="A332" s="6">
        <v>44074</v>
      </c>
      <c r="B332" s="98"/>
      <c r="C332" s="98" t="s">
        <v>260</v>
      </c>
      <c r="D332" s="98" t="s">
        <v>409</v>
      </c>
      <c r="E332" s="98" t="s">
        <v>259</v>
      </c>
      <c r="F332" s="98">
        <v>8747.5499999999993</v>
      </c>
      <c r="G332" t="str">
        <f t="shared" si="6"/>
        <v>基础设施债权</v>
      </c>
    </row>
    <row r="333" spans="1:7">
      <c r="A333" s="6">
        <v>44074</v>
      </c>
      <c r="B333" s="98" t="s">
        <v>410</v>
      </c>
      <c r="C333" s="98" t="s">
        <v>263</v>
      </c>
      <c r="D333" s="98" t="s">
        <v>411</v>
      </c>
      <c r="E333" s="98" t="s">
        <v>256</v>
      </c>
      <c r="F333" s="98">
        <v>2.57</v>
      </c>
      <c r="G333" t="str">
        <f t="shared" si="6"/>
        <v>基础设施债权</v>
      </c>
    </row>
    <row r="334" spans="1:7">
      <c r="A334" s="6">
        <v>44074</v>
      </c>
      <c r="B334" s="98"/>
      <c r="C334" s="98" t="s">
        <v>257</v>
      </c>
      <c r="D334" s="98" t="s">
        <v>411</v>
      </c>
      <c r="E334" s="98" t="s">
        <v>256</v>
      </c>
      <c r="F334" s="98">
        <v>17.48</v>
      </c>
      <c r="G334" t="str">
        <f t="shared" si="6"/>
        <v>基础设施债权</v>
      </c>
    </row>
    <row r="335" spans="1:7">
      <c r="A335" s="6">
        <v>44074</v>
      </c>
      <c r="B335" s="98" t="s">
        <v>412</v>
      </c>
      <c r="C335" s="98" t="s">
        <v>263</v>
      </c>
      <c r="D335" s="98" t="s">
        <v>413</v>
      </c>
      <c r="E335" s="98" t="s">
        <v>256</v>
      </c>
      <c r="F335" s="98">
        <v>0.83</v>
      </c>
      <c r="G335" t="str">
        <f t="shared" si="6"/>
        <v>信托型</v>
      </c>
    </row>
    <row r="336" spans="1:7">
      <c r="A336" s="6">
        <v>44074</v>
      </c>
      <c r="B336" s="98"/>
      <c r="C336" s="98" t="s">
        <v>380</v>
      </c>
      <c r="D336" s="98" t="s">
        <v>413</v>
      </c>
      <c r="E336" s="98" t="s">
        <v>259</v>
      </c>
      <c r="F336" s="98">
        <v>3259.07</v>
      </c>
      <c r="G336" t="str">
        <f t="shared" si="6"/>
        <v>信托型</v>
      </c>
    </row>
    <row r="337" spans="1:7">
      <c r="A337" s="6">
        <v>44074</v>
      </c>
      <c r="B337" s="98"/>
      <c r="C337" s="98" t="s">
        <v>414</v>
      </c>
      <c r="D337" s="98" t="s">
        <v>413</v>
      </c>
      <c r="E337" s="98" t="s">
        <v>259</v>
      </c>
      <c r="F337" s="98">
        <v>4888.6000000000004</v>
      </c>
      <c r="G337" t="str">
        <f t="shared" si="6"/>
        <v>信托型</v>
      </c>
    </row>
    <row r="338" spans="1:7">
      <c r="A338" s="6">
        <v>44074</v>
      </c>
      <c r="B338" s="98" t="s">
        <v>415</v>
      </c>
      <c r="C338" s="98" t="s">
        <v>266</v>
      </c>
      <c r="D338" s="98" t="s">
        <v>416</v>
      </c>
      <c r="E338" s="98" t="s">
        <v>256</v>
      </c>
      <c r="F338" s="98">
        <v>0.28000000000000003</v>
      </c>
      <c r="G338" t="str">
        <f t="shared" si="6"/>
        <v>信托型</v>
      </c>
    </row>
    <row r="339" spans="1:7">
      <c r="A339" s="6">
        <v>44074</v>
      </c>
      <c r="B339" s="98"/>
      <c r="C339" s="98" t="s">
        <v>417</v>
      </c>
      <c r="D339" s="98" t="s">
        <v>416</v>
      </c>
      <c r="E339" s="98" t="s">
        <v>259</v>
      </c>
      <c r="F339" s="98">
        <v>1458.19</v>
      </c>
      <c r="G339" t="str">
        <f t="shared" si="6"/>
        <v>信托型</v>
      </c>
    </row>
    <row r="340" spans="1:7">
      <c r="A340" s="6">
        <v>44074</v>
      </c>
      <c r="B340" s="98"/>
      <c r="C340" s="98" t="s">
        <v>418</v>
      </c>
      <c r="D340" s="98" t="s">
        <v>416</v>
      </c>
      <c r="E340" s="98" t="s">
        <v>259</v>
      </c>
      <c r="F340" s="98">
        <v>324.04000000000002</v>
      </c>
      <c r="G340" t="str">
        <f t="shared" si="6"/>
        <v>信托型</v>
      </c>
    </row>
    <row r="341" spans="1:7">
      <c r="A341" s="6">
        <v>44074</v>
      </c>
      <c r="B341" s="98"/>
      <c r="C341" s="98" t="s">
        <v>419</v>
      </c>
      <c r="D341" s="98" t="s">
        <v>416</v>
      </c>
      <c r="E341" s="98" t="s">
        <v>259</v>
      </c>
      <c r="F341" s="98">
        <v>3240.41</v>
      </c>
      <c r="G341" t="str">
        <f t="shared" si="6"/>
        <v>信托型</v>
      </c>
    </row>
    <row r="342" spans="1:7">
      <c r="A342" s="6">
        <v>44074</v>
      </c>
      <c r="B342" s="98" t="s">
        <v>420</v>
      </c>
      <c r="C342" s="98" t="s">
        <v>274</v>
      </c>
      <c r="D342" s="98" t="s">
        <v>421</v>
      </c>
      <c r="E342" s="98" t="s">
        <v>256</v>
      </c>
      <c r="F342" s="98">
        <v>55.56</v>
      </c>
      <c r="G342" t="str">
        <f t="shared" si="6"/>
        <v>基础设施债权</v>
      </c>
    </row>
    <row r="343" spans="1:7">
      <c r="A343" s="6">
        <v>44074</v>
      </c>
      <c r="B343" s="98"/>
      <c r="C343" s="98" t="s">
        <v>263</v>
      </c>
      <c r="D343" s="98" t="s">
        <v>421</v>
      </c>
      <c r="E343" s="98" t="s">
        <v>256</v>
      </c>
      <c r="F343" s="98">
        <v>6.71</v>
      </c>
      <c r="G343" t="str">
        <f t="shared" si="6"/>
        <v>基础设施债权</v>
      </c>
    </row>
    <row r="344" spans="1:7">
      <c r="A344" s="6">
        <v>44074</v>
      </c>
      <c r="B344" s="98"/>
      <c r="C344" s="98" t="s">
        <v>302</v>
      </c>
      <c r="D344" s="98" t="s">
        <v>421</v>
      </c>
      <c r="E344" s="98" t="s">
        <v>259</v>
      </c>
      <c r="F344" s="98">
        <v>677.31</v>
      </c>
      <c r="G344" t="str">
        <f t="shared" si="6"/>
        <v>基础设施债权</v>
      </c>
    </row>
    <row r="345" spans="1:7">
      <c r="A345" s="6">
        <v>44074</v>
      </c>
      <c r="B345" s="98"/>
      <c r="C345" s="98" t="s">
        <v>277</v>
      </c>
      <c r="D345" s="98" t="s">
        <v>421</v>
      </c>
      <c r="E345" s="98" t="s">
        <v>259</v>
      </c>
      <c r="F345" s="98">
        <v>65.58</v>
      </c>
      <c r="G345" t="str">
        <f t="shared" si="6"/>
        <v>基础设施债权</v>
      </c>
    </row>
    <row r="346" spans="1:7">
      <c r="A346" s="6">
        <v>44074</v>
      </c>
      <c r="B346" s="98" t="s">
        <v>422</v>
      </c>
      <c r="C346" s="98" t="s">
        <v>266</v>
      </c>
      <c r="D346" s="98" t="s">
        <v>423</v>
      </c>
      <c r="E346" s="98" t="s">
        <v>256</v>
      </c>
      <c r="F346" s="98">
        <v>41.46</v>
      </c>
      <c r="G346" t="str">
        <f t="shared" si="6"/>
        <v>基础设施债权</v>
      </c>
    </row>
    <row r="347" spans="1:7">
      <c r="A347" s="6">
        <v>44074</v>
      </c>
      <c r="B347" s="98"/>
      <c r="C347" s="98" t="s">
        <v>260</v>
      </c>
      <c r="D347" s="98" t="s">
        <v>423</v>
      </c>
      <c r="E347" s="98" t="s">
        <v>259</v>
      </c>
      <c r="F347" s="98">
        <v>2792.98</v>
      </c>
      <c r="G347" t="str">
        <f t="shared" si="6"/>
        <v>基础设施债权</v>
      </c>
    </row>
    <row r="348" spans="1:7">
      <c r="A348" s="6">
        <v>44074</v>
      </c>
      <c r="B348" s="98" t="s">
        <v>424</v>
      </c>
      <c r="C348" s="98" t="s">
        <v>263</v>
      </c>
      <c r="D348" s="98" t="s">
        <v>425</v>
      </c>
      <c r="E348" s="98" t="s">
        <v>256</v>
      </c>
      <c r="F348" s="98">
        <v>3.39</v>
      </c>
      <c r="G348" t="str">
        <f t="shared" si="6"/>
        <v>基础设施债权</v>
      </c>
    </row>
    <row r="349" spans="1:7">
      <c r="A349" s="6">
        <v>44074</v>
      </c>
      <c r="B349" s="98"/>
      <c r="C349" s="98" t="s">
        <v>266</v>
      </c>
      <c r="D349" s="98" t="s">
        <v>425</v>
      </c>
      <c r="E349" s="98" t="s">
        <v>256</v>
      </c>
      <c r="F349" s="98">
        <v>16.940000000000001</v>
      </c>
      <c r="G349" t="str">
        <f t="shared" si="6"/>
        <v>基础设施债权</v>
      </c>
    </row>
    <row r="350" spans="1:7">
      <c r="A350" s="6">
        <v>44074</v>
      </c>
      <c r="B350" s="98"/>
      <c r="C350" s="98" t="s">
        <v>267</v>
      </c>
      <c r="D350" s="98" t="s">
        <v>425</v>
      </c>
      <c r="E350" s="98" t="s">
        <v>259</v>
      </c>
      <c r="F350" s="98">
        <v>1377.1</v>
      </c>
      <c r="G350" t="str">
        <f t="shared" si="6"/>
        <v>基础设施债权</v>
      </c>
    </row>
    <row r="351" spans="1:7">
      <c r="A351" s="6">
        <v>44074</v>
      </c>
      <c r="B351" s="98"/>
      <c r="C351" s="98" t="s">
        <v>290</v>
      </c>
      <c r="D351" s="98" t="s">
        <v>425</v>
      </c>
      <c r="E351" s="98" t="s">
        <v>259</v>
      </c>
      <c r="F351" s="98">
        <v>963.42</v>
      </c>
      <c r="G351" t="str">
        <f t="shared" si="6"/>
        <v>基础设施债权</v>
      </c>
    </row>
    <row r="352" spans="1:7">
      <c r="A352" s="6">
        <v>44074</v>
      </c>
      <c r="B352" s="98"/>
      <c r="C352" s="98" t="s">
        <v>260</v>
      </c>
      <c r="D352" s="98" t="s">
        <v>425</v>
      </c>
      <c r="E352" s="98" t="s">
        <v>259</v>
      </c>
      <c r="F352" s="98">
        <v>2780.43</v>
      </c>
      <c r="G352" t="str">
        <f t="shared" si="6"/>
        <v>基础设施债权</v>
      </c>
    </row>
    <row r="353" spans="1:7">
      <c r="A353" s="6">
        <v>44074</v>
      </c>
      <c r="B353" s="98" t="s">
        <v>426</v>
      </c>
      <c r="C353" s="98" t="s">
        <v>257</v>
      </c>
      <c r="D353" s="98" t="s">
        <v>427</v>
      </c>
      <c r="E353" s="98" t="s">
        <v>256</v>
      </c>
      <c r="F353" s="98">
        <v>9.5299999999999994</v>
      </c>
      <c r="G353" t="str">
        <f t="shared" si="6"/>
        <v>基础设施债权</v>
      </c>
    </row>
    <row r="354" spans="1:7">
      <c r="A354" s="6">
        <v>44074</v>
      </c>
      <c r="B354" s="98"/>
      <c r="C354" s="98" t="s">
        <v>266</v>
      </c>
      <c r="D354" s="98" t="s">
        <v>427</v>
      </c>
      <c r="E354" s="98" t="s">
        <v>256</v>
      </c>
      <c r="F354" s="98">
        <v>2.77</v>
      </c>
      <c r="G354" t="str">
        <f t="shared" si="6"/>
        <v>基础设施债权</v>
      </c>
    </row>
    <row r="355" spans="1:7">
      <c r="A355" s="6">
        <v>44074</v>
      </c>
      <c r="B355" s="98" t="s">
        <v>428</v>
      </c>
      <c r="C355" s="98" t="s">
        <v>265</v>
      </c>
      <c r="D355" s="98" t="s">
        <v>429</v>
      </c>
      <c r="E355" s="98" t="s">
        <v>256</v>
      </c>
      <c r="F355" s="98">
        <v>6.16</v>
      </c>
      <c r="G355" t="str">
        <f t="shared" si="6"/>
        <v>信托型</v>
      </c>
    </row>
    <row r="356" spans="1:7">
      <c r="A356" s="6">
        <v>44074</v>
      </c>
      <c r="B356" s="98"/>
      <c r="C356" s="98" t="s">
        <v>257</v>
      </c>
      <c r="D356" s="98" t="s">
        <v>429</v>
      </c>
      <c r="E356" s="98" t="s">
        <v>256</v>
      </c>
      <c r="F356" s="98">
        <v>5.58</v>
      </c>
      <c r="G356" t="str">
        <f t="shared" si="6"/>
        <v>信托型</v>
      </c>
    </row>
    <row r="357" spans="1:7">
      <c r="A357" s="6">
        <v>44074</v>
      </c>
      <c r="B357" s="98"/>
      <c r="C357" s="98" t="s">
        <v>430</v>
      </c>
      <c r="D357" s="98" t="s">
        <v>429</v>
      </c>
      <c r="E357" s="98" t="s">
        <v>259</v>
      </c>
      <c r="F357" s="98">
        <v>812.45</v>
      </c>
      <c r="G357" t="str">
        <f t="shared" si="6"/>
        <v>信托型</v>
      </c>
    </row>
    <row r="358" spans="1:7">
      <c r="A358" s="6">
        <v>44074</v>
      </c>
      <c r="B358" s="98"/>
      <c r="C358" s="98" t="s">
        <v>431</v>
      </c>
      <c r="D358" s="98" t="s">
        <v>429</v>
      </c>
      <c r="E358" s="98" t="s">
        <v>259</v>
      </c>
      <c r="F358" s="98">
        <v>1949.89</v>
      </c>
      <c r="G358" t="str">
        <f t="shared" si="6"/>
        <v>信托型</v>
      </c>
    </row>
    <row r="359" spans="1:7">
      <c r="A359" s="6">
        <v>44074</v>
      </c>
      <c r="B359" s="98"/>
      <c r="C359" s="98" t="s">
        <v>432</v>
      </c>
      <c r="D359" s="98" t="s">
        <v>429</v>
      </c>
      <c r="E359" s="98" t="s">
        <v>259</v>
      </c>
      <c r="F359" s="98">
        <v>1624.91</v>
      </c>
      <c r="G359" t="str">
        <f t="shared" si="6"/>
        <v>信托型</v>
      </c>
    </row>
    <row r="360" spans="1:7">
      <c r="A360" s="6">
        <v>44074</v>
      </c>
      <c r="B360" s="98" t="s">
        <v>433</v>
      </c>
      <c r="C360" s="98" t="s">
        <v>263</v>
      </c>
      <c r="D360" s="98" t="s">
        <v>434</v>
      </c>
      <c r="E360" s="98" t="s">
        <v>256</v>
      </c>
      <c r="F360" s="98">
        <v>19.09</v>
      </c>
      <c r="G360" t="str">
        <f t="shared" si="6"/>
        <v>信托型</v>
      </c>
    </row>
    <row r="361" spans="1:7">
      <c r="A361" s="6">
        <v>44074</v>
      </c>
      <c r="B361" s="98"/>
      <c r="C361" s="98" t="s">
        <v>266</v>
      </c>
      <c r="D361" s="98" t="s">
        <v>434</v>
      </c>
      <c r="E361" s="98" t="s">
        <v>256</v>
      </c>
      <c r="F361" s="98">
        <v>41.55</v>
      </c>
      <c r="G361" t="str">
        <f t="shared" si="6"/>
        <v>信托型</v>
      </c>
    </row>
    <row r="362" spans="1:7">
      <c r="A362" s="6">
        <v>44074</v>
      </c>
      <c r="B362" s="98"/>
      <c r="C362" s="98" t="s">
        <v>380</v>
      </c>
      <c r="D362" s="98" t="s">
        <v>434</v>
      </c>
      <c r="E362" s="98" t="s">
        <v>259</v>
      </c>
      <c r="F362" s="98">
        <v>3110.08</v>
      </c>
      <c r="G362" t="str">
        <f t="shared" si="6"/>
        <v>信托型</v>
      </c>
    </row>
    <row r="363" spans="1:7">
      <c r="A363" s="6">
        <v>44074</v>
      </c>
      <c r="B363" s="98"/>
      <c r="C363" s="98" t="s">
        <v>435</v>
      </c>
      <c r="D363" s="98" t="s">
        <v>434</v>
      </c>
      <c r="E363" s="98" t="s">
        <v>259</v>
      </c>
      <c r="F363" s="98">
        <v>254.46</v>
      </c>
      <c r="G363" t="str">
        <f t="shared" si="6"/>
        <v>信托型</v>
      </c>
    </row>
    <row r="364" spans="1:7">
      <c r="A364" s="6">
        <v>44074</v>
      </c>
      <c r="B364" s="98"/>
      <c r="C364" s="98" t="s">
        <v>436</v>
      </c>
      <c r="D364" s="98" t="s">
        <v>434</v>
      </c>
      <c r="E364" s="98" t="s">
        <v>259</v>
      </c>
      <c r="F364" s="98">
        <v>254.46</v>
      </c>
      <c r="G364" t="str">
        <f t="shared" si="6"/>
        <v>信托型</v>
      </c>
    </row>
    <row r="365" spans="1:7">
      <c r="A365" s="6">
        <v>44074</v>
      </c>
      <c r="B365" s="98" t="s">
        <v>437</v>
      </c>
      <c r="C365" s="98" t="s">
        <v>254</v>
      </c>
      <c r="D365" s="98" t="s">
        <v>438</v>
      </c>
      <c r="E365" s="98" t="s">
        <v>256</v>
      </c>
      <c r="F365" s="98">
        <v>239.33</v>
      </c>
      <c r="G365" t="str">
        <f t="shared" si="6"/>
        <v>基础设施债权</v>
      </c>
    </row>
    <row r="366" spans="1:7">
      <c r="A366" s="6">
        <v>44074</v>
      </c>
      <c r="B366" s="98"/>
      <c r="C366" s="98" t="s">
        <v>274</v>
      </c>
      <c r="D366" s="98" t="s">
        <v>438</v>
      </c>
      <c r="E366" s="98" t="s">
        <v>256</v>
      </c>
      <c r="F366" s="98">
        <v>216.07</v>
      </c>
      <c r="G366" t="str">
        <f t="shared" si="6"/>
        <v>基础设施债权</v>
      </c>
    </row>
    <row r="367" spans="1:7">
      <c r="A367" s="6">
        <v>44074</v>
      </c>
      <c r="B367" s="98"/>
      <c r="C367" s="98" t="s">
        <v>263</v>
      </c>
      <c r="D367" s="98" t="s">
        <v>438</v>
      </c>
      <c r="E367" s="98" t="s">
        <v>256</v>
      </c>
      <c r="F367" s="98">
        <v>54</v>
      </c>
      <c r="G367" t="str">
        <f t="shared" si="6"/>
        <v>基础设施债权</v>
      </c>
    </row>
    <row r="368" spans="1:7">
      <c r="A368" s="6">
        <v>44074</v>
      </c>
      <c r="B368" s="98"/>
      <c r="C368" s="98" t="s">
        <v>265</v>
      </c>
      <c r="D368" s="98" t="s">
        <v>438</v>
      </c>
      <c r="E368" s="98" t="s">
        <v>256</v>
      </c>
      <c r="F368" s="98">
        <v>11.61</v>
      </c>
      <c r="G368" t="str">
        <f t="shared" si="6"/>
        <v>基础设施债权</v>
      </c>
    </row>
    <row r="369" spans="1:7">
      <c r="A369" s="6">
        <v>44074</v>
      </c>
      <c r="B369" s="98"/>
      <c r="C369" s="98" t="s">
        <v>257</v>
      </c>
      <c r="D369" s="98" t="s">
        <v>438</v>
      </c>
      <c r="E369" s="98" t="s">
        <v>256</v>
      </c>
      <c r="F369" s="98">
        <v>79.599999999999994</v>
      </c>
      <c r="G369" t="str">
        <f t="shared" si="6"/>
        <v>基础设施债权</v>
      </c>
    </row>
    <row r="370" spans="1:7">
      <c r="A370" s="6">
        <v>44074</v>
      </c>
      <c r="B370" s="98"/>
      <c r="C370" s="98" t="s">
        <v>276</v>
      </c>
      <c r="D370" s="98" t="s">
        <v>438</v>
      </c>
      <c r="E370" s="98" t="s">
        <v>256</v>
      </c>
      <c r="F370" s="98">
        <v>174.36</v>
      </c>
      <c r="G370" t="str">
        <f t="shared" si="6"/>
        <v>基础设施债权</v>
      </c>
    </row>
    <row r="371" spans="1:7">
      <c r="A371" s="6">
        <v>44074</v>
      </c>
      <c r="B371" s="98"/>
      <c r="C371" s="98" t="s">
        <v>266</v>
      </c>
      <c r="D371" s="98" t="s">
        <v>438</v>
      </c>
      <c r="E371" s="98" t="s">
        <v>256</v>
      </c>
      <c r="F371" s="98">
        <v>2.23</v>
      </c>
      <c r="G371" t="str">
        <f t="shared" si="6"/>
        <v>基础设施债权</v>
      </c>
    </row>
    <row r="372" spans="1:7">
      <c r="A372" s="6">
        <v>44074</v>
      </c>
      <c r="B372" s="98"/>
      <c r="C372" s="98" t="s">
        <v>301</v>
      </c>
      <c r="D372" s="98" t="s">
        <v>438</v>
      </c>
      <c r="E372" s="98" t="s">
        <v>259</v>
      </c>
      <c r="F372" s="98">
        <v>1793.5</v>
      </c>
      <c r="G372" t="str">
        <f t="shared" si="6"/>
        <v>基础设施债权</v>
      </c>
    </row>
    <row r="373" spans="1:7">
      <c r="A373" s="6">
        <v>44074</v>
      </c>
      <c r="B373" s="98" t="s">
        <v>439</v>
      </c>
      <c r="C373" s="98" t="s">
        <v>254</v>
      </c>
      <c r="D373" s="98" t="s">
        <v>440</v>
      </c>
      <c r="E373" s="98" t="s">
        <v>256</v>
      </c>
      <c r="F373" s="98">
        <v>297.43</v>
      </c>
      <c r="G373" t="str">
        <f t="shared" si="6"/>
        <v>基础设施债权</v>
      </c>
    </row>
    <row r="374" spans="1:7">
      <c r="A374" s="6">
        <v>44074</v>
      </c>
      <c r="B374" s="98"/>
      <c r="C374" s="98" t="s">
        <v>274</v>
      </c>
      <c r="D374" s="98" t="s">
        <v>440</v>
      </c>
      <c r="E374" s="98" t="s">
        <v>256</v>
      </c>
      <c r="F374" s="98">
        <v>1342.68</v>
      </c>
      <c r="G374" t="str">
        <f t="shared" si="6"/>
        <v>基础设施债权</v>
      </c>
    </row>
    <row r="375" spans="1:7">
      <c r="A375" s="6">
        <v>44074</v>
      </c>
      <c r="B375" s="98"/>
      <c r="C375" s="98" t="s">
        <v>263</v>
      </c>
      <c r="D375" s="98" t="s">
        <v>440</v>
      </c>
      <c r="E375" s="98" t="s">
        <v>256</v>
      </c>
      <c r="F375" s="98">
        <v>26.38</v>
      </c>
      <c r="G375" t="str">
        <f t="shared" si="6"/>
        <v>基础设施债权</v>
      </c>
    </row>
    <row r="376" spans="1:7">
      <c r="A376" s="6">
        <v>44074</v>
      </c>
      <c r="B376" s="98"/>
      <c r="C376" s="98" t="s">
        <v>257</v>
      </c>
      <c r="D376" s="98" t="s">
        <v>440</v>
      </c>
      <c r="E376" s="98" t="s">
        <v>256</v>
      </c>
      <c r="F376" s="98">
        <v>494.62</v>
      </c>
      <c r="G376" t="str">
        <f t="shared" si="6"/>
        <v>基础设施债权</v>
      </c>
    </row>
    <row r="377" spans="1:7">
      <c r="A377" s="6">
        <v>44074</v>
      </c>
      <c r="B377" s="98" t="s">
        <v>441</v>
      </c>
      <c r="C377" s="98" t="s">
        <v>263</v>
      </c>
      <c r="D377" s="98" t="s">
        <v>442</v>
      </c>
      <c r="E377" s="98" t="s">
        <v>256</v>
      </c>
      <c r="F377" s="98">
        <v>71.59</v>
      </c>
      <c r="G377" t="str">
        <f t="shared" si="6"/>
        <v>固收型</v>
      </c>
    </row>
    <row r="378" spans="1:7">
      <c r="A378" s="6">
        <v>44074</v>
      </c>
      <c r="B378" s="98"/>
      <c r="C378" s="98" t="s">
        <v>265</v>
      </c>
      <c r="D378" s="98" t="s">
        <v>442</v>
      </c>
      <c r="E378" s="98" t="s">
        <v>256</v>
      </c>
      <c r="F378" s="98">
        <v>21.46</v>
      </c>
      <c r="G378" t="str">
        <f t="shared" si="6"/>
        <v>固收型</v>
      </c>
    </row>
    <row r="379" spans="1:7">
      <c r="A379" s="6">
        <v>44074</v>
      </c>
      <c r="B379" s="98"/>
      <c r="C379" s="98" t="s">
        <v>257</v>
      </c>
      <c r="D379" s="98" t="s">
        <v>442</v>
      </c>
      <c r="E379" s="98" t="s">
        <v>256</v>
      </c>
      <c r="F379" s="98">
        <v>48.67</v>
      </c>
      <c r="G379" t="str">
        <f t="shared" si="6"/>
        <v>固收型</v>
      </c>
    </row>
    <row r="380" spans="1:7">
      <c r="A380" s="6">
        <v>44074</v>
      </c>
      <c r="B380" s="98"/>
      <c r="C380" s="98" t="s">
        <v>258</v>
      </c>
      <c r="D380" s="98" t="s">
        <v>442</v>
      </c>
      <c r="E380" s="98" t="s">
        <v>259</v>
      </c>
      <c r="F380" s="98">
        <v>1718.71</v>
      </c>
      <c r="G380" t="str">
        <f t="shared" si="6"/>
        <v>固收型</v>
      </c>
    </row>
    <row r="381" spans="1:7">
      <c r="A381" s="6">
        <v>44074</v>
      </c>
      <c r="B381" s="98"/>
      <c r="C381" s="98" t="s">
        <v>277</v>
      </c>
      <c r="D381" s="98" t="s">
        <v>442</v>
      </c>
      <c r="E381" s="98" t="s">
        <v>259</v>
      </c>
      <c r="F381" s="98">
        <v>1190.93</v>
      </c>
      <c r="G381" t="str">
        <f t="shared" si="6"/>
        <v>固收型</v>
      </c>
    </row>
    <row r="382" spans="1:7">
      <c r="A382" s="6">
        <v>44074</v>
      </c>
      <c r="B382" s="98"/>
      <c r="C382" s="98" t="s">
        <v>261</v>
      </c>
      <c r="D382" s="98" t="s">
        <v>442</v>
      </c>
      <c r="E382" s="98" t="s">
        <v>259</v>
      </c>
      <c r="F382" s="98">
        <v>13847.3</v>
      </c>
      <c r="G382" t="str">
        <f t="shared" si="6"/>
        <v>固收型</v>
      </c>
    </row>
    <row r="383" spans="1:7">
      <c r="A383" s="6">
        <v>44074</v>
      </c>
      <c r="B383" s="98"/>
      <c r="C383" s="98" t="s">
        <v>286</v>
      </c>
      <c r="D383" s="98" t="s">
        <v>442</v>
      </c>
      <c r="E383" s="98" t="s">
        <v>259</v>
      </c>
      <c r="F383" s="98">
        <v>7113.59</v>
      </c>
      <c r="G383" t="str">
        <f t="shared" si="6"/>
        <v>固收型</v>
      </c>
    </row>
    <row r="384" spans="1:7">
      <c r="A384" s="6">
        <v>44074</v>
      </c>
      <c r="B384" s="98" t="s">
        <v>443</v>
      </c>
      <c r="C384" s="98" t="s">
        <v>254</v>
      </c>
      <c r="D384" s="98" t="s">
        <v>444</v>
      </c>
      <c r="E384" s="98" t="s">
        <v>256</v>
      </c>
      <c r="F384" s="98">
        <v>8.5299999999999994</v>
      </c>
      <c r="G384" t="str">
        <f t="shared" si="6"/>
        <v>混合型</v>
      </c>
    </row>
    <row r="385" spans="1:7">
      <c r="A385" s="6">
        <v>44074</v>
      </c>
      <c r="B385" s="98"/>
      <c r="C385" s="98" t="s">
        <v>263</v>
      </c>
      <c r="D385" s="98" t="s">
        <v>444</v>
      </c>
      <c r="E385" s="98" t="s">
        <v>256</v>
      </c>
      <c r="F385" s="98">
        <v>39.380000000000003</v>
      </c>
      <c r="G385" t="str">
        <f t="shared" si="6"/>
        <v>混合型</v>
      </c>
    </row>
    <row r="386" spans="1:7">
      <c r="A386" s="6">
        <v>44074</v>
      </c>
      <c r="B386" s="98"/>
      <c r="C386" s="98" t="s">
        <v>261</v>
      </c>
      <c r="D386" s="98" t="s">
        <v>444</v>
      </c>
      <c r="E386" s="98" t="s">
        <v>259</v>
      </c>
      <c r="F386" s="98">
        <v>4367.28</v>
      </c>
      <c r="G386" t="str">
        <f t="shared" si="6"/>
        <v>混合型</v>
      </c>
    </row>
    <row r="387" spans="1:7">
      <c r="A387" s="6">
        <v>44074</v>
      </c>
      <c r="B387" s="98" t="s">
        <v>445</v>
      </c>
      <c r="C387" s="98" t="s">
        <v>266</v>
      </c>
      <c r="D387" s="98" t="s">
        <v>446</v>
      </c>
      <c r="E387" s="98" t="s">
        <v>256</v>
      </c>
      <c r="F387" s="98">
        <v>37.14</v>
      </c>
      <c r="G387" t="str">
        <f t="shared" ref="G387:G450" si="7">VLOOKUP(D387,L:N,3,0)</f>
        <v>混合型</v>
      </c>
    </row>
    <row r="388" spans="1:7">
      <c r="A388" s="6">
        <v>44074</v>
      </c>
      <c r="B388" s="98" t="s">
        <v>447</v>
      </c>
      <c r="C388" s="98" t="s">
        <v>254</v>
      </c>
      <c r="D388" s="98" t="s">
        <v>448</v>
      </c>
      <c r="E388" s="98" t="s">
        <v>256</v>
      </c>
      <c r="F388" s="98">
        <v>750.64</v>
      </c>
      <c r="G388" t="str">
        <f t="shared" si="7"/>
        <v>混合型</v>
      </c>
    </row>
    <row r="389" spans="1:7">
      <c r="A389" s="6">
        <v>44074</v>
      </c>
      <c r="B389" s="98"/>
      <c r="C389" s="98" t="s">
        <v>274</v>
      </c>
      <c r="D389" s="98" t="s">
        <v>448</v>
      </c>
      <c r="E389" s="98" t="s">
        <v>256</v>
      </c>
      <c r="F389" s="98">
        <v>4606.42</v>
      </c>
      <c r="G389" t="str">
        <f t="shared" si="7"/>
        <v>混合型</v>
      </c>
    </row>
    <row r="390" spans="1:7">
      <c r="A390" s="6">
        <v>44074</v>
      </c>
      <c r="B390" s="98"/>
      <c r="C390" s="98" t="s">
        <v>265</v>
      </c>
      <c r="D390" s="98" t="s">
        <v>448</v>
      </c>
      <c r="E390" s="98" t="s">
        <v>256</v>
      </c>
      <c r="F390" s="98">
        <v>250.58</v>
      </c>
      <c r="G390" t="str">
        <f t="shared" si="7"/>
        <v>混合型</v>
      </c>
    </row>
    <row r="391" spans="1:7">
      <c r="A391" s="6">
        <v>44074</v>
      </c>
      <c r="B391" s="98" t="s">
        <v>449</v>
      </c>
      <c r="C391" s="98" t="s">
        <v>254</v>
      </c>
      <c r="D391" s="98" t="s">
        <v>450</v>
      </c>
      <c r="E391" s="98" t="s">
        <v>256</v>
      </c>
      <c r="F391" s="98">
        <v>365.96</v>
      </c>
      <c r="G391" t="str">
        <f t="shared" si="7"/>
        <v>混合型</v>
      </c>
    </row>
    <row r="392" spans="1:7">
      <c r="A392" s="6">
        <v>44074</v>
      </c>
      <c r="B392" s="98"/>
      <c r="C392" s="98" t="s">
        <v>274</v>
      </c>
      <c r="D392" s="98" t="s">
        <v>450</v>
      </c>
      <c r="E392" s="98" t="s">
        <v>256</v>
      </c>
      <c r="F392" s="98">
        <v>1089.93</v>
      </c>
      <c r="G392" t="str">
        <f t="shared" si="7"/>
        <v>混合型</v>
      </c>
    </row>
    <row r="393" spans="1:7">
      <c r="A393" s="6">
        <v>44074</v>
      </c>
      <c r="B393" s="98"/>
      <c r="C393" s="98" t="s">
        <v>265</v>
      </c>
      <c r="D393" s="98" t="s">
        <v>450</v>
      </c>
      <c r="E393" s="98" t="s">
        <v>256</v>
      </c>
      <c r="F393" s="98">
        <v>74.760000000000005</v>
      </c>
      <c r="G393" t="str">
        <f t="shared" si="7"/>
        <v>混合型</v>
      </c>
    </row>
    <row r="394" spans="1:7">
      <c r="A394" s="6">
        <v>44074</v>
      </c>
      <c r="B394" s="98"/>
      <c r="C394" s="98" t="s">
        <v>266</v>
      </c>
      <c r="D394" s="98" t="s">
        <v>450</v>
      </c>
      <c r="E394" s="98" t="s">
        <v>256</v>
      </c>
      <c r="F394" s="98">
        <v>26.99</v>
      </c>
      <c r="G394" t="str">
        <f t="shared" si="7"/>
        <v>混合型</v>
      </c>
    </row>
    <row r="395" spans="1:7">
      <c r="A395" s="6">
        <v>44074</v>
      </c>
      <c r="B395" s="98" t="s">
        <v>451</v>
      </c>
      <c r="C395" s="98" t="s">
        <v>254</v>
      </c>
      <c r="D395" s="98" t="s">
        <v>452</v>
      </c>
      <c r="E395" s="98" t="s">
        <v>256</v>
      </c>
      <c r="F395" s="98">
        <v>979.43</v>
      </c>
      <c r="G395" t="str">
        <f t="shared" si="7"/>
        <v>混合型</v>
      </c>
    </row>
    <row r="396" spans="1:7">
      <c r="A396" s="6">
        <v>44074</v>
      </c>
      <c r="B396" s="98"/>
      <c r="C396" s="98" t="s">
        <v>257</v>
      </c>
      <c r="D396" s="98" t="s">
        <v>452</v>
      </c>
      <c r="E396" s="98" t="s">
        <v>256</v>
      </c>
      <c r="F396" s="98">
        <v>498.87</v>
      </c>
      <c r="G396" t="str">
        <f t="shared" si="7"/>
        <v>混合型</v>
      </c>
    </row>
    <row r="397" spans="1:7">
      <c r="A397" s="6">
        <v>44074</v>
      </c>
      <c r="B397" s="98"/>
      <c r="C397" s="98" t="s">
        <v>258</v>
      </c>
      <c r="D397" s="98" t="s">
        <v>452</v>
      </c>
      <c r="E397" s="98" t="s">
        <v>259</v>
      </c>
      <c r="F397" s="98">
        <v>3088.32</v>
      </c>
      <c r="G397" t="str">
        <f t="shared" si="7"/>
        <v>混合型</v>
      </c>
    </row>
    <row r="398" spans="1:7">
      <c r="A398" s="6">
        <v>44074</v>
      </c>
      <c r="B398" s="98" t="s">
        <v>453</v>
      </c>
      <c r="C398" s="98" t="s">
        <v>260</v>
      </c>
      <c r="D398" s="98" t="s">
        <v>454</v>
      </c>
      <c r="E398" s="98" t="s">
        <v>259</v>
      </c>
      <c r="F398" s="98">
        <v>427.55</v>
      </c>
      <c r="G398" t="str">
        <f t="shared" si="7"/>
        <v>基础设施债权</v>
      </c>
    </row>
    <row r="399" spans="1:7">
      <c r="A399" s="6">
        <v>44074</v>
      </c>
      <c r="B399" s="98" t="s">
        <v>455</v>
      </c>
      <c r="C399" s="98" t="s">
        <v>260</v>
      </c>
      <c r="D399" s="98" t="s">
        <v>456</v>
      </c>
      <c r="E399" s="98" t="s">
        <v>259</v>
      </c>
      <c r="F399" s="98">
        <v>3026.49</v>
      </c>
      <c r="G399" t="str">
        <f t="shared" si="7"/>
        <v>基础设施债权</v>
      </c>
    </row>
    <row r="400" spans="1:7">
      <c r="A400" s="6">
        <v>44074</v>
      </c>
      <c r="B400" s="98"/>
      <c r="C400" s="98" t="s">
        <v>302</v>
      </c>
      <c r="D400" s="98" t="s">
        <v>456</v>
      </c>
      <c r="E400" s="98" t="s">
        <v>259</v>
      </c>
      <c r="F400" s="98">
        <v>1196.57</v>
      </c>
      <c r="G400" t="str">
        <f t="shared" si="7"/>
        <v>基础设施债权</v>
      </c>
    </row>
    <row r="401" spans="1:7">
      <c r="A401" s="6">
        <v>44074</v>
      </c>
      <c r="B401" s="98" t="s">
        <v>457</v>
      </c>
      <c r="C401" s="98" t="s">
        <v>302</v>
      </c>
      <c r="D401" s="98" t="s">
        <v>458</v>
      </c>
      <c r="E401" s="98" t="s">
        <v>259</v>
      </c>
      <c r="F401" s="98">
        <v>233.48</v>
      </c>
      <c r="G401" t="str">
        <f t="shared" si="7"/>
        <v>存款型</v>
      </c>
    </row>
    <row r="402" spans="1:7">
      <c r="A402" s="6">
        <v>44074</v>
      </c>
      <c r="B402" s="98" t="s">
        <v>459</v>
      </c>
      <c r="C402" s="98" t="s">
        <v>460</v>
      </c>
      <c r="D402" s="98" t="s">
        <v>461</v>
      </c>
      <c r="E402" s="98" t="s">
        <v>259</v>
      </c>
      <c r="F402" s="98">
        <v>490.6</v>
      </c>
      <c r="G402" t="str">
        <f t="shared" si="7"/>
        <v>存款型</v>
      </c>
    </row>
    <row r="403" spans="1:7">
      <c r="A403" s="6">
        <v>44074</v>
      </c>
      <c r="B403" s="98"/>
      <c r="C403" s="98" t="s">
        <v>462</v>
      </c>
      <c r="D403" s="98" t="s">
        <v>461</v>
      </c>
      <c r="E403" s="98" t="s">
        <v>259</v>
      </c>
      <c r="F403" s="98">
        <v>490.6</v>
      </c>
      <c r="G403" t="str">
        <f t="shared" si="7"/>
        <v>存款型</v>
      </c>
    </row>
    <row r="404" spans="1:7">
      <c r="A404" s="6">
        <v>44074</v>
      </c>
      <c r="B404" s="98" t="s">
        <v>463</v>
      </c>
      <c r="C404" s="98" t="s">
        <v>254</v>
      </c>
      <c r="D404" s="98" t="s">
        <v>464</v>
      </c>
      <c r="E404" s="98" t="s">
        <v>256</v>
      </c>
      <c r="F404" s="98">
        <v>216.87</v>
      </c>
      <c r="G404" t="str">
        <f t="shared" si="7"/>
        <v>混合型</v>
      </c>
    </row>
    <row r="405" spans="1:7">
      <c r="A405" s="6">
        <v>44074</v>
      </c>
      <c r="B405" s="98"/>
      <c r="C405" s="98" t="s">
        <v>265</v>
      </c>
      <c r="D405" s="98" t="s">
        <v>464</v>
      </c>
      <c r="E405" s="98" t="s">
        <v>256</v>
      </c>
      <c r="F405" s="98">
        <v>30.77</v>
      </c>
      <c r="G405" t="str">
        <f t="shared" si="7"/>
        <v>混合型</v>
      </c>
    </row>
    <row r="406" spans="1:7">
      <c r="A406" s="6">
        <v>44074</v>
      </c>
      <c r="B406" s="98"/>
      <c r="C406" s="98" t="s">
        <v>266</v>
      </c>
      <c r="D406" s="98" t="s">
        <v>464</v>
      </c>
      <c r="E406" s="98" t="s">
        <v>256</v>
      </c>
      <c r="F406" s="98">
        <v>95.19</v>
      </c>
      <c r="G406" t="str">
        <f t="shared" si="7"/>
        <v>混合型</v>
      </c>
    </row>
    <row r="407" spans="1:7">
      <c r="A407" s="6">
        <v>44074</v>
      </c>
      <c r="B407" s="98" t="s">
        <v>465</v>
      </c>
      <c r="C407" s="98" t="s">
        <v>274</v>
      </c>
      <c r="D407" s="98" t="s">
        <v>466</v>
      </c>
      <c r="E407" s="98" t="s">
        <v>256</v>
      </c>
      <c r="F407" s="98">
        <v>602.24</v>
      </c>
      <c r="G407" t="str">
        <f t="shared" si="7"/>
        <v>混合型</v>
      </c>
    </row>
    <row r="408" spans="1:7">
      <c r="A408" s="6">
        <v>44074</v>
      </c>
      <c r="B408" s="98"/>
      <c r="C408" s="98" t="s">
        <v>263</v>
      </c>
      <c r="D408" s="98" t="s">
        <v>466</v>
      </c>
      <c r="E408" s="98" t="s">
        <v>256</v>
      </c>
      <c r="F408" s="98">
        <v>3.63</v>
      </c>
      <c r="G408" t="str">
        <f t="shared" si="7"/>
        <v>混合型</v>
      </c>
    </row>
    <row r="409" spans="1:7">
      <c r="A409" s="6">
        <v>44074</v>
      </c>
      <c r="B409" s="98" t="s">
        <v>467</v>
      </c>
      <c r="C409" s="98" t="s">
        <v>266</v>
      </c>
      <c r="D409" s="98" t="s">
        <v>468</v>
      </c>
      <c r="E409" s="98" t="s">
        <v>256</v>
      </c>
      <c r="F409" s="98">
        <v>137.31</v>
      </c>
      <c r="G409" t="str">
        <f t="shared" si="7"/>
        <v>混合型</v>
      </c>
    </row>
    <row r="410" spans="1:7">
      <c r="A410" s="6">
        <v>44104</v>
      </c>
      <c r="B410" s="98" t="s">
        <v>253</v>
      </c>
      <c r="C410" s="98" t="s">
        <v>254</v>
      </c>
      <c r="D410" s="100" t="s">
        <v>255</v>
      </c>
      <c r="E410" s="100" t="s">
        <v>256</v>
      </c>
      <c r="F410" s="100">
        <v>89.11</v>
      </c>
      <c r="G410" t="str">
        <f t="shared" si="7"/>
        <v>股票型</v>
      </c>
    </row>
    <row r="411" spans="1:7">
      <c r="A411" s="6">
        <v>44104</v>
      </c>
      <c r="B411" s="98"/>
      <c r="C411" s="98" t="s">
        <v>257</v>
      </c>
      <c r="D411" s="100" t="s">
        <v>255</v>
      </c>
      <c r="E411" s="100" t="s">
        <v>256</v>
      </c>
      <c r="F411" s="100">
        <v>364.75</v>
      </c>
      <c r="G411" t="str">
        <f t="shared" si="7"/>
        <v>股票型</v>
      </c>
    </row>
    <row r="412" spans="1:7">
      <c r="A412" s="6">
        <v>44104</v>
      </c>
      <c r="B412" s="98"/>
      <c r="C412" s="98" t="s">
        <v>258</v>
      </c>
      <c r="D412" s="100" t="s">
        <v>255</v>
      </c>
      <c r="E412" s="100" t="s">
        <v>259</v>
      </c>
      <c r="F412" s="100">
        <v>1252.45</v>
      </c>
      <c r="G412" t="str">
        <f t="shared" si="7"/>
        <v>股票型</v>
      </c>
    </row>
    <row r="413" spans="1:7">
      <c r="A413" s="6">
        <v>44104</v>
      </c>
      <c r="B413" s="98"/>
      <c r="C413" s="98" t="s">
        <v>260</v>
      </c>
      <c r="D413" s="100" t="s">
        <v>255</v>
      </c>
      <c r="E413" s="100" t="s">
        <v>259</v>
      </c>
      <c r="F413" s="100">
        <v>2683.9</v>
      </c>
      <c r="G413" t="str">
        <f t="shared" si="7"/>
        <v>股票型</v>
      </c>
    </row>
    <row r="414" spans="1:7">
      <c r="A414" s="6">
        <v>44104</v>
      </c>
      <c r="B414" s="98"/>
      <c r="C414" s="98" t="s">
        <v>261</v>
      </c>
      <c r="D414" s="100" t="s">
        <v>255</v>
      </c>
      <c r="E414" s="100" t="s">
        <v>259</v>
      </c>
      <c r="F414" s="100">
        <v>389.57</v>
      </c>
      <c r="G414" t="str">
        <f t="shared" si="7"/>
        <v>股票型</v>
      </c>
    </row>
    <row r="415" spans="1:7">
      <c r="A415" s="6">
        <v>44104</v>
      </c>
      <c r="B415" s="98" t="s">
        <v>262</v>
      </c>
      <c r="C415" s="98" t="s">
        <v>263</v>
      </c>
      <c r="D415" s="100" t="s">
        <v>264</v>
      </c>
      <c r="E415" s="100" t="s">
        <v>256</v>
      </c>
      <c r="F415" s="100">
        <v>113.99</v>
      </c>
      <c r="G415" t="str">
        <f t="shared" si="7"/>
        <v>债券型</v>
      </c>
    </row>
    <row r="416" spans="1:7">
      <c r="A416" s="6">
        <v>44104</v>
      </c>
      <c r="B416" s="98"/>
      <c r="C416" s="98" t="s">
        <v>265</v>
      </c>
      <c r="D416" s="100" t="s">
        <v>264</v>
      </c>
      <c r="E416" s="100" t="s">
        <v>256</v>
      </c>
      <c r="F416" s="100">
        <v>46.08</v>
      </c>
      <c r="G416" t="str">
        <f t="shared" si="7"/>
        <v>债券型</v>
      </c>
    </row>
    <row r="417" spans="1:7">
      <c r="A417" s="6">
        <v>44104</v>
      </c>
      <c r="B417" s="98"/>
      <c r="C417" s="98" t="s">
        <v>266</v>
      </c>
      <c r="D417" s="100" t="s">
        <v>264</v>
      </c>
      <c r="E417" s="100" t="s">
        <v>256</v>
      </c>
      <c r="F417" s="100">
        <v>215.17</v>
      </c>
      <c r="G417" t="str">
        <f t="shared" si="7"/>
        <v>债券型</v>
      </c>
    </row>
    <row r="418" spans="1:7">
      <c r="A418" s="6">
        <v>44104</v>
      </c>
      <c r="B418" s="98"/>
      <c r="C418" s="98" t="s">
        <v>267</v>
      </c>
      <c r="D418" s="100" t="s">
        <v>264</v>
      </c>
      <c r="E418" s="100" t="s">
        <v>259</v>
      </c>
      <c r="F418" s="100">
        <v>1159.99</v>
      </c>
      <c r="G418" t="str">
        <f t="shared" si="7"/>
        <v>债券型</v>
      </c>
    </row>
    <row r="419" spans="1:7">
      <c r="A419" s="6">
        <v>44104</v>
      </c>
      <c r="B419" s="98"/>
      <c r="C419" s="98" t="s">
        <v>258</v>
      </c>
      <c r="D419" s="100" t="s">
        <v>264</v>
      </c>
      <c r="E419" s="100" t="s">
        <v>259</v>
      </c>
      <c r="F419" s="100">
        <v>927.2</v>
      </c>
      <c r="G419" t="str">
        <f t="shared" si="7"/>
        <v>债券型</v>
      </c>
    </row>
    <row r="420" spans="1:7">
      <c r="A420" s="6">
        <v>44104</v>
      </c>
      <c r="B420" s="98"/>
      <c r="C420" s="98" t="s">
        <v>268</v>
      </c>
      <c r="D420" s="100" t="s">
        <v>264</v>
      </c>
      <c r="E420" s="100" t="s">
        <v>259</v>
      </c>
      <c r="F420" s="100">
        <v>5342.29</v>
      </c>
      <c r="G420" t="str">
        <f t="shared" si="7"/>
        <v>债券型</v>
      </c>
    </row>
    <row r="421" spans="1:7">
      <c r="A421" s="6">
        <v>44104</v>
      </c>
      <c r="B421" s="98"/>
      <c r="C421" s="98" t="s">
        <v>269</v>
      </c>
      <c r="D421" s="100" t="s">
        <v>264</v>
      </c>
      <c r="E421" s="100" t="s">
        <v>270</v>
      </c>
      <c r="F421" s="100">
        <v>9454.26</v>
      </c>
      <c r="G421" t="str">
        <f t="shared" si="7"/>
        <v>债券型</v>
      </c>
    </row>
    <row r="422" spans="1:7">
      <c r="A422" s="6">
        <v>44104</v>
      </c>
      <c r="B422" s="98"/>
      <c r="C422" s="98" t="s">
        <v>278</v>
      </c>
      <c r="D422" s="100" t="s">
        <v>264</v>
      </c>
      <c r="E422" s="100" t="s">
        <v>270</v>
      </c>
      <c r="F422" s="100">
        <v>4366.1899999999996</v>
      </c>
      <c r="G422" t="str">
        <f t="shared" si="7"/>
        <v>债券型</v>
      </c>
    </row>
    <row r="423" spans="1:7">
      <c r="A423" s="6">
        <v>44104</v>
      </c>
      <c r="B423" s="98"/>
      <c r="C423" s="98" t="s">
        <v>271</v>
      </c>
      <c r="D423" s="100" t="s">
        <v>264</v>
      </c>
      <c r="E423" s="100" t="s">
        <v>270</v>
      </c>
      <c r="F423" s="100">
        <v>2926.98</v>
      </c>
      <c r="G423" t="str">
        <f t="shared" si="7"/>
        <v>债券型</v>
      </c>
    </row>
    <row r="424" spans="1:7">
      <c r="A424" s="6">
        <v>44104</v>
      </c>
      <c r="B424" s="98" t="s">
        <v>273</v>
      </c>
      <c r="C424" s="98" t="s">
        <v>274</v>
      </c>
      <c r="D424" s="100" t="s">
        <v>275</v>
      </c>
      <c r="E424" s="100" t="s">
        <v>256</v>
      </c>
      <c r="F424" s="100">
        <v>124.9</v>
      </c>
      <c r="G424" t="str">
        <f t="shared" si="7"/>
        <v>混合型</v>
      </c>
    </row>
    <row r="425" spans="1:7">
      <c r="A425" s="6">
        <v>44104</v>
      </c>
      <c r="B425" s="98"/>
      <c r="C425" s="98" t="s">
        <v>265</v>
      </c>
      <c r="D425" s="100" t="s">
        <v>275</v>
      </c>
      <c r="E425" s="100" t="s">
        <v>256</v>
      </c>
      <c r="F425" s="100">
        <v>23.69</v>
      </c>
      <c r="G425" t="str">
        <f t="shared" si="7"/>
        <v>混合型</v>
      </c>
    </row>
    <row r="426" spans="1:7">
      <c r="A426" s="6">
        <v>44104</v>
      </c>
      <c r="B426" s="98"/>
      <c r="C426" s="98" t="s">
        <v>257</v>
      </c>
      <c r="D426" s="100" t="s">
        <v>275</v>
      </c>
      <c r="E426" s="100" t="s">
        <v>256</v>
      </c>
      <c r="F426" s="100">
        <v>30.51</v>
      </c>
      <c r="G426" t="str">
        <f t="shared" si="7"/>
        <v>混合型</v>
      </c>
    </row>
    <row r="427" spans="1:7">
      <c r="A427" s="6">
        <v>44104</v>
      </c>
      <c r="B427" s="98"/>
      <c r="C427" s="98" t="s">
        <v>276</v>
      </c>
      <c r="D427" s="100" t="s">
        <v>275</v>
      </c>
      <c r="E427" s="100" t="s">
        <v>256</v>
      </c>
      <c r="F427" s="100">
        <v>321.82</v>
      </c>
      <c r="G427" t="str">
        <f t="shared" si="7"/>
        <v>混合型</v>
      </c>
    </row>
    <row r="428" spans="1:7">
      <c r="A428" s="6">
        <v>44104</v>
      </c>
      <c r="B428" s="98"/>
      <c r="C428" s="98" t="s">
        <v>266</v>
      </c>
      <c r="D428" s="100" t="s">
        <v>275</v>
      </c>
      <c r="E428" s="100" t="s">
        <v>256</v>
      </c>
      <c r="F428" s="100">
        <v>43.51</v>
      </c>
      <c r="G428" t="str">
        <f t="shared" si="7"/>
        <v>混合型</v>
      </c>
    </row>
    <row r="429" spans="1:7">
      <c r="A429" s="6">
        <v>44104</v>
      </c>
      <c r="B429" s="98"/>
      <c r="C429" s="98" t="s">
        <v>260</v>
      </c>
      <c r="D429" s="100" t="s">
        <v>275</v>
      </c>
      <c r="E429" s="100" t="s">
        <v>259</v>
      </c>
      <c r="F429" s="100">
        <v>5612.65</v>
      </c>
      <c r="G429" t="str">
        <f t="shared" si="7"/>
        <v>混合型</v>
      </c>
    </row>
    <row r="430" spans="1:7">
      <c r="A430" s="6">
        <v>44104</v>
      </c>
      <c r="B430" s="98"/>
      <c r="C430" s="98" t="s">
        <v>277</v>
      </c>
      <c r="D430" s="100" t="s">
        <v>275</v>
      </c>
      <c r="E430" s="100" t="s">
        <v>259</v>
      </c>
      <c r="F430" s="100">
        <v>1192.5</v>
      </c>
      <c r="G430" t="str">
        <f t="shared" si="7"/>
        <v>混合型</v>
      </c>
    </row>
    <row r="431" spans="1:7">
      <c r="A431" s="6">
        <v>44104</v>
      </c>
      <c r="B431" s="98"/>
      <c r="C431" s="98" t="s">
        <v>278</v>
      </c>
      <c r="D431" s="100" t="s">
        <v>275</v>
      </c>
      <c r="E431" s="100" t="s">
        <v>270</v>
      </c>
      <c r="F431" s="100">
        <v>25492.45</v>
      </c>
      <c r="G431" t="str">
        <f t="shared" si="7"/>
        <v>混合型</v>
      </c>
    </row>
    <row r="432" spans="1:7">
      <c r="A432" s="6">
        <v>44104</v>
      </c>
      <c r="B432" s="98"/>
      <c r="C432" s="98" t="s">
        <v>272</v>
      </c>
      <c r="D432" s="100" t="s">
        <v>275</v>
      </c>
      <c r="E432" s="100" t="s">
        <v>270</v>
      </c>
      <c r="F432" s="100">
        <v>7870.99</v>
      </c>
      <c r="G432" t="str">
        <f t="shared" si="7"/>
        <v>混合型</v>
      </c>
    </row>
    <row r="433" spans="1:7">
      <c r="A433" s="6">
        <v>44104</v>
      </c>
      <c r="B433" s="98" t="s">
        <v>279</v>
      </c>
      <c r="C433" s="98" t="s">
        <v>254</v>
      </c>
      <c r="D433" s="100" t="s">
        <v>280</v>
      </c>
      <c r="E433" s="100" t="s">
        <v>256</v>
      </c>
      <c r="F433" s="100">
        <v>151.65</v>
      </c>
      <c r="G433" t="str">
        <f t="shared" si="7"/>
        <v>混合型</v>
      </c>
    </row>
    <row r="434" spans="1:7">
      <c r="A434" s="6">
        <v>44104</v>
      </c>
      <c r="B434" s="98"/>
      <c r="C434" s="98" t="s">
        <v>265</v>
      </c>
      <c r="D434" s="100" t="s">
        <v>280</v>
      </c>
      <c r="E434" s="100" t="s">
        <v>256</v>
      </c>
      <c r="F434" s="100">
        <v>63.76</v>
      </c>
      <c r="G434" t="str">
        <f t="shared" si="7"/>
        <v>混合型</v>
      </c>
    </row>
    <row r="435" spans="1:7">
      <c r="A435" s="6">
        <v>44104</v>
      </c>
      <c r="B435" s="98"/>
      <c r="C435" s="98" t="s">
        <v>276</v>
      </c>
      <c r="D435" s="100" t="s">
        <v>280</v>
      </c>
      <c r="E435" s="100" t="s">
        <v>256</v>
      </c>
      <c r="F435" s="100">
        <v>200.91</v>
      </c>
      <c r="G435" t="str">
        <f t="shared" si="7"/>
        <v>混合型</v>
      </c>
    </row>
    <row r="436" spans="1:7">
      <c r="A436" s="6">
        <v>44104</v>
      </c>
      <c r="B436" s="98"/>
      <c r="C436" s="98" t="s">
        <v>266</v>
      </c>
      <c r="D436" s="100" t="s">
        <v>280</v>
      </c>
      <c r="E436" s="100" t="s">
        <v>256</v>
      </c>
      <c r="F436" s="100">
        <v>73.64</v>
      </c>
      <c r="G436" t="str">
        <f t="shared" si="7"/>
        <v>混合型</v>
      </c>
    </row>
    <row r="437" spans="1:7">
      <c r="A437" s="6">
        <v>44104</v>
      </c>
      <c r="B437" s="98"/>
      <c r="C437" s="98" t="s">
        <v>260</v>
      </c>
      <c r="D437" s="100" t="s">
        <v>280</v>
      </c>
      <c r="E437" s="100" t="s">
        <v>259</v>
      </c>
      <c r="F437" s="100">
        <v>5230.45</v>
      </c>
      <c r="G437" t="str">
        <f t="shared" si="7"/>
        <v>混合型</v>
      </c>
    </row>
    <row r="438" spans="1:7">
      <c r="A438" s="6">
        <v>44104</v>
      </c>
      <c r="B438" s="98"/>
      <c r="C438" s="98" t="s">
        <v>277</v>
      </c>
      <c r="D438" s="100" t="s">
        <v>280</v>
      </c>
      <c r="E438" s="100" t="s">
        <v>259</v>
      </c>
      <c r="F438" s="100">
        <v>623.46</v>
      </c>
      <c r="G438" t="str">
        <f t="shared" si="7"/>
        <v>混合型</v>
      </c>
    </row>
    <row r="439" spans="1:7">
      <c r="A439" s="6">
        <v>44104</v>
      </c>
      <c r="B439" s="98"/>
      <c r="C439" s="98" t="s">
        <v>278</v>
      </c>
      <c r="D439" s="100" t="s">
        <v>280</v>
      </c>
      <c r="E439" s="100" t="s">
        <v>270</v>
      </c>
      <c r="F439" s="100">
        <v>24966.5</v>
      </c>
      <c r="G439" t="str">
        <f t="shared" si="7"/>
        <v>混合型</v>
      </c>
    </row>
    <row r="440" spans="1:7">
      <c r="A440" s="6">
        <v>44104</v>
      </c>
      <c r="B440" s="98"/>
      <c r="C440" s="98" t="s">
        <v>272</v>
      </c>
      <c r="D440" s="100" t="s">
        <v>280</v>
      </c>
      <c r="E440" s="100" t="s">
        <v>270</v>
      </c>
      <c r="F440" s="100">
        <v>7744.63</v>
      </c>
      <c r="G440" t="str">
        <f t="shared" si="7"/>
        <v>混合型</v>
      </c>
    </row>
    <row r="441" spans="1:7">
      <c r="A441" s="6">
        <v>44104</v>
      </c>
      <c r="B441" s="98" t="s">
        <v>281</v>
      </c>
      <c r="C441" s="98" t="s">
        <v>254</v>
      </c>
      <c r="D441" s="100" t="s">
        <v>282</v>
      </c>
      <c r="E441" s="100" t="s">
        <v>256</v>
      </c>
      <c r="F441" s="100">
        <v>135.09</v>
      </c>
      <c r="G441" t="str">
        <f t="shared" si="7"/>
        <v>固收型</v>
      </c>
    </row>
    <row r="442" spans="1:7">
      <c r="A442" s="6">
        <v>44104</v>
      </c>
      <c r="B442" s="98"/>
      <c r="C442" s="98" t="s">
        <v>263</v>
      </c>
      <c r="D442" s="100" t="s">
        <v>282</v>
      </c>
      <c r="E442" s="100" t="s">
        <v>256</v>
      </c>
      <c r="F442" s="100">
        <v>22.82</v>
      </c>
      <c r="G442" t="str">
        <f t="shared" si="7"/>
        <v>固收型</v>
      </c>
    </row>
    <row r="443" spans="1:7">
      <c r="A443" s="6">
        <v>44104</v>
      </c>
      <c r="B443" s="98"/>
      <c r="C443" s="98" t="s">
        <v>257</v>
      </c>
      <c r="D443" s="100" t="s">
        <v>282</v>
      </c>
      <c r="E443" s="100" t="s">
        <v>256</v>
      </c>
      <c r="F443" s="100">
        <v>105</v>
      </c>
      <c r="G443" t="str">
        <f t="shared" si="7"/>
        <v>固收型</v>
      </c>
    </row>
    <row r="444" spans="1:7">
      <c r="A444" s="6">
        <v>44104</v>
      </c>
      <c r="B444" s="98"/>
      <c r="C444" s="98" t="s">
        <v>276</v>
      </c>
      <c r="D444" s="100" t="s">
        <v>282</v>
      </c>
      <c r="E444" s="100" t="s">
        <v>256</v>
      </c>
      <c r="F444" s="100">
        <v>183.24</v>
      </c>
      <c r="G444" t="str">
        <f t="shared" si="7"/>
        <v>固收型</v>
      </c>
    </row>
    <row r="445" spans="1:7">
      <c r="A445" s="6">
        <v>44104</v>
      </c>
      <c r="B445" s="98"/>
      <c r="C445" s="98" t="s">
        <v>283</v>
      </c>
      <c r="D445" s="100" t="s">
        <v>282</v>
      </c>
      <c r="E445" s="100" t="s">
        <v>256</v>
      </c>
      <c r="F445" s="100">
        <v>17.190000000000001</v>
      </c>
      <c r="G445" t="str">
        <f t="shared" si="7"/>
        <v>固收型</v>
      </c>
    </row>
    <row r="446" spans="1:7">
      <c r="A446" s="6">
        <v>44104</v>
      </c>
      <c r="B446" s="98"/>
      <c r="C446" s="98" t="s">
        <v>267</v>
      </c>
      <c r="D446" s="100" t="s">
        <v>282</v>
      </c>
      <c r="E446" s="100" t="s">
        <v>259</v>
      </c>
      <c r="F446" s="100">
        <v>943.9</v>
      </c>
      <c r="G446" t="str">
        <f t="shared" si="7"/>
        <v>固收型</v>
      </c>
    </row>
    <row r="447" spans="1:7">
      <c r="A447" s="6">
        <v>44104</v>
      </c>
      <c r="B447" s="98"/>
      <c r="C447" s="98" t="s">
        <v>258</v>
      </c>
      <c r="D447" s="100" t="s">
        <v>282</v>
      </c>
      <c r="E447" s="100" t="s">
        <v>259</v>
      </c>
      <c r="F447" s="100">
        <v>2189.39</v>
      </c>
      <c r="G447" t="str">
        <f t="shared" si="7"/>
        <v>固收型</v>
      </c>
    </row>
    <row r="448" spans="1:7">
      <c r="A448" s="6">
        <v>44104</v>
      </c>
      <c r="B448" s="98"/>
      <c r="C448" s="98" t="s">
        <v>277</v>
      </c>
      <c r="D448" s="100" t="s">
        <v>282</v>
      </c>
      <c r="E448" s="100" t="s">
        <v>259</v>
      </c>
      <c r="F448" s="100">
        <v>1569.43</v>
      </c>
      <c r="G448" t="str">
        <f t="shared" si="7"/>
        <v>固收型</v>
      </c>
    </row>
    <row r="449" spans="1:7">
      <c r="A449" s="6">
        <v>44104</v>
      </c>
      <c r="B449" s="98"/>
      <c r="C449" s="98" t="s">
        <v>285</v>
      </c>
      <c r="D449" s="100" t="s">
        <v>282</v>
      </c>
      <c r="E449" s="100" t="s">
        <v>259</v>
      </c>
      <c r="F449" s="100">
        <v>2412.09</v>
      </c>
      <c r="G449" t="str">
        <f t="shared" si="7"/>
        <v>固收型</v>
      </c>
    </row>
    <row r="450" spans="1:7">
      <c r="A450" s="6">
        <v>44104</v>
      </c>
      <c r="B450" s="98"/>
      <c r="C450" s="98" t="s">
        <v>286</v>
      </c>
      <c r="D450" s="100" t="s">
        <v>282</v>
      </c>
      <c r="E450" s="100" t="s">
        <v>259</v>
      </c>
      <c r="F450" s="100">
        <v>7856.72</v>
      </c>
      <c r="G450" t="str">
        <f t="shared" si="7"/>
        <v>固收型</v>
      </c>
    </row>
    <row r="451" spans="1:7">
      <c r="A451" s="6">
        <v>44104</v>
      </c>
      <c r="B451" s="98" t="s">
        <v>287</v>
      </c>
      <c r="C451" s="98" t="s">
        <v>254</v>
      </c>
      <c r="D451" s="100" t="s">
        <v>288</v>
      </c>
      <c r="E451" s="100" t="s">
        <v>256</v>
      </c>
      <c r="F451" s="100">
        <v>115.66</v>
      </c>
      <c r="G451" t="str">
        <f t="shared" ref="G451:G514" si="8">VLOOKUP(D451,L:N,3,0)</f>
        <v>基础设施债权</v>
      </c>
    </row>
    <row r="452" spans="1:7">
      <c r="A452" s="6">
        <v>44104</v>
      </c>
      <c r="B452" s="98"/>
      <c r="C452" s="98" t="s">
        <v>274</v>
      </c>
      <c r="D452" s="100" t="s">
        <v>288</v>
      </c>
      <c r="E452" s="100" t="s">
        <v>256</v>
      </c>
      <c r="F452" s="100">
        <v>1180.33</v>
      </c>
      <c r="G452" t="str">
        <f t="shared" si="8"/>
        <v>基础设施债权</v>
      </c>
    </row>
    <row r="453" spans="1:7">
      <c r="A453" s="6">
        <v>44104</v>
      </c>
      <c r="B453" s="98"/>
      <c r="C453" s="98" t="s">
        <v>263</v>
      </c>
      <c r="D453" s="100" t="s">
        <v>288</v>
      </c>
      <c r="E453" s="100" t="s">
        <v>256</v>
      </c>
      <c r="F453" s="100">
        <v>47.69</v>
      </c>
      <c r="G453" t="str">
        <f t="shared" si="8"/>
        <v>基础设施债权</v>
      </c>
    </row>
    <row r="454" spans="1:7">
      <c r="A454" s="6">
        <v>44104</v>
      </c>
      <c r="B454" s="98"/>
      <c r="C454" s="98" t="s">
        <v>265</v>
      </c>
      <c r="D454" s="100" t="s">
        <v>288</v>
      </c>
      <c r="E454" s="100" t="s">
        <v>256</v>
      </c>
      <c r="F454" s="100">
        <v>30.96</v>
      </c>
      <c r="G454" t="str">
        <f t="shared" si="8"/>
        <v>基础设施债权</v>
      </c>
    </row>
    <row r="455" spans="1:7">
      <c r="A455" s="6">
        <v>44104</v>
      </c>
      <c r="B455" s="98"/>
      <c r="C455" s="98" t="s">
        <v>257</v>
      </c>
      <c r="D455" s="100" t="s">
        <v>288</v>
      </c>
      <c r="E455" s="100" t="s">
        <v>256</v>
      </c>
      <c r="F455" s="100">
        <v>61.76</v>
      </c>
      <c r="G455" t="str">
        <f t="shared" si="8"/>
        <v>基础设施债权</v>
      </c>
    </row>
    <row r="456" spans="1:7">
      <c r="A456" s="6">
        <v>44104</v>
      </c>
      <c r="B456" s="98"/>
      <c r="C456" s="98" t="s">
        <v>276</v>
      </c>
      <c r="D456" s="100" t="s">
        <v>288</v>
      </c>
      <c r="E456" s="100" t="s">
        <v>256</v>
      </c>
      <c r="F456" s="100">
        <v>385.2</v>
      </c>
      <c r="G456" t="str">
        <f t="shared" si="8"/>
        <v>基础设施债权</v>
      </c>
    </row>
    <row r="457" spans="1:7">
      <c r="A457" s="6">
        <v>44104</v>
      </c>
      <c r="B457" s="98"/>
      <c r="C457" s="98" t="s">
        <v>283</v>
      </c>
      <c r="D457" s="100" t="s">
        <v>288</v>
      </c>
      <c r="E457" s="100" t="s">
        <v>256</v>
      </c>
      <c r="F457" s="100">
        <v>42.79</v>
      </c>
      <c r="G457" t="str">
        <f t="shared" si="8"/>
        <v>基础设施债权</v>
      </c>
    </row>
    <row r="458" spans="1:7">
      <c r="A458" s="6">
        <v>44104</v>
      </c>
      <c r="B458" s="98"/>
      <c r="C458" s="98" t="s">
        <v>266</v>
      </c>
      <c r="D458" s="100" t="s">
        <v>288</v>
      </c>
      <c r="E458" s="100" t="s">
        <v>256</v>
      </c>
      <c r="F458" s="100">
        <v>216.22</v>
      </c>
      <c r="G458" t="str">
        <f t="shared" si="8"/>
        <v>基础设施债权</v>
      </c>
    </row>
    <row r="459" spans="1:7">
      <c r="A459" s="6">
        <v>44104</v>
      </c>
      <c r="B459" s="98"/>
      <c r="C459" s="98" t="s">
        <v>289</v>
      </c>
      <c r="D459" s="100" t="s">
        <v>288</v>
      </c>
      <c r="E459" s="100" t="s">
        <v>259</v>
      </c>
      <c r="F459" s="100">
        <v>5944.54</v>
      </c>
      <c r="G459" t="str">
        <f t="shared" si="8"/>
        <v>基础设施债权</v>
      </c>
    </row>
    <row r="460" spans="1:7">
      <c r="A460" s="6">
        <v>44104</v>
      </c>
      <c r="B460" s="98"/>
      <c r="C460" s="98" t="s">
        <v>290</v>
      </c>
      <c r="D460" s="100" t="s">
        <v>288</v>
      </c>
      <c r="E460" s="100" t="s">
        <v>259</v>
      </c>
      <c r="F460" s="100">
        <v>2565.46</v>
      </c>
      <c r="G460" t="str">
        <f t="shared" si="8"/>
        <v>基础设施债权</v>
      </c>
    </row>
    <row r="461" spans="1:7">
      <c r="A461" s="6">
        <v>44104</v>
      </c>
      <c r="B461" s="98"/>
      <c r="C461" s="98" t="s">
        <v>284</v>
      </c>
      <c r="D461" s="100" t="s">
        <v>288</v>
      </c>
      <c r="E461" s="100" t="s">
        <v>259</v>
      </c>
      <c r="F461" s="100">
        <v>1537.25</v>
      </c>
      <c r="G461" t="str">
        <f t="shared" si="8"/>
        <v>基础设施债权</v>
      </c>
    </row>
    <row r="462" spans="1:7">
      <c r="A462" s="6">
        <v>44104</v>
      </c>
      <c r="B462" s="98"/>
      <c r="C462" s="98" t="s">
        <v>258</v>
      </c>
      <c r="D462" s="100" t="s">
        <v>288</v>
      </c>
      <c r="E462" s="100" t="s">
        <v>259</v>
      </c>
      <c r="F462" s="100">
        <v>3768.82</v>
      </c>
      <c r="G462" t="str">
        <f t="shared" si="8"/>
        <v>基础设施债权</v>
      </c>
    </row>
    <row r="463" spans="1:7">
      <c r="A463" s="6">
        <v>44104</v>
      </c>
      <c r="B463" s="98"/>
      <c r="C463" s="98" t="s">
        <v>291</v>
      </c>
      <c r="D463" s="100" t="s">
        <v>288</v>
      </c>
      <c r="E463" s="100" t="s">
        <v>259</v>
      </c>
      <c r="F463" s="100">
        <v>12411.23</v>
      </c>
      <c r="G463" t="str">
        <f t="shared" si="8"/>
        <v>基础设施债权</v>
      </c>
    </row>
    <row r="464" spans="1:7">
      <c r="A464" s="6">
        <v>44104</v>
      </c>
      <c r="B464" s="98"/>
      <c r="C464" s="98" t="s">
        <v>260</v>
      </c>
      <c r="D464" s="100" t="s">
        <v>288</v>
      </c>
      <c r="E464" s="100" t="s">
        <v>259</v>
      </c>
      <c r="F464" s="100">
        <v>11558.96</v>
      </c>
      <c r="G464" t="str">
        <f t="shared" si="8"/>
        <v>基础设施债权</v>
      </c>
    </row>
    <row r="465" spans="1:7">
      <c r="A465" s="6">
        <v>44104</v>
      </c>
      <c r="B465" s="98"/>
      <c r="C465" s="98" t="s">
        <v>292</v>
      </c>
      <c r="D465" s="100" t="s">
        <v>288</v>
      </c>
      <c r="E465" s="100" t="s">
        <v>259</v>
      </c>
      <c r="F465" s="100">
        <v>8895.48</v>
      </c>
      <c r="G465" t="str">
        <f t="shared" si="8"/>
        <v>基础设施债权</v>
      </c>
    </row>
    <row r="466" spans="1:7">
      <c r="A466" s="6">
        <v>44104</v>
      </c>
      <c r="B466" s="98"/>
      <c r="C466" s="98" t="s">
        <v>293</v>
      </c>
      <c r="D466" s="100" t="s">
        <v>288</v>
      </c>
      <c r="E466" s="100" t="s">
        <v>259</v>
      </c>
      <c r="F466" s="100">
        <v>13901.03</v>
      </c>
      <c r="G466" t="str">
        <f t="shared" si="8"/>
        <v>基础设施债权</v>
      </c>
    </row>
    <row r="467" spans="1:7">
      <c r="A467" s="6">
        <v>44104</v>
      </c>
      <c r="B467" s="98"/>
      <c r="C467" s="98" t="s">
        <v>268</v>
      </c>
      <c r="D467" s="100" t="s">
        <v>288</v>
      </c>
      <c r="E467" s="100" t="s">
        <v>259</v>
      </c>
      <c r="F467" s="100">
        <v>2398.11</v>
      </c>
      <c r="G467" t="str">
        <f t="shared" si="8"/>
        <v>基础设施债权</v>
      </c>
    </row>
    <row r="468" spans="1:7">
      <c r="A468" s="6">
        <v>44104</v>
      </c>
      <c r="B468" s="98"/>
      <c r="C468" s="98" t="s">
        <v>294</v>
      </c>
      <c r="D468" s="100" t="s">
        <v>288</v>
      </c>
      <c r="E468" s="100" t="s">
        <v>259</v>
      </c>
      <c r="F468" s="100">
        <v>3975.84</v>
      </c>
      <c r="G468" t="str">
        <f t="shared" si="8"/>
        <v>基础设施债权</v>
      </c>
    </row>
    <row r="469" spans="1:7">
      <c r="A469" s="6">
        <v>44104</v>
      </c>
      <c r="B469" s="98"/>
      <c r="C469" s="98" t="s">
        <v>295</v>
      </c>
      <c r="D469" s="100" t="s">
        <v>288</v>
      </c>
      <c r="E469" s="100" t="s">
        <v>259</v>
      </c>
      <c r="F469" s="100">
        <v>2346.1799999999998</v>
      </c>
      <c r="G469" t="str">
        <f t="shared" si="8"/>
        <v>基础设施债权</v>
      </c>
    </row>
    <row r="470" spans="1:7">
      <c r="A470" s="6">
        <v>44104</v>
      </c>
      <c r="B470" s="98"/>
      <c r="C470" s="98" t="s">
        <v>297</v>
      </c>
      <c r="D470" s="100" t="s">
        <v>288</v>
      </c>
      <c r="E470" s="100" t="s">
        <v>259</v>
      </c>
      <c r="F470" s="100">
        <v>9366.6200000000008</v>
      </c>
      <c r="G470" t="str">
        <f t="shared" si="8"/>
        <v>基础设施债权</v>
      </c>
    </row>
    <row r="471" spans="1:7">
      <c r="A471" s="6">
        <v>44104</v>
      </c>
      <c r="B471" s="98"/>
      <c r="C471" s="98" t="s">
        <v>298</v>
      </c>
      <c r="D471" s="100" t="s">
        <v>288</v>
      </c>
      <c r="E471" s="100" t="s">
        <v>259</v>
      </c>
      <c r="F471" s="100">
        <v>1876.95</v>
      </c>
      <c r="G471" t="str">
        <f t="shared" si="8"/>
        <v>基础设施债权</v>
      </c>
    </row>
    <row r="472" spans="1:7">
      <c r="A472" s="6">
        <v>44104</v>
      </c>
      <c r="B472" s="98"/>
      <c r="C472" s="98" t="s">
        <v>269</v>
      </c>
      <c r="D472" s="100" t="s">
        <v>288</v>
      </c>
      <c r="E472" s="100" t="s">
        <v>270</v>
      </c>
      <c r="F472" s="100">
        <v>37943.85</v>
      </c>
      <c r="G472" t="str">
        <f t="shared" si="8"/>
        <v>基础设施债权</v>
      </c>
    </row>
    <row r="473" spans="1:7">
      <c r="A473" s="6">
        <v>44104</v>
      </c>
      <c r="B473" s="98"/>
      <c r="C473" s="98" t="s">
        <v>271</v>
      </c>
      <c r="D473" s="100" t="s">
        <v>288</v>
      </c>
      <c r="E473" s="100" t="s">
        <v>270</v>
      </c>
      <c r="F473" s="100">
        <v>30951.29</v>
      </c>
      <c r="G473" t="str">
        <f t="shared" si="8"/>
        <v>基础设施债权</v>
      </c>
    </row>
    <row r="474" spans="1:7">
      <c r="A474" s="6">
        <v>44104</v>
      </c>
      <c r="B474" s="98"/>
      <c r="C474" s="98" t="s">
        <v>261</v>
      </c>
      <c r="D474" s="100" t="s">
        <v>288</v>
      </c>
      <c r="E474" s="100" t="s">
        <v>259</v>
      </c>
      <c r="F474" s="100">
        <v>1161.22</v>
      </c>
      <c r="G474" t="str">
        <f t="shared" si="8"/>
        <v>基础设施债权</v>
      </c>
    </row>
    <row r="475" spans="1:7">
      <c r="A475" s="6">
        <v>44104</v>
      </c>
      <c r="B475" s="98"/>
      <c r="C475" s="98" t="s">
        <v>272</v>
      </c>
      <c r="D475" s="100" t="s">
        <v>288</v>
      </c>
      <c r="E475" s="100" t="s">
        <v>270</v>
      </c>
      <c r="F475" s="100">
        <v>7683.72</v>
      </c>
      <c r="G475" t="str">
        <f t="shared" si="8"/>
        <v>基础设施债权</v>
      </c>
    </row>
    <row r="476" spans="1:7">
      <c r="A476" s="6">
        <v>44104</v>
      </c>
      <c r="B476" s="98"/>
      <c r="C476" s="98" t="s">
        <v>477</v>
      </c>
      <c r="D476" s="100" t="s">
        <v>288</v>
      </c>
      <c r="E476" s="100" t="s">
        <v>259</v>
      </c>
      <c r="F476" s="100">
        <v>2346.1799999999998</v>
      </c>
      <c r="G476" t="str">
        <f t="shared" si="8"/>
        <v>基础设施债权</v>
      </c>
    </row>
    <row r="477" spans="1:7">
      <c r="A477" s="6">
        <v>44104</v>
      </c>
      <c r="B477" s="98" t="s">
        <v>299</v>
      </c>
      <c r="C477" s="98" t="s">
        <v>254</v>
      </c>
      <c r="D477" s="100" t="s">
        <v>300</v>
      </c>
      <c r="E477" s="100" t="s">
        <v>256</v>
      </c>
      <c r="F477" s="100">
        <v>1755.47</v>
      </c>
      <c r="G477" t="str">
        <f t="shared" si="8"/>
        <v>信托型</v>
      </c>
    </row>
    <row r="478" spans="1:7">
      <c r="A478" s="6">
        <v>44104</v>
      </c>
      <c r="B478" s="98"/>
      <c r="C478" s="98" t="s">
        <v>274</v>
      </c>
      <c r="D478" s="100" t="s">
        <v>300</v>
      </c>
      <c r="E478" s="100" t="s">
        <v>256</v>
      </c>
      <c r="F478" s="100">
        <v>9473.76</v>
      </c>
      <c r="G478" t="str">
        <f t="shared" si="8"/>
        <v>信托型</v>
      </c>
    </row>
    <row r="479" spans="1:7">
      <c r="A479" s="6">
        <v>44104</v>
      </c>
      <c r="B479" s="98"/>
      <c r="C479" s="98" t="s">
        <v>263</v>
      </c>
      <c r="D479" s="100" t="s">
        <v>300</v>
      </c>
      <c r="E479" s="100" t="s">
        <v>256</v>
      </c>
      <c r="F479" s="100">
        <v>74.75</v>
      </c>
      <c r="G479" t="str">
        <f t="shared" si="8"/>
        <v>信托型</v>
      </c>
    </row>
    <row r="480" spans="1:7">
      <c r="A480" s="6">
        <v>44104</v>
      </c>
      <c r="B480" s="98"/>
      <c r="C480" s="98" t="s">
        <v>265</v>
      </c>
      <c r="D480" s="100" t="s">
        <v>300</v>
      </c>
      <c r="E480" s="100" t="s">
        <v>256</v>
      </c>
      <c r="F480" s="100">
        <v>33.07</v>
      </c>
      <c r="G480" t="str">
        <f t="shared" si="8"/>
        <v>信托型</v>
      </c>
    </row>
    <row r="481" spans="1:7">
      <c r="A481" s="6">
        <v>44104</v>
      </c>
      <c r="B481" s="98"/>
      <c r="C481" s="98" t="s">
        <v>257</v>
      </c>
      <c r="D481" s="100" t="s">
        <v>300</v>
      </c>
      <c r="E481" s="100" t="s">
        <v>256</v>
      </c>
      <c r="F481" s="100">
        <v>2618.52</v>
      </c>
      <c r="G481" t="str">
        <f t="shared" si="8"/>
        <v>信托型</v>
      </c>
    </row>
    <row r="482" spans="1:7">
      <c r="A482" s="6">
        <v>44104</v>
      </c>
      <c r="B482" s="98"/>
      <c r="C482" s="98" t="s">
        <v>276</v>
      </c>
      <c r="D482" s="100" t="s">
        <v>300</v>
      </c>
      <c r="E482" s="100" t="s">
        <v>256</v>
      </c>
      <c r="F482" s="100">
        <v>977.18</v>
      </c>
      <c r="G482" t="str">
        <f t="shared" si="8"/>
        <v>信托型</v>
      </c>
    </row>
    <row r="483" spans="1:7">
      <c r="A483" s="6">
        <v>44104</v>
      </c>
      <c r="B483" s="98"/>
      <c r="C483" s="98" t="s">
        <v>283</v>
      </c>
      <c r="D483" s="100" t="s">
        <v>300</v>
      </c>
      <c r="E483" s="100" t="s">
        <v>256</v>
      </c>
      <c r="F483" s="100">
        <v>10.78</v>
      </c>
      <c r="G483" t="str">
        <f t="shared" si="8"/>
        <v>信托型</v>
      </c>
    </row>
    <row r="484" spans="1:7">
      <c r="A484" s="6">
        <v>44104</v>
      </c>
      <c r="B484" s="98"/>
      <c r="C484" s="98" t="s">
        <v>266</v>
      </c>
      <c r="D484" s="100" t="s">
        <v>300</v>
      </c>
      <c r="E484" s="100" t="s">
        <v>256</v>
      </c>
      <c r="F484" s="100">
        <v>522.46</v>
      </c>
      <c r="G484" t="str">
        <f t="shared" si="8"/>
        <v>信托型</v>
      </c>
    </row>
    <row r="485" spans="1:7">
      <c r="A485" s="6">
        <v>44104</v>
      </c>
      <c r="B485" s="98"/>
      <c r="C485" s="98" t="s">
        <v>289</v>
      </c>
      <c r="D485" s="100" t="s">
        <v>300</v>
      </c>
      <c r="E485" s="100" t="s">
        <v>259</v>
      </c>
      <c r="F485" s="100">
        <v>2390.33</v>
      </c>
      <c r="G485" t="str">
        <f t="shared" si="8"/>
        <v>信托型</v>
      </c>
    </row>
    <row r="486" spans="1:7">
      <c r="A486" s="6">
        <v>44104</v>
      </c>
      <c r="B486" s="98"/>
      <c r="C486" s="98" t="s">
        <v>267</v>
      </c>
      <c r="D486" s="100" t="s">
        <v>300</v>
      </c>
      <c r="E486" s="100" t="s">
        <v>259</v>
      </c>
      <c r="F486" s="100">
        <v>2576.4699999999998</v>
      </c>
      <c r="G486" t="str">
        <f t="shared" si="8"/>
        <v>信托型</v>
      </c>
    </row>
    <row r="487" spans="1:7">
      <c r="A487" s="6">
        <v>44104</v>
      </c>
      <c r="B487" s="98"/>
      <c r="C487" s="98" t="s">
        <v>290</v>
      </c>
      <c r="D487" s="100" t="s">
        <v>300</v>
      </c>
      <c r="E487" s="100" t="s">
        <v>259</v>
      </c>
      <c r="F487" s="100">
        <v>6362.73</v>
      </c>
      <c r="G487" t="str">
        <f t="shared" si="8"/>
        <v>信托型</v>
      </c>
    </row>
    <row r="488" spans="1:7">
      <c r="A488" s="6">
        <v>44104</v>
      </c>
      <c r="B488" s="98"/>
      <c r="C488" s="98" t="s">
        <v>301</v>
      </c>
      <c r="D488" s="100" t="s">
        <v>300</v>
      </c>
      <c r="E488" s="100" t="s">
        <v>259</v>
      </c>
      <c r="F488" s="100">
        <v>299.67</v>
      </c>
      <c r="G488" t="str">
        <f t="shared" si="8"/>
        <v>信托型</v>
      </c>
    </row>
    <row r="489" spans="1:7">
      <c r="A489" s="6">
        <v>44104</v>
      </c>
      <c r="B489" s="98"/>
      <c r="C489" s="98" t="s">
        <v>284</v>
      </c>
      <c r="D489" s="100" t="s">
        <v>300</v>
      </c>
      <c r="E489" s="100" t="s">
        <v>259</v>
      </c>
      <c r="F489" s="100">
        <v>712.52</v>
      </c>
      <c r="G489" t="str">
        <f t="shared" si="8"/>
        <v>信托型</v>
      </c>
    </row>
    <row r="490" spans="1:7">
      <c r="A490" s="6">
        <v>44104</v>
      </c>
      <c r="B490" s="98"/>
      <c r="C490" s="98" t="s">
        <v>258</v>
      </c>
      <c r="D490" s="100" t="s">
        <v>300</v>
      </c>
      <c r="E490" s="100" t="s">
        <v>259</v>
      </c>
      <c r="F490" s="100">
        <v>2937.53</v>
      </c>
      <c r="G490" t="str">
        <f t="shared" si="8"/>
        <v>信托型</v>
      </c>
    </row>
    <row r="491" spans="1:7">
      <c r="A491" s="6">
        <v>44104</v>
      </c>
      <c r="B491" s="98"/>
      <c r="C491" s="98" t="s">
        <v>302</v>
      </c>
      <c r="D491" s="100" t="s">
        <v>300</v>
      </c>
      <c r="E491" s="100" t="s">
        <v>259</v>
      </c>
      <c r="F491" s="100">
        <v>2212.79</v>
      </c>
      <c r="G491" t="str">
        <f t="shared" si="8"/>
        <v>信托型</v>
      </c>
    </row>
    <row r="492" spans="1:7">
      <c r="A492" s="6">
        <v>44104</v>
      </c>
      <c r="B492" s="98"/>
      <c r="C492" s="98" t="s">
        <v>303</v>
      </c>
      <c r="D492" s="100" t="s">
        <v>300</v>
      </c>
      <c r="E492" s="100" t="s">
        <v>259</v>
      </c>
      <c r="F492" s="100">
        <v>14472.48</v>
      </c>
      <c r="G492" t="str">
        <f t="shared" si="8"/>
        <v>信托型</v>
      </c>
    </row>
    <row r="493" spans="1:7">
      <c r="A493" s="6">
        <v>44104</v>
      </c>
      <c r="B493" s="98"/>
      <c r="C493" s="98" t="s">
        <v>268</v>
      </c>
      <c r="D493" s="100" t="s">
        <v>300</v>
      </c>
      <c r="E493" s="100" t="s">
        <v>259</v>
      </c>
      <c r="F493" s="100">
        <v>1155.42</v>
      </c>
      <c r="G493" t="str">
        <f t="shared" si="8"/>
        <v>信托型</v>
      </c>
    </row>
    <row r="494" spans="1:7">
      <c r="A494" s="6">
        <v>44104</v>
      </c>
      <c r="B494" s="98"/>
      <c r="C494" s="98" t="s">
        <v>277</v>
      </c>
      <c r="D494" s="100" t="s">
        <v>300</v>
      </c>
      <c r="E494" s="100" t="s">
        <v>259</v>
      </c>
      <c r="F494" s="100">
        <v>1768.95</v>
      </c>
      <c r="G494" t="str">
        <f t="shared" si="8"/>
        <v>信托型</v>
      </c>
    </row>
    <row r="495" spans="1:7">
      <c r="A495" s="6">
        <v>44104</v>
      </c>
      <c r="B495" s="98"/>
      <c r="C495" s="98" t="s">
        <v>305</v>
      </c>
      <c r="D495" s="100" t="s">
        <v>300</v>
      </c>
      <c r="E495" s="100" t="s">
        <v>259</v>
      </c>
      <c r="F495" s="100">
        <v>1487.08</v>
      </c>
      <c r="G495" t="str">
        <f t="shared" si="8"/>
        <v>信托型</v>
      </c>
    </row>
    <row r="496" spans="1:7">
      <c r="A496" s="6">
        <v>44104</v>
      </c>
      <c r="B496" s="98"/>
      <c r="C496" s="98" t="s">
        <v>269</v>
      </c>
      <c r="D496" s="100" t="s">
        <v>300</v>
      </c>
      <c r="E496" s="100" t="s">
        <v>270</v>
      </c>
      <c r="F496" s="100">
        <v>12467.47</v>
      </c>
      <c r="G496" t="str">
        <f t="shared" si="8"/>
        <v>信托型</v>
      </c>
    </row>
    <row r="497" spans="1:7">
      <c r="A497" s="6">
        <v>44104</v>
      </c>
      <c r="B497" s="98"/>
      <c r="C497" s="98" t="s">
        <v>278</v>
      </c>
      <c r="D497" s="100" t="s">
        <v>300</v>
      </c>
      <c r="E497" s="100" t="s">
        <v>270</v>
      </c>
      <c r="F497" s="100">
        <v>380429.05</v>
      </c>
      <c r="G497" t="str">
        <f t="shared" si="8"/>
        <v>信托型</v>
      </c>
    </row>
    <row r="498" spans="1:7">
      <c r="A498" s="6">
        <v>44104</v>
      </c>
      <c r="B498" s="98"/>
      <c r="C498" s="98" t="s">
        <v>271</v>
      </c>
      <c r="D498" s="100" t="s">
        <v>300</v>
      </c>
      <c r="E498" s="100" t="s">
        <v>270</v>
      </c>
      <c r="F498" s="100">
        <v>7047.3</v>
      </c>
      <c r="G498" t="str">
        <f t="shared" si="8"/>
        <v>信托型</v>
      </c>
    </row>
    <row r="499" spans="1:7">
      <c r="A499" s="6">
        <v>44104</v>
      </c>
      <c r="B499" s="98"/>
      <c r="C499" s="98" t="s">
        <v>261</v>
      </c>
      <c r="D499" s="100" t="s">
        <v>300</v>
      </c>
      <c r="E499" s="100" t="s">
        <v>259</v>
      </c>
      <c r="F499" s="100">
        <v>2174.81</v>
      </c>
      <c r="G499" t="str">
        <f t="shared" si="8"/>
        <v>信托型</v>
      </c>
    </row>
    <row r="500" spans="1:7">
      <c r="A500" s="6">
        <v>44104</v>
      </c>
      <c r="B500" s="98"/>
      <c r="C500" s="98" t="s">
        <v>272</v>
      </c>
      <c r="D500" s="100" t="s">
        <v>300</v>
      </c>
      <c r="E500" s="100" t="s">
        <v>270</v>
      </c>
      <c r="F500" s="100">
        <v>6229.62</v>
      </c>
      <c r="G500" t="str">
        <f t="shared" si="8"/>
        <v>信托型</v>
      </c>
    </row>
    <row r="501" spans="1:7">
      <c r="A501" s="6">
        <v>44104</v>
      </c>
      <c r="B501" s="98" t="s">
        <v>306</v>
      </c>
      <c r="C501" s="98" t="s">
        <v>254</v>
      </c>
      <c r="D501" s="100" t="s">
        <v>307</v>
      </c>
      <c r="E501" s="100" t="s">
        <v>256</v>
      </c>
      <c r="F501" s="100">
        <v>45.61</v>
      </c>
      <c r="G501" t="str">
        <f t="shared" si="8"/>
        <v>优先股</v>
      </c>
    </row>
    <row r="502" spans="1:7">
      <c r="A502" s="6">
        <v>44104</v>
      </c>
      <c r="B502" s="98"/>
      <c r="C502" s="98" t="s">
        <v>274</v>
      </c>
      <c r="D502" s="100" t="s">
        <v>307</v>
      </c>
      <c r="E502" s="100" t="s">
        <v>256</v>
      </c>
      <c r="F502" s="100">
        <v>0.84</v>
      </c>
      <c r="G502" t="str">
        <f t="shared" si="8"/>
        <v>优先股</v>
      </c>
    </row>
    <row r="503" spans="1:7">
      <c r="A503" s="6">
        <v>44104</v>
      </c>
      <c r="B503" s="98"/>
      <c r="C503" s="98" t="s">
        <v>263</v>
      </c>
      <c r="D503" s="100" t="s">
        <v>307</v>
      </c>
      <c r="E503" s="100" t="s">
        <v>256</v>
      </c>
      <c r="F503" s="100">
        <v>0.98</v>
      </c>
      <c r="G503" t="str">
        <f t="shared" si="8"/>
        <v>优先股</v>
      </c>
    </row>
    <row r="504" spans="1:7">
      <c r="A504" s="6">
        <v>44104</v>
      </c>
      <c r="B504" s="98"/>
      <c r="C504" s="98" t="s">
        <v>257</v>
      </c>
      <c r="D504" s="100" t="s">
        <v>307</v>
      </c>
      <c r="E504" s="100" t="s">
        <v>256</v>
      </c>
      <c r="F504" s="100">
        <v>37.299999999999997</v>
      </c>
      <c r="G504" t="str">
        <f t="shared" si="8"/>
        <v>优先股</v>
      </c>
    </row>
    <row r="505" spans="1:7">
      <c r="A505" s="6">
        <v>44104</v>
      </c>
      <c r="B505" s="98"/>
      <c r="C505" s="98" t="s">
        <v>276</v>
      </c>
      <c r="D505" s="100" t="s">
        <v>307</v>
      </c>
      <c r="E505" s="100" t="s">
        <v>256</v>
      </c>
      <c r="F505" s="100">
        <v>23.91</v>
      </c>
      <c r="G505" t="str">
        <f t="shared" si="8"/>
        <v>优先股</v>
      </c>
    </row>
    <row r="506" spans="1:7">
      <c r="A506" s="6">
        <v>44104</v>
      </c>
      <c r="B506" s="98"/>
      <c r="C506" s="98" t="s">
        <v>283</v>
      </c>
      <c r="D506" s="100" t="s">
        <v>307</v>
      </c>
      <c r="E506" s="100" t="s">
        <v>256</v>
      </c>
      <c r="F506" s="100">
        <v>0.92</v>
      </c>
      <c r="G506" t="str">
        <f t="shared" si="8"/>
        <v>优先股</v>
      </c>
    </row>
    <row r="507" spans="1:7">
      <c r="A507" s="6">
        <v>44104</v>
      </c>
      <c r="B507" s="98"/>
      <c r="C507" s="98" t="s">
        <v>266</v>
      </c>
      <c r="D507" s="100" t="s">
        <v>307</v>
      </c>
      <c r="E507" s="100" t="s">
        <v>256</v>
      </c>
      <c r="F507" s="100">
        <v>16.47</v>
      </c>
      <c r="G507" t="str">
        <f t="shared" si="8"/>
        <v>优先股</v>
      </c>
    </row>
    <row r="508" spans="1:7">
      <c r="A508" s="6">
        <v>44104</v>
      </c>
      <c r="B508" s="98" t="s">
        <v>308</v>
      </c>
      <c r="C508" s="98" t="s">
        <v>254</v>
      </c>
      <c r="D508" s="100" t="s">
        <v>309</v>
      </c>
      <c r="E508" s="100" t="s">
        <v>256</v>
      </c>
      <c r="F508" s="100">
        <v>481.81</v>
      </c>
      <c r="G508" t="str">
        <f t="shared" si="8"/>
        <v>货币型</v>
      </c>
    </row>
    <row r="509" spans="1:7">
      <c r="A509" s="6">
        <v>44104</v>
      </c>
      <c r="B509" s="98"/>
      <c r="C509" s="98" t="s">
        <v>274</v>
      </c>
      <c r="D509" s="100" t="s">
        <v>309</v>
      </c>
      <c r="E509" s="100" t="s">
        <v>256</v>
      </c>
      <c r="F509" s="100">
        <v>2029.1</v>
      </c>
      <c r="G509" t="str">
        <f t="shared" si="8"/>
        <v>货币型</v>
      </c>
    </row>
    <row r="510" spans="1:7">
      <c r="A510" s="6">
        <v>44104</v>
      </c>
      <c r="B510" s="98"/>
      <c r="C510" s="98" t="s">
        <v>263</v>
      </c>
      <c r="D510" s="100" t="s">
        <v>309</v>
      </c>
      <c r="E510" s="100" t="s">
        <v>256</v>
      </c>
      <c r="F510" s="100">
        <v>88.8</v>
      </c>
      <c r="G510" t="str">
        <f t="shared" si="8"/>
        <v>货币型</v>
      </c>
    </row>
    <row r="511" spans="1:7">
      <c r="A511" s="6">
        <v>44104</v>
      </c>
      <c r="B511" s="98"/>
      <c r="C511" s="98" t="s">
        <v>265</v>
      </c>
      <c r="D511" s="100" t="s">
        <v>309</v>
      </c>
      <c r="E511" s="100" t="s">
        <v>256</v>
      </c>
      <c r="F511" s="100">
        <v>63.83</v>
      </c>
      <c r="G511" t="str">
        <f t="shared" si="8"/>
        <v>货币型</v>
      </c>
    </row>
    <row r="512" spans="1:7">
      <c r="A512" s="6">
        <v>44104</v>
      </c>
      <c r="B512" s="98"/>
      <c r="C512" s="98" t="s">
        <v>257</v>
      </c>
      <c r="D512" s="100" t="s">
        <v>309</v>
      </c>
      <c r="E512" s="100" t="s">
        <v>256</v>
      </c>
      <c r="F512" s="100">
        <v>1076.54</v>
      </c>
      <c r="G512" t="str">
        <f t="shared" si="8"/>
        <v>货币型</v>
      </c>
    </row>
    <row r="513" spans="1:7">
      <c r="A513" s="6">
        <v>44104</v>
      </c>
      <c r="B513" s="98"/>
      <c r="C513" s="98" t="s">
        <v>276</v>
      </c>
      <c r="D513" s="100" t="s">
        <v>309</v>
      </c>
      <c r="E513" s="100" t="s">
        <v>256</v>
      </c>
      <c r="F513" s="100">
        <v>559.25</v>
      </c>
      <c r="G513" t="str">
        <f t="shared" si="8"/>
        <v>货币型</v>
      </c>
    </row>
    <row r="514" spans="1:7">
      <c r="A514" s="6">
        <v>44104</v>
      </c>
      <c r="B514" s="98"/>
      <c r="C514" s="98" t="s">
        <v>283</v>
      </c>
      <c r="D514" s="100" t="s">
        <v>309</v>
      </c>
      <c r="E514" s="100" t="s">
        <v>256</v>
      </c>
      <c r="F514" s="100">
        <v>9.48</v>
      </c>
      <c r="G514" t="str">
        <f t="shared" si="8"/>
        <v>货币型</v>
      </c>
    </row>
    <row r="515" spans="1:7">
      <c r="A515" s="6">
        <v>44104</v>
      </c>
      <c r="B515" s="98"/>
      <c r="C515" s="98" t="s">
        <v>266</v>
      </c>
      <c r="D515" s="100" t="s">
        <v>309</v>
      </c>
      <c r="E515" s="100" t="s">
        <v>256</v>
      </c>
      <c r="F515" s="100">
        <v>437.76</v>
      </c>
      <c r="G515" t="str">
        <f t="shared" ref="G515:G578" si="9">VLOOKUP(D515,L:N,3,0)</f>
        <v>货币型</v>
      </c>
    </row>
    <row r="516" spans="1:7">
      <c r="A516" s="6">
        <v>44104</v>
      </c>
      <c r="B516" s="98"/>
      <c r="C516" s="98" t="s">
        <v>289</v>
      </c>
      <c r="D516" s="100" t="s">
        <v>309</v>
      </c>
      <c r="E516" s="100" t="s">
        <v>259</v>
      </c>
      <c r="F516" s="100">
        <v>1827.49</v>
      </c>
      <c r="G516" t="str">
        <f t="shared" si="9"/>
        <v>货币型</v>
      </c>
    </row>
    <row r="517" spans="1:7">
      <c r="A517" s="6">
        <v>44104</v>
      </c>
      <c r="B517" s="98"/>
      <c r="C517" s="98" t="s">
        <v>301</v>
      </c>
      <c r="D517" s="100" t="s">
        <v>309</v>
      </c>
      <c r="E517" s="100" t="s">
        <v>259</v>
      </c>
      <c r="F517" s="100">
        <v>4988.32</v>
      </c>
      <c r="G517" t="str">
        <f t="shared" si="9"/>
        <v>货币型</v>
      </c>
    </row>
    <row r="518" spans="1:7">
      <c r="A518" s="6">
        <v>44104</v>
      </c>
      <c r="B518" s="98"/>
      <c r="C518" s="98" t="s">
        <v>284</v>
      </c>
      <c r="D518" s="100" t="s">
        <v>309</v>
      </c>
      <c r="E518" s="100" t="s">
        <v>259</v>
      </c>
      <c r="F518" s="100">
        <v>560.96</v>
      </c>
      <c r="G518" t="str">
        <f t="shared" si="9"/>
        <v>货币型</v>
      </c>
    </row>
    <row r="519" spans="1:7">
      <c r="A519" s="6">
        <v>44104</v>
      </c>
      <c r="B519" s="98"/>
      <c r="C519" s="98" t="s">
        <v>258</v>
      </c>
      <c r="D519" s="100" t="s">
        <v>309</v>
      </c>
      <c r="E519" s="100" t="s">
        <v>259</v>
      </c>
      <c r="F519" s="100">
        <v>1726.31</v>
      </c>
      <c r="G519" t="str">
        <f t="shared" si="9"/>
        <v>货币型</v>
      </c>
    </row>
    <row r="520" spans="1:7">
      <c r="A520" s="6">
        <v>44104</v>
      </c>
      <c r="B520" s="98"/>
      <c r="C520" s="98" t="s">
        <v>260</v>
      </c>
      <c r="D520" s="100" t="s">
        <v>309</v>
      </c>
      <c r="E520" s="100" t="s">
        <v>259</v>
      </c>
      <c r="F520" s="100">
        <v>10968.83</v>
      </c>
      <c r="G520" t="str">
        <f t="shared" si="9"/>
        <v>货币型</v>
      </c>
    </row>
    <row r="521" spans="1:7">
      <c r="A521" s="6">
        <v>44104</v>
      </c>
      <c r="B521" s="98"/>
      <c r="C521" s="98" t="s">
        <v>292</v>
      </c>
      <c r="D521" s="100" t="s">
        <v>309</v>
      </c>
      <c r="E521" s="100" t="s">
        <v>259</v>
      </c>
      <c r="F521" s="100">
        <v>6235.88</v>
      </c>
      <c r="G521" t="str">
        <f t="shared" si="9"/>
        <v>货币型</v>
      </c>
    </row>
    <row r="522" spans="1:7">
      <c r="A522" s="6">
        <v>44104</v>
      </c>
      <c r="B522" s="98"/>
      <c r="C522" s="98" t="s">
        <v>302</v>
      </c>
      <c r="D522" s="100" t="s">
        <v>309</v>
      </c>
      <c r="E522" s="100" t="s">
        <v>259</v>
      </c>
      <c r="F522" s="100">
        <v>1010.91</v>
      </c>
      <c r="G522" t="str">
        <f t="shared" si="9"/>
        <v>货币型</v>
      </c>
    </row>
    <row r="523" spans="1:7">
      <c r="A523" s="6">
        <v>44104</v>
      </c>
      <c r="B523" s="98"/>
      <c r="C523" s="98" t="s">
        <v>310</v>
      </c>
      <c r="D523" s="100" t="s">
        <v>309</v>
      </c>
      <c r="E523" s="100" t="s">
        <v>259</v>
      </c>
      <c r="F523" s="100">
        <v>6258.64</v>
      </c>
      <c r="G523" t="str">
        <f t="shared" si="9"/>
        <v>货币型</v>
      </c>
    </row>
    <row r="524" spans="1:7">
      <c r="A524" s="6">
        <v>44104</v>
      </c>
      <c r="B524" s="98"/>
      <c r="C524" s="98" t="s">
        <v>303</v>
      </c>
      <c r="D524" s="100" t="s">
        <v>309</v>
      </c>
      <c r="E524" s="100" t="s">
        <v>259</v>
      </c>
      <c r="F524" s="100">
        <v>9386.3799999999992</v>
      </c>
      <c r="G524" t="str">
        <f t="shared" si="9"/>
        <v>货币型</v>
      </c>
    </row>
    <row r="525" spans="1:7">
      <c r="A525" s="6">
        <v>44104</v>
      </c>
      <c r="B525" s="98"/>
      <c r="C525" s="98" t="s">
        <v>277</v>
      </c>
      <c r="D525" s="100" t="s">
        <v>309</v>
      </c>
      <c r="E525" s="100" t="s">
        <v>259</v>
      </c>
      <c r="F525" s="100">
        <v>1166.46</v>
      </c>
      <c r="G525" t="str">
        <f t="shared" si="9"/>
        <v>货币型</v>
      </c>
    </row>
    <row r="526" spans="1:7">
      <c r="A526" s="6">
        <v>44104</v>
      </c>
      <c r="B526" s="98"/>
      <c r="C526" s="98" t="s">
        <v>311</v>
      </c>
      <c r="D526" s="100" t="s">
        <v>309</v>
      </c>
      <c r="E526" s="100" t="s">
        <v>259</v>
      </c>
      <c r="F526" s="100">
        <v>2196.83</v>
      </c>
      <c r="G526" t="str">
        <f t="shared" si="9"/>
        <v>货币型</v>
      </c>
    </row>
    <row r="527" spans="1:7">
      <c r="A527" s="6">
        <v>44104</v>
      </c>
      <c r="B527" s="98"/>
      <c r="C527" s="98" t="s">
        <v>269</v>
      </c>
      <c r="D527" s="100" t="s">
        <v>309</v>
      </c>
      <c r="E527" s="100" t="s">
        <v>270</v>
      </c>
      <c r="F527" s="100">
        <v>11106.64</v>
      </c>
      <c r="G527" t="str">
        <f t="shared" si="9"/>
        <v>货币型</v>
      </c>
    </row>
    <row r="528" spans="1:7">
      <c r="A528" s="6">
        <v>44104</v>
      </c>
      <c r="B528" s="98"/>
      <c r="C528" s="98" t="s">
        <v>278</v>
      </c>
      <c r="D528" s="100" t="s">
        <v>309</v>
      </c>
      <c r="E528" s="100" t="s">
        <v>270</v>
      </c>
      <c r="F528" s="100">
        <v>4038.55</v>
      </c>
      <c r="G528" t="str">
        <f t="shared" si="9"/>
        <v>货币型</v>
      </c>
    </row>
    <row r="529" spans="1:7">
      <c r="A529" s="6">
        <v>44104</v>
      </c>
      <c r="B529" s="98"/>
      <c r="C529" s="98" t="s">
        <v>271</v>
      </c>
      <c r="D529" s="100" t="s">
        <v>309</v>
      </c>
      <c r="E529" s="100" t="s">
        <v>270</v>
      </c>
      <c r="F529" s="100">
        <v>9105.33</v>
      </c>
      <c r="G529" t="str">
        <f t="shared" si="9"/>
        <v>货币型</v>
      </c>
    </row>
    <row r="530" spans="1:7">
      <c r="A530" s="6">
        <v>44104</v>
      </c>
      <c r="B530" s="98"/>
      <c r="C530" s="98" t="s">
        <v>261</v>
      </c>
      <c r="D530" s="100" t="s">
        <v>309</v>
      </c>
      <c r="E530" s="100" t="s">
        <v>259</v>
      </c>
      <c r="F530" s="100">
        <v>1422.37</v>
      </c>
      <c r="G530" t="str">
        <f t="shared" si="9"/>
        <v>货币型</v>
      </c>
    </row>
    <row r="531" spans="1:7">
      <c r="A531" s="6">
        <v>44104</v>
      </c>
      <c r="B531" s="98"/>
      <c r="C531" s="98" t="s">
        <v>272</v>
      </c>
      <c r="D531" s="100" t="s">
        <v>309</v>
      </c>
      <c r="E531" s="100" t="s">
        <v>270</v>
      </c>
      <c r="F531" s="100">
        <v>3531.88</v>
      </c>
      <c r="G531" t="str">
        <f t="shared" si="9"/>
        <v>货币型</v>
      </c>
    </row>
    <row r="532" spans="1:7">
      <c r="A532" s="6">
        <v>44104</v>
      </c>
      <c r="B532" s="98"/>
      <c r="C532" s="98" t="s">
        <v>286</v>
      </c>
      <c r="D532" s="100" t="s">
        <v>309</v>
      </c>
      <c r="E532" s="100" t="s">
        <v>259</v>
      </c>
      <c r="F532" s="100">
        <v>4347.1899999999996</v>
      </c>
      <c r="G532" t="str">
        <f t="shared" si="9"/>
        <v>货币型</v>
      </c>
    </row>
    <row r="533" spans="1:7">
      <c r="A533" s="6">
        <v>44104</v>
      </c>
      <c r="B533" s="98" t="s">
        <v>312</v>
      </c>
      <c r="C533" s="98" t="s">
        <v>313</v>
      </c>
      <c r="D533" s="100" t="s">
        <v>314</v>
      </c>
      <c r="E533" s="100" t="s">
        <v>259</v>
      </c>
      <c r="F533" s="100">
        <v>14981.78</v>
      </c>
      <c r="G533" t="str">
        <f t="shared" si="9"/>
        <v>存款型</v>
      </c>
    </row>
    <row r="534" spans="1:7">
      <c r="A534" s="6">
        <v>44104</v>
      </c>
      <c r="B534" s="98"/>
      <c r="C534" s="98" t="s">
        <v>315</v>
      </c>
      <c r="D534" s="100" t="s">
        <v>314</v>
      </c>
      <c r="E534" s="100" t="s">
        <v>259</v>
      </c>
      <c r="F534" s="100">
        <v>3995.14</v>
      </c>
      <c r="G534" t="str">
        <f t="shared" si="9"/>
        <v>存款型</v>
      </c>
    </row>
    <row r="535" spans="1:7">
      <c r="A535" s="6">
        <v>44104</v>
      </c>
      <c r="B535" s="98" t="s">
        <v>316</v>
      </c>
      <c r="C535" s="98" t="s">
        <v>274</v>
      </c>
      <c r="D535" s="100" t="s">
        <v>317</v>
      </c>
      <c r="E535" s="100" t="s">
        <v>256</v>
      </c>
      <c r="F535" s="100">
        <v>333.06</v>
      </c>
      <c r="G535" t="str">
        <f t="shared" si="9"/>
        <v>基础设施债权</v>
      </c>
    </row>
    <row r="536" spans="1:7">
      <c r="A536" s="6">
        <v>44104</v>
      </c>
      <c r="B536" s="98"/>
      <c r="C536" s="98" t="s">
        <v>257</v>
      </c>
      <c r="D536" s="100" t="s">
        <v>317</v>
      </c>
      <c r="E536" s="100" t="s">
        <v>256</v>
      </c>
      <c r="F536" s="100">
        <v>169.89</v>
      </c>
      <c r="G536" t="str">
        <f t="shared" si="9"/>
        <v>基础设施债权</v>
      </c>
    </row>
    <row r="537" spans="1:7">
      <c r="A537" s="6">
        <v>44104</v>
      </c>
      <c r="B537" s="98" t="s">
        <v>318</v>
      </c>
      <c r="C537" s="98" t="s">
        <v>254</v>
      </c>
      <c r="D537" s="100" t="s">
        <v>319</v>
      </c>
      <c r="E537" s="100" t="s">
        <v>256</v>
      </c>
      <c r="F537" s="100">
        <v>20.350000000000001</v>
      </c>
      <c r="G537" t="str">
        <f t="shared" si="9"/>
        <v>优先股</v>
      </c>
    </row>
    <row r="538" spans="1:7">
      <c r="A538" s="6">
        <v>44104</v>
      </c>
      <c r="B538" s="98"/>
      <c r="C538" s="98" t="s">
        <v>274</v>
      </c>
      <c r="D538" s="100" t="s">
        <v>319</v>
      </c>
      <c r="E538" s="100" t="s">
        <v>256</v>
      </c>
      <c r="F538" s="100">
        <v>107.59</v>
      </c>
      <c r="G538" t="str">
        <f t="shared" si="9"/>
        <v>优先股</v>
      </c>
    </row>
    <row r="539" spans="1:7">
      <c r="A539" s="6">
        <v>44104</v>
      </c>
      <c r="B539" s="98"/>
      <c r="C539" s="98" t="s">
        <v>257</v>
      </c>
      <c r="D539" s="100" t="s">
        <v>319</v>
      </c>
      <c r="E539" s="100" t="s">
        <v>256</v>
      </c>
      <c r="F539" s="100">
        <v>23.77</v>
      </c>
      <c r="G539" t="str">
        <f t="shared" si="9"/>
        <v>优先股</v>
      </c>
    </row>
    <row r="540" spans="1:7">
      <c r="A540" s="6">
        <v>44104</v>
      </c>
      <c r="B540" s="98"/>
      <c r="C540" s="98" t="s">
        <v>276</v>
      </c>
      <c r="D540" s="100" t="s">
        <v>319</v>
      </c>
      <c r="E540" s="100" t="s">
        <v>256</v>
      </c>
      <c r="F540" s="100">
        <v>9.4499999999999993</v>
      </c>
      <c r="G540" t="str">
        <f t="shared" si="9"/>
        <v>优先股</v>
      </c>
    </row>
    <row r="541" spans="1:7">
      <c r="A541" s="6">
        <v>44104</v>
      </c>
      <c r="B541" s="98" t="s">
        <v>320</v>
      </c>
      <c r="C541" s="98" t="s">
        <v>274</v>
      </c>
      <c r="D541" s="100" t="s">
        <v>321</v>
      </c>
      <c r="E541" s="100" t="s">
        <v>256</v>
      </c>
      <c r="F541" s="100">
        <v>390.44</v>
      </c>
      <c r="G541" t="str">
        <f t="shared" si="9"/>
        <v>信托型</v>
      </c>
    </row>
    <row r="542" spans="1:7">
      <c r="A542" s="6">
        <v>44104</v>
      </c>
      <c r="B542" s="98"/>
      <c r="C542" s="98" t="s">
        <v>257</v>
      </c>
      <c r="D542" s="100" t="s">
        <v>321</v>
      </c>
      <c r="E542" s="100" t="s">
        <v>256</v>
      </c>
      <c r="F542" s="100">
        <v>80.569999999999993</v>
      </c>
      <c r="G542" t="str">
        <f t="shared" si="9"/>
        <v>信托型</v>
      </c>
    </row>
    <row r="543" spans="1:7">
      <c r="A543" s="6">
        <v>44104</v>
      </c>
      <c r="B543" s="98"/>
      <c r="C543" s="98" t="s">
        <v>276</v>
      </c>
      <c r="D543" s="100" t="s">
        <v>321</v>
      </c>
      <c r="E543" s="100" t="s">
        <v>256</v>
      </c>
      <c r="F543" s="100">
        <v>17.600000000000001</v>
      </c>
      <c r="G543" t="str">
        <f t="shared" si="9"/>
        <v>信托型</v>
      </c>
    </row>
    <row r="544" spans="1:7">
      <c r="A544" s="6">
        <v>44104</v>
      </c>
      <c r="B544" s="98"/>
      <c r="C544" s="98" t="s">
        <v>266</v>
      </c>
      <c r="D544" s="100" t="s">
        <v>321</v>
      </c>
      <c r="E544" s="100" t="s">
        <v>256</v>
      </c>
      <c r="F544" s="100">
        <v>17.3</v>
      </c>
      <c r="G544" t="str">
        <f t="shared" si="9"/>
        <v>信托型</v>
      </c>
    </row>
    <row r="545" spans="1:7">
      <c r="A545" s="6">
        <v>44104</v>
      </c>
      <c r="B545" s="98"/>
      <c r="C545" s="98" t="s">
        <v>284</v>
      </c>
      <c r="D545" s="100" t="s">
        <v>321</v>
      </c>
      <c r="E545" s="100" t="s">
        <v>259</v>
      </c>
      <c r="F545" s="100">
        <v>158.96</v>
      </c>
      <c r="G545" t="str">
        <f t="shared" si="9"/>
        <v>信托型</v>
      </c>
    </row>
    <row r="546" spans="1:7">
      <c r="A546" s="6">
        <v>44104</v>
      </c>
      <c r="B546" s="98" t="s">
        <v>322</v>
      </c>
      <c r="C546" s="98" t="s">
        <v>274</v>
      </c>
      <c r="D546" s="100" t="s">
        <v>323</v>
      </c>
      <c r="E546" s="100" t="s">
        <v>256</v>
      </c>
      <c r="F546" s="100">
        <v>71</v>
      </c>
      <c r="G546" t="str">
        <f t="shared" si="9"/>
        <v>混合型</v>
      </c>
    </row>
    <row r="547" spans="1:7">
      <c r="A547" s="6">
        <v>44104</v>
      </c>
      <c r="B547" s="98"/>
      <c r="C547" s="98" t="s">
        <v>263</v>
      </c>
      <c r="D547" s="100" t="s">
        <v>323</v>
      </c>
      <c r="E547" s="100" t="s">
        <v>256</v>
      </c>
      <c r="F547" s="100">
        <v>4.7300000000000004</v>
      </c>
      <c r="G547" t="str">
        <f t="shared" si="9"/>
        <v>混合型</v>
      </c>
    </row>
    <row r="548" spans="1:7">
      <c r="A548" s="6">
        <v>44104</v>
      </c>
      <c r="B548" s="98"/>
      <c r="C548" s="98" t="s">
        <v>257</v>
      </c>
      <c r="D548" s="100" t="s">
        <v>323</v>
      </c>
      <c r="E548" s="100" t="s">
        <v>256</v>
      </c>
      <c r="F548" s="100">
        <v>570.4</v>
      </c>
      <c r="G548" t="str">
        <f t="shared" si="9"/>
        <v>混合型</v>
      </c>
    </row>
    <row r="549" spans="1:7">
      <c r="A549" s="6">
        <v>44104</v>
      </c>
      <c r="B549" s="98"/>
      <c r="C549" s="98" t="s">
        <v>283</v>
      </c>
      <c r="D549" s="100" t="s">
        <v>323</v>
      </c>
      <c r="E549" s="100" t="s">
        <v>256</v>
      </c>
      <c r="F549" s="100">
        <v>9.6300000000000008</v>
      </c>
      <c r="G549" t="str">
        <f t="shared" si="9"/>
        <v>混合型</v>
      </c>
    </row>
    <row r="550" spans="1:7">
      <c r="A550" s="6">
        <v>44104</v>
      </c>
      <c r="B550" s="98"/>
      <c r="C550" s="98" t="s">
        <v>266</v>
      </c>
      <c r="D550" s="100" t="s">
        <v>323</v>
      </c>
      <c r="E550" s="100" t="s">
        <v>256</v>
      </c>
      <c r="F550" s="100">
        <v>46.66</v>
      </c>
      <c r="G550" t="str">
        <f t="shared" si="9"/>
        <v>混合型</v>
      </c>
    </row>
    <row r="551" spans="1:7">
      <c r="A551" s="6">
        <v>44104</v>
      </c>
      <c r="B551" s="98"/>
      <c r="C551" s="98" t="s">
        <v>289</v>
      </c>
      <c r="D551" s="100" t="s">
        <v>323</v>
      </c>
      <c r="E551" s="100" t="s">
        <v>259</v>
      </c>
      <c r="F551" s="100">
        <v>4137.72</v>
      </c>
      <c r="G551" t="str">
        <f t="shared" si="9"/>
        <v>混合型</v>
      </c>
    </row>
    <row r="552" spans="1:7">
      <c r="A552" s="6">
        <v>44104</v>
      </c>
      <c r="B552" s="98"/>
      <c r="C552" s="98" t="s">
        <v>260</v>
      </c>
      <c r="D552" s="100" t="s">
        <v>323</v>
      </c>
      <c r="E552" s="100" t="s">
        <v>259</v>
      </c>
      <c r="F552" s="100">
        <v>3438.03</v>
      </c>
      <c r="G552" t="str">
        <f t="shared" si="9"/>
        <v>混合型</v>
      </c>
    </row>
    <row r="553" spans="1:7">
      <c r="A553" s="6">
        <v>44104</v>
      </c>
      <c r="B553" s="98"/>
      <c r="C553" s="98" t="s">
        <v>277</v>
      </c>
      <c r="D553" s="100" t="s">
        <v>323</v>
      </c>
      <c r="E553" s="100" t="s">
        <v>259</v>
      </c>
      <c r="F553" s="100">
        <v>399.78</v>
      </c>
      <c r="G553" t="str">
        <f t="shared" si="9"/>
        <v>混合型</v>
      </c>
    </row>
    <row r="554" spans="1:7">
      <c r="A554" s="6">
        <v>44104</v>
      </c>
      <c r="B554" s="98"/>
      <c r="C554" s="98" t="s">
        <v>278</v>
      </c>
      <c r="D554" s="100" t="s">
        <v>323</v>
      </c>
      <c r="E554" s="100" t="s">
        <v>270</v>
      </c>
      <c r="F554" s="100">
        <v>20085.400000000001</v>
      </c>
      <c r="G554" t="str">
        <f t="shared" si="9"/>
        <v>混合型</v>
      </c>
    </row>
    <row r="555" spans="1:7">
      <c r="A555" s="6">
        <v>44104</v>
      </c>
      <c r="B555" s="98" t="s">
        <v>324</v>
      </c>
      <c r="C555" s="98" t="s">
        <v>254</v>
      </c>
      <c r="D555" s="100" t="s">
        <v>325</v>
      </c>
      <c r="E555" s="100" t="s">
        <v>256</v>
      </c>
      <c r="F555" s="100">
        <v>194.1</v>
      </c>
      <c r="G555" t="str">
        <f t="shared" si="9"/>
        <v>股票型</v>
      </c>
    </row>
    <row r="556" spans="1:7">
      <c r="A556" s="6">
        <v>44104</v>
      </c>
      <c r="B556" s="98"/>
      <c r="C556" s="98" t="s">
        <v>274</v>
      </c>
      <c r="D556" s="100" t="s">
        <v>325</v>
      </c>
      <c r="E556" s="100" t="s">
        <v>256</v>
      </c>
      <c r="F556" s="100">
        <v>27051.38</v>
      </c>
      <c r="G556" t="str">
        <f t="shared" si="9"/>
        <v>股票型</v>
      </c>
    </row>
    <row r="557" spans="1:7">
      <c r="A557" s="6">
        <v>44104</v>
      </c>
      <c r="B557" s="98"/>
      <c r="C557" s="98" t="s">
        <v>265</v>
      </c>
      <c r="D557" s="100" t="s">
        <v>325</v>
      </c>
      <c r="E557" s="100" t="s">
        <v>256</v>
      </c>
      <c r="F557" s="100">
        <v>29.72</v>
      </c>
      <c r="G557" t="str">
        <f t="shared" si="9"/>
        <v>股票型</v>
      </c>
    </row>
    <row r="558" spans="1:7">
      <c r="A558" s="6">
        <v>44104</v>
      </c>
      <c r="B558" s="98"/>
      <c r="C558" s="98" t="s">
        <v>257</v>
      </c>
      <c r="D558" s="100" t="s">
        <v>325</v>
      </c>
      <c r="E558" s="100" t="s">
        <v>256</v>
      </c>
      <c r="F558" s="100">
        <v>133.85</v>
      </c>
      <c r="G558" t="str">
        <f t="shared" si="9"/>
        <v>股票型</v>
      </c>
    </row>
    <row r="559" spans="1:7">
      <c r="A559" s="6">
        <v>44104</v>
      </c>
      <c r="B559" s="98"/>
      <c r="C559" s="98" t="s">
        <v>260</v>
      </c>
      <c r="D559" s="100" t="s">
        <v>325</v>
      </c>
      <c r="E559" s="100" t="s">
        <v>259</v>
      </c>
      <c r="F559" s="100">
        <v>3281.81</v>
      </c>
      <c r="G559" t="str">
        <f t="shared" si="9"/>
        <v>股票型</v>
      </c>
    </row>
    <row r="560" spans="1:7">
      <c r="A560" s="6">
        <v>44104</v>
      </c>
      <c r="B560" s="98" t="s">
        <v>326</v>
      </c>
      <c r="C560" s="98" t="s">
        <v>254</v>
      </c>
      <c r="D560" s="100" t="s">
        <v>327</v>
      </c>
      <c r="E560" s="100" t="s">
        <v>256</v>
      </c>
      <c r="F560" s="100">
        <v>4086.23</v>
      </c>
      <c r="G560" t="str">
        <f t="shared" si="9"/>
        <v>股票型</v>
      </c>
    </row>
    <row r="561" spans="1:7">
      <c r="A561" s="6">
        <v>44104</v>
      </c>
      <c r="B561" s="98"/>
      <c r="C561" s="98" t="s">
        <v>274</v>
      </c>
      <c r="D561" s="100" t="s">
        <v>327</v>
      </c>
      <c r="E561" s="100" t="s">
        <v>256</v>
      </c>
      <c r="F561" s="100">
        <v>5693.35</v>
      </c>
      <c r="G561" t="str">
        <f t="shared" si="9"/>
        <v>股票型</v>
      </c>
    </row>
    <row r="562" spans="1:7">
      <c r="A562" s="6">
        <v>44104</v>
      </c>
      <c r="B562" s="98"/>
      <c r="C562" s="98" t="s">
        <v>257</v>
      </c>
      <c r="D562" s="100" t="s">
        <v>327</v>
      </c>
      <c r="E562" s="100" t="s">
        <v>256</v>
      </c>
      <c r="F562" s="100">
        <v>7.92</v>
      </c>
      <c r="G562" t="str">
        <f t="shared" si="9"/>
        <v>股票型</v>
      </c>
    </row>
    <row r="563" spans="1:7">
      <c r="A563" s="6">
        <v>44104</v>
      </c>
      <c r="B563" s="98"/>
      <c r="C563" s="98" t="s">
        <v>301</v>
      </c>
      <c r="D563" s="100" t="s">
        <v>327</v>
      </c>
      <c r="E563" s="100" t="s">
        <v>259</v>
      </c>
      <c r="F563" s="100">
        <v>3072.96</v>
      </c>
      <c r="G563" t="str">
        <f t="shared" si="9"/>
        <v>股票型</v>
      </c>
    </row>
    <row r="564" spans="1:7">
      <c r="A564" s="6">
        <v>44104</v>
      </c>
      <c r="B564" s="98"/>
      <c r="C564" s="98" t="s">
        <v>260</v>
      </c>
      <c r="D564" s="100" t="s">
        <v>327</v>
      </c>
      <c r="E564" s="100" t="s">
        <v>259</v>
      </c>
      <c r="F564" s="100">
        <v>3795.12</v>
      </c>
      <c r="G564" t="str">
        <f t="shared" si="9"/>
        <v>股票型</v>
      </c>
    </row>
    <row r="565" spans="1:7">
      <c r="A565" s="6">
        <v>44104</v>
      </c>
      <c r="B565" s="98" t="s">
        <v>328</v>
      </c>
      <c r="C565" s="98" t="s">
        <v>274</v>
      </c>
      <c r="D565" s="100" t="s">
        <v>329</v>
      </c>
      <c r="E565" s="100" t="s">
        <v>256</v>
      </c>
      <c r="F565" s="100">
        <v>428.16</v>
      </c>
      <c r="G565" t="str">
        <f t="shared" si="9"/>
        <v>基础设施债权</v>
      </c>
    </row>
    <row r="566" spans="1:7">
      <c r="A566" s="6">
        <v>44104</v>
      </c>
      <c r="B566" s="98"/>
      <c r="C566" s="98" t="s">
        <v>257</v>
      </c>
      <c r="D566" s="100" t="s">
        <v>329</v>
      </c>
      <c r="E566" s="100" t="s">
        <v>256</v>
      </c>
      <c r="F566" s="100">
        <v>151.66</v>
      </c>
      <c r="G566" t="str">
        <f t="shared" si="9"/>
        <v>基础设施债权</v>
      </c>
    </row>
    <row r="567" spans="1:7">
      <c r="A567" s="6">
        <v>44104</v>
      </c>
      <c r="B567" s="98"/>
      <c r="C567" s="98" t="s">
        <v>266</v>
      </c>
      <c r="D567" s="100" t="s">
        <v>329</v>
      </c>
      <c r="E567" s="100" t="s">
        <v>256</v>
      </c>
      <c r="F567" s="100">
        <v>40.450000000000003</v>
      </c>
      <c r="G567" t="str">
        <f t="shared" si="9"/>
        <v>基础设施债权</v>
      </c>
    </row>
    <row r="568" spans="1:7">
      <c r="A568" s="6">
        <v>44104</v>
      </c>
      <c r="B568" s="98" t="s">
        <v>330</v>
      </c>
      <c r="C568" s="98" t="s">
        <v>254</v>
      </c>
      <c r="D568" s="100" t="s">
        <v>331</v>
      </c>
      <c r="E568" s="100" t="s">
        <v>256</v>
      </c>
      <c r="F568" s="100">
        <v>435.96</v>
      </c>
      <c r="G568" t="str">
        <f t="shared" si="9"/>
        <v>固收型</v>
      </c>
    </row>
    <row r="569" spans="1:7">
      <c r="A569" s="6">
        <v>44104</v>
      </c>
      <c r="B569" s="98"/>
      <c r="C569" s="98" t="s">
        <v>274</v>
      </c>
      <c r="D569" s="100" t="s">
        <v>331</v>
      </c>
      <c r="E569" s="100" t="s">
        <v>256</v>
      </c>
      <c r="F569" s="100">
        <v>2661.64</v>
      </c>
      <c r="G569" t="str">
        <f t="shared" si="9"/>
        <v>固收型</v>
      </c>
    </row>
    <row r="570" spans="1:7">
      <c r="A570" s="6">
        <v>44104</v>
      </c>
      <c r="B570" s="98"/>
      <c r="C570" s="98" t="s">
        <v>265</v>
      </c>
      <c r="D570" s="100" t="s">
        <v>331</v>
      </c>
      <c r="E570" s="100" t="s">
        <v>256</v>
      </c>
      <c r="F570" s="100">
        <v>27.37</v>
      </c>
      <c r="G570" t="str">
        <f t="shared" si="9"/>
        <v>固收型</v>
      </c>
    </row>
    <row r="571" spans="1:7">
      <c r="A571" s="6">
        <v>44104</v>
      </c>
      <c r="B571" s="98"/>
      <c r="C571" s="98" t="s">
        <v>257</v>
      </c>
      <c r="D571" s="100" t="s">
        <v>331</v>
      </c>
      <c r="E571" s="100" t="s">
        <v>256</v>
      </c>
      <c r="F571" s="100">
        <v>298.01</v>
      </c>
      <c r="G571" t="str">
        <f t="shared" si="9"/>
        <v>固收型</v>
      </c>
    </row>
    <row r="572" spans="1:7">
      <c r="A572" s="6">
        <v>44104</v>
      </c>
      <c r="B572" s="98"/>
      <c r="C572" s="98" t="s">
        <v>276</v>
      </c>
      <c r="D572" s="100" t="s">
        <v>331</v>
      </c>
      <c r="E572" s="100" t="s">
        <v>256</v>
      </c>
      <c r="F572" s="100">
        <v>733</v>
      </c>
      <c r="G572" t="str">
        <f t="shared" si="9"/>
        <v>固收型</v>
      </c>
    </row>
    <row r="573" spans="1:7">
      <c r="A573" s="6">
        <v>44104</v>
      </c>
      <c r="B573" s="98"/>
      <c r="C573" s="98" t="s">
        <v>283</v>
      </c>
      <c r="D573" s="100" t="s">
        <v>331</v>
      </c>
      <c r="E573" s="100" t="s">
        <v>256</v>
      </c>
      <c r="F573" s="100">
        <v>17.079999999999998</v>
      </c>
      <c r="G573" t="str">
        <f t="shared" si="9"/>
        <v>固收型</v>
      </c>
    </row>
    <row r="574" spans="1:7">
      <c r="A574" s="6">
        <v>44104</v>
      </c>
      <c r="B574" s="98"/>
      <c r="C574" s="98" t="s">
        <v>266</v>
      </c>
      <c r="D574" s="100" t="s">
        <v>331</v>
      </c>
      <c r="E574" s="100" t="s">
        <v>256</v>
      </c>
      <c r="F574" s="100">
        <v>424.6</v>
      </c>
      <c r="G574" t="str">
        <f t="shared" si="9"/>
        <v>固收型</v>
      </c>
    </row>
    <row r="575" spans="1:7">
      <c r="A575" s="6">
        <v>44104</v>
      </c>
      <c r="B575" s="98"/>
      <c r="C575" s="98" t="s">
        <v>267</v>
      </c>
      <c r="D575" s="100" t="s">
        <v>331</v>
      </c>
      <c r="E575" s="100" t="s">
        <v>259</v>
      </c>
      <c r="F575" s="100">
        <v>3306.72</v>
      </c>
      <c r="G575" t="str">
        <f t="shared" si="9"/>
        <v>固收型</v>
      </c>
    </row>
    <row r="576" spans="1:7">
      <c r="A576" s="6">
        <v>44104</v>
      </c>
      <c r="B576" s="98"/>
      <c r="C576" s="98" t="s">
        <v>290</v>
      </c>
      <c r="D576" s="100" t="s">
        <v>331</v>
      </c>
      <c r="E576" s="100" t="s">
        <v>259</v>
      </c>
      <c r="F576" s="100">
        <v>11414.7</v>
      </c>
      <c r="G576" t="str">
        <f t="shared" si="9"/>
        <v>固收型</v>
      </c>
    </row>
    <row r="577" spans="1:7">
      <c r="A577" s="6">
        <v>44104</v>
      </c>
      <c r="B577" s="98"/>
      <c r="C577" s="98" t="s">
        <v>284</v>
      </c>
      <c r="D577" s="100" t="s">
        <v>331</v>
      </c>
      <c r="E577" s="100" t="s">
        <v>259</v>
      </c>
      <c r="F577" s="100">
        <v>2734.41</v>
      </c>
      <c r="G577" t="str">
        <f t="shared" si="9"/>
        <v>固收型</v>
      </c>
    </row>
    <row r="578" spans="1:7">
      <c r="A578" s="6">
        <v>44104</v>
      </c>
      <c r="B578" s="98"/>
      <c r="C578" s="98" t="s">
        <v>258</v>
      </c>
      <c r="D578" s="100" t="s">
        <v>331</v>
      </c>
      <c r="E578" s="100" t="s">
        <v>259</v>
      </c>
      <c r="F578" s="100">
        <v>4752.75</v>
      </c>
      <c r="G578" t="str">
        <f t="shared" si="9"/>
        <v>固收型</v>
      </c>
    </row>
    <row r="579" spans="1:7">
      <c r="A579" s="6">
        <v>44104</v>
      </c>
      <c r="B579" s="98"/>
      <c r="C579" s="98" t="s">
        <v>261</v>
      </c>
      <c r="D579" s="100" t="s">
        <v>331</v>
      </c>
      <c r="E579" s="100" t="s">
        <v>259</v>
      </c>
      <c r="F579" s="100">
        <v>258.02999999999997</v>
      </c>
      <c r="G579" t="str">
        <f t="shared" ref="G579:G642" si="10">VLOOKUP(D579,L:N,3,0)</f>
        <v>固收型</v>
      </c>
    </row>
    <row r="580" spans="1:7">
      <c r="A580" s="6">
        <v>44104</v>
      </c>
      <c r="B580" s="98" t="s">
        <v>332</v>
      </c>
      <c r="C580" s="98" t="s">
        <v>254</v>
      </c>
      <c r="D580" s="100" t="s">
        <v>333</v>
      </c>
      <c r="E580" s="100" t="s">
        <v>256</v>
      </c>
      <c r="F580" s="100">
        <v>2568.92</v>
      </c>
      <c r="G580" t="str">
        <f t="shared" si="10"/>
        <v>固收型</v>
      </c>
    </row>
    <row r="581" spans="1:7">
      <c r="A581" s="6">
        <v>44104</v>
      </c>
      <c r="B581" s="98"/>
      <c r="C581" s="98" t="s">
        <v>274</v>
      </c>
      <c r="D581" s="100" t="s">
        <v>333</v>
      </c>
      <c r="E581" s="100" t="s">
        <v>256</v>
      </c>
      <c r="F581" s="100">
        <v>5212.33</v>
      </c>
      <c r="G581" t="str">
        <f t="shared" si="10"/>
        <v>固收型</v>
      </c>
    </row>
    <row r="582" spans="1:7">
      <c r="A582" s="6">
        <v>44104</v>
      </c>
      <c r="B582" s="98"/>
      <c r="C582" s="98" t="s">
        <v>265</v>
      </c>
      <c r="D582" s="100" t="s">
        <v>333</v>
      </c>
      <c r="E582" s="100" t="s">
        <v>256</v>
      </c>
      <c r="F582" s="100">
        <v>58</v>
      </c>
      <c r="G582" t="str">
        <f t="shared" si="10"/>
        <v>固收型</v>
      </c>
    </row>
    <row r="583" spans="1:7">
      <c r="A583" s="6">
        <v>44104</v>
      </c>
      <c r="B583" s="98"/>
      <c r="C583" s="98" t="s">
        <v>257</v>
      </c>
      <c r="D583" s="100" t="s">
        <v>333</v>
      </c>
      <c r="E583" s="100" t="s">
        <v>256</v>
      </c>
      <c r="F583" s="100">
        <v>132.49</v>
      </c>
      <c r="G583" t="str">
        <f t="shared" si="10"/>
        <v>固收型</v>
      </c>
    </row>
    <row r="584" spans="1:7">
      <c r="A584" s="6">
        <v>44104</v>
      </c>
      <c r="B584" s="98"/>
      <c r="C584" s="98" t="s">
        <v>276</v>
      </c>
      <c r="D584" s="100" t="s">
        <v>333</v>
      </c>
      <c r="E584" s="100" t="s">
        <v>256</v>
      </c>
      <c r="F584" s="100">
        <v>1982.52</v>
      </c>
      <c r="G584" t="str">
        <f t="shared" si="10"/>
        <v>固收型</v>
      </c>
    </row>
    <row r="585" spans="1:7">
      <c r="A585" s="6">
        <v>44104</v>
      </c>
      <c r="B585" s="98"/>
      <c r="C585" s="98" t="s">
        <v>283</v>
      </c>
      <c r="D585" s="100" t="s">
        <v>333</v>
      </c>
      <c r="E585" s="100" t="s">
        <v>256</v>
      </c>
      <c r="F585" s="100">
        <v>10.88</v>
      </c>
      <c r="G585" t="str">
        <f t="shared" si="10"/>
        <v>固收型</v>
      </c>
    </row>
    <row r="586" spans="1:7">
      <c r="A586" s="6">
        <v>44104</v>
      </c>
      <c r="B586" s="98"/>
      <c r="C586" s="98" t="s">
        <v>266</v>
      </c>
      <c r="D586" s="100" t="s">
        <v>333</v>
      </c>
      <c r="E586" s="100" t="s">
        <v>256</v>
      </c>
      <c r="F586" s="100">
        <v>207.22</v>
      </c>
      <c r="G586" t="str">
        <f t="shared" si="10"/>
        <v>固收型</v>
      </c>
    </row>
    <row r="587" spans="1:7">
      <c r="A587" s="6">
        <v>44104</v>
      </c>
      <c r="B587" s="98"/>
      <c r="C587" s="98" t="s">
        <v>289</v>
      </c>
      <c r="D587" s="100" t="s">
        <v>333</v>
      </c>
      <c r="E587" s="100" t="s">
        <v>259</v>
      </c>
      <c r="F587" s="100">
        <v>15545.57</v>
      </c>
      <c r="G587" t="str">
        <f t="shared" si="10"/>
        <v>固收型</v>
      </c>
    </row>
    <row r="588" spans="1:7">
      <c r="A588" s="6">
        <v>44104</v>
      </c>
      <c r="B588" s="98"/>
      <c r="C588" s="98" t="s">
        <v>267</v>
      </c>
      <c r="D588" s="100" t="s">
        <v>333</v>
      </c>
      <c r="E588" s="100" t="s">
        <v>259</v>
      </c>
      <c r="F588" s="100">
        <v>637</v>
      </c>
      <c r="G588" t="str">
        <f t="shared" si="10"/>
        <v>固收型</v>
      </c>
    </row>
    <row r="589" spans="1:7">
      <c r="A589" s="6">
        <v>44104</v>
      </c>
      <c r="B589" s="98"/>
      <c r="C589" s="98" t="s">
        <v>290</v>
      </c>
      <c r="D589" s="100" t="s">
        <v>333</v>
      </c>
      <c r="E589" s="100" t="s">
        <v>259</v>
      </c>
      <c r="F589" s="100">
        <v>2808.77</v>
      </c>
      <c r="G589" t="str">
        <f t="shared" si="10"/>
        <v>固收型</v>
      </c>
    </row>
    <row r="590" spans="1:7">
      <c r="A590" s="6">
        <v>44104</v>
      </c>
      <c r="B590" s="98"/>
      <c r="C590" s="98" t="s">
        <v>284</v>
      </c>
      <c r="D590" s="100" t="s">
        <v>333</v>
      </c>
      <c r="E590" s="100" t="s">
        <v>259</v>
      </c>
      <c r="F590" s="100">
        <v>2383.35</v>
      </c>
      <c r="G590" t="str">
        <f t="shared" si="10"/>
        <v>固收型</v>
      </c>
    </row>
    <row r="591" spans="1:7">
      <c r="A591" s="6">
        <v>44104</v>
      </c>
      <c r="B591" s="98"/>
      <c r="C591" s="98" t="s">
        <v>302</v>
      </c>
      <c r="D591" s="100" t="s">
        <v>333</v>
      </c>
      <c r="E591" s="100" t="s">
        <v>259</v>
      </c>
      <c r="F591" s="100">
        <v>374.13</v>
      </c>
      <c r="G591" t="str">
        <f t="shared" si="10"/>
        <v>固收型</v>
      </c>
    </row>
    <row r="592" spans="1:7">
      <c r="A592" s="6">
        <v>44104</v>
      </c>
      <c r="B592" s="98"/>
      <c r="C592" s="98" t="s">
        <v>268</v>
      </c>
      <c r="D592" s="100" t="s">
        <v>333</v>
      </c>
      <c r="E592" s="100" t="s">
        <v>259</v>
      </c>
      <c r="F592" s="100">
        <v>9210.23</v>
      </c>
      <c r="G592" t="str">
        <f t="shared" si="10"/>
        <v>固收型</v>
      </c>
    </row>
    <row r="593" spans="1:7">
      <c r="A593" s="6">
        <v>44104</v>
      </c>
      <c r="B593" s="98"/>
      <c r="C593" s="98" t="s">
        <v>277</v>
      </c>
      <c r="D593" s="100" t="s">
        <v>333</v>
      </c>
      <c r="E593" s="100" t="s">
        <v>259</v>
      </c>
      <c r="F593" s="100">
        <v>594.46</v>
      </c>
      <c r="G593" t="str">
        <f t="shared" si="10"/>
        <v>固收型</v>
      </c>
    </row>
    <row r="594" spans="1:7">
      <c r="A594" s="6">
        <v>44104</v>
      </c>
      <c r="B594" s="98"/>
      <c r="C594" s="98" t="s">
        <v>261</v>
      </c>
      <c r="D594" s="100" t="s">
        <v>333</v>
      </c>
      <c r="E594" s="100" t="s">
        <v>259</v>
      </c>
      <c r="F594" s="100">
        <v>257.95</v>
      </c>
      <c r="G594" t="str">
        <f t="shared" si="10"/>
        <v>固收型</v>
      </c>
    </row>
    <row r="595" spans="1:7">
      <c r="A595" s="6">
        <v>44104</v>
      </c>
      <c r="B595" s="98"/>
      <c r="C595" s="98" t="s">
        <v>286</v>
      </c>
      <c r="D595" s="100" t="s">
        <v>333</v>
      </c>
      <c r="E595" s="100" t="s">
        <v>259</v>
      </c>
      <c r="F595" s="100">
        <v>21371.88</v>
      </c>
      <c r="G595" t="str">
        <f t="shared" si="10"/>
        <v>固收型</v>
      </c>
    </row>
    <row r="596" spans="1:7">
      <c r="A596" s="6">
        <v>44104</v>
      </c>
      <c r="B596" s="98" t="s">
        <v>334</v>
      </c>
      <c r="C596" s="98" t="s">
        <v>265</v>
      </c>
      <c r="D596" s="100" t="s">
        <v>335</v>
      </c>
      <c r="E596" s="100" t="s">
        <v>256</v>
      </c>
      <c r="F596" s="100">
        <v>47.81</v>
      </c>
      <c r="G596" t="str">
        <f t="shared" si="10"/>
        <v>固收型</v>
      </c>
    </row>
    <row r="597" spans="1:7">
      <c r="A597" s="6">
        <v>44104</v>
      </c>
      <c r="B597" s="98"/>
      <c r="C597" s="98" t="s">
        <v>257</v>
      </c>
      <c r="D597" s="100" t="s">
        <v>335</v>
      </c>
      <c r="E597" s="100" t="s">
        <v>256</v>
      </c>
      <c r="F597" s="100">
        <v>3510.74</v>
      </c>
      <c r="G597" t="str">
        <f t="shared" si="10"/>
        <v>固收型</v>
      </c>
    </row>
    <row r="598" spans="1:7">
      <c r="A598" s="6">
        <v>44104</v>
      </c>
      <c r="B598" s="98"/>
      <c r="C598" s="98" t="s">
        <v>267</v>
      </c>
      <c r="D598" s="100" t="s">
        <v>335</v>
      </c>
      <c r="E598" s="100" t="s">
        <v>259</v>
      </c>
      <c r="F598" s="100">
        <v>7863.84</v>
      </c>
      <c r="G598" t="str">
        <f t="shared" si="10"/>
        <v>固收型</v>
      </c>
    </row>
    <row r="599" spans="1:7">
      <c r="A599" s="6">
        <v>44104</v>
      </c>
      <c r="B599" s="98"/>
      <c r="C599" s="98" t="s">
        <v>301</v>
      </c>
      <c r="D599" s="100" t="s">
        <v>335</v>
      </c>
      <c r="E599" s="100" t="s">
        <v>259</v>
      </c>
      <c r="F599" s="100">
        <v>11190.14</v>
      </c>
      <c r="G599" t="str">
        <f t="shared" si="10"/>
        <v>固收型</v>
      </c>
    </row>
    <row r="600" spans="1:7">
      <c r="A600" s="6">
        <v>44104</v>
      </c>
      <c r="B600" s="98"/>
      <c r="C600" s="98" t="s">
        <v>277</v>
      </c>
      <c r="D600" s="100" t="s">
        <v>335</v>
      </c>
      <c r="E600" s="100" t="s">
        <v>259</v>
      </c>
      <c r="F600" s="100">
        <v>565.89</v>
      </c>
      <c r="G600" t="str">
        <f t="shared" si="10"/>
        <v>固收型</v>
      </c>
    </row>
    <row r="601" spans="1:7">
      <c r="A601" s="6">
        <v>44104</v>
      </c>
      <c r="B601" s="98" t="s">
        <v>336</v>
      </c>
      <c r="C601" s="98" t="s">
        <v>263</v>
      </c>
      <c r="D601" s="100" t="s">
        <v>337</v>
      </c>
      <c r="E601" s="100" t="s">
        <v>256</v>
      </c>
      <c r="F601" s="100">
        <v>335.14</v>
      </c>
      <c r="G601" t="str">
        <f t="shared" si="10"/>
        <v>混合型</v>
      </c>
    </row>
    <row r="602" spans="1:7">
      <c r="A602" s="6">
        <v>44104</v>
      </c>
      <c r="B602" s="98"/>
      <c r="C602" s="98" t="s">
        <v>269</v>
      </c>
      <c r="D602" s="100" t="s">
        <v>337</v>
      </c>
      <c r="E602" s="100" t="s">
        <v>270</v>
      </c>
      <c r="F602" s="100">
        <v>41027.17</v>
      </c>
      <c r="G602" t="str">
        <f t="shared" si="10"/>
        <v>混合型</v>
      </c>
    </row>
    <row r="603" spans="1:7">
      <c r="A603" s="6">
        <v>44104</v>
      </c>
      <c r="B603" s="98"/>
      <c r="C603" s="98" t="s">
        <v>278</v>
      </c>
      <c r="D603" s="100" t="s">
        <v>337</v>
      </c>
      <c r="E603" s="100" t="s">
        <v>270</v>
      </c>
      <c r="F603" s="100">
        <v>19103.3</v>
      </c>
      <c r="G603" t="str">
        <f t="shared" si="10"/>
        <v>混合型</v>
      </c>
    </row>
    <row r="604" spans="1:7">
      <c r="A604" s="6">
        <v>44104</v>
      </c>
      <c r="B604" s="98"/>
      <c r="C604" s="98" t="s">
        <v>271</v>
      </c>
      <c r="D604" s="100" t="s">
        <v>337</v>
      </c>
      <c r="E604" s="100" t="s">
        <v>270</v>
      </c>
      <c r="F604" s="100">
        <v>32816.300000000003</v>
      </c>
      <c r="G604" t="str">
        <f t="shared" si="10"/>
        <v>混合型</v>
      </c>
    </row>
    <row r="605" spans="1:7">
      <c r="A605" s="6">
        <v>44104</v>
      </c>
      <c r="B605" s="98"/>
      <c r="C605" s="98" t="s">
        <v>272</v>
      </c>
      <c r="D605" s="100" t="s">
        <v>337</v>
      </c>
      <c r="E605" s="100" t="s">
        <v>270</v>
      </c>
      <c r="F605" s="100">
        <v>9472.7900000000009</v>
      </c>
      <c r="G605" t="str">
        <f t="shared" si="10"/>
        <v>混合型</v>
      </c>
    </row>
    <row r="606" spans="1:7">
      <c r="A606" s="6">
        <v>44104</v>
      </c>
      <c r="B606" s="98" t="s">
        <v>338</v>
      </c>
      <c r="C606" s="98" t="s">
        <v>254</v>
      </c>
      <c r="D606" s="100" t="s">
        <v>339</v>
      </c>
      <c r="E606" s="100" t="s">
        <v>256</v>
      </c>
      <c r="F606" s="100">
        <v>891.92</v>
      </c>
      <c r="G606" t="str">
        <f t="shared" si="10"/>
        <v>混合型</v>
      </c>
    </row>
    <row r="607" spans="1:7">
      <c r="A607" s="6">
        <v>44104</v>
      </c>
      <c r="B607" s="98"/>
      <c r="C607" s="98" t="s">
        <v>274</v>
      </c>
      <c r="D607" s="100" t="s">
        <v>339</v>
      </c>
      <c r="E607" s="100" t="s">
        <v>256</v>
      </c>
      <c r="F607" s="100">
        <v>4681.51</v>
      </c>
      <c r="G607" t="str">
        <f t="shared" si="10"/>
        <v>混合型</v>
      </c>
    </row>
    <row r="608" spans="1:7">
      <c r="A608" s="6">
        <v>44104</v>
      </c>
      <c r="B608" s="98"/>
      <c r="C608" s="98" t="s">
        <v>263</v>
      </c>
      <c r="D608" s="100" t="s">
        <v>339</v>
      </c>
      <c r="E608" s="100" t="s">
        <v>256</v>
      </c>
      <c r="F608" s="100">
        <v>2.97</v>
      </c>
      <c r="G608" t="str">
        <f t="shared" si="10"/>
        <v>混合型</v>
      </c>
    </row>
    <row r="609" spans="1:7">
      <c r="A609" s="6">
        <v>44104</v>
      </c>
      <c r="B609" s="98"/>
      <c r="C609" s="98" t="s">
        <v>257</v>
      </c>
      <c r="D609" s="100" t="s">
        <v>339</v>
      </c>
      <c r="E609" s="100" t="s">
        <v>256</v>
      </c>
      <c r="F609" s="100">
        <v>482.42</v>
      </c>
      <c r="G609" t="str">
        <f t="shared" si="10"/>
        <v>混合型</v>
      </c>
    </row>
    <row r="610" spans="1:7">
      <c r="A610" s="6">
        <v>44104</v>
      </c>
      <c r="B610" s="98"/>
      <c r="C610" s="98" t="s">
        <v>276</v>
      </c>
      <c r="D610" s="100" t="s">
        <v>339</v>
      </c>
      <c r="E610" s="100" t="s">
        <v>256</v>
      </c>
      <c r="F610" s="100">
        <v>358.49</v>
      </c>
      <c r="G610" t="str">
        <f t="shared" si="10"/>
        <v>混合型</v>
      </c>
    </row>
    <row r="611" spans="1:7">
      <c r="A611" s="6">
        <v>44104</v>
      </c>
      <c r="B611" s="98"/>
      <c r="C611" s="98" t="s">
        <v>283</v>
      </c>
      <c r="D611" s="100" t="s">
        <v>339</v>
      </c>
      <c r="E611" s="100" t="s">
        <v>256</v>
      </c>
      <c r="F611" s="100">
        <v>16.82</v>
      </c>
      <c r="G611" t="str">
        <f t="shared" si="10"/>
        <v>混合型</v>
      </c>
    </row>
    <row r="612" spans="1:7">
      <c r="A612" s="6">
        <v>44104</v>
      </c>
      <c r="B612" s="98"/>
      <c r="C612" s="98" t="s">
        <v>290</v>
      </c>
      <c r="D612" s="100" t="s">
        <v>339</v>
      </c>
      <c r="E612" s="100" t="s">
        <v>259</v>
      </c>
      <c r="F612" s="100">
        <v>1611.06</v>
      </c>
      <c r="G612" t="str">
        <f t="shared" si="10"/>
        <v>混合型</v>
      </c>
    </row>
    <row r="613" spans="1:7">
      <c r="A613" s="6">
        <v>44104</v>
      </c>
      <c r="B613" s="98"/>
      <c r="C613" s="98" t="s">
        <v>301</v>
      </c>
      <c r="D613" s="100" t="s">
        <v>339</v>
      </c>
      <c r="E613" s="100" t="s">
        <v>259</v>
      </c>
      <c r="F613" s="100">
        <v>2422.64</v>
      </c>
      <c r="G613" t="str">
        <f t="shared" si="10"/>
        <v>混合型</v>
      </c>
    </row>
    <row r="614" spans="1:7">
      <c r="A614" s="6">
        <v>44104</v>
      </c>
      <c r="B614" s="98"/>
      <c r="C614" s="98" t="s">
        <v>260</v>
      </c>
      <c r="D614" s="100" t="s">
        <v>339</v>
      </c>
      <c r="E614" s="100" t="s">
        <v>259</v>
      </c>
      <c r="F614" s="100">
        <v>3872.74</v>
      </c>
      <c r="G614" t="str">
        <f t="shared" si="10"/>
        <v>混合型</v>
      </c>
    </row>
    <row r="615" spans="1:7">
      <c r="A615" s="6">
        <v>44104</v>
      </c>
      <c r="B615" s="98"/>
      <c r="C615" s="98" t="s">
        <v>380</v>
      </c>
      <c r="D615" s="100" t="s">
        <v>339</v>
      </c>
      <c r="E615" s="100" t="s">
        <v>259</v>
      </c>
      <c r="F615" s="100">
        <v>5910.3</v>
      </c>
      <c r="G615" t="str">
        <f t="shared" si="10"/>
        <v>混合型</v>
      </c>
    </row>
    <row r="616" spans="1:7">
      <c r="A616" s="6">
        <v>44104</v>
      </c>
      <c r="B616" s="98"/>
      <c r="C616" s="98" t="s">
        <v>351</v>
      </c>
      <c r="D616" s="100" t="s">
        <v>339</v>
      </c>
      <c r="E616" s="100" t="s">
        <v>259</v>
      </c>
      <c r="F616" s="100">
        <v>768.44</v>
      </c>
      <c r="G616" t="str">
        <f t="shared" si="10"/>
        <v>混合型</v>
      </c>
    </row>
    <row r="617" spans="1:7">
      <c r="A617" s="6">
        <v>44104</v>
      </c>
      <c r="B617" s="98"/>
      <c r="C617" s="98" t="s">
        <v>278</v>
      </c>
      <c r="D617" s="100" t="s">
        <v>339</v>
      </c>
      <c r="E617" s="100" t="s">
        <v>270</v>
      </c>
      <c r="F617" s="100">
        <v>31988.39</v>
      </c>
      <c r="G617" t="str">
        <f t="shared" si="10"/>
        <v>混合型</v>
      </c>
    </row>
    <row r="618" spans="1:7">
      <c r="A618" s="6">
        <v>44104</v>
      </c>
      <c r="B618" s="98"/>
      <c r="C618" s="98" t="s">
        <v>286</v>
      </c>
      <c r="D618" s="100" t="s">
        <v>339</v>
      </c>
      <c r="E618" s="100" t="s">
        <v>259</v>
      </c>
      <c r="F618" s="100">
        <v>6178.81</v>
      </c>
      <c r="G618" t="str">
        <f t="shared" si="10"/>
        <v>混合型</v>
      </c>
    </row>
    <row r="619" spans="1:7">
      <c r="A619" s="6">
        <v>44104</v>
      </c>
      <c r="B619" s="98"/>
      <c r="C619" s="98" t="s">
        <v>381</v>
      </c>
      <c r="D619" s="100" t="s">
        <v>339</v>
      </c>
      <c r="E619" s="100" t="s">
        <v>256</v>
      </c>
      <c r="F619" s="100">
        <v>73.459999999999994</v>
      </c>
      <c r="G619" t="str">
        <f t="shared" si="10"/>
        <v>混合型</v>
      </c>
    </row>
    <row r="620" spans="1:7">
      <c r="A620" s="6">
        <v>44104</v>
      </c>
      <c r="B620" s="98"/>
      <c r="C620" s="98" t="s">
        <v>478</v>
      </c>
      <c r="D620" s="100" t="s">
        <v>339</v>
      </c>
      <c r="E620" s="100" t="s">
        <v>259</v>
      </c>
      <c r="F620" s="100">
        <v>821.98</v>
      </c>
      <c r="G620" t="str">
        <f t="shared" si="10"/>
        <v>混合型</v>
      </c>
    </row>
    <row r="621" spans="1:7">
      <c r="A621" s="6">
        <v>44104</v>
      </c>
      <c r="B621" s="98" t="s">
        <v>340</v>
      </c>
      <c r="C621" s="98" t="s">
        <v>274</v>
      </c>
      <c r="D621" s="100" t="s">
        <v>341</v>
      </c>
      <c r="E621" s="100" t="s">
        <v>256</v>
      </c>
      <c r="F621" s="100">
        <v>106.31</v>
      </c>
      <c r="G621" t="str">
        <f t="shared" si="10"/>
        <v>混合型</v>
      </c>
    </row>
    <row r="622" spans="1:7">
      <c r="A622" s="6">
        <v>44104</v>
      </c>
      <c r="B622" s="98"/>
      <c r="C622" s="98" t="s">
        <v>257</v>
      </c>
      <c r="D622" s="100" t="s">
        <v>341</v>
      </c>
      <c r="E622" s="100" t="s">
        <v>256</v>
      </c>
      <c r="F622" s="100">
        <v>527.65</v>
      </c>
      <c r="G622" t="str">
        <f t="shared" si="10"/>
        <v>混合型</v>
      </c>
    </row>
    <row r="623" spans="1:7">
      <c r="A623" s="6">
        <v>44104</v>
      </c>
      <c r="B623" s="98"/>
      <c r="C623" s="98" t="s">
        <v>276</v>
      </c>
      <c r="D623" s="100" t="s">
        <v>341</v>
      </c>
      <c r="E623" s="100" t="s">
        <v>256</v>
      </c>
      <c r="F623" s="100">
        <v>238.16</v>
      </c>
      <c r="G623" t="str">
        <f t="shared" si="10"/>
        <v>混合型</v>
      </c>
    </row>
    <row r="624" spans="1:7">
      <c r="A624" s="6">
        <v>44104</v>
      </c>
      <c r="B624" s="98"/>
      <c r="C624" s="98" t="s">
        <v>283</v>
      </c>
      <c r="D624" s="100" t="s">
        <v>341</v>
      </c>
      <c r="E624" s="100" t="s">
        <v>256</v>
      </c>
      <c r="F624" s="100">
        <v>5.73</v>
      </c>
      <c r="G624" t="str">
        <f t="shared" si="10"/>
        <v>混合型</v>
      </c>
    </row>
    <row r="625" spans="1:7">
      <c r="A625" s="6">
        <v>44104</v>
      </c>
      <c r="B625" s="98"/>
      <c r="C625" s="98" t="s">
        <v>266</v>
      </c>
      <c r="D625" s="100" t="s">
        <v>341</v>
      </c>
      <c r="E625" s="100" t="s">
        <v>256</v>
      </c>
      <c r="F625" s="100">
        <v>256.14</v>
      </c>
      <c r="G625" t="str">
        <f t="shared" si="10"/>
        <v>混合型</v>
      </c>
    </row>
    <row r="626" spans="1:7">
      <c r="A626" s="6">
        <v>44104</v>
      </c>
      <c r="B626" s="98"/>
      <c r="C626" s="98" t="s">
        <v>267</v>
      </c>
      <c r="D626" s="100" t="s">
        <v>341</v>
      </c>
      <c r="E626" s="100" t="s">
        <v>259</v>
      </c>
      <c r="F626" s="100">
        <v>7029.07</v>
      </c>
      <c r="G626" t="str">
        <f t="shared" si="10"/>
        <v>混合型</v>
      </c>
    </row>
    <row r="627" spans="1:7">
      <c r="A627" s="6">
        <v>44104</v>
      </c>
      <c r="B627" s="98"/>
      <c r="C627" s="98" t="s">
        <v>301</v>
      </c>
      <c r="D627" s="100" t="s">
        <v>341</v>
      </c>
      <c r="E627" s="100" t="s">
        <v>259</v>
      </c>
      <c r="F627" s="100">
        <v>8580.9699999999993</v>
      </c>
      <c r="G627" t="str">
        <f t="shared" si="10"/>
        <v>混合型</v>
      </c>
    </row>
    <row r="628" spans="1:7">
      <c r="A628" s="6">
        <v>44104</v>
      </c>
      <c r="B628" s="98"/>
      <c r="C628" s="98" t="s">
        <v>258</v>
      </c>
      <c r="D628" s="100" t="s">
        <v>341</v>
      </c>
      <c r="E628" s="100" t="s">
        <v>259</v>
      </c>
      <c r="F628" s="100">
        <v>12290.83</v>
      </c>
      <c r="G628" t="str">
        <f t="shared" si="10"/>
        <v>混合型</v>
      </c>
    </row>
    <row r="629" spans="1:7">
      <c r="A629" s="6">
        <v>44104</v>
      </c>
      <c r="B629" s="98"/>
      <c r="C629" s="98" t="s">
        <v>277</v>
      </c>
      <c r="D629" s="100" t="s">
        <v>341</v>
      </c>
      <c r="E629" s="100" t="s">
        <v>259</v>
      </c>
      <c r="F629" s="100">
        <v>1237.48</v>
      </c>
      <c r="G629" t="str">
        <f t="shared" si="10"/>
        <v>混合型</v>
      </c>
    </row>
    <row r="630" spans="1:7">
      <c r="A630" s="6">
        <v>44104</v>
      </c>
      <c r="B630" s="98"/>
      <c r="C630" s="98" t="s">
        <v>278</v>
      </c>
      <c r="D630" s="100" t="s">
        <v>341</v>
      </c>
      <c r="E630" s="100" t="s">
        <v>270</v>
      </c>
      <c r="F630" s="100">
        <v>17573.86</v>
      </c>
      <c r="G630" t="str">
        <f t="shared" si="10"/>
        <v>混合型</v>
      </c>
    </row>
    <row r="631" spans="1:7">
      <c r="A631" s="6">
        <v>44104</v>
      </c>
      <c r="B631" s="98"/>
      <c r="C631" s="98" t="s">
        <v>261</v>
      </c>
      <c r="D631" s="100" t="s">
        <v>341</v>
      </c>
      <c r="E631" s="100" t="s">
        <v>259</v>
      </c>
      <c r="F631" s="100">
        <v>233.06</v>
      </c>
      <c r="G631" t="str">
        <f t="shared" si="10"/>
        <v>混合型</v>
      </c>
    </row>
    <row r="632" spans="1:7">
      <c r="A632" s="6">
        <v>44104</v>
      </c>
      <c r="B632" s="98"/>
      <c r="C632" s="98" t="s">
        <v>286</v>
      </c>
      <c r="D632" s="100" t="s">
        <v>341</v>
      </c>
      <c r="E632" s="100" t="s">
        <v>259</v>
      </c>
      <c r="F632" s="100">
        <v>12113.68</v>
      </c>
      <c r="G632" t="str">
        <f t="shared" si="10"/>
        <v>混合型</v>
      </c>
    </row>
    <row r="633" spans="1:7">
      <c r="A633" s="6">
        <v>44104</v>
      </c>
      <c r="B633" s="98" t="s">
        <v>342</v>
      </c>
      <c r="C633" s="98" t="s">
        <v>274</v>
      </c>
      <c r="D633" s="100" t="s">
        <v>343</v>
      </c>
      <c r="E633" s="100" t="s">
        <v>256</v>
      </c>
      <c r="F633" s="100">
        <v>112.77</v>
      </c>
      <c r="G633" t="str">
        <f t="shared" si="10"/>
        <v>股票型</v>
      </c>
    </row>
    <row r="634" spans="1:7">
      <c r="A634" s="6">
        <v>44104</v>
      </c>
      <c r="B634" s="98"/>
      <c r="C634" s="98" t="s">
        <v>265</v>
      </c>
      <c r="D634" s="100" t="s">
        <v>343</v>
      </c>
      <c r="E634" s="100" t="s">
        <v>256</v>
      </c>
      <c r="F634" s="100">
        <v>113.53</v>
      </c>
      <c r="G634" t="str">
        <f t="shared" si="10"/>
        <v>股票型</v>
      </c>
    </row>
    <row r="635" spans="1:7">
      <c r="A635" s="6">
        <v>44104</v>
      </c>
      <c r="B635" s="98"/>
      <c r="C635" s="98" t="s">
        <v>257</v>
      </c>
      <c r="D635" s="100" t="s">
        <v>343</v>
      </c>
      <c r="E635" s="100" t="s">
        <v>256</v>
      </c>
      <c r="F635" s="100">
        <v>49.06</v>
      </c>
      <c r="G635" t="str">
        <f t="shared" si="10"/>
        <v>股票型</v>
      </c>
    </row>
    <row r="636" spans="1:7">
      <c r="A636" s="6">
        <v>44104</v>
      </c>
      <c r="B636" s="98" t="s">
        <v>344</v>
      </c>
      <c r="C636" s="98" t="s">
        <v>254</v>
      </c>
      <c r="D636" s="100" t="s">
        <v>345</v>
      </c>
      <c r="E636" s="100" t="s">
        <v>256</v>
      </c>
      <c r="F636" s="100">
        <v>650.41</v>
      </c>
      <c r="G636" t="str">
        <f t="shared" si="10"/>
        <v>股票型</v>
      </c>
    </row>
    <row r="637" spans="1:7">
      <c r="A637" s="6">
        <v>44104</v>
      </c>
      <c r="B637" s="98"/>
      <c r="C637" s="98" t="s">
        <v>257</v>
      </c>
      <c r="D637" s="100" t="s">
        <v>345</v>
      </c>
      <c r="E637" s="100" t="s">
        <v>256</v>
      </c>
      <c r="F637" s="100">
        <v>5.62</v>
      </c>
      <c r="G637" t="str">
        <f t="shared" si="10"/>
        <v>股票型</v>
      </c>
    </row>
    <row r="638" spans="1:7">
      <c r="A638" s="6">
        <v>44104</v>
      </c>
      <c r="B638" s="98"/>
      <c r="C638" s="98" t="s">
        <v>260</v>
      </c>
      <c r="D638" s="100" t="s">
        <v>345</v>
      </c>
      <c r="E638" s="100" t="s">
        <v>259</v>
      </c>
      <c r="F638" s="100">
        <v>3266.26</v>
      </c>
      <c r="G638" t="str">
        <f t="shared" si="10"/>
        <v>股票型</v>
      </c>
    </row>
    <row r="639" spans="1:7">
      <c r="A639" s="6">
        <v>44104</v>
      </c>
      <c r="B639" s="98"/>
      <c r="C639" s="98" t="s">
        <v>286</v>
      </c>
      <c r="D639" s="100" t="s">
        <v>345</v>
      </c>
      <c r="E639" s="100" t="s">
        <v>259</v>
      </c>
      <c r="F639" s="100">
        <v>4208.13</v>
      </c>
      <c r="G639" t="str">
        <f t="shared" si="10"/>
        <v>股票型</v>
      </c>
    </row>
    <row r="640" spans="1:7">
      <c r="A640" s="6">
        <v>44104</v>
      </c>
      <c r="B640" s="98" t="s">
        <v>346</v>
      </c>
      <c r="C640" s="98" t="s">
        <v>254</v>
      </c>
      <c r="D640" s="100" t="s">
        <v>347</v>
      </c>
      <c r="E640" s="100" t="s">
        <v>256</v>
      </c>
      <c r="F640" s="100">
        <v>1418.93</v>
      </c>
      <c r="G640" t="str">
        <f t="shared" si="10"/>
        <v>股票型</v>
      </c>
    </row>
    <row r="641" spans="1:7">
      <c r="A641" s="6">
        <v>44104</v>
      </c>
      <c r="B641" s="98"/>
      <c r="C641" s="98" t="s">
        <v>274</v>
      </c>
      <c r="D641" s="100" t="s">
        <v>347</v>
      </c>
      <c r="E641" s="100" t="s">
        <v>256</v>
      </c>
      <c r="F641" s="100">
        <v>1226.96</v>
      </c>
      <c r="G641" t="str">
        <f t="shared" si="10"/>
        <v>股票型</v>
      </c>
    </row>
    <row r="642" spans="1:7">
      <c r="A642" s="6">
        <v>44104</v>
      </c>
      <c r="B642" s="98"/>
      <c r="C642" s="98" t="s">
        <v>263</v>
      </c>
      <c r="D642" s="100" t="s">
        <v>347</v>
      </c>
      <c r="E642" s="100" t="s">
        <v>256</v>
      </c>
      <c r="F642" s="100">
        <v>31.66</v>
      </c>
      <c r="G642" t="str">
        <f t="shared" si="10"/>
        <v>股票型</v>
      </c>
    </row>
    <row r="643" spans="1:7">
      <c r="A643" s="6">
        <v>44104</v>
      </c>
      <c r="B643" s="98"/>
      <c r="C643" s="98" t="s">
        <v>265</v>
      </c>
      <c r="D643" s="100" t="s">
        <v>347</v>
      </c>
      <c r="E643" s="100" t="s">
        <v>256</v>
      </c>
      <c r="F643" s="100">
        <v>70.87</v>
      </c>
      <c r="G643" t="str">
        <f t="shared" ref="G643:G706" si="11">VLOOKUP(D643,L:N,3,0)</f>
        <v>股票型</v>
      </c>
    </row>
    <row r="644" spans="1:7">
      <c r="A644" s="6">
        <v>44104</v>
      </c>
      <c r="B644" s="98"/>
      <c r="C644" s="98" t="s">
        <v>257</v>
      </c>
      <c r="D644" s="100" t="s">
        <v>347</v>
      </c>
      <c r="E644" s="100" t="s">
        <v>256</v>
      </c>
      <c r="F644" s="100">
        <v>224.34</v>
      </c>
      <c r="G644" t="str">
        <f t="shared" si="11"/>
        <v>股票型</v>
      </c>
    </row>
    <row r="645" spans="1:7">
      <c r="A645" s="6">
        <v>44104</v>
      </c>
      <c r="B645" s="98"/>
      <c r="C645" s="98" t="s">
        <v>266</v>
      </c>
      <c r="D645" s="100" t="s">
        <v>347</v>
      </c>
      <c r="E645" s="100" t="s">
        <v>256</v>
      </c>
      <c r="F645" s="100">
        <v>70.83</v>
      </c>
      <c r="G645" t="str">
        <f t="shared" si="11"/>
        <v>股票型</v>
      </c>
    </row>
    <row r="646" spans="1:7">
      <c r="A646" s="6">
        <v>44104</v>
      </c>
      <c r="B646" s="98"/>
      <c r="C646" s="98" t="s">
        <v>267</v>
      </c>
      <c r="D646" s="100" t="s">
        <v>347</v>
      </c>
      <c r="E646" s="100" t="s">
        <v>259</v>
      </c>
      <c r="F646" s="100">
        <v>21312.87</v>
      </c>
      <c r="G646" t="str">
        <f t="shared" si="11"/>
        <v>股票型</v>
      </c>
    </row>
    <row r="647" spans="1:7">
      <c r="A647" s="6">
        <v>44104</v>
      </c>
      <c r="B647" s="98"/>
      <c r="C647" s="98" t="s">
        <v>301</v>
      </c>
      <c r="D647" s="100" t="s">
        <v>347</v>
      </c>
      <c r="E647" s="100" t="s">
        <v>259</v>
      </c>
      <c r="F647" s="100">
        <v>36418.28</v>
      </c>
      <c r="G647" t="str">
        <f t="shared" si="11"/>
        <v>股票型</v>
      </c>
    </row>
    <row r="648" spans="1:7">
      <c r="A648" s="6">
        <v>44104</v>
      </c>
      <c r="B648" s="98"/>
      <c r="C648" s="98" t="s">
        <v>260</v>
      </c>
      <c r="D648" s="100" t="s">
        <v>347</v>
      </c>
      <c r="E648" s="100" t="s">
        <v>259</v>
      </c>
      <c r="F648" s="100">
        <v>4771.3100000000004</v>
      </c>
      <c r="G648" t="str">
        <f t="shared" si="11"/>
        <v>股票型</v>
      </c>
    </row>
    <row r="649" spans="1:7">
      <c r="A649" s="6">
        <v>44104</v>
      </c>
      <c r="B649" s="98"/>
      <c r="C649" s="98" t="s">
        <v>272</v>
      </c>
      <c r="D649" s="100" t="s">
        <v>347</v>
      </c>
      <c r="E649" s="100" t="s">
        <v>270</v>
      </c>
      <c r="F649" s="100">
        <v>11419.63</v>
      </c>
      <c r="G649" t="str">
        <f t="shared" si="11"/>
        <v>股票型</v>
      </c>
    </row>
    <row r="650" spans="1:7">
      <c r="A650" s="6">
        <v>44104</v>
      </c>
      <c r="B650" s="98" t="s">
        <v>348</v>
      </c>
      <c r="C650" s="98" t="s">
        <v>265</v>
      </c>
      <c r="D650" s="100" t="s">
        <v>349</v>
      </c>
      <c r="E650" s="100" t="s">
        <v>256</v>
      </c>
      <c r="F650" s="100">
        <v>43.52</v>
      </c>
      <c r="G650" t="str">
        <f t="shared" si="11"/>
        <v>固收型</v>
      </c>
    </row>
    <row r="651" spans="1:7">
      <c r="A651" s="6">
        <v>44104</v>
      </c>
      <c r="B651" s="98"/>
      <c r="C651" s="98" t="s">
        <v>257</v>
      </c>
      <c r="D651" s="100" t="s">
        <v>349</v>
      </c>
      <c r="E651" s="100" t="s">
        <v>256</v>
      </c>
      <c r="F651" s="100">
        <v>25.2</v>
      </c>
      <c r="G651" t="str">
        <f t="shared" si="11"/>
        <v>固收型</v>
      </c>
    </row>
    <row r="652" spans="1:7">
      <c r="A652" s="6">
        <v>44104</v>
      </c>
      <c r="B652" s="98"/>
      <c r="C652" s="98" t="s">
        <v>267</v>
      </c>
      <c r="D652" s="100" t="s">
        <v>349</v>
      </c>
      <c r="E652" s="100" t="s">
        <v>259</v>
      </c>
      <c r="F652" s="100">
        <v>5277.06</v>
      </c>
      <c r="G652" t="str">
        <f t="shared" si="11"/>
        <v>固收型</v>
      </c>
    </row>
    <row r="653" spans="1:7">
      <c r="A653" s="6">
        <v>44104</v>
      </c>
      <c r="B653" s="98"/>
      <c r="C653" s="98" t="s">
        <v>268</v>
      </c>
      <c r="D653" s="100" t="s">
        <v>349</v>
      </c>
      <c r="E653" s="100" t="s">
        <v>259</v>
      </c>
      <c r="F653" s="100">
        <v>6703.45</v>
      </c>
      <c r="G653" t="str">
        <f t="shared" si="11"/>
        <v>固收型</v>
      </c>
    </row>
    <row r="654" spans="1:7">
      <c r="A654" s="6">
        <v>44104</v>
      </c>
      <c r="B654" s="98"/>
      <c r="C654" s="98" t="s">
        <v>351</v>
      </c>
      <c r="D654" s="100" t="s">
        <v>349</v>
      </c>
      <c r="E654" s="100" t="s">
        <v>259</v>
      </c>
      <c r="F654" s="100">
        <v>151.22999999999999</v>
      </c>
      <c r="G654" t="str">
        <f t="shared" si="11"/>
        <v>固收型</v>
      </c>
    </row>
    <row r="655" spans="1:7">
      <c r="A655" s="6">
        <v>44104</v>
      </c>
      <c r="B655" s="98"/>
      <c r="C655" s="98" t="s">
        <v>277</v>
      </c>
      <c r="D655" s="100" t="s">
        <v>349</v>
      </c>
      <c r="E655" s="100" t="s">
        <v>259</v>
      </c>
      <c r="F655" s="100">
        <v>590.39</v>
      </c>
      <c r="G655" t="str">
        <f t="shared" si="11"/>
        <v>固收型</v>
      </c>
    </row>
    <row r="656" spans="1:7">
      <c r="A656" s="6">
        <v>44104</v>
      </c>
      <c r="B656" s="98" t="s">
        <v>352</v>
      </c>
      <c r="C656" s="98" t="s">
        <v>257</v>
      </c>
      <c r="D656" s="100" t="s">
        <v>353</v>
      </c>
      <c r="E656" s="100" t="s">
        <v>256</v>
      </c>
      <c r="F656" s="100">
        <v>21.39</v>
      </c>
      <c r="G656" t="str">
        <f t="shared" si="11"/>
        <v>保险产品</v>
      </c>
    </row>
    <row r="657" spans="1:7">
      <c r="A657" s="6">
        <v>44104</v>
      </c>
      <c r="B657" s="98" t="s">
        <v>354</v>
      </c>
      <c r="C657" s="98" t="s">
        <v>263</v>
      </c>
      <c r="D657" s="100" t="s">
        <v>355</v>
      </c>
      <c r="E657" s="100" t="s">
        <v>256</v>
      </c>
      <c r="F657" s="100">
        <v>2.0299999999999998</v>
      </c>
      <c r="G657" t="str">
        <f t="shared" si="11"/>
        <v>混合型</v>
      </c>
    </row>
    <row r="658" spans="1:7">
      <c r="A658" s="6">
        <v>44104</v>
      </c>
      <c r="B658" s="98"/>
      <c r="C658" s="98" t="s">
        <v>266</v>
      </c>
      <c r="D658" s="100" t="s">
        <v>355</v>
      </c>
      <c r="E658" s="100" t="s">
        <v>256</v>
      </c>
      <c r="F658" s="100">
        <v>249.96</v>
      </c>
      <c r="G658" t="str">
        <f t="shared" si="11"/>
        <v>混合型</v>
      </c>
    </row>
    <row r="659" spans="1:7">
      <c r="A659" s="6">
        <v>44104</v>
      </c>
      <c r="B659" s="98"/>
      <c r="C659" s="98" t="s">
        <v>278</v>
      </c>
      <c r="D659" s="100" t="s">
        <v>355</v>
      </c>
      <c r="E659" s="100" t="s">
        <v>270</v>
      </c>
      <c r="F659" s="100">
        <v>3027.92</v>
      </c>
      <c r="G659" t="str">
        <f t="shared" si="11"/>
        <v>混合型</v>
      </c>
    </row>
    <row r="660" spans="1:7">
      <c r="A660" s="6">
        <v>44104</v>
      </c>
      <c r="B660" s="98"/>
      <c r="C660" s="98" t="s">
        <v>286</v>
      </c>
      <c r="D660" s="100" t="s">
        <v>355</v>
      </c>
      <c r="E660" s="100" t="s">
        <v>259</v>
      </c>
      <c r="F660" s="100">
        <v>3596.06</v>
      </c>
      <c r="G660" t="str">
        <f t="shared" si="11"/>
        <v>混合型</v>
      </c>
    </row>
    <row r="661" spans="1:7">
      <c r="A661" s="6">
        <v>44104</v>
      </c>
      <c r="B661" s="98" t="s">
        <v>356</v>
      </c>
      <c r="C661" s="98" t="s">
        <v>274</v>
      </c>
      <c r="D661" s="100" t="s">
        <v>357</v>
      </c>
      <c r="E661" s="100" t="s">
        <v>256</v>
      </c>
      <c r="F661" s="100">
        <v>238.72</v>
      </c>
      <c r="G661" t="str">
        <f t="shared" si="11"/>
        <v>基础设施债权</v>
      </c>
    </row>
    <row r="662" spans="1:7">
      <c r="A662" s="6">
        <v>44104</v>
      </c>
      <c r="B662" s="98"/>
      <c r="C662" s="98" t="s">
        <v>257</v>
      </c>
      <c r="D662" s="100" t="s">
        <v>357</v>
      </c>
      <c r="E662" s="100" t="s">
        <v>256</v>
      </c>
      <c r="F662" s="100">
        <v>85.8</v>
      </c>
      <c r="G662" t="str">
        <f t="shared" si="11"/>
        <v>基础设施债权</v>
      </c>
    </row>
    <row r="663" spans="1:7">
      <c r="A663" s="6">
        <v>44104</v>
      </c>
      <c r="B663" s="98" t="s">
        <v>358</v>
      </c>
      <c r="C663" s="98" t="s">
        <v>257</v>
      </c>
      <c r="D663" s="100" t="s">
        <v>359</v>
      </c>
      <c r="E663" s="100" t="s">
        <v>256</v>
      </c>
      <c r="F663" s="100">
        <v>12.97</v>
      </c>
      <c r="G663" t="str">
        <f t="shared" si="11"/>
        <v>基础设施债权</v>
      </c>
    </row>
    <row r="664" spans="1:7">
      <c r="A664" s="6">
        <v>44104</v>
      </c>
      <c r="B664" s="98" t="s">
        <v>360</v>
      </c>
      <c r="C664" s="98" t="s">
        <v>254</v>
      </c>
      <c r="D664" s="100" t="s">
        <v>361</v>
      </c>
      <c r="E664" s="100" t="s">
        <v>256</v>
      </c>
      <c r="F664" s="100">
        <v>108.96</v>
      </c>
      <c r="G664" t="str">
        <f t="shared" si="11"/>
        <v>存款型</v>
      </c>
    </row>
    <row r="665" spans="1:7">
      <c r="A665" s="6">
        <v>44104</v>
      </c>
      <c r="B665" s="98"/>
      <c r="C665" s="98" t="s">
        <v>274</v>
      </c>
      <c r="D665" s="100" t="s">
        <v>361</v>
      </c>
      <c r="E665" s="100" t="s">
        <v>256</v>
      </c>
      <c r="F665" s="100">
        <v>72.09</v>
      </c>
      <c r="G665" t="str">
        <f t="shared" si="11"/>
        <v>存款型</v>
      </c>
    </row>
    <row r="666" spans="1:7">
      <c r="A666" s="6">
        <v>44104</v>
      </c>
      <c r="B666" s="98"/>
      <c r="C666" s="98" t="s">
        <v>276</v>
      </c>
      <c r="D666" s="100" t="s">
        <v>361</v>
      </c>
      <c r="E666" s="100" t="s">
        <v>256</v>
      </c>
      <c r="F666" s="100">
        <v>48.44</v>
      </c>
      <c r="G666" t="str">
        <f t="shared" si="11"/>
        <v>存款型</v>
      </c>
    </row>
    <row r="667" spans="1:7">
      <c r="A667" s="6">
        <v>44104</v>
      </c>
      <c r="B667" s="98" t="s">
        <v>362</v>
      </c>
      <c r="C667" s="98" t="s">
        <v>254</v>
      </c>
      <c r="D667" s="100" t="s">
        <v>363</v>
      </c>
      <c r="E667" s="100" t="s">
        <v>256</v>
      </c>
      <c r="F667" s="100">
        <v>95.18</v>
      </c>
      <c r="G667" t="str">
        <f t="shared" si="11"/>
        <v>存款型</v>
      </c>
    </row>
    <row r="668" spans="1:7">
      <c r="A668" s="6">
        <v>44104</v>
      </c>
      <c r="B668" s="98"/>
      <c r="C668" s="98" t="s">
        <v>257</v>
      </c>
      <c r="D668" s="100" t="s">
        <v>363</v>
      </c>
      <c r="E668" s="100" t="s">
        <v>256</v>
      </c>
      <c r="F668" s="100">
        <v>139.47</v>
      </c>
      <c r="G668" t="str">
        <f t="shared" si="11"/>
        <v>存款型</v>
      </c>
    </row>
    <row r="669" spans="1:7">
      <c r="A669" s="6">
        <v>44104</v>
      </c>
      <c r="B669" s="98"/>
      <c r="C669" s="98" t="s">
        <v>303</v>
      </c>
      <c r="D669" s="100" t="s">
        <v>363</v>
      </c>
      <c r="E669" s="100" t="s">
        <v>259</v>
      </c>
      <c r="F669" s="100">
        <v>230.15</v>
      </c>
      <c r="G669" t="str">
        <f t="shared" si="11"/>
        <v>存款型</v>
      </c>
    </row>
    <row r="670" spans="1:7">
      <c r="A670" s="6">
        <v>44104</v>
      </c>
      <c r="B670" s="98" t="s">
        <v>364</v>
      </c>
      <c r="C670" s="98" t="s">
        <v>257</v>
      </c>
      <c r="D670" s="100" t="s">
        <v>365</v>
      </c>
      <c r="E670" s="100" t="s">
        <v>256</v>
      </c>
      <c r="F670" s="100">
        <v>0.05</v>
      </c>
      <c r="G670" t="str">
        <f t="shared" si="11"/>
        <v>存款型</v>
      </c>
    </row>
    <row r="671" spans="1:7">
      <c r="A671" s="6">
        <v>44104</v>
      </c>
      <c r="B671" s="98" t="s">
        <v>366</v>
      </c>
      <c r="C671" s="98" t="s">
        <v>367</v>
      </c>
      <c r="D671" s="100" t="s">
        <v>368</v>
      </c>
      <c r="E671" s="100" t="s">
        <v>259</v>
      </c>
      <c r="F671" s="100">
        <v>899.15</v>
      </c>
      <c r="G671" t="str">
        <f t="shared" si="11"/>
        <v>存款型</v>
      </c>
    </row>
    <row r="672" spans="1:7">
      <c r="A672" s="6">
        <v>44104</v>
      </c>
      <c r="B672" s="98" t="s">
        <v>369</v>
      </c>
      <c r="C672" s="98" t="s">
        <v>260</v>
      </c>
      <c r="D672" s="100" t="s">
        <v>370</v>
      </c>
      <c r="E672" s="100" t="s">
        <v>259</v>
      </c>
      <c r="F672" s="100">
        <v>19691.490000000002</v>
      </c>
      <c r="G672" t="str">
        <f t="shared" si="11"/>
        <v>固收型</v>
      </c>
    </row>
    <row r="673" spans="1:7">
      <c r="A673" s="6">
        <v>44104</v>
      </c>
      <c r="B673" s="98"/>
      <c r="C673" s="98" t="s">
        <v>302</v>
      </c>
      <c r="D673" s="100" t="s">
        <v>370</v>
      </c>
      <c r="E673" s="100" t="s">
        <v>259</v>
      </c>
      <c r="F673" s="100">
        <v>5053.66</v>
      </c>
      <c r="G673" t="str">
        <f t="shared" si="11"/>
        <v>固收型</v>
      </c>
    </row>
    <row r="674" spans="1:7">
      <c r="A674" s="6">
        <v>44104</v>
      </c>
      <c r="B674" s="98" t="s">
        <v>371</v>
      </c>
      <c r="C674" s="98" t="s">
        <v>254</v>
      </c>
      <c r="D674" s="100" t="s">
        <v>372</v>
      </c>
      <c r="E674" s="100" t="s">
        <v>256</v>
      </c>
      <c r="F674" s="100">
        <v>47.86</v>
      </c>
      <c r="G674" t="str">
        <f t="shared" si="11"/>
        <v>固收型</v>
      </c>
    </row>
    <row r="675" spans="1:7">
      <c r="A675" s="6">
        <v>44104</v>
      </c>
      <c r="B675" s="98"/>
      <c r="C675" s="98" t="s">
        <v>274</v>
      </c>
      <c r="D675" s="100" t="s">
        <v>372</v>
      </c>
      <c r="E675" s="100" t="s">
        <v>256</v>
      </c>
      <c r="F675" s="100">
        <v>54.42</v>
      </c>
      <c r="G675" t="str">
        <f t="shared" si="11"/>
        <v>固收型</v>
      </c>
    </row>
    <row r="676" spans="1:7">
      <c r="A676" s="6">
        <v>44104</v>
      </c>
      <c r="B676" s="98"/>
      <c r="C676" s="98" t="s">
        <v>263</v>
      </c>
      <c r="D676" s="100" t="s">
        <v>372</v>
      </c>
      <c r="E676" s="100" t="s">
        <v>256</v>
      </c>
      <c r="F676" s="100">
        <v>14.27</v>
      </c>
      <c r="G676" t="str">
        <f t="shared" si="11"/>
        <v>固收型</v>
      </c>
    </row>
    <row r="677" spans="1:7">
      <c r="A677" s="6">
        <v>44104</v>
      </c>
      <c r="B677" s="98"/>
      <c r="C677" s="98" t="s">
        <v>257</v>
      </c>
      <c r="D677" s="100" t="s">
        <v>372</v>
      </c>
      <c r="E677" s="100" t="s">
        <v>256</v>
      </c>
      <c r="F677" s="100">
        <v>528.72</v>
      </c>
      <c r="G677" t="str">
        <f t="shared" si="11"/>
        <v>固收型</v>
      </c>
    </row>
    <row r="678" spans="1:7">
      <c r="A678" s="6">
        <v>44104</v>
      </c>
      <c r="B678" s="98"/>
      <c r="C678" s="98" t="s">
        <v>301</v>
      </c>
      <c r="D678" s="100" t="s">
        <v>372</v>
      </c>
      <c r="E678" s="100" t="s">
        <v>259</v>
      </c>
      <c r="F678" s="100">
        <v>517.85</v>
      </c>
      <c r="G678" t="str">
        <f t="shared" si="11"/>
        <v>固收型</v>
      </c>
    </row>
    <row r="679" spans="1:7">
      <c r="A679" s="6">
        <v>44104</v>
      </c>
      <c r="B679" s="98" t="s">
        <v>373</v>
      </c>
      <c r="C679" s="98" t="s">
        <v>276</v>
      </c>
      <c r="D679" s="100" t="s">
        <v>374</v>
      </c>
      <c r="E679" s="100" t="s">
        <v>256</v>
      </c>
      <c r="F679" s="100">
        <v>93.24</v>
      </c>
      <c r="G679" t="str">
        <f t="shared" si="11"/>
        <v>固收型</v>
      </c>
    </row>
    <row r="680" spans="1:7">
      <c r="A680" s="6">
        <v>44104</v>
      </c>
      <c r="B680" s="98"/>
      <c r="C680" s="98" t="s">
        <v>260</v>
      </c>
      <c r="D680" s="100" t="s">
        <v>374</v>
      </c>
      <c r="E680" s="100" t="s">
        <v>259</v>
      </c>
      <c r="F680" s="100">
        <v>9259</v>
      </c>
      <c r="G680" t="str">
        <f t="shared" si="11"/>
        <v>固收型</v>
      </c>
    </row>
    <row r="681" spans="1:7">
      <c r="A681" s="6">
        <v>44104</v>
      </c>
      <c r="B681" s="98"/>
      <c r="C681" s="98" t="s">
        <v>302</v>
      </c>
      <c r="D681" s="100" t="s">
        <v>374</v>
      </c>
      <c r="E681" s="100" t="s">
        <v>259</v>
      </c>
      <c r="F681" s="100">
        <v>2880.53</v>
      </c>
      <c r="G681" t="str">
        <f t="shared" si="11"/>
        <v>固收型</v>
      </c>
    </row>
    <row r="682" spans="1:7">
      <c r="A682" s="6">
        <v>44104</v>
      </c>
      <c r="B682" s="98"/>
      <c r="C682" s="98" t="s">
        <v>375</v>
      </c>
      <c r="D682" s="100" t="s">
        <v>374</v>
      </c>
      <c r="E682" s="100" t="s">
        <v>259</v>
      </c>
      <c r="F682" s="100">
        <v>5761.05</v>
      </c>
      <c r="G682" t="str">
        <f t="shared" si="11"/>
        <v>固收型</v>
      </c>
    </row>
    <row r="683" spans="1:7">
      <c r="A683" s="6">
        <v>44104</v>
      </c>
      <c r="B683" s="98"/>
      <c r="C683" s="98" t="s">
        <v>376</v>
      </c>
      <c r="D683" s="100" t="s">
        <v>374</v>
      </c>
      <c r="E683" s="100" t="s">
        <v>259</v>
      </c>
      <c r="F683" s="100">
        <v>2880.53</v>
      </c>
      <c r="G683" t="str">
        <f t="shared" si="11"/>
        <v>固收型</v>
      </c>
    </row>
    <row r="684" spans="1:7">
      <c r="A684" s="6">
        <v>44104</v>
      </c>
      <c r="B684" s="98"/>
      <c r="C684" s="98" t="s">
        <v>377</v>
      </c>
      <c r="D684" s="100" t="s">
        <v>374</v>
      </c>
      <c r="E684" s="100" t="s">
        <v>259</v>
      </c>
      <c r="F684" s="100">
        <v>2880.53</v>
      </c>
      <c r="G684" t="str">
        <f t="shared" si="11"/>
        <v>固收型</v>
      </c>
    </row>
    <row r="685" spans="1:7">
      <c r="A685" s="6">
        <v>44104</v>
      </c>
      <c r="B685" s="98" t="s">
        <v>378</v>
      </c>
      <c r="C685" s="98" t="s">
        <v>263</v>
      </c>
      <c r="D685" s="100" t="s">
        <v>379</v>
      </c>
      <c r="E685" s="100" t="s">
        <v>256</v>
      </c>
      <c r="F685" s="100">
        <v>52.39</v>
      </c>
      <c r="G685" t="str">
        <f t="shared" si="11"/>
        <v>固收型</v>
      </c>
    </row>
    <row r="686" spans="1:7">
      <c r="A686" s="6">
        <v>44104</v>
      </c>
      <c r="B686" s="98"/>
      <c r="C686" s="98" t="s">
        <v>265</v>
      </c>
      <c r="D686" s="100" t="s">
        <v>379</v>
      </c>
      <c r="E686" s="100" t="s">
        <v>256</v>
      </c>
      <c r="F686" s="100">
        <v>7.37</v>
      </c>
      <c r="G686" t="str">
        <f t="shared" si="11"/>
        <v>固收型</v>
      </c>
    </row>
    <row r="687" spans="1:7">
      <c r="A687" s="6">
        <v>44104</v>
      </c>
      <c r="B687" s="98"/>
      <c r="C687" s="98" t="s">
        <v>380</v>
      </c>
      <c r="D687" s="100" t="s">
        <v>379</v>
      </c>
      <c r="E687" s="100" t="s">
        <v>259</v>
      </c>
      <c r="F687" s="100">
        <v>1173.75</v>
      </c>
      <c r="G687" t="str">
        <f t="shared" si="11"/>
        <v>固收型</v>
      </c>
    </row>
    <row r="688" spans="1:7">
      <c r="A688" s="6">
        <v>44104</v>
      </c>
      <c r="B688" s="98"/>
      <c r="C688" s="98" t="s">
        <v>269</v>
      </c>
      <c r="D688" s="100" t="s">
        <v>379</v>
      </c>
      <c r="E688" s="100" t="s">
        <v>270</v>
      </c>
      <c r="F688" s="100">
        <v>14633.23</v>
      </c>
      <c r="G688" t="str">
        <f t="shared" si="11"/>
        <v>固收型</v>
      </c>
    </row>
    <row r="689" spans="1:7">
      <c r="A689" s="6">
        <v>44104</v>
      </c>
      <c r="B689" s="98"/>
      <c r="C689" s="98" t="s">
        <v>271</v>
      </c>
      <c r="D689" s="100" t="s">
        <v>379</v>
      </c>
      <c r="E689" s="100" t="s">
        <v>270</v>
      </c>
      <c r="F689" s="100">
        <v>13121.96</v>
      </c>
      <c r="G689" t="str">
        <f t="shared" si="11"/>
        <v>固收型</v>
      </c>
    </row>
    <row r="690" spans="1:7">
      <c r="A690" s="6">
        <v>44104</v>
      </c>
      <c r="B690" s="98"/>
      <c r="C690" s="98" t="s">
        <v>272</v>
      </c>
      <c r="D690" s="100" t="s">
        <v>379</v>
      </c>
      <c r="E690" s="100" t="s">
        <v>270</v>
      </c>
      <c r="F690" s="100">
        <v>4101.51</v>
      </c>
      <c r="G690" t="str">
        <f t="shared" si="11"/>
        <v>固收型</v>
      </c>
    </row>
    <row r="691" spans="1:7">
      <c r="A691" s="6">
        <v>44104</v>
      </c>
      <c r="B691" s="98"/>
      <c r="C691" s="98" t="s">
        <v>381</v>
      </c>
      <c r="D691" s="100" t="s">
        <v>379</v>
      </c>
      <c r="E691" s="100" t="s">
        <v>256</v>
      </c>
      <c r="F691" s="100">
        <v>30.1</v>
      </c>
      <c r="G691" t="str">
        <f t="shared" si="11"/>
        <v>固收型</v>
      </c>
    </row>
    <row r="692" spans="1:7">
      <c r="A692" s="6">
        <v>44104</v>
      </c>
      <c r="B692" s="98" t="s">
        <v>382</v>
      </c>
      <c r="C692" s="98" t="s">
        <v>254</v>
      </c>
      <c r="D692" s="100" t="s">
        <v>383</v>
      </c>
      <c r="E692" s="100" t="s">
        <v>256</v>
      </c>
      <c r="F692" s="100">
        <v>203.43</v>
      </c>
      <c r="G692" t="str">
        <f t="shared" si="11"/>
        <v>股票型</v>
      </c>
    </row>
    <row r="693" spans="1:7">
      <c r="A693" s="6">
        <v>44104</v>
      </c>
      <c r="B693" s="98"/>
      <c r="C693" s="98" t="s">
        <v>265</v>
      </c>
      <c r="D693" s="100" t="s">
        <v>383</v>
      </c>
      <c r="E693" s="100" t="s">
        <v>256</v>
      </c>
      <c r="F693" s="100">
        <v>11.9</v>
      </c>
      <c r="G693" t="str">
        <f t="shared" si="11"/>
        <v>股票型</v>
      </c>
    </row>
    <row r="694" spans="1:7">
      <c r="A694" s="6">
        <v>44104</v>
      </c>
      <c r="B694" s="98"/>
      <c r="C694" s="98" t="s">
        <v>266</v>
      </c>
      <c r="D694" s="100" t="s">
        <v>383</v>
      </c>
      <c r="E694" s="100" t="s">
        <v>256</v>
      </c>
      <c r="F694" s="100">
        <v>1221.04</v>
      </c>
      <c r="G694" t="str">
        <f t="shared" si="11"/>
        <v>股票型</v>
      </c>
    </row>
    <row r="695" spans="1:7">
      <c r="A695" s="6">
        <v>44104</v>
      </c>
      <c r="B695" s="98" t="s">
        <v>384</v>
      </c>
      <c r="C695" s="98" t="s">
        <v>254</v>
      </c>
      <c r="D695" s="100" t="s">
        <v>385</v>
      </c>
      <c r="E695" s="100" t="s">
        <v>256</v>
      </c>
      <c r="F695" s="100">
        <v>671.69</v>
      </c>
      <c r="G695" t="str">
        <f t="shared" si="11"/>
        <v>股票型</v>
      </c>
    </row>
    <row r="696" spans="1:7">
      <c r="A696" s="6">
        <v>44104</v>
      </c>
      <c r="B696" s="98"/>
      <c r="C696" s="98" t="s">
        <v>263</v>
      </c>
      <c r="D696" s="100" t="s">
        <v>385</v>
      </c>
      <c r="E696" s="100" t="s">
        <v>256</v>
      </c>
      <c r="F696" s="100">
        <v>3.74</v>
      </c>
      <c r="G696" t="str">
        <f t="shared" si="11"/>
        <v>股票型</v>
      </c>
    </row>
    <row r="697" spans="1:7">
      <c r="A697" s="6">
        <v>44104</v>
      </c>
      <c r="B697" s="98"/>
      <c r="C697" s="98" t="s">
        <v>289</v>
      </c>
      <c r="D697" s="100" t="s">
        <v>385</v>
      </c>
      <c r="E697" s="100" t="s">
        <v>259</v>
      </c>
      <c r="F697" s="100">
        <v>1362.19</v>
      </c>
      <c r="G697" t="str">
        <f t="shared" si="11"/>
        <v>股票型</v>
      </c>
    </row>
    <row r="698" spans="1:7">
      <c r="A698" s="6">
        <v>44104</v>
      </c>
      <c r="B698" s="98"/>
      <c r="C698" s="98" t="s">
        <v>301</v>
      </c>
      <c r="D698" s="100" t="s">
        <v>385</v>
      </c>
      <c r="E698" s="100" t="s">
        <v>259</v>
      </c>
      <c r="F698" s="100">
        <v>2666.64</v>
      </c>
      <c r="G698" t="str">
        <f t="shared" si="11"/>
        <v>股票型</v>
      </c>
    </row>
    <row r="699" spans="1:7">
      <c r="A699" s="6">
        <v>44104</v>
      </c>
      <c r="B699" s="98" t="s">
        <v>386</v>
      </c>
      <c r="C699" s="98" t="s">
        <v>254</v>
      </c>
      <c r="D699" s="100" t="s">
        <v>387</v>
      </c>
      <c r="E699" s="100" t="s">
        <v>256</v>
      </c>
      <c r="F699" s="100">
        <v>131.5</v>
      </c>
      <c r="G699" t="str">
        <f t="shared" si="11"/>
        <v>股票型</v>
      </c>
    </row>
    <row r="700" spans="1:7">
      <c r="A700" s="6">
        <v>44104</v>
      </c>
      <c r="B700" s="98"/>
      <c r="C700" s="98" t="s">
        <v>263</v>
      </c>
      <c r="D700" s="100" t="s">
        <v>387</v>
      </c>
      <c r="E700" s="100" t="s">
        <v>256</v>
      </c>
      <c r="F700" s="100">
        <v>76.06</v>
      </c>
      <c r="G700" t="str">
        <f t="shared" si="11"/>
        <v>股票型</v>
      </c>
    </row>
    <row r="701" spans="1:7">
      <c r="A701" s="6">
        <v>44104</v>
      </c>
      <c r="B701" s="98"/>
      <c r="C701" s="98" t="s">
        <v>257</v>
      </c>
      <c r="D701" s="100" t="s">
        <v>387</v>
      </c>
      <c r="E701" s="100" t="s">
        <v>256</v>
      </c>
      <c r="F701" s="100">
        <v>1154.67</v>
      </c>
      <c r="G701" t="str">
        <f t="shared" si="11"/>
        <v>股票型</v>
      </c>
    </row>
    <row r="702" spans="1:7">
      <c r="A702" s="6">
        <v>44104</v>
      </c>
      <c r="B702" s="98"/>
      <c r="C702" s="98" t="s">
        <v>289</v>
      </c>
      <c r="D702" s="100" t="s">
        <v>387</v>
      </c>
      <c r="E702" s="100" t="s">
        <v>259</v>
      </c>
      <c r="F702" s="100">
        <v>14361.61</v>
      </c>
      <c r="G702" t="str">
        <f t="shared" si="11"/>
        <v>股票型</v>
      </c>
    </row>
    <row r="703" spans="1:7">
      <c r="A703" s="6">
        <v>44104</v>
      </c>
      <c r="B703" s="98"/>
      <c r="C703" s="98" t="s">
        <v>258</v>
      </c>
      <c r="D703" s="100" t="s">
        <v>387</v>
      </c>
      <c r="E703" s="100" t="s">
        <v>259</v>
      </c>
      <c r="F703" s="100">
        <v>16087.52</v>
      </c>
      <c r="G703" t="str">
        <f t="shared" si="11"/>
        <v>股票型</v>
      </c>
    </row>
    <row r="704" spans="1:7">
      <c r="A704" s="6">
        <v>44104</v>
      </c>
      <c r="B704" s="98"/>
      <c r="C704" s="98" t="s">
        <v>261</v>
      </c>
      <c r="D704" s="100" t="s">
        <v>387</v>
      </c>
      <c r="E704" s="100" t="s">
        <v>259</v>
      </c>
      <c r="F704" s="100">
        <v>12599.68</v>
      </c>
      <c r="G704" t="str">
        <f t="shared" si="11"/>
        <v>股票型</v>
      </c>
    </row>
    <row r="705" spans="1:7">
      <c r="A705" s="6">
        <v>44104</v>
      </c>
      <c r="B705" s="98"/>
      <c r="C705" s="98" t="s">
        <v>286</v>
      </c>
      <c r="D705" s="100" t="s">
        <v>387</v>
      </c>
      <c r="E705" s="100" t="s">
        <v>259</v>
      </c>
      <c r="F705" s="100">
        <v>9509.01</v>
      </c>
      <c r="G705" t="str">
        <f t="shared" si="11"/>
        <v>股票型</v>
      </c>
    </row>
    <row r="706" spans="1:7">
      <c r="A706" s="6">
        <v>44104</v>
      </c>
      <c r="B706" s="98" t="s">
        <v>388</v>
      </c>
      <c r="C706" s="98" t="s">
        <v>254</v>
      </c>
      <c r="D706" s="100" t="s">
        <v>389</v>
      </c>
      <c r="E706" s="100" t="s">
        <v>256</v>
      </c>
      <c r="F706" s="100">
        <v>1003.14</v>
      </c>
      <c r="G706" t="str">
        <f t="shared" si="11"/>
        <v>股票型</v>
      </c>
    </row>
    <row r="707" spans="1:7">
      <c r="A707" s="6">
        <v>44104</v>
      </c>
      <c r="B707" s="98"/>
      <c r="C707" s="98" t="s">
        <v>274</v>
      </c>
      <c r="D707" s="100" t="s">
        <v>389</v>
      </c>
      <c r="E707" s="100" t="s">
        <v>256</v>
      </c>
      <c r="F707" s="100">
        <v>8622.74</v>
      </c>
      <c r="G707" t="str">
        <f t="shared" ref="G707:G770" si="12">VLOOKUP(D707,L:N,3,0)</f>
        <v>股票型</v>
      </c>
    </row>
    <row r="708" spans="1:7">
      <c r="A708" s="6">
        <v>44104</v>
      </c>
      <c r="B708" s="98"/>
      <c r="C708" s="98" t="s">
        <v>263</v>
      </c>
      <c r="D708" s="100" t="s">
        <v>389</v>
      </c>
      <c r="E708" s="100" t="s">
        <v>256</v>
      </c>
      <c r="F708" s="100">
        <v>3.66</v>
      </c>
      <c r="G708" t="str">
        <f t="shared" si="12"/>
        <v>股票型</v>
      </c>
    </row>
    <row r="709" spans="1:7">
      <c r="A709" s="6">
        <v>44104</v>
      </c>
      <c r="B709" s="98"/>
      <c r="C709" s="98" t="s">
        <v>257</v>
      </c>
      <c r="D709" s="100" t="s">
        <v>389</v>
      </c>
      <c r="E709" s="100" t="s">
        <v>256</v>
      </c>
      <c r="F709" s="100">
        <v>365.01</v>
      </c>
      <c r="G709" t="str">
        <f t="shared" si="12"/>
        <v>股票型</v>
      </c>
    </row>
    <row r="710" spans="1:7">
      <c r="A710" s="6">
        <v>44104</v>
      </c>
      <c r="B710" s="98"/>
      <c r="C710" s="98" t="s">
        <v>266</v>
      </c>
      <c r="D710" s="100" t="s">
        <v>389</v>
      </c>
      <c r="E710" s="100" t="s">
        <v>256</v>
      </c>
      <c r="F710" s="100">
        <v>290.58</v>
      </c>
      <c r="G710" t="str">
        <f t="shared" si="12"/>
        <v>股票型</v>
      </c>
    </row>
    <row r="711" spans="1:7">
      <c r="A711" s="6">
        <v>44104</v>
      </c>
      <c r="B711" s="98"/>
      <c r="C711" s="98" t="s">
        <v>284</v>
      </c>
      <c r="D711" s="100" t="s">
        <v>389</v>
      </c>
      <c r="E711" s="100" t="s">
        <v>259</v>
      </c>
      <c r="F711" s="100">
        <v>4019.08</v>
      </c>
      <c r="G711" t="str">
        <f t="shared" si="12"/>
        <v>股票型</v>
      </c>
    </row>
    <row r="712" spans="1:7">
      <c r="A712" s="6">
        <v>44104</v>
      </c>
      <c r="B712" s="98"/>
      <c r="C712" s="98" t="s">
        <v>258</v>
      </c>
      <c r="D712" s="100" t="s">
        <v>389</v>
      </c>
      <c r="E712" s="100" t="s">
        <v>259</v>
      </c>
      <c r="F712" s="100">
        <v>999.24</v>
      </c>
      <c r="G712" t="str">
        <f t="shared" si="12"/>
        <v>股票型</v>
      </c>
    </row>
    <row r="713" spans="1:7">
      <c r="A713" s="6">
        <v>44104</v>
      </c>
      <c r="B713" s="98"/>
      <c r="C713" s="98" t="s">
        <v>260</v>
      </c>
      <c r="D713" s="100" t="s">
        <v>389</v>
      </c>
      <c r="E713" s="100" t="s">
        <v>259</v>
      </c>
      <c r="F713" s="100">
        <v>2432.38</v>
      </c>
      <c r="G713" t="str">
        <f t="shared" si="12"/>
        <v>股票型</v>
      </c>
    </row>
    <row r="714" spans="1:7">
      <c r="A714" s="6">
        <v>44104</v>
      </c>
      <c r="B714" s="98" t="s">
        <v>390</v>
      </c>
      <c r="C714" s="98" t="s">
        <v>257</v>
      </c>
      <c r="D714" s="100" t="s">
        <v>391</v>
      </c>
      <c r="E714" s="100" t="s">
        <v>256</v>
      </c>
      <c r="F714" s="100">
        <v>105.68</v>
      </c>
      <c r="G714" t="str">
        <f t="shared" si="12"/>
        <v>存款型</v>
      </c>
    </row>
    <row r="715" spans="1:7">
      <c r="A715" s="6">
        <v>44104</v>
      </c>
      <c r="B715" s="98"/>
      <c r="C715" s="98" t="s">
        <v>367</v>
      </c>
      <c r="D715" s="100" t="s">
        <v>391</v>
      </c>
      <c r="E715" s="100" t="s">
        <v>259</v>
      </c>
      <c r="F715" s="100">
        <v>892.92</v>
      </c>
      <c r="G715" t="str">
        <f t="shared" si="12"/>
        <v>存款型</v>
      </c>
    </row>
    <row r="716" spans="1:7">
      <c r="A716" s="6">
        <v>44104</v>
      </c>
      <c r="B716" s="98" t="s">
        <v>392</v>
      </c>
      <c r="C716" s="98" t="s">
        <v>266</v>
      </c>
      <c r="D716" s="100" t="s">
        <v>393</v>
      </c>
      <c r="E716" s="100" t="s">
        <v>256</v>
      </c>
      <c r="F716" s="100">
        <v>44.65</v>
      </c>
      <c r="G716" t="str">
        <f t="shared" si="12"/>
        <v>信托型</v>
      </c>
    </row>
    <row r="717" spans="1:7">
      <c r="A717" s="6">
        <v>44104</v>
      </c>
      <c r="B717" s="98" t="s">
        <v>394</v>
      </c>
      <c r="C717" s="98" t="s">
        <v>254</v>
      </c>
      <c r="D717" s="100" t="s">
        <v>395</v>
      </c>
      <c r="E717" s="100" t="s">
        <v>256</v>
      </c>
      <c r="F717" s="100">
        <v>128.05000000000001</v>
      </c>
      <c r="G717" t="str">
        <f t="shared" si="12"/>
        <v>基础设施债权</v>
      </c>
    </row>
    <row r="718" spans="1:7">
      <c r="A718" s="6">
        <v>44104</v>
      </c>
      <c r="B718" s="98"/>
      <c r="C718" s="98" t="s">
        <v>274</v>
      </c>
      <c r="D718" s="100" t="s">
        <v>395</v>
      </c>
      <c r="E718" s="100" t="s">
        <v>256</v>
      </c>
      <c r="F718" s="100">
        <v>550.84</v>
      </c>
      <c r="G718" t="str">
        <f t="shared" si="12"/>
        <v>基础设施债权</v>
      </c>
    </row>
    <row r="719" spans="1:7">
      <c r="A719" s="6">
        <v>44104</v>
      </c>
      <c r="B719" s="98"/>
      <c r="C719" s="98" t="s">
        <v>257</v>
      </c>
      <c r="D719" s="100" t="s">
        <v>395</v>
      </c>
      <c r="E719" s="100" t="s">
        <v>256</v>
      </c>
      <c r="F719" s="100">
        <v>372.99</v>
      </c>
      <c r="G719" t="str">
        <f t="shared" si="12"/>
        <v>基础设施债权</v>
      </c>
    </row>
    <row r="720" spans="1:7">
      <c r="A720" s="6">
        <v>44104</v>
      </c>
      <c r="B720" s="98"/>
      <c r="C720" s="98" t="s">
        <v>266</v>
      </c>
      <c r="D720" s="100" t="s">
        <v>395</v>
      </c>
      <c r="E720" s="100" t="s">
        <v>256</v>
      </c>
      <c r="F720" s="100">
        <v>58.93</v>
      </c>
      <c r="G720" t="str">
        <f t="shared" si="12"/>
        <v>基础设施债权</v>
      </c>
    </row>
    <row r="721" spans="1:7">
      <c r="A721" s="6">
        <v>44104</v>
      </c>
      <c r="B721" s="98"/>
      <c r="C721" s="98" t="s">
        <v>260</v>
      </c>
      <c r="D721" s="100" t="s">
        <v>395</v>
      </c>
      <c r="E721" s="100" t="s">
        <v>259</v>
      </c>
      <c r="F721" s="100">
        <v>17063.55</v>
      </c>
      <c r="G721" t="str">
        <f t="shared" si="12"/>
        <v>基础设施债权</v>
      </c>
    </row>
    <row r="722" spans="1:7">
      <c r="A722" s="6">
        <v>44104</v>
      </c>
      <c r="B722" s="98" t="s">
        <v>479</v>
      </c>
      <c r="C722" s="98" t="s">
        <v>276</v>
      </c>
      <c r="D722" s="100" t="s">
        <v>480</v>
      </c>
      <c r="E722" s="100" t="s">
        <v>256</v>
      </c>
      <c r="F722" s="100">
        <v>23.99</v>
      </c>
      <c r="G722" t="str">
        <f t="shared" si="12"/>
        <v>混合型</v>
      </c>
    </row>
    <row r="723" spans="1:7">
      <c r="A723" s="6">
        <v>44104</v>
      </c>
      <c r="B723" s="98" t="s">
        <v>396</v>
      </c>
      <c r="C723" s="98" t="s">
        <v>274</v>
      </c>
      <c r="D723" s="100" t="s">
        <v>397</v>
      </c>
      <c r="E723" s="100" t="s">
        <v>256</v>
      </c>
      <c r="F723" s="100">
        <v>37.72</v>
      </c>
      <c r="G723" t="str">
        <f t="shared" si="12"/>
        <v>混合型</v>
      </c>
    </row>
    <row r="724" spans="1:7">
      <c r="A724" s="6">
        <v>44104</v>
      </c>
      <c r="B724" s="98"/>
      <c r="C724" s="98" t="s">
        <v>265</v>
      </c>
      <c r="D724" s="100" t="s">
        <v>397</v>
      </c>
      <c r="E724" s="100" t="s">
        <v>256</v>
      </c>
      <c r="F724" s="100">
        <v>15.13</v>
      </c>
      <c r="G724" t="str">
        <f t="shared" si="12"/>
        <v>混合型</v>
      </c>
    </row>
    <row r="725" spans="1:7">
      <c r="A725" s="6">
        <v>44104</v>
      </c>
      <c r="B725" s="98"/>
      <c r="C725" s="98" t="s">
        <v>257</v>
      </c>
      <c r="D725" s="100" t="s">
        <v>397</v>
      </c>
      <c r="E725" s="100" t="s">
        <v>256</v>
      </c>
      <c r="F725" s="100">
        <v>2.33</v>
      </c>
      <c r="G725" t="str">
        <f t="shared" si="12"/>
        <v>混合型</v>
      </c>
    </row>
    <row r="726" spans="1:7">
      <c r="A726" s="6">
        <v>44104</v>
      </c>
      <c r="B726" s="98"/>
      <c r="C726" s="98" t="s">
        <v>276</v>
      </c>
      <c r="D726" s="100" t="s">
        <v>397</v>
      </c>
      <c r="E726" s="100" t="s">
        <v>256</v>
      </c>
      <c r="F726" s="100">
        <v>111.5</v>
      </c>
      <c r="G726" t="str">
        <f t="shared" si="12"/>
        <v>混合型</v>
      </c>
    </row>
    <row r="727" spans="1:7">
      <c r="A727" s="6">
        <v>44104</v>
      </c>
      <c r="B727" s="98"/>
      <c r="C727" s="98" t="s">
        <v>283</v>
      </c>
      <c r="D727" s="100" t="s">
        <v>397</v>
      </c>
      <c r="E727" s="100" t="s">
        <v>256</v>
      </c>
      <c r="F727" s="100">
        <v>1.97</v>
      </c>
      <c r="G727" t="str">
        <f t="shared" si="12"/>
        <v>混合型</v>
      </c>
    </row>
    <row r="728" spans="1:7">
      <c r="A728" s="6">
        <v>44104</v>
      </c>
      <c r="B728" s="98"/>
      <c r="C728" s="98" t="s">
        <v>266</v>
      </c>
      <c r="D728" s="100" t="s">
        <v>397</v>
      </c>
      <c r="E728" s="100" t="s">
        <v>256</v>
      </c>
      <c r="F728" s="100">
        <v>233.19</v>
      </c>
      <c r="G728" t="str">
        <f t="shared" si="12"/>
        <v>混合型</v>
      </c>
    </row>
    <row r="729" spans="1:7">
      <c r="A729" s="6">
        <v>44104</v>
      </c>
      <c r="B729" s="98"/>
      <c r="C729" s="98" t="s">
        <v>290</v>
      </c>
      <c r="D729" s="100" t="s">
        <v>397</v>
      </c>
      <c r="E729" s="100" t="s">
        <v>259</v>
      </c>
      <c r="F729" s="100">
        <v>2461.0500000000002</v>
      </c>
      <c r="G729" t="str">
        <f t="shared" si="12"/>
        <v>混合型</v>
      </c>
    </row>
    <row r="730" spans="1:7">
      <c r="A730" s="6">
        <v>44104</v>
      </c>
      <c r="B730" s="98" t="s">
        <v>398</v>
      </c>
      <c r="C730" s="98" t="s">
        <v>274</v>
      </c>
      <c r="D730" s="100" t="s">
        <v>399</v>
      </c>
      <c r="E730" s="100" t="s">
        <v>256</v>
      </c>
      <c r="F730" s="100">
        <v>209.05</v>
      </c>
      <c r="G730" t="str">
        <f t="shared" si="12"/>
        <v>FOF</v>
      </c>
    </row>
    <row r="731" spans="1:7">
      <c r="A731" s="6">
        <v>44104</v>
      </c>
      <c r="B731" s="98"/>
      <c r="C731" s="98" t="s">
        <v>265</v>
      </c>
      <c r="D731" s="100" t="s">
        <v>399</v>
      </c>
      <c r="E731" s="100" t="s">
        <v>256</v>
      </c>
      <c r="F731" s="100">
        <v>89.33</v>
      </c>
      <c r="G731" t="str">
        <f t="shared" si="12"/>
        <v>FOF</v>
      </c>
    </row>
    <row r="732" spans="1:7">
      <c r="A732" s="6">
        <v>44104</v>
      </c>
      <c r="B732" s="98"/>
      <c r="C732" s="98" t="s">
        <v>257</v>
      </c>
      <c r="D732" s="100" t="s">
        <v>399</v>
      </c>
      <c r="E732" s="100" t="s">
        <v>256</v>
      </c>
      <c r="F732" s="100">
        <v>129.49</v>
      </c>
      <c r="G732" t="str">
        <f t="shared" si="12"/>
        <v>FOF</v>
      </c>
    </row>
    <row r="733" spans="1:7">
      <c r="A733" s="6">
        <v>44104</v>
      </c>
      <c r="B733" s="98"/>
      <c r="C733" s="98" t="s">
        <v>276</v>
      </c>
      <c r="D733" s="100" t="s">
        <v>399</v>
      </c>
      <c r="E733" s="100" t="s">
        <v>256</v>
      </c>
      <c r="F733" s="100">
        <v>356.75</v>
      </c>
      <c r="G733" t="str">
        <f t="shared" si="12"/>
        <v>FOF</v>
      </c>
    </row>
    <row r="734" spans="1:7">
      <c r="A734" s="6">
        <v>44104</v>
      </c>
      <c r="B734" s="98"/>
      <c r="C734" s="98" t="s">
        <v>283</v>
      </c>
      <c r="D734" s="100" t="s">
        <v>399</v>
      </c>
      <c r="E734" s="100" t="s">
        <v>256</v>
      </c>
      <c r="F734" s="100">
        <v>32.840000000000003</v>
      </c>
      <c r="G734" t="str">
        <f t="shared" si="12"/>
        <v>FOF</v>
      </c>
    </row>
    <row r="735" spans="1:7">
      <c r="A735" s="6">
        <v>44104</v>
      </c>
      <c r="B735" s="98"/>
      <c r="C735" s="98" t="s">
        <v>266</v>
      </c>
      <c r="D735" s="100" t="s">
        <v>399</v>
      </c>
      <c r="E735" s="100" t="s">
        <v>256</v>
      </c>
      <c r="F735" s="100">
        <v>165.81</v>
      </c>
      <c r="G735" t="str">
        <f t="shared" si="12"/>
        <v>FOF</v>
      </c>
    </row>
    <row r="736" spans="1:7">
      <c r="A736" s="6">
        <v>44104</v>
      </c>
      <c r="B736" s="98"/>
      <c r="C736" s="98" t="s">
        <v>290</v>
      </c>
      <c r="D736" s="100" t="s">
        <v>399</v>
      </c>
      <c r="E736" s="100" t="s">
        <v>259</v>
      </c>
      <c r="F736" s="100">
        <v>2735.58</v>
      </c>
      <c r="G736" t="str">
        <f t="shared" si="12"/>
        <v>FOF</v>
      </c>
    </row>
    <row r="737" spans="1:7">
      <c r="A737" s="6">
        <v>44104</v>
      </c>
      <c r="B737" s="98" t="s">
        <v>400</v>
      </c>
      <c r="C737" s="98" t="s">
        <v>274</v>
      </c>
      <c r="D737" s="100" t="s">
        <v>401</v>
      </c>
      <c r="E737" s="100" t="s">
        <v>256</v>
      </c>
      <c r="F737" s="100">
        <v>215.73</v>
      </c>
      <c r="G737" t="str">
        <f t="shared" si="12"/>
        <v>基础设施债权</v>
      </c>
    </row>
    <row r="738" spans="1:7">
      <c r="A738" s="6">
        <v>44104</v>
      </c>
      <c r="B738" s="98"/>
      <c r="C738" s="98" t="s">
        <v>257</v>
      </c>
      <c r="D738" s="100" t="s">
        <v>401</v>
      </c>
      <c r="E738" s="100" t="s">
        <v>256</v>
      </c>
      <c r="F738" s="100">
        <v>313.88</v>
      </c>
      <c r="G738" t="str">
        <f t="shared" si="12"/>
        <v>基础设施债权</v>
      </c>
    </row>
    <row r="739" spans="1:7">
      <c r="A739" s="6">
        <v>44104</v>
      </c>
      <c r="B739" s="98"/>
      <c r="C739" s="98" t="s">
        <v>266</v>
      </c>
      <c r="D739" s="100" t="s">
        <v>401</v>
      </c>
      <c r="E739" s="100" t="s">
        <v>256</v>
      </c>
      <c r="F739" s="100">
        <v>17.18</v>
      </c>
      <c r="G739" t="str">
        <f t="shared" si="12"/>
        <v>基础设施债权</v>
      </c>
    </row>
    <row r="740" spans="1:7">
      <c r="A740" s="6">
        <v>44104</v>
      </c>
      <c r="B740" s="98" t="s">
        <v>402</v>
      </c>
      <c r="C740" s="98" t="s">
        <v>276</v>
      </c>
      <c r="D740" s="100" t="s">
        <v>403</v>
      </c>
      <c r="E740" s="100" t="s">
        <v>256</v>
      </c>
      <c r="F740" s="100">
        <v>491.12</v>
      </c>
      <c r="G740" t="str">
        <f t="shared" si="12"/>
        <v>FOF</v>
      </c>
    </row>
    <row r="741" spans="1:7">
      <c r="A741" s="6">
        <v>44104</v>
      </c>
      <c r="B741" s="98"/>
      <c r="C741" s="98" t="s">
        <v>283</v>
      </c>
      <c r="D741" s="100" t="s">
        <v>403</v>
      </c>
      <c r="E741" s="100" t="s">
        <v>256</v>
      </c>
      <c r="F741" s="100">
        <v>63.71</v>
      </c>
      <c r="G741" t="str">
        <f t="shared" si="12"/>
        <v>FOF</v>
      </c>
    </row>
    <row r="742" spans="1:7">
      <c r="A742" s="6">
        <v>44104</v>
      </c>
      <c r="B742" s="98"/>
      <c r="C742" s="98" t="s">
        <v>266</v>
      </c>
      <c r="D742" s="100" t="s">
        <v>403</v>
      </c>
      <c r="E742" s="100" t="s">
        <v>256</v>
      </c>
      <c r="F742" s="100">
        <v>179.43</v>
      </c>
      <c r="G742" t="str">
        <f t="shared" si="12"/>
        <v>FOF</v>
      </c>
    </row>
    <row r="743" spans="1:7">
      <c r="A743" s="6">
        <v>44104</v>
      </c>
      <c r="B743" s="98"/>
      <c r="C743" s="98" t="s">
        <v>290</v>
      </c>
      <c r="D743" s="100" t="s">
        <v>403</v>
      </c>
      <c r="E743" s="100" t="s">
        <v>259</v>
      </c>
      <c r="F743" s="100">
        <v>4831.5</v>
      </c>
      <c r="G743" t="str">
        <f t="shared" si="12"/>
        <v>FOF</v>
      </c>
    </row>
    <row r="744" spans="1:7">
      <c r="A744" s="6">
        <v>44104</v>
      </c>
      <c r="B744" s="98" t="s">
        <v>404</v>
      </c>
      <c r="C744" s="98" t="s">
        <v>263</v>
      </c>
      <c r="D744" s="100" t="s">
        <v>405</v>
      </c>
      <c r="E744" s="100" t="s">
        <v>256</v>
      </c>
      <c r="F744" s="100">
        <v>11.09</v>
      </c>
      <c r="G744" t="str">
        <f t="shared" si="12"/>
        <v>基础设施债权</v>
      </c>
    </row>
    <row r="745" spans="1:7">
      <c r="A745" s="6">
        <v>44104</v>
      </c>
      <c r="B745" s="98"/>
      <c r="C745" s="98" t="s">
        <v>303</v>
      </c>
      <c r="D745" s="100" t="s">
        <v>405</v>
      </c>
      <c r="E745" s="100" t="s">
        <v>259</v>
      </c>
      <c r="F745" s="100">
        <v>4365.96</v>
      </c>
      <c r="G745" t="str">
        <f t="shared" si="12"/>
        <v>基础设施债权</v>
      </c>
    </row>
    <row r="746" spans="1:7">
      <c r="A746" s="6">
        <v>44104</v>
      </c>
      <c r="B746" s="98" t="s">
        <v>406</v>
      </c>
      <c r="C746" s="98" t="s">
        <v>263</v>
      </c>
      <c r="D746" s="100" t="s">
        <v>407</v>
      </c>
      <c r="E746" s="100" t="s">
        <v>256</v>
      </c>
      <c r="F746" s="100">
        <v>16.2</v>
      </c>
      <c r="G746" t="str">
        <f t="shared" si="12"/>
        <v>基础设施债权</v>
      </c>
    </row>
    <row r="747" spans="1:7">
      <c r="A747" s="6">
        <v>44104</v>
      </c>
      <c r="B747" s="98"/>
      <c r="C747" s="98" t="s">
        <v>290</v>
      </c>
      <c r="D747" s="100" t="s">
        <v>407</v>
      </c>
      <c r="E747" s="100" t="s">
        <v>259</v>
      </c>
      <c r="F747" s="100">
        <v>696.59</v>
      </c>
      <c r="G747" t="str">
        <f t="shared" si="12"/>
        <v>基础设施债权</v>
      </c>
    </row>
    <row r="748" spans="1:7">
      <c r="A748" s="6">
        <v>44104</v>
      </c>
      <c r="B748" s="98" t="s">
        <v>408</v>
      </c>
      <c r="C748" s="98" t="s">
        <v>263</v>
      </c>
      <c r="D748" s="100" t="s">
        <v>409</v>
      </c>
      <c r="E748" s="100" t="s">
        <v>256</v>
      </c>
      <c r="F748" s="100">
        <v>6.88</v>
      </c>
      <c r="G748" t="str">
        <f t="shared" si="12"/>
        <v>基础设施债权</v>
      </c>
    </row>
    <row r="749" spans="1:7">
      <c r="A749" s="6">
        <v>44104</v>
      </c>
      <c r="B749" s="98"/>
      <c r="C749" s="98" t="s">
        <v>260</v>
      </c>
      <c r="D749" s="100" t="s">
        <v>409</v>
      </c>
      <c r="E749" s="100" t="s">
        <v>259</v>
      </c>
      <c r="F749" s="100">
        <v>8712.42</v>
      </c>
      <c r="G749" t="str">
        <f t="shared" si="12"/>
        <v>基础设施债权</v>
      </c>
    </row>
    <row r="750" spans="1:7">
      <c r="A750" s="6">
        <v>44104</v>
      </c>
      <c r="B750" s="98" t="s">
        <v>410</v>
      </c>
      <c r="C750" s="98" t="s">
        <v>263</v>
      </c>
      <c r="D750" s="100" t="s">
        <v>411</v>
      </c>
      <c r="E750" s="100" t="s">
        <v>256</v>
      </c>
      <c r="F750" s="100">
        <v>2.48</v>
      </c>
      <c r="G750" t="str">
        <f t="shared" si="12"/>
        <v>基础设施债权</v>
      </c>
    </row>
    <row r="751" spans="1:7">
      <c r="A751" s="6">
        <v>44104</v>
      </c>
      <c r="B751" s="98"/>
      <c r="C751" s="98" t="s">
        <v>257</v>
      </c>
      <c r="D751" s="100" t="s">
        <v>411</v>
      </c>
      <c r="E751" s="100" t="s">
        <v>256</v>
      </c>
      <c r="F751" s="100">
        <v>16.87</v>
      </c>
      <c r="G751" t="str">
        <f t="shared" si="12"/>
        <v>基础设施债权</v>
      </c>
    </row>
    <row r="752" spans="1:7">
      <c r="A752" s="6">
        <v>44104</v>
      </c>
      <c r="B752" s="98" t="s">
        <v>412</v>
      </c>
      <c r="C752" s="98" t="s">
        <v>263</v>
      </c>
      <c r="D752" s="100" t="s">
        <v>413</v>
      </c>
      <c r="E752" s="100" t="s">
        <v>256</v>
      </c>
      <c r="F752" s="100">
        <v>0.8</v>
      </c>
      <c r="G752" t="str">
        <f t="shared" si="12"/>
        <v>信托型</v>
      </c>
    </row>
    <row r="753" spans="1:7">
      <c r="A753" s="6">
        <v>44104</v>
      </c>
      <c r="B753" s="98"/>
      <c r="C753" s="98" t="s">
        <v>380</v>
      </c>
      <c r="D753" s="100" t="s">
        <v>413</v>
      </c>
      <c r="E753" s="100" t="s">
        <v>259</v>
      </c>
      <c r="F753" s="100">
        <v>3176.2</v>
      </c>
      <c r="G753" t="str">
        <f t="shared" si="12"/>
        <v>信托型</v>
      </c>
    </row>
    <row r="754" spans="1:7">
      <c r="A754" s="6">
        <v>44104</v>
      </c>
      <c r="B754" s="98"/>
      <c r="C754" s="98" t="s">
        <v>414</v>
      </c>
      <c r="D754" s="100" t="s">
        <v>413</v>
      </c>
      <c r="E754" s="100" t="s">
        <v>259</v>
      </c>
      <c r="F754" s="100">
        <v>4764.3</v>
      </c>
      <c r="G754" t="str">
        <f t="shared" si="12"/>
        <v>信托型</v>
      </c>
    </row>
    <row r="755" spans="1:7">
      <c r="A755" s="6">
        <v>44104</v>
      </c>
      <c r="B755" s="98" t="s">
        <v>415</v>
      </c>
      <c r="C755" s="98" t="s">
        <v>266</v>
      </c>
      <c r="D755" s="100" t="s">
        <v>416</v>
      </c>
      <c r="E755" s="100" t="s">
        <v>256</v>
      </c>
      <c r="F755" s="100">
        <v>0.26</v>
      </c>
      <c r="G755" t="str">
        <f t="shared" si="12"/>
        <v>信托型</v>
      </c>
    </row>
    <row r="756" spans="1:7">
      <c r="A756" s="6">
        <v>44104</v>
      </c>
      <c r="B756" s="98"/>
      <c r="C756" s="98" t="s">
        <v>417</v>
      </c>
      <c r="D756" s="100" t="s">
        <v>416</v>
      </c>
      <c r="E756" s="100" t="s">
        <v>259</v>
      </c>
      <c r="F756" s="100">
        <v>1421.25</v>
      </c>
      <c r="G756" t="str">
        <f t="shared" si="12"/>
        <v>信托型</v>
      </c>
    </row>
    <row r="757" spans="1:7">
      <c r="A757" s="6">
        <v>44104</v>
      </c>
      <c r="B757" s="98"/>
      <c r="C757" s="98" t="s">
        <v>418</v>
      </c>
      <c r="D757" s="100" t="s">
        <v>416</v>
      </c>
      <c r="E757" s="100" t="s">
        <v>259</v>
      </c>
      <c r="F757" s="100">
        <v>315.83</v>
      </c>
      <c r="G757" t="str">
        <f t="shared" si="12"/>
        <v>信托型</v>
      </c>
    </row>
    <row r="758" spans="1:7">
      <c r="A758" s="6">
        <v>44104</v>
      </c>
      <c r="B758" s="98"/>
      <c r="C758" s="98" t="s">
        <v>419</v>
      </c>
      <c r="D758" s="100" t="s">
        <v>416</v>
      </c>
      <c r="E758" s="100" t="s">
        <v>259</v>
      </c>
      <c r="F758" s="100">
        <v>3158.33</v>
      </c>
      <c r="G758" t="str">
        <f t="shared" si="12"/>
        <v>信托型</v>
      </c>
    </row>
    <row r="759" spans="1:7">
      <c r="A759" s="6">
        <v>44104</v>
      </c>
      <c r="B759" s="98" t="s">
        <v>420</v>
      </c>
      <c r="C759" s="98" t="s">
        <v>274</v>
      </c>
      <c r="D759" s="100" t="s">
        <v>421</v>
      </c>
      <c r="E759" s="100" t="s">
        <v>256</v>
      </c>
      <c r="F759" s="100">
        <v>53.66</v>
      </c>
      <c r="G759" t="str">
        <f t="shared" si="12"/>
        <v>基础设施债权</v>
      </c>
    </row>
    <row r="760" spans="1:7">
      <c r="A760" s="6">
        <v>44104</v>
      </c>
      <c r="B760" s="98"/>
      <c r="C760" s="98" t="s">
        <v>263</v>
      </c>
      <c r="D760" s="100" t="s">
        <v>421</v>
      </c>
      <c r="E760" s="100" t="s">
        <v>256</v>
      </c>
      <c r="F760" s="100">
        <v>6.46</v>
      </c>
      <c r="G760" t="str">
        <f t="shared" si="12"/>
        <v>基础设施债权</v>
      </c>
    </row>
    <row r="761" spans="1:7">
      <c r="A761" s="6">
        <v>44104</v>
      </c>
      <c r="B761" s="98"/>
      <c r="C761" s="98" t="s">
        <v>266</v>
      </c>
      <c r="D761" s="100" t="s">
        <v>421</v>
      </c>
      <c r="E761" s="100" t="s">
        <v>256</v>
      </c>
      <c r="F761" s="100">
        <v>12.83</v>
      </c>
      <c r="G761" t="str">
        <f t="shared" si="12"/>
        <v>基础设施债权</v>
      </c>
    </row>
    <row r="762" spans="1:7">
      <c r="A762" s="6">
        <v>44104</v>
      </c>
      <c r="B762" s="98"/>
      <c r="C762" s="98" t="s">
        <v>302</v>
      </c>
      <c r="D762" s="100" t="s">
        <v>421</v>
      </c>
      <c r="E762" s="100" t="s">
        <v>259</v>
      </c>
      <c r="F762" s="100">
        <v>659.33</v>
      </c>
      <c r="G762" t="str">
        <f t="shared" si="12"/>
        <v>基础设施债权</v>
      </c>
    </row>
    <row r="763" spans="1:7">
      <c r="A763" s="6">
        <v>44104</v>
      </c>
      <c r="B763" s="98"/>
      <c r="C763" s="98" t="s">
        <v>277</v>
      </c>
      <c r="D763" s="100" t="s">
        <v>421</v>
      </c>
      <c r="E763" s="100" t="s">
        <v>259</v>
      </c>
      <c r="F763" s="100">
        <v>63.84</v>
      </c>
      <c r="G763" t="str">
        <f t="shared" si="12"/>
        <v>基础设施债权</v>
      </c>
    </row>
    <row r="764" spans="1:7">
      <c r="A764" s="6">
        <v>44104</v>
      </c>
      <c r="B764" s="98" t="s">
        <v>422</v>
      </c>
      <c r="C764" s="98" t="s">
        <v>266</v>
      </c>
      <c r="D764" s="100" t="s">
        <v>423</v>
      </c>
      <c r="E764" s="100" t="s">
        <v>256</v>
      </c>
      <c r="F764" s="100">
        <v>39.49</v>
      </c>
      <c r="G764" t="str">
        <f t="shared" si="12"/>
        <v>基础设施债权</v>
      </c>
    </row>
    <row r="765" spans="1:7">
      <c r="A765" s="6">
        <v>44104</v>
      </c>
      <c r="B765" s="98"/>
      <c r="C765" s="98" t="s">
        <v>260</v>
      </c>
      <c r="D765" s="100" t="s">
        <v>423</v>
      </c>
      <c r="E765" s="100" t="s">
        <v>259</v>
      </c>
      <c r="F765" s="100">
        <v>2735.29</v>
      </c>
      <c r="G765" t="str">
        <f t="shared" si="12"/>
        <v>基础设施债权</v>
      </c>
    </row>
    <row r="766" spans="1:7">
      <c r="A766" s="6">
        <v>44104</v>
      </c>
      <c r="B766" s="98" t="s">
        <v>424</v>
      </c>
      <c r="C766" s="98" t="s">
        <v>263</v>
      </c>
      <c r="D766" s="100" t="s">
        <v>425</v>
      </c>
      <c r="E766" s="100" t="s">
        <v>256</v>
      </c>
      <c r="F766" s="100">
        <v>3.27</v>
      </c>
      <c r="G766" t="str">
        <f t="shared" si="12"/>
        <v>基础设施债权</v>
      </c>
    </row>
    <row r="767" spans="1:7">
      <c r="A767" s="6">
        <v>44104</v>
      </c>
      <c r="B767" s="98"/>
      <c r="C767" s="98" t="s">
        <v>266</v>
      </c>
      <c r="D767" s="100" t="s">
        <v>425</v>
      </c>
      <c r="E767" s="100" t="s">
        <v>256</v>
      </c>
      <c r="F767" s="100">
        <v>16.03</v>
      </c>
      <c r="G767" t="str">
        <f t="shared" si="12"/>
        <v>基础设施债权</v>
      </c>
    </row>
    <row r="768" spans="1:7">
      <c r="A768" s="6">
        <v>44104</v>
      </c>
      <c r="B768" s="98"/>
      <c r="C768" s="98" t="s">
        <v>267</v>
      </c>
      <c r="D768" s="100" t="s">
        <v>425</v>
      </c>
      <c r="E768" s="100" t="s">
        <v>259</v>
      </c>
      <c r="F768" s="100">
        <v>1340.08</v>
      </c>
      <c r="G768" t="str">
        <f t="shared" si="12"/>
        <v>基础设施债权</v>
      </c>
    </row>
    <row r="769" spans="1:7">
      <c r="A769" s="6">
        <v>44104</v>
      </c>
      <c r="B769" s="98"/>
      <c r="C769" s="98" t="s">
        <v>290</v>
      </c>
      <c r="D769" s="100" t="s">
        <v>425</v>
      </c>
      <c r="E769" s="100" t="s">
        <v>259</v>
      </c>
      <c r="F769" s="100">
        <v>937.52</v>
      </c>
      <c r="G769" t="str">
        <f t="shared" si="12"/>
        <v>基础设施债权</v>
      </c>
    </row>
    <row r="770" spans="1:7">
      <c r="A770" s="6">
        <v>44104</v>
      </c>
      <c r="B770" s="98"/>
      <c r="C770" s="98" t="s">
        <v>260</v>
      </c>
      <c r="D770" s="100" t="s">
        <v>425</v>
      </c>
      <c r="E770" s="100" t="s">
        <v>259</v>
      </c>
      <c r="F770" s="100">
        <v>2705.67</v>
      </c>
      <c r="G770" t="str">
        <f t="shared" si="12"/>
        <v>基础设施债权</v>
      </c>
    </row>
    <row r="771" spans="1:7">
      <c r="A771" s="6">
        <v>44104</v>
      </c>
      <c r="B771" s="98" t="s">
        <v>426</v>
      </c>
      <c r="C771" s="98" t="s">
        <v>257</v>
      </c>
      <c r="D771" s="100" t="s">
        <v>427</v>
      </c>
      <c r="E771" s="100" t="s">
        <v>256</v>
      </c>
      <c r="F771" s="100">
        <v>9.26</v>
      </c>
      <c r="G771" t="str">
        <f t="shared" ref="G771:G834" si="13">VLOOKUP(D771,L:N,3,0)</f>
        <v>基础设施债权</v>
      </c>
    </row>
    <row r="772" spans="1:7">
      <c r="A772" s="6">
        <v>44104</v>
      </c>
      <c r="B772" s="98"/>
      <c r="C772" s="98" t="s">
        <v>266</v>
      </c>
      <c r="D772" s="100" t="s">
        <v>427</v>
      </c>
      <c r="E772" s="100" t="s">
        <v>256</v>
      </c>
      <c r="F772" s="100">
        <v>2.63</v>
      </c>
      <c r="G772" t="str">
        <f t="shared" si="13"/>
        <v>基础设施债权</v>
      </c>
    </row>
    <row r="773" spans="1:7">
      <c r="A773" s="6">
        <v>44104</v>
      </c>
      <c r="B773" s="98" t="s">
        <v>428</v>
      </c>
      <c r="C773" s="98" t="s">
        <v>265</v>
      </c>
      <c r="D773" s="100" t="s">
        <v>429</v>
      </c>
      <c r="E773" s="100" t="s">
        <v>256</v>
      </c>
      <c r="F773" s="100">
        <v>5.78</v>
      </c>
      <c r="G773" t="str">
        <f t="shared" si="13"/>
        <v>信托型</v>
      </c>
    </row>
    <row r="774" spans="1:7">
      <c r="A774" s="6">
        <v>44104</v>
      </c>
      <c r="B774" s="98"/>
      <c r="C774" s="98" t="s">
        <v>257</v>
      </c>
      <c r="D774" s="100" t="s">
        <v>429</v>
      </c>
      <c r="E774" s="100" t="s">
        <v>256</v>
      </c>
      <c r="F774" s="100">
        <v>5.3</v>
      </c>
      <c r="G774" t="str">
        <f t="shared" si="13"/>
        <v>信托型</v>
      </c>
    </row>
    <row r="775" spans="1:7">
      <c r="A775" s="6">
        <v>44104</v>
      </c>
      <c r="B775" s="98"/>
      <c r="C775" s="98" t="s">
        <v>431</v>
      </c>
      <c r="D775" s="100" t="s">
        <v>429</v>
      </c>
      <c r="E775" s="100" t="s">
        <v>259</v>
      </c>
      <c r="F775" s="100">
        <v>1867.41</v>
      </c>
      <c r="G775" t="str">
        <f t="shared" si="13"/>
        <v>信托型</v>
      </c>
    </row>
    <row r="776" spans="1:7">
      <c r="A776" s="6">
        <v>44104</v>
      </c>
      <c r="B776" s="98"/>
      <c r="C776" s="98" t="s">
        <v>432</v>
      </c>
      <c r="D776" s="100" t="s">
        <v>429</v>
      </c>
      <c r="E776" s="100" t="s">
        <v>259</v>
      </c>
      <c r="F776" s="100">
        <v>1556.17</v>
      </c>
      <c r="G776" t="str">
        <f t="shared" si="13"/>
        <v>信托型</v>
      </c>
    </row>
    <row r="777" spans="1:7">
      <c r="A777" s="6">
        <v>44104</v>
      </c>
      <c r="B777" s="98"/>
      <c r="C777" s="98" t="s">
        <v>481</v>
      </c>
      <c r="D777" s="100" t="s">
        <v>429</v>
      </c>
      <c r="E777" s="100" t="s">
        <v>259</v>
      </c>
      <c r="F777" s="100">
        <v>778.09</v>
      </c>
      <c r="G777" t="str">
        <f t="shared" si="13"/>
        <v>信托型</v>
      </c>
    </row>
    <row r="778" spans="1:7">
      <c r="A778" s="6">
        <v>44104</v>
      </c>
      <c r="B778" s="98" t="s">
        <v>433</v>
      </c>
      <c r="C778" s="98" t="s">
        <v>263</v>
      </c>
      <c r="D778" s="100" t="s">
        <v>434</v>
      </c>
      <c r="E778" s="100" t="s">
        <v>256</v>
      </c>
      <c r="F778" s="100">
        <v>18.41</v>
      </c>
      <c r="G778" t="str">
        <f t="shared" si="13"/>
        <v>信托型</v>
      </c>
    </row>
    <row r="779" spans="1:7">
      <c r="A779" s="6">
        <v>44104</v>
      </c>
      <c r="B779" s="98"/>
      <c r="C779" s="98" t="s">
        <v>266</v>
      </c>
      <c r="D779" s="100" t="s">
        <v>434</v>
      </c>
      <c r="E779" s="100" t="s">
        <v>256</v>
      </c>
      <c r="F779" s="100">
        <v>39.369999999999997</v>
      </c>
      <c r="G779" t="str">
        <f t="shared" si="13"/>
        <v>信托型</v>
      </c>
    </row>
    <row r="780" spans="1:7">
      <c r="A780" s="6">
        <v>44104</v>
      </c>
      <c r="B780" s="98"/>
      <c r="C780" s="98" t="s">
        <v>380</v>
      </c>
      <c r="D780" s="100" t="s">
        <v>434</v>
      </c>
      <c r="E780" s="100" t="s">
        <v>259</v>
      </c>
      <c r="F780" s="100">
        <v>3030.91</v>
      </c>
      <c r="G780" t="str">
        <f t="shared" si="13"/>
        <v>信托型</v>
      </c>
    </row>
    <row r="781" spans="1:7">
      <c r="A781" s="6">
        <v>44104</v>
      </c>
      <c r="B781" s="98" t="s">
        <v>437</v>
      </c>
      <c r="C781" s="98" t="s">
        <v>254</v>
      </c>
      <c r="D781" s="100" t="s">
        <v>438</v>
      </c>
      <c r="E781" s="100" t="s">
        <v>256</v>
      </c>
      <c r="F781" s="100">
        <v>234.72</v>
      </c>
      <c r="G781" t="str">
        <f t="shared" si="13"/>
        <v>基础设施债权</v>
      </c>
    </row>
    <row r="782" spans="1:7">
      <c r="A782" s="6">
        <v>44104</v>
      </c>
      <c r="B782" s="98"/>
      <c r="C782" s="98" t="s">
        <v>274</v>
      </c>
      <c r="D782" s="100" t="s">
        <v>438</v>
      </c>
      <c r="E782" s="100" t="s">
        <v>256</v>
      </c>
      <c r="F782" s="100">
        <v>208.51</v>
      </c>
      <c r="G782" t="str">
        <f t="shared" si="13"/>
        <v>基础设施债权</v>
      </c>
    </row>
    <row r="783" spans="1:7">
      <c r="A783" s="6">
        <v>44104</v>
      </c>
      <c r="B783" s="98"/>
      <c r="C783" s="98" t="s">
        <v>263</v>
      </c>
      <c r="D783" s="100" t="s">
        <v>438</v>
      </c>
      <c r="E783" s="100" t="s">
        <v>256</v>
      </c>
      <c r="F783" s="100">
        <v>51.98</v>
      </c>
      <c r="G783" t="str">
        <f t="shared" si="13"/>
        <v>基础设施债权</v>
      </c>
    </row>
    <row r="784" spans="1:7">
      <c r="A784" s="6">
        <v>44104</v>
      </c>
      <c r="B784" s="98"/>
      <c r="C784" s="98" t="s">
        <v>265</v>
      </c>
      <c r="D784" s="100" t="s">
        <v>438</v>
      </c>
      <c r="E784" s="100" t="s">
        <v>256</v>
      </c>
      <c r="F784" s="100">
        <v>11.06</v>
      </c>
      <c r="G784" t="str">
        <f t="shared" si="13"/>
        <v>基础设施债权</v>
      </c>
    </row>
    <row r="785" spans="1:7">
      <c r="A785" s="6">
        <v>44104</v>
      </c>
      <c r="B785" s="98"/>
      <c r="C785" s="98" t="s">
        <v>257</v>
      </c>
      <c r="D785" s="100" t="s">
        <v>438</v>
      </c>
      <c r="E785" s="100" t="s">
        <v>256</v>
      </c>
      <c r="F785" s="100">
        <v>76.790000000000006</v>
      </c>
      <c r="G785" t="str">
        <f t="shared" si="13"/>
        <v>基础设施债权</v>
      </c>
    </row>
    <row r="786" spans="1:7">
      <c r="A786" s="6">
        <v>44104</v>
      </c>
      <c r="B786" s="98"/>
      <c r="C786" s="98" t="s">
        <v>276</v>
      </c>
      <c r="D786" s="100" t="s">
        <v>438</v>
      </c>
      <c r="E786" s="100" t="s">
        <v>256</v>
      </c>
      <c r="F786" s="100">
        <v>173.64</v>
      </c>
      <c r="G786" t="str">
        <f t="shared" si="13"/>
        <v>基础设施债权</v>
      </c>
    </row>
    <row r="787" spans="1:7">
      <c r="A787" s="6">
        <v>44104</v>
      </c>
      <c r="B787" s="98"/>
      <c r="C787" s="98" t="s">
        <v>266</v>
      </c>
      <c r="D787" s="100" t="s">
        <v>438</v>
      </c>
      <c r="E787" s="100" t="s">
        <v>256</v>
      </c>
      <c r="F787" s="100">
        <v>2.11</v>
      </c>
      <c r="G787" t="str">
        <f t="shared" si="13"/>
        <v>基础设施债权</v>
      </c>
    </row>
    <row r="788" spans="1:7">
      <c r="A788" s="6">
        <v>44104</v>
      </c>
      <c r="B788" s="98"/>
      <c r="C788" s="98" t="s">
        <v>301</v>
      </c>
      <c r="D788" s="100" t="s">
        <v>438</v>
      </c>
      <c r="E788" s="100" t="s">
        <v>259</v>
      </c>
      <c r="F788" s="100">
        <v>1744.43</v>
      </c>
      <c r="G788" t="str">
        <f t="shared" si="13"/>
        <v>基础设施债权</v>
      </c>
    </row>
    <row r="789" spans="1:7">
      <c r="A789" s="6">
        <v>44104</v>
      </c>
      <c r="B789" s="98" t="s">
        <v>439</v>
      </c>
      <c r="C789" s="98" t="s">
        <v>254</v>
      </c>
      <c r="D789" s="100" t="s">
        <v>440</v>
      </c>
      <c r="E789" s="100" t="s">
        <v>256</v>
      </c>
      <c r="F789" s="100">
        <v>291.68</v>
      </c>
      <c r="G789" t="str">
        <f t="shared" si="13"/>
        <v>基础设施债权</v>
      </c>
    </row>
    <row r="790" spans="1:7">
      <c r="A790" s="6">
        <v>44104</v>
      </c>
      <c r="B790" s="98"/>
      <c r="C790" s="98" t="s">
        <v>274</v>
      </c>
      <c r="D790" s="100" t="s">
        <v>440</v>
      </c>
      <c r="E790" s="100" t="s">
        <v>256</v>
      </c>
      <c r="F790" s="100">
        <v>1295.6199999999999</v>
      </c>
      <c r="G790" t="str">
        <f t="shared" si="13"/>
        <v>基础设施债权</v>
      </c>
    </row>
    <row r="791" spans="1:7">
      <c r="A791" s="6">
        <v>44104</v>
      </c>
      <c r="B791" s="98"/>
      <c r="C791" s="98" t="s">
        <v>263</v>
      </c>
      <c r="D791" s="100" t="s">
        <v>440</v>
      </c>
      <c r="E791" s="100" t="s">
        <v>256</v>
      </c>
      <c r="F791" s="100">
        <v>25.39</v>
      </c>
      <c r="G791" t="str">
        <f t="shared" si="13"/>
        <v>基础设施债权</v>
      </c>
    </row>
    <row r="792" spans="1:7">
      <c r="A792" s="6">
        <v>44104</v>
      </c>
      <c r="B792" s="98"/>
      <c r="C792" s="98" t="s">
        <v>257</v>
      </c>
      <c r="D792" s="100" t="s">
        <v>440</v>
      </c>
      <c r="E792" s="100" t="s">
        <v>256</v>
      </c>
      <c r="F792" s="100">
        <v>477.12</v>
      </c>
      <c r="G792" t="str">
        <f t="shared" si="13"/>
        <v>基础设施债权</v>
      </c>
    </row>
    <row r="793" spans="1:7">
      <c r="A793" s="6">
        <v>44104</v>
      </c>
      <c r="B793" s="98" t="s">
        <v>441</v>
      </c>
      <c r="C793" s="98" t="s">
        <v>263</v>
      </c>
      <c r="D793" s="100" t="s">
        <v>442</v>
      </c>
      <c r="E793" s="100" t="s">
        <v>256</v>
      </c>
      <c r="F793" s="100">
        <v>82.55</v>
      </c>
      <c r="G793" t="str">
        <f t="shared" si="13"/>
        <v>固收型</v>
      </c>
    </row>
    <row r="794" spans="1:7">
      <c r="A794" s="6">
        <v>44104</v>
      </c>
      <c r="B794" s="98"/>
      <c r="C794" s="98" t="s">
        <v>265</v>
      </c>
      <c r="D794" s="100" t="s">
        <v>442</v>
      </c>
      <c r="E794" s="100" t="s">
        <v>256</v>
      </c>
      <c r="F794" s="100">
        <v>21.42</v>
      </c>
      <c r="G794" t="str">
        <f t="shared" si="13"/>
        <v>固收型</v>
      </c>
    </row>
    <row r="795" spans="1:7">
      <c r="A795" s="6">
        <v>44104</v>
      </c>
      <c r="B795" s="98"/>
      <c r="C795" s="98" t="s">
        <v>257</v>
      </c>
      <c r="D795" s="100" t="s">
        <v>442</v>
      </c>
      <c r="E795" s="100" t="s">
        <v>256</v>
      </c>
      <c r="F795" s="100">
        <v>49.19</v>
      </c>
      <c r="G795" t="str">
        <f t="shared" si="13"/>
        <v>固收型</v>
      </c>
    </row>
    <row r="796" spans="1:7">
      <c r="A796" s="6">
        <v>44104</v>
      </c>
      <c r="B796" s="98"/>
      <c r="C796" s="98" t="s">
        <v>258</v>
      </c>
      <c r="D796" s="100" t="s">
        <v>442</v>
      </c>
      <c r="E796" s="100" t="s">
        <v>259</v>
      </c>
      <c r="F796" s="100">
        <v>1751.65</v>
      </c>
      <c r="G796" t="str">
        <f t="shared" si="13"/>
        <v>固收型</v>
      </c>
    </row>
    <row r="797" spans="1:7">
      <c r="A797" s="6">
        <v>44104</v>
      </c>
      <c r="B797" s="98"/>
      <c r="C797" s="98" t="s">
        <v>277</v>
      </c>
      <c r="D797" s="100" t="s">
        <v>442</v>
      </c>
      <c r="E797" s="100" t="s">
        <v>259</v>
      </c>
      <c r="F797" s="100">
        <v>1213.75</v>
      </c>
      <c r="G797" t="str">
        <f t="shared" si="13"/>
        <v>固收型</v>
      </c>
    </row>
    <row r="798" spans="1:7">
      <c r="A798" s="6">
        <v>44104</v>
      </c>
      <c r="B798" s="98"/>
      <c r="C798" s="98" t="s">
        <v>261</v>
      </c>
      <c r="D798" s="100" t="s">
        <v>442</v>
      </c>
      <c r="E798" s="100" t="s">
        <v>259</v>
      </c>
      <c r="F798" s="100">
        <v>15720.57</v>
      </c>
      <c r="G798" t="str">
        <f t="shared" si="13"/>
        <v>固收型</v>
      </c>
    </row>
    <row r="799" spans="1:7">
      <c r="A799" s="6">
        <v>44104</v>
      </c>
      <c r="B799" s="98"/>
      <c r="C799" s="98" t="s">
        <v>286</v>
      </c>
      <c r="D799" s="100" t="s">
        <v>442</v>
      </c>
      <c r="E799" s="100" t="s">
        <v>259</v>
      </c>
      <c r="F799" s="100">
        <v>7249.92</v>
      </c>
      <c r="G799" t="str">
        <f t="shared" si="13"/>
        <v>固收型</v>
      </c>
    </row>
    <row r="800" spans="1:7">
      <c r="A800" s="6">
        <v>44104</v>
      </c>
      <c r="B800" s="98" t="s">
        <v>443</v>
      </c>
      <c r="C800" s="98" t="s">
        <v>254</v>
      </c>
      <c r="D800" s="100" t="s">
        <v>444</v>
      </c>
      <c r="E800" s="100" t="s">
        <v>256</v>
      </c>
      <c r="F800" s="100">
        <v>8.6</v>
      </c>
      <c r="G800" t="str">
        <f t="shared" si="13"/>
        <v>混合型</v>
      </c>
    </row>
    <row r="801" spans="1:7">
      <c r="A801" s="6">
        <v>44104</v>
      </c>
      <c r="B801" s="98"/>
      <c r="C801" s="98" t="s">
        <v>263</v>
      </c>
      <c r="D801" s="100" t="s">
        <v>444</v>
      </c>
      <c r="E801" s="100" t="s">
        <v>256</v>
      </c>
      <c r="F801" s="100">
        <v>40.880000000000003</v>
      </c>
      <c r="G801" t="str">
        <f t="shared" si="13"/>
        <v>混合型</v>
      </c>
    </row>
    <row r="802" spans="1:7">
      <c r="A802" s="6">
        <v>44104</v>
      </c>
      <c r="B802" s="98"/>
      <c r="C802" s="98" t="s">
        <v>261</v>
      </c>
      <c r="D802" s="100" t="s">
        <v>444</v>
      </c>
      <c r="E802" s="100" t="s">
        <v>259</v>
      </c>
      <c r="F802" s="100">
        <v>4821.8100000000004</v>
      </c>
      <c r="G802" t="str">
        <f t="shared" si="13"/>
        <v>混合型</v>
      </c>
    </row>
    <row r="803" spans="1:7">
      <c r="A803" s="6">
        <v>44104</v>
      </c>
      <c r="B803" s="98" t="s">
        <v>445</v>
      </c>
      <c r="C803" s="98" t="s">
        <v>266</v>
      </c>
      <c r="D803" s="100" t="s">
        <v>446</v>
      </c>
      <c r="E803" s="100" t="s">
        <v>256</v>
      </c>
      <c r="F803" s="100">
        <v>37.29</v>
      </c>
      <c r="G803" t="str">
        <f t="shared" si="13"/>
        <v>混合型</v>
      </c>
    </row>
    <row r="804" spans="1:7">
      <c r="A804" s="6">
        <v>44104</v>
      </c>
      <c r="B804" s="98" t="s">
        <v>447</v>
      </c>
      <c r="C804" s="98" t="s">
        <v>254</v>
      </c>
      <c r="D804" s="100" t="s">
        <v>448</v>
      </c>
      <c r="E804" s="100" t="s">
        <v>256</v>
      </c>
      <c r="F804" s="100">
        <v>772.99</v>
      </c>
      <c r="G804" t="str">
        <f t="shared" si="13"/>
        <v>混合型</v>
      </c>
    </row>
    <row r="805" spans="1:7">
      <c r="A805" s="6">
        <v>44104</v>
      </c>
      <c r="B805" s="98"/>
      <c r="C805" s="98" t="s">
        <v>274</v>
      </c>
      <c r="D805" s="100" t="s">
        <v>448</v>
      </c>
      <c r="E805" s="100" t="s">
        <v>256</v>
      </c>
      <c r="F805" s="100">
        <v>4667.57</v>
      </c>
      <c r="G805" t="str">
        <f t="shared" si="13"/>
        <v>混合型</v>
      </c>
    </row>
    <row r="806" spans="1:7">
      <c r="A806" s="6">
        <v>44104</v>
      </c>
      <c r="B806" s="98"/>
      <c r="C806" s="98" t="s">
        <v>265</v>
      </c>
      <c r="D806" s="100" t="s">
        <v>448</v>
      </c>
      <c r="E806" s="100" t="s">
        <v>256</v>
      </c>
      <c r="F806" s="100">
        <v>250.66</v>
      </c>
      <c r="G806" t="str">
        <f t="shared" si="13"/>
        <v>混合型</v>
      </c>
    </row>
    <row r="807" spans="1:7">
      <c r="A807" s="6">
        <v>44104</v>
      </c>
      <c r="B807" s="98" t="s">
        <v>449</v>
      </c>
      <c r="C807" s="98" t="s">
        <v>254</v>
      </c>
      <c r="D807" s="100" t="s">
        <v>450</v>
      </c>
      <c r="E807" s="100" t="s">
        <v>256</v>
      </c>
      <c r="F807" s="100">
        <v>373.38</v>
      </c>
      <c r="G807" t="str">
        <f t="shared" si="13"/>
        <v>混合型</v>
      </c>
    </row>
    <row r="808" spans="1:7">
      <c r="A808" s="6">
        <v>44104</v>
      </c>
      <c r="B808" s="98"/>
      <c r="C808" s="98" t="s">
        <v>274</v>
      </c>
      <c r="D808" s="100" t="s">
        <v>450</v>
      </c>
      <c r="E808" s="100" t="s">
        <v>256</v>
      </c>
      <c r="F808" s="100">
        <v>1094.18</v>
      </c>
      <c r="G808" t="str">
        <f t="shared" si="13"/>
        <v>混合型</v>
      </c>
    </row>
    <row r="809" spans="1:7">
      <c r="A809" s="6">
        <v>44104</v>
      </c>
      <c r="B809" s="98"/>
      <c r="C809" s="98" t="s">
        <v>265</v>
      </c>
      <c r="D809" s="100" t="s">
        <v>450</v>
      </c>
      <c r="E809" s="100" t="s">
        <v>256</v>
      </c>
      <c r="F809" s="100">
        <v>74.09</v>
      </c>
      <c r="G809" t="str">
        <f t="shared" si="13"/>
        <v>混合型</v>
      </c>
    </row>
    <row r="810" spans="1:7">
      <c r="A810" s="6">
        <v>44104</v>
      </c>
      <c r="B810" s="98"/>
      <c r="C810" s="98" t="s">
        <v>266</v>
      </c>
      <c r="D810" s="100" t="s">
        <v>450</v>
      </c>
      <c r="E810" s="100" t="s">
        <v>256</v>
      </c>
      <c r="F810" s="100">
        <v>26.55</v>
      </c>
      <c r="G810" t="str">
        <f t="shared" si="13"/>
        <v>混合型</v>
      </c>
    </row>
    <row r="811" spans="1:7">
      <c r="A811" s="6">
        <v>44104</v>
      </c>
      <c r="B811" s="98" t="s">
        <v>451</v>
      </c>
      <c r="C811" s="98" t="s">
        <v>254</v>
      </c>
      <c r="D811" s="100" t="s">
        <v>452</v>
      </c>
      <c r="E811" s="100" t="s">
        <v>256</v>
      </c>
      <c r="F811" s="100">
        <v>1057.19</v>
      </c>
      <c r="G811" t="str">
        <f t="shared" si="13"/>
        <v>混合型</v>
      </c>
    </row>
    <row r="812" spans="1:7">
      <c r="A812" s="6">
        <v>44104</v>
      </c>
      <c r="B812" s="98"/>
      <c r="C812" s="98" t="s">
        <v>257</v>
      </c>
      <c r="D812" s="100" t="s">
        <v>452</v>
      </c>
      <c r="E812" s="100" t="s">
        <v>256</v>
      </c>
      <c r="F812" s="100">
        <v>494</v>
      </c>
      <c r="G812" t="str">
        <f t="shared" si="13"/>
        <v>混合型</v>
      </c>
    </row>
    <row r="813" spans="1:7">
      <c r="A813" s="6">
        <v>44104</v>
      </c>
      <c r="B813" s="98"/>
      <c r="C813" s="98" t="s">
        <v>258</v>
      </c>
      <c r="D813" s="100" t="s">
        <v>452</v>
      </c>
      <c r="E813" s="100" t="s">
        <v>259</v>
      </c>
      <c r="F813" s="100">
        <v>3083.39</v>
      </c>
      <c r="G813" t="str">
        <f t="shared" si="13"/>
        <v>混合型</v>
      </c>
    </row>
    <row r="814" spans="1:7">
      <c r="A814" s="6">
        <v>44104</v>
      </c>
      <c r="B814" s="98" t="s">
        <v>453</v>
      </c>
      <c r="C814" s="98" t="s">
        <v>260</v>
      </c>
      <c r="D814" s="100" t="s">
        <v>454</v>
      </c>
      <c r="E814" s="100" t="s">
        <v>259</v>
      </c>
      <c r="F814" s="100">
        <v>416.2</v>
      </c>
      <c r="G814" t="str">
        <f t="shared" si="13"/>
        <v>基础设施债权</v>
      </c>
    </row>
    <row r="815" spans="1:7">
      <c r="A815" s="6">
        <v>44104</v>
      </c>
      <c r="B815" s="98" t="s">
        <v>455</v>
      </c>
      <c r="C815" s="98" t="s">
        <v>260</v>
      </c>
      <c r="D815" s="100" t="s">
        <v>456</v>
      </c>
      <c r="E815" s="100" t="s">
        <v>259</v>
      </c>
      <c r="F815" s="100">
        <v>2945.88</v>
      </c>
      <c r="G815" t="str">
        <f t="shared" si="13"/>
        <v>基础设施债权</v>
      </c>
    </row>
    <row r="816" spans="1:7">
      <c r="A816" s="6">
        <v>44104</v>
      </c>
      <c r="B816" s="98"/>
      <c r="C816" s="98" t="s">
        <v>302</v>
      </c>
      <c r="D816" s="100" t="s">
        <v>456</v>
      </c>
      <c r="E816" s="100" t="s">
        <v>259</v>
      </c>
      <c r="F816" s="100">
        <v>1164.7</v>
      </c>
      <c r="G816" t="str">
        <f t="shared" si="13"/>
        <v>基础设施债权</v>
      </c>
    </row>
    <row r="817" spans="1:7">
      <c r="A817" s="6">
        <v>44104</v>
      </c>
      <c r="B817" s="98" t="s">
        <v>457</v>
      </c>
      <c r="C817" s="98" t="s">
        <v>302</v>
      </c>
      <c r="D817" s="100" t="s">
        <v>458</v>
      </c>
      <c r="E817" s="100" t="s">
        <v>259</v>
      </c>
      <c r="F817" s="100">
        <v>227.05</v>
      </c>
      <c r="G817" t="str">
        <f t="shared" si="13"/>
        <v>存款型</v>
      </c>
    </row>
    <row r="818" spans="1:7">
      <c r="A818" s="6">
        <v>44104</v>
      </c>
      <c r="B818" s="98" t="s">
        <v>459</v>
      </c>
      <c r="C818" s="98" t="s">
        <v>460</v>
      </c>
      <c r="D818" s="100" t="s">
        <v>461</v>
      </c>
      <c r="E818" s="100" t="s">
        <v>259</v>
      </c>
      <c r="F818" s="100">
        <v>477.24</v>
      </c>
      <c r="G818" t="str">
        <f t="shared" si="13"/>
        <v>存款型</v>
      </c>
    </row>
    <row r="819" spans="1:7">
      <c r="A819" s="6">
        <v>44104</v>
      </c>
      <c r="B819" s="98"/>
      <c r="C819" s="98" t="s">
        <v>462</v>
      </c>
      <c r="D819" s="100" t="s">
        <v>461</v>
      </c>
      <c r="E819" s="100" t="s">
        <v>259</v>
      </c>
      <c r="F819" s="100">
        <v>477.24</v>
      </c>
      <c r="G819" t="str">
        <f t="shared" si="13"/>
        <v>存款型</v>
      </c>
    </row>
    <row r="820" spans="1:7">
      <c r="A820" s="6">
        <v>44104</v>
      </c>
      <c r="B820" s="98" t="s">
        <v>463</v>
      </c>
      <c r="C820" s="98" t="s">
        <v>254</v>
      </c>
      <c r="D820" s="100" t="s">
        <v>464</v>
      </c>
      <c r="E820" s="100" t="s">
        <v>256</v>
      </c>
      <c r="F820" s="100">
        <v>164.45</v>
      </c>
      <c r="G820" t="str">
        <f t="shared" si="13"/>
        <v>混合型</v>
      </c>
    </row>
    <row r="821" spans="1:7">
      <c r="A821" s="6">
        <v>44104</v>
      </c>
      <c r="B821" s="98"/>
      <c r="C821" s="98" t="s">
        <v>265</v>
      </c>
      <c r="D821" s="100" t="s">
        <v>464</v>
      </c>
      <c r="E821" s="100" t="s">
        <v>256</v>
      </c>
      <c r="F821" s="100">
        <v>22.67</v>
      </c>
      <c r="G821" t="str">
        <f t="shared" si="13"/>
        <v>混合型</v>
      </c>
    </row>
    <row r="822" spans="1:7">
      <c r="A822" s="6">
        <v>44104</v>
      </c>
      <c r="B822" s="98"/>
      <c r="C822" s="98" t="s">
        <v>266</v>
      </c>
      <c r="D822" s="100" t="s">
        <v>464</v>
      </c>
      <c r="E822" s="100" t="s">
        <v>256</v>
      </c>
      <c r="F822" s="100">
        <v>69.61</v>
      </c>
      <c r="G822" t="str">
        <f t="shared" si="13"/>
        <v>混合型</v>
      </c>
    </row>
    <row r="823" spans="1:7">
      <c r="A823" s="6">
        <v>44104</v>
      </c>
      <c r="B823" s="98" t="s">
        <v>465</v>
      </c>
      <c r="C823" s="98" t="s">
        <v>274</v>
      </c>
      <c r="D823" s="100" t="s">
        <v>466</v>
      </c>
      <c r="E823" s="100" t="s">
        <v>256</v>
      </c>
      <c r="F823" s="100">
        <v>558.55999999999995</v>
      </c>
      <c r="G823" t="str">
        <f t="shared" si="13"/>
        <v>混合型</v>
      </c>
    </row>
    <row r="824" spans="1:7">
      <c r="A824" s="6">
        <v>44104</v>
      </c>
      <c r="B824" s="98"/>
      <c r="C824" s="98" t="s">
        <v>263</v>
      </c>
      <c r="D824" s="100" t="s">
        <v>466</v>
      </c>
      <c r="E824" s="100" t="s">
        <v>256</v>
      </c>
      <c r="F824" s="100">
        <v>3.36</v>
      </c>
      <c r="G824" t="str">
        <f t="shared" si="13"/>
        <v>混合型</v>
      </c>
    </row>
    <row r="825" spans="1:7">
      <c r="A825" s="6">
        <v>44104</v>
      </c>
      <c r="B825" s="98" t="s">
        <v>467</v>
      </c>
      <c r="C825" s="98" t="s">
        <v>266</v>
      </c>
      <c r="D825" s="100" t="s">
        <v>468</v>
      </c>
      <c r="E825" s="100" t="s">
        <v>256</v>
      </c>
      <c r="F825" s="100">
        <v>154.84</v>
      </c>
      <c r="G825" t="str">
        <f t="shared" si="13"/>
        <v>混合型</v>
      </c>
    </row>
    <row r="826" spans="1:7">
      <c r="A826" s="6">
        <v>44104</v>
      </c>
      <c r="B826" s="98" t="s">
        <v>482</v>
      </c>
      <c r="C826" s="98" t="s">
        <v>254</v>
      </c>
      <c r="D826" s="100" t="s">
        <v>483</v>
      </c>
      <c r="E826" s="100" t="s">
        <v>256</v>
      </c>
      <c r="F826" s="100">
        <v>466.52</v>
      </c>
      <c r="G826" t="str">
        <f t="shared" si="13"/>
        <v>基础设施债权</v>
      </c>
    </row>
    <row r="827" spans="1:7">
      <c r="A827" s="6">
        <v>44104</v>
      </c>
      <c r="B827" s="98"/>
      <c r="C827" s="98" t="s">
        <v>274</v>
      </c>
      <c r="D827" s="100" t="s">
        <v>483</v>
      </c>
      <c r="E827" s="100" t="s">
        <v>256</v>
      </c>
      <c r="F827" s="100">
        <v>1382.76</v>
      </c>
      <c r="G827" t="str">
        <f t="shared" si="13"/>
        <v>基础设施债权</v>
      </c>
    </row>
    <row r="828" spans="1:7">
      <c r="A828" s="6">
        <v>44104</v>
      </c>
      <c r="B828" s="98"/>
      <c r="C828" s="98" t="s">
        <v>257</v>
      </c>
      <c r="D828" s="100" t="s">
        <v>483</v>
      </c>
      <c r="E828" s="100" t="s">
        <v>256</v>
      </c>
      <c r="F828" s="100">
        <v>416.95</v>
      </c>
      <c r="G828" t="str">
        <f t="shared" si="13"/>
        <v>基础设施债权</v>
      </c>
    </row>
    <row r="829" spans="1:7">
      <c r="A829" s="6">
        <v>44104</v>
      </c>
      <c r="B829" s="98"/>
      <c r="C829" s="98" t="s">
        <v>276</v>
      </c>
      <c r="D829" s="100" t="s">
        <v>483</v>
      </c>
      <c r="E829" s="100" t="s">
        <v>256</v>
      </c>
      <c r="F829" s="100">
        <v>293.82</v>
      </c>
      <c r="G829" t="str">
        <f t="shared" si="13"/>
        <v>基础设施债权</v>
      </c>
    </row>
    <row r="830" spans="1:7">
      <c r="A830" s="6">
        <v>44104</v>
      </c>
      <c r="B830" s="98" t="s">
        <v>484</v>
      </c>
      <c r="C830" s="98" t="s">
        <v>265</v>
      </c>
      <c r="D830" s="100" t="s">
        <v>485</v>
      </c>
      <c r="E830" s="100" t="s">
        <v>256</v>
      </c>
      <c r="F830" s="100">
        <v>12.11</v>
      </c>
      <c r="G830" t="str">
        <f t="shared" si="13"/>
        <v>股票型</v>
      </c>
    </row>
    <row r="831" spans="1:7">
      <c r="A831" s="6">
        <v>44043</v>
      </c>
      <c r="B831" t="s">
        <v>253</v>
      </c>
      <c r="C831" t="s">
        <v>254</v>
      </c>
      <c r="D831" t="s">
        <v>255</v>
      </c>
      <c r="E831" t="s">
        <v>256</v>
      </c>
      <c r="F831">
        <v>40.98</v>
      </c>
      <c r="G831" t="str">
        <f t="shared" si="13"/>
        <v>股票型</v>
      </c>
    </row>
    <row r="832" spans="1:7">
      <c r="A832" s="6">
        <v>44043</v>
      </c>
      <c r="C832" t="s">
        <v>274</v>
      </c>
      <c r="D832" t="s">
        <v>255</v>
      </c>
      <c r="E832" t="s">
        <v>256</v>
      </c>
      <c r="F832">
        <v>210.02</v>
      </c>
      <c r="G832" t="str">
        <f t="shared" si="13"/>
        <v>股票型</v>
      </c>
    </row>
    <row r="833" spans="1:7">
      <c r="A833" s="6">
        <v>44043</v>
      </c>
      <c r="C833" t="s">
        <v>257</v>
      </c>
      <c r="D833" t="s">
        <v>255</v>
      </c>
      <c r="E833" t="s">
        <v>256</v>
      </c>
      <c r="F833">
        <v>377.23</v>
      </c>
      <c r="G833" t="str">
        <f t="shared" si="13"/>
        <v>股票型</v>
      </c>
    </row>
    <row r="834" spans="1:7">
      <c r="A834" s="6">
        <v>44043</v>
      </c>
      <c r="C834" t="s">
        <v>260</v>
      </c>
      <c r="D834" t="s">
        <v>255</v>
      </c>
      <c r="E834" t="s">
        <v>259</v>
      </c>
      <c r="F834">
        <v>2760.63</v>
      </c>
      <c r="G834" t="str">
        <f t="shared" si="13"/>
        <v>股票型</v>
      </c>
    </row>
    <row r="835" spans="1:7">
      <c r="A835" s="6">
        <v>44043</v>
      </c>
      <c r="C835" t="s">
        <v>261</v>
      </c>
      <c r="D835" t="s">
        <v>255</v>
      </c>
      <c r="E835" t="s">
        <v>259</v>
      </c>
      <c r="F835">
        <v>400.71</v>
      </c>
      <c r="G835" t="str">
        <f t="shared" ref="G835:G898" si="14">VLOOKUP(D835,L:N,3,0)</f>
        <v>股票型</v>
      </c>
    </row>
    <row r="836" spans="1:7">
      <c r="A836" s="6">
        <v>44043</v>
      </c>
      <c r="B836" t="s">
        <v>262</v>
      </c>
      <c r="C836" t="s">
        <v>263</v>
      </c>
      <c r="D836" t="s">
        <v>264</v>
      </c>
      <c r="E836" t="s">
        <v>256</v>
      </c>
      <c r="F836">
        <v>162.62</v>
      </c>
      <c r="G836" t="str">
        <f t="shared" si="14"/>
        <v>债券型</v>
      </c>
    </row>
    <row r="837" spans="1:7">
      <c r="A837" s="6">
        <v>44043</v>
      </c>
      <c r="C837" t="s">
        <v>265</v>
      </c>
      <c r="D837" t="s">
        <v>264</v>
      </c>
      <c r="E837" t="s">
        <v>256</v>
      </c>
      <c r="F837">
        <v>52.91</v>
      </c>
      <c r="G837" t="str">
        <f t="shared" si="14"/>
        <v>债券型</v>
      </c>
    </row>
    <row r="838" spans="1:7">
      <c r="A838" s="6">
        <v>44043</v>
      </c>
      <c r="C838" t="s">
        <v>266</v>
      </c>
      <c r="D838" t="s">
        <v>264</v>
      </c>
      <c r="E838" t="s">
        <v>256</v>
      </c>
      <c r="F838">
        <v>279.73</v>
      </c>
      <c r="G838" t="str">
        <f t="shared" si="14"/>
        <v>债券型</v>
      </c>
    </row>
    <row r="839" spans="1:7">
      <c r="A839" s="6">
        <v>44043</v>
      </c>
      <c r="C839" t="s">
        <v>267</v>
      </c>
      <c r="D839" t="s">
        <v>264</v>
      </c>
      <c r="E839" t="s">
        <v>259</v>
      </c>
      <c r="F839">
        <v>1282.52</v>
      </c>
      <c r="G839" t="str">
        <f t="shared" si="14"/>
        <v>债券型</v>
      </c>
    </row>
    <row r="840" spans="1:7">
      <c r="A840" s="6">
        <v>44043</v>
      </c>
      <c r="C840" t="s">
        <v>258</v>
      </c>
      <c r="D840" t="s">
        <v>264</v>
      </c>
      <c r="E840" t="s">
        <v>259</v>
      </c>
      <c r="F840">
        <v>1025.1500000000001</v>
      </c>
      <c r="G840" t="str">
        <f t="shared" si="14"/>
        <v>债券型</v>
      </c>
    </row>
    <row r="841" spans="1:7">
      <c r="A841" s="6">
        <v>44043</v>
      </c>
      <c r="C841" t="s">
        <v>268</v>
      </c>
      <c r="D841" t="s">
        <v>264</v>
      </c>
      <c r="E841" t="s">
        <v>259</v>
      </c>
      <c r="F841">
        <v>5906.64</v>
      </c>
      <c r="G841" t="str">
        <f t="shared" si="14"/>
        <v>债券型</v>
      </c>
    </row>
    <row r="842" spans="1:7">
      <c r="A842" s="6">
        <v>44043</v>
      </c>
      <c r="C842" t="s">
        <v>269</v>
      </c>
      <c r="D842" t="s">
        <v>264</v>
      </c>
      <c r="E842" t="s">
        <v>270</v>
      </c>
      <c r="F842">
        <v>6443.58</v>
      </c>
      <c r="G842" t="str">
        <f t="shared" si="14"/>
        <v>债券型</v>
      </c>
    </row>
    <row r="843" spans="1:7">
      <c r="A843" s="6">
        <v>44043</v>
      </c>
      <c r="C843" t="s">
        <v>271</v>
      </c>
      <c r="D843" t="s">
        <v>264</v>
      </c>
      <c r="E843" t="s">
        <v>270</v>
      </c>
      <c r="F843">
        <v>449.52</v>
      </c>
      <c r="G843" t="str">
        <f t="shared" si="14"/>
        <v>债券型</v>
      </c>
    </row>
    <row r="844" spans="1:7">
      <c r="A844" s="6">
        <v>44043</v>
      </c>
      <c r="C844" t="s">
        <v>272</v>
      </c>
      <c r="D844" t="s">
        <v>264</v>
      </c>
      <c r="E844" t="s">
        <v>270</v>
      </c>
      <c r="F844">
        <v>37.47</v>
      </c>
      <c r="G844" t="str">
        <f t="shared" si="14"/>
        <v>债券型</v>
      </c>
    </row>
    <row r="845" spans="1:7">
      <c r="A845" s="6">
        <v>44043</v>
      </c>
      <c r="B845" t="s">
        <v>273</v>
      </c>
      <c r="C845" t="s">
        <v>274</v>
      </c>
      <c r="D845" t="s">
        <v>275</v>
      </c>
      <c r="E845" t="s">
        <v>256</v>
      </c>
      <c r="F845">
        <v>120.73</v>
      </c>
      <c r="G845" t="str">
        <f t="shared" si="14"/>
        <v>混合型</v>
      </c>
    </row>
    <row r="846" spans="1:7">
      <c r="A846" s="6">
        <v>44043</v>
      </c>
      <c r="C846" t="s">
        <v>265</v>
      </c>
      <c r="D846" t="s">
        <v>275</v>
      </c>
      <c r="E846" t="s">
        <v>256</v>
      </c>
      <c r="F846">
        <v>24.46</v>
      </c>
      <c r="G846" t="str">
        <f t="shared" si="14"/>
        <v>混合型</v>
      </c>
    </row>
    <row r="847" spans="1:7">
      <c r="A847" s="6">
        <v>44043</v>
      </c>
      <c r="C847" t="s">
        <v>257</v>
      </c>
      <c r="D847" t="s">
        <v>275</v>
      </c>
      <c r="E847" t="s">
        <v>256</v>
      </c>
      <c r="F847">
        <v>29.65</v>
      </c>
      <c r="G847" t="str">
        <f t="shared" si="14"/>
        <v>混合型</v>
      </c>
    </row>
    <row r="848" spans="1:7">
      <c r="A848" s="6">
        <v>44043</v>
      </c>
      <c r="C848" t="s">
        <v>276</v>
      </c>
      <c r="D848" t="s">
        <v>275</v>
      </c>
      <c r="E848" t="s">
        <v>256</v>
      </c>
      <c r="F848">
        <v>296.48</v>
      </c>
      <c r="G848" t="str">
        <f t="shared" si="14"/>
        <v>混合型</v>
      </c>
    </row>
    <row r="849" spans="1:7">
      <c r="A849" s="6">
        <v>44043</v>
      </c>
      <c r="C849" t="s">
        <v>266</v>
      </c>
      <c r="D849" t="s">
        <v>275</v>
      </c>
      <c r="E849" t="s">
        <v>256</v>
      </c>
      <c r="F849">
        <v>26.88</v>
      </c>
      <c r="G849" t="str">
        <f t="shared" si="14"/>
        <v>混合型</v>
      </c>
    </row>
    <row r="850" spans="1:7">
      <c r="A850" s="6">
        <v>44043</v>
      </c>
      <c r="C850" t="s">
        <v>260</v>
      </c>
      <c r="D850" t="s">
        <v>275</v>
      </c>
      <c r="E850" t="s">
        <v>259</v>
      </c>
      <c r="F850">
        <v>9748.85</v>
      </c>
      <c r="G850" t="str">
        <f t="shared" si="14"/>
        <v>混合型</v>
      </c>
    </row>
    <row r="851" spans="1:7">
      <c r="A851" s="6">
        <v>44043</v>
      </c>
      <c r="C851" t="s">
        <v>277</v>
      </c>
      <c r="D851" t="s">
        <v>275</v>
      </c>
      <c r="E851" t="s">
        <v>259</v>
      </c>
      <c r="F851">
        <v>355.3</v>
      </c>
      <c r="G851" t="str">
        <f t="shared" si="14"/>
        <v>混合型</v>
      </c>
    </row>
    <row r="852" spans="1:7">
      <c r="A852" s="6">
        <v>44043</v>
      </c>
      <c r="B852" t="s">
        <v>279</v>
      </c>
      <c r="C852" t="s">
        <v>254</v>
      </c>
      <c r="D852" t="s">
        <v>280</v>
      </c>
      <c r="E852" t="s">
        <v>256</v>
      </c>
      <c r="F852">
        <v>164.93</v>
      </c>
      <c r="G852" t="str">
        <f t="shared" si="14"/>
        <v>混合型</v>
      </c>
    </row>
    <row r="853" spans="1:7">
      <c r="A853" s="6">
        <v>44043</v>
      </c>
      <c r="C853" t="s">
        <v>276</v>
      </c>
      <c r="D853" t="s">
        <v>280</v>
      </c>
      <c r="E853" t="s">
        <v>256</v>
      </c>
      <c r="F853">
        <v>206.76</v>
      </c>
      <c r="G853" t="str">
        <f t="shared" si="14"/>
        <v>混合型</v>
      </c>
    </row>
    <row r="854" spans="1:7">
      <c r="A854" s="6">
        <v>44043</v>
      </c>
      <c r="C854" t="s">
        <v>266</v>
      </c>
      <c r="D854" t="s">
        <v>280</v>
      </c>
      <c r="E854" t="s">
        <v>256</v>
      </c>
      <c r="F854">
        <v>83.63</v>
      </c>
      <c r="G854" t="str">
        <f t="shared" si="14"/>
        <v>混合型</v>
      </c>
    </row>
    <row r="855" spans="1:7">
      <c r="A855" s="6">
        <v>44043</v>
      </c>
      <c r="C855" t="s">
        <v>260</v>
      </c>
      <c r="D855" t="s">
        <v>280</v>
      </c>
      <c r="E855" t="s">
        <v>259</v>
      </c>
      <c r="F855">
        <v>9800.76</v>
      </c>
      <c r="G855" t="str">
        <f t="shared" si="14"/>
        <v>混合型</v>
      </c>
    </row>
    <row r="856" spans="1:7">
      <c r="A856" s="6">
        <v>44043</v>
      </c>
      <c r="C856" t="s">
        <v>277</v>
      </c>
      <c r="D856" t="s">
        <v>280</v>
      </c>
      <c r="E856" t="s">
        <v>259</v>
      </c>
      <c r="F856">
        <v>343</v>
      </c>
      <c r="G856" t="str">
        <f t="shared" si="14"/>
        <v>混合型</v>
      </c>
    </row>
    <row r="857" spans="1:7">
      <c r="A857" s="6">
        <v>44043</v>
      </c>
      <c r="B857" t="s">
        <v>281</v>
      </c>
      <c r="C857" t="s">
        <v>263</v>
      </c>
      <c r="D857" t="s">
        <v>282</v>
      </c>
      <c r="E857" t="s">
        <v>256</v>
      </c>
      <c r="F857">
        <v>37.549999999999997</v>
      </c>
      <c r="G857" t="str">
        <f t="shared" si="14"/>
        <v>固收型</v>
      </c>
    </row>
    <row r="858" spans="1:7">
      <c r="A858" s="6">
        <v>44043</v>
      </c>
      <c r="C858" t="s">
        <v>257</v>
      </c>
      <c r="D858" t="s">
        <v>282</v>
      </c>
      <c r="E858" t="s">
        <v>256</v>
      </c>
      <c r="F858">
        <v>102.17</v>
      </c>
      <c r="G858" t="str">
        <f t="shared" si="14"/>
        <v>固收型</v>
      </c>
    </row>
    <row r="859" spans="1:7">
      <c r="A859" s="6">
        <v>44043</v>
      </c>
      <c r="C859" t="s">
        <v>276</v>
      </c>
      <c r="D859" t="s">
        <v>282</v>
      </c>
      <c r="E859" t="s">
        <v>256</v>
      </c>
      <c r="F859">
        <v>261.32</v>
      </c>
      <c r="G859" t="str">
        <f t="shared" si="14"/>
        <v>固收型</v>
      </c>
    </row>
    <row r="860" spans="1:7">
      <c r="A860" s="6">
        <v>44043</v>
      </c>
      <c r="C860" t="s">
        <v>283</v>
      </c>
      <c r="D860" t="s">
        <v>282</v>
      </c>
      <c r="E860" t="s">
        <v>256</v>
      </c>
      <c r="F860">
        <v>12.7</v>
      </c>
      <c r="G860" t="str">
        <f t="shared" si="14"/>
        <v>固收型</v>
      </c>
    </row>
    <row r="861" spans="1:7">
      <c r="A861" s="6">
        <v>44043</v>
      </c>
      <c r="C861" t="s">
        <v>267</v>
      </c>
      <c r="D861" t="s">
        <v>282</v>
      </c>
      <c r="E861" t="s">
        <v>259</v>
      </c>
      <c r="F861">
        <v>913.44</v>
      </c>
      <c r="G861" t="str">
        <f t="shared" si="14"/>
        <v>固收型</v>
      </c>
    </row>
    <row r="862" spans="1:7">
      <c r="A862" s="6">
        <v>44043</v>
      </c>
      <c r="C862" t="s">
        <v>284</v>
      </c>
      <c r="D862" t="s">
        <v>282</v>
      </c>
      <c r="E862" t="s">
        <v>259</v>
      </c>
      <c r="F862">
        <v>208.66</v>
      </c>
      <c r="G862" t="str">
        <f t="shared" si="14"/>
        <v>固收型</v>
      </c>
    </row>
    <row r="863" spans="1:7">
      <c r="A863" s="6">
        <v>44043</v>
      </c>
      <c r="C863" t="s">
        <v>258</v>
      </c>
      <c r="D863" t="s">
        <v>282</v>
      </c>
      <c r="E863" t="s">
        <v>259</v>
      </c>
      <c r="F863">
        <v>2118.7399999999998</v>
      </c>
      <c r="G863" t="str">
        <f t="shared" si="14"/>
        <v>固收型</v>
      </c>
    </row>
    <row r="864" spans="1:7">
      <c r="A864" s="6">
        <v>44043</v>
      </c>
      <c r="C864" t="s">
        <v>277</v>
      </c>
      <c r="D864" t="s">
        <v>282</v>
      </c>
      <c r="E864" t="s">
        <v>259</v>
      </c>
      <c r="F864">
        <v>1518.78</v>
      </c>
      <c r="G864" t="str">
        <f t="shared" si="14"/>
        <v>固收型</v>
      </c>
    </row>
    <row r="865" spans="1:7">
      <c r="A865" s="6">
        <v>44043</v>
      </c>
      <c r="C865" t="s">
        <v>285</v>
      </c>
      <c r="D865" t="s">
        <v>282</v>
      </c>
      <c r="E865" t="s">
        <v>259</v>
      </c>
      <c r="F865">
        <v>2334.25</v>
      </c>
      <c r="G865" t="str">
        <f t="shared" si="14"/>
        <v>固收型</v>
      </c>
    </row>
    <row r="866" spans="1:7">
      <c r="A866" s="6">
        <v>44043</v>
      </c>
      <c r="C866" t="s">
        <v>286</v>
      </c>
      <c r="D866" t="s">
        <v>282</v>
      </c>
      <c r="E866" t="s">
        <v>259</v>
      </c>
      <c r="F866">
        <v>7603.18</v>
      </c>
      <c r="G866" t="str">
        <f t="shared" si="14"/>
        <v>固收型</v>
      </c>
    </row>
    <row r="867" spans="1:7">
      <c r="A867" s="6">
        <v>44043</v>
      </c>
      <c r="B867" t="s">
        <v>287</v>
      </c>
      <c r="C867" t="s">
        <v>254</v>
      </c>
      <c r="D867" t="s">
        <v>288</v>
      </c>
      <c r="E867" t="s">
        <v>256</v>
      </c>
      <c r="F867">
        <v>119.58</v>
      </c>
      <c r="G867" t="str">
        <f t="shared" si="14"/>
        <v>基础设施债权</v>
      </c>
    </row>
    <row r="868" spans="1:7">
      <c r="A868" s="6">
        <v>44043</v>
      </c>
      <c r="C868" t="s">
        <v>274</v>
      </c>
      <c r="D868" t="s">
        <v>288</v>
      </c>
      <c r="E868" t="s">
        <v>256</v>
      </c>
      <c r="F868">
        <v>1211.52</v>
      </c>
      <c r="G868" t="str">
        <f t="shared" si="14"/>
        <v>基础设施债权</v>
      </c>
    </row>
    <row r="869" spans="1:7">
      <c r="A869" s="6">
        <v>44043</v>
      </c>
      <c r="C869" t="s">
        <v>263</v>
      </c>
      <c r="D869" t="s">
        <v>288</v>
      </c>
      <c r="E869" t="s">
        <v>256</v>
      </c>
      <c r="F869">
        <v>45.33</v>
      </c>
      <c r="G869" t="str">
        <f t="shared" si="14"/>
        <v>基础设施债权</v>
      </c>
    </row>
    <row r="870" spans="1:7">
      <c r="A870" s="6">
        <v>44043</v>
      </c>
      <c r="C870" t="s">
        <v>265</v>
      </c>
      <c r="D870" t="s">
        <v>288</v>
      </c>
      <c r="E870" t="s">
        <v>256</v>
      </c>
      <c r="F870">
        <v>22.77</v>
      </c>
      <c r="G870" t="str">
        <f t="shared" si="14"/>
        <v>基础设施债权</v>
      </c>
    </row>
    <row r="871" spans="1:7">
      <c r="A871" s="6">
        <v>44043</v>
      </c>
      <c r="C871" t="s">
        <v>257</v>
      </c>
      <c r="D871" t="s">
        <v>288</v>
      </c>
      <c r="E871" t="s">
        <v>256</v>
      </c>
      <c r="F871">
        <v>63.74</v>
      </c>
      <c r="G871" t="str">
        <f t="shared" si="14"/>
        <v>基础设施债权</v>
      </c>
    </row>
    <row r="872" spans="1:7">
      <c r="A872" s="6">
        <v>44043</v>
      </c>
      <c r="C872" t="s">
        <v>276</v>
      </c>
      <c r="D872" t="s">
        <v>288</v>
      </c>
      <c r="E872" t="s">
        <v>256</v>
      </c>
      <c r="F872">
        <v>376.84</v>
      </c>
      <c r="G872" t="str">
        <f t="shared" si="14"/>
        <v>基础设施债权</v>
      </c>
    </row>
    <row r="873" spans="1:7">
      <c r="A873" s="6">
        <v>44043</v>
      </c>
      <c r="C873" t="s">
        <v>283</v>
      </c>
      <c r="D873" t="s">
        <v>288</v>
      </c>
      <c r="E873" t="s">
        <v>256</v>
      </c>
      <c r="F873">
        <v>33.520000000000003</v>
      </c>
      <c r="G873" t="str">
        <f t="shared" si="14"/>
        <v>基础设施债权</v>
      </c>
    </row>
    <row r="874" spans="1:7">
      <c r="A874" s="6">
        <v>44043</v>
      </c>
      <c r="C874" t="s">
        <v>266</v>
      </c>
      <c r="D874" t="s">
        <v>288</v>
      </c>
      <c r="E874" t="s">
        <v>256</v>
      </c>
      <c r="F874">
        <v>177.87</v>
      </c>
      <c r="G874" t="str">
        <f t="shared" si="14"/>
        <v>基础设施债权</v>
      </c>
    </row>
    <row r="875" spans="1:7">
      <c r="A875" s="6">
        <v>44043</v>
      </c>
      <c r="C875" t="s">
        <v>289</v>
      </c>
      <c r="D875" t="s">
        <v>288</v>
      </c>
      <c r="E875" t="s">
        <v>259</v>
      </c>
      <c r="F875">
        <v>6101.11</v>
      </c>
      <c r="G875" t="str">
        <f t="shared" si="14"/>
        <v>基础设施债权</v>
      </c>
    </row>
    <row r="876" spans="1:7">
      <c r="A876" s="6">
        <v>44043</v>
      </c>
      <c r="C876" t="s">
        <v>290</v>
      </c>
      <c r="D876" t="s">
        <v>288</v>
      </c>
      <c r="E876" t="s">
        <v>259</v>
      </c>
      <c r="F876">
        <v>2633.03</v>
      </c>
      <c r="G876" t="str">
        <f t="shared" si="14"/>
        <v>基础设施债权</v>
      </c>
    </row>
    <row r="877" spans="1:7">
      <c r="A877" s="6">
        <v>44043</v>
      </c>
      <c r="C877" t="s">
        <v>284</v>
      </c>
      <c r="D877" t="s">
        <v>288</v>
      </c>
      <c r="E877" t="s">
        <v>259</v>
      </c>
      <c r="F877">
        <v>1577.74</v>
      </c>
      <c r="G877" t="str">
        <f t="shared" si="14"/>
        <v>基础设施债权</v>
      </c>
    </row>
    <row r="878" spans="1:7">
      <c r="A878" s="6">
        <v>44043</v>
      </c>
      <c r="C878" t="s">
        <v>258</v>
      </c>
      <c r="D878" t="s">
        <v>288</v>
      </c>
      <c r="E878" t="s">
        <v>259</v>
      </c>
      <c r="F878">
        <v>3868.09</v>
      </c>
      <c r="G878" t="str">
        <f t="shared" si="14"/>
        <v>基础设施债权</v>
      </c>
    </row>
    <row r="879" spans="1:7">
      <c r="A879" s="6">
        <v>44043</v>
      </c>
      <c r="C879" t="s">
        <v>291</v>
      </c>
      <c r="D879" t="s">
        <v>288</v>
      </c>
      <c r="E879" t="s">
        <v>259</v>
      </c>
      <c r="F879">
        <v>12738.12</v>
      </c>
      <c r="G879" t="str">
        <f t="shared" si="14"/>
        <v>基础设施债权</v>
      </c>
    </row>
    <row r="880" spans="1:7">
      <c r="A880" s="6">
        <v>44043</v>
      </c>
      <c r="C880" t="s">
        <v>260</v>
      </c>
      <c r="D880" t="s">
        <v>288</v>
      </c>
      <c r="E880" t="s">
        <v>259</v>
      </c>
      <c r="F880">
        <v>11863.4</v>
      </c>
      <c r="G880" t="str">
        <f t="shared" si="14"/>
        <v>基础设施债权</v>
      </c>
    </row>
    <row r="881" spans="1:7">
      <c r="A881" s="6">
        <v>44043</v>
      </c>
      <c r="C881" t="s">
        <v>293</v>
      </c>
      <c r="D881" t="s">
        <v>288</v>
      </c>
      <c r="E881" t="s">
        <v>259</v>
      </c>
      <c r="F881">
        <v>14267.15</v>
      </c>
      <c r="G881" t="str">
        <f t="shared" si="14"/>
        <v>基础设施债权</v>
      </c>
    </row>
    <row r="882" spans="1:7">
      <c r="A882" s="6">
        <v>44043</v>
      </c>
      <c r="C882" t="s">
        <v>268</v>
      </c>
      <c r="D882" t="s">
        <v>288</v>
      </c>
      <c r="E882" t="s">
        <v>259</v>
      </c>
      <c r="F882">
        <v>2461.27</v>
      </c>
      <c r="G882" t="str">
        <f t="shared" si="14"/>
        <v>基础设施债权</v>
      </c>
    </row>
    <row r="883" spans="1:7">
      <c r="A883" s="6">
        <v>44043</v>
      </c>
      <c r="C883" t="s">
        <v>294</v>
      </c>
      <c r="D883" t="s">
        <v>288</v>
      </c>
      <c r="E883" t="s">
        <v>259</v>
      </c>
      <c r="F883">
        <v>4080.55</v>
      </c>
      <c r="G883" t="str">
        <f t="shared" si="14"/>
        <v>基础设施债权</v>
      </c>
    </row>
    <row r="884" spans="1:7">
      <c r="A884" s="6">
        <v>44043</v>
      </c>
      <c r="C884" t="s">
        <v>295</v>
      </c>
      <c r="D884" t="s">
        <v>288</v>
      </c>
      <c r="E884" t="s">
        <v>259</v>
      </c>
      <c r="F884">
        <v>2407.98</v>
      </c>
      <c r="G884" t="str">
        <f t="shared" si="14"/>
        <v>基础设施债权</v>
      </c>
    </row>
    <row r="885" spans="1:7">
      <c r="A885" s="6">
        <v>44043</v>
      </c>
      <c r="C885" t="s">
        <v>296</v>
      </c>
      <c r="D885" t="s">
        <v>288</v>
      </c>
      <c r="E885" t="s">
        <v>259</v>
      </c>
      <c r="F885">
        <v>2407.98</v>
      </c>
      <c r="G885" t="str">
        <f t="shared" si="14"/>
        <v>基础设施债权</v>
      </c>
    </row>
    <row r="886" spans="1:7">
      <c r="A886" s="6">
        <v>44043</v>
      </c>
      <c r="C886" t="s">
        <v>297</v>
      </c>
      <c r="D886" t="s">
        <v>288</v>
      </c>
      <c r="E886" t="s">
        <v>259</v>
      </c>
      <c r="F886">
        <v>9613.32</v>
      </c>
      <c r="G886" t="str">
        <f t="shared" si="14"/>
        <v>基础设施债权</v>
      </c>
    </row>
    <row r="887" spans="1:7">
      <c r="A887" s="6">
        <v>44043</v>
      </c>
      <c r="C887" t="s">
        <v>298</v>
      </c>
      <c r="D887" t="s">
        <v>288</v>
      </c>
      <c r="E887" t="s">
        <v>259</v>
      </c>
      <c r="F887">
        <v>1926.38</v>
      </c>
      <c r="G887" t="str">
        <f t="shared" si="14"/>
        <v>基础设施债权</v>
      </c>
    </row>
    <row r="888" spans="1:7">
      <c r="A888" s="6">
        <v>44043</v>
      </c>
      <c r="C888" t="s">
        <v>269</v>
      </c>
      <c r="D888" t="s">
        <v>288</v>
      </c>
      <c r="E888" t="s">
        <v>270</v>
      </c>
      <c r="F888">
        <v>33593.379999999997</v>
      </c>
      <c r="G888" t="str">
        <f t="shared" si="14"/>
        <v>基础设施债权</v>
      </c>
    </row>
    <row r="889" spans="1:7">
      <c r="A889" s="6">
        <v>44043</v>
      </c>
      <c r="C889" t="s">
        <v>271</v>
      </c>
      <c r="D889" t="s">
        <v>288</v>
      </c>
      <c r="E889" t="s">
        <v>270</v>
      </c>
      <c r="F889">
        <v>29150.06</v>
      </c>
      <c r="G889" t="str">
        <f t="shared" si="14"/>
        <v>基础设施债权</v>
      </c>
    </row>
    <row r="890" spans="1:7">
      <c r="A890" s="6">
        <v>44043</v>
      </c>
      <c r="C890" t="s">
        <v>261</v>
      </c>
      <c r="D890" t="s">
        <v>288</v>
      </c>
      <c r="E890" t="s">
        <v>259</v>
      </c>
      <c r="F890">
        <v>1191.81</v>
      </c>
      <c r="G890" t="str">
        <f t="shared" si="14"/>
        <v>基础设施债权</v>
      </c>
    </row>
    <row r="891" spans="1:7">
      <c r="A891" s="6">
        <v>44043</v>
      </c>
      <c r="C891" t="s">
        <v>272</v>
      </c>
      <c r="D891" t="s">
        <v>288</v>
      </c>
      <c r="E891" t="s">
        <v>270</v>
      </c>
      <c r="F891">
        <v>9486.61</v>
      </c>
      <c r="G891" t="str">
        <f t="shared" si="14"/>
        <v>基础设施债权</v>
      </c>
    </row>
    <row r="892" spans="1:7">
      <c r="A892" s="6">
        <v>44043</v>
      </c>
      <c r="B892" t="s">
        <v>299</v>
      </c>
      <c r="C892" t="s">
        <v>254</v>
      </c>
      <c r="D892" t="s">
        <v>300</v>
      </c>
      <c r="E892" t="s">
        <v>256</v>
      </c>
      <c r="F892">
        <v>1810.6</v>
      </c>
      <c r="G892" t="str">
        <f t="shared" si="14"/>
        <v>信托型</v>
      </c>
    </row>
    <row r="893" spans="1:7">
      <c r="A893" s="6">
        <v>44043</v>
      </c>
      <c r="C893" t="s">
        <v>274</v>
      </c>
      <c r="D893" t="s">
        <v>300</v>
      </c>
      <c r="E893" t="s">
        <v>256</v>
      </c>
      <c r="F893">
        <v>9700.7999999999993</v>
      </c>
      <c r="G893" t="str">
        <f t="shared" si="14"/>
        <v>信托型</v>
      </c>
    </row>
    <row r="894" spans="1:7">
      <c r="A894" s="6">
        <v>44043</v>
      </c>
      <c r="C894" t="s">
        <v>263</v>
      </c>
      <c r="D894" t="s">
        <v>300</v>
      </c>
      <c r="E894" t="s">
        <v>256</v>
      </c>
      <c r="F894">
        <v>65.87</v>
      </c>
      <c r="G894" t="str">
        <f t="shared" si="14"/>
        <v>信托型</v>
      </c>
    </row>
    <row r="895" spans="1:7">
      <c r="A895" s="6">
        <v>44043</v>
      </c>
      <c r="C895" t="s">
        <v>265</v>
      </c>
      <c r="D895" t="s">
        <v>300</v>
      </c>
      <c r="E895" t="s">
        <v>256</v>
      </c>
      <c r="F895">
        <v>34</v>
      </c>
      <c r="G895" t="str">
        <f t="shared" si="14"/>
        <v>信托型</v>
      </c>
    </row>
    <row r="896" spans="1:7">
      <c r="A896" s="6">
        <v>44043</v>
      </c>
      <c r="C896" t="s">
        <v>257</v>
      </c>
      <c r="D896" t="s">
        <v>300</v>
      </c>
      <c r="E896" t="s">
        <v>256</v>
      </c>
      <c r="F896">
        <v>2695.75</v>
      </c>
      <c r="G896" t="str">
        <f t="shared" si="14"/>
        <v>信托型</v>
      </c>
    </row>
    <row r="897" spans="1:7">
      <c r="A897" s="6">
        <v>44043</v>
      </c>
      <c r="C897" t="s">
        <v>276</v>
      </c>
      <c r="D897" t="s">
        <v>300</v>
      </c>
      <c r="E897" t="s">
        <v>256</v>
      </c>
      <c r="F897">
        <v>953.67</v>
      </c>
      <c r="G897" t="str">
        <f t="shared" si="14"/>
        <v>信托型</v>
      </c>
    </row>
    <row r="898" spans="1:7">
      <c r="A898" s="6">
        <v>44043</v>
      </c>
      <c r="C898" t="s">
        <v>283</v>
      </c>
      <c r="D898" t="s">
        <v>300</v>
      </c>
      <c r="E898" t="s">
        <v>256</v>
      </c>
      <c r="F898">
        <v>8.43</v>
      </c>
      <c r="G898" t="str">
        <f t="shared" si="14"/>
        <v>信托型</v>
      </c>
    </row>
    <row r="899" spans="1:7">
      <c r="A899" s="6">
        <v>44043</v>
      </c>
      <c r="C899" t="s">
        <v>266</v>
      </c>
      <c r="D899" t="s">
        <v>300</v>
      </c>
      <c r="E899" t="s">
        <v>256</v>
      </c>
      <c r="F899">
        <v>502.28</v>
      </c>
      <c r="G899" t="str">
        <f t="shared" ref="G899:G962" si="15">VLOOKUP(D899,L:N,3,0)</f>
        <v>信托型</v>
      </c>
    </row>
    <row r="900" spans="1:7">
      <c r="A900" s="6">
        <v>44043</v>
      </c>
      <c r="C900" t="s">
        <v>289</v>
      </c>
      <c r="D900" t="s">
        <v>300</v>
      </c>
      <c r="E900" t="s">
        <v>259</v>
      </c>
      <c r="F900">
        <v>2447.41</v>
      </c>
      <c r="G900" t="str">
        <f t="shared" si="15"/>
        <v>信托型</v>
      </c>
    </row>
    <row r="901" spans="1:7">
      <c r="A901" s="6">
        <v>44043</v>
      </c>
      <c r="C901" t="s">
        <v>267</v>
      </c>
      <c r="D901" t="s">
        <v>300</v>
      </c>
      <c r="E901" t="s">
        <v>259</v>
      </c>
      <c r="F901">
        <v>2637.99</v>
      </c>
      <c r="G901" t="str">
        <f t="shared" si="15"/>
        <v>信托型</v>
      </c>
    </row>
    <row r="902" spans="1:7">
      <c r="A902" s="6">
        <v>44043</v>
      </c>
      <c r="C902" t="s">
        <v>290</v>
      </c>
      <c r="D902" t="s">
        <v>300</v>
      </c>
      <c r="E902" t="s">
        <v>259</v>
      </c>
      <c r="F902">
        <v>6514.65</v>
      </c>
      <c r="G902" t="str">
        <f t="shared" si="15"/>
        <v>信托型</v>
      </c>
    </row>
    <row r="903" spans="1:7">
      <c r="A903" s="6">
        <v>44043</v>
      </c>
      <c r="C903" t="s">
        <v>301</v>
      </c>
      <c r="D903" t="s">
        <v>300</v>
      </c>
      <c r="E903" t="s">
        <v>259</v>
      </c>
      <c r="F903">
        <v>306.82</v>
      </c>
      <c r="G903" t="str">
        <f t="shared" si="15"/>
        <v>信托型</v>
      </c>
    </row>
    <row r="904" spans="1:7">
      <c r="A904" s="6">
        <v>44043</v>
      </c>
      <c r="C904" t="s">
        <v>284</v>
      </c>
      <c r="D904" t="s">
        <v>300</v>
      </c>
      <c r="E904" t="s">
        <v>259</v>
      </c>
      <c r="F904">
        <v>729.54</v>
      </c>
      <c r="G904" t="str">
        <f t="shared" si="15"/>
        <v>信托型</v>
      </c>
    </row>
    <row r="905" spans="1:7">
      <c r="A905" s="6">
        <v>44043</v>
      </c>
      <c r="C905" t="s">
        <v>258</v>
      </c>
      <c r="D905" t="s">
        <v>300</v>
      </c>
      <c r="E905" t="s">
        <v>259</v>
      </c>
      <c r="F905">
        <v>3007.67</v>
      </c>
      <c r="G905" t="str">
        <f t="shared" si="15"/>
        <v>信托型</v>
      </c>
    </row>
    <row r="906" spans="1:7">
      <c r="A906" s="6">
        <v>44043</v>
      </c>
      <c r="C906" t="s">
        <v>302</v>
      </c>
      <c r="D906" t="s">
        <v>300</v>
      </c>
      <c r="E906" t="s">
        <v>259</v>
      </c>
      <c r="F906">
        <v>2265.63</v>
      </c>
      <c r="G906" t="str">
        <f t="shared" si="15"/>
        <v>信托型</v>
      </c>
    </row>
    <row r="907" spans="1:7">
      <c r="A907" s="6">
        <v>44043</v>
      </c>
      <c r="C907" t="s">
        <v>303</v>
      </c>
      <c r="D907" t="s">
        <v>300</v>
      </c>
      <c r="E907" t="s">
        <v>259</v>
      </c>
      <c r="F907">
        <v>14818.04</v>
      </c>
      <c r="G907" t="str">
        <f t="shared" si="15"/>
        <v>信托型</v>
      </c>
    </row>
    <row r="908" spans="1:7">
      <c r="A908" s="6">
        <v>44043</v>
      </c>
      <c r="C908" t="s">
        <v>268</v>
      </c>
      <c r="D908" t="s">
        <v>300</v>
      </c>
      <c r="E908" t="s">
        <v>259</v>
      </c>
      <c r="F908">
        <v>1183.01</v>
      </c>
      <c r="G908" t="str">
        <f t="shared" si="15"/>
        <v>信托型</v>
      </c>
    </row>
    <row r="909" spans="1:7">
      <c r="A909" s="6">
        <v>44043</v>
      </c>
      <c r="C909" t="s">
        <v>277</v>
      </c>
      <c r="D909" t="s">
        <v>300</v>
      </c>
      <c r="E909" t="s">
        <v>259</v>
      </c>
      <c r="F909">
        <v>1811.18</v>
      </c>
      <c r="G909" t="str">
        <f t="shared" si="15"/>
        <v>信托型</v>
      </c>
    </row>
    <row r="910" spans="1:7">
      <c r="A910" s="6">
        <v>44043</v>
      </c>
      <c r="C910" t="s">
        <v>304</v>
      </c>
      <c r="D910" t="s">
        <v>300</v>
      </c>
      <c r="E910" t="s">
        <v>259</v>
      </c>
      <c r="F910">
        <v>185.36</v>
      </c>
      <c r="G910" t="str">
        <f t="shared" si="15"/>
        <v>信托型</v>
      </c>
    </row>
    <row r="911" spans="1:7">
      <c r="A911" s="6">
        <v>44043</v>
      </c>
      <c r="C911" t="s">
        <v>305</v>
      </c>
      <c r="D911" t="s">
        <v>300</v>
      </c>
      <c r="E911" t="s">
        <v>259</v>
      </c>
      <c r="F911">
        <v>1522.59</v>
      </c>
      <c r="G911" t="str">
        <f t="shared" si="15"/>
        <v>信托型</v>
      </c>
    </row>
    <row r="912" spans="1:7">
      <c r="A912" s="6">
        <v>44043</v>
      </c>
      <c r="C912" t="s">
        <v>269</v>
      </c>
      <c r="D912" t="s">
        <v>300</v>
      </c>
      <c r="E912" t="s">
        <v>270</v>
      </c>
      <c r="F912">
        <v>9688.33</v>
      </c>
      <c r="G912" t="str">
        <f t="shared" si="15"/>
        <v>信托型</v>
      </c>
    </row>
    <row r="913" spans="1:7">
      <c r="A913" s="6">
        <v>44043</v>
      </c>
      <c r="C913" t="s">
        <v>278</v>
      </c>
      <c r="D913" t="s">
        <v>300</v>
      </c>
      <c r="E913" t="s">
        <v>270</v>
      </c>
      <c r="F913">
        <v>390124.1</v>
      </c>
      <c r="G913" t="str">
        <f t="shared" si="15"/>
        <v>信托型</v>
      </c>
    </row>
    <row r="914" spans="1:7">
      <c r="A914" s="6">
        <v>44043</v>
      </c>
      <c r="C914" t="s">
        <v>271</v>
      </c>
      <c r="D914" t="s">
        <v>300</v>
      </c>
      <c r="E914" t="s">
        <v>270</v>
      </c>
      <c r="F914">
        <v>5660.17</v>
      </c>
      <c r="G914" t="str">
        <f t="shared" si="15"/>
        <v>信托型</v>
      </c>
    </row>
    <row r="915" spans="1:7">
      <c r="A915" s="6">
        <v>44043</v>
      </c>
      <c r="C915" t="s">
        <v>261</v>
      </c>
      <c r="D915" t="s">
        <v>300</v>
      </c>
      <c r="E915" t="s">
        <v>259</v>
      </c>
      <c r="F915">
        <v>2226.7399999999998</v>
      </c>
      <c r="G915" t="str">
        <f t="shared" si="15"/>
        <v>信托型</v>
      </c>
    </row>
    <row r="916" spans="1:7">
      <c r="A916" s="6">
        <v>44043</v>
      </c>
      <c r="C916" t="s">
        <v>272</v>
      </c>
      <c r="D916" t="s">
        <v>300</v>
      </c>
      <c r="E916" t="s">
        <v>270</v>
      </c>
      <c r="F916">
        <v>4779.97</v>
      </c>
      <c r="G916" t="str">
        <f t="shared" si="15"/>
        <v>信托型</v>
      </c>
    </row>
    <row r="917" spans="1:7">
      <c r="A917" s="6">
        <v>44043</v>
      </c>
      <c r="B917" t="s">
        <v>306</v>
      </c>
      <c r="C917" t="s">
        <v>254</v>
      </c>
      <c r="D917" t="s">
        <v>307</v>
      </c>
      <c r="E917" t="s">
        <v>256</v>
      </c>
      <c r="F917">
        <v>47</v>
      </c>
      <c r="G917" t="str">
        <f t="shared" si="15"/>
        <v>优先股</v>
      </c>
    </row>
    <row r="918" spans="1:7">
      <c r="A918" s="6">
        <v>44043</v>
      </c>
      <c r="C918" t="s">
        <v>274</v>
      </c>
      <c r="D918" t="s">
        <v>307</v>
      </c>
      <c r="E918" t="s">
        <v>256</v>
      </c>
      <c r="F918">
        <v>0.86</v>
      </c>
      <c r="G918" t="str">
        <f t="shared" si="15"/>
        <v>优先股</v>
      </c>
    </row>
    <row r="919" spans="1:7">
      <c r="A919" s="6">
        <v>44043</v>
      </c>
      <c r="C919" t="s">
        <v>263</v>
      </c>
      <c r="D919" t="s">
        <v>307</v>
      </c>
      <c r="E919" t="s">
        <v>256</v>
      </c>
      <c r="F919">
        <v>1.01</v>
      </c>
      <c r="G919" t="str">
        <f t="shared" si="15"/>
        <v>优先股</v>
      </c>
    </row>
    <row r="920" spans="1:7">
      <c r="A920" s="6">
        <v>44043</v>
      </c>
      <c r="C920" t="s">
        <v>257</v>
      </c>
      <c r="D920" t="s">
        <v>307</v>
      </c>
      <c r="E920" t="s">
        <v>256</v>
      </c>
      <c r="F920">
        <v>38.369999999999997</v>
      </c>
      <c r="G920" t="str">
        <f t="shared" si="15"/>
        <v>优先股</v>
      </c>
    </row>
    <row r="921" spans="1:7">
      <c r="A921" s="6">
        <v>44043</v>
      </c>
      <c r="C921" t="s">
        <v>276</v>
      </c>
      <c r="D921" t="s">
        <v>307</v>
      </c>
      <c r="E921" t="s">
        <v>256</v>
      </c>
      <c r="F921">
        <v>23.31</v>
      </c>
      <c r="G921" t="str">
        <f t="shared" si="15"/>
        <v>优先股</v>
      </c>
    </row>
    <row r="922" spans="1:7">
      <c r="A922" s="6">
        <v>44043</v>
      </c>
      <c r="C922" t="s">
        <v>283</v>
      </c>
      <c r="D922" t="s">
        <v>307</v>
      </c>
      <c r="E922" t="s">
        <v>256</v>
      </c>
      <c r="F922">
        <v>0.72</v>
      </c>
      <c r="G922" t="str">
        <f t="shared" si="15"/>
        <v>优先股</v>
      </c>
    </row>
    <row r="923" spans="1:7">
      <c r="A923" s="6">
        <v>44043</v>
      </c>
      <c r="C923" t="s">
        <v>266</v>
      </c>
      <c r="D923" t="s">
        <v>307</v>
      </c>
      <c r="E923" t="s">
        <v>256</v>
      </c>
      <c r="F923">
        <v>17.72</v>
      </c>
      <c r="G923" t="str">
        <f t="shared" si="15"/>
        <v>优先股</v>
      </c>
    </row>
    <row r="924" spans="1:7">
      <c r="A924" s="6">
        <v>44043</v>
      </c>
      <c r="B924" t="s">
        <v>308</v>
      </c>
      <c r="C924" t="s">
        <v>254</v>
      </c>
      <c r="D924" t="s">
        <v>309</v>
      </c>
      <c r="E924" t="s">
        <v>256</v>
      </c>
      <c r="F924">
        <v>521.5</v>
      </c>
      <c r="G924" t="str">
        <f t="shared" si="15"/>
        <v>货币型</v>
      </c>
    </row>
    <row r="925" spans="1:7">
      <c r="A925" s="6">
        <v>44043</v>
      </c>
      <c r="C925" t="s">
        <v>274</v>
      </c>
      <c r="D925" t="s">
        <v>309</v>
      </c>
      <c r="E925" t="s">
        <v>256</v>
      </c>
      <c r="F925">
        <v>3862.3</v>
      </c>
      <c r="G925" t="str">
        <f t="shared" si="15"/>
        <v>货币型</v>
      </c>
    </row>
    <row r="926" spans="1:7">
      <c r="A926" s="6">
        <v>44043</v>
      </c>
      <c r="C926" t="s">
        <v>263</v>
      </c>
      <c r="D926" t="s">
        <v>309</v>
      </c>
      <c r="E926" t="s">
        <v>256</v>
      </c>
      <c r="F926">
        <v>85.49</v>
      </c>
      <c r="G926" t="str">
        <f t="shared" si="15"/>
        <v>货币型</v>
      </c>
    </row>
    <row r="927" spans="1:7">
      <c r="A927" s="6">
        <v>44043</v>
      </c>
      <c r="C927" t="s">
        <v>265</v>
      </c>
      <c r="D927" t="s">
        <v>309</v>
      </c>
      <c r="E927" t="s">
        <v>256</v>
      </c>
      <c r="F927">
        <v>61.87</v>
      </c>
      <c r="G927" t="str">
        <f t="shared" si="15"/>
        <v>货币型</v>
      </c>
    </row>
    <row r="928" spans="1:7">
      <c r="A928" s="6">
        <v>44043</v>
      </c>
      <c r="C928" t="s">
        <v>257</v>
      </c>
      <c r="D928" t="s">
        <v>309</v>
      </c>
      <c r="E928" t="s">
        <v>256</v>
      </c>
      <c r="F928">
        <v>795.59</v>
      </c>
      <c r="G928" t="str">
        <f t="shared" si="15"/>
        <v>货币型</v>
      </c>
    </row>
    <row r="929" spans="1:7">
      <c r="A929" s="6">
        <v>44043</v>
      </c>
      <c r="C929" t="s">
        <v>276</v>
      </c>
      <c r="D929" t="s">
        <v>309</v>
      </c>
      <c r="E929" t="s">
        <v>256</v>
      </c>
      <c r="F929">
        <v>549.92999999999995</v>
      </c>
      <c r="G929" t="str">
        <f t="shared" si="15"/>
        <v>货币型</v>
      </c>
    </row>
    <row r="930" spans="1:7">
      <c r="A930" s="6">
        <v>44043</v>
      </c>
      <c r="C930" t="s">
        <v>283</v>
      </c>
      <c r="D930" t="s">
        <v>309</v>
      </c>
      <c r="E930" t="s">
        <v>256</v>
      </c>
      <c r="F930">
        <v>7.13</v>
      </c>
      <c r="G930" t="str">
        <f t="shared" si="15"/>
        <v>货币型</v>
      </c>
    </row>
    <row r="931" spans="1:7">
      <c r="A931" s="6">
        <v>44043</v>
      </c>
      <c r="C931" t="s">
        <v>266</v>
      </c>
      <c r="D931" t="s">
        <v>309</v>
      </c>
      <c r="E931" t="s">
        <v>256</v>
      </c>
      <c r="F931">
        <v>419.79</v>
      </c>
      <c r="G931" t="str">
        <f t="shared" si="15"/>
        <v>货币型</v>
      </c>
    </row>
    <row r="932" spans="1:7">
      <c r="A932" s="6">
        <v>44043</v>
      </c>
      <c r="C932" t="s">
        <v>289</v>
      </c>
      <c r="D932" t="s">
        <v>309</v>
      </c>
      <c r="E932" t="s">
        <v>259</v>
      </c>
      <c r="F932">
        <v>1840.91</v>
      </c>
      <c r="G932" t="str">
        <f t="shared" si="15"/>
        <v>货币型</v>
      </c>
    </row>
    <row r="933" spans="1:7">
      <c r="A933" s="6">
        <v>44043</v>
      </c>
      <c r="C933" t="s">
        <v>301</v>
      </c>
      <c r="D933" t="s">
        <v>309</v>
      </c>
      <c r="E933" t="s">
        <v>259</v>
      </c>
      <c r="F933">
        <v>2458.3200000000002</v>
      </c>
      <c r="G933" t="str">
        <f t="shared" si="15"/>
        <v>货币型</v>
      </c>
    </row>
    <row r="934" spans="1:7">
      <c r="A934" s="6">
        <v>44043</v>
      </c>
      <c r="C934" t="s">
        <v>284</v>
      </c>
      <c r="D934" t="s">
        <v>309</v>
      </c>
      <c r="E934" t="s">
        <v>259</v>
      </c>
      <c r="F934">
        <v>485.28</v>
      </c>
      <c r="G934" t="str">
        <f t="shared" si="15"/>
        <v>货币型</v>
      </c>
    </row>
    <row r="935" spans="1:7">
      <c r="A935" s="6">
        <v>44043</v>
      </c>
      <c r="C935" t="s">
        <v>258</v>
      </c>
      <c r="D935" t="s">
        <v>309</v>
      </c>
      <c r="E935" t="s">
        <v>259</v>
      </c>
      <c r="F935">
        <v>1738.98</v>
      </c>
      <c r="G935" t="str">
        <f t="shared" si="15"/>
        <v>货币型</v>
      </c>
    </row>
    <row r="936" spans="1:7">
      <c r="A936" s="6">
        <v>44043</v>
      </c>
      <c r="C936" t="s">
        <v>260</v>
      </c>
      <c r="D936" t="s">
        <v>309</v>
      </c>
      <c r="E936" t="s">
        <v>259</v>
      </c>
      <c r="F936">
        <v>11168.43</v>
      </c>
      <c r="G936" t="str">
        <f t="shared" si="15"/>
        <v>货币型</v>
      </c>
    </row>
    <row r="937" spans="1:7">
      <c r="A937" s="6">
        <v>44043</v>
      </c>
      <c r="C937" t="s">
        <v>292</v>
      </c>
      <c r="D937" t="s">
        <v>309</v>
      </c>
      <c r="E937" t="s">
        <v>259</v>
      </c>
      <c r="F937">
        <v>11371.34</v>
      </c>
      <c r="G937" t="str">
        <f t="shared" si="15"/>
        <v>货币型</v>
      </c>
    </row>
    <row r="938" spans="1:7">
      <c r="A938" s="6">
        <v>44043</v>
      </c>
      <c r="C938" t="s">
        <v>302</v>
      </c>
      <c r="D938" t="s">
        <v>309</v>
      </c>
      <c r="E938" t="s">
        <v>259</v>
      </c>
      <c r="F938">
        <v>1029.3900000000001</v>
      </c>
      <c r="G938" t="str">
        <f t="shared" si="15"/>
        <v>货币型</v>
      </c>
    </row>
    <row r="939" spans="1:7">
      <c r="A939" s="6">
        <v>44043</v>
      </c>
      <c r="C939" t="s">
        <v>310</v>
      </c>
      <c r="D939" t="s">
        <v>309</v>
      </c>
      <c r="E939" t="s">
        <v>259</v>
      </c>
      <c r="F939">
        <v>701.89</v>
      </c>
      <c r="G939" t="str">
        <f t="shared" si="15"/>
        <v>货币型</v>
      </c>
    </row>
    <row r="940" spans="1:7">
      <c r="A940" s="6">
        <v>44043</v>
      </c>
      <c r="C940" t="s">
        <v>303</v>
      </c>
      <c r="D940" t="s">
        <v>309</v>
      </c>
      <c r="E940" t="s">
        <v>259</v>
      </c>
      <c r="F940">
        <v>9455.2999999999993</v>
      </c>
      <c r="G940" t="str">
        <f t="shared" si="15"/>
        <v>货币型</v>
      </c>
    </row>
    <row r="941" spans="1:7">
      <c r="A941" s="6">
        <v>44043</v>
      </c>
      <c r="C941" t="s">
        <v>277</v>
      </c>
      <c r="D941" t="s">
        <v>309</v>
      </c>
      <c r="E941" t="s">
        <v>259</v>
      </c>
      <c r="F941">
        <v>949.59</v>
      </c>
      <c r="G941" t="str">
        <f t="shared" si="15"/>
        <v>货币型</v>
      </c>
    </row>
    <row r="942" spans="1:7">
      <c r="A942" s="6">
        <v>44043</v>
      </c>
      <c r="C942" t="s">
        <v>311</v>
      </c>
      <c r="D942" t="s">
        <v>309</v>
      </c>
      <c r="E942" t="s">
        <v>259</v>
      </c>
      <c r="F942">
        <v>2212.96</v>
      </c>
      <c r="G942" t="str">
        <f t="shared" si="15"/>
        <v>货币型</v>
      </c>
    </row>
    <row r="943" spans="1:7">
      <c r="A943" s="6">
        <v>44043</v>
      </c>
      <c r="C943" t="s">
        <v>269</v>
      </c>
      <c r="D943" t="s">
        <v>309</v>
      </c>
      <c r="E943" t="s">
        <v>270</v>
      </c>
      <c r="F943">
        <v>9722.23</v>
      </c>
      <c r="G943" t="str">
        <f t="shared" si="15"/>
        <v>货币型</v>
      </c>
    </row>
    <row r="944" spans="1:7">
      <c r="A944" s="6">
        <v>44043</v>
      </c>
      <c r="C944" t="s">
        <v>278</v>
      </c>
      <c r="D944" t="s">
        <v>309</v>
      </c>
      <c r="E944" t="s">
        <v>270</v>
      </c>
      <c r="F944">
        <v>3271.99</v>
      </c>
      <c r="G944" t="str">
        <f t="shared" si="15"/>
        <v>货币型</v>
      </c>
    </row>
    <row r="945" spans="1:7">
      <c r="A945" s="6">
        <v>44043</v>
      </c>
      <c r="C945" t="s">
        <v>271</v>
      </c>
      <c r="D945" t="s">
        <v>309</v>
      </c>
      <c r="E945" t="s">
        <v>270</v>
      </c>
      <c r="F945">
        <v>8429.08</v>
      </c>
      <c r="G945" t="str">
        <f t="shared" si="15"/>
        <v>货币型</v>
      </c>
    </row>
    <row r="946" spans="1:7">
      <c r="A946" s="6">
        <v>44043</v>
      </c>
      <c r="C946" t="s">
        <v>261</v>
      </c>
      <c r="D946" t="s">
        <v>309</v>
      </c>
      <c r="E946" t="s">
        <v>259</v>
      </c>
      <c r="F946">
        <v>1265.08</v>
      </c>
      <c r="G946" t="str">
        <f t="shared" si="15"/>
        <v>货币型</v>
      </c>
    </row>
    <row r="947" spans="1:7">
      <c r="A947" s="6">
        <v>44043</v>
      </c>
      <c r="C947" t="s">
        <v>272</v>
      </c>
      <c r="D947" t="s">
        <v>309</v>
      </c>
      <c r="E947" t="s">
        <v>270</v>
      </c>
      <c r="F947">
        <v>2753.42</v>
      </c>
      <c r="G947" t="str">
        <f t="shared" si="15"/>
        <v>货币型</v>
      </c>
    </row>
    <row r="948" spans="1:7">
      <c r="A948" s="6">
        <v>44043</v>
      </c>
      <c r="C948" t="s">
        <v>286</v>
      </c>
      <c r="D948" t="s">
        <v>309</v>
      </c>
      <c r="E948" t="s">
        <v>259</v>
      </c>
      <c r="F948">
        <v>4379.1099999999997</v>
      </c>
      <c r="G948" t="str">
        <f t="shared" si="15"/>
        <v>货币型</v>
      </c>
    </row>
    <row r="949" spans="1:7">
      <c r="A949" s="6">
        <v>44043</v>
      </c>
      <c r="B949" t="s">
        <v>312</v>
      </c>
      <c r="C949" t="s">
        <v>313</v>
      </c>
      <c r="D949" t="s">
        <v>314</v>
      </c>
      <c r="E949" t="s">
        <v>259</v>
      </c>
      <c r="F949">
        <v>15886.25</v>
      </c>
      <c r="G949" t="str">
        <f t="shared" si="15"/>
        <v>存款型</v>
      </c>
    </row>
    <row r="950" spans="1:7">
      <c r="A950" s="6">
        <v>44043</v>
      </c>
      <c r="C950" t="s">
        <v>315</v>
      </c>
      <c r="D950" t="s">
        <v>314</v>
      </c>
      <c r="E950" t="s">
        <v>259</v>
      </c>
      <c r="F950">
        <v>4236.33</v>
      </c>
      <c r="G950" t="str">
        <f t="shared" si="15"/>
        <v>存款型</v>
      </c>
    </row>
    <row r="951" spans="1:7">
      <c r="A951" s="6">
        <v>44043</v>
      </c>
      <c r="B951" t="s">
        <v>316</v>
      </c>
      <c r="C951" t="s">
        <v>274</v>
      </c>
      <c r="D951" t="s">
        <v>317</v>
      </c>
      <c r="E951" t="s">
        <v>256</v>
      </c>
      <c r="F951">
        <v>341.17</v>
      </c>
      <c r="G951" t="str">
        <f t="shared" si="15"/>
        <v>基础设施债权</v>
      </c>
    </row>
    <row r="952" spans="1:7">
      <c r="A952" s="6">
        <v>44043</v>
      </c>
      <c r="C952" t="s">
        <v>257</v>
      </c>
      <c r="D952" t="s">
        <v>317</v>
      </c>
      <c r="E952" t="s">
        <v>256</v>
      </c>
      <c r="F952">
        <v>174.96</v>
      </c>
      <c r="G952" t="str">
        <f t="shared" si="15"/>
        <v>基础设施债权</v>
      </c>
    </row>
    <row r="953" spans="1:7">
      <c r="A953" s="6">
        <v>44043</v>
      </c>
      <c r="B953" t="s">
        <v>318</v>
      </c>
      <c r="C953" t="s">
        <v>254</v>
      </c>
      <c r="D953" t="s">
        <v>319</v>
      </c>
      <c r="E953" t="s">
        <v>256</v>
      </c>
      <c r="F953">
        <v>21</v>
      </c>
      <c r="G953" t="str">
        <f t="shared" si="15"/>
        <v>优先股</v>
      </c>
    </row>
    <row r="954" spans="1:7">
      <c r="A954" s="6">
        <v>44043</v>
      </c>
      <c r="C954" t="s">
        <v>274</v>
      </c>
      <c r="D954" t="s">
        <v>319</v>
      </c>
      <c r="E954" t="s">
        <v>256</v>
      </c>
      <c r="F954">
        <v>110.22</v>
      </c>
      <c r="G954" t="str">
        <f t="shared" si="15"/>
        <v>优先股</v>
      </c>
    </row>
    <row r="955" spans="1:7">
      <c r="A955" s="6">
        <v>44043</v>
      </c>
      <c r="C955" t="s">
        <v>257</v>
      </c>
      <c r="D955" t="s">
        <v>319</v>
      </c>
      <c r="E955" t="s">
        <v>256</v>
      </c>
      <c r="F955">
        <v>24.48</v>
      </c>
      <c r="G955" t="str">
        <f t="shared" si="15"/>
        <v>优先股</v>
      </c>
    </row>
    <row r="956" spans="1:7">
      <c r="A956" s="6">
        <v>44043</v>
      </c>
      <c r="C956" t="s">
        <v>276</v>
      </c>
      <c r="D956" t="s">
        <v>319</v>
      </c>
      <c r="E956" t="s">
        <v>256</v>
      </c>
      <c r="F956">
        <v>9.2200000000000006</v>
      </c>
      <c r="G956" t="str">
        <f t="shared" si="15"/>
        <v>优先股</v>
      </c>
    </row>
    <row r="957" spans="1:7">
      <c r="A957" s="6">
        <v>44043</v>
      </c>
      <c r="B957" t="s">
        <v>320</v>
      </c>
      <c r="C957" t="s">
        <v>274</v>
      </c>
      <c r="D957" t="s">
        <v>321</v>
      </c>
      <c r="E957" t="s">
        <v>256</v>
      </c>
      <c r="F957">
        <v>399.49</v>
      </c>
      <c r="G957" t="str">
        <f t="shared" si="15"/>
        <v>信托型</v>
      </c>
    </row>
    <row r="958" spans="1:7">
      <c r="A958" s="6">
        <v>44043</v>
      </c>
      <c r="C958" t="s">
        <v>257</v>
      </c>
      <c r="D958" t="s">
        <v>321</v>
      </c>
      <c r="E958" t="s">
        <v>256</v>
      </c>
      <c r="F958">
        <v>82.88</v>
      </c>
      <c r="G958" t="str">
        <f t="shared" si="15"/>
        <v>信托型</v>
      </c>
    </row>
    <row r="959" spans="1:7">
      <c r="A959" s="6">
        <v>44043</v>
      </c>
      <c r="C959" t="s">
        <v>276</v>
      </c>
      <c r="D959" t="s">
        <v>321</v>
      </c>
      <c r="E959" t="s">
        <v>256</v>
      </c>
      <c r="F959">
        <v>17.16</v>
      </c>
      <c r="G959" t="str">
        <f t="shared" si="15"/>
        <v>信托型</v>
      </c>
    </row>
    <row r="960" spans="1:7">
      <c r="A960" s="6">
        <v>44043</v>
      </c>
      <c r="C960" t="s">
        <v>266</v>
      </c>
      <c r="D960" t="s">
        <v>321</v>
      </c>
      <c r="E960" t="s">
        <v>256</v>
      </c>
      <c r="F960">
        <v>18.62</v>
      </c>
      <c r="G960" t="str">
        <f t="shared" si="15"/>
        <v>信托型</v>
      </c>
    </row>
    <row r="961" spans="1:7">
      <c r="A961" s="6">
        <v>44043</v>
      </c>
      <c r="C961" t="s">
        <v>284</v>
      </c>
      <c r="D961" t="s">
        <v>321</v>
      </c>
      <c r="E961" t="s">
        <v>259</v>
      </c>
      <c r="F961">
        <v>162.63</v>
      </c>
      <c r="G961" t="str">
        <f t="shared" si="15"/>
        <v>信托型</v>
      </c>
    </row>
    <row r="962" spans="1:7">
      <c r="A962" s="6">
        <v>44043</v>
      </c>
      <c r="B962" t="s">
        <v>322</v>
      </c>
      <c r="C962" t="s">
        <v>274</v>
      </c>
      <c r="D962" t="s">
        <v>323</v>
      </c>
      <c r="E962" t="s">
        <v>256</v>
      </c>
      <c r="F962">
        <v>51.69</v>
      </c>
      <c r="G962" t="str">
        <f t="shared" si="15"/>
        <v>混合型</v>
      </c>
    </row>
    <row r="963" spans="1:7">
      <c r="A963" s="6">
        <v>44043</v>
      </c>
      <c r="C963" t="s">
        <v>257</v>
      </c>
      <c r="D963" t="s">
        <v>323</v>
      </c>
      <c r="E963" t="s">
        <v>256</v>
      </c>
      <c r="F963">
        <v>417.53</v>
      </c>
      <c r="G963" t="str">
        <f t="shared" ref="G963:G1026" si="16">VLOOKUP(D963,L:N,3,0)</f>
        <v>混合型</v>
      </c>
    </row>
    <row r="964" spans="1:7">
      <c r="A964" s="6">
        <v>44043</v>
      </c>
      <c r="C964" t="s">
        <v>283</v>
      </c>
      <c r="D964" t="s">
        <v>323</v>
      </c>
      <c r="E964" t="s">
        <v>256</v>
      </c>
      <c r="F964">
        <v>5.35</v>
      </c>
      <c r="G964" t="str">
        <f t="shared" si="16"/>
        <v>混合型</v>
      </c>
    </row>
    <row r="965" spans="1:7">
      <c r="A965" s="6">
        <v>44043</v>
      </c>
      <c r="C965" t="s">
        <v>266</v>
      </c>
      <c r="D965" t="s">
        <v>323</v>
      </c>
      <c r="E965" t="s">
        <v>256</v>
      </c>
      <c r="F965">
        <v>35.729999999999997</v>
      </c>
      <c r="G965" t="str">
        <f t="shared" si="16"/>
        <v>混合型</v>
      </c>
    </row>
    <row r="966" spans="1:7">
      <c r="A966" s="6">
        <v>44043</v>
      </c>
      <c r="C966" t="s">
        <v>289</v>
      </c>
      <c r="D966" t="s">
        <v>323</v>
      </c>
      <c r="E966" t="s">
        <v>259</v>
      </c>
      <c r="F966">
        <v>3012.26</v>
      </c>
      <c r="G966" t="str">
        <f t="shared" si="16"/>
        <v>混合型</v>
      </c>
    </row>
    <row r="967" spans="1:7">
      <c r="A967" s="6">
        <v>44043</v>
      </c>
      <c r="C967" t="s">
        <v>260</v>
      </c>
      <c r="D967" t="s">
        <v>323</v>
      </c>
      <c r="E967" t="s">
        <v>259</v>
      </c>
      <c r="F967">
        <v>7073.64</v>
      </c>
      <c r="G967" t="str">
        <f t="shared" si="16"/>
        <v>混合型</v>
      </c>
    </row>
    <row r="968" spans="1:7">
      <c r="A968" s="6">
        <v>44043</v>
      </c>
      <c r="B968" t="s">
        <v>324</v>
      </c>
      <c r="C968" t="s">
        <v>254</v>
      </c>
      <c r="D968" t="s">
        <v>325</v>
      </c>
      <c r="E968" t="s">
        <v>256</v>
      </c>
      <c r="F968">
        <v>153.85</v>
      </c>
      <c r="G968" t="str">
        <f t="shared" si="16"/>
        <v>股票型</v>
      </c>
    </row>
    <row r="969" spans="1:7">
      <c r="A969" s="6">
        <v>44043</v>
      </c>
      <c r="C969" t="s">
        <v>274</v>
      </c>
      <c r="D969" t="s">
        <v>325</v>
      </c>
      <c r="E969" t="s">
        <v>256</v>
      </c>
      <c r="F969">
        <v>23181.29</v>
      </c>
      <c r="G969" t="str">
        <f t="shared" si="16"/>
        <v>股票型</v>
      </c>
    </row>
    <row r="970" spans="1:7">
      <c r="A970" s="6">
        <v>44043</v>
      </c>
      <c r="C970" t="s">
        <v>257</v>
      </c>
      <c r="D970" t="s">
        <v>325</v>
      </c>
      <c r="E970" t="s">
        <v>256</v>
      </c>
      <c r="F970">
        <v>120.53</v>
      </c>
      <c r="G970" t="str">
        <f t="shared" si="16"/>
        <v>股票型</v>
      </c>
    </row>
    <row r="971" spans="1:7">
      <c r="A971" s="6">
        <v>44043</v>
      </c>
      <c r="C971" t="s">
        <v>260</v>
      </c>
      <c r="D971" t="s">
        <v>325</v>
      </c>
      <c r="E971" t="s">
        <v>259</v>
      </c>
      <c r="F971">
        <v>1868.31</v>
      </c>
      <c r="G971" t="str">
        <f t="shared" si="16"/>
        <v>股票型</v>
      </c>
    </row>
    <row r="972" spans="1:7">
      <c r="A972" s="6">
        <v>44043</v>
      </c>
      <c r="B972" t="s">
        <v>326</v>
      </c>
      <c r="C972" t="s">
        <v>254</v>
      </c>
      <c r="D972" t="s">
        <v>327</v>
      </c>
      <c r="E972" t="s">
        <v>256</v>
      </c>
      <c r="F972">
        <v>2897.25</v>
      </c>
      <c r="G972" t="str">
        <f t="shared" si="16"/>
        <v>股票型</v>
      </c>
    </row>
    <row r="973" spans="1:7">
      <c r="A973" s="6">
        <v>44043</v>
      </c>
      <c r="C973" t="s">
        <v>274</v>
      </c>
      <c r="D973" t="s">
        <v>327</v>
      </c>
      <c r="E973" t="s">
        <v>256</v>
      </c>
      <c r="F973">
        <v>4900.72</v>
      </c>
      <c r="G973" t="str">
        <f t="shared" si="16"/>
        <v>股票型</v>
      </c>
    </row>
    <row r="974" spans="1:7">
      <c r="A974" s="6">
        <v>44043</v>
      </c>
      <c r="C974" t="s">
        <v>257</v>
      </c>
      <c r="D974" t="s">
        <v>327</v>
      </c>
      <c r="E974" t="s">
        <v>256</v>
      </c>
      <c r="F974">
        <v>6.73</v>
      </c>
      <c r="G974" t="str">
        <f t="shared" si="16"/>
        <v>股票型</v>
      </c>
    </row>
    <row r="975" spans="1:7">
      <c r="A975" s="6">
        <v>44043</v>
      </c>
      <c r="C975" t="s">
        <v>301</v>
      </c>
      <c r="D975" t="s">
        <v>327</v>
      </c>
      <c r="E975" t="s">
        <v>259</v>
      </c>
      <c r="F975">
        <v>2599.15</v>
      </c>
      <c r="G975" t="str">
        <f t="shared" si="16"/>
        <v>股票型</v>
      </c>
    </row>
    <row r="976" spans="1:7">
      <c r="A976" s="6">
        <v>44043</v>
      </c>
      <c r="B976" t="s">
        <v>328</v>
      </c>
      <c r="C976" t="s">
        <v>274</v>
      </c>
      <c r="D976" t="s">
        <v>329</v>
      </c>
      <c r="E976" t="s">
        <v>256</v>
      </c>
      <c r="F976">
        <v>439.81</v>
      </c>
      <c r="G976" t="str">
        <f t="shared" si="16"/>
        <v>基础设施债权</v>
      </c>
    </row>
    <row r="977" spans="1:7">
      <c r="A977" s="6">
        <v>44043</v>
      </c>
      <c r="C977" t="s">
        <v>257</v>
      </c>
      <c r="D977" t="s">
        <v>329</v>
      </c>
      <c r="E977" t="s">
        <v>256</v>
      </c>
      <c r="F977">
        <v>156.63</v>
      </c>
      <c r="G977" t="str">
        <f t="shared" si="16"/>
        <v>基础设施债权</v>
      </c>
    </row>
    <row r="978" spans="1:7">
      <c r="A978" s="6">
        <v>44043</v>
      </c>
      <c r="C978" t="s">
        <v>266</v>
      </c>
      <c r="D978" t="s">
        <v>329</v>
      </c>
      <c r="E978" t="s">
        <v>256</v>
      </c>
      <c r="F978">
        <v>43.7</v>
      </c>
      <c r="G978" t="str">
        <f t="shared" si="16"/>
        <v>基础设施债权</v>
      </c>
    </row>
    <row r="979" spans="1:7">
      <c r="A979" s="6">
        <v>44043</v>
      </c>
      <c r="B979" t="s">
        <v>330</v>
      </c>
      <c r="C979" t="s">
        <v>274</v>
      </c>
      <c r="D979" t="s">
        <v>331</v>
      </c>
      <c r="E979" t="s">
        <v>256</v>
      </c>
      <c r="F979">
        <v>1241.07</v>
      </c>
      <c r="G979" t="str">
        <f t="shared" si="16"/>
        <v>固收型</v>
      </c>
    </row>
    <row r="980" spans="1:7">
      <c r="A980" s="6">
        <v>44043</v>
      </c>
      <c r="C980" t="s">
        <v>265</v>
      </c>
      <c r="D980" t="s">
        <v>331</v>
      </c>
      <c r="E980" t="s">
        <v>256</v>
      </c>
      <c r="F980">
        <v>26.43</v>
      </c>
      <c r="G980" t="str">
        <f t="shared" si="16"/>
        <v>固收型</v>
      </c>
    </row>
    <row r="981" spans="1:7">
      <c r="A981" s="6">
        <v>44043</v>
      </c>
      <c r="C981" t="s">
        <v>257</v>
      </c>
      <c r="D981" t="s">
        <v>331</v>
      </c>
      <c r="E981" t="s">
        <v>256</v>
      </c>
      <c r="F981">
        <v>36.06</v>
      </c>
      <c r="G981" t="str">
        <f t="shared" si="16"/>
        <v>固收型</v>
      </c>
    </row>
    <row r="982" spans="1:7">
      <c r="A982" s="6">
        <v>44043</v>
      </c>
      <c r="C982" t="s">
        <v>276</v>
      </c>
      <c r="D982" t="s">
        <v>331</v>
      </c>
      <c r="E982" t="s">
        <v>256</v>
      </c>
      <c r="F982">
        <v>780.96</v>
      </c>
      <c r="G982" t="str">
        <f t="shared" si="16"/>
        <v>固收型</v>
      </c>
    </row>
    <row r="983" spans="1:7">
      <c r="A983" s="6">
        <v>44043</v>
      </c>
      <c r="C983" t="s">
        <v>283</v>
      </c>
      <c r="D983" t="s">
        <v>331</v>
      </c>
      <c r="E983" t="s">
        <v>256</v>
      </c>
      <c r="F983">
        <v>13.19</v>
      </c>
      <c r="G983" t="str">
        <f t="shared" si="16"/>
        <v>固收型</v>
      </c>
    </row>
    <row r="984" spans="1:7">
      <c r="A984" s="6">
        <v>44043</v>
      </c>
      <c r="C984" t="s">
        <v>266</v>
      </c>
      <c r="D984" t="s">
        <v>331</v>
      </c>
      <c r="E984" t="s">
        <v>256</v>
      </c>
      <c r="F984">
        <v>459.75</v>
      </c>
      <c r="G984" t="str">
        <f t="shared" si="16"/>
        <v>固收型</v>
      </c>
    </row>
    <row r="985" spans="1:7">
      <c r="A985" s="6">
        <v>44043</v>
      </c>
      <c r="C985" t="s">
        <v>267</v>
      </c>
      <c r="D985" t="s">
        <v>331</v>
      </c>
      <c r="E985" t="s">
        <v>259</v>
      </c>
      <c r="F985">
        <v>3343.75</v>
      </c>
      <c r="G985" t="str">
        <f t="shared" si="16"/>
        <v>固收型</v>
      </c>
    </row>
    <row r="986" spans="1:7">
      <c r="A986" s="6">
        <v>44043</v>
      </c>
      <c r="C986" t="s">
        <v>290</v>
      </c>
      <c r="D986" t="s">
        <v>331</v>
      </c>
      <c r="E986" t="s">
        <v>259</v>
      </c>
      <c r="F986">
        <v>11542.53</v>
      </c>
      <c r="G986" t="str">
        <f t="shared" si="16"/>
        <v>固收型</v>
      </c>
    </row>
    <row r="987" spans="1:7">
      <c r="A987" s="6">
        <v>44043</v>
      </c>
      <c r="C987" t="s">
        <v>284</v>
      </c>
      <c r="D987" t="s">
        <v>331</v>
      </c>
      <c r="E987" t="s">
        <v>259</v>
      </c>
      <c r="F987">
        <v>2056.04</v>
      </c>
      <c r="G987" t="str">
        <f t="shared" si="16"/>
        <v>固收型</v>
      </c>
    </row>
    <row r="988" spans="1:7">
      <c r="A988" s="6">
        <v>44043</v>
      </c>
      <c r="C988" t="s">
        <v>258</v>
      </c>
      <c r="D988" t="s">
        <v>331</v>
      </c>
      <c r="E988" t="s">
        <v>259</v>
      </c>
      <c r="F988">
        <v>4805.9799999999996</v>
      </c>
      <c r="G988" t="str">
        <f t="shared" si="16"/>
        <v>固收型</v>
      </c>
    </row>
    <row r="989" spans="1:7">
      <c r="A989" s="6">
        <v>44043</v>
      </c>
      <c r="C989" t="s">
        <v>261</v>
      </c>
      <c r="D989" t="s">
        <v>331</v>
      </c>
      <c r="E989" t="s">
        <v>259</v>
      </c>
      <c r="F989">
        <v>260.92</v>
      </c>
      <c r="G989" t="str">
        <f t="shared" si="16"/>
        <v>固收型</v>
      </c>
    </row>
    <row r="990" spans="1:7">
      <c r="A990" s="6">
        <v>44043</v>
      </c>
      <c r="B990" t="s">
        <v>332</v>
      </c>
      <c r="C990" t="s">
        <v>254</v>
      </c>
      <c r="D990" t="s">
        <v>333</v>
      </c>
      <c r="E990" t="s">
        <v>256</v>
      </c>
      <c r="F990">
        <v>3830.13</v>
      </c>
      <c r="G990" t="str">
        <f t="shared" si="16"/>
        <v>固收型</v>
      </c>
    </row>
    <row r="991" spans="1:7">
      <c r="A991" s="6">
        <v>44043</v>
      </c>
      <c r="C991" t="s">
        <v>274</v>
      </c>
      <c r="D991" t="s">
        <v>333</v>
      </c>
      <c r="E991" t="s">
        <v>256</v>
      </c>
      <c r="F991">
        <v>5185.66</v>
      </c>
      <c r="G991" t="str">
        <f t="shared" si="16"/>
        <v>固收型</v>
      </c>
    </row>
    <row r="992" spans="1:7">
      <c r="A992" s="6">
        <v>44043</v>
      </c>
      <c r="C992" t="s">
        <v>265</v>
      </c>
      <c r="D992" t="s">
        <v>333</v>
      </c>
      <c r="E992" t="s">
        <v>256</v>
      </c>
      <c r="F992">
        <v>61.3</v>
      </c>
      <c r="G992" t="str">
        <f t="shared" si="16"/>
        <v>固收型</v>
      </c>
    </row>
    <row r="993" spans="1:7">
      <c r="A993" s="6">
        <v>44043</v>
      </c>
      <c r="C993" t="s">
        <v>257</v>
      </c>
      <c r="D993" t="s">
        <v>333</v>
      </c>
      <c r="E993" t="s">
        <v>256</v>
      </c>
      <c r="F993">
        <v>739.11</v>
      </c>
      <c r="G993" t="str">
        <f t="shared" si="16"/>
        <v>固收型</v>
      </c>
    </row>
    <row r="994" spans="1:7">
      <c r="A994" s="6">
        <v>44043</v>
      </c>
      <c r="C994" t="s">
        <v>276</v>
      </c>
      <c r="D994" t="s">
        <v>333</v>
      </c>
      <c r="E994" t="s">
        <v>256</v>
      </c>
      <c r="F994">
        <v>1899.92</v>
      </c>
      <c r="G994" t="str">
        <f t="shared" si="16"/>
        <v>固收型</v>
      </c>
    </row>
    <row r="995" spans="1:7">
      <c r="A995" s="6">
        <v>44043</v>
      </c>
      <c r="C995" t="s">
        <v>283</v>
      </c>
      <c r="D995" t="s">
        <v>333</v>
      </c>
      <c r="E995" t="s">
        <v>256</v>
      </c>
      <c r="F995">
        <v>5.99</v>
      </c>
      <c r="G995" t="str">
        <f t="shared" si="16"/>
        <v>固收型</v>
      </c>
    </row>
    <row r="996" spans="1:7">
      <c r="A996" s="6">
        <v>44043</v>
      </c>
      <c r="C996" t="s">
        <v>266</v>
      </c>
      <c r="D996" t="s">
        <v>333</v>
      </c>
      <c r="E996" t="s">
        <v>256</v>
      </c>
      <c r="F996">
        <v>137.08000000000001</v>
      </c>
      <c r="G996" t="str">
        <f t="shared" si="16"/>
        <v>固收型</v>
      </c>
    </row>
    <row r="997" spans="1:7">
      <c r="A997" s="6">
        <v>44043</v>
      </c>
      <c r="C997" t="s">
        <v>289</v>
      </c>
      <c r="D997" t="s">
        <v>333</v>
      </c>
      <c r="E997" t="s">
        <v>259</v>
      </c>
      <c r="F997">
        <v>15693.77</v>
      </c>
      <c r="G997" t="str">
        <f t="shared" si="16"/>
        <v>固收型</v>
      </c>
    </row>
    <row r="998" spans="1:7">
      <c r="A998" s="6">
        <v>44043</v>
      </c>
      <c r="C998" t="s">
        <v>267</v>
      </c>
      <c r="D998" t="s">
        <v>333</v>
      </c>
      <c r="E998" t="s">
        <v>259</v>
      </c>
      <c r="F998">
        <v>640.45000000000005</v>
      </c>
      <c r="G998" t="str">
        <f t="shared" si="16"/>
        <v>固收型</v>
      </c>
    </row>
    <row r="999" spans="1:7">
      <c r="A999" s="6">
        <v>44043</v>
      </c>
      <c r="C999" t="s">
        <v>290</v>
      </c>
      <c r="D999" t="s">
        <v>333</v>
      </c>
      <c r="E999" t="s">
        <v>259</v>
      </c>
      <c r="F999">
        <v>2898.08</v>
      </c>
      <c r="G999" t="str">
        <f t="shared" si="16"/>
        <v>固收型</v>
      </c>
    </row>
    <row r="1000" spans="1:7">
      <c r="A1000" s="6">
        <v>44043</v>
      </c>
      <c r="C1000" t="s">
        <v>284</v>
      </c>
      <c r="D1000" t="s">
        <v>333</v>
      </c>
      <c r="E1000" t="s">
        <v>259</v>
      </c>
      <c r="F1000">
        <v>2188.19</v>
      </c>
      <c r="G1000" t="str">
        <f t="shared" si="16"/>
        <v>固收型</v>
      </c>
    </row>
    <row r="1001" spans="1:7">
      <c r="A1001" s="6">
        <v>44043</v>
      </c>
      <c r="C1001" t="s">
        <v>302</v>
      </c>
      <c r="D1001" t="s">
        <v>333</v>
      </c>
      <c r="E1001" t="s">
        <v>259</v>
      </c>
      <c r="F1001">
        <v>376.15</v>
      </c>
      <c r="G1001" t="str">
        <f t="shared" si="16"/>
        <v>固收型</v>
      </c>
    </row>
    <row r="1002" spans="1:7">
      <c r="A1002" s="6">
        <v>44043</v>
      </c>
      <c r="C1002" t="s">
        <v>268</v>
      </c>
      <c r="D1002" t="s">
        <v>333</v>
      </c>
      <c r="E1002" t="s">
        <v>259</v>
      </c>
      <c r="F1002">
        <v>9260.0300000000007</v>
      </c>
      <c r="G1002" t="str">
        <f t="shared" si="16"/>
        <v>固收型</v>
      </c>
    </row>
    <row r="1003" spans="1:7">
      <c r="A1003" s="6">
        <v>44043</v>
      </c>
      <c r="C1003" t="s">
        <v>277</v>
      </c>
      <c r="D1003" t="s">
        <v>333</v>
      </c>
      <c r="E1003" t="s">
        <v>259</v>
      </c>
      <c r="F1003">
        <v>744.59</v>
      </c>
      <c r="G1003" t="str">
        <f t="shared" si="16"/>
        <v>固收型</v>
      </c>
    </row>
    <row r="1004" spans="1:7">
      <c r="A1004" s="6">
        <v>44043</v>
      </c>
      <c r="C1004" t="s">
        <v>261</v>
      </c>
      <c r="D1004" t="s">
        <v>333</v>
      </c>
      <c r="E1004" t="s">
        <v>259</v>
      </c>
      <c r="F1004">
        <v>259.35000000000002</v>
      </c>
      <c r="G1004" t="str">
        <f t="shared" si="16"/>
        <v>固收型</v>
      </c>
    </row>
    <row r="1005" spans="1:7">
      <c r="A1005" s="6">
        <v>44043</v>
      </c>
      <c r="B1005" t="s">
        <v>334</v>
      </c>
      <c r="C1005" t="s">
        <v>265</v>
      </c>
      <c r="D1005" t="s">
        <v>335</v>
      </c>
      <c r="E1005" t="s">
        <v>256</v>
      </c>
      <c r="F1005">
        <v>52.45</v>
      </c>
      <c r="G1005" t="str">
        <f t="shared" si="16"/>
        <v>固收型</v>
      </c>
    </row>
    <row r="1006" spans="1:7">
      <c r="A1006" s="6">
        <v>44043</v>
      </c>
      <c r="C1006" t="s">
        <v>257</v>
      </c>
      <c r="D1006" t="s">
        <v>335</v>
      </c>
      <c r="E1006" t="s">
        <v>256</v>
      </c>
      <c r="F1006">
        <v>1328.83</v>
      </c>
      <c r="G1006" t="str">
        <f t="shared" si="16"/>
        <v>固收型</v>
      </c>
    </row>
    <row r="1007" spans="1:7">
      <c r="A1007" s="6">
        <v>44043</v>
      </c>
      <c r="C1007" t="s">
        <v>267</v>
      </c>
      <c r="D1007" t="s">
        <v>335</v>
      </c>
      <c r="E1007" t="s">
        <v>259</v>
      </c>
      <c r="F1007">
        <v>8307.76</v>
      </c>
      <c r="G1007" t="str">
        <f t="shared" si="16"/>
        <v>固收型</v>
      </c>
    </row>
    <row r="1008" spans="1:7">
      <c r="A1008" s="6">
        <v>44043</v>
      </c>
      <c r="C1008" t="s">
        <v>301</v>
      </c>
      <c r="D1008" t="s">
        <v>335</v>
      </c>
      <c r="E1008" t="s">
        <v>259</v>
      </c>
      <c r="F1008">
        <v>17190.45</v>
      </c>
      <c r="G1008" t="str">
        <f t="shared" si="16"/>
        <v>固收型</v>
      </c>
    </row>
    <row r="1009" spans="1:7">
      <c r="A1009" s="6">
        <v>44043</v>
      </c>
      <c r="C1009" t="s">
        <v>277</v>
      </c>
      <c r="D1009" t="s">
        <v>335</v>
      </c>
      <c r="E1009" t="s">
        <v>259</v>
      </c>
      <c r="F1009">
        <v>744.04</v>
      </c>
      <c r="G1009" t="str">
        <f t="shared" si="16"/>
        <v>固收型</v>
      </c>
    </row>
    <row r="1010" spans="1:7">
      <c r="A1010" s="6">
        <v>44043</v>
      </c>
      <c r="B1010" t="s">
        <v>336</v>
      </c>
      <c r="C1010" t="s">
        <v>263</v>
      </c>
      <c r="D1010" t="s">
        <v>337</v>
      </c>
      <c r="E1010" t="s">
        <v>256</v>
      </c>
      <c r="F1010">
        <v>380.08</v>
      </c>
      <c r="G1010" t="str">
        <f t="shared" si="16"/>
        <v>混合型</v>
      </c>
    </row>
    <row r="1011" spans="1:7">
      <c r="A1011" s="6">
        <v>44043</v>
      </c>
      <c r="C1011" t="s">
        <v>269</v>
      </c>
      <c r="D1011" t="s">
        <v>337</v>
      </c>
      <c r="E1011" t="s">
        <v>270</v>
      </c>
      <c r="F1011">
        <v>34550.17</v>
      </c>
      <c r="G1011" t="str">
        <f t="shared" si="16"/>
        <v>混合型</v>
      </c>
    </row>
    <row r="1012" spans="1:7">
      <c r="A1012" s="6">
        <v>44043</v>
      </c>
      <c r="C1012" t="s">
        <v>278</v>
      </c>
      <c r="D1012" t="s">
        <v>337</v>
      </c>
      <c r="E1012" t="s">
        <v>270</v>
      </c>
      <c r="F1012">
        <v>62.82</v>
      </c>
      <c r="G1012" t="str">
        <f t="shared" si="16"/>
        <v>混合型</v>
      </c>
    </row>
    <row r="1013" spans="1:7">
      <c r="A1013" s="6">
        <v>44043</v>
      </c>
      <c r="C1013" t="s">
        <v>271</v>
      </c>
      <c r="D1013" t="s">
        <v>337</v>
      </c>
      <c r="E1013" t="s">
        <v>270</v>
      </c>
      <c r="F1013">
        <v>27180.28</v>
      </c>
      <c r="G1013" t="str">
        <f t="shared" si="16"/>
        <v>混合型</v>
      </c>
    </row>
    <row r="1014" spans="1:7">
      <c r="A1014" s="6">
        <v>44043</v>
      </c>
      <c r="C1014" t="s">
        <v>272</v>
      </c>
      <c r="D1014" t="s">
        <v>337</v>
      </c>
      <c r="E1014" t="s">
        <v>270</v>
      </c>
      <c r="F1014">
        <v>8593.18</v>
      </c>
      <c r="G1014" t="str">
        <f t="shared" si="16"/>
        <v>混合型</v>
      </c>
    </row>
    <row r="1015" spans="1:7">
      <c r="A1015" s="6">
        <v>44043</v>
      </c>
      <c r="B1015" t="s">
        <v>338</v>
      </c>
      <c r="C1015" t="s">
        <v>254</v>
      </c>
      <c r="D1015" t="s">
        <v>339</v>
      </c>
      <c r="E1015" t="s">
        <v>256</v>
      </c>
      <c r="F1015">
        <v>779.63</v>
      </c>
      <c r="G1015" t="str">
        <f t="shared" si="16"/>
        <v>混合型</v>
      </c>
    </row>
    <row r="1016" spans="1:7">
      <c r="A1016" s="6">
        <v>44043</v>
      </c>
      <c r="C1016" t="s">
        <v>274</v>
      </c>
      <c r="D1016" t="s">
        <v>339</v>
      </c>
      <c r="E1016" t="s">
        <v>256</v>
      </c>
      <c r="F1016">
        <v>3832.43</v>
      </c>
      <c r="G1016" t="str">
        <f t="shared" si="16"/>
        <v>混合型</v>
      </c>
    </row>
    <row r="1017" spans="1:7">
      <c r="A1017" s="6">
        <v>44043</v>
      </c>
      <c r="C1017" t="s">
        <v>263</v>
      </c>
      <c r="D1017" t="s">
        <v>339</v>
      </c>
      <c r="E1017" t="s">
        <v>256</v>
      </c>
      <c r="F1017">
        <v>2.69</v>
      </c>
      <c r="G1017" t="str">
        <f t="shared" si="16"/>
        <v>混合型</v>
      </c>
    </row>
    <row r="1018" spans="1:7">
      <c r="A1018" s="6">
        <v>44043</v>
      </c>
      <c r="C1018" t="s">
        <v>257</v>
      </c>
      <c r="D1018" t="s">
        <v>339</v>
      </c>
      <c r="E1018" t="s">
        <v>256</v>
      </c>
      <c r="F1018">
        <v>435.22</v>
      </c>
      <c r="G1018" t="str">
        <f t="shared" si="16"/>
        <v>混合型</v>
      </c>
    </row>
    <row r="1019" spans="1:7">
      <c r="A1019" s="6">
        <v>44043</v>
      </c>
      <c r="C1019" t="s">
        <v>283</v>
      </c>
      <c r="D1019" t="s">
        <v>339</v>
      </c>
      <c r="E1019" t="s">
        <v>256</v>
      </c>
      <c r="F1019">
        <v>11.52</v>
      </c>
      <c r="G1019" t="str">
        <f t="shared" si="16"/>
        <v>混合型</v>
      </c>
    </row>
    <row r="1020" spans="1:7">
      <c r="A1020" s="6">
        <v>44043</v>
      </c>
      <c r="C1020" t="s">
        <v>290</v>
      </c>
      <c r="D1020" t="s">
        <v>339</v>
      </c>
      <c r="E1020" t="s">
        <v>259</v>
      </c>
      <c r="F1020">
        <v>1445.5</v>
      </c>
      <c r="G1020" t="str">
        <f t="shared" si="16"/>
        <v>混合型</v>
      </c>
    </row>
    <row r="1021" spans="1:7">
      <c r="A1021" s="6">
        <v>44043</v>
      </c>
      <c r="C1021" t="s">
        <v>301</v>
      </c>
      <c r="D1021" t="s">
        <v>339</v>
      </c>
      <c r="E1021" t="s">
        <v>259</v>
      </c>
      <c r="F1021">
        <v>2173.6799999999998</v>
      </c>
      <c r="G1021" t="str">
        <f t="shared" si="16"/>
        <v>混合型</v>
      </c>
    </row>
    <row r="1022" spans="1:7">
      <c r="A1022" s="6">
        <v>44043</v>
      </c>
      <c r="C1022" t="s">
        <v>260</v>
      </c>
      <c r="D1022" t="s">
        <v>339</v>
      </c>
      <c r="E1022" t="s">
        <v>259</v>
      </c>
      <c r="F1022">
        <v>4192.5200000000004</v>
      </c>
      <c r="G1022" t="str">
        <f t="shared" si="16"/>
        <v>混合型</v>
      </c>
    </row>
    <row r="1023" spans="1:7">
      <c r="A1023" s="6">
        <v>44043</v>
      </c>
      <c r="C1023" t="s">
        <v>286</v>
      </c>
      <c r="D1023" t="s">
        <v>339</v>
      </c>
      <c r="E1023" t="s">
        <v>259</v>
      </c>
      <c r="F1023">
        <v>5543.85</v>
      </c>
      <c r="G1023" t="str">
        <f t="shared" si="16"/>
        <v>混合型</v>
      </c>
    </row>
    <row r="1024" spans="1:7">
      <c r="A1024" s="6">
        <v>44043</v>
      </c>
      <c r="B1024" t="s">
        <v>340</v>
      </c>
      <c r="C1024" t="s">
        <v>274</v>
      </c>
      <c r="D1024" t="s">
        <v>341</v>
      </c>
      <c r="E1024" t="s">
        <v>256</v>
      </c>
      <c r="F1024">
        <v>93.02</v>
      </c>
      <c r="G1024" t="str">
        <f t="shared" si="16"/>
        <v>混合型</v>
      </c>
    </row>
    <row r="1025" spans="1:7">
      <c r="A1025" s="6">
        <v>44043</v>
      </c>
      <c r="C1025" t="s">
        <v>265</v>
      </c>
      <c r="D1025" t="s">
        <v>341</v>
      </c>
      <c r="E1025" t="s">
        <v>256</v>
      </c>
      <c r="F1025">
        <v>41.94</v>
      </c>
      <c r="G1025" t="str">
        <f t="shared" si="16"/>
        <v>混合型</v>
      </c>
    </row>
    <row r="1026" spans="1:7">
      <c r="A1026" s="6">
        <v>44043</v>
      </c>
      <c r="C1026" t="s">
        <v>257</v>
      </c>
      <c r="D1026" t="s">
        <v>341</v>
      </c>
      <c r="E1026" t="s">
        <v>256</v>
      </c>
      <c r="F1026">
        <v>465.94</v>
      </c>
      <c r="G1026" t="str">
        <f t="shared" si="16"/>
        <v>混合型</v>
      </c>
    </row>
    <row r="1027" spans="1:7">
      <c r="A1027" s="6">
        <v>44043</v>
      </c>
      <c r="C1027" t="s">
        <v>276</v>
      </c>
      <c r="D1027" t="s">
        <v>341</v>
      </c>
      <c r="E1027" t="s">
        <v>256</v>
      </c>
      <c r="F1027">
        <v>376.74</v>
      </c>
      <c r="G1027" t="str">
        <f t="shared" ref="G1027:G1090" si="17">VLOOKUP(D1027,L:N,3,0)</f>
        <v>混合型</v>
      </c>
    </row>
    <row r="1028" spans="1:7">
      <c r="A1028" s="6">
        <v>44043</v>
      </c>
      <c r="C1028" t="s">
        <v>283</v>
      </c>
      <c r="D1028" t="s">
        <v>341</v>
      </c>
      <c r="E1028" t="s">
        <v>256</v>
      </c>
      <c r="F1028">
        <v>5.29</v>
      </c>
      <c r="G1028" t="str">
        <f t="shared" si="17"/>
        <v>混合型</v>
      </c>
    </row>
    <row r="1029" spans="1:7">
      <c r="A1029" s="6">
        <v>44043</v>
      </c>
      <c r="C1029" t="s">
        <v>266</v>
      </c>
      <c r="D1029" t="s">
        <v>341</v>
      </c>
      <c r="E1029" t="s">
        <v>256</v>
      </c>
      <c r="F1029">
        <v>272.42</v>
      </c>
      <c r="G1029" t="str">
        <f t="shared" si="17"/>
        <v>混合型</v>
      </c>
    </row>
    <row r="1030" spans="1:7">
      <c r="A1030" s="6">
        <v>44043</v>
      </c>
      <c r="C1030" t="s">
        <v>267</v>
      </c>
      <c r="D1030" t="s">
        <v>341</v>
      </c>
      <c r="E1030" t="s">
        <v>259</v>
      </c>
      <c r="F1030">
        <v>7433.07</v>
      </c>
      <c r="G1030" t="str">
        <f t="shared" si="17"/>
        <v>混合型</v>
      </c>
    </row>
    <row r="1031" spans="1:7">
      <c r="A1031" s="6">
        <v>44043</v>
      </c>
      <c r="C1031" t="s">
        <v>301</v>
      </c>
      <c r="D1031" t="s">
        <v>341</v>
      </c>
      <c r="E1031" t="s">
        <v>259</v>
      </c>
      <c r="F1031">
        <v>9074.16</v>
      </c>
      <c r="G1031" t="str">
        <f t="shared" si="17"/>
        <v>混合型</v>
      </c>
    </row>
    <row r="1032" spans="1:7">
      <c r="A1032" s="6">
        <v>44043</v>
      </c>
      <c r="C1032" t="s">
        <v>258</v>
      </c>
      <c r="D1032" t="s">
        <v>341</v>
      </c>
      <c r="E1032" t="s">
        <v>259</v>
      </c>
      <c r="F1032">
        <v>12997.24</v>
      </c>
      <c r="G1032" t="str">
        <f t="shared" si="17"/>
        <v>混合型</v>
      </c>
    </row>
    <row r="1033" spans="1:7">
      <c r="A1033" s="6">
        <v>44043</v>
      </c>
      <c r="C1033" t="s">
        <v>277</v>
      </c>
      <c r="D1033" t="s">
        <v>341</v>
      </c>
      <c r="E1033" t="s">
        <v>259</v>
      </c>
      <c r="F1033">
        <v>1308.5999999999999</v>
      </c>
      <c r="G1033" t="str">
        <f t="shared" si="17"/>
        <v>混合型</v>
      </c>
    </row>
    <row r="1034" spans="1:7">
      <c r="A1034" s="6">
        <v>44043</v>
      </c>
      <c r="C1034" t="s">
        <v>278</v>
      </c>
      <c r="D1034" t="s">
        <v>341</v>
      </c>
      <c r="E1034" t="s">
        <v>270</v>
      </c>
      <c r="F1034">
        <v>69127.27</v>
      </c>
      <c r="G1034" t="str">
        <f t="shared" si="17"/>
        <v>混合型</v>
      </c>
    </row>
    <row r="1035" spans="1:7">
      <c r="A1035" s="6">
        <v>44043</v>
      </c>
      <c r="C1035" t="s">
        <v>261</v>
      </c>
      <c r="D1035" t="s">
        <v>341</v>
      </c>
      <c r="E1035" t="s">
        <v>259</v>
      </c>
      <c r="F1035">
        <v>246.45</v>
      </c>
      <c r="G1035" t="str">
        <f t="shared" si="17"/>
        <v>混合型</v>
      </c>
    </row>
    <row r="1036" spans="1:7">
      <c r="A1036" s="6">
        <v>44043</v>
      </c>
      <c r="C1036" t="s">
        <v>286</v>
      </c>
      <c r="D1036" t="s">
        <v>341</v>
      </c>
      <c r="E1036" t="s">
        <v>259</v>
      </c>
      <c r="F1036">
        <v>12809.92</v>
      </c>
      <c r="G1036" t="str">
        <f t="shared" si="17"/>
        <v>混合型</v>
      </c>
    </row>
    <row r="1037" spans="1:7">
      <c r="A1037" s="6">
        <v>44043</v>
      </c>
      <c r="B1037" t="s">
        <v>342</v>
      </c>
      <c r="C1037" t="s">
        <v>274</v>
      </c>
      <c r="D1037" t="s">
        <v>343</v>
      </c>
      <c r="E1037" t="s">
        <v>256</v>
      </c>
      <c r="F1037">
        <v>91.37</v>
      </c>
      <c r="G1037" t="str">
        <f t="shared" si="17"/>
        <v>股票型</v>
      </c>
    </row>
    <row r="1038" spans="1:7">
      <c r="A1038" s="6">
        <v>44043</v>
      </c>
      <c r="C1038" t="s">
        <v>265</v>
      </c>
      <c r="D1038" t="s">
        <v>343</v>
      </c>
      <c r="E1038" t="s">
        <v>256</v>
      </c>
      <c r="F1038">
        <v>115.04</v>
      </c>
      <c r="G1038" t="str">
        <f t="shared" si="17"/>
        <v>股票型</v>
      </c>
    </row>
    <row r="1039" spans="1:7">
      <c r="A1039" s="6">
        <v>44043</v>
      </c>
      <c r="C1039" t="s">
        <v>257</v>
      </c>
      <c r="D1039" t="s">
        <v>343</v>
      </c>
      <c r="E1039" t="s">
        <v>256</v>
      </c>
      <c r="F1039">
        <v>39.94</v>
      </c>
      <c r="G1039" t="str">
        <f t="shared" si="17"/>
        <v>股票型</v>
      </c>
    </row>
    <row r="1040" spans="1:7">
      <c r="A1040" s="6">
        <v>44043</v>
      </c>
      <c r="C1040" t="s">
        <v>277</v>
      </c>
      <c r="D1040" t="s">
        <v>343</v>
      </c>
      <c r="E1040" t="s">
        <v>259</v>
      </c>
      <c r="F1040">
        <v>510.04</v>
      </c>
      <c r="G1040" t="str">
        <f t="shared" si="17"/>
        <v>股票型</v>
      </c>
    </row>
    <row r="1041" spans="1:7">
      <c r="A1041" s="6">
        <v>44043</v>
      </c>
      <c r="B1041" t="s">
        <v>344</v>
      </c>
      <c r="C1041" t="s">
        <v>254</v>
      </c>
      <c r="D1041" t="s">
        <v>345</v>
      </c>
      <c r="E1041" t="s">
        <v>256</v>
      </c>
      <c r="F1041">
        <v>660.88</v>
      </c>
      <c r="G1041" t="str">
        <f t="shared" si="17"/>
        <v>股票型</v>
      </c>
    </row>
    <row r="1042" spans="1:7">
      <c r="A1042" s="6">
        <v>44043</v>
      </c>
      <c r="C1042" t="s">
        <v>257</v>
      </c>
      <c r="D1042" t="s">
        <v>345</v>
      </c>
      <c r="E1042" t="s">
        <v>256</v>
      </c>
      <c r="F1042">
        <v>5.7</v>
      </c>
      <c r="G1042" t="str">
        <f t="shared" si="17"/>
        <v>股票型</v>
      </c>
    </row>
    <row r="1043" spans="1:7">
      <c r="A1043" s="6">
        <v>44043</v>
      </c>
      <c r="C1043" t="s">
        <v>260</v>
      </c>
      <c r="D1043" t="s">
        <v>345</v>
      </c>
      <c r="E1043" t="s">
        <v>259</v>
      </c>
      <c r="F1043">
        <v>3294.6</v>
      </c>
      <c r="G1043" t="str">
        <f t="shared" si="17"/>
        <v>股票型</v>
      </c>
    </row>
    <row r="1044" spans="1:7">
      <c r="A1044" s="6">
        <v>44043</v>
      </c>
      <c r="B1044" t="s">
        <v>346</v>
      </c>
      <c r="C1044" t="s">
        <v>254</v>
      </c>
      <c r="D1044" t="s">
        <v>347</v>
      </c>
      <c r="E1044" t="s">
        <v>256</v>
      </c>
      <c r="F1044">
        <v>1257.6500000000001</v>
      </c>
      <c r="G1044" t="str">
        <f t="shared" si="17"/>
        <v>股票型</v>
      </c>
    </row>
    <row r="1045" spans="1:7">
      <c r="A1045" s="6">
        <v>44043</v>
      </c>
      <c r="C1045" t="s">
        <v>274</v>
      </c>
      <c r="D1045" t="s">
        <v>347</v>
      </c>
      <c r="E1045" t="s">
        <v>256</v>
      </c>
      <c r="F1045">
        <v>1261.0999999999999</v>
      </c>
      <c r="G1045" t="str">
        <f t="shared" si="17"/>
        <v>股票型</v>
      </c>
    </row>
    <row r="1046" spans="1:7">
      <c r="A1046" s="6">
        <v>44043</v>
      </c>
      <c r="C1046" t="s">
        <v>263</v>
      </c>
      <c r="D1046" t="s">
        <v>347</v>
      </c>
      <c r="E1046" t="s">
        <v>256</v>
      </c>
      <c r="F1046">
        <v>29.03</v>
      </c>
      <c r="G1046" t="str">
        <f t="shared" si="17"/>
        <v>股票型</v>
      </c>
    </row>
    <row r="1047" spans="1:7">
      <c r="A1047" s="6">
        <v>44043</v>
      </c>
      <c r="C1047" t="s">
        <v>257</v>
      </c>
      <c r="D1047" t="s">
        <v>347</v>
      </c>
      <c r="E1047" t="s">
        <v>256</v>
      </c>
      <c r="F1047">
        <v>204.71</v>
      </c>
      <c r="G1047" t="str">
        <f t="shared" si="17"/>
        <v>股票型</v>
      </c>
    </row>
    <row r="1048" spans="1:7">
      <c r="A1048" s="6">
        <v>44043</v>
      </c>
      <c r="C1048" t="s">
        <v>266</v>
      </c>
      <c r="D1048" t="s">
        <v>347</v>
      </c>
      <c r="E1048" t="s">
        <v>256</v>
      </c>
      <c r="F1048">
        <v>67.61</v>
      </c>
      <c r="G1048" t="str">
        <f t="shared" si="17"/>
        <v>股票型</v>
      </c>
    </row>
    <row r="1049" spans="1:7">
      <c r="A1049" s="6">
        <v>44043</v>
      </c>
      <c r="C1049" t="s">
        <v>267</v>
      </c>
      <c r="D1049" t="s">
        <v>347</v>
      </c>
      <c r="E1049" t="s">
        <v>259</v>
      </c>
      <c r="F1049">
        <v>11199.91</v>
      </c>
      <c r="G1049" t="str">
        <f t="shared" si="17"/>
        <v>股票型</v>
      </c>
    </row>
    <row r="1050" spans="1:7">
      <c r="A1050" s="6">
        <v>44043</v>
      </c>
      <c r="C1050" t="s">
        <v>301</v>
      </c>
      <c r="D1050" t="s">
        <v>347</v>
      </c>
      <c r="E1050" t="s">
        <v>259</v>
      </c>
      <c r="F1050">
        <v>25143.21</v>
      </c>
      <c r="G1050" t="str">
        <f t="shared" si="17"/>
        <v>股票型</v>
      </c>
    </row>
    <row r="1051" spans="1:7">
      <c r="A1051" s="6">
        <v>44043</v>
      </c>
      <c r="C1051" t="s">
        <v>260</v>
      </c>
      <c r="D1051" t="s">
        <v>347</v>
      </c>
      <c r="E1051" t="s">
        <v>259</v>
      </c>
      <c r="F1051">
        <v>3062.4</v>
      </c>
      <c r="G1051" t="str">
        <f t="shared" si="17"/>
        <v>股票型</v>
      </c>
    </row>
    <row r="1052" spans="1:7">
      <c r="A1052" s="6">
        <v>44043</v>
      </c>
      <c r="C1052" t="s">
        <v>272</v>
      </c>
      <c r="D1052" t="s">
        <v>347</v>
      </c>
      <c r="E1052" t="s">
        <v>270</v>
      </c>
      <c r="F1052">
        <v>6490.72</v>
      </c>
      <c r="G1052" t="str">
        <f t="shared" si="17"/>
        <v>股票型</v>
      </c>
    </row>
    <row r="1053" spans="1:7">
      <c r="A1053" s="6">
        <v>44043</v>
      </c>
      <c r="B1053" t="s">
        <v>348</v>
      </c>
      <c r="C1053" t="s">
        <v>265</v>
      </c>
      <c r="D1053" t="s">
        <v>349</v>
      </c>
      <c r="E1053" t="s">
        <v>256</v>
      </c>
      <c r="F1053">
        <v>41.32</v>
      </c>
      <c r="G1053" t="str">
        <f t="shared" si="17"/>
        <v>固收型</v>
      </c>
    </row>
    <row r="1054" spans="1:7">
      <c r="A1054" s="6">
        <v>44043</v>
      </c>
      <c r="C1054" t="s">
        <v>257</v>
      </c>
      <c r="D1054" t="s">
        <v>349</v>
      </c>
      <c r="E1054" t="s">
        <v>256</v>
      </c>
      <c r="F1054">
        <v>25.34</v>
      </c>
      <c r="G1054" t="str">
        <f t="shared" si="17"/>
        <v>固收型</v>
      </c>
    </row>
    <row r="1055" spans="1:7">
      <c r="A1055" s="6">
        <v>44043</v>
      </c>
      <c r="C1055" t="s">
        <v>267</v>
      </c>
      <c r="D1055" t="s">
        <v>349</v>
      </c>
      <c r="E1055" t="s">
        <v>259</v>
      </c>
      <c r="F1055">
        <v>5276.83</v>
      </c>
      <c r="G1055" t="str">
        <f t="shared" si="17"/>
        <v>固收型</v>
      </c>
    </row>
    <row r="1056" spans="1:7">
      <c r="A1056" s="6">
        <v>44043</v>
      </c>
      <c r="C1056" t="s">
        <v>268</v>
      </c>
      <c r="D1056" t="s">
        <v>349</v>
      </c>
      <c r="E1056" t="s">
        <v>259</v>
      </c>
      <c r="F1056">
        <v>6703.16</v>
      </c>
      <c r="G1056" t="str">
        <f t="shared" si="17"/>
        <v>固收型</v>
      </c>
    </row>
    <row r="1057" spans="1:7">
      <c r="A1057" s="6">
        <v>44043</v>
      </c>
      <c r="C1057" t="s">
        <v>350</v>
      </c>
      <c r="D1057" t="s">
        <v>349</v>
      </c>
      <c r="E1057" t="s">
        <v>259</v>
      </c>
      <c r="F1057">
        <v>265.3</v>
      </c>
      <c r="G1057" t="str">
        <f t="shared" si="17"/>
        <v>固收型</v>
      </c>
    </row>
    <row r="1058" spans="1:7">
      <c r="A1058" s="6">
        <v>44043</v>
      </c>
      <c r="C1058" t="s">
        <v>351</v>
      </c>
      <c r="D1058" t="s">
        <v>349</v>
      </c>
      <c r="E1058" t="s">
        <v>259</v>
      </c>
      <c r="F1058">
        <v>151.22</v>
      </c>
      <c r="G1058" t="str">
        <f t="shared" si="17"/>
        <v>固收型</v>
      </c>
    </row>
    <row r="1059" spans="1:7">
      <c r="A1059" s="6">
        <v>44043</v>
      </c>
      <c r="C1059" t="s">
        <v>277</v>
      </c>
      <c r="D1059" t="s">
        <v>349</v>
      </c>
      <c r="E1059" t="s">
        <v>259</v>
      </c>
      <c r="F1059">
        <v>734.62</v>
      </c>
      <c r="G1059" t="str">
        <f t="shared" si="17"/>
        <v>固收型</v>
      </c>
    </row>
    <row r="1060" spans="1:7">
      <c r="A1060" s="6">
        <v>44043</v>
      </c>
      <c r="B1060" t="s">
        <v>352</v>
      </c>
      <c r="C1060" t="s">
        <v>257</v>
      </c>
      <c r="D1060" t="s">
        <v>353</v>
      </c>
      <c r="E1060" t="s">
        <v>256</v>
      </c>
      <c r="F1060">
        <v>71.42</v>
      </c>
      <c r="G1060" t="str">
        <f t="shared" si="17"/>
        <v>保险产品</v>
      </c>
    </row>
    <row r="1061" spans="1:7">
      <c r="A1061" s="6">
        <v>44043</v>
      </c>
      <c r="B1061" t="s">
        <v>354</v>
      </c>
      <c r="C1061" t="s">
        <v>263</v>
      </c>
      <c r="D1061" t="s">
        <v>355</v>
      </c>
      <c r="E1061" t="s">
        <v>256</v>
      </c>
      <c r="F1061">
        <v>2.02</v>
      </c>
      <c r="G1061" t="str">
        <f t="shared" si="17"/>
        <v>混合型</v>
      </c>
    </row>
    <row r="1062" spans="1:7">
      <c r="A1062" s="6">
        <v>44043</v>
      </c>
      <c r="C1062" t="s">
        <v>266</v>
      </c>
      <c r="D1062" t="s">
        <v>355</v>
      </c>
      <c r="E1062" t="s">
        <v>256</v>
      </c>
      <c r="F1062">
        <v>208.27</v>
      </c>
      <c r="G1062" t="str">
        <f t="shared" si="17"/>
        <v>混合型</v>
      </c>
    </row>
    <row r="1063" spans="1:7">
      <c r="A1063" s="6">
        <v>44043</v>
      </c>
      <c r="B1063" t="s">
        <v>356</v>
      </c>
      <c r="C1063" t="s">
        <v>274</v>
      </c>
      <c r="D1063" t="s">
        <v>357</v>
      </c>
      <c r="E1063" t="s">
        <v>256</v>
      </c>
      <c r="F1063">
        <v>244.89</v>
      </c>
      <c r="G1063" t="str">
        <f t="shared" si="17"/>
        <v>基础设施债权</v>
      </c>
    </row>
    <row r="1064" spans="1:7">
      <c r="A1064" s="6">
        <v>44043</v>
      </c>
      <c r="C1064" t="s">
        <v>257</v>
      </c>
      <c r="D1064" t="s">
        <v>357</v>
      </c>
      <c r="E1064" t="s">
        <v>256</v>
      </c>
      <c r="F1064">
        <v>88.49</v>
      </c>
      <c r="G1064" t="str">
        <f t="shared" si="17"/>
        <v>基础设施债权</v>
      </c>
    </row>
    <row r="1065" spans="1:7">
      <c r="A1065" s="6">
        <v>44043</v>
      </c>
      <c r="B1065" t="s">
        <v>358</v>
      </c>
      <c r="C1065" t="s">
        <v>257</v>
      </c>
      <c r="D1065" t="s">
        <v>359</v>
      </c>
      <c r="E1065" t="s">
        <v>256</v>
      </c>
      <c r="F1065">
        <v>13.35</v>
      </c>
      <c r="G1065" t="str">
        <f t="shared" si="17"/>
        <v>基础设施债权</v>
      </c>
    </row>
    <row r="1066" spans="1:7">
      <c r="A1066" s="6">
        <v>44043</v>
      </c>
      <c r="B1066" t="s">
        <v>360</v>
      </c>
      <c r="C1066" t="s">
        <v>254</v>
      </c>
      <c r="D1066" t="s">
        <v>361</v>
      </c>
      <c r="E1066" t="s">
        <v>256</v>
      </c>
      <c r="F1066">
        <v>111.42</v>
      </c>
      <c r="G1066" t="str">
        <f t="shared" si="17"/>
        <v>存款型</v>
      </c>
    </row>
    <row r="1067" spans="1:7">
      <c r="A1067" s="6">
        <v>44043</v>
      </c>
      <c r="C1067" t="s">
        <v>274</v>
      </c>
      <c r="D1067" t="s">
        <v>361</v>
      </c>
      <c r="E1067" t="s">
        <v>256</v>
      </c>
      <c r="F1067">
        <v>73.19</v>
      </c>
      <c r="G1067" t="str">
        <f t="shared" si="17"/>
        <v>存款型</v>
      </c>
    </row>
    <row r="1068" spans="1:7">
      <c r="A1068" s="6">
        <v>44043</v>
      </c>
      <c r="C1068" t="s">
        <v>276</v>
      </c>
      <c r="D1068" t="s">
        <v>361</v>
      </c>
      <c r="E1068" t="s">
        <v>256</v>
      </c>
      <c r="F1068">
        <v>46.87</v>
      </c>
      <c r="G1068" t="str">
        <f t="shared" si="17"/>
        <v>存款型</v>
      </c>
    </row>
    <row r="1069" spans="1:7">
      <c r="A1069" s="6">
        <v>44043</v>
      </c>
      <c r="B1069" t="s">
        <v>362</v>
      </c>
      <c r="C1069" t="s">
        <v>254</v>
      </c>
      <c r="D1069" t="s">
        <v>363</v>
      </c>
      <c r="E1069" t="s">
        <v>256</v>
      </c>
      <c r="F1069">
        <v>97</v>
      </c>
      <c r="G1069" t="str">
        <f t="shared" si="17"/>
        <v>存款型</v>
      </c>
    </row>
    <row r="1070" spans="1:7">
      <c r="A1070" s="6">
        <v>44043</v>
      </c>
      <c r="C1070" t="s">
        <v>257</v>
      </c>
      <c r="D1070" t="s">
        <v>363</v>
      </c>
      <c r="E1070" t="s">
        <v>256</v>
      </c>
      <c r="F1070">
        <v>141.87</v>
      </c>
      <c r="G1070" t="str">
        <f t="shared" si="17"/>
        <v>存款型</v>
      </c>
    </row>
    <row r="1071" spans="1:7">
      <c r="A1071" s="6">
        <v>44043</v>
      </c>
      <c r="C1071" t="s">
        <v>303</v>
      </c>
      <c r="D1071" t="s">
        <v>363</v>
      </c>
      <c r="E1071" t="s">
        <v>259</v>
      </c>
      <c r="F1071">
        <v>232.82</v>
      </c>
      <c r="G1071" t="str">
        <f t="shared" si="17"/>
        <v>存款型</v>
      </c>
    </row>
    <row r="1072" spans="1:7">
      <c r="A1072" s="6">
        <v>44043</v>
      </c>
      <c r="B1072" t="s">
        <v>364</v>
      </c>
      <c r="C1072" t="s">
        <v>257</v>
      </c>
      <c r="D1072" t="s">
        <v>365</v>
      </c>
      <c r="E1072" t="s">
        <v>256</v>
      </c>
      <c r="F1072">
        <v>0.05</v>
      </c>
      <c r="G1072" t="str">
        <f t="shared" si="17"/>
        <v>存款型</v>
      </c>
    </row>
    <row r="1073" spans="1:7">
      <c r="A1073" s="6">
        <v>44043</v>
      </c>
      <c r="B1073" t="s">
        <v>366</v>
      </c>
      <c r="C1073" t="s">
        <v>367</v>
      </c>
      <c r="D1073" t="s">
        <v>368</v>
      </c>
      <c r="E1073" t="s">
        <v>259</v>
      </c>
      <c r="F1073">
        <v>916.95</v>
      </c>
      <c r="G1073" t="str">
        <f t="shared" si="17"/>
        <v>存款型</v>
      </c>
    </row>
    <row r="1074" spans="1:7">
      <c r="A1074" s="6">
        <v>44043</v>
      </c>
      <c r="B1074" t="s">
        <v>369</v>
      </c>
      <c r="C1074" t="s">
        <v>260</v>
      </c>
      <c r="D1074" t="s">
        <v>370</v>
      </c>
      <c r="E1074" t="s">
        <v>259</v>
      </c>
      <c r="F1074">
        <v>21129.279999999999</v>
      </c>
      <c r="G1074" t="str">
        <f t="shared" si="17"/>
        <v>固收型</v>
      </c>
    </row>
    <row r="1075" spans="1:7">
      <c r="A1075" s="6">
        <v>44043</v>
      </c>
      <c r="C1075" t="s">
        <v>302</v>
      </c>
      <c r="D1075" t="s">
        <v>370</v>
      </c>
      <c r="E1075" t="s">
        <v>259</v>
      </c>
      <c r="F1075">
        <v>5422.66</v>
      </c>
      <c r="G1075" t="str">
        <f t="shared" si="17"/>
        <v>固收型</v>
      </c>
    </row>
    <row r="1076" spans="1:7">
      <c r="A1076" s="6">
        <v>44043</v>
      </c>
      <c r="B1076" t="s">
        <v>371</v>
      </c>
      <c r="C1076" t="s">
        <v>254</v>
      </c>
      <c r="D1076" t="s">
        <v>372</v>
      </c>
      <c r="E1076" t="s">
        <v>256</v>
      </c>
      <c r="F1076">
        <v>46.93</v>
      </c>
      <c r="G1076" t="str">
        <f t="shared" si="17"/>
        <v>固收型</v>
      </c>
    </row>
    <row r="1077" spans="1:7">
      <c r="A1077" s="6">
        <v>44043</v>
      </c>
      <c r="C1077" t="s">
        <v>274</v>
      </c>
      <c r="D1077" t="s">
        <v>372</v>
      </c>
      <c r="E1077" t="s">
        <v>256</v>
      </c>
      <c r="F1077">
        <v>52.98</v>
      </c>
      <c r="G1077" t="str">
        <f t="shared" si="17"/>
        <v>固收型</v>
      </c>
    </row>
    <row r="1078" spans="1:7">
      <c r="A1078" s="6">
        <v>44043</v>
      </c>
      <c r="C1078" t="s">
        <v>263</v>
      </c>
      <c r="D1078" t="s">
        <v>372</v>
      </c>
      <c r="E1078" t="s">
        <v>256</v>
      </c>
      <c r="F1078">
        <v>14.03</v>
      </c>
      <c r="G1078" t="str">
        <f t="shared" si="17"/>
        <v>固收型</v>
      </c>
    </row>
    <row r="1079" spans="1:7">
      <c r="A1079" s="6">
        <v>44043</v>
      </c>
      <c r="C1079" t="s">
        <v>257</v>
      </c>
      <c r="D1079" t="s">
        <v>372</v>
      </c>
      <c r="E1079" t="s">
        <v>256</v>
      </c>
      <c r="F1079">
        <v>517.44000000000005</v>
      </c>
      <c r="G1079" t="str">
        <f t="shared" si="17"/>
        <v>固收型</v>
      </c>
    </row>
    <row r="1080" spans="1:7">
      <c r="A1080" s="6">
        <v>44043</v>
      </c>
      <c r="C1080" t="s">
        <v>301</v>
      </c>
      <c r="D1080" t="s">
        <v>372</v>
      </c>
      <c r="E1080" t="s">
        <v>259</v>
      </c>
      <c r="F1080">
        <v>504.04</v>
      </c>
      <c r="G1080" t="str">
        <f t="shared" si="17"/>
        <v>固收型</v>
      </c>
    </row>
    <row r="1081" spans="1:7">
      <c r="A1081" s="6">
        <v>44043</v>
      </c>
      <c r="B1081" t="s">
        <v>373</v>
      </c>
      <c r="C1081" t="s">
        <v>276</v>
      </c>
      <c r="D1081" t="s">
        <v>374</v>
      </c>
      <c r="E1081" t="s">
        <v>256</v>
      </c>
      <c r="F1081">
        <v>90.85</v>
      </c>
      <c r="G1081" t="str">
        <f t="shared" si="17"/>
        <v>固收型</v>
      </c>
    </row>
    <row r="1082" spans="1:7">
      <c r="A1082" s="6">
        <v>44043</v>
      </c>
      <c r="C1082" t="s">
        <v>260</v>
      </c>
      <c r="D1082" t="s">
        <v>374</v>
      </c>
      <c r="E1082" t="s">
        <v>259</v>
      </c>
      <c r="F1082">
        <v>9464.7800000000007</v>
      </c>
      <c r="G1082" t="str">
        <f t="shared" si="17"/>
        <v>固收型</v>
      </c>
    </row>
    <row r="1083" spans="1:7">
      <c r="A1083" s="6">
        <v>44043</v>
      </c>
      <c r="C1083" t="s">
        <v>302</v>
      </c>
      <c r="D1083" t="s">
        <v>374</v>
      </c>
      <c r="E1083" t="s">
        <v>259</v>
      </c>
      <c r="F1083">
        <v>2944.55</v>
      </c>
      <c r="G1083" t="str">
        <f t="shared" si="17"/>
        <v>固收型</v>
      </c>
    </row>
    <row r="1084" spans="1:7">
      <c r="A1084" s="6">
        <v>44043</v>
      </c>
      <c r="C1084" t="s">
        <v>375</v>
      </c>
      <c r="D1084" t="s">
        <v>374</v>
      </c>
      <c r="E1084" t="s">
        <v>259</v>
      </c>
      <c r="F1084">
        <v>5889.09</v>
      </c>
      <c r="G1084" t="str">
        <f t="shared" si="17"/>
        <v>固收型</v>
      </c>
    </row>
    <row r="1085" spans="1:7">
      <c r="A1085" s="6">
        <v>44043</v>
      </c>
      <c r="C1085" t="s">
        <v>376</v>
      </c>
      <c r="D1085" t="s">
        <v>374</v>
      </c>
      <c r="E1085" t="s">
        <v>259</v>
      </c>
      <c r="F1085">
        <v>2944.55</v>
      </c>
      <c r="G1085" t="str">
        <f t="shared" si="17"/>
        <v>固收型</v>
      </c>
    </row>
    <row r="1086" spans="1:7">
      <c r="A1086" s="6">
        <v>44043</v>
      </c>
      <c r="C1086" t="s">
        <v>377</v>
      </c>
      <c r="D1086" t="s">
        <v>374</v>
      </c>
      <c r="E1086" t="s">
        <v>259</v>
      </c>
      <c r="F1086">
        <v>2944.55</v>
      </c>
      <c r="G1086" t="str">
        <f t="shared" si="17"/>
        <v>固收型</v>
      </c>
    </row>
    <row r="1087" spans="1:7">
      <c r="A1087" s="6">
        <v>44043</v>
      </c>
      <c r="B1087" t="s">
        <v>378</v>
      </c>
      <c r="C1087" t="s">
        <v>274</v>
      </c>
      <c r="D1087" t="s">
        <v>379</v>
      </c>
      <c r="E1087" t="s">
        <v>256</v>
      </c>
      <c r="F1087">
        <v>214.77</v>
      </c>
      <c r="G1087" t="str">
        <f t="shared" si="17"/>
        <v>固收型</v>
      </c>
    </row>
    <row r="1088" spans="1:7">
      <c r="A1088" s="6">
        <v>44043</v>
      </c>
      <c r="C1088" t="s">
        <v>263</v>
      </c>
      <c r="D1088" t="s">
        <v>379</v>
      </c>
      <c r="E1088" t="s">
        <v>256</v>
      </c>
      <c r="F1088">
        <v>89.44</v>
      </c>
      <c r="G1088" t="str">
        <f t="shared" si="17"/>
        <v>固收型</v>
      </c>
    </row>
    <row r="1089" spans="1:7">
      <c r="A1089" s="6">
        <v>44043</v>
      </c>
      <c r="C1089" t="s">
        <v>265</v>
      </c>
      <c r="D1089" t="s">
        <v>379</v>
      </c>
      <c r="E1089" t="s">
        <v>256</v>
      </c>
      <c r="F1089">
        <v>25.25</v>
      </c>
      <c r="G1089" t="str">
        <f t="shared" si="17"/>
        <v>固收型</v>
      </c>
    </row>
    <row r="1090" spans="1:7">
      <c r="A1090" s="6">
        <v>44043</v>
      </c>
      <c r="C1090" t="s">
        <v>380</v>
      </c>
      <c r="D1090" t="s">
        <v>379</v>
      </c>
      <c r="E1090" t="s">
        <v>259</v>
      </c>
      <c r="F1090">
        <v>3872.33</v>
      </c>
      <c r="G1090" t="str">
        <f t="shared" si="17"/>
        <v>固收型</v>
      </c>
    </row>
    <row r="1091" spans="1:7">
      <c r="A1091" s="6">
        <v>44043</v>
      </c>
      <c r="C1091" t="s">
        <v>269</v>
      </c>
      <c r="D1091" t="s">
        <v>379</v>
      </c>
      <c r="E1091" t="s">
        <v>270</v>
      </c>
      <c r="F1091">
        <v>47156.229999999996</v>
      </c>
      <c r="G1091" t="str">
        <f t="shared" ref="G1091:G1154" si="18">VLOOKUP(D1091,L:N,3,0)</f>
        <v>固收型</v>
      </c>
    </row>
    <row r="1092" spans="1:7">
      <c r="A1092" s="6">
        <v>44043</v>
      </c>
      <c r="C1092" t="s">
        <v>278</v>
      </c>
      <c r="D1092" t="s">
        <v>379</v>
      </c>
      <c r="E1092" t="s">
        <v>270</v>
      </c>
      <c r="F1092">
        <v>20547.62</v>
      </c>
      <c r="G1092" t="str">
        <f t="shared" si="18"/>
        <v>固收型</v>
      </c>
    </row>
    <row r="1093" spans="1:7">
      <c r="A1093" s="6">
        <v>44043</v>
      </c>
      <c r="C1093" t="s">
        <v>271</v>
      </c>
      <c r="D1093" t="s">
        <v>379</v>
      </c>
      <c r="E1093" t="s">
        <v>270</v>
      </c>
      <c r="F1093">
        <v>45312.63</v>
      </c>
      <c r="G1093" t="str">
        <f t="shared" si="18"/>
        <v>固收型</v>
      </c>
    </row>
    <row r="1094" spans="1:7">
      <c r="A1094" s="6">
        <v>44043</v>
      </c>
      <c r="C1094" t="s">
        <v>272</v>
      </c>
      <c r="D1094" t="s">
        <v>379</v>
      </c>
      <c r="E1094" t="s">
        <v>270</v>
      </c>
      <c r="F1094">
        <v>11638.66</v>
      </c>
      <c r="G1094" t="str">
        <f t="shared" si="18"/>
        <v>固收型</v>
      </c>
    </row>
    <row r="1095" spans="1:7">
      <c r="A1095" s="6">
        <v>44043</v>
      </c>
      <c r="C1095" t="s">
        <v>381</v>
      </c>
      <c r="D1095" t="s">
        <v>379</v>
      </c>
      <c r="E1095" t="s">
        <v>256</v>
      </c>
      <c r="F1095">
        <v>99.29</v>
      </c>
      <c r="G1095" t="str">
        <f t="shared" si="18"/>
        <v>固收型</v>
      </c>
    </row>
    <row r="1096" spans="1:7">
      <c r="A1096" s="6">
        <v>44043</v>
      </c>
      <c r="B1096" t="s">
        <v>382</v>
      </c>
      <c r="C1096" t="s">
        <v>254</v>
      </c>
      <c r="D1096" t="s">
        <v>383</v>
      </c>
      <c r="E1096" t="s">
        <v>256</v>
      </c>
      <c r="F1096">
        <v>164.72</v>
      </c>
      <c r="G1096" t="str">
        <f t="shared" si="18"/>
        <v>股票型</v>
      </c>
    </row>
    <row r="1097" spans="1:7">
      <c r="A1097" s="6">
        <v>44043</v>
      </c>
      <c r="C1097" t="s">
        <v>266</v>
      </c>
      <c r="D1097" t="s">
        <v>383</v>
      </c>
      <c r="E1097" t="s">
        <v>256</v>
      </c>
      <c r="F1097">
        <v>1032.42</v>
      </c>
      <c r="G1097" t="str">
        <f t="shared" si="18"/>
        <v>股票型</v>
      </c>
    </row>
    <row r="1098" spans="1:7">
      <c r="A1098" s="6">
        <v>44043</v>
      </c>
      <c r="B1098" t="s">
        <v>384</v>
      </c>
      <c r="C1098" t="s">
        <v>254</v>
      </c>
      <c r="D1098" t="s">
        <v>385</v>
      </c>
      <c r="E1098" t="s">
        <v>256</v>
      </c>
      <c r="F1098">
        <v>621.11</v>
      </c>
      <c r="G1098" t="str">
        <f t="shared" si="18"/>
        <v>股票型</v>
      </c>
    </row>
    <row r="1099" spans="1:7">
      <c r="A1099" s="6">
        <v>44043</v>
      </c>
      <c r="C1099" t="s">
        <v>263</v>
      </c>
      <c r="D1099" t="s">
        <v>385</v>
      </c>
      <c r="E1099" t="s">
        <v>256</v>
      </c>
      <c r="F1099">
        <v>5.4</v>
      </c>
      <c r="G1099" t="str">
        <f t="shared" si="18"/>
        <v>股票型</v>
      </c>
    </row>
    <row r="1100" spans="1:7">
      <c r="A1100" s="6">
        <v>44043</v>
      </c>
      <c r="C1100" t="s">
        <v>289</v>
      </c>
      <c r="D1100" t="s">
        <v>385</v>
      </c>
      <c r="E1100" t="s">
        <v>259</v>
      </c>
      <c r="F1100">
        <v>1250.42</v>
      </c>
      <c r="G1100" t="str">
        <f t="shared" si="18"/>
        <v>股票型</v>
      </c>
    </row>
    <row r="1101" spans="1:7">
      <c r="A1101" s="6">
        <v>44043</v>
      </c>
      <c r="C1101" t="s">
        <v>301</v>
      </c>
      <c r="D1101" t="s">
        <v>385</v>
      </c>
      <c r="E1101" t="s">
        <v>259</v>
      </c>
      <c r="F1101">
        <v>2447.83</v>
      </c>
      <c r="G1101" t="str">
        <f t="shared" si="18"/>
        <v>股票型</v>
      </c>
    </row>
    <row r="1102" spans="1:7">
      <c r="A1102" s="6">
        <v>44043</v>
      </c>
      <c r="B1102" t="s">
        <v>386</v>
      </c>
      <c r="C1102" t="s">
        <v>254</v>
      </c>
      <c r="D1102" t="s">
        <v>387</v>
      </c>
      <c r="E1102" t="s">
        <v>256</v>
      </c>
      <c r="F1102">
        <v>45.61</v>
      </c>
      <c r="G1102" t="str">
        <f t="shared" si="18"/>
        <v>股票型</v>
      </c>
    </row>
    <row r="1103" spans="1:7">
      <c r="A1103" s="6">
        <v>44043</v>
      </c>
      <c r="C1103" t="s">
        <v>274</v>
      </c>
      <c r="D1103" t="s">
        <v>387</v>
      </c>
      <c r="E1103" t="s">
        <v>256</v>
      </c>
      <c r="F1103">
        <v>227.29</v>
      </c>
      <c r="G1103" t="str">
        <f t="shared" si="18"/>
        <v>股票型</v>
      </c>
    </row>
    <row r="1104" spans="1:7">
      <c r="A1104" s="6">
        <v>44043</v>
      </c>
      <c r="C1104" t="s">
        <v>263</v>
      </c>
      <c r="D1104" t="s">
        <v>387</v>
      </c>
      <c r="E1104" t="s">
        <v>256</v>
      </c>
      <c r="F1104">
        <v>66.09</v>
      </c>
      <c r="G1104" t="str">
        <f t="shared" si="18"/>
        <v>股票型</v>
      </c>
    </row>
    <row r="1105" spans="1:7">
      <c r="A1105" s="6">
        <v>44043</v>
      </c>
      <c r="C1105" t="s">
        <v>257</v>
      </c>
      <c r="D1105" t="s">
        <v>387</v>
      </c>
      <c r="E1105" t="s">
        <v>256</v>
      </c>
      <c r="F1105">
        <v>998.41</v>
      </c>
      <c r="G1105" t="str">
        <f t="shared" si="18"/>
        <v>股票型</v>
      </c>
    </row>
    <row r="1106" spans="1:7">
      <c r="A1106" s="6">
        <v>44043</v>
      </c>
      <c r="C1106" t="s">
        <v>289</v>
      </c>
      <c r="D1106" t="s">
        <v>387</v>
      </c>
      <c r="E1106" t="s">
        <v>259</v>
      </c>
      <c r="F1106">
        <v>12350.27</v>
      </c>
      <c r="G1106" t="str">
        <f t="shared" si="18"/>
        <v>股票型</v>
      </c>
    </row>
    <row r="1107" spans="1:7">
      <c r="A1107" s="6">
        <v>44043</v>
      </c>
      <c r="C1107" t="s">
        <v>258</v>
      </c>
      <c r="D1107" t="s">
        <v>387</v>
      </c>
      <c r="E1107" t="s">
        <v>259</v>
      </c>
      <c r="F1107">
        <v>13834.46</v>
      </c>
      <c r="G1107" t="str">
        <f t="shared" si="18"/>
        <v>股票型</v>
      </c>
    </row>
    <row r="1108" spans="1:7">
      <c r="A1108" s="6">
        <v>44043</v>
      </c>
      <c r="C1108" t="s">
        <v>261</v>
      </c>
      <c r="D1108" t="s">
        <v>387</v>
      </c>
      <c r="E1108" t="s">
        <v>259</v>
      </c>
      <c r="F1108">
        <v>7985.9</v>
      </c>
      <c r="G1108" t="str">
        <f t="shared" si="18"/>
        <v>股票型</v>
      </c>
    </row>
    <row r="1109" spans="1:7">
      <c r="A1109" s="6">
        <v>44043</v>
      </c>
      <c r="B1109" t="s">
        <v>388</v>
      </c>
      <c r="C1109" t="s">
        <v>254</v>
      </c>
      <c r="D1109" t="s">
        <v>389</v>
      </c>
      <c r="E1109" t="s">
        <v>256</v>
      </c>
      <c r="F1109">
        <v>1084.55</v>
      </c>
      <c r="G1109" t="str">
        <f t="shared" si="18"/>
        <v>股票型</v>
      </c>
    </row>
    <row r="1110" spans="1:7">
      <c r="A1110" s="6">
        <v>44043</v>
      </c>
      <c r="C1110" t="s">
        <v>274</v>
      </c>
      <c r="D1110" t="s">
        <v>389</v>
      </c>
      <c r="E1110" t="s">
        <v>256</v>
      </c>
      <c r="F1110">
        <v>9255.32</v>
      </c>
      <c r="G1110" t="str">
        <f t="shared" si="18"/>
        <v>股票型</v>
      </c>
    </row>
    <row r="1111" spans="1:7">
      <c r="A1111" s="6">
        <v>44043</v>
      </c>
      <c r="C1111" t="s">
        <v>263</v>
      </c>
      <c r="D1111" t="s">
        <v>389</v>
      </c>
      <c r="E1111" t="s">
        <v>256</v>
      </c>
      <c r="F1111">
        <v>3.97</v>
      </c>
      <c r="G1111" t="str">
        <f t="shared" si="18"/>
        <v>股票型</v>
      </c>
    </row>
    <row r="1112" spans="1:7">
      <c r="A1112" s="6">
        <v>44043</v>
      </c>
      <c r="C1112" t="s">
        <v>257</v>
      </c>
      <c r="D1112" t="s">
        <v>389</v>
      </c>
      <c r="E1112" t="s">
        <v>256</v>
      </c>
      <c r="F1112">
        <v>393.91</v>
      </c>
      <c r="G1112" t="str">
        <f t="shared" si="18"/>
        <v>股票型</v>
      </c>
    </row>
    <row r="1113" spans="1:7">
      <c r="A1113" s="6">
        <v>44043</v>
      </c>
      <c r="C1113" t="s">
        <v>266</v>
      </c>
      <c r="D1113" t="s">
        <v>389</v>
      </c>
      <c r="E1113" t="s">
        <v>256</v>
      </c>
      <c r="F1113">
        <v>328.05</v>
      </c>
      <c r="G1113" t="str">
        <f t="shared" si="18"/>
        <v>股票型</v>
      </c>
    </row>
    <row r="1114" spans="1:7">
      <c r="A1114" s="6">
        <v>44043</v>
      </c>
      <c r="C1114" t="s">
        <v>267</v>
      </c>
      <c r="D1114" t="s">
        <v>389</v>
      </c>
      <c r="E1114" t="s">
        <v>259</v>
      </c>
      <c r="F1114">
        <v>5799.9</v>
      </c>
      <c r="G1114" t="str">
        <f t="shared" si="18"/>
        <v>股票型</v>
      </c>
    </row>
    <row r="1115" spans="1:7">
      <c r="A1115" s="6">
        <v>44043</v>
      </c>
      <c r="C1115" t="s">
        <v>290</v>
      </c>
      <c r="D1115" t="s">
        <v>389</v>
      </c>
      <c r="E1115" t="s">
        <v>259</v>
      </c>
      <c r="F1115">
        <v>3537.45</v>
      </c>
      <c r="G1115" t="str">
        <f t="shared" si="18"/>
        <v>股票型</v>
      </c>
    </row>
    <row r="1116" spans="1:7">
      <c r="A1116" s="6">
        <v>44043</v>
      </c>
      <c r="C1116" t="s">
        <v>284</v>
      </c>
      <c r="D1116" t="s">
        <v>389</v>
      </c>
      <c r="E1116" t="s">
        <v>259</v>
      </c>
      <c r="F1116">
        <v>4313.5600000000004</v>
      </c>
      <c r="G1116" t="str">
        <f t="shared" si="18"/>
        <v>股票型</v>
      </c>
    </row>
    <row r="1117" spans="1:7">
      <c r="A1117" s="6">
        <v>44043</v>
      </c>
      <c r="C1117" t="s">
        <v>258</v>
      </c>
      <c r="D1117" t="s">
        <v>389</v>
      </c>
      <c r="E1117" t="s">
        <v>259</v>
      </c>
      <c r="F1117">
        <v>1072.46</v>
      </c>
      <c r="G1117" t="str">
        <f t="shared" si="18"/>
        <v>股票型</v>
      </c>
    </row>
    <row r="1118" spans="1:7">
      <c r="A1118" s="6">
        <v>44043</v>
      </c>
      <c r="C1118" t="s">
        <v>260</v>
      </c>
      <c r="D1118" t="s">
        <v>389</v>
      </c>
      <c r="E1118" t="s">
        <v>259</v>
      </c>
      <c r="F1118">
        <v>2610.6</v>
      </c>
      <c r="G1118" t="str">
        <f t="shared" si="18"/>
        <v>股票型</v>
      </c>
    </row>
    <row r="1119" spans="1:7">
      <c r="A1119" s="6">
        <v>44043</v>
      </c>
      <c r="B1119" t="s">
        <v>390</v>
      </c>
      <c r="C1119" t="s">
        <v>257</v>
      </c>
      <c r="D1119" t="s">
        <v>391</v>
      </c>
      <c r="E1119" t="s">
        <v>256</v>
      </c>
      <c r="F1119">
        <v>109.5</v>
      </c>
      <c r="G1119" t="str">
        <f t="shared" si="18"/>
        <v>存款型</v>
      </c>
    </row>
    <row r="1120" spans="1:7">
      <c r="A1120" s="6">
        <v>44043</v>
      </c>
      <c r="C1120" t="s">
        <v>367</v>
      </c>
      <c r="D1120" t="s">
        <v>391</v>
      </c>
      <c r="E1120" t="s">
        <v>259</v>
      </c>
      <c r="F1120">
        <v>920.14</v>
      </c>
      <c r="G1120" t="str">
        <f t="shared" si="18"/>
        <v>存款型</v>
      </c>
    </row>
    <row r="1121" spans="1:7">
      <c r="A1121" s="6">
        <v>44043</v>
      </c>
      <c r="B1121" t="s">
        <v>392</v>
      </c>
      <c r="C1121" t="s">
        <v>266</v>
      </c>
      <c r="D1121" t="s">
        <v>393</v>
      </c>
      <c r="E1121" t="s">
        <v>256</v>
      </c>
      <c r="F1121">
        <v>48.22</v>
      </c>
      <c r="G1121" t="str">
        <f t="shared" si="18"/>
        <v>信托型</v>
      </c>
    </row>
    <row r="1122" spans="1:7">
      <c r="A1122" s="6">
        <v>44043</v>
      </c>
      <c r="B1122" t="s">
        <v>394</v>
      </c>
      <c r="C1122" t="s">
        <v>254</v>
      </c>
      <c r="D1122" t="s">
        <v>395</v>
      </c>
      <c r="E1122" t="s">
        <v>256</v>
      </c>
      <c r="F1122">
        <v>131.88</v>
      </c>
      <c r="G1122" t="str">
        <f t="shared" si="18"/>
        <v>基础设施债权</v>
      </c>
    </row>
    <row r="1123" spans="1:7">
      <c r="A1123" s="6">
        <v>44043</v>
      </c>
      <c r="C1123" t="s">
        <v>274</v>
      </c>
      <c r="D1123" t="s">
        <v>395</v>
      </c>
      <c r="E1123" t="s">
        <v>256</v>
      </c>
      <c r="F1123">
        <v>563.19000000000005</v>
      </c>
      <c r="G1123" t="str">
        <f t="shared" si="18"/>
        <v>基础设施债权</v>
      </c>
    </row>
    <row r="1124" spans="1:7">
      <c r="A1124" s="6">
        <v>44043</v>
      </c>
      <c r="C1124" t="s">
        <v>257</v>
      </c>
      <c r="D1124" t="s">
        <v>395</v>
      </c>
      <c r="E1124" t="s">
        <v>256</v>
      </c>
      <c r="F1124">
        <v>383.41</v>
      </c>
      <c r="G1124" t="str">
        <f t="shared" si="18"/>
        <v>基础设施债权</v>
      </c>
    </row>
    <row r="1125" spans="1:7">
      <c r="A1125" s="6">
        <v>44043</v>
      </c>
      <c r="C1125" t="s">
        <v>266</v>
      </c>
      <c r="D1125" t="s">
        <v>395</v>
      </c>
      <c r="E1125" t="s">
        <v>256</v>
      </c>
      <c r="F1125">
        <v>63.37</v>
      </c>
      <c r="G1125" t="str">
        <f t="shared" si="18"/>
        <v>基础设施债权</v>
      </c>
    </row>
    <row r="1126" spans="1:7">
      <c r="A1126" s="6">
        <v>44043</v>
      </c>
      <c r="C1126" t="s">
        <v>260</v>
      </c>
      <c r="D1126" t="s">
        <v>395</v>
      </c>
      <c r="E1126" t="s">
        <v>259</v>
      </c>
      <c r="F1126">
        <v>17444.490000000002</v>
      </c>
      <c r="G1126" t="str">
        <f t="shared" si="18"/>
        <v>基础设施债权</v>
      </c>
    </row>
    <row r="1127" spans="1:7">
      <c r="A1127" s="6">
        <v>44043</v>
      </c>
      <c r="B1127" t="s">
        <v>396</v>
      </c>
      <c r="C1127" t="s">
        <v>274</v>
      </c>
      <c r="D1127" t="s">
        <v>397</v>
      </c>
      <c r="E1127" t="s">
        <v>256</v>
      </c>
      <c r="F1127">
        <v>40.520000000000003</v>
      </c>
      <c r="G1127" t="str">
        <f t="shared" si="18"/>
        <v>混合型</v>
      </c>
    </row>
    <row r="1128" spans="1:7">
      <c r="A1128" s="6">
        <v>44043</v>
      </c>
      <c r="C1128" t="s">
        <v>265</v>
      </c>
      <c r="D1128" t="s">
        <v>397</v>
      </c>
      <c r="E1128" t="s">
        <v>256</v>
      </c>
      <c r="F1128">
        <v>10.75</v>
      </c>
      <c r="G1128" t="str">
        <f t="shared" si="18"/>
        <v>混合型</v>
      </c>
    </row>
    <row r="1129" spans="1:7">
      <c r="A1129" s="6">
        <v>44043</v>
      </c>
      <c r="C1129" t="s">
        <v>257</v>
      </c>
      <c r="D1129" t="s">
        <v>397</v>
      </c>
      <c r="E1129" t="s">
        <v>256</v>
      </c>
      <c r="F1129">
        <v>2.52</v>
      </c>
      <c r="G1129" t="str">
        <f t="shared" si="18"/>
        <v>混合型</v>
      </c>
    </row>
    <row r="1130" spans="1:7">
      <c r="A1130" s="6">
        <v>44043</v>
      </c>
      <c r="C1130" t="s">
        <v>276</v>
      </c>
      <c r="D1130" t="s">
        <v>397</v>
      </c>
      <c r="E1130" t="s">
        <v>256</v>
      </c>
      <c r="F1130">
        <v>114.15</v>
      </c>
      <c r="G1130" t="str">
        <f t="shared" si="18"/>
        <v>混合型</v>
      </c>
    </row>
    <row r="1131" spans="1:7">
      <c r="A1131" s="6">
        <v>44043</v>
      </c>
      <c r="C1131" t="s">
        <v>283</v>
      </c>
      <c r="D1131" t="s">
        <v>397</v>
      </c>
      <c r="E1131" t="s">
        <v>256</v>
      </c>
      <c r="F1131">
        <v>1.61</v>
      </c>
      <c r="G1131" t="str">
        <f t="shared" si="18"/>
        <v>混合型</v>
      </c>
    </row>
    <row r="1132" spans="1:7">
      <c r="A1132" s="6">
        <v>44043</v>
      </c>
      <c r="C1132" t="s">
        <v>266</v>
      </c>
      <c r="D1132" t="s">
        <v>397</v>
      </c>
      <c r="E1132" t="s">
        <v>256</v>
      </c>
      <c r="F1132">
        <v>263.45</v>
      </c>
      <c r="G1132" t="str">
        <f t="shared" si="18"/>
        <v>混合型</v>
      </c>
    </row>
    <row r="1133" spans="1:7">
      <c r="A1133" s="6">
        <v>44043</v>
      </c>
      <c r="C1133" t="s">
        <v>290</v>
      </c>
      <c r="D1133" t="s">
        <v>397</v>
      </c>
      <c r="E1133" t="s">
        <v>259</v>
      </c>
      <c r="F1133">
        <v>2643.24</v>
      </c>
      <c r="G1133" t="str">
        <f t="shared" si="18"/>
        <v>混合型</v>
      </c>
    </row>
    <row r="1134" spans="1:7">
      <c r="A1134" s="6">
        <v>44043</v>
      </c>
      <c r="B1134" t="s">
        <v>398</v>
      </c>
      <c r="C1134" t="s">
        <v>274</v>
      </c>
      <c r="D1134" t="s">
        <v>399</v>
      </c>
      <c r="E1134" t="s">
        <v>256</v>
      </c>
      <c r="F1134">
        <v>215.24</v>
      </c>
      <c r="G1134" t="str">
        <f t="shared" si="18"/>
        <v>FOF</v>
      </c>
    </row>
    <row r="1135" spans="1:7">
      <c r="A1135" s="6">
        <v>44043</v>
      </c>
      <c r="C1135" t="s">
        <v>265</v>
      </c>
      <c r="D1135" t="s">
        <v>399</v>
      </c>
      <c r="E1135" t="s">
        <v>256</v>
      </c>
      <c r="F1135">
        <v>95.85</v>
      </c>
      <c r="G1135" t="str">
        <f t="shared" si="18"/>
        <v>FOF</v>
      </c>
    </row>
    <row r="1136" spans="1:7">
      <c r="A1136" s="6">
        <v>44043</v>
      </c>
      <c r="C1136" t="s">
        <v>257</v>
      </c>
      <c r="D1136" t="s">
        <v>399</v>
      </c>
      <c r="E1136" t="s">
        <v>256</v>
      </c>
      <c r="F1136">
        <v>134.05000000000001</v>
      </c>
      <c r="G1136" t="str">
        <f t="shared" si="18"/>
        <v>FOF</v>
      </c>
    </row>
    <row r="1137" spans="1:7">
      <c r="A1137" s="6">
        <v>44043</v>
      </c>
      <c r="C1137" t="s">
        <v>276</v>
      </c>
      <c r="D1137" t="s">
        <v>399</v>
      </c>
      <c r="E1137" t="s">
        <v>256</v>
      </c>
      <c r="F1137">
        <v>350.1</v>
      </c>
      <c r="G1137" t="str">
        <f t="shared" si="18"/>
        <v>FOF</v>
      </c>
    </row>
    <row r="1138" spans="1:7">
      <c r="A1138" s="6">
        <v>44043</v>
      </c>
      <c r="C1138" t="s">
        <v>283</v>
      </c>
      <c r="D1138" t="s">
        <v>399</v>
      </c>
      <c r="E1138" t="s">
        <v>256</v>
      </c>
      <c r="F1138">
        <v>25.81</v>
      </c>
      <c r="G1138" t="str">
        <f t="shared" si="18"/>
        <v>FOF</v>
      </c>
    </row>
    <row r="1139" spans="1:7">
      <c r="A1139" s="6">
        <v>44043</v>
      </c>
      <c r="C1139" t="s">
        <v>266</v>
      </c>
      <c r="D1139" t="s">
        <v>399</v>
      </c>
      <c r="E1139" t="s">
        <v>256</v>
      </c>
      <c r="F1139">
        <v>186.31</v>
      </c>
      <c r="G1139" t="str">
        <f t="shared" si="18"/>
        <v>FOF</v>
      </c>
    </row>
    <row r="1140" spans="1:7">
      <c r="A1140" s="6">
        <v>44043</v>
      </c>
      <c r="C1140" t="s">
        <v>290</v>
      </c>
      <c r="D1140" t="s">
        <v>399</v>
      </c>
      <c r="E1140" t="s">
        <v>259</v>
      </c>
      <c r="F1140">
        <v>2816.43</v>
      </c>
      <c r="G1140" t="str">
        <f t="shared" si="18"/>
        <v>FOF</v>
      </c>
    </row>
    <row r="1141" spans="1:7">
      <c r="A1141" s="6">
        <v>44043</v>
      </c>
      <c r="B1141" t="s">
        <v>400</v>
      </c>
      <c r="C1141" t="s">
        <v>274</v>
      </c>
      <c r="D1141" t="s">
        <v>401</v>
      </c>
      <c r="E1141" t="s">
        <v>256</v>
      </c>
      <c r="F1141">
        <v>216.4</v>
      </c>
      <c r="G1141" t="str">
        <f t="shared" si="18"/>
        <v>基础设施债权</v>
      </c>
    </row>
    <row r="1142" spans="1:7">
      <c r="A1142" s="6">
        <v>44043</v>
      </c>
      <c r="C1142" t="s">
        <v>257</v>
      </c>
      <c r="D1142" t="s">
        <v>401</v>
      </c>
      <c r="E1142" t="s">
        <v>256</v>
      </c>
      <c r="F1142">
        <v>316.56</v>
      </c>
      <c r="G1142" t="str">
        <f t="shared" si="18"/>
        <v>基础设施债权</v>
      </c>
    </row>
    <row r="1143" spans="1:7">
      <c r="A1143" s="6">
        <v>44043</v>
      </c>
      <c r="C1143" t="s">
        <v>266</v>
      </c>
      <c r="D1143" t="s">
        <v>401</v>
      </c>
      <c r="E1143" t="s">
        <v>256</v>
      </c>
      <c r="F1143">
        <v>18.12</v>
      </c>
      <c r="G1143" t="str">
        <f t="shared" si="18"/>
        <v>基础设施债权</v>
      </c>
    </row>
    <row r="1144" spans="1:7">
      <c r="A1144" s="6">
        <v>44043</v>
      </c>
      <c r="B1144" t="s">
        <v>496</v>
      </c>
      <c r="C1144" t="s">
        <v>283</v>
      </c>
      <c r="D1144" t="s">
        <v>497</v>
      </c>
      <c r="E1144" t="s">
        <v>256</v>
      </c>
      <c r="F1144">
        <v>2.3199999999999998</v>
      </c>
      <c r="G1144" t="str">
        <f t="shared" si="18"/>
        <v>信托型</v>
      </c>
    </row>
    <row r="1145" spans="1:7">
      <c r="A1145" s="6">
        <v>44043</v>
      </c>
      <c r="C1145" t="s">
        <v>266</v>
      </c>
      <c r="D1145" t="s">
        <v>497</v>
      </c>
      <c r="E1145" t="s">
        <v>256</v>
      </c>
      <c r="F1145">
        <v>74.290000000000006</v>
      </c>
      <c r="G1145" t="str">
        <f t="shared" si="18"/>
        <v>信托型</v>
      </c>
    </row>
    <row r="1146" spans="1:7">
      <c r="A1146" s="6">
        <v>44043</v>
      </c>
      <c r="B1146" t="s">
        <v>402</v>
      </c>
      <c r="C1146" t="s">
        <v>276</v>
      </c>
      <c r="D1146" t="s">
        <v>403</v>
      </c>
      <c r="E1146" t="s">
        <v>256</v>
      </c>
      <c r="F1146">
        <v>481.34</v>
      </c>
      <c r="G1146" t="str">
        <f t="shared" si="18"/>
        <v>FOF</v>
      </c>
    </row>
    <row r="1147" spans="1:7">
      <c r="A1147" s="6">
        <v>44043</v>
      </c>
      <c r="C1147" t="s">
        <v>283</v>
      </c>
      <c r="D1147" t="s">
        <v>403</v>
      </c>
      <c r="E1147" t="s">
        <v>256</v>
      </c>
      <c r="F1147">
        <v>34.090000000000003</v>
      </c>
      <c r="G1147" t="str">
        <f t="shared" si="18"/>
        <v>FOF</v>
      </c>
    </row>
    <row r="1148" spans="1:7">
      <c r="A1148" s="6">
        <v>44043</v>
      </c>
      <c r="C1148" t="s">
        <v>266</v>
      </c>
      <c r="D1148" t="s">
        <v>403</v>
      </c>
      <c r="E1148" t="s">
        <v>256</v>
      </c>
      <c r="F1148">
        <v>219.31</v>
      </c>
      <c r="G1148" t="str">
        <f t="shared" si="18"/>
        <v>FOF</v>
      </c>
    </row>
    <row r="1149" spans="1:7">
      <c r="A1149" s="6">
        <v>44043</v>
      </c>
      <c r="C1149" t="s">
        <v>290</v>
      </c>
      <c r="D1149" t="s">
        <v>403</v>
      </c>
      <c r="E1149" t="s">
        <v>259</v>
      </c>
      <c r="F1149">
        <v>1762.2</v>
      </c>
      <c r="G1149" t="str">
        <f t="shared" si="18"/>
        <v>FOF</v>
      </c>
    </row>
    <row r="1150" spans="1:7">
      <c r="A1150" s="6">
        <v>44043</v>
      </c>
      <c r="B1150" t="s">
        <v>404</v>
      </c>
      <c r="C1150" t="s">
        <v>263</v>
      </c>
      <c r="D1150" t="s">
        <v>405</v>
      </c>
      <c r="E1150" t="s">
        <v>256</v>
      </c>
      <c r="F1150">
        <v>11.47</v>
      </c>
      <c r="G1150" t="str">
        <f t="shared" si="18"/>
        <v>基础设施债权</v>
      </c>
    </row>
    <row r="1151" spans="1:7">
      <c r="A1151" s="6">
        <v>44043</v>
      </c>
      <c r="C1151" t="s">
        <v>303</v>
      </c>
      <c r="D1151" t="s">
        <v>405</v>
      </c>
      <c r="E1151" t="s">
        <v>259</v>
      </c>
      <c r="F1151">
        <v>4470.29</v>
      </c>
      <c r="G1151" t="str">
        <f t="shared" si="18"/>
        <v>基础设施债权</v>
      </c>
    </row>
    <row r="1152" spans="1:7">
      <c r="A1152" s="6">
        <v>44043</v>
      </c>
      <c r="B1152" t="s">
        <v>406</v>
      </c>
      <c r="C1152" t="s">
        <v>263</v>
      </c>
      <c r="D1152" t="s">
        <v>407</v>
      </c>
      <c r="E1152" t="s">
        <v>256</v>
      </c>
      <c r="F1152">
        <v>16.72</v>
      </c>
      <c r="G1152" t="str">
        <f t="shared" si="18"/>
        <v>基础设施债权</v>
      </c>
    </row>
    <row r="1153" spans="1:7">
      <c r="A1153" s="6">
        <v>44043</v>
      </c>
      <c r="C1153" t="s">
        <v>290</v>
      </c>
      <c r="D1153" t="s">
        <v>407</v>
      </c>
      <c r="E1153" t="s">
        <v>259</v>
      </c>
      <c r="F1153">
        <v>711.99</v>
      </c>
      <c r="G1153" t="str">
        <f t="shared" si="18"/>
        <v>基础设施债权</v>
      </c>
    </row>
    <row r="1154" spans="1:7">
      <c r="A1154" s="6">
        <v>44043</v>
      </c>
      <c r="B1154" t="s">
        <v>408</v>
      </c>
      <c r="C1154" t="s">
        <v>263</v>
      </c>
      <c r="D1154" t="s">
        <v>409</v>
      </c>
      <c r="E1154" t="s">
        <v>256</v>
      </c>
      <c r="F1154">
        <v>6.95</v>
      </c>
      <c r="G1154" t="str">
        <f t="shared" si="18"/>
        <v>基础设施债权</v>
      </c>
    </row>
    <row r="1155" spans="1:7">
      <c r="A1155" s="6">
        <v>44043</v>
      </c>
      <c r="C1155" t="s">
        <v>260</v>
      </c>
      <c r="D1155" t="s">
        <v>409</v>
      </c>
      <c r="E1155" t="s">
        <v>259</v>
      </c>
      <c r="F1155">
        <v>8707.7000000000007</v>
      </c>
      <c r="G1155" t="str">
        <f t="shared" ref="G1155:G1218" si="19">VLOOKUP(D1155,L:N,3,0)</f>
        <v>基础设施债权</v>
      </c>
    </row>
    <row r="1156" spans="1:7">
      <c r="A1156" s="6">
        <v>44043</v>
      </c>
      <c r="B1156" t="s">
        <v>410</v>
      </c>
      <c r="C1156" t="s">
        <v>263</v>
      </c>
      <c r="D1156" t="s">
        <v>411</v>
      </c>
      <c r="E1156" t="s">
        <v>256</v>
      </c>
      <c r="F1156">
        <v>2.56</v>
      </c>
      <c r="G1156" t="str">
        <f t="shared" si="19"/>
        <v>基础设施债权</v>
      </c>
    </row>
    <row r="1157" spans="1:7">
      <c r="A1157" s="6">
        <v>44043</v>
      </c>
      <c r="C1157" t="s">
        <v>257</v>
      </c>
      <c r="D1157" t="s">
        <v>411</v>
      </c>
      <c r="E1157" t="s">
        <v>256</v>
      </c>
      <c r="F1157">
        <v>17.34</v>
      </c>
      <c r="G1157" t="str">
        <f t="shared" si="19"/>
        <v>基础设施债权</v>
      </c>
    </row>
    <row r="1158" spans="1:7">
      <c r="A1158" s="6">
        <v>44043</v>
      </c>
      <c r="B1158" t="s">
        <v>412</v>
      </c>
      <c r="C1158" t="s">
        <v>263</v>
      </c>
      <c r="D1158" t="s">
        <v>413</v>
      </c>
      <c r="E1158" t="s">
        <v>256</v>
      </c>
      <c r="F1158">
        <v>0.82</v>
      </c>
      <c r="G1158" t="str">
        <f t="shared" si="19"/>
        <v>信托型</v>
      </c>
    </row>
    <row r="1159" spans="1:7">
      <c r="A1159" s="6">
        <v>44043</v>
      </c>
      <c r="C1159" t="s">
        <v>380</v>
      </c>
      <c r="D1159" t="s">
        <v>413</v>
      </c>
      <c r="E1159" t="s">
        <v>259</v>
      </c>
      <c r="F1159">
        <v>3241.06</v>
      </c>
      <c r="G1159" t="str">
        <f t="shared" si="19"/>
        <v>信托型</v>
      </c>
    </row>
    <row r="1160" spans="1:7">
      <c r="A1160" s="6">
        <v>44043</v>
      </c>
      <c r="C1160" t="s">
        <v>414</v>
      </c>
      <c r="D1160" t="s">
        <v>413</v>
      </c>
      <c r="E1160" t="s">
        <v>259</v>
      </c>
      <c r="F1160">
        <v>4861.6000000000004</v>
      </c>
      <c r="G1160" t="str">
        <f t="shared" si="19"/>
        <v>信托型</v>
      </c>
    </row>
    <row r="1161" spans="1:7">
      <c r="A1161" s="6">
        <v>44043</v>
      </c>
      <c r="B1161" t="s">
        <v>415</v>
      </c>
      <c r="C1161" t="s">
        <v>266</v>
      </c>
      <c r="D1161" t="s">
        <v>416</v>
      </c>
      <c r="E1161" t="s">
        <v>256</v>
      </c>
      <c r="F1161">
        <v>0.28000000000000003</v>
      </c>
      <c r="G1161" t="str">
        <f t="shared" si="19"/>
        <v>信托型</v>
      </c>
    </row>
    <row r="1162" spans="1:7">
      <c r="A1162" s="6">
        <v>44043</v>
      </c>
      <c r="C1162" t="s">
        <v>417</v>
      </c>
      <c r="D1162" t="s">
        <v>416</v>
      </c>
      <c r="E1162" t="s">
        <v>259</v>
      </c>
      <c r="F1162">
        <v>1450.02</v>
      </c>
      <c r="G1162" t="str">
        <f t="shared" si="19"/>
        <v>信托型</v>
      </c>
    </row>
    <row r="1163" spans="1:7">
      <c r="A1163" s="6">
        <v>44043</v>
      </c>
      <c r="C1163" t="s">
        <v>418</v>
      </c>
      <c r="D1163" t="s">
        <v>416</v>
      </c>
      <c r="E1163" t="s">
        <v>259</v>
      </c>
      <c r="F1163">
        <v>322.23</v>
      </c>
      <c r="G1163" t="str">
        <f t="shared" si="19"/>
        <v>信托型</v>
      </c>
    </row>
    <row r="1164" spans="1:7">
      <c r="A1164" s="6">
        <v>44043</v>
      </c>
      <c r="C1164" t="s">
        <v>419</v>
      </c>
      <c r="D1164" t="s">
        <v>416</v>
      </c>
      <c r="E1164" t="s">
        <v>259</v>
      </c>
      <c r="F1164">
        <v>3222.26</v>
      </c>
      <c r="G1164" t="str">
        <f t="shared" si="19"/>
        <v>信托型</v>
      </c>
    </row>
    <row r="1165" spans="1:7">
      <c r="A1165" s="6">
        <v>44043</v>
      </c>
      <c r="B1165" t="s">
        <v>420</v>
      </c>
      <c r="C1165" t="s">
        <v>274</v>
      </c>
      <c r="D1165" t="s">
        <v>421</v>
      </c>
      <c r="E1165" t="s">
        <v>256</v>
      </c>
      <c r="F1165">
        <v>54.88</v>
      </c>
      <c r="G1165" t="str">
        <f t="shared" si="19"/>
        <v>基础设施债权</v>
      </c>
    </row>
    <row r="1166" spans="1:7">
      <c r="A1166" s="6">
        <v>44043</v>
      </c>
      <c r="C1166" t="s">
        <v>263</v>
      </c>
      <c r="D1166" t="s">
        <v>421</v>
      </c>
      <c r="E1166" t="s">
        <v>256</v>
      </c>
      <c r="F1166">
        <v>6.68</v>
      </c>
      <c r="G1166" t="str">
        <f t="shared" si="19"/>
        <v>基础设施债权</v>
      </c>
    </row>
    <row r="1167" spans="1:7">
      <c r="A1167" s="6">
        <v>44043</v>
      </c>
      <c r="C1167" t="s">
        <v>302</v>
      </c>
      <c r="D1167" t="s">
        <v>421</v>
      </c>
      <c r="E1167" t="s">
        <v>259</v>
      </c>
      <c r="F1167">
        <v>674.2</v>
      </c>
      <c r="G1167" t="str">
        <f t="shared" si="19"/>
        <v>基础设施债权</v>
      </c>
    </row>
    <row r="1168" spans="1:7">
      <c r="A1168" s="6">
        <v>44043</v>
      </c>
      <c r="C1168" t="s">
        <v>277</v>
      </c>
      <c r="D1168" t="s">
        <v>421</v>
      </c>
      <c r="E1168" t="s">
        <v>259</v>
      </c>
      <c r="F1168">
        <v>65.28</v>
      </c>
      <c r="G1168" t="str">
        <f t="shared" si="19"/>
        <v>基础设施债权</v>
      </c>
    </row>
    <row r="1169" spans="1:7">
      <c r="A1169" s="6">
        <v>44043</v>
      </c>
      <c r="B1169" t="s">
        <v>422</v>
      </c>
      <c r="C1169" t="s">
        <v>266</v>
      </c>
      <c r="D1169" t="s">
        <v>423</v>
      </c>
      <c r="E1169" t="s">
        <v>256</v>
      </c>
      <c r="F1169">
        <v>42.22</v>
      </c>
      <c r="G1169" t="str">
        <f t="shared" si="19"/>
        <v>基础设施债权</v>
      </c>
    </row>
    <row r="1170" spans="1:7">
      <c r="A1170" s="6">
        <v>44043</v>
      </c>
      <c r="C1170" t="s">
        <v>260</v>
      </c>
      <c r="D1170" t="s">
        <v>423</v>
      </c>
      <c r="E1170" t="s">
        <v>259</v>
      </c>
      <c r="F1170">
        <v>2780.13</v>
      </c>
      <c r="G1170" t="str">
        <f t="shared" si="19"/>
        <v>基础设施债权</v>
      </c>
    </row>
    <row r="1171" spans="1:7">
      <c r="A1171" s="6">
        <v>44043</v>
      </c>
      <c r="B1171" t="s">
        <v>424</v>
      </c>
      <c r="C1171" t="s">
        <v>263</v>
      </c>
      <c r="D1171" t="s">
        <v>425</v>
      </c>
      <c r="E1171" t="s">
        <v>256</v>
      </c>
      <c r="F1171">
        <v>3.38</v>
      </c>
      <c r="G1171" t="str">
        <f t="shared" si="19"/>
        <v>基础设施债权</v>
      </c>
    </row>
    <row r="1172" spans="1:7">
      <c r="A1172" s="6">
        <v>44043</v>
      </c>
      <c r="C1172" t="s">
        <v>266</v>
      </c>
      <c r="D1172" t="s">
        <v>425</v>
      </c>
      <c r="E1172" t="s">
        <v>256</v>
      </c>
      <c r="F1172">
        <v>17.25</v>
      </c>
      <c r="G1172" t="str">
        <f t="shared" si="19"/>
        <v>基础设施债权</v>
      </c>
    </row>
    <row r="1173" spans="1:7">
      <c r="A1173" s="6">
        <v>44043</v>
      </c>
      <c r="C1173" t="s">
        <v>267</v>
      </c>
      <c r="D1173" t="s">
        <v>425</v>
      </c>
      <c r="E1173" t="s">
        <v>259</v>
      </c>
      <c r="F1173">
        <v>1370.92</v>
      </c>
      <c r="G1173" t="str">
        <f t="shared" si="19"/>
        <v>基础设施债权</v>
      </c>
    </row>
    <row r="1174" spans="1:7">
      <c r="A1174" s="6">
        <v>44043</v>
      </c>
      <c r="C1174" t="s">
        <v>290</v>
      </c>
      <c r="D1174" t="s">
        <v>425</v>
      </c>
      <c r="E1174" t="s">
        <v>259</v>
      </c>
      <c r="F1174">
        <v>959.09</v>
      </c>
      <c r="G1174" t="str">
        <f t="shared" si="19"/>
        <v>基础设施债权</v>
      </c>
    </row>
    <row r="1175" spans="1:7">
      <c r="A1175" s="6">
        <v>44043</v>
      </c>
      <c r="C1175" t="s">
        <v>260</v>
      </c>
      <c r="D1175" t="s">
        <v>425</v>
      </c>
      <c r="E1175" t="s">
        <v>259</v>
      </c>
      <c r="F1175">
        <v>2767.93</v>
      </c>
      <c r="G1175" t="str">
        <f t="shared" si="19"/>
        <v>基础设施债权</v>
      </c>
    </row>
    <row r="1176" spans="1:7">
      <c r="A1176" s="6">
        <v>44043</v>
      </c>
      <c r="B1176" t="s">
        <v>426</v>
      </c>
      <c r="C1176" t="s">
        <v>257</v>
      </c>
      <c r="D1176" t="s">
        <v>427</v>
      </c>
      <c r="E1176" t="s">
        <v>256</v>
      </c>
      <c r="F1176">
        <v>9.48</v>
      </c>
      <c r="G1176" t="str">
        <f t="shared" si="19"/>
        <v>基础设施债权</v>
      </c>
    </row>
    <row r="1177" spans="1:7">
      <c r="A1177" s="6">
        <v>44043</v>
      </c>
      <c r="C1177" t="s">
        <v>266</v>
      </c>
      <c r="D1177" t="s">
        <v>427</v>
      </c>
      <c r="E1177" t="s">
        <v>256</v>
      </c>
      <c r="F1177">
        <v>2.82</v>
      </c>
      <c r="G1177" t="str">
        <f t="shared" si="19"/>
        <v>基础设施债权</v>
      </c>
    </row>
    <row r="1178" spans="1:7">
      <c r="A1178" s="6">
        <v>44043</v>
      </c>
      <c r="B1178" t="s">
        <v>428</v>
      </c>
      <c r="C1178" t="s">
        <v>265</v>
      </c>
      <c r="D1178" t="s">
        <v>429</v>
      </c>
      <c r="E1178" t="s">
        <v>256</v>
      </c>
      <c r="F1178">
        <v>6.21</v>
      </c>
      <c r="G1178" t="str">
        <f t="shared" si="19"/>
        <v>信托型</v>
      </c>
    </row>
    <row r="1179" spans="1:7">
      <c r="A1179" s="6">
        <v>44043</v>
      </c>
      <c r="C1179" t="s">
        <v>257</v>
      </c>
      <c r="D1179" t="s">
        <v>429</v>
      </c>
      <c r="E1179" t="s">
        <v>256</v>
      </c>
      <c r="F1179">
        <v>5.52</v>
      </c>
      <c r="G1179" t="str">
        <f t="shared" si="19"/>
        <v>信托型</v>
      </c>
    </row>
    <row r="1180" spans="1:7">
      <c r="A1180" s="6">
        <v>44043</v>
      </c>
      <c r="C1180" t="s">
        <v>430</v>
      </c>
      <c r="D1180" t="s">
        <v>429</v>
      </c>
      <c r="E1180" t="s">
        <v>259</v>
      </c>
      <c r="F1180">
        <v>806.13</v>
      </c>
      <c r="G1180" t="str">
        <f t="shared" si="19"/>
        <v>信托型</v>
      </c>
    </row>
    <row r="1181" spans="1:7">
      <c r="A1181" s="6">
        <v>44043</v>
      </c>
      <c r="C1181" t="s">
        <v>431</v>
      </c>
      <c r="D1181" t="s">
        <v>429</v>
      </c>
      <c r="E1181" t="s">
        <v>259</v>
      </c>
      <c r="F1181">
        <v>1934.72</v>
      </c>
      <c r="G1181" t="str">
        <f t="shared" si="19"/>
        <v>信托型</v>
      </c>
    </row>
    <row r="1182" spans="1:7">
      <c r="A1182" s="6">
        <v>44043</v>
      </c>
      <c r="C1182" t="s">
        <v>432</v>
      </c>
      <c r="D1182" t="s">
        <v>429</v>
      </c>
      <c r="E1182" t="s">
        <v>259</v>
      </c>
      <c r="F1182">
        <v>1612.26</v>
      </c>
      <c r="G1182" t="str">
        <f t="shared" si="19"/>
        <v>信托型</v>
      </c>
    </row>
    <row r="1183" spans="1:7">
      <c r="A1183" s="6">
        <v>44043</v>
      </c>
      <c r="B1183" t="s">
        <v>433</v>
      </c>
      <c r="C1183" t="s">
        <v>263</v>
      </c>
      <c r="D1183" t="s">
        <v>434</v>
      </c>
      <c r="E1183" t="s">
        <v>256</v>
      </c>
      <c r="F1183">
        <v>18.98</v>
      </c>
      <c r="G1183" t="str">
        <f t="shared" si="19"/>
        <v>信托型</v>
      </c>
    </row>
    <row r="1184" spans="1:7">
      <c r="A1184" s="6">
        <v>44043</v>
      </c>
      <c r="C1184" t="s">
        <v>266</v>
      </c>
      <c r="D1184" t="s">
        <v>434</v>
      </c>
      <c r="E1184" t="s">
        <v>256</v>
      </c>
      <c r="F1184">
        <v>42.27</v>
      </c>
      <c r="G1184" t="str">
        <f t="shared" si="19"/>
        <v>信托型</v>
      </c>
    </row>
    <row r="1185" spans="1:7">
      <c r="A1185" s="6">
        <v>44043</v>
      </c>
      <c r="C1185" t="s">
        <v>380</v>
      </c>
      <c r="D1185" t="s">
        <v>434</v>
      </c>
      <c r="E1185" t="s">
        <v>259</v>
      </c>
      <c r="F1185">
        <v>3092.98</v>
      </c>
      <c r="G1185" t="str">
        <f t="shared" si="19"/>
        <v>信托型</v>
      </c>
    </row>
    <row r="1186" spans="1:7">
      <c r="A1186" s="6">
        <v>44043</v>
      </c>
      <c r="C1186" t="s">
        <v>435</v>
      </c>
      <c r="D1186" t="s">
        <v>434</v>
      </c>
      <c r="E1186" t="s">
        <v>259</v>
      </c>
      <c r="F1186">
        <v>253.06</v>
      </c>
      <c r="G1186" t="str">
        <f t="shared" si="19"/>
        <v>信托型</v>
      </c>
    </row>
    <row r="1187" spans="1:7">
      <c r="A1187" s="6">
        <v>44043</v>
      </c>
      <c r="C1187" t="s">
        <v>436</v>
      </c>
      <c r="D1187" t="s">
        <v>434</v>
      </c>
      <c r="E1187" t="s">
        <v>259</v>
      </c>
      <c r="F1187">
        <v>253.06</v>
      </c>
      <c r="G1187" t="str">
        <f t="shared" si="19"/>
        <v>信托型</v>
      </c>
    </row>
    <row r="1188" spans="1:7">
      <c r="A1188" s="6">
        <v>44043</v>
      </c>
      <c r="B1188" t="s">
        <v>437</v>
      </c>
      <c r="C1188" t="s">
        <v>254</v>
      </c>
      <c r="D1188" t="s">
        <v>438</v>
      </c>
      <c r="E1188" t="s">
        <v>256</v>
      </c>
      <c r="F1188">
        <v>242.13</v>
      </c>
      <c r="G1188" t="str">
        <f t="shared" si="19"/>
        <v>基础设施债权</v>
      </c>
    </row>
    <row r="1189" spans="1:7">
      <c r="A1189" s="6">
        <v>44043</v>
      </c>
      <c r="C1189" t="s">
        <v>274</v>
      </c>
      <c r="D1189" t="s">
        <v>438</v>
      </c>
      <c r="E1189" t="s">
        <v>256</v>
      </c>
      <c r="F1189">
        <v>213.55</v>
      </c>
      <c r="G1189" t="str">
        <f t="shared" si="19"/>
        <v>基础设施债权</v>
      </c>
    </row>
    <row r="1190" spans="1:7">
      <c r="A1190" s="6">
        <v>44043</v>
      </c>
      <c r="C1190" t="s">
        <v>263</v>
      </c>
      <c r="D1190" t="s">
        <v>438</v>
      </c>
      <c r="E1190" t="s">
        <v>256</v>
      </c>
      <c r="F1190">
        <v>53.78</v>
      </c>
      <c r="G1190" t="str">
        <f t="shared" si="19"/>
        <v>基础设施债权</v>
      </c>
    </row>
    <row r="1191" spans="1:7">
      <c r="A1191" s="6">
        <v>44043</v>
      </c>
      <c r="C1191" t="s">
        <v>265</v>
      </c>
      <c r="D1191" t="s">
        <v>438</v>
      </c>
      <c r="E1191" t="s">
        <v>256</v>
      </c>
      <c r="F1191">
        <v>11.76</v>
      </c>
      <c r="G1191" t="str">
        <f t="shared" si="19"/>
        <v>基础设施债权</v>
      </c>
    </row>
    <row r="1192" spans="1:7">
      <c r="A1192" s="6">
        <v>44043</v>
      </c>
      <c r="C1192" t="s">
        <v>257</v>
      </c>
      <c r="D1192" t="s">
        <v>438</v>
      </c>
      <c r="E1192" t="s">
        <v>256</v>
      </c>
      <c r="F1192">
        <v>79.06</v>
      </c>
      <c r="G1192" t="str">
        <f t="shared" si="19"/>
        <v>基础设施债权</v>
      </c>
    </row>
    <row r="1193" spans="1:7">
      <c r="A1193" s="6">
        <v>44043</v>
      </c>
      <c r="C1193" t="s">
        <v>276</v>
      </c>
      <c r="D1193" t="s">
        <v>438</v>
      </c>
      <c r="E1193" t="s">
        <v>256</v>
      </c>
      <c r="F1193">
        <v>169.49</v>
      </c>
      <c r="G1193" t="str">
        <f t="shared" si="19"/>
        <v>基础设施债权</v>
      </c>
    </row>
    <row r="1194" spans="1:7">
      <c r="A1194" s="6">
        <v>44043</v>
      </c>
      <c r="C1194" t="s">
        <v>266</v>
      </c>
      <c r="D1194" t="s">
        <v>438</v>
      </c>
      <c r="E1194" t="s">
        <v>256</v>
      </c>
      <c r="F1194">
        <v>2.27</v>
      </c>
      <c r="G1194" t="str">
        <f t="shared" si="19"/>
        <v>基础设施债权</v>
      </c>
    </row>
    <row r="1195" spans="1:7">
      <c r="A1195" s="6">
        <v>44043</v>
      </c>
      <c r="C1195" t="s">
        <v>301</v>
      </c>
      <c r="D1195" t="s">
        <v>438</v>
      </c>
      <c r="E1195" t="s">
        <v>259</v>
      </c>
      <c r="F1195">
        <v>1786.4</v>
      </c>
      <c r="G1195" t="str">
        <f t="shared" si="19"/>
        <v>基础设施债权</v>
      </c>
    </row>
    <row r="1196" spans="1:7">
      <c r="A1196" s="6">
        <v>44043</v>
      </c>
      <c r="B1196" t="s">
        <v>439</v>
      </c>
      <c r="C1196" t="s">
        <v>254</v>
      </c>
      <c r="D1196" t="s">
        <v>440</v>
      </c>
      <c r="E1196" t="s">
        <v>256</v>
      </c>
      <c r="F1196">
        <v>300.92</v>
      </c>
      <c r="G1196" t="str">
        <f t="shared" si="19"/>
        <v>基础设施债权</v>
      </c>
    </row>
    <row r="1197" spans="1:7">
      <c r="A1197" s="6">
        <v>44043</v>
      </c>
      <c r="C1197" t="s">
        <v>274</v>
      </c>
      <c r="D1197" t="s">
        <v>440</v>
      </c>
      <c r="E1197" t="s">
        <v>256</v>
      </c>
      <c r="F1197">
        <v>1327.05</v>
      </c>
      <c r="G1197" t="str">
        <f t="shared" si="19"/>
        <v>基础设施债权</v>
      </c>
    </row>
    <row r="1198" spans="1:7">
      <c r="A1198" s="6">
        <v>44043</v>
      </c>
      <c r="C1198" t="s">
        <v>263</v>
      </c>
      <c r="D1198" t="s">
        <v>440</v>
      </c>
      <c r="E1198" t="s">
        <v>256</v>
      </c>
      <c r="F1198">
        <v>26.28</v>
      </c>
      <c r="G1198" t="str">
        <f t="shared" si="19"/>
        <v>基础设施债权</v>
      </c>
    </row>
    <row r="1199" spans="1:7">
      <c r="A1199" s="6">
        <v>44043</v>
      </c>
      <c r="C1199" t="s">
        <v>257</v>
      </c>
      <c r="D1199" t="s">
        <v>440</v>
      </c>
      <c r="E1199" t="s">
        <v>256</v>
      </c>
      <c r="F1199">
        <v>491.34</v>
      </c>
      <c r="G1199" t="str">
        <f t="shared" si="19"/>
        <v>基础设施债权</v>
      </c>
    </row>
    <row r="1200" spans="1:7">
      <c r="A1200" s="6">
        <v>44043</v>
      </c>
      <c r="B1200" t="s">
        <v>441</v>
      </c>
      <c r="C1200" t="s">
        <v>263</v>
      </c>
      <c r="D1200" t="s">
        <v>442</v>
      </c>
      <c r="E1200" t="s">
        <v>256</v>
      </c>
      <c r="F1200">
        <v>63.19</v>
      </c>
      <c r="G1200" t="str">
        <f t="shared" si="19"/>
        <v>固收型</v>
      </c>
    </row>
    <row r="1201" spans="1:7">
      <c r="A1201" s="6">
        <v>44043</v>
      </c>
      <c r="C1201" t="s">
        <v>265</v>
      </c>
      <c r="D1201" t="s">
        <v>442</v>
      </c>
      <c r="E1201" t="s">
        <v>256</v>
      </c>
      <c r="F1201">
        <v>20.28</v>
      </c>
      <c r="G1201" t="str">
        <f t="shared" si="19"/>
        <v>固收型</v>
      </c>
    </row>
    <row r="1202" spans="1:7">
      <c r="A1202" s="6">
        <v>44043</v>
      </c>
      <c r="C1202" t="s">
        <v>257</v>
      </c>
      <c r="D1202" t="s">
        <v>442</v>
      </c>
      <c r="E1202" t="s">
        <v>256</v>
      </c>
      <c r="F1202">
        <v>49.52</v>
      </c>
      <c r="G1202" t="str">
        <f t="shared" si="19"/>
        <v>固收型</v>
      </c>
    </row>
    <row r="1203" spans="1:7">
      <c r="A1203" s="6">
        <v>44043</v>
      </c>
      <c r="C1203" t="s">
        <v>258</v>
      </c>
      <c r="D1203" t="s">
        <v>442</v>
      </c>
      <c r="E1203" t="s">
        <v>259</v>
      </c>
      <c r="F1203">
        <v>1753.72</v>
      </c>
      <c r="G1203" t="str">
        <f t="shared" si="19"/>
        <v>固收型</v>
      </c>
    </row>
    <row r="1204" spans="1:7">
      <c r="A1204" s="6">
        <v>44043</v>
      </c>
      <c r="C1204" t="s">
        <v>277</v>
      </c>
      <c r="D1204" t="s">
        <v>442</v>
      </c>
      <c r="E1204" t="s">
        <v>259</v>
      </c>
      <c r="F1204">
        <v>1215.19</v>
      </c>
      <c r="G1204" t="str">
        <f t="shared" si="19"/>
        <v>固收型</v>
      </c>
    </row>
    <row r="1205" spans="1:7">
      <c r="A1205" s="6">
        <v>44043</v>
      </c>
      <c r="C1205" t="s">
        <v>261</v>
      </c>
      <c r="D1205" t="s">
        <v>442</v>
      </c>
      <c r="E1205" t="s">
        <v>259</v>
      </c>
      <c r="F1205">
        <v>12349.39</v>
      </c>
      <c r="G1205" t="str">
        <f t="shared" si="19"/>
        <v>固收型</v>
      </c>
    </row>
    <row r="1206" spans="1:7">
      <c r="A1206" s="6">
        <v>44043</v>
      </c>
      <c r="C1206" t="s">
        <v>286</v>
      </c>
      <c r="D1206" t="s">
        <v>442</v>
      </c>
      <c r="E1206" t="s">
        <v>259</v>
      </c>
      <c r="F1206">
        <v>7258.5</v>
      </c>
      <c r="G1206" t="str">
        <f t="shared" si="19"/>
        <v>固收型</v>
      </c>
    </row>
    <row r="1207" spans="1:7">
      <c r="A1207" s="6">
        <v>44043</v>
      </c>
      <c r="B1207" t="s">
        <v>443</v>
      </c>
      <c r="C1207" t="s">
        <v>254</v>
      </c>
      <c r="D1207" t="s">
        <v>444</v>
      </c>
      <c r="E1207" t="s">
        <v>256</v>
      </c>
      <c r="F1207">
        <v>7.83</v>
      </c>
      <c r="G1207" t="str">
        <f t="shared" si="19"/>
        <v>混合型</v>
      </c>
    </row>
    <row r="1208" spans="1:7">
      <c r="A1208" s="6">
        <v>44043</v>
      </c>
      <c r="C1208" t="s">
        <v>263</v>
      </c>
      <c r="D1208" t="s">
        <v>444</v>
      </c>
      <c r="E1208" t="s">
        <v>256</v>
      </c>
      <c r="F1208">
        <v>33.74</v>
      </c>
      <c r="G1208" t="str">
        <f t="shared" si="19"/>
        <v>混合型</v>
      </c>
    </row>
    <row r="1209" spans="1:7">
      <c r="A1209" s="6">
        <v>44043</v>
      </c>
      <c r="C1209" t="s">
        <v>261</v>
      </c>
      <c r="D1209" t="s">
        <v>444</v>
      </c>
      <c r="E1209" t="s">
        <v>259</v>
      </c>
      <c r="F1209">
        <v>4015.72</v>
      </c>
      <c r="G1209" t="str">
        <f t="shared" si="19"/>
        <v>混合型</v>
      </c>
    </row>
    <row r="1210" spans="1:7">
      <c r="A1210" s="6">
        <v>44043</v>
      </c>
      <c r="B1210" t="s">
        <v>445</v>
      </c>
      <c r="C1210" t="s">
        <v>266</v>
      </c>
      <c r="D1210" t="s">
        <v>446</v>
      </c>
      <c r="E1210" t="s">
        <v>256</v>
      </c>
      <c r="F1210">
        <v>34.049999999999997</v>
      </c>
      <c r="G1210" t="str">
        <f t="shared" si="19"/>
        <v>混合型</v>
      </c>
    </row>
    <row r="1211" spans="1:7">
      <c r="A1211" s="6">
        <v>44043</v>
      </c>
      <c r="B1211" t="s">
        <v>447</v>
      </c>
      <c r="C1211" t="s">
        <v>254</v>
      </c>
      <c r="D1211" t="s">
        <v>448</v>
      </c>
      <c r="E1211" t="s">
        <v>256</v>
      </c>
      <c r="F1211">
        <v>375.85</v>
      </c>
      <c r="G1211" t="str">
        <f t="shared" si="19"/>
        <v>混合型</v>
      </c>
    </row>
    <row r="1212" spans="1:7">
      <c r="A1212" s="6">
        <v>44043</v>
      </c>
      <c r="C1212" t="s">
        <v>274</v>
      </c>
      <c r="D1212" t="s">
        <v>448</v>
      </c>
      <c r="E1212" t="s">
        <v>256</v>
      </c>
      <c r="F1212">
        <v>2253.15</v>
      </c>
      <c r="G1212" t="str">
        <f t="shared" si="19"/>
        <v>混合型</v>
      </c>
    </row>
    <row r="1213" spans="1:7">
      <c r="A1213" s="6">
        <v>44043</v>
      </c>
      <c r="C1213" t="s">
        <v>265</v>
      </c>
      <c r="D1213" t="s">
        <v>448</v>
      </c>
      <c r="E1213" t="s">
        <v>256</v>
      </c>
      <c r="F1213">
        <v>125.65</v>
      </c>
      <c r="G1213" t="str">
        <f t="shared" si="19"/>
        <v>混合型</v>
      </c>
    </row>
    <row r="1214" spans="1:7">
      <c r="A1214" s="6">
        <v>44043</v>
      </c>
      <c r="B1214" t="s">
        <v>449</v>
      </c>
      <c r="C1214" t="s">
        <v>254</v>
      </c>
      <c r="D1214" t="s">
        <v>450</v>
      </c>
      <c r="E1214" t="s">
        <v>256</v>
      </c>
      <c r="F1214">
        <v>193.52</v>
      </c>
      <c r="G1214" t="str">
        <f t="shared" si="19"/>
        <v>混合型</v>
      </c>
    </row>
    <row r="1215" spans="1:7">
      <c r="A1215" s="6">
        <v>44043</v>
      </c>
      <c r="C1215" t="s">
        <v>274</v>
      </c>
      <c r="D1215" t="s">
        <v>450</v>
      </c>
      <c r="E1215" t="s">
        <v>256</v>
      </c>
      <c r="F1215">
        <v>563.03</v>
      </c>
      <c r="G1215" t="str">
        <f t="shared" si="19"/>
        <v>混合型</v>
      </c>
    </row>
    <row r="1216" spans="1:7">
      <c r="A1216" s="6">
        <v>44043</v>
      </c>
      <c r="C1216" t="s">
        <v>266</v>
      </c>
      <c r="D1216" t="s">
        <v>450</v>
      </c>
      <c r="E1216" t="s">
        <v>256</v>
      </c>
      <c r="F1216">
        <v>14.37</v>
      </c>
      <c r="G1216" t="str">
        <f t="shared" si="19"/>
        <v>混合型</v>
      </c>
    </row>
    <row r="1217" spans="1:7">
      <c r="A1217" s="6">
        <v>44043</v>
      </c>
      <c r="B1217" t="s">
        <v>451</v>
      </c>
      <c r="C1217" t="s">
        <v>258</v>
      </c>
      <c r="D1217" t="s">
        <v>452</v>
      </c>
      <c r="E1217" t="s">
        <v>259</v>
      </c>
      <c r="F1217">
        <v>3310.54</v>
      </c>
      <c r="G1217" t="str">
        <f t="shared" si="19"/>
        <v>混合型</v>
      </c>
    </row>
    <row r="1218" spans="1:7">
      <c r="A1218" s="6">
        <v>44043</v>
      </c>
      <c r="B1218" t="s">
        <v>453</v>
      </c>
      <c r="C1218" t="s">
        <v>260</v>
      </c>
      <c r="D1218" t="s">
        <v>454</v>
      </c>
      <c r="E1218" t="s">
        <v>259</v>
      </c>
      <c r="F1218">
        <v>429.28</v>
      </c>
      <c r="G1218" t="str">
        <f t="shared" si="19"/>
        <v>基础设施债权</v>
      </c>
    </row>
    <row r="1219" spans="1:7">
      <c r="A1219" s="6">
        <v>44043</v>
      </c>
      <c r="B1219" t="s">
        <v>455</v>
      </c>
      <c r="C1219" t="s">
        <v>260</v>
      </c>
      <c r="D1219" t="s">
        <v>456</v>
      </c>
      <c r="E1219" t="s">
        <v>259</v>
      </c>
      <c r="F1219">
        <v>3012.72</v>
      </c>
      <c r="G1219" t="str">
        <f t="shared" ref="G1219:G1282" si="20">VLOOKUP(D1219,L:N,3,0)</f>
        <v>基础设施债权</v>
      </c>
    </row>
    <row r="1220" spans="1:7">
      <c r="A1220" s="6">
        <v>44043</v>
      </c>
      <c r="C1220" t="s">
        <v>302</v>
      </c>
      <c r="D1220" t="s">
        <v>456</v>
      </c>
      <c r="E1220" t="s">
        <v>259</v>
      </c>
      <c r="F1220">
        <v>1191.1300000000001</v>
      </c>
      <c r="G1220" t="str">
        <f t="shared" si="20"/>
        <v>基础设施债权</v>
      </c>
    </row>
    <row r="1221" spans="1:7">
      <c r="A1221" s="6">
        <v>44043</v>
      </c>
      <c r="B1221" t="s">
        <v>457</v>
      </c>
      <c r="C1221" t="s">
        <v>302</v>
      </c>
      <c r="D1221" t="s">
        <v>458</v>
      </c>
      <c r="E1221" t="s">
        <v>259</v>
      </c>
      <c r="F1221">
        <v>232.54</v>
      </c>
      <c r="G1221" t="str">
        <f t="shared" si="20"/>
        <v>存款型</v>
      </c>
    </row>
    <row r="1222" spans="1:7">
      <c r="A1222" s="6">
        <v>44043</v>
      </c>
      <c r="B1222" t="s">
        <v>459</v>
      </c>
      <c r="C1222" t="s">
        <v>460</v>
      </c>
      <c r="D1222" t="s">
        <v>461</v>
      </c>
      <c r="E1222" t="s">
        <v>259</v>
      </c>
      <c r="F1222">
        <v>488.64</v>
      </c>
      <c r="G1222" t="str">
        <f t="shared" si="20"/>
        <v>存款型</v>
      </c>
    </row>
    <row r="1223" spans="1:7">
      <c r="A1223" s="6">
        <v>44043</v>
      </c>
      <c r="C1223" t="s">
        <v>462</v>
      </c>
      <c r="D1223" t="s">
        <v>461</v>
      </c>
      <c r="E1223" t="s">
        <v>259</v>
      </c>
      <c r="F1223">
        <v>488.64</v>
      </c>
      <c r="G1223" t="str">
        <f t="shared" si="20"/>
        <v>存款型</v>
      </c>
    </row>
    <row r="1224" spans="1:7">
      <c r="A1224" s="6">
        <v>44135</v>
      </c>
      <c r="B1224" s="98" t="s">
        <v>253</v>
      </c>
      <c r="C1224" s="98" t="s">
        <v>254</v>
      </c>
      <c r="D1224" s="98" t="s">
        <v>255</v>
      </c>
      <c r="E1224" s="98" t="s">
        <v>256</v>
      </c>
      <c r="F1224" s="98">
        <v>93.32</v>
      </c>
      <c r="G1224" t="str">
        <f t="shared" si="20"/>
        <v>股票型</v>
      </c>
    </row>
    <row r="1225" spans="1:7">
      <c r="A1225" s="6">
        <v>44135</v>
      </c>
      <c r="B1225" s="98"/>
      <c r="C1225" s="98" t="s">
        <v>257</v>
      </c>
      <c r="D1225" s="98" t="s">
        <v>255</v>
      </c>
      <c r="E1225" s="98" t="s">
        <v>256</v>
      </c>
      <c r="F1225" s="98">
        <v>316.27</v>
      </c>
      <c r="G1225" t="str">
        <f t="shared" si="20"/>
        <v>股票型</v>
      </c>
    </row>
    <row r="1226" spans="1:7">
      <c r="A1226" s="6">
        <v>44135</v>
      </c>
      <c r="B1226" s="98"/>
      <c r="C1226" s="98" t="s">
        <v>258</v>
      </c>
      <c r="D1226" s="98" t="s">
        <v>255</v>
      </c>
      <c r="E1226" s="98" t="s">
        <v>259</v>
      </c>
      <c r="F1226" s="98">
        <v>1294.68</v>
      </c>
      <c r="G1226" t="str">
        <f t="shared" si="20"/>
        <v>股票型</v>
      </c>
    </row>
    <row r="1227" spans="1:7">
      <c r="A1227" s="6">
        <v>44135</v>
      </c>
      <c r="B1227" s="98"/>
      <c r="C1227" s="98" t="s">
        <v>260</v>
      </c>
      <c r="D1227" s="98" t="s">
        <v>255</v>
      </c>
      <c r="E1227" s="98" t="s">
        <v>259</v>
      </c>
      <c r="F1227" s="98">
        <v>2774.41</v>
      </c>
      <c r="G1227" t="str">
        <f t="shared" si="20"/>
        <v>股票型</v>
      </c>
    </row>
    <row r="1228" spans="1:7">
      <c r="A1228" s="6">
        <v>44135</v>
      </c>
      <c r="B1228" s="98"/>
      <c r="C1228" s="98" t="s">
        <v>261</v>
      </c>
      <c r="D1228" s="98" t="s">
        <v>255</v>
      </c>
      <c r="E1228" s="98" t="s">
        <v>259</v>
      </c>
      <c r="F1228" s="98">
        <v>402.71</v>
      </c>
      <c r="G1228" t="str">
        <f t="shared" si="20"/>
        <v>股票型</v>
      </c>
    </row>
    <row r="1229" spans="1:7">
      <c r="A1229" s="6">
        <v>44135</v>
      </c>
      <c r="B1229" s="98" t="s">
        <v>262</v>
      </c>
      <c r="C1229" s="98" t="s">
        <v>263</v>
      </c>
      <c r="D1229" s="98" t="s">
        <v>264</v>
      </c>
      <c r="E1229" s="98" t="s">
        <v>256</v>
      </c>
      <c r="F1229" s="98">
        <v>123.79</v>
      </c>
      <c r="G1229" t="str">
        <f t="shared" si="20"/>
        <v>债券型</v>
      </c>
    </row>
    <row r="1230" spans="1:7">
      <c r="A1230" s="6">
        <v>44135</v>
      </c>
      <c r="B1230" s="98"/>
      <c r="C1230" s="98" t="s">
        <v>265</v>
      </c>
      <c r="D1230" s="98" t="s">
        <v>264</v>
      </c>
      <c r="E1230" s="98" t="s">
        <v>256</v>
      </c>
      <c r="F1230" s="98">
        <v>50.16</v>
      </c>
      <c r="G1230" t="str">
        <f t="shared" si="20"/>
        <v>债券型</v>
      </c>
    </row>
    <row r="1231" spans="1:7">
      <c r="A1231" s="6">
        <v>44135</v>
      </c>
      <c r="B1231" s="98"/>
      <c r="C1231" s="98" t="s">
        <v>266</v>
      </c>
      <c r="D1231" s="98" t="s">
        <v>264</v>
      </c>
      <c r="E1231" s="98" t="s">
        <v>256</v>
      </c>
      <c r="F1231" s="98">
        <v>262.76</v>
      </c>
      <c r="G1231" t="str">
        <f t="shared" si="20"/>
        <v>债券型</v>
      </c>
    </row>
    <row r="1232" spans="1:7">
      <c r="A1232" s="6">
        <v>44135</v>
      </c>
      <c r="B1232" s="98"/>
      <c r="C1232" s="98" t="s">
        <v>267</v>
      </c>
      <c r="D1232" s="98" t="s">
        <v>264</v>
      </c>
      <c r="E1232" s="98" t="s">
        <v>259</v>
      </c>
      <c r="F1232" s="98">
        <v>1285.76</v>
      </c>
      <c r="G1232" t="str">
        <f t="shared" si="20"/>
        <v>债券型</v>
      </c>
    </row>
    <row r="1233" spans="1:7">
      <c r="A1233" s="6">
        <v>44135</v>
      </c>
      <c r="B1233" s="98"/>
      <c r="C1233" s="98" t="s">
        <v>258</v>
      </c>
      <c r="D1233" s="98" t="s">
        <v>264</v>
      </c>
      <c r="E1233" s="98" t="s">
        <v>259</v>
      </c>
      <c r="F1233" s="98">
        <v>1027.73</v>
      </c>
      <c r="G1233" t="str">
        <f t="shared" si="20"/>
        <v>债券型</v>
      </c>
    </row>
    <row r="1234" spans="1:7">
      <c r="A1234" s="6">
        <v>44135</v>
      </c>
      <c r="B1234" s="98"/>
      <c r="C1234" s="98" t="s">
        <v>268</v>
      </c>
      <c r="D1234" s="98" t="s">
        <v>264</v>
      </c>
      <c r="E1234" s="98" t="s">
        <v>259</v>
      </c>
      <c r="F1234" s="98">
        <v>5921.55</v>
      </c>
      <c r="G1234" t="str">
        <f t="shared" si="20"/>
        <v>债券型</v>
      </c>
    </row>
    <row r="1235" spans="1:7">
      <c r="A1235" s="6">
        <v>44135</v>
      </c>
      <c r="B1235" s="98"/>
      <c r="C1235" s="98" t="s">
        <v>269</v>
      </c>
      <c r="D1235" s="98" t="s">
        <v>264</v>
      </c>
      <c r="E1235" s="98" t="s">
        <v>270</v>
      </c>
      <c r="F1235" s="98">
        <v>10990.51</v>
      </c>
      <c r="G1235" t="str">
        <f t="shared" si="20"/>
        <v>债券型</v>
      </c>
    </row>
    <row r="1236" spans="1:7">
      <c r="A1236" s="6">
        <v>44135</v>
      </c>
      <c r="B1236" s="98"/>
      <c r="C1236" s="98" t="s">
        <v>278</v>
      </c>
      <c r="D1236" s="98" t="s">
        <v>264</v>
      </c>
      <c r="E1236" s="98" t="s">
        <v>270</v>
      </c>
      <c r="F1236" s="98">
        <v>1136.55</v>
      </c>
      <c r="G1236" t="str">
        <f t="shared" si="20"/>
        <v>债券型</v>
      </c>
    </row>
    <row r="1237" spans="1:7">
      <c r="A1237" s="6">
        <v>44135</v>
      </c>
      <c r="B1237" s="98"/>
      <c r="C1237" s="98" t="s">
        <v>271</v>
      </c>
      <c r="D1237" s="98" t="s">
        <v>264</v>
      </c>
      <c r="E1237" s="98" t="s">
        <v>270</v>
      </c>
      <c r="F1237" s="98">
        <v>12813.57</v>
      </c>
      <c r="G1237" t="str">
        <f t="shared" si="20"/>
        <v>债券型</v>
      </c>
    </row>
    <row r="1238" spans="1:7">
      <c r="A1238" s="6">
        <v>44135</v>
      </c>
      <c r="B1238" s="98"/>
      <c r="C1238" s="98" t="s">
        <v>272</v>
      </c>
      <c r="D1238" s="98" t="s">
        <v>264</v>
      </c>
      <c r="E1238" s="98" t="s">
        <v>270</v>
      </c>
      <c r="F1238" s="98">
        <v>870.47</v>
      </c>
      <c r="G1238" t="str">
        <f t="shared" si="20"/>
        <v>债券型</v>
      </c>
    </row>
    <row r="1239" spans="1:7">
      <c r="A1239" s="6">
        <v>44135</v>
      </c>
      <c r="B1239" s="98" t="s">
        <v>273</v>
      </c>
      <c r="C1239" s="98" t="s">
        <v>274</v>
      </c>
      <c r="D1239" s="98" t="s">
        <v>275</v>
      </c>
      <c r="E1239" s="98" t="s">
        <v>256</v>
      </c>
      <c r="F1239" s="98">
        <v>128.9</v>
      </c>
      <c r="G1239" t="str">
        <f t="shared" si="20"/>
        <v>混合型</v>
      </c>
    </row>
    <row r="1240" spans="1:7">
      <c r="A1240" s="6">
        <v>44135</v>
      </c>
      <c r="B1240" s="98"/>
      <c r="C1240" s="98" t="s">
        <v>265</v>
      </c>
      <c r="D1240" s="98" t="s">
        <v>275</v>
      </c>
      <c r="E1240" s="98" t="s">
        <v>256</v>
      </c>
      <c r="F1240" s="98">
        <v>88.9</v>
      </c>
      <c r="G1240" t="str">
        <f t="shared" si="20"/>
        <v>混合型</v>
      </c>
    </row>
    <row r="1241" spans="1:7">
      <c r="A1241" s="6">
        <v>44135</v>
      </c>
      <c r="B1241" s="98"/>
      <c r="C1241" s="98" t="s">
        <v>257</v>
      </c>
      <c r="D1241" s="98" t="s">
        <v>275</v>
      </c>
      <c r="E1241" s="98" t="s">
        <v>256</v>
      </c>
      <c r="F1241" s="98">
        <v>27.84</v>
      </c>
      <c r="G1241" t="str">
        <f t="shared" si="20"/>
        <v>混合型</v>
      </c>
    </row>
    <row r="1242" spans="1:7">
      <c r="A1242" s="6">
        <v>44135</v>
      </c>
      <c r="B1242" s="98"/>
      <c r="C1242" s="98" t="s">
        <v>276</v>
      </c>
      <c r="D1242" s="98" t="s">
        <v>275</v>
      </c>
      <c r="E1242" s="98" t="s">
        <v>256</v>
      </c>
      <c r="F1242" s="98">
        <v>331.52</v>
      </c>
      <c r="G1242" t="str">
        <f t="shared" si="20"/>
        <v>混合型</v>
      </c>
    </row>
    <row r="1243" spans="1:7">
      <c r="A1243" s="6">
        <v>44135</v>
      </c>
      <c r="B1243" s="98"/>
      <c r="C1243" s="98" t="s">
        <v>260</v>
      </c>
      <c r="D1243" s="98" t="s">
        <v>275</v>
      </c>
      <c r="E1243" s="98" t="s">
        <v>259</v>
      </c>
      <c r="F1243" s="98">
        <v>5857.32</v>
      </c>
      <c r="G1243" t="str">
        <f t="shared" si="20"/>
        <v>混合型</v>
      </c>
    </row>
    <row r="1244" spans="1:7">
      <c r="A1244" s="6">
        <v>44135</v>
      </c>
      <c r="B1244" s="98"/>
      <c r="C1244" s="98" t="s">
        <v>277</v>
      </c>
      <c r="D1244" s="98" t="s">
        <v>275</v>
      </c>
      <c r="E1244" s="98" t="s">
        <v>259</v>
      </c>
      <c r="F1244" s="98">
        <v>1244.49</v>
      </c>
      <c r="G1244" t="str">
        <f t="shared" si="20"/>
        <v>混合型</v>
      </c>
    </row>
    <row r="1245" spans="1:7">
      <c r="A1245" s="6">
        <v>44135</v>
      </c>
      <c r="B1245" s="98"/>
      <c r="C1245" s="98" t="s">
        <v>278</v>
      </c>
      <c r="D1245" s="98" t="s">
        <v>275</v>
      </c>
      <c r="E1245" s="98" t="s">
        <v>270</v>
      </c>
      <c r="F1245" s="98">
        <v>26603.75</v>
      </c>
      <c r="G1245" t="str">
        <f t="shared" si="20"/>
        <v>混合型</v>
      </c>
    </row>
    <row r="1246" spans="1:7">
      <c r="A1246" s="6">
        <v>44135</v>
      </c>
      <c r="B1246" s="98"/>
      <c r="C1246" s="98" t="s">
        <v>272</v>
      </c>
      <c r="D1246" s="98" t="s">
        <v>275</v>
      </c>
      <c r="E1246" s="98" t="s">
        <v>270</v>
      </c>
      <c r="F1246" s="98">
        <v>8214.1200000000008</v>
      </c>
      <c r="G1246" t="str">
        <f t="shared" si="20"/>
        <v>混合型</v>
      </c>
    </row>
    <row r="1247" spans="1:7">
      <c r="A1247" s="6">
        <v>44135</v>
      </c>
      <c r="B1247" s="98" t="s">
        <v>279</v>
      </c>
      <c r="C1247" s="98" t="s">
        <v>254</v>
      </c>
      <c r="D1247" s="98" t="s">
        <v>280</v>
      </c>
      <c r="E1247" s="98" t="s">
        <v>256</v>
      </c>
      <c r="F1247" s="98">
        <v>164.11</v>
      </c>
      <c r="G1247" t="str">
        <f t="shared" si="20"/>
        <v>混合型</v>
      </c>
    </row>
    <row r="1248" spans="1:7">
      <c r="A1248" s="6">
        <v>44135</v>
      </c>
      <c r="B1248" s="98"/>
      <c r="C1248" s="98" t="s">
        <v>265</v>
      </c>
      <c r="D1248" s="98" t="s">
        <v>280</v>
      </c>
      <c r="E1248" s="98" t="s">
        <v>256</v>
      </c>
      <c r="F1248" s="98">
        <v>106.77</v>
      </c>
      <c r="G1248" t="str">
        <f t="shared" si="20"/>
        <v>混合型</v>
      </c>
    </row>
    <row r="1249" spans="1:7">
      <c r="A1249" s="6">
        <v>44135</v>
      </c>
      <c r="B1249" s="98"/>
      <c r="C1249" s="98" t="s">
        <v>276</v>
      </c>
      <c r="D1249" s="98" t="s">
        <v>280</v>
      </c>
      <c r="E1249" s="98" t="s">
        <v>256</v>
      </c>
      <c r="F1249" s="98">
        <v>211.84</v>
      </c>
      <c r="G1249" t="str">
        <f t="shared" si="20"/>
        <v>混合型</v>
      </c>
    </row>
    <row r="1250" spans="1:7">
      <c r="A1250" s="6">
        <v>44135</v>
      </c>
      <c r="B1250" s="98"/>
      <c r="C1250" s="98" t="s">
        <v>266</v>
      </c>
      <c r="D1250" s="98" t="s">
        <v>280</v>
      </c>
      <c r="E1250" s="98" t="s">
        <v>256</v>
      </c>
      <c r="F1250" s="98">
        <v>86.67</v>
      </c>
      <c r="G1250" t="str">
        <f t="shared" si="20"/>
        <v>混合型</v>
      </c>
    </row>
    <row r="1251" spans="1:7">
      <c r="A1251" s="6">
        <v>44135</v>
      </c>
      <c r="B1251" s="98"/>
      <c r="C1251" s="98" t="s">
        <v>260</v>
      </c>
      <c r="D1251" s="98" t="s">
        <v>280</v>
      </c>
      <c r="E1251" s="98" t="s">
        <v>259</v>
      </c>
      <c r="F1251" s="98">
        <v>5587.03</v>
      </c>
      <c r="G1251" t="str">
        <f t="shared" si="20"/>
        <v>混合型</v>
      </c>
    </row>
    <row r="1252" spans="1:7">
      <c r="A1252" s="6">
        <v>44135</v>
      </c>
      <c r="B1252" s="98"/>
      <c r="C1252" s="98" t="s">
        <v>277</v>
      </c>
      <c r="D1252" s="98" t="s">
        <v>280</v>
      </c>
      <c r="E1252" s="98" t="s">
        <v>259</v>
      </c>
      <c r="F1252" s="98">
        <v>665.97</v>
      </c>
      <c r="G1252" t="str">
        <f t="shared" si="20"/>
        <v>混合型</v>
      </c>
    </row>
    <row r="1253" spans="1:7">
      <c r="A1253" s="6">
        <v>44135</v>
      </c>
      <c r="B1253" s="98"/>
      <c r="C1253" s="98" t="s">
        <v>278</v>
      </c>
      <c r="D1253" s="98" t="s">
        <v>280</v>
      </c>
      <c r="E1253" s="98" t="s">
        <v>270</v>
      </c>
      <c r="F1253" s="98">
        <v>26668.55</v>
      </c>
      <c r="G1253" t="str">
        <f t="shared" si="20"/>
        <v>混合型</v>
      </c>
    </row>
    <row r="1254" spans="1:7">
      <c r="A1254" s="6">
        <v>44135</v>
      </c>
      <c r="B1254" s="98"/>
      <c r="C1254" s="98" t="s">
        <v>272</v>
      </c>
      <c r="D1254" s="98" t="s">
        <v>280</v>
      </c>
      <c r="E1254" s="98" t="s">
        <v>270</v>
      </c>
      <c r="F1254" s="98">
        <v>8272.61</v>
      </c>
      <c r="G1254" t="str">
        <f t="shared" si="20"/>
        <v>混合型</v>
      </c>
    </row>
    <row r="1255" spans="1:7">
      <c r="A1255" s="6">
        <v>44135</v>
      </c>
      <c r="B1255" s="98" t="s">
        <v>281</v>
      </c>
      <c r="C1255" s="98" t="s">
        <v>254</v>
      </c>
      <c r="D1255" s="98" t="s">
        <v>282</v>
      </c>
      <c r="E1255" s="98" t="s">
        <v>256</v>
      </c>
      <c r="F1255" s="98">
        <v>151.59</v>
      </c>
      <c r="G1255" t="str">
        <f t="shared" si="20"/>
        <v>固收型</v>
      </c>
    </row>
    <row r="1256" spans="1:7">
      <c r="A1256" s="6">
        <v>44135</v>
      </c>
      <c r="B1256" s="98"/>
      <c r="C1256" s="98" t="s">
        <v>263</v>
      </c>
      <c r="D1256" s="98" t="s">
        <v>282</v>
      </c>
      <c r="E1256" s="98" t="s">
        <v>256</v>
      </c>
      <c r="F1256" s="98">
        <v>21.97</v>
      </c>
      <c r="G1256" t="str">
        <f t="shared" si="20"/>
        <v>固收型</v>
      </c>
    </row>
    <row r="1257" spans="1:7">
      <c r="A1257" s="6">
        <v>44135</v>
      </c>
      <c r="B1257" s="98"/>
      <c r="C1257" s="98" t="s">
        <v>257</v>
      </c>
      <c r="D1257" s="98" t="s">
        <v>282</v>
      </c>
      <c r="E1257" s="98" t="s">
        <v>256</v>
      </c>
      <c r="F1257" s="98">
        <v>93.17</v>
      </c>
      <c r="G1257" t="str">
        <f t="shared" si="20"/>
        <v>固收型</v>
      </c>
    </row>
    <row r="1258" spans="1:7">
      <c r="A1258" s="6">
        <v>44135</v>
      </c>
      <c r="B1258" s="98"/>
      <c r="C1258" s="98" t="s">
        <v>276</v>
      </c>
      <c r="D1258" s="98" t="s">
        <v>282</v>
      </c>
      <c r="E1258" s="98" t="s">
        <v>256</v>
      </c>
      <c r="F1258" s="98">
        <v>166.73</v>
      </c>
      <c r="G1258" t="str">
        <f t="shared" si="20"/>
        <v>固收型</v>
      </c>
    </row>
    <row r="1259" spans="1:7">
      <c r="A1259" s="6">
        <v>44135</v>
      </c>
      <c r="B1259" s="98"/>
      <c r="C1259" s="98" t="s">
        <v>283</v>
      </c>
      <c r="D1259" s="98" t="s">
        <v>282</v>
      </c>
      <c r="E1259" s="98" t="s">
        <v>256</v>
      </c>
      <c r="F1259" s="98">
        <v>18.329999999999998</v>
      </c>
      <c r="G1259" t="str">
        <f t="shared" si="20"/>
        <v>固收型</v>
      </c>
    </row>
    <row r="1260" spans="1:7">
      <c r="A1260" s="6">
        <v>44135</v>
      </c>
      <c r="B1260" s="98"/>
      <c r="C1260" s="98" t="s">
        <v>267</v>
      </c>
      <c r="D1260" s="98" t="s">
        <v>282</v>
      </c>
      <c r="E1260" s="98" t="s">
        <v>259</v>
      </c>
      <c r="F1260" s="98">
        <v>915.86</v>
      </c>
      <c r="G1260" t="str">
        <f t="shared" si="20"/>
        <v>固收型</v>
      </c>
    </row>
    <row r="1261" spans="1:7">
      <c r="A1261" s="6">
        <v>44135</v>
      </c>
      <c r="B1261" s="98"/>
      <c r="C1261" s="98" t="s">
        <v>258</v>
      </c>
      <c r="D1261" s="98" t="s">
        <v>282</v>
      </c>
      <c r="E1261" s="98" t="s">
        <v>259</v>
      </c>
      <c r="F1261" s="98">
        <v>2124.35</v>
      </c>
      <c r="G1261" t="str">
        <f t="shared" si="20"/>
        <v>固收型</v>
      </c>
    </row>
    <row r="1262" spans="1:7">
      <c r="A1262" s="6">
        <v>44135</v>
      </c>
      <c r="B1262" s="98"/>
      <c r="C1262" s="98" t="s">
        <v>277</v>
      </c>
      <c r="D1262" s="98" t="s">
        <v>282</v>
      </c>
      <c r="E1262" s="98" t="s">
        <v>259</v>
      </c>
      <c r="F1262" s="98">
        <v>770.67</v>
      </c>
      <c r="G1262" t="str">
        <f t="shared" si="20"/>
        <v>固收型</v>
      </c>
    </row>
    <row r="1263" spans="1:7">
      <c r="A1263" s="6">
        <v>44135</v>
      </c>
      <c r="B1263" s="98"/>
      <c r="C1263" s="98" t="s">
        <v>285</v>
      </c>
      <c r="D1263" s="98" t="s">
        <v>282</v>
      </c>
      <c r="E1263" s="98" t="s">
        <v>259</v>
      </c>
      <c r="F1263" s="98">
        <v>2340.44</v>
      </c>
      <c r="G1263" t="str">
        <f t="shared" si="20"/>
        <v>固收型</v>
      </c>
    </row>
    <row r="1264" spans="1:7">
      <c r="A1264" s="6">
        <v>44135</v>
      </c>
      <c r="B1264" s="98"/>
      <c r="C1264" s="98" t="s">
        <v>286</v>
      </c>
      <c r="D1264" s="98" t="s">
        <v>282</v>
      </c>
      <c r="E1264" s="98" t="s">
        <v>259</v>
      </c>
      <c r="F1264" s="98">
        <v>7623.33</v>
      </c>
      <c r="G1264" t="str">
        <f t="shared" si="20"/>
        <v>固收型</v>
      </c>
    </row>
    <row r="1265" spans="1:7">
      <c r="A1265" s="6">
        <v>44135</v>
      </c>
      <c r="B1265" s="98" t="s">
        <v>287</v>
      </c>
      <c r="C1265" s="98" t="s">
        <v>254</v>
      </c>
      <c r="D1265" s="98" t="s">
        <v>288</v>
      </c>
      <c r="E1265" s="98" t="s">
        <v>256</v>
      </c>
      <c r="F1265" s="98">
        <v>117.07</v>
      </c>
      <c r="G1265" t="str">
        <f t="shared" si="20"/>
        <v>基础设施债权</v>
      </c>
    </row>
    <row r="1266" spans="1:7">
      <c r="A1266" s="6">
        <v>44135</v>
      </c>
      <c r="B1266" s="98"/>
      <c r="C1266" s="98" t="s">
        <v>274</v>
      </c>
      <c r="D1266" s="98" t="s">
        <v>288</v>
      </c>
      <c r="E1266" s="98" t="s">
        <v>256</v>
      </c>
      <c r="F1266" s="98">
        <v>1348.87</v>
      </c>
      <c r="G1266" t="str">
        <f t="shared" si="20"/>
        <v>基础设施债权</v>
      </c>
    </row>
    <row r="1267" spans="1:7">
      <c r="A1267" s="6">
        <v>44135</v>
      </c>
      <c r="B1267" s="98"/>
      <c r="C1267" s="98" t="s">
        <v>263</v>
      </c>
      <c r="D1267" s="98" t="s">
        <v>288</v>
      </c>
      <c r="E1267" s="98" t="s">
        <v>256</v>
      </c>
      <c r="F1267" s="98">
        <v>50.82</v>
      </c>
      <c r="G1267" t="str">
        <f t="shared" si="20"/>
        <v>基础设施债权</v>
      </c>
    </row>
    <row r="1268" spans="1:7">
      <c r="A1268" s="6">
        <v>44135</v>
      </c>
      <c r="B1268" s="98"/>
      <c r="C1268" s="98" t="s">
        <v>265</v>
      </c>
      <c r="D1268" s="98" t="s">
        <v>288</v>
      </c>
      <c r="E1268" s="98" t="s">
        <v>256</v>
      </c>
      <c r="F1268" s="98">
        <v>30.38</v>
      </c>
      <c r="G1268" t="str">
        <f t="shared" si="20"/>
        <v>基础设施债权</v>
      </c>
    </row>
    <row r="1269" spans="1:7">
      <c r="A1269" s="6">
        <v>44135</v>
      </c>
      <c r="B1269" s="98"/>
      <c r="C1269" s="98" t="s">
        <v>257</v>
      </c>
      <c r="D1269" s="98" t="s">
        <v>288</v>
      </c>
      <c r="E1269" s="98" t="s">
        <v>256</v>
      </c>
      <c r="F1269" s="98">
        <v>51.76</v>
      </c>
      <c r="G1269" t="str">
        <f t="shared" si="20"/>
        <v>基础设施债权</v>
      </c>
    </row>
    <row r="1270" spans="1:7">
      <c r="A1270" s="6">
        <v>44135</v>
      </c>
      <c r="B1270" s="98"/>
      <c r="C1270" s="98" t="s">
        <v>276</v>
      </c>
      <c r="D1270" s="98" t="s">
        <v>288</v>
      </c>
      <c r="E1270" s="98" t="s">
        <v>256</v>
      </c>
      <c r="F1270" s="98">
        <v>440.66</v>
      </c>
      <c r="G1270" t="str">
        <f t="shared" si="20"/>
        <v>基础设施债权</v>
      </c>
    </row>
    <row r="1271" spans="1:7">
      <c r="A1271" s="6">
        <v>44135</v>
      </c>
      <c r="B1271" s="98"/>
      <c r="C1271" s="98" t="s">
        <v>283</v>
      </c>
      <c r="D1271" s="98" t="s">
        <v>288</v>
      </c>
      <c r="E1271" s="98" t="s">
        <v>256</v>
      </c>
      <c r="F1271" s="98">
        <v>47</v>
      </c>
      <c r="G1271" t="str">
        <f t="shared" si="20"/>
        <v>基础设施债权</v>
      </c>
    </row>
    <row r="1272" spans="1:7">
      <c r="A1272" s="6">
        <v>44135</v>
      </c>
      <c r="B1272" s="98"/>
      <c r="C1272" s="98" t="s">
        <v>266</v>
      </c>
      <c r="D1272" s="98" t="s">
        <v>288</v>
      </c>
      <c r="E1272" s="98" t="s">
        <v>256</v>
      </c>
      <c r="F1272" s="98">
        <v>238.01</v>
      </c>
      <c r="G1272" t="str">
        <f t="shared" si="20"/>
        <v>基础设施债权</v>
      </c>
    </row>
    <row r="1273" spans="1:7">
      <c r="A1273" s="6">
        <v>44135</v>
      </c>
      <c r="B1273" s="98"/>
      <c r="C1273" s="98" t="s">
        <v>289</v>
      </c>
      <c r="D1273" s="98" t="s">
        <v>288</v>
      </c>
      <c r="E1273" s="98" t="s">
        <v>259</v>
      </c>
      <c r="F1273" s="98">
        <v>5939.23</v>
      </c>
      <c r="G1273" t="str">
        <f t="shared" si="20"/>
        <v>基础设施债权</v>
      </c>
    </row>
    <row r="1274" spans="1:7">
      <c r="A1274" s="6">
        <v>44135</v>
      </c>
      <c r="B1274" s="98"/>
      <c r="C1274" s="98" t="s">
        <v>290</v>
      </c>
      <c r="D1274" s="98" t="s">
        <v>288</v>
      </c>
      <c r="E1274" s="98" t="s">
        <v>259</v>
      </c>
      <c r="F1274" s="98">
        <v>2563.17</v>
      </c>
      <c r="G1274" t="str">
        <f t="shared" si="20"/>
        <v>基础设施债权</v>
      </c>
    </row>
    <row r="1275" spans="1:7">
      <c r="A1275" s="6">
        <v>44135</v>
      </c>
      <c r="B1275" s="98"/>
      <c r="C1275" s="98" t="s">
        <v>284</v>
      </c>
      <c r="D1275" s="98" t="s">
        <v>288</v>
      </c>
      <c r="E1275" s="98" t="s">
        <v>259</v>
      </c>
      <c r="F1275" s="98">
        <v>1535.88</v>
      </c>
      <c r="G1275" t="str">
        <f t="shared" si="20"/>
        <v>基础设施债权</v>
      </c>
    </row>
    <row r="1276" spans="1:7">
      <c r="A1276" s="6">
        <v>44135</v>
      </c>
      <c r="B1276" s="98"/>
      <c r="C1276" s="98" t="s">
        <v>258</v>
      </c>
      <c r="D1276" s="98" t="s">
        <v>288</v>
      </c>
      <c r="E1276" s="98" t="s">
        <v>259</v>
      </c>
      <c r="F1276" s="98">
        <v>3765.46</v>
      </c>
      <c r="G1276" t="str">
        <f t="shared" si="20"/>
        <v>基础设施债权</v>
      </c>
    </row>
    <row r="1277" spans="1:7">
      <c r="A1277" s="6">
        <v>44135</v>
      </c>
      <c r="B1277" s="98"/>
      <c r="C1277" s="98" t="s">
        <v>291</v>
      </c>
      <c r="D1277" s="98" t="s">
        <v>288</v>
      </c>
      <c r="E1277" s="98" t="s">
        <v>259</v>
      </c>
      <c r="F1277" s="98">
        <v>12400.14</v>
      </c>
      <c r="G1277" t="str">
        <f t="shared" si="20"/>
        <v>基础设施债权</v>
      </c>
    </row>
    <row r="1278" spans="1:7">
      <c r="A1278" s="6">
        <v>44135</v>
      </c>
      <c r="B1278" s="98"/>
      <c r="C1278" s="98" t="s">
        <v>260</v>
      </c>
      <c r="D1278" s="98" t="s">
        <v>288</v>
      </c>
      <c r="E1278" s="98" t="s">
        <v>259</v>
      </c>
      <c r="F1278" s="98">
        <v>11548.63</v>
      </c>
      <c r="G1278" t="str">
        <f t="shared" si="20"/>
        <v>基础设施债权</v>
      </c>
    </row>
    <row r="1279" spans="1:7">
      <c r="A1279" s="6">
        <v>44135</v>
      </c>
      <c r="B1279" s="98"/>
      <c r="C1279" s="98" t="s">
        <v>292</v>
      </c>
      <c r="D1279" s="98" t="s">
        <v>288</v>
      </c>
      <c r="E1279" s="98" t="s">
        <v>259</v>
      </c>
      <c r="F1279" s="98">
        <v>8887.5300000000007</v>
      </c>
      <c r="G1279" t="str">
        <f t="shared" si="20"/>
        <v>基础设施债权</v>
      </c>
    </row>
    <row r="1280" spans="1:7">
      <c r="A1280" s="6">
        <v>44135</v>
      </c>
      <c r="B1280" s="98"/>
      <c r="C1280" s="98" t="s">
        <v>293</v>
      </c>
      <c r="D1280" s="98" t="s">
        <v>288</v>
      </c>
      <c r="E1280" s="98" t="s">
        <v>259</v>
      </c>
      <c r="F1280" s="98">
        <v>13888.61</v>
      </c>
      <c r="G1280" t="str">
        <f t="shared" si="20"/>
        <v>基础设施债权</v>
      </c>
    </row>
    <row r="1281" spans="1:7">
      <c r="A1281" s="6">
        <v>44135</v>
      </c>
      <c r="B1281" s="98"/>
      <c r="C1281" s="98" t="s">
        <v>268</v>
      </c>
      <c r="D1281" s="98" t="s">
        <v>288</v>
      </c>
      <c r="E1281" s="98" t="s">
        <v>259</v>
      </c>
      <c r="F1281" s="98">
        <v>2395.9699999999998</v>
      </c>
      <c r="G1281" t="str">
        <f t="shared" si="20"/>
        <v>基础设施债权</v>
      </c>
    </row>
    <row r="1282" spans="1:7">
      <c r="A1282" s="6">
        <v>44135</v>
      </c>
      <c r="B1282" s="98"/>
      <c r="C1282" s="98" t="s">
        <v>294</v>
      </c>
      <c r="D1282" s="98" t="s">
        <v>288</v>
      </c>
      <c r="E1282" s="98" t="s">
        <v>259</v>
      </c>
      <c r="F1282" s="98">
        <v>3972.28</v>
      </c>
      <c r="G1282" t="str">
        <f t="shared" si="20"/>
        <v>基础设施债权</v>
      </c>
    </row>
    <row r="1283" spans="1:7">
      <c r="A1283" s="6">
        <v>44135</v>
      </c>
      <c r="B1283" s="98"/>
      <c r="C1283" s="98" t="s">
        <v>295</v>
      </c>
      <c r="D1283" s="98" t="s">
        <v>288</v>
      </c>
      <c r="E1283" s="98" t="s">
        <v>259</v>
      </c>
      <c r="F1283" s="98">
        <v>2344.09</v>
      </c>
      <c r="G1283" t="str">
        <f t="shared" ref="G1283:G1346" si="21">VLOOKUP(D1283,L:N,3,0)</f>
        <v>基础设施债权</v>
      </c>
    </row>
    <row r="1284" spans="1:7">
      <c r="A1284" s="6">
        <v>44135</v>
      </c>
      <c r="B1284" s="98"/>
      <c r="C1284" s="98" t="s">
        <v>297</v>
      </c>
      <c r="D1284" s="98" t="s">
        <v>288</v>
      </c>
      <c r="E1284" s="98" t="s">
        <v>259</v>
      </c>
      <c r="F1284" s="98">
        <v>9358.26</v>
      </c>
      <c r="G1284" t="str">
        <f t="shared" si="21"/>
        <v>基础设施债权</v>
      </c>
    </row>
    <row r="1285" spans="1:7">
      <c r="A1285" s="6">
        <v>44135</v>
      </c>
      <c r="B1285" s="98"/>
      <c r="C1285" s="98" t="s">
        <v>298</v>
      </c>
      <c r="D1285" s="98" t="s">
        <v>288</v>
      </c>
      <c r="E1285" s="98" t="s">
        <v>259</v>
      </c>
      <c r="F1285" s="98">
        <v>1875.27</v>
      </c>
      <c r="G1285" t="str">
        <f t="shared" si="21"/>
        <v>基础设施债权</v>
      </c>
    </row>
    <row r="1286" spans="1:7">
      <c r="A1286" s="6">
        <v>44135</v>
      </c>
      <c r="B1286" s="98"/>
      <c r="C1286" s="98" t="s">
        <v>269</v>
      </c>
      <c r="D1286" s="98" t="s">
        <v>288</v>
      </c>
      <c r="E1286" s="98" t="s">
        <v>270</v>
      </c>
      <c r="F1286" s="98">
        <v>40368.92</v>
      </c>
      <c r="G1286" t="str">
        <f t="shared" si="21"/>
        <v>基础设施债权</v>
      </c>
    </row>
    <row r="1287" spans="1:7">
      <c r="A1287" s="6">
        <v>44135</v>
      </c>
      <c r="B1287" s="98"/>
      <c r="C1287" s="98" t="s">
        <v>271</v>
      </c>
      <c r="D1287" s="98" t="s">
        <v>288</v>
      </c>
      <c r="E1287" s="98" t="s">
        <v>270</v>
      </c>
      <c r="F1287" s="98">
        <v>32171.919999999998</v>
      </c>
      <c r="G1287" t="str">
        <f t="shared" si="21"/>
        <v>基础设施债权</v>
      </c>
    </row>
    <row r="1288" spans="1:7">
      <c r="A1288" s="6">
        <v>44135</v>
      </c>
      <c r="B1288" s="98"/>
      <c r="C1288" s="98" t="s">
        <v>261</v>
      </c>
      <c r="D1288" s="98" t="s">
        <v>288</v>
      </c>
      <c r="E1288" s="98" t="s">
        <v>259</v>
      </c>
      <c r="F1288" s="98">
        <v>1160.19</v>
      </c>
      <c r="G1288" t="str">
        <f t="shared" si="21"/>
        <v>基础设施债权</v>
      </c>
    </row>
    <row r="1289" spans="1:7">
      <c r="A1289" s="6">
        <v>44135</v>
      </c>
      <c r="B1289" s="98"/>
      <c r="C1289" s="98" t="s">
        <v>272</v>
      </c>
      <c r="D1289" s="98" t="s">
        <v>288</v>
      </c>
      <c r="E1289" s="98" t="s">
        <v>270</v>
      </c>
      <c r="F1289" s="98">
        <v>13351.03</v>
      </c>
      <c r="G1289" t="str">
        <f t="shared" si="21"/>
        <v>基础设施债权</v>
      </c>
    </row>
    <row r="1290" spans="1:7">
      <c r="A1290" s="6">
        <v>44135</v>
      </c>
      <c r="B1290" s="98"/>
      <c r="C1290" s="98" t="s">
        <v>477</v>
      </c>
      <c r="D1290" s="98" t="s">
        <v>288</v>
      </c>
      <c r="E1290" s="98" t="s">
        <v>259</v>
      </c>
      <c r="F1290" s="98">
        <v>2344.09</v>
      </c>
      <c r="G1290" t="str">
        <f t="shared" si="21"/>
        <v>基础设施债权</v>
      </c>
    </row>
    <row r="1291" spans="1:7">
      <c r="A1291" s="6">
        <v>44135</v>
      </c>
      <c r="B1291" s="98" t="s">
        <v>299</v>
      </c>
      <c r="C1291" s="98" t="s">
        <v>254</v>
      </c>
      <c r="D1291" s="98" t="s">
        <v>300</v>
      </c>
      <c r="E1291" s="98" t="s">
        <v>256</v>
      </c>
      <c r="F1291" s="98">
        <v>1776.18</v>
      </c>
      <c r="G1291" t="str">
        <f t="shared" si="21"/>
        <v>信托型</v>
      </c>
    </row>
    <row r="1292" spans="1:7">
      <c r="A1292" s="6">
        <v>44135</v>
      </c>
      <c r="B1292" s="98"/>
      <c r="C1292" s="98" t="s">
        <v>274</v>
      </c>
      <c r="D1292" s="98" t="s">
        <v>300</v>
      </c>
      <c r="E1292" s="98" t="s">
        <v>256</v>
      </c>
      <c r="F1292" s="98">
        <v>9465.33</v>
      </c>
      <c r="G1292" t="str">
        <f t="shared" si="21"/>
        <v>信托型</v>
      </c>
    </row>
    <row r="1293" spans="1:7">
      <c r="A1293" s="6">
        <v>44135</v>
      </c>
      <c r="B1293" s="98"/>
      <c r="C1293" s="98" t="s">
        <v>263</v>
      </c>
      <c r="D1293" s="98" t="s">
        <v>300</v>
      </c>
      <c r="E1293" s="98" t="s">
        <v>256</v>
      </c>
      <c r="F1293" s="98">
        <v>80.89</v>
      </c>
      <c r="G1293" t="str">
        <f t="shared" si="21"/>
        <v>信托型</v>
      </c>
    </row>
    <row r="1294" spans="1:7">
      <c r="A1294" s="6">
        <v>44135</v>
      </c>
      <c r="B1294" s="98"/>
      <c r="C1294" s="98" t="s">
        <v>265</v>
      </c>
      <c r="D1294" s="98" t="s">
        <v>300</v>
      </c>
      <c r="E1294" s="98" t="s">
        <v>256</v>
      </c>
      <c r="F1294" s="98">
        <v>32.44</v>
      </c>
      <c r="G1294" t="str">
        <f t="shared" si="21"/>
        <v>信托型</v>
      </c>
    </row>
    <row r="1295" spans="1:7">
      <c r="A1295" s="6">
        <v>44135</v>
      </c>
      <c r="B1295" s="98"/>
      <c r="C1295" s="98" t="s">
        <v>257</v>
      </c>
      <c r="D1295" s="98" t="s">
        <v>300</v>
      </c>
      <c r="E1295" s="98" t="s">
        <v>256</v>
      </c>
      <c r="F1295" s="98">
        <v>2193.64</v>
      </c>
      <c r="G1295" t="str">
        <f t="shared" si="21"/>
        <v>信托型</v>
      </c>
    </row>
    <row r="1296" spans="1:7">
      <c r="A1296" s="6">
        <v>44135</v>
      </c>
      <c r="B1296" s="98"/>
      <c r="C1296" s="98" t="s">
        <v>276</v>
      </c>
      <c r="D1296" s="98" t="s">
        <v>300</v>
      </c>
      <c r="E1296" s="98" t="s">
        <v>256</v>
      </c>
      <c r="F1296" s="98">
        <v>1032.23</v>
      </c>
      <c r="G1296" t="str">
        <f t="shared" si="21"/>
        <v>信托型</v>
      </c>
    </row>
    <row r="1297" spans="1:7">
      <c r="A1297" s="6">
        <v>44135</v>
      </c>
      <c r="B1297" s="98"/>
      <c r="C1297" s="98" t="s">
        <v>283</v>
      </c>
      <c r="D1297" s="98" t="s">
        <v>300</v>
      </c>
      <c r="E1297" s="98" t="s">
        <v>256</v>
      </c>
      <c r="F1297" s="98">
        <v>14.99</v>
      </c>
      <c r="G1297" t="str">
        <f t="shared" si="21"/>
        <v>信托型</v>
      </c>
    </row>
    <row r="1298" spans="1:7">
      <c r="A1298" s="6">
        <v>44135</v>
      </c>
      <c r="B1298" s="98"/>
      <c r="C1298" s="98" t="s">
        <v>266</v>
      </c>
      <c r="D1298" s="98" t="s">
        <v>300</v>
      </c>
      <c r="E1298" s="98" t="s">
        <v>256</v>
      </c>
      <c r="F1298" s="98">
        <v>830.87</v>
      </c>
      <c r="G1298" t="str">
        <f t="shared" si="21"/>
        <v>信托型</v>
      </c>
    </row>
    <row r="1299" spans="1:7">
      <c r="A1299" s="6">
        <v>44135</v>
      </c>
      <c r="B1299" s="98"/>
      <c r="C1299" s="98" t="s">
        <v>289</v>
      </c>
      <c r="D1299" s="98" t="s">
        <v>300</v>
      </c>
      <c r="E1299" s="98" t="s">
        <v>259</v>
      </c>
      <c r="F1299" s="98">
        <v>2387.2800000000002</v>
      </c>
      <c r="G1299" t="str">
        <f t="shared" si="21"/>
        <v>信托型</v>
      </c>
    </row>
    <row r="1300" spans="1:7">
      <c r="A1300" s="6">
        <v>44135</v>
      </c>
      <c r="B1300" s="98"/>
      <c r="C1300" s="98" t="s">
        <v>267</v>
      </c>
      <c r="D1300" s="98" t="s">
        <v>300</v>
      </c>
      <c r="E1300" s="98" t="s">
        <v>259</v>
      </c>
      <c r="F1300" s="98">
        <v>2573.1799999999998</v>
      </c>
      <c r="G1300" t="str">
        <f t="shared" si="21"/>
        <v>信托型</v>
      </c>
    </row>
    <row r="1301" spans="1:7">
      <c r="A1301" s="6">
        <v>44135</v>
      </c>
      <c r="B1301" s="98"/>
      <c r="C1301" s="98" t="s">
        <v>290</v>
      </c>
      <c r="D1301" s="98" t="s">
        <v>300</v>
      </c>
      <c r="E1301" s="98" t="s">
        <v>259</v>
      </c>
      <c r="F1301" s="98">
        <v>6354.61</v>
      </c>
      <c r="G1301" t="str">
        <f t="shared" si="21"/>
        <v>信托型</v>
      </c>
    </row>
    <row r="1302" spans="1:7">
      <c r="A1302" s="6">
        <v>44135</v>
      </c>
      <c r="B1302" s="98"/>
      <c r="C1302" s="98" t="s">
        <v>301</v>
      </c>
      <c r="D1302" s="98" t="s">
        <v>300</v>
      </c>
      <c r="E1302" s="98" t="s">
        <v>259</v>
      </c>
      <c r="F1302" s="98">
        <v>299.29000000000002</v>
      </c>
      <c r="G1302" t="str">
        <f t="shared" si="21"/>
        <v>信托型</v>
      </c>
    </row>
    <row r="1303" spans="1:7">
      <c r="A1303" s="6">
        <v>44135</v>
      </c>
      <c r="B1303" s="98"/>
      <c r="C1303" s="98" t="s">
        <v>284</v>
      </c>
      <c r="D1303" s="98" t="s">
        <v>300</v>
      </c>
      <c r="E1303" s="98" t="s">
        <v>259</v>
      </c>
      <c r="F1303" s="98">
        <v>711.62</v>
      </c>
      <c r="G1303" t="str">
        <f t="shared" si="21"/>
        <v>信托型</v>
      </c>
    </row>
    <row r="1304" spans="1:7">
      <c r="A1304" s="6">
        <v>44135</v>
      </c>
      <c r="B1304" s="98"/>
      <c r="C1304" s="98" t="s">
        <v>258</v>
      </c>
      <c r="D1304" s="98" t="s">
        <v>300</v>
      </c>
      <c r="E1304" s="98" t="s">
        <v>259</v>
      </c>
      <c r="F1304" s="98">
        <v>2933.78</v>
      </c>
      <c r="G1304" t="str">
        <f t="shared" si="21"/>
        <v>信托型</v>
      </c>
    </row>
    <row r="1305" spans="1:7">
      <c r="A1305" s="6">
        <v>44135</v>
      </c>
      <c r="B1305" s="98"/>
      <c r="C1305" s="98" t="s">
        <v>302</v>
      </c>
      <c r="D1305" s="98" t="s">
        <v>300</v>
      </c>
      <c r="E1305" s="98" t="s">
        <v>259</v>
      </c>
      <c r="F1305" s="98">
        <v>2209.9699999999998</v>
      </c>
      <c r="G1305" t="str">
        <f t="shared" si="21"/>
        <v>信托型</v>
      </c>
    </row>
    <row r="1306" spans="1:7">
      <c r="A1306" s="6">
        <v>44135</v>
      </c>
      <c r="B1306" s="98"/>
      <c r="C1306" s="98" t="s">
        <v>303</v>
      </c>
      <c r="D1306" s="98" t="s">
        <v>300</v>
      </c>
      <c r="E1306" s="98" t="s">
        <v>259</v>
      </c>
      <c r="F1306" s="98">
        <v>14454.01</v>
      </c>
      <c r="G1306" t="str">
        <f t="shared" si="21"/>
        <v>信托型</v>
      </c>
    </row>
    <row r="1307" spans="1:7">
      <c r="A1307" s="6">
        <v>44135</v>
      </c>
      <c r="B1307" s="98"/>
      <c r="C1307" s="98" t="s">
        <v>268</v>
      </c>
      <c r="D1307" s="98" t="s">
        <v>300</v>
      </c>
      <c r="E1307" s="98" t="s">
        <v>259</v>
      </c>
      <c r="F1307" s="98">
        <v>1153.95</v>
      </c>
      <c r="G1307" t="str">
        <f t="shared" si="21"/>
        <v>信托型</v>
      </c>
    </row>
    <row r="1308" spans="1:7">
      <c r="A1308" s="6">
        <v>44135</v>
      </c>
      <c r="B1308" s="98"/>
      <c r="C1308" s="98" t="s">
        <v>277</v>
      </c>
      <c r="D1308" s="98" t="s">
        <v>300</v>
      </c>
      <c r="E1308" s="98" t="s">
        <v>259</v>
      </c>
      <c r="F1308" s="98">
        <v>1766.69</v>
      </c>
      <c r="G1308" t="str">
        <f t="shared" si="21"/>
        <v>信托型</v>
      </c>
    </row>
    <row r="1309" spans="1:7">
      <c r="A1309" s="6">
        <v>44135</v>
      </c>
      <c r="B1309" s="98"/>
      <c r="C1309" s="98" t="s">
        <v>305</v>
      </c>
      <c r="D1309" s="98" t="s">
        <v>300</v>
      </c>
      <c r="E1309" s="98" t="s">
        <v>259</v>
      </c>
      <c r="F1309" s="98">
        <v>1485.18</v>
      </c>
      <c r="G1309" t="str">
        <f t="shared" si="21"/>
        <v>信托型</v>
      </c>
    </row>
    <row r="1310" spans="1:7">
      <c r="A1310" s="6">
        <v>44135</v>
      </c>
      <c r="B1310" s="98"/>
      <c r="C1310" s="98" t="s">
        <v>269</v>
      </c>
      <c r="D1310" s="98" t="s">
        <v>300</v>
      </c>
      <c r="E1310" s="98" t="s">
        <v>270</v>
      </c>
      <c r="F1310" s="98">
        <v>13914.31</v>
      </c>
      <c r="G1310" t="str">
        <f t="shared" si="21"/>
        <v>信托型</v>
      </c>
    </row>
    <row r="1311" spans="1:7">
      <c r="A1311" s="6">
        <v>44135</v>
      </c>
      <c r="B1311" s="98"/>
      <c r="C1311" s="98" t="s">
        <v>278</v>
      </c>
      <c r="D1311" s="98" t="s">
        <v>300</v>
      </c>
      <c r="E1311" s="98" t="s">
        <v>270</v>
      </c>
      <c r="F1311" s="98">
        <v>385609.23</v>
      </c>
      <c r="G1311" t="str">
        <f t="shared" si="21"/>
        <v>信托型</v>
      </c>
    </row>
    <row r="1312" spans="1:7">
      <c r="A1312" s="6">
        <v>44135</v>
      </c>
      <c r="B1312" s="98"/>
      <c r="C1312" s="98" t="s">
        <v>271</v>
      </c>
      <c r="D1312" s="98" t="s">
        <v>300</v>
      </c>
      <c r="E1312" s="98" t="s">
        <v>270</v>
      </c>
      <c r="F1312" s="98">
        <v>7717.22</v>
      </c>
      <c r="G1312" t="str">
        <f t="shared" si="21"/>
        <v>信托型</v>
      </c>
    </row>
    <row r="1313" spans="1:7">
      <c r="A1313" s="6">
        <v>44135</v>
      </c>
      <c r="B1313" s="98"/>
      <c r="C1313" s="98" t="s">
        <v>261</v>
      </c>
      <c r="D1313" s="98" t="s">
        <v>300</v>
      </c>
      <c r="E1313" s="98" t="s">
        <v>259</v>
      </c>
      <c r="F1313" s="98">
        <v>2791.58</v>
      </c>
      <c r="G1313" t="str">
        <f t="shared" si="21"/>
        <v>信托型</v>
      </c>
    </row>
    <row r="1314" spans="1:7">
      <c r="A1314" s="6">
        <v>44135</v>
      </c>
      <c r="B1314" s="98"/>
      <c r="C1314" s="98" t="s">
        <v>272</v>
      </c>
      <c r="D1314" s="98" t="s">
        <v>300</v>
      </c>
      <c r="E1314" s="98" t="s">
        <v>270</v>
      </c>
      <c r="F1314" s="98">
        <v>6960.66</v>
      </c>
      <c r="G1314" t="str">
        <f t="shared" si="21"/>
        <v>信托型</v>
      </c>
    </row>
    <row r="1315" spans="1:7">
      <c r="A1315" s="6">
        <v>44135</v>
      </c>
      <c r="B1315" s="98"/>
      <c r="C1315" s="98" t="s">
        <v>286</v>
      </c>
      <c r="D1315" s="98" t="s">
        <v>300</v>
      </c>
      <c r="E1315" s="98" t="s">
        <v>259</v>
      </c>
      <c r="F1315" s="98">
        <v>4896.3500000000004</v>
      </c>
      <c r="G1315" t="str">
        <f t="shared" si="21"/>
        <v>信托型</v>
      </c>
    </row>
    <row r="1316" spans="1:7">
      <c r="A1316" s="6">
        <v>44135</v>
      </c>
      <c r="B1316" s="98" t="s">
        <v>306</v>
      </c>
      <c r="C1316" s="98" t="s">
        <v>254</v>
      </c>
      <c r="D1316" s="98" t="s">
        <v>307</v>
      </c>
      <c r="E1316" s="98" t="s">
        <v>256</v>
      </c>
      <c r="F1316" s="98">
        <v>47.83</v>
      </c>
      <c r="G1316" t="str">
        <f t="shared" si="21"/>
        <v>优先股</v>
      </c>
    </row>
    <row r="1317" spans="1:7">
      <c r="A1317" s="6">
        <v>44135</v>
      </c>
      <c r="B1317" s="98"/>
      <c r="C1317" s="98" t="s">
        <v>274</v>
      </c>
      <c r="D1317" s="98" t="s">
        <v>307</v>
      </c>
      <c r="E1317" s="98" t="s">
        <v>256</v>
      </c>
      <c r="F1317" s="98">
        <v>0.86</v>
      </c>
      <c r="G1317" t="str">
        <f t="shared" si="21"/>
        <v>优先股</v>
      </c>
    </row>
    <row r="1318" spans="1:7">
      <c r="A1318" s="6">
        <v>44135</v>
      </c>
      <c r="B1318" s="98"/>
      <c r="C1318" s="98" t="s">
        <v>263</v>
      </c>
      <c r="D1318" s="98" t="s">
        <v>307</v>
      </c>
      <c r="E1318" s="98" t="s">
        <v>256</v>
      </c>
      <c r="F1318" s="98">
        <v>1</v>
      </c>
      <c r="G1318" t="str">
        <f t="shared" si="21"/>
        <v>优先股</v>
      </c>
    </row>
    <row r="1319" spans="1:7">
      <c r="A1319" s="6">
        <v>44135</v>
      </c>
      <c r="B1319" s="98"/>
      <c r="C1319" s="98" t="s">
        <v>257</v>
      </c>
      <c r="D1319" s="98" t="s">
        <v>307</v>
      </c>
      <c r="E1319" s="98" t="s">
        <v>256</v>
      </c>
      <c r="F1319" s="98">
        <v>32.39</v>
      </c>
      <c r="G1319" t="str">
        <f t="shared" si="21"/>
        <v>优先股</v>
      </c>
    </row>
    <row r="1320" spans="1:7">
      <c r="A1320" s="6">
        <v>44135</v>
      </c>
      <c r="B1320" s="98"/>
      <c r="C1320" s="98" t="s">
        <v>276</v>
      </c>
      <c r="D1320" s="98" t="s">
        <v>307</v>
      </c>
      <c r="E1320" s="98" t="s">
        <v>256</v>
      </c>
      <c r="F1320" s="98">
        <v>24.43</v>
      </c>
      <c r="G1320" t="str">
        <f t="shared" si="21"/>
        <v>优先股</v>
      </c>
    </row>
    <row r="1321" spans="1:7">
      <c r="A1321" s="6">
        <v>44135</v>
      </c>
      <c r="B1321" s="98"/>
      <c r="C1321" s="98" t="s">
        <v>283</v>
      </c>
      <c r="D1321" s="98" t="s">
        <v>307</v>
      </c>
      <c r="E1321" s="98" t="s">
        <v>256</v>
      </c>
      <c r="F1321" s="98">
        <v>1.05</v>
      </c>
      <c r="G1321" t="str">
        <f t="shared" si="21"/>
        <v>优先股</v>
      </c>
    </row>
    <row r="1322" spans="1:7">
      <c r="A1322" s="6">
        <v>44135</v>
      </c>
      <c r="B1322" s="98"/>
      <c r="C1322" s="98" t="s">
        <v>266</v>
      </c>
      <c r="D1322" s="98" t="s">
        <v>307</v>
      </c>
      <c r="E1322" s="98" t="s">
        <v>256</v>
      </c>
      <c r="F1322" s="98">
        <v>18.78</v>
      </c>
      <c r="G1322" t="str">
        <f t="shared" si="21"/>
        <v>优先股</v>
      </c>
    </row>
    <row r="1323" spans="1:7">
      <c r="A1323" s="6">
        <v>44135</v>
      </c>
      <c r="B1323" s="98" t="s">
        <v>308</v>
      </c>
      <c r="C1323" s="98" t="s">
        <v>254</v>
      </c>
      <c r="D1323" s="98" t="s">
        <v>309</v>
      </c>
      <c r="E1323" s="98" t="s">
        <v>256</v>
      </c>
      <c r="F1323" s="98">
        <v>478.51</v>
      </c>
      <c r="G1323" t="str">
        <f t="shared" si="21"/>
        <v>货币型</v>
      </c>
    </row>
    <row r="1324" spans="1:7">
      <c r="A1324" s="6">
        <v>44135</v>
      </c>
      <c r="B1324" s="98"/>
      <c r="C1324" s="98" t="s">
        <v>274</v>
      </c>
      <c r="D1324" s="98" t="s">
        <v>309</v>
      </c>
      <c r="E1324" s="98" t="s">
        <v>256</v>
      </c>
      <c r="F1324" s="98">
        <v>1963.19</v>
      </c>
      <c r="G1324" t="str">
        <f t="shared" si="21"/>
        <v>货币型</v>
      </c>
    </row>
    <row r="1325" spans="1:7">
      <c r="A1325" s="6">
        <v>44135</v>
      </c>
      <c r="B1325" s="98"/>
      <c r="C1325" s="98" t="s">
        <v>263</v>
      </c>
      <c r="D1325" s="98" t="s">
        <v>309</v>
      </c>
      <c r="E1325" s="98" t="s">
        <v>256</v>
      </c>
      <c r="F1325" s="98">
        <v>86.55</v>
      </c>
      <c r="G1325" t="str">
        <f t="shared" si="21"/>
        <v>货币型</v>
      </c>
    </row>
    <row r="1326" spans="1:7">
      <c r="A1326" s="6">
        <v>44135</v>
      </c>
      <c r="B1326" s="98"/>
      <c r="C1326" s="98" t="s">
        <v>265</v>
      </c>
      <c r="D1326" s="98" t="s">
        <v>309</v>
      </c>
      <c r="E1326" s="98" t="s">
        <v>256</v>
      </c>
      <c r="F1326" s="98">
        <v>63.13</v>
      </c>
      <c r="G1326" t="str">
        <f t="shared" si="21"/>
        <v>货币型</v>
      </c>
    </row>
    <row r="1327" spans="1:7">
      <c r="A1327" s="6">
        <v>44135</v>
      </c>
      <c r="B1327" s="98"/>
      <c r="C1327" s="98" t="s">
        <v>257</v>
      </c>
      <c r="D1327" s="98" t="s">
        <v>309</v>
      </c>
      <c r="E1327" s="98" t="s">
        <v>256</v>
      </c>
      <c r="F1327" s="98">
        <v>907.24</v>
      </c>
      <c r="G1327" t="str">
        <f t="shared" si="21"/>
        <v>货币型</v>
      </c>
    </row>
    <row r="1328" spans="1:7">
      <c r="A1328" s="6">
        <v>44135</v>
      </c>
      <c r="B1328" s="98"/>
      <c r="C1328" s="98" t="s">
        <v>276</v>
      </c>
      <c r="D1328" s="98" t="s">
        <v>309</v>
      </c>
      <c r="E1328" s="98" t="s">
        <v>256</v>
      </c>
      <c r="F1328" s="98">
        <v>545.12</v>
      </c>
      <c r="G1328" t="str">
        <f t="shared" si="21"/>
        <v>货币型</v>
      </c>
    </row>
    <row r="1329" spans="1:7">
      <c r="A1329" s="6">
        <v>44135</v>
      </c>
      <c r="B1329" s="98"/>
      <c r="C1329" s="98" t="s">
        <v>283</v>
      </c>
      <c r="D1329" s="98" t="s">
        <v>309</v>
      </c>
      <c r="E1329" s="98" t="s">
        <v>256</v>
      </c>
      <c r="F1329" s="98">
        <v>10.23</v>
      </c>
      <c r="G1329" t="str">
        <f t="shared" si="21"/>
        <v>货币型</v>
      </c>
    </row>
    <row r="1330" spans="1:7">
      <c r="A1330" s="6">
        <v>44135</v>
      </c>
      <c r="B1330" s="98"/>
      <c r="C1330" s="98" t="s">
        <v>266</v>
      </c>
      <c r="D1330" s="98" t="s">
        <v>309</v>
      </c>
      <c r="E1330" s="98" t="s">
        <v>256</v>
      </c>
      <c r="F1330" s="98">
        <v>475.27</v>
      </c>
      <c r="G1330" t="str">
        <f t="shared" si="21"/>
        <v>货币型</v>
      </c>
    </row>
    <row r="1331" spans="1:7">
      <c r="A1331" s="6">
        <v>44135</v>
      </c>
      <c r="B1331" s="98"/>
      <c r="C1331" s="98" t="s">
        <v>289</v>
      </c>
      <c r="D1331" s="98" t="s">
        <v>309</v>
      </c>
      <c r="E1331" s="98" t="s">
        <v>259</v>
      </c>
      <c r="F1331" s="98">
        <v>1793.6</v>
      </c>
      <c r="G1331" t="str">
        <f t="shared" si="21"/>
        <v>货币型</v>
      </c>
    </row>
    <row r="1332" spans="1:7">
      <c r="A1332" s="6">
        <v>44135</v>
      </c>
      <c r="B1332" s="98"/>
      <c r="C1332" s="98" t="s">
        <v>301</v>
      </c>
      <c r="D1332" s="98" t="s">
        <v>309</v>
      </c>
      <c r="E1332" s="98" t="s">
        <v>259</v>
      </c>
      <c r="F1332" s="98">
        <v>4895.8100000000004</v>
      </c>
      <c r="G1332" t="str">
        <f t="shared" si="21"/>
        <v>货币型</v>
      </c>
    </row>
    <row r="1333" spans="1:7">
      <c r="A1333" s="6">
        <v>44135</v>
      </c>
      <c r="B1333" s="98"/>
      <c r="C1333" s="98" t="s">
        <v>284</v>
      </c>
      <c r="D1333" s="98" t="s">
        <v>309</v>
      </c>
      <c r="E1333" s="98" t="s">
        <v>259</v>
      </c>
      <c r="F1333" s="98">
        <v>525.59</v>
      </c>
      <c r="G1333" t="str">
        <f t="shared" si="21"/>
        <v>货币型</v>
      </c>
    </row>
    <row r="1334" spans="1:7">
      <c r="A1334" s="6">
        <v>44135</v>
      </c>
      <c r="B1334" s="98"/>
      <c r="C1334" s="98" t="s">
        <v>258</v>
      </c>
      <c r="D1334" s="98" t="s">
        <v>309</v>
      </c>
      <c r="E1334" s="98" t="s">
        <v>259</v>
      </c>
      <c r="F1334" s="98">
        <v>1694.29</v>
      </c>
      <c r="G1334" t="str">
        <f t="shared" si="21"/>
        <v>货币型</v>
      </c>
    </row>
    <row r="1335" spans="1:7">
      <c r="A1335" s="6">
        <v>44135</v>
      </c>
      <c r="B1335" s="98"/>
      <c r="C1335" s="98" t="s">
        <v>260</v>
      </c>
      <c r="D1335" s="98" t="s">
        <v>309</v>
      </c>
      <c r="E1335" s="98" t="s">
        <v>259</v>
      </c>
      <c r="F1335" s="98">
        <v>10765.41</v>
      </c>
      <c r="G1335" t="str">
        <f t="shared" si="21"/>
        <v>货币型</v>
      </c>
    </row>
    <row r="1336" spans="1:7">
      <c r="A1336" s="6">
        <v>44135</v>
      </c>
      <c r="B1336" s="98"/>
      <c r="C1336" s="98" t="s">
        <v>292</v>
      </c>
      <c r="D1336" s="98" t="s">
        <v>309</v>
      </c>
      <c r="E1336" s="98" t="s">
        <v>259</v>
      </c>
      <c r="F1336" s="98">
        <v>1144.82</v>
      </c>
      <c r="G1336" t="str">
        <f t="shared" si="21"/>
        <v>货币型</v>
      </c>
    </row>
    <row r="1337" spans="1:7">
      <c r="A1337" s="6">
        <v>44135</v>
      </c>
      <c r="B1337" s="98"/>
      <c r="C1337" s="98" t="s">
        <v>302</v>
      </c>
      <c r="D1337" s="98" t="s">
        <v>309</v>
      </c>
      <c r="E1337" s="98" t="s">
        <v>259</v>
      </c>
      <c r="F1337" s="98">
        <v>1092.02</v>
      </c>
      <c r="G1337" t="str">
        <f t="shared" si="21"/>
        <v>货币型</v>
      </c>
    </row>
    <row r="1338" spans="1:7">
      <c r="A1338" s="6">
        <v>44135</v>
      </c>
      <c r="B1338" s="98"/>
      <c r="C1338" s="98" t="s">
        <v>310</v>
      </c>
      <c r="D1338" s="98" t="s">
        <v>309</v>
      </c>
      <c r="E1338" s="98" t="s">
        <v>259</v>
      </c>
      <c r="F1338" s="98">
        <v>6011.97</v>
      </c>
      <c r="G1338" t="str">
        <f t="shared" si="21"/>
        <v>货币型</v>
      </c>
    </row>
    <row r="1339" spans="1:7">
      <c r="A1339" s="6">
        <v>44135</v>
      </c>
      <c r="B1339" s="98"/>
      <c r="C1339" s="98" t="s">
        <v>303</v>
      </c>
      <c r="D1339" s="98" t="s">
        <v>309</v>
      </c>
      <c r="E1339" s="98" t="s">
        <v>259</v>
      </c>
      <c r="F1339" s="98">
        <v>9212.31</v>
      </c>
      <c r="G1339" t="str">
        <f t="shared" si="21"/>
        <v>货币型</v>
      </c>
    </row>
    <row r="1340" spans="1:7">
      <c r="A1340" s="6">
        <v>44135</v>
      </c>
      <c r="B1340" s="98"/>
      <c r="C1340" s="98" t="s">
        <v>277</v>
      </c>
      <c r="D1340" s="98" t="s">
        <v>309</v>
      </c>
      <c r="E1340" s="98" t="s">
        <v>259</v>
      </c>
      <c r="F1340" s="98">
        <v>970.7</v>
      </c>
      <c r="G1340" t="str">
        <f t="shared" si="21"/>
        <v>货币型</v>
      </c>
    </row>
    <row r="1341" spans="1:7">
      <c r="A1341" s="6">
        <v>44135</v>
      </c>
      <c r="B1341" s="98"/>
      <c r="C1341" s="98" t="s">
        <v>311</v>
      </c>
      <c r="D1341" s="98" t="s">
        <v>309</v>
      </c>
      <c r="E1341" s="98" t="s">
        <v>259</v>
      </c>
      <c r="F1341" s="98">
        <v>2156.09</v>
      </c>
      <c r="G1341" t="str">
        <f t="shared" si="21"/>
        <v>货币型</v>
      </c>
    </row>
    <row r="1342" spans="1:7">
      <c r="A1342" s="6">
        <v>44135</v>
      </c>
      <c r="B1342" s="98"/>
      <c r="C1342" s="98" t="s">
        <v>269</v>
      </c>
      <c r="D1342" s="98" t="s">
        <v>309</v>
      </c>
      <c r="E1342" s="98" t="s">
        <v>270</v>
      </c>
      <c r="F1342" s="98">
        <v>11615.57</v>
      </c>
      <c r="G1342" t="str">
        <f t="shared" si="21"/>
        <v>货币型</v>
      </c>
    </row>
    <row r="1343" spans="1:7">
      <c r="A1343" s="6">
        <v>44135</v>
      </c>
      <c r="B1343" s="98"/>
      <c r="C1343" s="98" t="s">
        <v>271</v>
      </c>
      <c r="D1343" s="98" t="s">
        <v>309</v>
      </c>
      <c r="E1343" s="98" t="s">
        <v>270</v>
      </c>
      <c r="F1343" s="98">
        <v>9271.7800000000007</v>
      </c>
      <c r="G1343" t="str">
        <f t="shared" si="21"/>
        <v>货币型</v>
      </c>
    </row>
    <row r="1344" spans="1:7">
      <c r="A1344" s="6">
        <v>44135</v>
      </c>
      <c r="B1344" s="98"/>
      <c r="C1344" s="98" t="s">
        <v>261</v>
      </c>
      <c r="D1344" s="98" t="s">
        <v>309</v>
      </c>
      <c r="E1344" s="98" t="s">
        <v>259</v>
      </c>
      <c r="F1344" s="98">
        <v>1657.76</v>
      </c>
      <c r="G1344" t="str">
        <f t="shared" si="21"/>
        <v>货币型</v>
      </c>
    </row>
    <row r="1345" spans="1:7">
      <c r="A1345" s="6">
        <v>44135</v>
      </c>
      <c r="B1345" s="98"/>
      <c r="C1345" s="98" t="s">
        <v>272</v>
      </c>
      <c r="D1345" s="98" t="s">
        <v>309</v>
      </c>
      <c r="E1345" s="98" t="s">
        <v>270</v>
      </c>
      <c r="F1345" s="98">
        <v>3840.4</v>
      </c>
      <c r="G1345" t="str">
        <f t="shared" si="21"/>
        <v>货币型</v>
      </c>
    </row>
    <row r="1346" spans="1:7">
      <c r="A1346" s="6">
        <v>44135</v>
      </c>
      <c r="B1346" s="98"/>
      <c r="C1346" s="98" t="s">
        <v>286</v>
      </c>
      <c r="D1346" s="98" t="s">
        <v>309</v>
      </c>
      <c r="E1346" s="98" t="s">
        <v>259</v>
      </c>
      <c r="F1346" s="98">
        <v>4266.57</v>
      </c>
      <c r="G1346" t="str">
        <f t="shared" si="21"/>
        <v>货币型</v>
      </c>
    </row>
    <row r="1347" spans="1:7">
      <c r="A1347" s="6">
        <v>44135</v>
      </c>
      <c r="B1347" s="98" t="s">
        <v>312</v>
      </c>
      <c r="C1347" s="98" t="s">
        <v>313</v>
      </c>
      <c r="D1347" s="98" t="s">
        <v>314</v>
      </c>
      <c r="E1347" s="98" t="s">
        <v>259</v>
      </c>
      <c r="F1347" s="98">
        <v>16455.43</v>
      </c>
      <c r="G1347" t="str">
        <f t="shared" ref="G1347:G1410" si="22">VLOOKUP(D1347,L:N,3,0)</f>
        <v>存款型</v>
      </c>
    </row>
    <row r="1348" spans="1:7">
      <c r="A1348" s="6">
        <v>44135</v>
      </c>
      <c r="B1348" s="98"/>
      <c r="C1348" s="98" t="s">
        <v>315</v>
      </c>
      <c r="D1348" s="98" t="s">
        <v>314</v>
      </c>
      <c r="E1348" s="98" t="s">
        <v>259</v>
      </c>
      <c r="F1348" s="98">
        <v>4388.12</v>
      </c>
      <c r="G1348" t="str">
        <f t="shared" si="22"/>
        <v>存款型</v>
      </c>
    </row>
    <row r="1349" spans="1:7">
      <c r="A1349" s="6">
        <v>44135</v>
      </c>
      <c r="B1349" s="98" t="s">
        <v>316</v>
      </c>
      <c r="C1349" s="98" t="s">
        <v>274</v>
      </c>
      <c r="D1349" s="98" t="s">
        <v>317</v>
      </c>
      <c r="E1349" s="98" t="s">
        <v>256</v>
      </c>
      <c r="F1349" s="98">
        <v>340.86</v>
      </c>
      <c r="G1349" t="str">
        <f t="shared" si="22"/>
        <v>基础设施债权</v>
      </c>
    </row>
    <row r="1350" spans="1:7">
      <c r="A1350" s="6">
        <v>44135</v>
      </c>
      <c r="B1350" s="98"/>
      <c r="C1350" s="98" t="s">
        <v>257</v>
      </c>
      <c r="D1350" s="98" t="s">
        <v>317</v>
      </c>
      <c r="E1350" s="98" t="s">
        <v>256</v>
      </c>
      <c r="F1350" s="98">
        <v>147.47999999999999</v>
      </c>
      <c r="G1350" t="str">
        <f t="shared" si="22"/>
        <v>基础设施债权</v>
      </c>
    </row>
    <row r="1351" spans="1:7">
      <c r="A1351" s="6">
        <v>44135</v>
      </c>
      <c r="B1351" s="98" t="s">
        <v>318</v>
      </c>
      <c r="C1351" s="98" t="s">
        <v>254</v>
      </c>
      <c r="D1351" s="98" t="s">
        <v>319</v>
      </c>
      <c r="E1351" s="98" t="s">
        <v>256</v>
      </c>
      <c r="F1351" s="98">
        <v>21.33</v>
      </c>
      <c r="G1351" t="str">
        <f t="shared" si="22"/>
        <v>优先股</v>
      </c>
    </row>
    <row r="1352" spans="1:7">
      <c r="A1352" s="6">
        <v>44135</v>
      </c>
      <c r="B1352" s="98"/>
      <c r="C1352" s="98" t="s">
        <v>274</v>
      </c>
      <c r="D1352" s="98" t="s">
        <v>319</v>
      </c>
      <c r="E1352" s="98" t="s">
        <v>256</v>
      </c>
      <c r="F1352" s="98">
        <v>110.11</v>
      </c>
      <c r="G1352" t="str">
        <f t="shared" si="22"/>
        <v>优先股</v>
      </c>
    </row>
    <row r="1353" spans="1:7">
      <c r="A1353" s="6">
        <v>44135</v>
      </c>
      <c r="B1353" s="98"/>
      <c r="C1353" s="98" t="s">
        <v>257</v>
      </c>
      <c r="D1353" s="98" t="s">
        <v>319</v>
      </c>
      <c r="E1353" s="98" t="s">
        <v>256</v>
      </c>
      <c r="F1353" s="98">
        <v>20.64</v>
      </c>
      <c r="G1353" t="str">
        <f t="shared" si="22"/>
        <v>优先股</v>
      </c>
    </row>
    <row r="1354" spans="1:7">
      <c r="A1354" s="6">
        <v>44135</v>
      </c>
      <c r="B1354" s="98"/>
      <c r="C1354" s="98" t="s">
        <v>276</v>
      </c>
      <c r="D1354" s="98" t="s">
        <v>319</v>
      </c>
      <c r="E1354" s="98" t="s">
        <v>256</v>
      </c>
      <c r="F1354" s="98">
        <v>9.65</v>
      </c>
      <c r="G1354" t="str">
        <f t="shared" si="22"/>
        <v>优先股</v>
      </c>
    </row>
    <row r="1355" spans="1:7">
      <c r="A1355" s="6">
        <v>44135</v>
      </c>
      <c r="B1355" s="98" t="s">
        <v>320</v>
      </c>
      <c r="C1355" s="98" t="s">
        <v>274</v>
      </c>
      <c r="D1355" s="98" t="s">
        <v>321</v>
      </c>
      <c r="E1355" s="98" t="s">
        <v>256</v>
      </c>
      <c r="F1355" s="98">
        <v>399.09</v>
      </c>
      <c r="G1355" t="str">
        <f t="shared" si="22"/>
        <v>信托型</v>
      </c>
    </row>
    <row r="1356" spans="1:7">
      <c r="A1356" s="6">
        <v>44135</v>
      </c>
      <c r="B1356" s="98"/>
      <c r="C1356" s="98" t="s">
        <v>257</v>
      </c>
      <c r="D1356" s="98" t="s">
        <v>321</v>
      </c>
      <c r="E1356" s="98" t="s">
        <v>256</v>
      </c>
      <c r="F1356" s="98">
        <v>69.849999999999994</v>
      </c>
      <c r="G1356" t="str">
        <f t="shared" si="22"/>
        <v>信托型</v>
      </c>
    </row>
    <row r="1357" spans="1:7">
      <c r="A1357" s="6">
        <v>44135</v>
      </c>
      <c r="B1357" s="98"/>
      <c r="C1357" s="98" t="s">
        <v>276</v>
      </c>
      <c r="D1357" s="98" t="s">
        <v>321</v>
      </c>
      <c r="E1357" s="98" t="s">
        <v>256</v>
      </c>
      <c r="F1357" s="98">
        <v>17.96</v>
      </c>
      <c r="G1357" t="str">
        <f t="shared" si="22"/>
        <v>信托型</v>
      </c>
    </row>
    <row r="1358" spans="1:7">
      <c r="A1358" s="6">
        <v>44135</v>
      </c>
      <c r="B1358" s="98"/>
      <c r="C1358" s="98" t="s">
        <v>266</v>
      </c>
      <c r="D1358" s="98" t="s">
        <v>321</v>
      </c>
      <c r="E1358" s="98" t="s">
        <v>256</v>
      </c>
      <c r="F1358" s="98">
        <v>19.7</v>
      </c>
      <c r="G1358" t="str">
        <f t="shared" si="22"/>
        <v>信托型</v>
      </c>
    </row>
    <row r="1359" spans="1:7">
      <c r="A1359" s="6">
        <v>44135</v>
      </c>
      <c r="B1359" s="98"/>
      <c r="C1359" s="98" t="s">
        <v>284</v>
      </c>
      <c r="D1359" s="98" t="s">
        <v>321</v>
      </c>
      <c r="E1359" s="98" t="s">
        <v>259</v>
      </c>
      <c r="F1359" s="98">
        <v>164.31</v>
      </c>
      <c r="G1359" t="str">
        <f t="shared" si="22"/>
        <v>信托型</v>
      </c>
    </row>
    <row r="1360" spans="1:7">
      <c r="A1360" s="6">
        <v>44135</v>
      </c>
      <c r="B1360" s="98" t="s">
        <v>322</v>
      </c>
      <c r="C1360" s="98" t="s">
        <v>274</v>
      </c>
      <c r="D1360" s="98" t="s">
        <v>323</v>
      </c>
      <c r="E1360" s="98" t="s">
        <v>256</v>
      </c>
      <c r="F1360" s="98">
        <v>61.78</v>
      </c>
      <c r="G1360" t="str">
        <f t="shared" si="22"/>
        <v>混合型</v>
      </c>
    </row>
    <row r="1361" spans="1:7">
      <c r="A1361" s="6">
        <v>44135</v>
      </c>
      <c r="B1361" s="98"/>
      <c r="C1361" s="98" t="s">
        <v>263</v>
      </c>
      <c r="D1361" s="98" t="s">
        <v>323</v>
      </c>
      <c r="E1361" s="98" t="s">
        <v>256</v>
      </c>
      <c r="F1361" s="98">
        <v>4.13</v>
      </c>
      <c r="G1361" t="str">
        <f t="shared" si="22"/>
        <v>混合型</v>
      </c>
    </row>
    <row r="1362" spans="1:7">
      <c r="A1362" s="6">
        <v>44135</v>
      </c>
      <c r="B1362" s="98"/>
      <c r="C1362" s="98" t="s">
        <v>257</v>
      </c>
      <c r="D1362" s="98" t="s">
        <v>323</v>
      </c>
      <c r="E1362" s="98" t="s">
        <v>256</v>
      </c>
      <c r="F1362" s="98">
        <v>421.02</v>
      </c>
      <c r="G1362" t="str">
        <f t="shared" si="22"/>
        <v>混合型</v>
      </c>
    </row>
    <row r="1363" spans="1:7">
      <c r="A1363" s="6">
        <v>44135</v>
      </c>
      <c r="B1363" s="98"/>
      <c r="C1363" s="98" t="s">
        <v>283</v>
      </c>
      <c r="D1363" s="98" t="s">
        <v>323</v>
      </c>
      <c r="E1363" s="98" t="s">
        <v>256</v>
      </c>
      <c r="F1363" s="98">
        <v>9.31</v>
      </c>
      <c r="G1363" t="str">
        <f t="shared" si="22"/>
        <v>混合型</v>
      </c>
    </row>
    <row r="1364" spans="1:7">
      <c r="A1364" s="6">
        <v>44135</v>
      </c>
      <c r="B1364" s="98"/>
      <c r="C1364" s="98" t="s">
        <v>266</v>
      </c>
      <c r="D1364" s="98" t="s">
        <v>323</v>
      </c>
      <c r="E1364" s="98" t="s">
        <v>256</v>
      </c>
      <c r="F1364" s="98">
        <v>45.24</v>
      </c>
      <c r="G1364" t="str">
        <f t="shared" si="22"/>
        <v>混合型</v>
      </c>
    </row>
    <row r="1365" spans="1:7">
      <c r="A1365" s="6">
        <v>44135</v>
      </c>
      <c r="B1365" s="98"/>
      <c r="C1365" s="98" t="s">
        <v>289</v>
      </c>
      <c r="D1365" s="98" t="s">
        <v>323</v>
      </c>
      <c r="E1365" s="98" t="s">
        <v>259</v>
      </c>
      <c r="F1365" s="98">
        <v>3641.03</v>
      </c>
      <c r="G1365" t="str">
        <f t="shared" si="22"/>
        <v>混合型</v>
      </c>
    </row>
    <row r="1366" spans="1:7">
      <c r="A1366" s="6">
        <v>44135</v>
      </c>
      <c r="B1366" s="98"/>
      <c r="C1366" s="98" t="s">
        <v>260</v>
      </c>
      <c r="D1366" s="98" t="s">
        <v>323</v>
      </c>
      <c r="E1366" s="98" t="s">
        <v>259</v>
      </c>
      <c r="F1366" s="98">
        <v>3025.33</v>
      </c>
      <c r="G1366" t="str">
        <f t="shared" si="22"/>
        <v>混合型</v>
      </c>
    </row>
    <row r="1367" spans="1:7">
      <c r="A1367" s="6">
        <v>44135</v>
      </c>
      <c r="B1367" s="98"/>
      <c r="C1367" s="98" t="s">
        <v>277</v>
      </c>
      <c r="D1367" s="98" t="s">
        <v>323</v>
      </c>
      <c r="E1367" s="98" t="s">
        <v>259</v>
      </c>
      <c r="F1367" s="98">
        <v>351.79</v>
      </c>
      <c r="G1367" t="str">
        <f t="shared" si="22"/>
        <v>混合型</v>
      </c>
    </row>
    <row r="1368" spans="1:7">
      <c r="A1368" s="6">
        <v>44135</v>
      </c>
      <c r="B1368" s="98"/>
      <c r="C1368" s="98" t="s">
        <v>278</v>
      </c>
      <c r="D1368" s="98" t="s">
        <v>323</v>
      </c>
      <c r="E1368" s="98" t="s">
        <v>270</v>
      </c>
      <c r="F1368" s="98">
        <v>17674.38</v>
      </c>
      <c r="G1368" t="str">
        <f t="shared" si="22"/>
        <v>混合型</v>
      </c>
    </row>
    <row r="1369" spans="1:7">
      <c r="A1369" s="6">
        <v>44135</v>
      </c>
      <c r="B1369" s="98" t="s">
        <v>324</v>
      </c>
      <c r="C1369" s="98" t="s">
        <v>254</v>
      </c>
      <c r="D1369" s="98" t="s">
        <v>325</v>
      </c>
      <c r="E1369" s="98" t="s">
        <v>256</v>
      </c>
      <c r="F1369" s="98">
        <v>198.22</v>
      </c>
      <c r="G1369" t="str">
        <f t="shared" si="22"/>
        <v>股票型</v>
      </c>
    </row>
    <row r="1370" spans="1:7">
      <c r="A1370" s="6">
        <v>44135</v>
      </c>
      <c r="B1370" s="98"/>
      <c r="C1370" s="98" t="s">
        <v>274</v>
      </c>
      <c r="D1370" s="98" t="s">
        <v>325</v>
      </c>
      <c r="E1370" s="98" t="s">
        <v>256</v>
      </c>
      <c r="F1370" s="98">
        <v>26966.42</v>
      </c>
      <c r="G1370" t="str">
        <f t="shared" si="22"/>
        <v>股票型</v>
      </c>
    </row>
    <row r="1371" spans="1:7">
      <c r="A1371" s="6">
        <v>44135</v>
      </c>
      <c r="B1371" s="98"/>
      <c r="C1371" s="98" t="s">
        <v>265</v>
      </c>
      <c r="D1371" s="98" t="s">
        <v>325</v>
      </c>
      <c r="E1371" s="98" t="s">
        <v>256</v>
      </c>
      <c r="F1371" s="98">
        <v>43.06</v>
      </c>
      <c r="G1371" t="str">
        <f t="shared" si="22"/>
        <v>股票型</v>
      </c>
    </row>
    <row r="1372" spans="1:7">
      <c r="A1372" s="6">
        <v>44135</v>
      </c>
      <c r="B1372" s="98"/>
      <c r="C1372" s="98" t="s">
        <v>257</v>
      </c>
      <c r="D1372" s="98" t="s">
        <v>325</v>
      </c>
      <c r="E1372" s="98" t="s">
        <v>256</v>
      </c>
      <c r="F1372" s="98">
        <v>113.18</v>
      </c>
      <c r="G1372" t="str">
        <f t="shared" si="22"/>
        <v>股票型</v>
      </c>
    </row>
    <row r="1373" spans="1:7">
      <c r="A1373" s="6">
        <v>44135</v>
      </c>
      <c r="B1373" s="98"/>
      <c r="C1373" s="98" t="s">
        <v>260</v>
      </c>
      <c r="D1373" s="98" t="s">
        <v>325</v>
      </c>
      <c r="E1373" s="98" t="s">
        <v>259</v>
      </c>
      <c r="F1373" s="98">
        <v>3308.29</v>
      </c>
      <c r="G1373" t="str">
        <f t="shared" si="22"/>
        <v>股票型</v>
      </c>
    </row>
    <row r="1374" spans="1:7">
      <c r="A1374" s="6">
        <v>44135</v>
      </c>
      <c r="B1374" s="98" t="s">
        <v>326</v>
      </c>
      <c r="C1374" s="98" t="s">
        <v>254</v>
      </c>
      <c r="D1374" s="98" t="s">
        <v>327</v>
      </c>
      <c r="E1374" s="98" t="s">
        <v>256</v>
      </c>
      <c r="F1374" s="98">
        <v>3761.6</v>
      </c>
      <c r="G1374" t="str">
        <f t="shared" si="22"/>
        <v>股票型</v>
      </c>
    </row>
    <row r="1375" spans="1:7">
      <c r="A1375" s="6">
        <v>44135</v>
      </c>
      <c r="B1375" s="98"/>
      <c r="C1375" s="98" t="s">
        <v>274</v>
      </c>
      <c r="D1375" s="98" t="s">
        <v>327</v>
      </c>
      <c r="E1375" s="98" t="s">
        <v>256</v>
      </c>
      <c r="F1375" s="98">
        <v>5115.8100000000004</v>
      </c>
      <c r="G1375" t="str">
        <f t="shared" si="22"/>
        <v>股票型</v>
      </c>
    </row>
    <row r="1376" spans="1:7">
      <c r="A1376" s="6">
        <v>44135</v>
      </c>
      <c r="B1376" s="98"/>
      <c r="C1376" s="98" t="s">
        <v>257</v>
      </c>
      <c r="D1376" s="98" t="s">
        <v>327</v>
      </c>
      <c r="E1376" s="98" t="s">
        <v>256</v>
      </c>
      <c r="F1376" s="98">
        <v>6.03</v>
      </c>
      <c r="G1376" t="str">
        <f t="shared" si="22"/>
        <v>股票型</v>
      </c>
    </row>
    <row r="1377" spans="1:7">
      <c r="A1377" s="6">
        <v>44135</v>
      </c>
      <c r="B1377" s="98"/>
      <c r="C1377" s="98" t="s">
        <v>301</v>
      </c>
      <c r="D1377" s="98" t="s">
        <v>327</v>
      </c>
      <c r="E1377" s="98" t="s">
        <v>259</v>
      </c>
      <c r="F1377" s="98">
        <v>2792.28</v>
      </c>
      <c r="G1377" t="str">
        <f t="shared" si="22"/>
        <v>股票型</v>
      </c>
    </row>
    <row r="1378" spans="1:7">
      <c r="A1378" s="6">
        <v>44135</v>
      </c>
      <c r="B1378" s="98"/>
      <c r="C1378" s="98" t="s">
        <v>260</v>
      </c>
      <c r="D1378" s="98" t="s">
        <v>327</v>
      </c>
      <c r="E1378" s="98" t="s">
        <v>259</v>
      </c>
      <c r="F1378" s="98">
        <v>3448.48</v>
      </c>
      <c r="G1378" t="str">
        <f t="shared" si="22"/>
        <v>股票型</v>
      </c>
    </row>
    <row r="1379" spans="1:7">
      <c r="A1379" s="6">
        <v>44135</v>
      </c>
      <c r="B1379" s="98" t="s">
        <v>328</v>
      </c>
      <c r="C1379" s="98" t="s">
        <v>274</v>
      </c>
      <c r="D1379" s="98" t="s">
        <v>329</v>
      </c>
      <c r="E1379" s="98" t="s">
        <v>256</v>
      </c>
      <c r="F1379" s="98">
        <v>437.86</v>
      </c>
      <c r="G1379" t="str">
        <f t="shared" si="22"/>
        <v>基础设施债权</v>
      </c>
    </row>
    <row r="1380" spans="1:7">
      <c r="A1380" s="6">
        <v>44135</v>
      </c>
      <c r="B1380" s="98"/>
      <c r="C1380" s="98" t="s">
        <v>257</v>
      </c>
      <c r="D1380" s="98" t="s">
        <v>329</v>
      </c>
      <c r="E1380" s="98" t="s">
        <v>256</v>
      </c>
      <c r="F1380" s="98">
        <v>131.56</v>
      </c>
      <c r="G1380" t="str">
        <f t="shared" si="22"/>
        <v>基础设施债权</v>
      </c>
    </row>
    <row r="1381" spans="1:7">
      <c r="A1381" s="6">
        <v>44135</v>
      </c>
      <c r="B1381" s="98"/>
      <c r="C1381" s="98" t="s">
        <v>266</v>
      </c>
      <c r="D1381" s="98" t="s">
        <v>329</v>
      </c>
      <c r="E1381" s="98" t="s">
        <v>256</v>
      </c>
      <c r="F1381" s="98">
        <v>46.09</v>
      </c>
      <c r="G1381" t="str">
        <f t="shared" si="22"/>
        <v>基础设施债权</v>
      </c>
    </row>
    <row r="1382" spans="1:7">
      <c r="A1382" s="6">
        <v>44135</v>
      </c>
      <c r="B1382" s="98" t="s">
        <v>330</v>
      </c>
      <c r="C1382" s="98" t="s">
        <v>274</v>
      </c>
      <c r="D1382" s="98" t="s">
        <v>331</v>
      </c>
      <c r="E1382" s="98" t="s">
        <v>256</v>
      </c>
      <c r="F1382" s="98">
        <v>2687.77</v>
      </c>
      <c r="G1382" t="str">
        <f t="shared" si="22"/>
        <v>固收型</v>
      </c>
    </row>
    <row r="1383" spans="1:7">
      <c r="A1383" s="6">
        <v>44135</v>
      </c>
      <c r="B1383" s="98"/>
      <c r="C1383" s="98" t="s">
        <v>263</v>
      </c>
      <c r="D1383" s="98" t="s">
        <v>331</v>
      </c>
      <c r="E1383" s="98" t="s">
        <v>256</v>
      </c>
      <c r="F1383" s="98">
        <v>4.04</v>
      </c>
      <c r="G1383" t="str">
        <f t="shared" si="22"/>
        <v>固收型</v>
      </c>
    </row>
    <row r="1384" spans="1:7">
      <c r="A1384" s="6">
        <v>44135</v>
      </c>
      <c r="B1384" s="98"/>
      <c r="C1384" s="98" t="s">
        <v>265</v>
      </c>
      <c r="D1384" s="98" t="s">
        <v>331</v>
      </c>
      <c r="E1384" s="98" t="s">
        <v>256</v>
      </c>
      <c r="F1384" s="98">
        <v>32.82</v>
      </c>
      <c r="G1384" t="str">
        <f t="shared" si="22"/>
        <v>固收型</v>
      </c>
    </row>
    <row r="1385" spans="1:7">
      <c r="A1385" s="6">
        <v>44135</v>
      </c>
      <c r="B1385" s="98"/>
      <c r="C1385" s="98" t="s">
        <v>257</v>
      </c>
      <c r="D1385" s="98" t="s">
        <v>331</v>
      </c>
      <c r="E1385" s="98" t="s">
        <v>256</v>
      </c>
      <c r="F1385" s="98">
        <v>259.32</v>
      </c>
      <c r="G1385" t="str">
        <f t="shared" si="22"/>
        <v>固收型</v>
      </c>
    </row>
    <row r="1386" spans="1:7">
      <c r="A1386" s="6">
        <v>44135</v>
      </c>
      <c r="B1386" s="98"/>
      <c r="C1386" s="98" t="s">
        <v>276</v>
      </c>
      <c r="D1386" s="98" t="s">
        <v>331</v>
      </c>
      <c r="E1386" s="98" t="s">
        <v>256</v>
      </c>
      <c r="F1386" s="98">
        <v>753.93</v>
      </c>
      <c r="G1386" t="str">
        <f t="shared" si="22"/>
        <v>固收型</v>
      </c>
    </row>
    <row r="1387" spans="1:7">
      <c r="A1387" s="6">
        <v>44135</v>
      </c>
      <c r="B1387" s="98"/>
      <c r="C1387" s="98" t="s">
        <v>283</v>
      </c>
      <c r="D1387" s="98" t="s">
        <v>331</v>
      </c>
      <c r="E1387" s="98" t="s">
        <v>256</v>
      </c>
      <c r="F1387" s="98">
        <v>20.39</v>
      </c>
      <c r="G1387" t="str">
        <f t="shared" si="22"/>
        <v>固收型</v>
      </c>
    </row>
    <row r="1388" spans="1:7">
      <c r="A1388" s="6">
        <v>44135</v>
      </c>
      <c r="B1388" s="98"/>
      <c r="C1388" s="98" t="s">
        <v>266</v>
      </c>
      <c r="D1388" s="98" t="s">
        <v>331</v>
      </c>
      <c r="E1388" s="98" t="s">
        <v>256</v>
      </c>
      <c r="F1388" s="98">
        <v>611.85</v>
      </c>
      <c r="G1388" t="str">
        <f t="shared" si="22"/>
        <v>固收型</v>
      </c>
    </row>
    <row r="1389" spans="1:7">
      <c r="A1389" s="6">
        <v>44135</v>
      </c>
      <c r="B1389" s="98"/>
      <c r="C1389" s="98" t="s">
        <v>267</v>
      </c>
      <c r="D1389" s="98" t="s">
        <v>331</v>
      </c>
      <c r="E1389" s="98" t="s">
        <v>259</v>
      </c>
      <c r="F1389" s="98">
        <v>3430.32</v>
      </c>
      <c r="G1389" t="str">
        <f t="shared" si="22"/>
        <v>固收型</v>
      </c>
    </row>
    <row r="1390" spans="1:7">
      <c r="A1390" s="6">
        <v>44135</v>
      </c>
      <c r="B1390" s="98"/>
      <c r="C1390" s="98" t="s">
        <v>290</v>
      </c>
      <c r="D1390" s="98" t="s">
        <v>331</v>
      </c>
      <c r="E1390" s="98" t="s">
        <v>259</v>
      </c>
      <c r="F1390" s="98">
        <v>11261.41</v>
      </c>
      <c r="G1390" t="str">
        <f t="shared" si="22"/>
        <v>固收型</v>
      </c>
    </row>
    <row r="1391" spans="1:7">
      <c r="A1391" s="6">
        <v>44135</v>
      </c>
      <c r="B1391" s="98"/>
      <c r="C1391" s="98" t="s">
        <v>284</v>
      </c>
      <c r="D1391" s="98" t="s">
        <v>331</v>
      </c>
      <c r="E1391" s="98" t="s">
        <v>259</v>
      </c>
      <c r="F1391" s="98">
        <v>2824.01</v>
      </c>
      <c r="G1391" t="str">
        <f t="shared" si="22"/>
        <v>固收型</v>
      </c>
    </row>
    <row r="1392" spans="1:7">
      <c r="A1392" s="6">
        <v>44135</v>
      </c>
      <c r="B1392" s="98"/>
      <c r="C1392" s="98" t="s">
        <v>258</v>
      </c>
      <c r="D1392" s="98" t="s">
        <v>331</v>
      </c>
      <c r="E1392" s="98" t="s">
        <v>259</v>
      </c>
      <c r="F1392" s="98">
        <v>4930.41</v>
      </c>
      <c r="G1392" t="str">
        <f t="shared" si="22"/>
        <v>固收型</v>
      </c>
    </row>
    <row r="1393" spans="1:7">
      <c r="A1393" s="6">
        <v>44135</v>
      </c>
      <c r="B1393" s="98"/>
      <c r="C1393" s="98" t="s">
        <v>261</v>
      </c>
      <c r="D1393" s="98" t="s">
        <v>331</v>
      </c>
      <c r="E1393" s="98" t="s">
        <v>259</v>
      </c>
      <c r="F1393" s="98">
        <v>267.68</v>
      </c>
      <c r="G1393" t="str">
        <f t="shared" si="22"/>
        <v>固收型</v>
      </c>
    </row>
    <row r="1394" spans="1:7">
      <c r="A1394" s="6">
        <v>44135</v>
      </c>
      <c r="B1394" s="98" t="s">
        <v>332</v>
      </c>
      <c r="C1394" s="98" t="s">
        <v>254</v>
      </c>
      <c r="D1394" s="98" t="s">
        <v>333</v>
      </c>
      <c r="E1394" s="98" t="s">
        <v>256</v>
      </c>
      <c r="F1394" s="98">
        <v>2609.98</v>
      </c>
      <c r="G1394" t="str">
        <f t="shared" si="22"/>
        <v>固收型</v>
      </c>
    </row>
    <row r="1395" spans="1:7">
      <c r="A1395" s="6">
        <v>44135</v>
      </c>
      <c r="B1395" s="98"/>
      <c r="C1395" s="98" t="s">
        <v>274</v>
      </c>
      <c r="D1395" s="98" t="s">
        <v>333</v>
      </c>
      <c r="E1395" s="98" t="s">
        <v>256</v>
      </c>
      <c r="F1395" s="98">
        <v>5210.55</v>
      </c>
      <c r="G1395" t="str">
        <f t="shared" si="22"/>
        <v>固收型</v>
      </c>
    </row>
    <row r="1396" spans="1:7">
      <c r="A1396" s="6">
        <v>44135</v>
      </c>
      <c r="B1396" s="98"/>
      <c r="C1396" s="98" t="s">
        <v>265</v>
      </c>
      <c r="D1396" s="98" t="s">
        <v>333</v>
      </c>
      <c r="E1396" s="98" t="s">
        <v>256</v>
      </c>
      <c r="F1396" s="98">
        <v>57.59</v>
      </c>
      <c r="G1396" t="str">
        <f t="shared" si="22"/>
        <v>固收型</v>
      </c>
    </row>
    <row r="1397" spans="1:7">
      <c r="A1397" s="6">
        <v>44135</v>
      </c>
      <c r="B1397" s="98"/>
      <c r="C1397" s="98" t="s">
        <v>257</v>
      </c>
      <c r="D1397" s="98" t="s">
        <v>333</v>
      </c>
      <c r="E1397" s="98" t="s">
        <v>256</v>
      </c>
      <c r="F1397" s="98">
        <v>603.15</v>
      </c>
      <c r="G1397" t="str">
        <f t="shared" si="22"/>
        <v>固收型</v>
      </c>
    </row>
    <row r="1398" spans="1:7">
      <c r="A1398" s="6">
        <v>44135</v>
      </c>
      <c r="B1398" s="98"/>
      <c r="C1398" s="98" t="s">
        <v>276</v>
      </c>
      <c r="D1398" s="98" t="s">
        <v>333</v>
      </c>
      <c r="E1398" s="98" t="s">
        <v>256</v>
      </c>
      <c r="F1398" s="98">
        <v>1978.28</v>
      </c>
      <c r="G1398" t="str">
        <f t="shared" si="22"/>
        <v>固收型</v>
      </c>
    </row>
    <row r="1399" spans="1:7">
      <c r="A1399" s="6">
        <v>44135</v>
      </c>
      <c r="B1399" s="98"/>
      <c r="C1399" s="98" t="s">
        <v>283</v>
      </c>
      <c r="D1399" s="98" t="s">
        <v>333</v>
      </c>
      <c r="E1399" s="98" t="s">
        <v>256</v>
      </c>
      <c r="F1399" s="98">
        <v>11.06</v>
      </c>
      <c r="G1399" t="str">
        <f t="shared" si="22"/>
        <v>固收型</v>
      </c>
    </row>
    <row r="1400" spans="1:7">
      <c r="A1400" s="6">
        <v>44135</v>
      </c>
      <c r="B1400" s="98"/>
      <c r="C1400" s="98" t="s">
        <v>266</v>
      </c>
      <c r="D1400" s="98" t="s">
        <v>333</v>
      </c>
      <c r="E1400" s="98" t="s">
        <v>256</v>
      </c>
      <c r="F1400" s="98">
        <v>230.79</v>
      </c>
      <c r="G1400" t="str">
        <f t="shared" si="22"/>
        <v>固收型</v>
      </c>
    </row>
    <row r="1401" spans="1:7">
      <c r="A1401" s="6">
        <v>44135</v>
      </c>
      <c r="B1401" s="98"/>
      <c r="C1401" s="98" t="s">
        <v>289</v>
      </c>
      <c r="D1401" s="98" t="s">
        <v>333</v>
      </c>
      <c r="E1401" s="98" t="s">
        <v>259</v>
      </c>
      <c r="F1401" s="98">
        <v>15714.99</v>
      </c>
      <c r="G1401" t="str">
        <f t="shared" si="22"/>
        <v>固收型</v>
      </c>
    </row>
    <row r="1402" spans="1:7">
      <c r="A1402" s="6">
        <v>44135</v>
      </c>
      <c r="B1402" s="98"/>
      <c r="C1402" s="98" t="s">
        <v>267</v>
      </c>
      <c r="D1402" s="98" t="s">
        <v>333</v>
      </c>
      <c r="E1402" s="98" t="s">
        <v>259</v>
      </c>
      <c r="F1402" s="98">
        <v>3098.01</v>
      </c>
      <c r="G1402" t="str">
        <f t="shared" si="22"/>
        <v>固收型</v>
      </c>
    </row>
    <row r="1403" spans="1:7">
      <c r="A1403" s="6">
        <v>44135</v>
      </c>
      <c r="B1403" s="98"/>
      <c r="C1403" s="98" t="s">
        <v>290</v>
      </c>
      <c r="D1403" s="98" t="s">
        <v>333</v>
      </c>
      <c r="E1403" s="98" t="s">
        <v>259</v>
      </c>
      <c r="F1403" s="98">
        <v>2839.38</v>
      </c>
      <c r="G1403" t="str">
        <f t="shared" si="22"/>
        <v>固收型</v>
      </c>
    </row>
    <row r="1404" spans="1:7">
      <c r="A1404" s="6">
        <v>44135</v>
      </c>
      <c r="B1404" s="98"/>
      <c r="C1404" s="98" t="s">
        <v>284</v>
      </c>
      <c r="D1404" s="98" t="s">
        <v>333</v>
      </c>
      <c r="E1404" s="98" t="s">
        <v>259</v>
      </c>
      <c r="F1404" s="98">
        <v>2409.3200000000002</v>
      </c>
      <c r="G1404" t="str">
        <f t="shared" si="22"/>
        <v>固收型</v>
      </c>
    </row>
    <row r="1405" spans="1:7">
      <c r="A1405" s="6">
        <v>44135</v>
      </c>
      <c r="B1405" s="98"/>
      <c r="C1405" s="98" t="s">
        <v>268</v>
      </c>
      <c r="D1405" s="98" t="s">
        <v>333</v>
      </c>
      <c r="E1405" s="98" t="s">
        <v>259</v>
      </c>
      <c r="F1405" s="98">
        <v>9310.61</v>
      </c>
      <c r="G1405" t="str">
        <f t="shared" si="22"/>
        <v>固收型</v>
      </c>
    </row>
    <row r="1406" spans="1:7">
      <c r="A1406" s="6">
        <v>44135</v>
      </c>
      <c r="B1406" s="98"/>
      <c r="C1406" s="98" t="s">
        <v>277</v>
      </c>
      <c r="D1406" s="98" t="s">
        <v>333</v>
      </c>
      <c r="E1406" s="98" t="s">
        <v>259</v>
      </c>
      <c r="F1406" s="98">
        <v>478.21</v>
      </c>
      <c r="G1406" t="str">
        <f t="shared" si="22"/>
        <v>固收型</v>
      </c>
    </row>
    <row r="1407" spans="1:7">
      <c r="A1407" s="6">
        <v>44135</v>
      </c>
      <c r="B1407" s="98"/>
      <c r="C1407" s="98" t="s">
        <v>261</v>
      </c>
      <c r="D1407" s="98" t="s">
        <v>333</v>
      </c>
      <c r="E1407" s="98" t="s">
        <v>259</v>
      </c>
      <c r="F1407" s="98">
        <v>260.77</v>
      </c>
      <c r="G1407" t="str">
        <f t="shared" si="22"/>
        <v>固收型</v>
      </c>
    </row>
    <row r="1408" spans="1:7">
      <c r="A1408" s="6">
        <v>44135</v>
      </c>
      <c r="B1408" s="98"/>
      <c r="C1408" s="98" t="s">
        <v>286</v>
      </c>
      <c r="D1408" s="98" t="s">
        <v>333</v>
      </c>
      <c r="E1408" s="98" t="s">
        <v>259</v>
      </c>
      <c r="F1408" s="98">
        <v>21604.79</v>
      </c>
      <c r="G1408" t="str">
        <f t="shared" si="22"/>
        <v>固收型</v>
      </c>
    </row>
    <row r="1409" spans="1:7">
      <c r="A1409" s="6">
        <v>44135</v>
      </c>
      <c r="B1409" s="98" t="s">
        <v>334</v>
      </c>
      <c r="C1409" s="98" t="s">
        <v>265</v>
      </c>
      <c r="D1409" s="98" t="s">
        <v>335</v>
      </c>
      <c r="E1409" s="98" t="s">
        <v>256</v>
      </c>
      <c r="F1409" s="98">
        <v>49.95</v>
      </c>
      <c r="G1409" t="str">
        <f t="shared" si="22"/>
        <v>固收型</v>
      </c>
    </row>
    <row r="1410" spans="1:7">
      <c r="A1410" s="6">
        <v>44135</v>
      </c>
      <c r="B1410" s="98"/>
      <c r="C1410" s="98" t="s">
        <v>257</v>
      </c>
      <c r="D1410" s="98" t="s">
        <v>335</v>
      </c>
      <c r="E1410" s="98" t="s">
        <v>256</v>
      </c>
      <c r="F1410" s="98">
        <v>1371.23</v>
      </c>
      <c r="G1410" t="str">
        <f t="shared" si="22"/>
        <v>固收型</v>
      </c>
    </row>
    <row r="1411" spans="1:7">
      <c r="A1411" s="6">
        <v>44135</v>
      </c>
      <c r="B1411" s="98"/>
      <c r="C1411" s="98" t="s">
        <v>267</v>
      </c>
      <c r="D1411" s="98" t="s">
        <v>335</v>
      </c>
      <c r="E1411" s="98" t="s">
        <v>259</v>
      </c>
      <c r="F1411" s="98">
        <v>7381.81</v>
      </c>
      <c r="G1411" t="str">
        <f t="shared" ref="G1411:G1474" si="23">VLOOKUP(D1411,L:N,3,0)</f>
        <v>固收型</v>
      </c>
    </row>
    <row r="1412" spans="1:7">
      <c r="A1412" s="6">
        <v>44135</v>
      </c>
      <c r="B1412" s="98"/>
      <c r="C1412" s="98" t="s">
        <v>301</v>
      </c>
      <c r="D1412" s="98" t="s">
        <v>335</v>
      </c>
      <c r="E1412" s="98" t="s">
        <v>259</v>
      </c>
      <c r="F1412" s="98">
        <v>4108.8599999999997</v>
      </c>
      <c r="G1412" t="str">
        <f t="shared" si="23"/>
        <v>固收型</v>
      </c>
    </row>
    <row r="1413" spans="1:7">
      <c r="A1413" s="6">
        <v>44135</v>
      </c>
      <c r="B1413" s="98"/>
      <c r="C1413" s="98" t="s">
        <v>277</v>
      </c>
      <c r="D1413" s="98" t="s">
        <v>335</v>
      </c>
      <c r="E1413" s="98" t="s">
        <v>259</v>
      </c>
      <c r="F1413" s="98">
        <v>479.69</v>
      </c>
      <c r="G1413" t="str">
        <f t="shared" si="23"/>
        <v>固收型</v>
      </c>
    </row>
    <row r="1414" spans="1:7">
      <c r="A1414" s="6">
        <v>44135</v>
      </c>
      <c r="B1414" s="98" t="s">
        <v>336</v>
      </c>
      <c r="C1414" s="98" t="s">
        <v>263</v>
      </c>
      <c r="D1414" s="98" t="s">
        <v>337</v>
      </c>
      <c r="E1414" s="98" t="s">
        <v>256</v>
      </c>
      <c r="F1414" s="98">
        <v>332.53</v>
      </c>
      <c r="G1414" t="str">
        <f t="shared" si="23"/>
        <v>混合型</v>
      </c>
    </row>
    <row r="1415" spans="1:7">
      <c r="A1415" s="6">
        <v>44135</v>
      </c>
      <c r="B1415" s="98"/>
      <c r="C1415" s="98" t="s">
        <v>269</v>
      </c>
      <c r="D1415" s="98" t="s">
        <v>337</v>
      </c>
      <c r="E1415" s="98" t="s">
        <v>270</v>
      </c>
      <c r="F1415" s="98">
        <v>48689.440000000002</v>
      </c>
      <c r="G1415" t="str">
        <f t="shared" si="23"/>
        <v>混合型</v>
      </c>
    </row>
    <row r="1416" spans="1:7">
      <c r="A1416" s="6">
        <v>44135</v>
      </c>
      <c r="B1416" s="98"/>
      <c r="C1416" s="98" t="s">
        <v>278</v>
      </c>
      <c r="D1416" s="98" t="s">
        <v>337</v>
      </c>
      <c r="E1416" s="98" t="s">
        <v>270</v>
      </c>
      <c r="F1416" s="98">
        <v>18901.41</v>
      </c>
      <c r="G1416" t="str">
        <f t="shared" si="23"/>
        <v>混合型</v>
      </c>
    </row>
    <row r="1417" spans="1:7">
      <c r="A1417" s="6">
        <v>44135</v>
      </c>
      <c r="B1417" s="98"/>
      <c r="C1417" s="98" t="s">
        <v>271</v>
      </c>
      <c r="D1417" s="98" t="s">
        <v>337</v>
      </c>
      <c r="E1417" s="98" t="s">
        <v>270</v>
      </c>
      <c r="F1417" s="98">
        <v>41095.54</v>
      </c>
      <c r="G1417" t="str">
        <f t="shared" si="23"/>
        <v>混合型</v>
      </c>
    </row>
    <row r="1418" spans="1:7">
      <c r="A1418" s="6">
        <v>44135</v>
      </c>
      <c r="B1418" s="98"/>
      <c r="C1418" s="98" t="s">
        <v>272</v>
      </c>
      <c r="D1418" s="98" t="s">
        <v>337</v>
      </c>
      <c r="E1418" s="98" t="s">
        <v>270</v>
      </c>
      <c r="F1418" s="98">
        <v>18796.509999999998</v>
      </c>
      <c r="G1418" t="str">
        <f t="shared" si="23"/>
        <v>混合型</v>
      </c>
    </row>
    <row r="1419" spans="1:7">
      <c r="A1419" s="6">
        <v>44135</v>
      </c>
      <c r="B1419" s="98" t="s">
        <v>338</v>
      </c>
      <c r="C1419" s="98" t="s">
        <v>254</v>
      </c>
      <c r="D1419" s="98" t="s">
        <v>339</v>
      </c>
      <c r="E1419" s="98" t="s">
        <v>256</v>
      </c>
      <c r="F1419" s="98">
        <v>1306.78</v>
      </c>
      <c r="G1419" t="str">
        <f t="shared" si="23"/>
        <v>混合型</v>
      </c>
    </row>
    <row r="1420" spans="1:7">
      <c r="A1420" s="6">
        <v>44135</v>
      </c>
      <c r="B1420" s="98"/>
      <c r="C1420" s="98" t="s">
        <v>274</v>
      </c>
      <c r="D1420" s="98" t="s">
        <v>339</v>
      </c>
      <c r="E1420" s="98" t="s">
        <v>256</v>
      </c>
      <c r="F1420" s="98">
        <v>5791.96</v>
      </c>
      <c r="G1420" t="str">
        <f t="shared" si="23"/>
        <v>混合型</v>
      </c>
    </row>
    <row r="1421" spans="1:7">
      <c r="A1421" s="6">
        <v>44135</v>
      </c>
      <c r="B1421" s="98"/>
      <c r="C1421" s="98" t="s">
        <v>263</v>
      </c>
      <c r="D1421" s="98" t="s">
        <v>339</v>
      </c>
      <c r="E1421" s="98" t="s">
        <v>256</v>
      </c>
      <c r="F1421" s="98">
        <v>2.78</v>
      </c>
      <c r="G1421" t="str">
        <f t="shared" si="23"/>
        <v>混合型</v>
      </c>
    </row>
    <row r="1422" spans="1:7">
      <c r="A1422" s="6">
        <v>44135</v>
      </c>
      <c r="B1422" s="98"/>
      <c r="C1422" s="98" t="s">
        <v>257</v>
      </c>
      <c r="D1422" s="98" t="s">
        <v>339</v>
      </c>
      <c r="E1422" s="98" t="s">
        <v>256</v>
      </c>
      <c r="F1422" s="98">
        <v>382.31</v>
      </c>
      <c r="G1422" t="str">
        <f t="shared" si="23"/>
        <v>混合型</v>
      </c>
    </row>
    <row r="1423" spans="1:7">
      <c r="A1423" s="6">
        <v>44135</v>
      </c>
      <c r="B1423" s="98"/>
      <c r="C1423" s="98" t="s">
        <v>276</v>
      </c>
      <c r="D1423" s="98" t="s">
        <v>339</v>
      </c>
      <c r="E1423" s="98" t="s">
        <v>256</v>
      </c>
      <c r="F1423" s="98">
        <v>334.33</v>
      </c>
      <c r="G1423" t="str">
        <f t="shared" si="23"/>
        <v>混合型</v>
      </c>
    </row>
    <row r="1424" spans="1:7">
      <c r="A1424" s="6">
        <v>44135</v>
      </c>
      <c r="B1424" s="98"/>
      <c r="C1424" s="98" t="s">
        <v>283</v>
      </c>
      <c r="D1424" s="98" t="s">
        <v>339</v>
      </c>
      <c r="E1424" s="98" t="s">
        <v>256</v>
      </c>
      <c r="F1424" s="98">
        <v>17.47</v>
      </c>
      <c r="G1424" t="str">
        <f t="shared" si="23"/>
        <v>混合型</v>
      </c>
    </row>
    <row r="1425" spans="1:7">
      <c r="A1425" s="6">
        <v>44135</v>
      </c>
      <c r="B1425" s="98"/>
      <c r="C1425" s="98" t="s">
        <v>290</v>
      </c>
      <c r="D1425" s="98" t="s">
        <v>339</v>
      </c>
      <c r="E1425" s="98" t="s">
        <v>259</v>
      </c>
      <c r="F1425" s="98">
        <v>2568.79</v>
      </c>
      <c r="G1425" t="str">
        <f t="shared" si="23"/>
        <v>混合型</v>
      </c>
    </row>
    <row r="1426" spans="1:7">
      <c r="A1426" s="6">
        <v>44135</v>
      </c>
      <c r="B1426" s="98"/>
      <c r="C1426" s="98" t="s">
        <v>301</v>
      </c>
      <c r="D1426" s="98" t="s">
        <v>339</v>
      </c>
      <c r="E1426" s="98" t="s">
        <v>259</v>
      </c>
      <c r="F1426" s="98">
        <v>2288.85</v>
      </c>
      <c r="G1426" t="str">
        <f t="shared" si="23"/>
        <v>混合型</v>
      </c>
    </row>
    <row r="1427" spans="1:7">
      <c r="A1427" s="6">
        <v>44135</v>
      </c>
      <c r="B1427" s="98"/>
      <c r="C1427" s="98" t="s">
        <v>260</v>
      </c>
      <c r="D1427" s="98" t="s">
        <v>339</v>
      </c>
      <c r="E1427" s="98" t="s">
        <v>259</v>
      </c>
      <c r="F1427" s="98">
        <v>3658.86</v>
      </c>
      <c r="G1427" t="str">
        <f t="shared" si="23"/>
        <v>混合型</v>
      </c>
    </row>
    <row r="1428" spans="1:7">
      <c r="A1428" s="6">
        <v>44135</v>
      </c>
      <c r="B1428" s="98"/>
      <c r="C1428" s="98" t="s">
        <v>380</v>
      </c>
      <c r="D1428" s="98" t="s">
        <v>339</v>
      </c>
      <c r="E1428" s="98" t="s">
        <v>259</v>
      </c>
      <c r="F1428" s="98">
        <v>5583.89</v>
      </c>
      <c r="G1428" t="str">
        <f t="shared" si="23"/>
        <v>混合型</v>
      </c>
    </row>
    <row r="1429" spans="1:7">
      <c r="A1429" s="6">
        <v>44135</v>
      </c>
      <c r="B1429" s="98"/>
      <c r="C1429" s="98" t="s">
        <v>351</v>
      </c>
      <c r="D1429" s="98" t="s">
        <v>339</v>
      </c>
      <c r="E1429" s="98" t="s">
        <v>259</v>
      </c>
      <c r="F1429" s="98">
        <v>363</v>
      </c>
      <c r="G1429" t="str">
        <f t="shared" si="23"/>
        <v>混合型</v>
      </c>
    </row>
    <row r="1430" spans="1:7">
      <c r="A1430" s="6">
        <v>44135</v>
      </c>
      <c r="B1430" s="98"/>
      <c r="C1430" s="98" t="s">
        <v>278</v>
      </c>
      <c r="D1430" s="98" t="s">
        <v>339</v>
      </c>
      <c r="E1430" s="98" t="s">
        <v>270</v>
      </c>
      <c r="F1430" s="98">
        <v>30221.74</v>
      </c>
      <c r="G1430" t="str">
        <f t="shared" si="23"/>
        <v>混合型</v>
      </c>
    </row>
    <row r="1431" spans="1:7">
      <c r="A1431" s="6">
        <v>44135</v>
      </c>
      <c r="B1431" s="98"/>
      <c r="C1431" s="98" t="s">
        <v>286</v>
      </c>
      <c r="D1431" s="98" t="s">
        <v>339</v>
      </c>
      <c r="E1431" s="98" t="s">
        <v>259</v>
      </c>
      <c r="F1431" s="98">
        <v>5837.57</v>
      </c>
      <c r="G1431" t="str">
        <f t="shared" si="23"/>
        <v>混合型</v>
      </c>
    </row>
    <row r="1432" spans="1:7">
      <c r="A1432" s="6">
        <v>44135</v>
      </c>
      <c r="B1432" s="98"/>
      <c r="C1432" s="98" t="s">
        <v>381</v>
      </c>
      <c r="D1432" s="98" t="s">
        <v>339</v>
      </c>
      <c r="E1432" s="98" t="s">
        <v>256</v>
      </c>
      <c r="F1432" s="98">
        <v>34.700000000000003</v>
      </c>
      <c r="G1432" t="str">
        <f t="shared" si="23"/>
        <v>混合型</v>
      </c>
    </row>
    <row r="1433" spans="1:7">
      <c r="A1433" s="6">
        <v>44135</v>
      </c>
      <c r="B1433" s="98"/>
      <c r="C1433" s="98" t="s">
        <v>478</v>
      </c>
      <c r="D1433" s="98" t="s">
        <v>339</v>
      </c>
      <c r="E1433" s="98" t="s">
        <v>259</v>
      </c>
      <c r="F1433" s="98">
        <v>776.58</v>
      </c>
      <c r="G1433" t="str">
        <f t="shared" si="23"/>
        <v>混合型</v>
      </c>
    </row>
    <row r="1434" spans="1:7">
      <c r="A1434" s="6">
        <v>44135</v>
      </c>
      <c r="B1434" s="98" t="s">
        <v>340</v>
      </c>
      <c r="C1434" s="98" t="s">
        <v>274</v>
      </c>
      <c r="D1434" s="98" t="s">
        <v>341</v>
      </c>
      <c r="E1434" s="98" t="s">
        <v>256</v>
      </c>
      <c r="F1434" s="98">
        <v>113.74</v>
      </c>
      <c r="G1434" t="str">
        <f t="shared" si="23"/>
        <v>混合型</v>
      </c>
    </row>
    <row r="1435" spans="1:7">
      <c r="A1435" s="6">
        <v>44135</v>
      </c>
      <c r="B1435" s="98"/>
      <c r="C1435" s="98" t="s">
        <v>257</v>
      </c>
      <c r="D1435" s="98" t="s">
        <v>341</v>
      </c>
      <c r="E1435" s="98" t="s">
        <v>256</v>
      </c>
      <c r="F1435" s="98">
        <v>456.31</v>
      </c>
      <c r="G1435" t="str">
        <f t="shared" si="23"/>
        <v>混合型</v>
      </c>
    </row>
    <row r="1436" spans="1:7">
      <c r="A1436" s="6">
        <v>44135</v>
      </c>
      <c r="B1436" s="98"/>
      <c r="C1436" s="98" t="s">
        <v>276</v>
      </c>
      <c r="D1436" s="98" t="s">
        <v>341</v>
      </c>
      <c r="E1436" s="98" t="s">
        <v>256</v>
      </c>
      <c r="F1436" s="98">
        <v>242.54</v>
      </c>
      <c r="G1436" t="str">
        <f t="shared" si="23"/>
        <v>混合型</v>
      </c>
    </row>
    <row r="1437" spans="1:7">
      <c r="A1437" s="6">
        <v>44135</v>
      </c>
      <c r="B1437" s="98"/>
      <c r="C1437" s="98" t="s">
        <v>283</v>
      </c>
      <c r="D1437" s="98" t="s">
        <v>341</v>
      </c>
      <c r="E1437" s="98" t="s">
        <v>256</v>
      </c>
      <c r="F1437" s="98">
        <v>6.5</v>
      </c>
      <c r="G1437" t="str">
        <f t="shared" si="23"/>
        <v>混合型</v>
      </c>
    </row>
    <row r="1438" spans="1:7">
      <c r="A1438" s="6">
        <v>44135</v>
      </c>
      <c r="B1438" s="98"/>
      <c r="C1438" s="98" t="s">
        <v>266</v>
      </c>
      <c r="D1438" s="98" t="s">
        <v>341</v>
      </c>
      <c r="E1438" s="98" t="s">
        <v>256</v>
      </c>
      <c r="F1438" s="98">
        <v>348.28</v>
      </c>
      <c r="G1438" t="str">
        <f t="shared" si="23"/>
        <v>混合型</v>
      </c>
    </row>
    <row r="1439" spans="1:7">
      <c r="A1439" s="6">
        <v>44135</v>
      </c>
      <c r="B1439" s="98"/>
      <c r="C1439" s="98" t="s">
        <v>267</v>
      </c>
      <c r="D1439" s="98" t="s">
        <v>341</v>
      </c>
      <c r="E1439" s="98" t="s">
        <v>259</v>
      </c>
      <c r="F1439" s="98">
        <v>7251.81</v>
      </c>
      <c r="G1439" t="str">
        <f t="shared" si="23"/>
        <v>混合型</v>
      </c>
    </row>
    <row r="1440" spans="1:7">
      <c r="A1440" s="6">
        <v>44135</v>
      </c>
      <c r="B1440" s="98"/>
      <c r="C1440" s="98" t="s">
        <v>301</v>
      </c>
      <c r="D1440" s="98" t="s">
        <v>341</v>
      </c>
      <c r="E1440" s="98" t="s">
        <v>259</v>
      </c>
      <c r="F1440" s="98">
        <v>8852.89</v>
      </c>
      <c r="G1440" t="str">
        <f t="shared" si="23"/>
        <v>混合型</v>
      </c>
    </row>
    <row r="1441" spans="1:7">
      <c r="A1441" s="6">
        <v>44135</v>
      </c>
      <c r="B1441" s="98"/>
      <c r="C1441" s="98" t="s">
        <v>258</v>
      </c>
      <c r="D1441" s="98" t="s">
        <v>341</v>
      </c>
      <c r="E1441" s="98" t="s">
        <v>259</v>
      </c>
      <c r="F1441" s="98">
        <v>12680.31</v>
      </c>
      <c r="G1441" t="str">
        <f t="shared" si="23"/>
        <v>混合型</v>
      </c>
    </row>
    <row r="1442" spans="1:7">
      <c r="A1442" s="6">
        <v>44135</v>
      </c>
      <c r="B1442" s="98"/>
      <c r="C1442" s="98" t="s">
        <v>277</v>
      </c>
      <c r="D1442" s="98" t="s">
        <v>341</v>
      </c>
      <c r="E1442" s="98" t="s">
        <v>259</v>
      </c>
      <c r="F1442" s="98">
        <v>1276.69</v>
      </c>
      <c r="G1442" t="str">
        <f t="shared" si="23"/>
        <v>混合型</v>
      </c>
    </row>
    <row r="1443" spans="1:7">
      <c r="A1443" s="6">
        <v>44135</v>
      </c>
      <c r="B1443" s="98"/>
      <c r="C1443" s="98" t="s">
        <v>278</v>
      </c>
      <c r="D1443" s="98" t="s">
        <v>341</v>
      </c>
      <c r="E1443" s="98" t="s">
        <v>270</v>
      </c>
      <c r="F1443" s="98">
        <v>18130.75</v>
      </c>
      <c r="G1443" t="str">
        <f t="shared" si="23"/>
        <v>混合型</v>
      </c>
    </row>
    <row r="1444" spans="1:7">
      <c r="A1444" s="6">
        <v>44135</v>
      </c>
      <c r="B1444" s="98"/>
      <c r="C1444" s="98" t="s">
        <v>261</v>
      </c>
      <c r="D1444" s="98" t="s">
        <v>341</v>
      </c>
      <c r="E1444" s="98" t="s">
        <v>259</v>
      </c>
      <c r="F1444" s="98">
        <v>240.44</v>
      </c>
      <c r="G1444" t="str">
        <f t="shared" si="23"/>
        <v>混合型</v>
      </c>
    </row>
    <row r="1445" spans="1:7">
      <c r="A1445" s="6">
        <v>44135</v>
      </c>
      <c r="B1445" s="98"/>
      <c r="C1445" s="98" t="s">
        <v>286</v>
      </c>
      <c r="D1445" s="98" t="s">
        <v>341</v>
      </c>
      <c r="E1445" s="98" t="s">
        <v>259</v>
      </c>
      <c r="F1445" s="98">
        <v>12497.55</v>
      </c>
      <c r="G1445" t="str">
        <f t="shared" si="23"/>
        <v>混合型</v>
      </c>
    </row>
    <row r="1446" spans="1:7">
      <c r="A1446" s="6">
        <v>44135</v>
      </c>
      <c r="B1446" s="98" t="s">
        <v>342</v>
      </c>
      <c r="C1446" s="98" t="s">
        <v>274</v>
      </c>
      <c r="D1446" s="98" t="s">
        <v>343</v>
      </c>
      <c r="E1446" s="98" t="s">
        <v>256</v>
      </c>
      <c r="F1446" s="98">
        <v>111.32</v>
      </c>
      <c r="G1446" t="str">
        <f t="shared" si="23"/>
        <v>股票型</v>
      </c>
    </row>
    <row r="1447" spans="1:7">
      <c r="A1447" s="6">
        <v>44135</v>
      </c>
      <c r="B1447" s="98"/>
      <c r="C1447" s="98" t="s">
        <v>265</v>
      </c>
      <c r="D1447" s="98" t="s">
        <v>343</v>
      </c>
      <c r="E1447" s="98" t="s">
        <v>256</v>
      </c>
      <c r="F1447" s="98">
        <v>111.31</v>
      </c>
      <c r="G1447" t="str">
        <f t="shared" si="23"/>
        <v>股票型</v>
      </c>
    </row>
    <row r="1448" spans="1:7">
      <c r="A1448" s="6">
        <v>44135</v>
      </c>
      <c r="B1448" s="98"/>
      <c r="C1448" s="98" t="s">
        <v>257</v>
      </c>
      <c r="D1448" s="98" t="s">
        <v>343</v>
      </c>
      <c r="E1448" s="98" t="s">
        <v>256</v>
      </c>
      <c r="F1448" s="98">
        <v>41.08</v>
      </c>
      <c r="G1448" t="str">
        <f t="shared" si="23"/>
        <v>股票型</v>
      </c>
    </row>
    <row r="1449" spans="1:7">
      <c r="A1449" s="6">
        <v>44135</v>
      </c>
      <c r="B1449" s="98" t="s">
        <v>344</v>
      </c>
      <c r="C1449" s="98" t="s">
        <v>254</v>
      </c>
      <c r="D1449" s="98" t="s">
        <v>345</v>
      </c>
      <c r="E1449" s="98" t="s">
        <v>256</v>
      </c>
      <c r="F1449" s="98">
        <v>665.12</v>
      </c>
      <c r="G1449" t="str">
        <f t="shared" si="23"/>
        <v>股票型</v>
      </c>
    </row>
    <row r="1450" spans="1:7">
      <c r="A1450" s="6">
        <v>44135</v>
      </c>
      <c r="B1450" s="98"/>
      <c r="C1450" s="98" t="s">
        <v>257</v>
      </c>
      <c r="D1450" s="98" t="s">
        <v>345</v>
      </c>
      <c r="E1450" s="98" t="s">
        <v>256</v>
      </c>
      <c r="F1450" s="98">
        <v>4.76</v>
      </c>
      <c r="G1450" t="str">
        <f t="shared" si="23"/>
        <v>股票型</v>
      </c>
    </row>
    <row r="1451" spans="1:7">
      <c r="A1451" s="6">
        <v>44135</v>
      </c>
      <c r="B1451" s="98"/>
      <c r="C1451" s="98" t="s">
        <v>266</v>
      </c>
      <c r="D1451" s="98" t="s">
        <v>345</v>
      </c>
      <c r="E1451" s="98" t="s">
        <v>256</v>
      </c>
      <c r="F1451" s="98">
        <v>212.73</v>
      </c>
      <c r="G1451" t="str">
        <f t="shared" si="23"/>
        <v>股票型</v>
      </c>
    </row>
    <row r="1452" spans="1:7">
      <c r="A1452" s="6">
        <v>44135</v>
      </c>
      <c r="B1452" s="98"/>
      <c r="C1452" s="98" t="s">
        <v>260</v>
      </c>
      <c r="D1452" s="98" t="s">
        <v>345</v>
      </c>
      <c r="E1452" s="98" t="s">
        <v>259</v>
      </c>
      <c r="F1452" s="98">
        <v>3297</v>
      </c>
      <c r="G1452" t="str">
        <f t="shared" si="23"/>
        <v>股票型</v>
      </c>
    </row>
    <row r="1453" spans="1:7">
      <c r="A1453" s="6">
        <v>44135</v>
      </c>
      <c r="B1453" s="98"/>
      <c r="C1453" s="98" t="s">
        <v>286</v>
      </c>
      <c r="D1453" s="98" t="s">
        <v>345</v>
      </c>
      <c r="E1453" s="98" t="s">
        <v>259</v>
      </c>
      <c r="F1453" s="98">
        <v>5301.06</v>
      </c>
      <c r="G1453" t="str">
        <f t="shared" si="23"/>
        <v>股票型</v>
      </c>
    </row>
    <row r="1454" spans="1:7">
      <c r="A1454" s="6">
        <v>44135</v>
      </c>
      <c r="B1454" s="98" t="s">
        <v>346</v>
      </c>
      <c r="C1454" s="98" t="s">
        <v>254</v>
      </c>
      <c r="D1454" s="98" t="s">
        <v>347</v>
      </c>
      <c r="E1454" s="98" t="s">
        <v>256</v>
      </c>
      <c r="F1454" s="98">
        <v>1425.04</v>
      </c>
      <c r="G1454" t="str">
        <f t="shared" si="23"/>
        <v>股票型</v>
      </c>
    </row>
    <row r="1455" spans="1:7">
      <c r="A1455" s="6">
        <v>44135</v>
      </c>
      <c r="B1455" s="98"/>
      <c r="C1455" s="98" t="s">
        <v>274</v>
      </c>
      <c r="D1455" s="98" t="s">
        <v>347</v>
      </c>
      <c r="E1455" s="98" t="s">
        <v>256</v>
      </c>
      <c r="F1455" s="98">
        <v>1202.79</v>
      </c>
      <c r="G1455" t="str">
        <f t="shared" si="23"/>
        <v>股票型</v>
      </c>
    </row>
    <row r="1456" spans="1:7">
      <c r="A1456" s="6">
        <v>44135</v>
      </c>
      <c r="B1456" s="98"/>
      <c r="C1456" s="98" t="s">
        <v>263</v>
      </c>
      <c r="D1456" s="98" t="s">
        <v>347</v>
      </c>
      <c r="E1456" s="98" t="s">
        <v>256</v>
      </c>
      <c r="F1456" s="98">
        <v>31.13</v>
      </c>
      <c r="G1456" t="str">
        <f t="shared" si="23"/>
        <v>股票型</v>
      </c>
    </row>
    <row r="1457" spans="1:7">
      <c r="A1457" s="6">
        <v>44135</v>
      </c>
      <c r="B1457" s="98"/>
      <c r="C1457" s="98" t="s">
        <v>265</v>
      </c>
      <c r="D1457" s="98" t="s">
        <v>347</v>
      </c>
      <c r="E1457" s="98" t="s">
        <v>256</v>
      </c>
      <c r="F1457" s="98">
        <v>76.22</v>
      </c>
      <c r="G1457" t="str">
        <f t="shared" si="23"/>
        <v>股票型</v>
      </c>
    </row>
    <row r="1458" spans="1:7">
      <c r="A1458" s="6">
        <v>44135</v>
      </c>
      <c r="B1458" s="98"/>
      <c r="C1458" s="98" t="s">
        <v>257</v>
      </c>
      <c r="D1458" s="98" t="s">
        <v>347</v>
      </c>
      <c r="E1458" s="98" t="s">
        <v>256</v>
      </c>
      <c r="F1458" s="98">
        <v>186.54</v>
      </c>
      <c r="G1458" t="str">
        <f t="shared" si="23"/>
        <v>股票型</v>
      </c>
    </row>
    <row r="1459" spans="1:7">
      <c r="A1459" s="6">
        <v>44135</v>
      </c>
      <c r="B1459" s="98"/>
      <c r="C1459" s="98" t="s">
        <v>266</v>
      </c>
      <c r="D1459" s="98" t="s">
        <v>347</v>
      </c>
      <c r="E1459" s="98" t="s">
        <v>256</v>
      </c>
      <c r="F1459" s="98">
        <v>77.36</v>
      </c>
      <c r="G1459" t="str">
        <f t="shared" si="23"/>
        <v>股票型</v>
      </c>
    </row>
    <row r="1460" spans="1:7">
      <c r="A1460" s="6">
        <v>44135</v>
      </c>
      <c r="B1460" s="98"/>
      <c r="C1460" s="98" t="s">
        <v>267</v>
      </c>
      <c r="D1460" s="98" t="s">
        <v>347</v>
      </c>
      <c r="E1460" s="98" t="s">
        <v>259</v>
      </c>
      <c r="F1460" s="98">
        <v>21128.06</v>
      </c>
      <c r="G1460" t="str">
        <f t="shared" si="23"/>
        <v>股票型</v>
      </c>
    </row>
    <row r="1461" spans="1:7">
      <c r="A1461" s="6">
        <v>44135</v>
      </c>
      <c r="B1461" s="98"/>
      <c r="C1461" s="98" t="s">
        <v>301</v>
      </c>
      <c r="D1461" s="98" t="s">
        <v>347</v>
      </c>
      <c r="E1461" s="98" t="s">
        <v>259</v>
      </c>
      <c r="F1461" s="98">
        <v>36102.5</v>
      </c>
      <c r="G1461" t="str">
        <f t="shared" si="23"/>
        <v>股票型</v>
      </c>
    </row>
    <row r="1462" spans="1:7">
      <c r="A1462" s="6">
        <v>44135</v>
      </c>
      <c r="B1462" s="98"/>
      <c r="C1462" s="98" t="s">
        <v>260</v>
      </c>
      <c r="D1462" s="98" t="s">
        <v>347</v>
      </c>
      <c r="E1462" s="98" t="s">
        <v>259</v>
      </c>
      <c r="F1462" s="98">
        <v>4729.9399999999996</v>
      </c>
      <c r="G1462" t="str">
        <f t="shared" si="23"/>
        <v>股票型</v>
      </c>
    </row>
    <row r="1463" spans="1:7">
      <c r="A1463" s="6">
        <v>44135</v>
      </c>
      <c r="B1463" s="98"/>
      <c r="C1463" s="98" t="s">
        <v>272</v>
      </c>
      <c r="D1463" s="98" t="s">
        <v>347</v>
      </c>
      <c r="E1463" s="98" t="s">
        <v>270</v>
      </c>
      <c r="F1463" s="98">
        <v>11320.61</v>
      </c>
      <c r="G1463" t="str">
        <f t="shared" si="23"/>
        <v>股票型</v>
      </c>
    </row>
    <row r="1464" spans="1:7">
      <c r="A1464" s="6">
        <v>44135</v>
      </c>
      <c r="B1464" s="98" t="s">
        <v>348</v>
      </c>
      <c r="C1464" s="98" t="s">
        <v>265</v>
      </c>
      <c r="D1464" s="98" t="s">
        <v>349</v>
      </c>
      <c r="E1464" s="98" t="s">
        <v>256</v>
      </c>
      <c r="F1464" s="98">
        <v>41.26</v>
      </c>
      <c r="G1464" t="str">
        <f t="shared" si="23"/>
        <v>固收型</v>
      </c>
    </row>
    <row r="1465" spans="1:7">
      <c r="A1465" s="6">
        <v>44135</v>
      </c>
      <c r="B1465" s="98"/>
      <c r="C1465" s="98" t="s">
        <v>257</v>
      </c>
      <c r="D1465" s="98" t="s">
        <v>349</v>
      </c>
      <c r="E1465" s="98" t="s">
        <v>256</v>
      </c>
      <c r="F1465" s="98">
        <v>240.77</v>
      </c>
      <c r="G1465" t="str">
        <f t="shared" si="23"/>
        <v>固收型</v>
      </c>
    </row>
    <row r="1466" spans="1:7">
      <c r="A1466" s="6">
        <v>44135</v>
      </c>
      <c r="B1466" s="98"/>
      <c r="C1466" s="98" t="s">
        <v>267</v>
      </c>
      <c r="D1466" s="98" t="s">
        <v>349</v>
      </c>
      <c r="E1466" s="98" t="s">
        <v>259</v>
      </c>
      <c r="F1466" s="98">
        <v>5240.51</v>
      </c>
      <c r="G1466" t="str">
        <f t="shared" si="23"/>
        <v>固收型</v>
      </c>
    </row>
    <row r="1467" spans="1:7">
      <c r="A1467" s="6">
        <v>44135</v>
      </c>
      <c r="B1467" s="98"/>
      <c r="C1467" s="98" t="s">
        <v>301</v>
      </c>
      <c r="D1467" s="98" t="s">
        <v>349</v>
      </c>
      <c r="E1467" s="98" t="s">
        <v>259</v>
      </c>
      <c r="F1467" s="98">
        <v>7143.04</v>
      </c>
      <c r="G1467" t="str">
        <f t="shared" si="23"/>
        <v>固收型</v>
      </c>
    </row>
    <row r="1468" spans="1:7">
      <c r="A1468" s="6">
        <v>44135</v>
      </c>
      <c r="B1468" s="98"/>
      <c r="C1468" s="98" t="s">
        <v>268</v>
      </c>
      <c r="D1468" s="98" t="s">
        <v>349</v>
      </c>
      <c r="E1468" s="98" t="s">
        <v>259</v>
      </c>
      <c r="F1468" s="98">
        <v>6657.02</v>
      </c>
      <c r="G1468" t="str">
        <f t="shared" si="23"/>
        <v>固收型</v>
      </c>
    </row>
    <row r="1469" spans="1:7">
      <c r="A1469" s="6">
        <v>44135</v>
      </c>
      <c r="B1469" s="98"/>
      <c r="C1469" s="98" t="s">
        <v>351</v>
      </c>
      <c r="D1469" s="98" t="s">
        <v>349</v>
      </c>
      <c r="E1469" s="98" t="s">
        <v>259</v>
      </c>
      <c r="F1469" s="98">
        <v>75.09</v>
      </c>
      <c r="G1469" t="str">
        <f t="shared" si="23"/>
        <v>固收型</v>
      </c>
    </row>
    <row r="1470" spans="1:7">
      <c r="A1470" s="6">
        <v>44135</v>
      </c>
      <c r="B1470" s="98"/>
      <c r="C1470" s="98" t="s">
        <v>277</v>
      </c>
      <c r="D1470" s="98" t="s">
        <v>349</v>
      </c>
      <c r="E1470" s="98" t="s">
        <v>259</v>
      </c>
      <c r="F1470" s="98">
        <v>467.31</v>
      </c>
      <c r="G1470" t="str">
        <f t="shared" si="23"/>
        <v>固收型</v>
      </c>
    </row>
    <row r="1471" spans="1:7">
      <c r="A1471" s="6">
        <v>44135</v>
      </c>
      <c r="B1471" s="98" t="s">
        <v>354</v>
      </c>
      <c r="C1471" s="98" t="s">
        <v>263</v>
      </c>
      <c r="D1471" s="98" t="s">
        <v>355</v>
      </c>
      <c r="E1471" s="98" t="s">
        <v>256</v>
      </c>
      <c r="F1471" s="98">
        <v>2.0099999999999998</v>
      </c>
      <c r="G1471" t="str">
        <f t="shared" si="23"/>
        <v>混合型</v>
      </c>
    </row>
    <row r="1472" spans="1:7">
      <c r="A1472" s="6">
        <v>44135</v>
      </c>
      <c r="B1472" s="98"/>
      <c r="C1472" s="98" t="s">
        <v>266</v>
      </c>
      <c r="D1472" s="98" t="s">
        <v>355</v>
      </c>
      <c r="E1472" s="98" t="s">
        <v>256</v>
      </c>
      <c r="F1472" s="98">
        <v>274.39999999999998</v>
      </c>
      <c r="G1472" t="str">
        <f t="shared" si="23"/>
        <v>混合型</v>
      </c>
    </row>
    <row r="1473" spans="1:7">
      <c r="A1473" s="6">
        <v>44135</v>
      </c>
      <c r="B1473" s="98"/>
      <c r="C1473" s="98" t="s">
        <v>278</v>
      </c>
      <c r="D1473" s="98" t="s">
        <v>355</v>
      </c>
      <c r="E1473" s="98" t="s">
        <v>270</v>
      </c>
      <c r="F1473" s="98">
        <v>1929.49</v>
      </c>
      <c r="G1473" t="str">
        <f t="shared" si="23"/>
        <v>混合型</v>
      </c>
    </row>
    <row r="1474" spans="1:7">
      <c r="A1474" s="6">
        <v>44135</v>
      </c>
      <c r="B1474" s="98"/>
      <c r="C1474" s="98" t="s">
        <v>286</v>
      </c>
      <c r="D1474" s="98" t="s">
        <v>355</v>
      </c>
      <c r="E1474" s="98" t="s">
        <v>259</v>
      </c>
      <c r="F1474" s="98">
        <v>3583.15</v>
      </c>
      <c r="G1474" t="str">
        <f t="shared" si="23"/>
        <v>混合型</v>
      </c>
    </row>
    <row r="1475" spans="1:7">
      <c r="A1475" s="6">
        <v>44135</v>
      </c>
      <c r="B1475" s="98" t="s">
        <v>356</v>
      </c>
      <c r="C1475" s="98" t="s">
        <v>274</v>
      </c>
      <c r="D1475" s="98" t="s">
        <v>357</v>
      </c>
      <c r="E1475" s="98" t="s">
        <v>256</v>
      </c>
      <c r="F1475" s="98">
        <v>244.29</v>
      </c>
      <c r="G1475" t="str">
        <f t="shared" ref="G1475:G1538" si="24">VLOOKUP(D1475,L:N,3,0)</f>
        <v>基础设施债权</v>
      </c>
    </row>
    <row r="1476" spans="1:7">
      <c r="A1476" s="6">
        <v>44135</v>
      </c>
      <c r="B1476" s="98"/>
      <c r="C1476" s="98" t="s">
        <v>257</v>
      </c>
      <c r="D1476" s="98" t="s">
        <v>357</v>
      </c>
      <c r="E1476" s="98" t="s">
        <v>256</v>
      </c>
      <c r="F1476" s="98">
        <v>74.48</v>
      </c>
      <c r="G1476" t="str">
        <f t="shared" si="24"/>
        <v>基础设施债权</v>
      </c>
    </row>
    <row r="1477" spans="1:7">
      <c r="A1477" s="6">
        <v>44135</v>
      </c>
      <c r="B1477" s="98" t="s">
        <v>358</v>
      </c>
      <c r="C1477" s="98" t="s">
        <v>257</v>
      </c>
      <c r="D1477" s="98" t="s">
        <v>359</v>
      </c>
      <c r="E1477" s="98" t="s">
        <v>256</v>
      </c>
      <c r="F1477" s="98">
        <v>11.26</v>
      </c>
      <c r="G1477" t="str">
        <f t="shared" si="24"/>
        <v>基础设施债权</v>
      </c>
    </row>
    <row r="1478" spans="1:7">
      <c r="A1478" s="6">
        <v>44135</v>
      </c>
      <c r="B1478" s="98" t="s">
        <v>360</v>
      </c>
      <c r="C1478" s="98" t="s">
        <v>254</v>
      </c>
      <c r="D1478" s="98" t="s">
        <v>361</v>
      </c>
      <c r="E1478" s="98" t="s">
        <v>256</v>
      </c>
      <c r="F1478" s="98">
        <v>113.15</v>
      </c>
      <c r="G1478" t="str">
        <f t="shared" si="24"/>
        <v>存款型</v>
      </c>
    </row>
    <row r="1479" spans="1:7">
      <c r="A1479" s="6">
        <v>44135</v>
      </c>
      <c r="B1479" s="98"/>
      <c r="C1479" s="98" t="s">
        <v>274</v>
      </c>
      <c r="D1479" s="98" t="s">
        <v>361</v>
      </c>
      <c r="E1479" s="98" t="s">
        <v>256</v>
      </c>
      <c r="F1479" s="98">
        <v>73.069999999999993</v>
      </c>
      <c r="G1479" t="str">
        <f t="shared" si="24"/>
        <v>存款型</v>
      </c>
    </row>
    <row r="1480" spans="1:7">
      <c r="A1480" s="6">
        <v>44135</v>
      </c>
      <c r="B1480" s="98"/>
      <c r="C1480" s="98" t="s">
        <v>276</v>
      </c>
      <c r="D1480" s="98" t="s">
        <v>361</v>
      </c>
      <c r="E1480" s="98" t="s">
        <v>256</v>
      </c>
      <c r="F1480" s="98">
        <v>49.01</v>
      </c>
      <c r="G1480" t="str">
        <f t="shared" si="24"/>
        <v>存款型</v>
      </c>
    </row>
    <row r="1481" spans="1:7">
      <c r="A1481" s="6">
        <v>44135</v>
      </c>
      <c r="B1481" s="98" t="s">
        <v>362</v>
      </c>
      <c r="C1481" s="98" t="s">
        <v>254</v>
      </c>
      <c r="D1481" s="98" t="s">
        <v>363</v>
      </c>
      <c r="E1481" s="98" t="s">
        <v>256</v>
      </c>
      <c r="F1481" s="98">
        <v>98.53</v>
      </c>
      <c r="G1481" t="str">
        <f t="shared" si="24"/>
        <v>存款型</v>
      </c>
    </row>
    <row r="1482" spans="1:7">
      <c r="A1482" s="6">
        <v>44135</v>
      </c>
      <c r="B1482" s="98"/>
      <c r="C1482" s="98" t="s">
        <v>257</v>
      </c>
      <c r="D1482" s="98" t="s">
        <v>363</v>
      </c>
      <c r="E1482" s="98" t="s">
        <v>256</v>
      </c>
      <c r="F1482" s="98">
        <v>119.54</v>
      </c>
      <c r="G1482" t="str">
        <f t="shared" si="24"/>
        <v>存款型</v>
      </c>
    </row>
    <row r="1483" spans="1:7">
      <c r="A1483" s="6">
        <v>44135</v>
      </c>
      <c r="B1483" s="98"/>
      <c r="C1483" s="98" t="s">
        <v>303</v>
      </c>
      <c r="D1483" s="98" t="s">
        <v>363</v>
      </c>
      <c r="E1483" s="98" t="s">
        <v>259</v>
      </c>
      <c r="F1483" s="98">
        <v>235.16</v>
      </c>
      <c r="G1483" t="str">
        <f t="shared" si="24"/>
        <v>存款型</v>
      </c>
    </row>
    <row r="1484" spans="1:7">
      <c r="A1484" s="6">
        <v>44135</v>
      </c>
      <c r="B1484" s="98" t="s">
        <v>364</v>
      </c>
      <c r="C1484" s="98" t="s">
        <v>257</v>
      </c>
      <c r="D1484" s="98" t="s">
        <v>365</v>
      </c>
      <c r="E1484" s="98" t="s">
        <v>256</v>
      </c>
      <c r="F1484" s="98">
        <v>0.05</v>
      </c>
      <c r="G1484" t="str">
        <f t="shared" si="24"/>
        <v>存款型</v>
      </c>
    </row>
    <row r="1485" spans="1:7">
      <c r="A1485" s="6">
        <v>44135</v>
      </c>
      <c r="B1485" s="98" t="s">
        <v>366</v>
      </c>
      <c r="C1485" s="98" t="s">
        <v>292</v>
      </c>
      <c r="D1485" s="98" t="s">
        <v>368</v>
      </c>
      <c r="E1485" s="98" t="s">
        <v>259</v>
      </c>
      <c r="F1485" s="98">
        <v>1746.62</v>
      </c>
      <c r="G1485" t="str">
        <f t="shared" si="24"/>
        <v>存款型</v>
      </c>
    </row>
    <row r="1486" spans="1:7">
      <c r="A1486" s="6">
        <v>44135</v>
      </c>
      <c r="B1486" s="98"/>
      <c r="C1486" s="98" t="s">
        <v>367</v>
      </c>
      <c r="D1486" s="98" t="s">
        <v>368</v>
      </c>
      <c r="E1486" s="98" t="s">
        <v>259</v>
      </c>
      <c r="F1486" s="98">
        <v>955.2</v>
      </c>
      <c r="G1486" t="str">
        <f t="shared" si="24"/>
        <v>存款型</v>
      </c>
    </row>
    <row r="1487" spans="1:7">
      <c r="A1487" s="6">
        <v>44135</v>
      </c>
      <c r="B1487" s="98" t="s">
        <v>369</v>
      </c>
      <c r="C1487" s="98" t="s">
        <v>260</v>
      </c>
      <c r="D1487" s="98" t="s">
        <v>370</v>
      </c>
      <c r="E1487" s="98" t="s">
        <v>259</v>
      </c>
      <c r="F1487" s="98">
        <v>21175.08</v>
      </c>
      <c r="G1487" t="str">
        <f t="shared" si="24"/>
        <v>固收型</v>
      </c>
    </row>
    <row r="1488" spans="1:7">
      <c r="A1488" s="6">
        <v>44135</v>
      </c>
      <c r="B1488" s="98"/>
      <c r="C1488" s="98" t="s">
        <v>302</v>
      </c>
      <c r="D1488" s="98" t="s">
        <v>370</v>
      </c>
      <c r="E1488" s="98" t="s">
        <v>259</v>
      </c>
      <c r="F1488" s="98">
        <v>5434.41</v>
      </c>
      <c r="G1488" t="str">
        <f t="shared" si="24"/>
        <v>固收型</v>
      </c>
    </row>
    <row r="1489" spans="1:7">
      <c r="A1489" s="6">
        <v>44135</v>
      </c>
      <c r="B1489" s="98" t="s">
        <v>371</v>
      </c>
      <c r="C1489" s="98" t="s">
        <v>254</v>
      </c>
      <c r="D1489" s="98" t="s">
        <v>372</v>
      </c>
      <c r="E1489" s="98" t="s">
        <v>256</v>
      </c>
      <c r="F1489" s="98">
        <v>39.76</v>
      </c>
      <c r="G1489" t="str">
        <f t="shared" si="24"/>
        <v>固收型</v>
      </c>
    </row>
    <row r="1490" spans="1:7">
      <c r="A1490" s="6">
        <v>44135</v>
      </c>
      <c r="B1490" s="98"/>
      <c r="C1490" s="98" t="s">
        <v>274</v>
      </c>
      <c r="D1490" s="98" t="s">
        <v>372</v>
      </c>
      <c r="E1490" s="98" t="s">
        <v>256</v>
      </c>
      <c r="F1490" s="98">
        <v>553.83000000000004</v>
      </c>
      <c r="G1490" t="str">
        <f t="shared" si="24"/>
        <v>固收型</v>
      </c>
    </row>
    <row r="1491" spans="1:7">
      <c r="A1491" s="6">
        <v>44135</v>
      </c>
      <c r="B1491" s="98"/>
      <c r="C1491" s="98" t="s">
        <v>263</v>
      </c>
      <c r="D1491" s="98" t="s">
        <v>372</v>
      </c>
      <c r="E1491" s="98" t="s">
        <v>256</v>
      </c>
      <c r="F1491" s="98">
        <v>15.68</v>
      </c>
      <c r="G1491" t="str">
        <f t="shared" si="24"/>
        <v>固收型</v>
      </c>
    </row>
    <row r="1492" spans="1:7">
      <c r="A1492" s="6">
        <v>44135</v>
      </c>
      <c r="B1492" s="98"/>
      <c r="C1492" s="98" t="s">
        <v>257</v>
      </c>
      <c r="D1492" s="98" t="s">
        <v>372</v>
      </c>
      <c r="E1492" s="98" t="s">
        <v>256</v>
      </c>
      <c r="F1492" s="98">
        <v>352.6</v>
      </c>
      <c r="G1492" t="str">
        <f t="shared" si="24"/>
        <v>固收型</v>
      </c>
    </row>
    <row r="1493" spans="1:7">
      <c r="A1493" s="6">
        <v>44135</v>
      </c>
      <c r="B1493" s="98"/>
      <c r="C1493" s="98" t="s">
        <v>276</v>
      </c>
      <c r="D1493" s="98" t="s">
        <v>372</v>
      </c>
      <c r="E1493" s="98" t="s">
        <v>256</v>
      </c>
      <c r="F1493" s="98">
        <v>47.07</v>
      </c>
      <c r="G1493" t="str">
        <f t="shared" si="24"/>
        <v>固收型</v>
      </c>
    </row>
    <row r="1494" spans="1:7">
      <c r="A1494" s="6">
        <v>44135</v>
      </c>
      <c r="B1494" s="98"/>
      <c r="C1494" s="98" t="s">
        <v>301</v>
      </c>
      <c r="D1494" s="98" t="s">
        <v>372</v>
      </c>
      <c r="E1494" s="98" t="s">
        <v>259</v>
      </c>
      <c r="F1494" s="98">
        <v>1049.92</v>
      </c>
      <c r="G1494" t="str">
        <f t="shared" si="24"/>
        <v>固收型</v>
      </c>
    </row>
    <row r="1495" spans="1:7">
      <c r="A1495" s="6">
        <v>44135</v>
      </c>
      <c r="B1495" s="98"/>
      <c r="C1495" s="98" t="s">
        <v>278</v>
      </c>
      <c r="D1495" s="98" t="s">
        <v>372</v>
      </c>
      <c r="E1495" s="98" t="s">
        <v>270</v>
      </c>
      <c r="F1495" s="98">
        <v>3042.94</v>
      </c>
      <c r="G1495" t="str">
        <f t="shared" si="24"/>
        <v>固收型</v>
      </c>
    </row>
    <row r="1496" spans="1:7">
      <c r="A1496" s="6">
        <v>44135</v>
      </c>
      <c r="B1496" s="98" t="s">
        <v>373</v>
      </c>
      <c r="C1496" s="98" t="s">
        <v>276</v>
      </c>
      <c r="D1496" s="98" t="s">
        <v>374</v>
      </c>
      <c r="E1496" s="98" t="s">
        <v>256</v>
      </c>
      <c r="F1496" s="98">
        <v>92.86</v>
      </c>
      <c r="G1496" t="str">
        <f t="shared" si="24"/>
        <v>固收型</v>
      </c>
    </row>
    <row r="1497" spans="1:7">
      <c r="A1497" s="6">
        <v>44135</v>
      </c>
      <c r="B1497" s="98"/>
      <c r="C1497" s="98" t="s">
        <v>260</v>
      </c>
      <c r="D1497" s="98" t="s">
        <v>374</v>
      </c>
      <c r="E1497" s="98" t="s">
        <v>259</v>
      </c>
      <c r="F1497" s="98">
        <v>9341.5300000000007</v>
      </c>
      <c r="G1497" t="str">
        <f t="shared" si="24"/>
        <v>固收型</v>
      </c>
    </row>
    <row r="1498" spans="1:7">
      <c r="A1498" s="6">
        <v>44135</v>
      </c>
      <c r="B1498" s="98"/>
      <c r="C1498" s="98" t="s">
        <v>302</v>
      </c>
      <c r="D1498" s="98" t="s">
        <v>374</v>
      </c>
      <c r="E1498" s="98" t="s">
        <v>259</v>
      </c>
      <c r="F1498" s="98">
        <v>2906.2</v>
      </c>
      <c r="G1498" t="str">
        <f t="shared" si="24"/>
        <v>固收型</v>
      </c>
    </row>
    <row r="1499" spans="1:7">
      <c r="A1499" s="6">
        <v>44135</v>
      </c>
      <c r="B1499" s="98"/>
      <c r="C1499" s="98" t="s">
        <v>375</v>
      </c>
      <c r="D1499" s="98" t="s">
        <v>374</v>
      </c>
      <c r="E1499" s="98" t="s">
        <v>259</v>
      </c>
      <c r="F1499" s="98">
        <v>5812.4</v>
      </c>
      <c r="G1499" t="str">
        <f t="shared" si="24"/>
        <v>固收型</v>
      </c>
    </row>
    <row r="1500" spans="1:7">
      <c r="A1500" s="6">
        <v>44135</v>
      </c>
      <c r="B1500" s="98"/>
      <c r="C1500" s="98" t="s">
        <v>376</v>
      </c>
      <c r="D1500" s="98" t="s">
        <v>374</v>
      </c>
      <c r="E1500" s="98" t="s">
        <v>259</v>
      </c>
      <c r="F1500" s="98">
        <v>2906.2</v>
      </c>
      <c r="G1500" t="str">
        <f t="shared" si="24"/>
        <v>固收型</v>
      </c>
    </row>
    <row r="1501" spans="1:7">
      <c r="A1501" s="6">
        <v>44135</v>
      </c>
      <c r="B1501" s="98"/>
      <c r="C1501" s="98" t="s">
        <v>377</v>
      </c>
      <c r="D1501" s="98" t="s">
        <v>374</v>
      </c>
      <c r="E1501" s="98" t="s">
        <v>259</v>
      </c>
      <c r="F1501" s="98">
        <v>2906.2</v>
      </c>
      <c r="G1501" t="str">
        <f t="shared" si="24"/>
        <v>固收型</v>
      </c>
    </row>
    <row r="1502" spans="1:7">
      <c r="A1502" s="6">
        <v>44135</v>
      </c>
      <c r="B1502" s="98" t="s">
        <v>378</v>
      </c>
      <c r="C1502" s="98" t="s">
        <v>263</v>
      </c>
      <c r="D1502" s="98" t="s">
        <v>379</v>
      </c>
      <c r="E1502" s="98" t="s">
        <v>256</v>
      </c>
      <c r="F1502" s="98">
        <v>74.44</v>
      </c>
      <c r="G1502" t="str">
        <f t="shared" si="24"/>
        <v>固收型</v>
      </c>
    </row>
    <row r="1503" spans="1:7">
      <c r="A1503" s="6">
        <v>44135</v>
      </c>
      <c r="B1503" s="98"/>
      <c r="C1503" s="98" t="s">
        <v>265</v>
      </c>
      <c r="D1503" s="98" t="s">
        <v>379</v>
      </c>
      <c r="E1503" s="98" t="s">
        <v>256</v>
      </c>
      <c r="F1503" s="98">
        <v>10.91</v>
      </c>
      <c r="G1503" t="str">
        <f t="shared" si="24"/>
        <v>固收型</v>
      </c>
    </row>
    <row r="1504" spans="1:7">
      <c r="A1504" s="6">
        <v>44135</v>
      </c>
      <c r="B1504" s="98"/>
      <c r="C1504" s="98" t="s">
        <v>380</v>
      </c>
      <c r="D1504" s="98" t="s">
        <v>379</v>
      </c>
      <c r="E1504" s="98" t="s">
        <v>259</v>
      </c>
      <c r="F1504" s="98">
        <v>1768.7</v>
      </c>
      <c r="G1504" t="str">
        <f t="shared" si="24"/>
        <v>固收型</v>
      </c>
    </row>
    <row r="1505" spans="1:7">
      <c r="A1505" s="6">
        <v>44135</v>
      </c>
      <c r="B1505" s="98"/>
      <c r="C1505" s="98" t="s">
        <v>269</v>
      </c>
      <c r="D1505" s="98" t="s">
        <v>379</v>
      </c>
      <c r="E1505" s="98" t="s">
        <v>270</v>
      </c>
      <c r="F1505" s="98">
        <v>22328.18</v>
      </c>
      <c r="G1505" t="str">
        <f t="shared" si="24"/>
        <v>固收型</v>
      </c>
    </row>
    <row r="1506" spans="1:7">
      <c r="A1506" s="6">
        <v>44135</v>
      </c>
      <c r="B1506" s="98"/>
      <c r="C1506" s="98" t="s">
        <v>271</v>
      </c>
      <c r="D1506" s="98" t="s">
        <v>379</v>
      </c>
      <c r="E1506" s="98" t="s">
        <v>270</v>
      </c>
      <c r="F1506" s="98">
        <v>15453.07</v>
      </c>
      <c r="G1506" t="str">
        <f t="shared" si="24"/>
        <v>固收型</v>
      </c>
    </row>
    <row r="1507" spans="1:7">
      <c r="A1507" s="6">
        <v>44135</v>
      </c>
      <c r="B1507" s="98"/>
      <c r="C1507" s="98" t="s">
        <v>272</v>
      </c>
      <c r="D1507" s="98" t="s">
        <v>379</v>
      </c>
      <c r="E1507" s="98" t="s">
        <v>270</v>
      </c>
      <c r="F1507" s="98">
        <v>3877.6</v>
      </c>
      <c r="G1507" t="str">
        <f t="shared" si="24"/>
        <v>固收型</v>
      </c>
    </row>
    <row r="1508" spans="1:7">
      <c r="A1508" s="6">
        <v>44135</v>
      </c>
      <c r="B1508" s="98"/>
      <c r="C1508" s="98" t="s">
        <v>381</v>
      </c>
      <c r="D1508" s="98" t="s">
        <v>379</v>
      </c>
      <c r="E1508" s="98" t="s">
        <v>256</v>
      </c>
      <c r="F1508" s="98">
        <v>22.68</v>
      </c>
      <c r="G1508" t="str">
        <f t="shared" si="24"/>
        <v>固收型</v>
      </c>
    </row>
    <row r="1509" spans="1:7">
      <c r="A1509" s="6">
        <v>44135</v>
      </c>
      <c r="B1509" s="98" t="s">
        <v>382</v>
      </c>
      <c r="C1509" s="98" t="s">
        <v>254</v>
      </c>
      <c r="D1509" s="98" t="s">
        <v>383</v>
      </c>
      <c r="E1509" s="98" t="s">
        <v>256</v>
      </c>
      <c r="F1509" s="98">
        <v>196.92</v>
      </c>
      <c r="G1509" t="str">
        <f t="shared" si="24"/>
        <v>股票型</v>
      </c>
    </row>
    <row r="1510" spans="1:7">
      <c r="A1510" s="6">
        <v>44135</v>
      </c>
      <c r="B1510" s="98"/>
      <c r="C1510" s="98" t="s">
        <v>265</v>
      </c>
      <c r="D1510" s="98" t="s">
        <v>383</v>
      </c>
      <c r="E1510" s="98" t="s">
        <v>256</v>
      </c>
      <c r="F1510" s="98">
        <v>17.37</v>
      </c>
      <c r="G1510" t="str">
        <f t="shared" si="24"/>
        <v>股票型</v>
      </c>
    </row>
    <row r="1511" spans="1:7">
      <c r="A1511" s="6">
        <v>44135</v>
      </c>
      <c r="B1511" s="98"/>
      <c r="C1511" s="98" t="s">
        <v>266</v>
      </c>
      <c r="D1511" s="98" t="s">
        <v>383</v>
      </c>
      <c r="E1511" s="98" t="s">
        <v>256</v>
      </c>
      <c r="F1511" s="98">
        <v>1285.4100000000001</v>
      </c>
      <c r="G1511" t="str">
        <f t="shared" si="24"/>
        <v>股票型</v>
      </c>
    </row>
    <row r="1512" spans="1:7">
      <c r="A1512" s="6">
        <v>44135</v>
      </c>
      <c r="B1512" s="98" t="s">
        <v>384</v>
      </c>
      <c r="C1512" s="98" t="s">
        <v>254</v>
      </c>
      <c r="D1512" s="98" t="s">
        <v>385</v>
      </c>
      <c r="E1512" s="98" t="s">
        <v>256</v>
      </c>
      <c r="F1512" s="98">
        <v>682.7</v>
      </c>
      <c r="G1512" t="str">
        <f t="shared" si="24"/>
        <v>股票型</v>
      </c>
    </row>
    <row r="1513" spans="1:7">
      <c r="A1513" s="6">
        <v>44135</v>
      </c>
      <c r="B1513" s="98"/>
      <c r="C1513" s="98" t="s">
        <v>263</v>
      </c>
      <c r="D1513" s="98" t="s">
        <v>385</v>
      </c>
      <c r="E1513" s="98" t="s">
        <v>256</v>
      </c>
      <c r="F1513" s="98">
        <v>2.66</v>
      </c>
      <c r="G1513" t="str">
        <f t="shared" si="24"/>
        <v>股票型</v>
      </c>
    </row>
    <row r="1514" spans="1:7">
      <c r="A1514" s="6">
        <v>44135</v>
      </c>
      <c r="B1514" s="98"/>
      <c r="C1514" s="98" t="s">
        <v>289</v>
      </c>
      <c r="D1514" s="98" t="s">
        <v>385</v>
      </c>
      <c r="E1514" s="98" t="s">
        <v>259</v>
      </c>
      <c r="F1514" s="98">
        <v>1366.65</v>
      </c>
      <c r="G1514" t="str">
        <f t="shared" si="24"/>
        <v>股票型</v>
      </c>
    </row>
    <row r="1515" spans="1:7">
      <c r="A1515" s="6">
        <v>44135</v>
      </c>
      <c r="B1515" s="98"/>
      <c r="C1515" s="98" t="s">
        <v>301</v>
      </c>
      <c r="D1515" s="98" t="s">
        <v>385</v>
      </c>
      <c r="E1515" s="98" t="s">
        <v>259</v>
      </c>
      <c r="F1515" s="98">
        <v>2675.37</v>
      </c>
      <c r="G1515" t="str">
        <f t="shared" si="24"/>
        <v>股票型</v>
      </c>
    </row>
    <row r="1516" spans="1:7">
      <c r="A1516" s="6">
        <v>44135</v>
      </c>
      <c r="B1516" s="98" t="s">
        <v>386</v>
      </c>
      <c r="C1516" s="98" t="s">
        <v>254</v>
      </c>
      <c r="D1516" s="98" t="s">
        <v>387</v>
      </c>
      <c r="E1516" s="98" t="s">
        <v>256</v>
      </c>
      <c r="F1516" s="98">
        <v>124.81</v>
      </c>
      <c r="G1516" t="str">
        <f t="shared" si="24"/>
        <v>股票型</v>
      </c>
    </row>
    <row r="1517" spans="1:7">
      <c r="A1517" s="6">
        <v>44135</v>
      </c>
      <c r="B1517" s="98"/>
      <c r="C1517" s="98" t="s">
        <v>263</v>
      </c>
      <c r="D1517" s="98" t="s">
        <v>387</v>
      </c>
      <c r="E1517" s="98" t="s">
        <v>256</v>
      </c>
      <c r="F1517" s="98">
        <v>70.680000000000007</v>
      </c>
      <c r="G1517" t="str">
        <f t="shared" si="24"/>
        <v>股票型</v>
      </c>
    </row>
    <row r="1518" spans="1:7">
      <c r="A1518" s="6">
        <v>44135</v>
      </c>
      <c r="B1518" s="98"/>
      <c r="C1518" s="98" t="s">
        <v>257</v>
      </c>
      <c r="D1518" s="98" t="s">
        <v>387</v>
      </c>
      <c r="E1518" s="98" t="s">
        <v>256</v>
      </c>
      <c r="F1518" s="98">
        <v>907.41</v>
      </c>
      <c r="G1518" t="str">
        <f t="shared" si="24"/>
        <v>股票型</v>
      </c>
    </row>
    <row r="1519" spans="1:7">
      <c r="A1519" s="6">
        <v>44135</v>
      </c>
      <c r="B1519" s="98"/>
      <c r="C1519" s="98" t="s">
        <v>289</v>
      </c>
      <c r="D1519" s="98" t="s">
        <v>387</v>
      </c>
      <c r="E1519" s="98" t="s">
        <v>259</v>
      </c>
      <c r="F1519" s="98">
        <v>13454.97</v>
      </c>
      <c r="G1519" t="str">
        <f t="shared" si="24"/>
        <v>股票型</v>
      </c>
    </row>
    <row r="1520" spans="1:7">
      <c r="A1520" s="6">
        <v>44135</v>
      </c>
      <c r="B1520" s="98"/>
      <c r="C1520" s="98" t="s">
        <v>258</v>
      </c>
      <c r="D1520" s="98" t="s">
        <v>387</v>
      </c>
      <c r="E1520" s="98" t="s">
        <v>259</v>
      </c>
      <c r="F1520" s="98">
        <v>15071.93</v>
      </c>
      <c r="G1520" t="str">
        <f t="shared" si="24"/>
        <v>股票型</v>
      </c>
    </row>
    <row r="1521" spans="1:7">
      <c r="A1521" s="6">
        <v>44135</v>
      </c>
      <c r="B1521" s="98"/>
      <c r="C1521" s="98" t="s">
        <v>261</v>
      </c>
      <c r="D1521" s="98" t="s">
        <v>387</v>
      </c>
      <c r="E1521" s="98" t="s">
        <v>259</v>
      </c>
      <c r="F1521" s="98">
        <v>12219.77</v>
      </c>
      <c r="G1521" t="str">
        <f t="shared" si="24"/>
        <v>股票型</v>
      </c>
    </row>
    <row r="1522" spans="1:7">
      <c r="A1522" s="6">
        <v>44135</v>
      </c>
      <c r="B1522" s="98"/>
      <c r="C1522" s="98" t="s">
        <v>286</v>
      </c>
      <c r="D1522" s="98" t="s">
        <v>387</v>
      </c>
      <c r="E1522" s="98" t="s">
        <v>259</v>
      </c>
      <c r="F1522" s="98">
        <v>11146</v>
      </c>
      <c r="G1522" t="str">
        <f t="shared" si="24"/>
        <v>股票型</v>
      </c>
    </row>
    <row r="1523" spans="1:7">
      <c r="A1523" s="6">
        <v>44135</v>
      </c>
      <c r="B1523" s="98" t="s">
        <v>388</v>
      </c>
      <c r="C1523" s="98" t="s">
        <v>254</v>
      </c>
      <c r="D1523" s="98" t="s">
        <v>389</v>
      </c>
      <c r="E1523" s="98" t="s">
        <v>256</v>
      </c>
      <c r="F1523" s="98">
        <v>1073.1600000000001</v>
      </c>
      <c r="G1523" t="str">
        <f t="shared" si="24"/>
        <v>股票型</v>
      </c>
    </row>
    <row r="1524" spans="1:7">
      <c r="A1524" s="6">
        <v>44135</v>
      </c>
      <c r="B1524" s="98"/>
      <c r="C1524" s="98" t="s">
        <v>274</v>
      </c>
      <c r="D1524" s="98" t="s">
        <v>389</v>
      </c>
      <c r="E1524" s="98" t="s">
        <v>256</v>
      </c>
      <c r="F1524" s="98">
        <v>9004.2800000000007</v>
      </c>
      <c r="G1524" t="str">
        <f t="shared" si="24"/>
        <v>股票型</v>
      </c>
    </row>
    <row r="1525" spans="1:7">
      <c r="A1525" s="6">
        <v>44135</v>
      </c>
      <c r="B1525" s="98"/>
      <c r="C1525" s="98" t="s">
        <v>263</v>
      </c>
      <c r="D1525" s="98" t="s">
        <v>389</v>
      </c>
      <c r="E1525" s="98" t="s">
        <v>256</v>
      </c>
      <c r="F1525" s="98">
        <v>3.83</v>
      </c>
      <c r="G1525" t="str">
        <f t="shared" si="24"/>
        <v>股票型</v>
      </c>
    </row>
    <row r="1526" spans="1:7">
      <c r="A1526" s="6">
        <v>44135</v>
      </c>
      <c r="B1526" s="98"/>
      <c r="C1526" s="98" t="s">
        <v>257</v>
      </c>
      <c r="D1526" s="98" t="s">
        <v>389</v>
      </c>
      <c r="E1526" s="98" t="s">
        <v>256</v>
      </c>
      <c r="F1526" s="98">
        <v>323.32</v>
      </c>
      <c r="G1526" t="str">
        <f t="shared" si="24"/>
        <v>股票型</v>
      </c>
    </row>
    <row r="1527" spans="1:7">
      <c r="A1527" s="6">
        <v>44135</v>
      </c>
      <c r="B1527" s="98"/>
      <c r="C1527" s="98" t="s">
        <v>266</v>
      </c>
      <c r="D1527" s="98" t="s">
        <v>389</v>
      </c>
      <c r="E1527" s="98" t="s">
        <v>256</v>
      </c>
      <c r="F1527" s="98">
        <v>338.06</v>
      </c>
      <c r="G1527" t="str">
        <f t="shared" si="24"/>
        <v>股票型</v>
      </c>
    </row>
    <row r="1528" spans="1:7">
      <c r="A1528" s="6">
        <v>44135</v>
      </c>
      <c r="B1528" s="98"/>
      <c r="C1528" s="98" t="s">
        <v>284</v>
      </c>
      <c r="D1528" s="98" t="s">
        <v>389</v>
      </c>
      <c r="E1528" s="98" t="s">
        <v>259</v>
      </c>
      <c r="F1528" s="98">
        <v>4244.1099999999997</v>
      </c>
      <c r="G1528" t="str">
        <f t="shared" si="24"/>
        <v>股票型</v>
      </c>
    </row>
    <row r="1529" spans="1:7">
      <c r="A1529" s="6">
        <v>44135</v>
      </c>
      <c r="B1529" s="98"/>
      <c r="C1529" s="98" t="s">
        <v>258</v>
      </c>
      <c r="D1529" s="98" t="s">
        <v>389</v>
      </c>
      <c r="E1529" s="98" t="s">
        <v>259</v>
      </c>
      <c r="F1529" s="98">
        <v>1055.19</v>
      </c>
      <c r="G1529" t="str">
        <f t="shared" si="24"/>
        <v>股票型</v>
      </c>
    </row>
    <row r="1530" spans="1:7">
      <c r="A1530" s="6">
        <v>44135</v>
      </c>
      <c r="B1530" s="98"/>
      <c r="C1530" s="98" t="s">
        <v>260</v>
      </c>
      <c r="D1530" s="98" t="s">
        <v>389</v>
      </c>
      <c r="E1530" s="98" t="s">
        <v>259</v>
      </c>
      <c r="F1530" s="98">
        <v>2568.5700000000002</v>
      </c>
      <c r="G1530" t="str">
        <f t="shared" si="24"/>
        <v>股票型</v>
      </c>
    </row>
    <row r="1531" spans="1:7">
      <c r="A1531" s="6">
        <v>44135</v>
      </c>
      <c r="B1531" s="98" t="s">
        <v>390</v>
      </c>
      <c r="C1531" s="98" t="s">
        <v>257</v>
      </c>
      <c r="D1531" s="98" t="s">
        <v>391</v>
      </c>
      <c r="E1531" s="98" t="s">
        <v>256</v>
      </c>
      <c r="F1531" s="98">
        <v>91.85</v>
      </c>
      <c r="G1531" t="str">
        <f t="shared" si="24"/>
        <v>存款型</v>
      </c>
    </row>
    <row r="1532" spans="1:7">
      <c r="A1532" s="6">
        <v>44135</v>
      </c>
      <c r="B1532" s="98"/>
      <c r="C1532" s="98" t="s">
        <v>367</v>
      </c>
      <c r="D1532" s="98" t="s">
        <v>391</v>
      </c>
      <c r="E1532" s="98" t="s">
        <v>259</v>
      </c>
      <c r="F1532" s="98">
        <v>925.18</v>
      </c>
      <c r="G1532" t="str">
        <f t="shared" si="24"/>
        <v>存款型</v>
      </c>
    </row>
    <row r="1533" spans="1:7">
      <c r="A1533" s="6">
        <v>44135</v>
      </c>
      <c r="B1533" s="98" t="s">
        <v>392</v>
      </c>
      <c r="C1533" s="98" t="s">
        <v>266</v>
      </c>
      <c r="D1533" s="98" t="s">
        <v>393</v>
      </c>
      <c r="E1533" s="98" t="s">
        <v>256</v>
      </c>
      <c r="F1533" s="98">
        <v>51.24</v>
      </c>
      <c r="G1533" t="str">
        <f t="shared" si="24"/>
        <v>信托型</v>
      </c>
    </row>
    <row r="1534" spans="1:7">
      <c r="A1534" s="6">
        <v>44135</v>
      </c>
      <c r="B1534" s="98" t="s">
        <v>394</v>
      </c>
      <c r="C1534" s="98" t="s">
        <v>254</v>
      </c>
      <c r="D1534" s="98" t="s">
        <v>395</v>
      </c>
      <c r="E1534" s="98" t="s">
        <v>256</v>
      </c>
      <c r="F1534" s="98">
        <v>134.31</v>
      </c>
      <c r="G1534" t="str">
        <f t="shared" si="24"/>
        <v>基础设施债权</v>
      </c>
    </row>
    <row r="1535" spans="1:7">
      <c r="A1535" s="6">
        <v>44135</v>
      </c>
      <c r="B1535" s="98"/>
      <c r="C1535" s="98" t="s">
        <v>274</v>
      </c>
      <c r="D1535" s="98" t="s">
        <v>395</v>
      </c>
      <c r="E1535" s="98" t="s">
        <v>256</v>
      </c>
      <c r="F1535" s="98">
        <v>563.92999999999995</v>
      </c>
      <c r="G1535" t="str">
        <f t="shared" si="24"/>
        <v>基础设施债权</v>
      </c>
    </row>
    <row r="1536" spans="1:7">
      <c r="A1536" s="6">
        <v>44135</v>
      </c>
      <c r="B1536" s="98"/>
      <c r="C1536" s="98" t="s">
        <v>257</v>
      </c>
      <c r="D1536" s="98" t="s">
        <v>395</v>
      </c>
      <c r="E1536" s="98" t="s">
        <v>256</v>
      </c>
      <c r="F1536" s="98">
        <v>323.89999999999998</v>
      </c>
      <c r="G1536" t="str">
        <f t="shared" si="24"/>
        <v>基础设施债权</v>
      </c>
    </row>
    <row r="1537" spans="1:7">
      <c r="A1537" s="6">
        <v>44135</v>
      </c>
      <c r="B1537" s="98"/>
      <c r="C1537" s="98" t="s">
        <v>266</v>
      </c>
      <c r="D1537" s="98" t="s">
        <v>395</v>
      </c>
      <c r="E1537" s="98" t="s">
        <v>256</v>
      </c>
      <c r="F1537" s="98">
        <v>67.209999999999994</v>
      </c>
      <c r="G1537" t="str">
        <f t="shared" si="24"/>
        <v>基础设施债权</v>
      </c>
    </row>
    <row r="1538" spans="1:7">
      <c r="A1538" s="6">
        <v>44135</v>
      </c>
      <c r="B1538" s="98"/>
      <c r="C1538" s="98" t="s">
        <v>260</v>
      </c>
      <c r="D1538" s="98" t="s">
        <v>395</v>
      </c>
      <c r="E1538" s="98" t="s">
        <v>259</v>
      </c>
      <c r="F1538" s="98">
        <v>17665.259999999998</v>
      </c>
      <c r="G1538" t="str">
        <f t="shared" si="24"/>
        <v>基础设施债权</v>
      </c>
    </row>
    <row r="1539" spans="1:7">
      <c r="A1539" s="6">
        <v>44135</v>
      </c>
      <c r="B1539" s="98" t="s">
        <v>479</v>
      </c>
      <c r="C1539" s="98" t="s">
        <v>276</v>
      </c>
      <c r="D1539" s="98" t="s">
        <v>480</v>
      </c>
      <c r="E1539" s="98" t="s">
        <v>256</v>
      </c>
      <c r="F1539" s="98">
        <v>125.62</v>
      </c>
      <c r="G1539" t="str">
        <f t="shared" ref="G1539:G1602" si="25">VLOOKUP(D1539,L:N,3,0)</f>
        <v>混合型</v>
      </c>
    </row>
    <row r="1540" spans="1:7">
      <c r="A1540" s="6">
        <v>44135</v>
      </c>
      <c r="B1540" s="98" t="s">
        <v>396</v>
      </c>
      <c r="C1540" s="98" t="s">
        <v>274</v>
      </c>
      <c r="D1540" s="98" t="s">
        <v>397</v>
      </c>
      <c r="E1540" s="98" t="s">
        <v>256</v>
      </c>
      <c r="F1540" s="98">
        <v>40.17</v>
      </c>
      <c r="G1540" t="str">
        <f t="shared" si="25"/>
        <v>混合型</v>
      </c>
    </row>
    <row r="1541" spans="1:7">
      <c r="A1541" s="6">
        <v>44135</v>
      </c>
      <c r="B1541" s="98"/>
      <c r="C1541" s="98" t="s">
        <v>265</v>
      </c>
      <c r="D1541" s="98" t="s">
        <v>397</v>
      </c>
      <c r="E1541" s="98" t="s">
        <v>256</v>
      </c>
      <c r="F1541" s="98">
        <v>16</v>
      </c>
      <c r="G1541" t="str">
        <f t="shared" si="25"/>
        <v>混合型</v>
      </c>
    </row>
    <row r="1542" spans="1:7">
      <c r="A1542" s="6">
        <v>44135</v>
      </c>
      <c r="B1542" s="98"/>
      <c r="C1542" s="98" t="s">
        <v>257</v>
      </c>
      <c r="D1542" s="98" t="s">
        <v>397</v>
      </c>
      <c r="E1542" s="98" t="s">
        <v>256</v>
      </c>
      <c r="F1542" s="98">
        <v>2.11</v>
      </c>
      <c r="G1542" t="str">
        <f t="shared" si="25"/>
        <v>混合型</v>
      </c>
    </row>
    <row r="1543" spans="1:7">
      <c r="A1543" s="6">
        <v>44135</v>
      </c>
      <c r="B1543" s="98"/>
      <c r="C1543" s="98" t="s">
        <v>276</v>
      </c>
      <c r="D1543" s="98" t="s">
        <v>397</v>
      </c>
      <c r="E1543" s="98" t="s">
        <v>256</v>
      </c>
      <c r="F1543" s="98">
        <v>140.86000000000001</v>
      </c>
      <c r="G1543" t="str">
        <f t="shared" si="25"/>
        <v>混合型</v>
      </c>
    </row>
    <row r="1544" spans="1:7">
      <c r="A1544" s="6">
        <v>44135</v>
      </c>
      <c r="B1544" s="98"/>
      <c r="C1544" s="98" t="s">
        <v>283</v>
      </c>
      <c r="D1544" s="98" t="s">
        <v>397</v>
      </c>
      <c r="E1544" s="98" t="s">
        <v>256</v>
      </c>
      <c r="F1544" s="98">
        <v>2.33</v>
      </c>
      <c r="G1544" t="str">
        <f t="shared" si="25"/>
        <v>混合型</v>
      </c>
    </row>
    <row r="1545" spans="1:7">
      <c r="A1545" s="6">
        <v>44135</v>
      </c>
      <c r="B1545" s="98"/>
      <c r="C1545" s="98" t="s">
        <v>266</v>
      </c>
      <c r="D1545" s="98" t="s">
        <v>397</v>
      </c>
      <c r="E1545" s="98" t="s">
        <v>256</v>
      </c>
      <c r="F1545" s="98">
        <v>276.64</v>
      </c>
      <c r="G1545" t="str">
        <f t="shared" si="25"/>
        <v>混合型</v>
      </c>
    </row>
    <row r="1546" spans="1:7">
      <c r="A1546" s="6">
        <v>44135</v>
      </c>
      <c r="B1546" s="98"/>
      <c r="C1546" s="98" t="s">
        <v>290</v>
      </c>
      <c r="D1546" s="98" t="s">
        <v>397</v>
      </c>
      <c r="E1546" s="98" t="s">
        <v>259</v>
      </c>
      <c r="F1546" s="98">
        <v>2650.05</v>
      </c>
      <c r="G1546" t="str">
        <f t="shared" si="25"/>
        <v>混合型</v>
      </c>
    </row>
    <row r="1547" spans="1:7">
      <c r="A1547" s="6">
        <v>44135</v>
      </c>
      <c r="B1547" s="98" t="s">
        <v>398</v>
      </c>
      <c r="C1547" s="98" t="s">
        <v>274</v>
      </c>
      <c r="D1547" s="98" t="s">
        <v>399</v>
      </c>
      <c r="E1547" s="98" t="s">
        <v>256</v>
      </c>
      <c r="F1547" s="98">
        <v>217.33</v>
      </c>
      <c r="G1547" t="str">
        <f t="shared" si="25"/>
        <v>FOF</v>
      </c>
    </row>
    <row r="1548" spans="1:7">
      <c r="A1548" s="6">
        <v>44135</v>
      </c>
      <c r="B1548" s="98"/>
      <c r="C1548" s="98" t="s">
        <v>265</v>
      </c>
      <c r="D1548" s="98" t="s">
        <v>399</v>
      </c>
      <c r="E1548" s="98" t="s">
        <v>256</v>
      </c>
      <c r="F1548" s="98">
        <v>92.23</v>
      </c>
      <c r="G1548" t="str">
        <f t="shared" si="25"/>
        <v>FOF</v>
      </c>
    </row>
    <row r="1549" spans="1:7">
      <c r="A1549" s="6">
        <v>44135</v>
      </c>
      <c r="B1549" s="98"/>
      <c r="C1549" s="98" t="s">
        <v>257</v>
      </c>
      <c r="D1549" s="98" t="s">
        <v>399</v>
      </c>
      <c r="E1549" s="98" t="s">
        <v>256</v>
      </c>
      <c r="F1549" s="98">
        <v>114.19</v>
      </c>
      <c r="G1549" t="str">
        <f t="shared" si="25"/>
        <v>FOF</v>
      </c>
    </row>
    <row r="1550" spans="1:7">
      <c r="A1550" s="6">
        <v>44135</v>
      </c>
      <c r="B1550" s="98"/>
      <c r="C1550" s="98" t="s">
        <v>276</v>
      </c>
      <c r="D1550" s="98" t="s">
        <v>399</v>
      </c>
      <c r="E1550" s="98" t="s">
        <v>256</v>
      </c>
      <c r="F1550" s="98">
        <v>370.21</v>
      </c>
      <c r="G1550" t="str">
        <f t="shared" si="25"/>
        <v>FOF</v>
      </c>
    </row>
    <row r="1551" spans="1:7">
      <c r="A1551" s="6">
        <v>44135</v>
      </c>
      <c r="B1551" s="98"/>
      <c r="C1551" s="98" t="s">
        <v>283</v>
      </c>
      <c r="D1551" s="98" t="s">
        <v>399</v>
      </c>
      <c r="E1551" s="98" t="s">
        <v>256</v>
      </c>
      <c r="F1551" s="98">
        <v>37.950000000000003</v>
      </c>
      <c r="G1551" t="str">
        <f t="shared" si="25"/>
        <v>FOF</v>
      </c>
    </row>
    <row r="1552" spans="1:7">
      <c r="A1552" s="6">
        <v>44135</v>
      </c>
      <c r="B1552" s="98"/>
      <c r="C1552" s="98" t="s">
        <v>266</v>
      </c>
      <c r="D1552" s="98" t="s">
        <v>399</v>
      </c>
      <c r="E1552" s="98" t="s">
        <v>256</v>
      </c>
      <c r="F1552" s="98">
        <v>192.05</v>
      </c>
      <c r="G1552" t="str">
        <f t="shared" si="25"/>
        <v>FOF</v>
      </c>
    </row>
    <row r="1553" spans="1:7">
      <c r="A1553" s="6">
        <v>44135</v>
      </c>
      <c r="B1553" s="98"/>
      <c r="C1553" s="98" t="s">
        <v>290</v>
      </c>
      <c r="D1553" s="98" t="s">
        <v>399</v>
      </c>
      <c r="E1553" s="98" t="s">
        <v>259</v>
      </c>
      <c r="F1553" s="98">
        <v>2875.91</v>
      </c>
      <c r="G1553" t="str">
        <f t="shared" si="25"/>
        <v>FOF</v>
      </c>
    </row>
    <row r="1554" spans="1:7">
      <c r="A1554" s="6">
        <v>44135</v>
      </c>
      <c r="B1554" s="98" t="s">
        <v>400</v>
      </c>
      <c r="C1554" s="98" t="s">
        <v>274</v>
      </c>
      <c r="D1554" s="98" t="s">
        <v>401</v>
      </c>
      <c r="E1554" s="98" t="s">
        <v>256</v>
      </c>
      <c r="F1554" s="98">
        <v>216.95</v>
      </c>
      <c r="G1554" t="str">
        <f t="shared" si="25"/>
        <v>基础设施债权</v>
      </c>
    </row>
    <row r="1555" spans="1:7">
      <c r="A1555" s="6">
        <v>44135</v>
      </c>
      <c r="B1555" s="98"/>
      <c r="C1555" s="98" t="s">
        <v>257</v>
      </c>
      <c r="D1555" s="98" t="s">
        <v>401</v>
      </c>
      <c r="E1555" s="98" t="s">
        <v>256</v>
      </c>
      <c r="F1555" s="98">
        <v>267.76</v>
      </c>
      <c r="G1555" t="str">
        <f t="shared" si="25"/>
        <v>基础设施债权</v>
      </c>
    </row>
    <row r="1556" spans="1:7">
      <c r="A1556" s="6">
        <v>44135</v>
      </c>
      <c r="B1556" s="98"/>
      <c r="C1556" s="98" t="s">
        <v>266</v>
      </c>
      <c r="D1556" s="98" t="s">
        <v>401</v>
      </c>
      <c r="E1556" s="98" t="s">
        <v>256</v>
      </c>
      <c r="F1556" s="98">
        <v>19.25</v>
      </c>
      <c r="G1556" t="str">
        <f t="shared" si="25"/>
        <v>基础设施债权</v>
      </c>
    </row>
    <row r="1557" spans="1:7">
      <c r="A1557" s="6">
        <v>44135</v>
      </c>
      <c r="B1557" s="98" t="s">
        <v>402</v>
      </c>
      <c r="C1557" s="98" t="s">
        <v>276</v>
      </c>
      <c r="D1557" s="98" t="s">
        <v>403</v>
      </c>
      <c r="E1557" s="98" t="s">
        <v>256</v>
      </c>
      <c r="F1557" s="98">
        <v>527.49</v>
      </c>
      <c r="G1557" t="str">
        <f t="shared" si="25"/>
        <v>FOF</v>
      </c>
    </row>
    <row r="1558" spans="1:7">
      <c r="A1558" s="6">
        <v>44135</v>
      </c>
      <c r="B1558" s="98"/>
      <c r="C1558" s="98" t="s">
        <v>283</v>
      </c>
      <c r="D1558" s="98" t="s">
        <v>403</v>
      </c>
      <c r="E1558" s="98" t="s">
        <v>256</v>
      </c>
      <c r="F1558" s="98">
        <v>75.73</v>
      </c>
      <c r="G1558" t="str">
        <f t="shared" si="25"/>
        <v>FOF</v>
      </c>
    </row>
    <row r="1559" spans="1:7">
      <c r="A1559" s="6">
        <v>44135</v>
      </c>
      <c r="B1559" s="98"/>
      <c r="C1559" s="98" t="s">
        <v>266</v>
      </c>
      <c r="D1559" s="98" t="s">
        <v>403</v>
      </c>
      <c r="E1559" s="98" t="s">
        <v>256</v>
      </c>
      <c r="F1559" s="98">
        <v>213.78</v>
      </c>
      <c r="G1559" t="str">
        <f t="shared" si="25"/>
        <v>FOF</v>
      </c>
    </row>
    <row r="1560" spans="1:7">
      <c r="A1560" s="6">
        <v>44135</v>
      </c>
      <c r="B1560" s="98"/>
      <c r="C1560" s="98" t="s">
        <v>290</v>
      </c>
      <c r="D1560" s="98" t="s">
        <v>403</v>
      </c>
      <c r="E1560" s="98" t="s">
        <v>259</v>
      </c>
      <c r="F1560" s="98">
        <v>5224.8500000000004</v>
      </c>
      <c r="G1560" t="str">
        <f t="shared" si="25"/>
        <v>FOF</v>
      </c>
    </row>
    <row r="1561" spans="1:7">
      <c r="A1561" s="6">
        <v>44135</v>
      </c>
      <c r="B1561" s="98" t="s">
        <v>404</v>
      </c>
      <c r="C1561" s="98" t="s">
        <v>263</v>
      </c>
      <c r="D1561" s="98" t="s">
        <v>405</v>
      </c>
      <c r="E1561" s="98" t="s">
        <v>256</v>
      </c>
      <c r="F1561" s="98">
        <v>11.38</v>
      </c>
      <c r="G1561" t="str">
        <f t="shared" si="25"/>
        <v>基础设施债权</v>
      </c>
    </row>
    <row r="1562" spans="1:7">
      <c r="A1562" s="6">
        <v>44135</v>
      </c>
      <c r="B1562" s="98"/>
      <c r="C1562" s="98" t="s">
        <v>303</v>
      </c>
      <c r="D1562" s="98" t="s">
        <v>405</v>
      </c>
      <c r="E1562" s="98" t="s">
        <v>259</v>
      </c>
      <c r="F1562" s="98">
        <v>4518.8599999999997</v>
      </c>
      <c r="G1562" t="str">
        <f t="shared" si="25"/>
        <v>基础设施债权</v>
      </c>
    </row>
    <row r="1563" spans="1:7">
      <c r="A1563" s="6">
        <v>44135</v>
      </c>
      <c r="B1563" s="98" t="s">
        <v>406</v>
      </c>
      <c r="C1563" s="98" t="s">
        <v>263</v>
      </c>
      <c r="D1563" s="98" t="s">
        <v>407</v>
      </c>
      <c r="E1563" s="98" t="s">
        <v>256</v>
      </c>
      <c r="F1563" s="98">
        <v>16.63</v>
      </c>
      <c r="G1563" t="str">
        <f t="shared" si="25"/>
        <v>基础设施债权</v>
      </c>
    </row>
    <row r="1564" spans="1:7">
      <c r="A1564" s="6">
        <v>44135</v>
      </c>
      <c r="B1564" s="98"/>
      <c r="C1564" s="98" t="s">
        <v>290</v>
      </c>
      <c r="D1564" s="98" t="s">
        <v>407</v>
      </c>
      <c r="E1564" s="98" t="s">
        <v>259</v>
      </c>
      <c r="F1564" s="98">
        <v>721.22</v>
      </c>
      <c r="G1564" t="str">
        <f t="shared" si="25"/>
        <v>基础设施债权</v>
      </c>
    </row>
    <row r="1565" spans="1:7">
      <c r="A1565" s="6">
        <v>44135</v>
      </c>
      <c r="B1565" s="98" t="s">
        <v>408</v>
      </c>
      <c r="C1565" s="98" t="s">
        <v>263</v>
      </c>
      <c r="D1565" s="98" t="s">
        <v>409</v>
      </c>
      <c r="E1565" s="98" t="s">
        <v>256</v>
      </c>
      <c r="F1565" s="98">
        <v>6.91</v>
      </c>
      <c r="G1565" t="str">
        <f t="shared" si="25"/>
        <v>基础设施债权</v>
      </c>
    </row>
    <row r="1566" spans="1:7">
      <c r="A1566" s="6">
        <v>44135</v>
      </c>
      <c r="B1566" s="98"/>
      <c r="C1566" s="98" t="s">
        <v>260</v>
      </c>
      <c r="D1566" s="98" t="s">
        <v>409</v>
      </c>
      <c r="E1566" s="98" t="s">
        <v>259</v>
      </c>
      <c r="F1566" s="98">
        <v>8826.42</v>
      </c>
      <c r="G1566" t="str">
        <f t="shared" si="25"/>
        <v>基础设施债权</v>
      </c>
    </row>
    <row r="1567" spans="1:7">
      <c r="A1567" s="6">
        <v>44135</v>
      </c>
      <c r="B1567" s="98" t="s">
        <v>410</v>
      </c>
      <c r="C1567" s="98" t="s">
        <v>263</v>
      </c>
      <c r="D1567" s="98" t="s">
        <v>411</v>
      </c>
      <c r="E1567" s="98" t="s">
        <v>256</v>
      </c>
      <c r="F1567" s="98">
        <v>2.54</v>
      </c>
      <c r="G1567" t="str">
        <f t="shared" si="25"/>
        <v>基础设施债权</v>
      </c>
    </row>
    <row r="1568" spans="1:7">
      <c r="A1568" s="6">
        <v>44135</v>
      </c>
      <c r="B1568" s="98"/>
      <c r="C1568" s="98" t="s">
        <v>257</v>
      </c>
      <c r="D1568" s="98" t="s">
        <v>411</v>
      </c>
      <c r="E1568" s="98" t="s">
        <v>256</v>
      </c>
      <c r="F1568" s="98">
        <v>14.66</v>
      </c>
      <c r="G1568" t="str">
        <f t="shared" si="25"/>
        <v>基础设施债权</v>
      </c>
    </row>
    <row r="1569" spans="1:7">
      <c r="A1569" s="6">
        <v>44135</v>
      </c>
      <c r="B1569" s="98" t="s">
        <v>412</v>
      </c>
      <c r="C1569" s="98" t="s">
        <v>263</v>
      </c>
      <c r="D1569" s="98" t="s">
        <v>413</v>
      </c>
      <c r="E1569" s="98" t="s">
        <v>256</v>
      </c>
      <c r="F1569" s="98">
        <v>0.82</v>
      </c>
      <c r="G1569" t="str">
        <f t="shared" si="25"/>
        <v>信托型</v>
      </c>
    </row>
    <row r="1570" spans="1:7">
      <c r="A1570" s="6">
        <v>44135</v>
      </c>
      <c r="B1570" s="98"/>
      <c r="C1570" s="98" t="s">
        <v>380</v>
      </c>
      <c r="D1570" s="98" t="s">
        <v>413</v>
      </c>
      <c r="E1570" s="98" t="s">
        <v>259</v>
      </c>
      <c r="F1570" s="98">
        <v>3292.56</v>
      </c>
      <c r="G1570" t="str">
        <f t="shared" si="25"/>
        <v>信托型</v>
      </c>
    </row>
    <row r="1571" spans="1:7">
      <c r="A1571" s="6">
        <v>44135</v>
      </c>
      <c r="B1571" s="98"/>
      <c r="C1571" s="98" t="s">
        <v>414</v>
      </c>
      <c r="D1571" s="98" t="s">
        <v>413</v>
      </c>
      <c r="E1571" s="98" t="s">
        <v>259</v>
      </c>
      <c r="F1571" s="98">
        <v>4938.83</v>
      </c>
      <c r="G1571" t="str">
        <f t="shared" si="25"/>
        <v>信托型</v>
      </c>
    </row>
    <row r="1572" spans="1:7">
      <c r="A1572" s="6">
        <v>44135</v>
      </c>
      <c r="B1572" s="98" t="s">
        <v>415</v>
      </c>
      <c r="C1572" s="98" t="s">
        <v>266</v>
      </c>
      <c r="D1572" s="98" t="s">
        <v>416</v>
      </c>
      <c r="E1572" s="98" t="s">
        <v>256</v>
      </c>
      <c r="F1572" s="98">
        <v>0.3</v>
      </c>
      <c r="G1572" t="str">
        <f t="shared" si="25"/>
        <v>信托型</v>
      </c>
    </row>
    <row r="1573" spans="1:7">
      <c r="A1573" s="6">
        <v>44135</v>
      </c>
      <c r="B1573" s="98"/>
      <c r="C1573" s="98" t="s">
        <v>417</v>
      </c>
      <c r="D1573" s="98" t="s">
        <v>416</v>
      </c>
      <c r="E1573" s="98" t="s">
        <v>259</v>
      </c>
      <c r="F1573" s="98">
        <v>1471.96</v>
      </c>
      <c r="G1573" t="str">
        <f t="shared" si="25"/>
        <v>信托型</v>
      </c>
    </row>
    <row r="1574" spans="1:7">
      <c r="A1574" s="6">
        <v>44135</v>
      </c>
      <c r="B1574" s="98"/>
      <c r="C1574" s="98" t="s">
        <v>418</v>
      </c>
      <c r="D1574" s="98" t="s">
        <v>416</v>
      </c>
      <c r="E1574" s="98" t="s">
        <v>259</v>
      </c>
      <c r="F1574" s="98">
        <v>327.10000000000002</v>
      </c>
      <c r="G1574" t="str">
        <f t="shared" si="25"/>
        <v>信托型</v>
      </c>
    </row>
    <row r="1575" spans="1:7">
      <c r="A1575" s="6">
        <v>44135</v>
      </c>
      <c r="B1575" s="98"/>
      <c r="C1575" s="98" t="s">
        <v>419</v>
      </c>
      <c r="D1575" s="98" t="s">
        <v>416</v>
      </c>
      <c r="E1575" s="98" t="s">
        <v>259</v>
      </c>
      <c r="F1575" s="98">
        <v>3271.03</v>
      </c>
      <c r="G1575" t="str">
        <f t="shared" si="25"/>
        <v>信托型</v>
      </c>
    </row>
    <row r="1576" spans="1:7">
      <c r="A1576" s="6">
        <v>44135</v>
      </c>
      <c r="B1576" s="98" t="s">
        <v>420</v>
      </c>
      <c r="C1576" s="98" t="s">
        <v>274</v>
      </c>
      <c r="D1576" s="98" t="s">
        <v>421</v>
      </c>
      <c r="E1576" s="98" t="s">
        <v>256</v>
      </c>
      <c r="F1576" s="98">
        <v>54.91</v>
      </c>
      <c r="G1576" t="str">
        <f t="shared" si="25"/>
        <v>基础设施债权</v>
      </c>
    </row>
    <row r="1577" spans="1:7">
      <c r="A1577" s="6">
        <v>44135</v>
      </c>
      <c r="B1577" s="98"/>
      <c r="C1577" s="98" t="s">
        <v>263</v>
      </c>
      <c r="D1577" s="98" t="s">
        <v>421</v>
      </c>
      <c r="E1577" s="98" t="s">
        <v>256</v>
      </c>
      <c r="F1577" s="98">
        <v>6.63</v>
      </c>
      <c r="G1577" t="str">
        <f t="shared" si="25"/>
        <v>基础设施债权</v>
      </c>
    </row>
    <row r="1578" spans="1:7">
      <c r="A1578" s="6">
        <v>44135</v>
      </c>
      <c r="B1578" s="98"/>
      <c r="C1578" s="98" t="s">
        <v>266</v>
      </c>
      <c r="D1578" s="98" t="s">
        <v>421</v>
      </c>
      <c r="E1578" s="98" t="s">
        <v>256</v>
      </c>
      <c r="F1578" s="98">
        <v>14.63</v>
      </c>
      <c r="G1578" t="str">
        <f t="shared" si="25"/>
        <v>基础设施债权</v>
      </c>
    </row>
    <row r="1579" spans="1:7">
      <c r="A1579" s="6">
        <v>44135</v>
      </c>
      <c r="B1579" s="98"/>
      <c r="C1579" s="98" t="s">
        <v>302</v>
      </c>
      <c r="D1579" s="98" t="s">
        <v>421</v>
      </c>
      <c r="E1579" s="98" t="s">
        <v>259</v>
      </c>
      <c r="F1579" s="98">
        <v>682.26</v>
      </c>
      <c r="G1579" t="str">
        <f t="shared" si="25"/>
        <v>基础设施债权</v>
      </c>
    </row>
    <row r="1580" spans="1:7">
      <c r="A1580" s="6">
        <v>44135</v>
      </c>
      <c r="B1580" s="98"/>
      <c r="C1580" s="98" t="s">
        <v>277</v>
      </c>
      <c r="D1580" s="98" t="s">
        <v>421</v>
      </c>
      <c r="E1580" s="98" t="s">
        <v>259</v>
      </c>
      <c r="F1580" s="98">
        <v>66.06</v>
      </c>
      <c r="G1580" t="str">
        <f t="shared" si="25"/>
        <v>基础设施债权</v>
      </c>
    </row>
    <row r="1581" spans="1:7">
      <c r="A1581" s="6">
        <v>44135</v>
      </c>
      <c r="B1581" s="98" t="s">
        <v>422</v>
      </c>
      <c r="C1581" s="98" t="s">
        <v>266</v>
      </c>
      <c r="D1581" s="98" t="s">
        <v>423</v>
      </c>
      <c r="E1581" s="98" t="s">
        <v>256</v>
      </c>
      <c r="F1581" s="98">
        <v>44.78</v>
      </c>
      <c r="G1581" t="str">
        <f t="shared" si="25"/>
        <v>基础设施债权</v>
      </c>
    </row>
    <row r="1582" spans="1:7">
      <c r="A1582" s="6">
        <v>44135</v>
      </c>
      <c r="B1582" s="98"/>
      <c r="C1582" s="98" t="s">
        <v>260</v>
      </c>
      <c r="D1582" s="98" t="s">
        <v>423</v>
      </c>
      <c r="E1582" s="98" t="s">
        <v>259</v>
      </c>
      <c r="F1582" s="98">
        <v>2815.43</v>
      </c>
      <c r="G1582" t="str">
        <f t="shared" si="25"/>
        <v>基础设施债权</v>
      </c>
    </row>
    <row r="1583" spans="1:7">
      <c r="A1583" s="6">
        <v>44135</v>
      </c>
      <c r="B1583" s="98" t="s">
        <v>424</v>
      </c>
      <c r="C1583" s="98" t="s">
        <v>263</v>
      </c>
      <c r="D1583" s="98" t="s">
        <v>425</v>
      </c>
      <c r="E1583" s="98" t="s">
        <v>256</v>
      </c>
      <c r="F1583" s="98">
        <v>3.36</v>
      </c>
      <c r="G1583" t="str">
        <f t="shared" si="25"/>
        <v>基础设施债权</v>
      </c>
    </row>
    <row r="1584" spans="1:7">
      <c r="A1584" s="6">
        <v>44135</v>
      </c>
      <c r="B1584" s="98"/>
      <c r="C1584" s="98" t="s">
        <v>266</v>
      </c>
      <c r="D1584" s="98" t="s">
        <v>425</v>
      </c>
      <c r="E1584" s="98" t="s">
        <v>256</v>
      </c>
      <c r="F1584" s="98">
        <v>18.29</v>
      </c>
      <c r="G1584" t="str">
        <f t="shared" si="25"/>
        <v>基础设施债权</v>
      </c>
    </row>
    <row r="1585" spans="1:7">
      <c r="A1585" s="6">
        <v>44135</v>
      </c>
      <c r="B1585" s="98"/>
      <c r="C1585" s="98" t="s">
        <v>267</v>
      </c>
      <c r="D1585" s="98" t="s">
        <v>425</v>
      </c>
      <c r="E1585" s="98" t="s">
        <v>259</v>
      </c>
      <c r="F1585" s="98">
        <v>1387.72</v>
      </c>
      <c r="G1585" t="str">
        <f t="shared" si="25"/>
        <v>基础设施债权</v>
      </c>
    </row>
    <row r="1586" spans="1:7">
      <c r="A1586" s="6">
        <v>44135</v>
      </c>
      <c r="B1586" s="98"/>
      <c r="C1586" s="98" t="s">
        <v>290</v>
      </c>
      <c r="D1586" s="98" t="s">
        <v>425</v>
      </c>
      <c r="E1586" s="98" t="s">
        <v>259</v>
      </c>
      <c r="F1586" s="98">
        <v>970.85</v>
      </c>
      <c r="G1586" t="str">
        <f t="shared" si="25"/>
        <v>基础设施债权</v>
      </c>
    </row>
    <row r="1587" spans="1:7">
      <c r="A1587" s="6">
        <v>44135</v>
      </c>
      <c r="B1587" s="98"/>
      <c r="C1587" s="98" t="s">
        <v>260</v>
      </c>
      <c r="D1587" s="98" t="s">
        <v>425</v>
      </c>
      <c r="E1587" s="98" t="s">
        <v>259</v>
      </c>
      <c r="F1587" s="98">
        <v>2801.86</v>
      </c>
      <c r="G1587" t="str">
        <f t="shared" si="25"/>
        <v>基础设施债权</v>
      </c>
    </row>
    <row r="1588" spans="1:7">
      <c r="A1588" s="6">
        <v>44135</v>
      </c>
      <c r="B1588" s="98" t="s">
        <v>426</v>
      </c>
      <c r="C1588" s="98" t="s">
        <v>257</v>
      </c>
      <c r="D1588" s="98" t="s">
        <v>427</v>
      </c>
      <c r="E1588" s="98" t="s">
        <v>256</v>
      </c>
      <c r="F1588" s="98">
        <v>8.83</v>
      </c>
      <c r="G1588" t="str">
        <f t="shared" si="25"/>
        <v>基础设施债权</v>
      </c>
    </row>
    <row r="1589" spans="1:7">
      <c r="A1589" s="6">
        <v>44135</v>
      </c>
      <c r="B1589" s="98"/>
      <c r="C1589" s="98" t="s">
        <v>266</v>
      </c>
      <c r="D1589" s="98" t="s">
        <v>427</v>
      </c>
      <c r="E1589" s="98" t="s">
        <v>256</v>
      </c>
      <c r="F1589" s="98">
        <v>3.3</v>
      </c>
      <c r="G1589" t="str">
        <f t="shared" si="25"/>
        <v>基础设施债权</v>
      </c>
    </row>
    <row r="1590" spans="1:7">
      <c r="A1590" s="6">
        <v>44135</v>
      </c>
      <c r="B1590" s="98" t="s">
        <v>428</v>
      </c>
      <c r="C1590" s="98" t="s">
        <v>265</v>
      </c>
      <c r="D1590" s="98" t="s">
        <v>429</v>
      </c>
      <c r="E1590" s="98" t="s">
        <v>256</v>
      </c>
      <c r="F1590" s="98">
        <v>5.88</v>
      </c>
      <c r="G1590" t="str">
        <f t="shared" si="25"/>
        <v>信托型</v>
      </c>
    </row>
    <row r="1591" spans="1:7">
      <c r="A1591" s="6">
        <v>44135</v>
      </c>
      <c r="B1591" s="98"/>
      <c r="C1591" s="98" t="s">
        <v>257</v>
      </c>
      <c r="D1591" s="98" t="s">
        <v>429</v>
      </c>
      <c r="E1591" s="98" t="s">
        <v>256</v>
      </c>
      <c r="F1591" s="98">
        <v>4.6100000000000003</v>
      </c>
      <c r="G1591" t="str">
        <f t="shared" si="25"/>
        <v>信托型</v>
      </c>
    </row>
    <row r="1592" spans="1:7">
      <c r="A1592" s="6">
        <v>44135</v>
      </c>
      <c r="B1592" s="98"/>
      <c r="C1592" s="98" t="s">
        <v>431</v>
      </c>
      <c r="D1592" s="98" t="s">
        <v>429</v>
      </c>
      <c r="E1592" s="98" t="s">
        <v>259</v>
      </c>
      <c r="F1592" s="98">
        <v>1935.01</v>
      </c>
      <c r="G1592" t="str">
        <f t="shared" si="25"/>
        <v>信托型</v>
      </c>
    </row>
    <row r="1593" spans="1:7">
      <c r="A1593" s="6">
        <v>44135</v>
      </c>
      <c r="B1593" s="98"/>
      <c r="C1593" s="98" t="s">
        <v>432</v>
      </c>
      <c r="D1593" s="98" t="s">
        <v>429</v>
      </c>
      <c r="E1593" s="98" t="s">
        <v>259</v>
      </c>
      <c r="F1593" s="98">
        <v>1612.51</v>
      </c>
      <c r="G1593" t="str">
        <f t="shared" si="25"/>
        <v>信托型</v>
      </c>
    </row>
    <row r="1594" spans="1:7">
      <c r="A1594" s="6">
        <v>44135</v>
      </c>
      <c r="B1594" s="98"/>
      <c r="C1594" s="98" t="s">
        <v>481</v>
      </c>
      <c r="D1594" s="98" t="s">
        <v>429</v>
      </c>
      <c r="E1594" s="98" t="s">
        <v>259</v>
      </c>
      <c r="F1594" s="98">
        <v>806.25</v>
      </c>
      <c r="G1594" t="str">
        <f t="shared" si="25"/>
        <v>信托型</v>
      </c>
    </row>
    <row r="1595" spans="1:7">
      <c r="A1595" s="6">
        <v>44135</v>
      </c>
      <c r="B1595" s="98" t="s">
        <v>433</v>
      </c>
      <c r="C1595" s="98" t="s">
        <v>263</v>
      </c>
      <c r="D1595" s="98" t="s">
        <v>434</v>
      </c>
      <c r="E1595" s="98" t="s">
        <v>256</v>
      </c>
      <c r="F1595" s="98">
        <v>18.91</v>
      </c>
      <c r="G1595" t="str">
        <f t="shared" si="25"/>
        <v>信托型</v>
      </c>
    </row>
    <row r="1596" spans="1:7">
      <c r="A1596" s="6">
        <v>44135</v>
      </c>
      <c r="B1596" s="98"/>
      <c r="C1596" s="98" t="s">
        <v>266</v>
      </c>
      <c r="D1596" s="98" t="s">
        <v>434</v>
      </c>
      <c r="E1596" s="98" t="s">
        <v>256</v>
      </c>
      <c r="F1596" s="98">
        <v>44.93</v>
      </c>
      <c r="G1596" t="str">
        <f t="shared" si="25"/>
        <v>信托型</v>
      </c>
    </row>
    <row r="1597" spans="1:7">
      <c r="A1597" s="6">
        <v>44135</v>
      </c>
      <c r="B1597" s="98"/>
      <c r="C1597" s="98" t="s">
        <v>380</v>
      </c>
      <c r="D1597" s="98" t="s">
        <v>434</v>
      </c>
      <c r="E1597" s="98" t="s">
        <v>259</v>
      </c>
      <c r="F1597" s="98">
        <v>3139.04</v>
      </c>
      <c r="G1597" t="str">
        <f t="shared" si="25"/>
        <v>信托型</v>
      </c>
    </row>
    <row r="1598" spans="1:7">
      <c r="A1598" s="6">
        <v>44135</v>
      </c>
      <c r="B1598" s="98" t="s">
        <v>437</v>
      </c>
      <c r="C1598" s="98" t="s">
        <v>254</v>
      </c>
      <c r="D1598" s="98" t="s">
        <v>438</v>
      </c>
      <c r="E1598" s="98" t="s">
        <v>256</v>
      </c>
      <c r="F1598" s="98">
        <v>246.11</v>
      </c>
      <c r="G1598" t="str">
        <f t="shared" si="25"/>
        <v>基础设施债权</v>
      </c>
    </row>
    <row r="1599" spans="1:7">
      <c r="A1599" s="6">
        <v>44135</v>
      </c>
      <c r="B1599" s="98"/>
      <c r="C1599" s="98" t="s">
        <v>274</v>
      </c>
      <c r="D1599" s="98" t="s">
        <v>438</v>
      </c>
      <c r="E1599" s="98" t="s">
        <v>256</v>
      </c>
      <c r="F1599" s="98">
        <v>213.41</v>
      </c>
      <c r="G1599" t="str">
        <f t="shared" si="25"/>
        <v>基础设施债权</v>
      </c>
    </row>
    <row r="1600" spans="1:7">
      <c r="A1600" s="6">
        <v>44135</v>
      </c>
      <c r="B1600" s="98"/>
      <c r="C1600" s="98" t="s">
        <v>263</v>
      </c>
      <c r="D1600" s="98" t="s">
        <v>438</v>
      </c>
      <c r="E1600" s="98" t="s">
        <v>256</v>
      </c>
      <c r="F1600" s="98">
        <v>53.36</v>
      </c>
      <c r="G1600" t="str">
        <f t="shared" si="25"/>
        <v>基础设施债权</v>
      </c>
    </row>
    <row r="1601" spans="1:7">
      <c r="A1601" s="6">
        <v>44135</v>
      </c>
      <c r="B1601" s="98"/>
      <c r="C1601" s="98" t="s">
        <v>265</v>
      </c>
      <c r="D1601" s="98" t="s">
        <v>438</v>
      </c>
      <c r="E1601" s="98" t="s">
        <v>256</v>
      </c>
      <c r="F1601" s="98">
        <v>11.24</v>
      </c>
      <c r="G1601" t="str">
        <f t="shared" si="25"/>
        <v>基础设施债权</v>
      </c>
    </row>
    <row r="1602" spans="1:7">
      <c r="A1602" s="6">
        <v>44135</v>
      </c>
      <c r="B1602" s="98"/>
      <c r="C1602" s="98" t="s">
        <v>257</v>
      </c>
      <c r="D1602" s="98" t="s">
        <v>438</v>
      </c>
      <c r="E1602" s="98" t="s">
        <v>256</v>
      </c>
      <c r="F1602" s="98">
        <v>66.66</v>
      </c>
      <c r="G1602" t="str">
        <f t="shared" si="25"/>
        <v>基础设施债权</v>
      </c>
    </row>
    <row r="1603" spans="1:7">
      <c r="A1603" s="6">
        <v>44135</v>
      </c>
      <c r="B1603" s="98"/>
      <c r="C1603" s="98" t="s">
        <v>276</v>
      </c>
      <c r="D1603" s="98" t="s">
        <v>438</v>
      </c>
      <c r="E1603" s="98" t="s">
        <v>256</v>
      </c>
      <c r="F1603" s="98">
        <v>177.4</v>
      </c>
      <c r="G1603" t="str">
        <f t="shared" ref="G1603:G1651" si="26">VLOOKUP(D1603,L:N,3,0)</f>
        <v>基础设施债权</v>
      </c>
    </row>
    <row r="1604" spans="1:7">
      <c r="A1604" s="6">
        <v>44135</v>
      </c>
      <c r="B1604" s="98"/>
      <c r="C1604" s="98" t="s">
        <v>266</v>
      </c>
      <c r="D1604" s="98" t="s">
        <v>438</v>
      </c>
      <c r="E1604" s="98" t="s">
        <v>256</v>
      </c>
      <c r="F1604" s="98">
        <v>2.41</v>
      </c>
      <c r="G1604" t="str">
        <f t="shared" si="26"/>
        <v>基础设施债权</v>
      </c>
    </row>
    <row r="1605" spans="1:7">
      <c r="A1605" s="6">
        <v>44135</v>
      </c>
      <c r="B1605" s="98"/>
      <c r="C1605" s="98" t="s">
        <v>301</v>
      </c>
      <c r="D1605" s="98" t="s">
        <v>438</v>
      </c>
      <c r="E1605" s="98" t="s">
        <v>259</v>
      </c>
      <c r="F1605" s="98">
        <v>1805.46</v>
      </c>
      <c r="G1605" t="str">
        <f t="shared" si="26"/>
        <v>基础设施债权</v>
      </c>
    </row>
    <row r="1606" spans="1:7">
      <c r="A1606" s="6">
        <v>44135</v>
      </c>
      <c r="B1606" s="98" t="s">
        <v>439</v>
      </c>
      <c r="C1606" s="98" t="s">
        <v>254</v>
      </c>
      <c r="D1606" s="98" t="s">
        <v>440</v>
      </c>
      <c r="E1606" s="98" t="s">
        <v>256</v>
      </c>
      <c r="F1606" s="98">
        <v>305.81</v>
      </c>
      <c r="G1606" t="str">
        <f t="shared" si="26"/>
        <v>基础设施债权</v>
      </c>
    </row>
    <row r="1607" spans="1:7">
      <c r="A1607" s="6">
        <v>44135</v>
      </c>
      <c r="B1607" s="98"/>
      <c r="C1607" s="98" t="s">
        <v>274</v>
      </c>
      <c r="D1607" s="98" t="s">
        <v>440</v>
      </c>
      <c r="E1607" s="98" t="s">
        <v>256</v>
      </c>
      <c r="F1607" s="98">
        <v>1325.93</v>
      </c>
      <c r="G1607" t="str">
        <f t="shared" si="26"/>
        <v>基础设施债权</v>
      </c>
    </row>
    <row r="1608" spans="1:7">
      <c r="A1608" s="6">
        <v>44135</v>
      </c>
      <c r="B1608" s="98"/>
      <c r="C1608" s="98" t="s">
        <v>263</v>
      </c>
      <c r="D1608" s="98" t="s">
        <v>440</v>
      </c>
      <c r="E1608" s="98" t="s">
        <v>256</v>
      </c>
      <c r="F1608" s="98">
        <v>26.07</v>
      </c>
      <c r="G1608" t="str">
        <f t="shared" si="26"/>
        <v>基础设施债权</v>
      </c>
    </row>
    <row r="1609" spans="1:7">
      <c r="A1609" s="6">
        <v>44135</v>
      </c>
      <c r="B1609" s="98"/>
      <c r="C1609" s="98" t="s">
        <v>257</v>
      </c>
      <c r="D1609" s="98" t="s">
        <v>440</v>
      </c>
      <c r="E1609" s="98" t="s">
        <v>256</v>
      </c>
      <c r="F1609" s="98">
        <v>414.18</v>
      </c>
      <c r="G1609" t="str">
        <f t="shared" si="26"/>
        <v>基础设施债权</v>
      </c>
    </row>
    <row r="1610" spans="1:7">
      <c r="A1610" s="6">
        <v>44135</v>
      </c>
      <c r="B1610" s="98" t="s">
        <v>441</v>
      </c>
      <c r="C1610" s="98" t="s">
        <v>263</v>
      </c>
      <c r="D1610" s="98" t="s">
        <v>442</v>
      </c>
      <c r="E1610" s="98" t="s">
        <v>256</v>
      </c>
      <c r="F1610" s="98">
        <v>77.53</v>
      </c>
      <c r="G1610" t="str">
        <f t="shared" si="26"/>
        <v>固收型</v>
      </c>
    </row>
    <row r="1611" spans="1:7">
      <c r="A1611" s="6">
        <v>44135</v>
      </c>
      <c r="B1611" s="98"/>
      <c r="C1611" s="98" t="s">
        <v>265</v>
      </c>
      <c r="D1611" s="98" t="s">
        <v>442</v>
      </c>
      <c r="E1611" s="98" t="s">
        <v>256</v>
      </c>
      <c r="F1611" s="98">
        <v>26.84</v>
      </c>
      <c r="G1611" t="str">
        <f t="shared" si="26"/>
        <v>固收型</v>
      </c>
    </row>
    <row r="1612" spans="1:7">
      <c r="A1612" s="6">
        <v>44135</v>
      </c>
      <c r="B1612" s="98"/>
      <c r="C1612" s="98" t="s">
        <v>257</v>
      </c>
      <c r="D1612" s="98" t="s">
        <v>442</v>
      </c>
      <c r="E1612" s="98" t="s">
        <v>256</v>
      </c>
      <c r="F1612" s="98">
        <v>171.08</v>
      </c>
      <c r="G1612" t="str">
        <f t="shared" si="26"/>
        <v>固收型</v>
      </c>
    </row>
    <row r="1613" spans="1:7">
      <c r="A1613" s="6">
        <v>44135</v>
      </c>
      <c r="B1613" s="98"/>
      <c r="C1613" s="98" t="s">
        <v>258</v>
      </c>
      <c r="D1613" s="98" t="s">
        <v>442</v>
      </c>
      <c r="E1613" s="98" t="s">
        <v>259</v>
      </c>
      <c r="F1613" s="98">
        <v>1762.96</v>
      </c>
      <c r="G1613" t="str">
        <f t="shared" si="26"/>
        <v>固收型</v>
      </c>
    </row>
    <row r="1614" spans="1:7">
      <c r="A1614" s="6">
        <v>44135</v>
      </c>
      <c r="B1614" s="98"/>
      <c r="C1614" s="98" t="s">
        <v>277</v>
      </c>
      <c r="D1614" s="98" t="s">
        <v>442</v>
      </c>
      <c r="E1614" s="98" t="s">
        <v>259</v>
      </c>
      <c r="F1614" s="98">
        <v>1221.5899999999999</v>
      </c>
      <c r="G1614" t="str">
        <f t="shared" si="26"/>
        <v>固收型</v>
      </c>
    </row>
    <row r="1615" spans="1:7">
      <c r="A1615" s="6">
        <v>44135</v>
      </c>
      <c r="B1615" s="98"/>
      <c r="C1615" s="98" t="s">
        <v>261</v>
      </c>
      <c r="D1615" s="98" t="s">
        <v>442</v>
      </c>
      <c r="E1615" s="98" t="s">
        <v>259</v>
      </c>
      <c r="F1615" s="98">
        <v>15822.07</v>
      </c>
      <c r="G1615" t="str">
        <f t="shared" si="26"/>
        <v>固收型</v>
      </c>
    </row>
    <row r="1616" spans="1:7">
      <c r="A1616" s="6">
        <v>44135</v>
      </c>
      <c r="B1616" s="98"/>
      <c r="C1616" s="98" t="s">
        <v>286</v>
      </c>
      <c r="D1616" s="98" t="s">
        <v>442</v>
      </c>
      <c r="E1616" s="98" t="s">
        <v>259</v>
      </c>
      <c r="F1616" s="98">
        <v>7296.73</v>
      </c>
      <c r="G1616" t="str">
        <f t="shared" si="26"/>
        <v>固收型</v>
      </c>
    </row>
    <row r="1617" spans="1:7">
      <c r="A1617" s="6">
        <v>44135</v>
      </c>
      <c r="B1617" s="98" t="s">
        <v>443</v>
      </c>
      <c r="C1617" s="98" t="s">
        <v>263</v>
      </c>
      <c r="D1617" s="98" t="s">
        <v>444</v>
      </c>
      <c r="E1617" s="98" t="s">
        <v>256</v>
      </c>
      <c r="F1617" s="98">
        <v>42.59</v>
      </c>
      <c r="G1617" t="str">
        <f t="shared" si="26"/>
        <v>混合型</v>
      </c>
    </row>
    <row r="1618" spans="1:7">
      <c r="A1618" s="6">
        <v>44135</v>
      </c>
      <c r="B1618" s="98"/>
      <c r="C1618" s="98" t="s">
        <v>261</v>
      </c>
      <c r="D1618" s="98" t="s">
        <v>444</v>
      </c>
      <c r="E1618" s="98" t="s">
        <v>259</v>
      </c>
      <c r="F1618" s="98">
        <v>4675.68</v>
      </c>
      <c r="G1618" t="str">
        <f t="shared" si="26"/>
        <v>混合型</v>
      </c>
    </row>
    <row r="1619" spans="1:7">
      <c r="A1619" s="6">
        <v>44135</v>
      </c>
      <c r="B1619" s="98" t="s">
        <v>445</v>
      </c>
      <c r="C1619" s="98" t="s">
        <v>266</v>
      </c>
      <c r="D1619" s="98" t="s">
        <v>446</v>
      </c>
      <c r="E1619" s="98" t="s">
        <v>256</v>
      </c>
      <c r="F1619" s="98">
        <v>38.090000000000003</v>
      </c>
      <c r="G1619" t="str">
        <f t="shared" si="26"/>
        <v>混合型</v>
      </c>
    </row>
    <row r="1620" spans="1:7">
      <c r="A1620" s="6">
        <v>44135</v>
      </c>
      <c r="B1620" s="98" t="s">
        <v>447</v>
      </c>
      <c r="C1620" s="98" t="s">
        <v>254</v>
      </c>
      <c r="D1620" s="98" t="s">
        <v>448</v>
      </c>
      <c r="E1620" s="98" t="s">
        <v>256</v>
      </c>
      <c r="F1620" s="98">
        <v>196.56</v>
      </c>
      <c r="G1620" t="str">
        <f t="shared" si="26"/>
        <v>混合型</v>
      </c>
    </row>
    <row r="1621" spans="1:7">
      <c r="A1621" s="6">
        <v>44135</v>
      </c>
      <c r="B1621" s="98"/>
      <c r="C1621" s="98" t="s">
        <v>274</v>
      </c>
      <c r="D1621" s="98" t="s">
        <v>448</v>
      </c>
      <c r="E1621" s="98" t="s">
        <v>256</v>
      </c>
      <c r="F1621" s="98">
        <v>812.08</v>
      </c>
      <c r="G1621" t="str">
        <f t="shared" si="26"/>
        <v>混合型</v>
      </c>
    </row>
    <row r="1622" spans="1:7">
      <c r="A1622" s="6">
        <v>44135</v>
      </c>
      <c r="B1622" s="98"/>
      <c r="C1622" s="98" t="s">
        <v>265</v>
      </c>
      <c r="D1622" s="98" t="s">
        <v>448</v>
      </c>
      <c r="E1622" s="98" t="s">
        <v>256</v>
      </c>
      <c r="F1622" s="98">
        <v>44.67</v>
      </c>
      <c r="G1622" t="str">
        <f t="shared" si="26"/>
        <v>混合型</v>
      </c>
    </row>
    <row r="1623" spans="1:7">
      <c r="A1623" s="6">
        <v>44135</v>
      </c>
      <c r="B1623" s="98"/>
      <c r="C1623" s="98" t="s">
        <v>257</v>
      </c>
      <c r="D1623" s="98" t="s">
        <v>448</v>
      </c>
      <c r="E1623" s="98" t="s">
        <v>256</v>
      </c>
      <c r="F1623" s="98">
        <v>114.34</v>
      </c>
      <c r="G1623" t="str">
        <f t="shared" si="26"/>
        <v>混合型</v>
      </c>
    </row>
    <row r="1624" spans="1:7">
      <c r="A1624" s="6">
        <v>44135</v>
      </c>
      <c r="B1624" s="98"/>
      <c r="C1624" s="98" t="s">
        <v>267</v>
      </c>
      <c r="D1624" s="98" t="s">
        <v>448</v>
      </c>
      <c r="E1624" s="98" t="s">
        <v>259</v>
      </c>
      <c r="F1624" s="98">
        <v>642.44000000000005</v>
      </c>
      <c r="G1624" t="str">
        <f t="shared" si="26"/>
        <v>混合型</v>
      </c>
    </row>
    <row r="1625" spans="1:7">
      <c r="A1625" s="6">
        <v>44135</v>
      </c>
      <c r="B1625" s="98"/>
      <c r="C1625" s="98" t="s">
        <v>301</v>
      </c>
      <c r="D1625" s="98" t="s">
        <v>448</v>
      </c>
      <c r="E1625" s="98" t="s">
        <v>259</v>
      </c>
      <c r="F1625" s="98">
        <v>1204.58</v>
      </c>
      <c r="G1625" t="str">
        <f t="shared" si="26"/>
        <v>混合型</v>
      </c>
    </row>
    <row r="1626" spans="1:7">
      <c r="A1626" s="6">
        <v>44135</v>
      </c>
      <c r="B1626" s="98" t="s">
        <v>449</v>
      </c>
      <c r="C1626" s="98" t="s">
        <v>254</v>
      </c>
      <c r="D1626" s="98" t="s">
        <v>450</v>
      </c>
      <c r="E1626" s="98" t="s">
        <v>256</v>
      </c>
      <c r="F1626" s="98">
        <v>457.53</v>
      </c>
      <c r="G1626" t="str">
        <f t="shared" si="26"/>
        <v>混合型</v>
      </c>
    </row>
    <row r="1627" spans="1:7">
      <c r="A1627" s="6">
        <v>44135</v>
      </c>
      <c r="B1627" s="98"/>
      <c r="C1627" s="98" t="s">
        <v>274</v>
      </c>
      <c r="D1627" s="98" t="s">
        <v>450</v>
      </c>
      <c r="E1627" s="98" t="s">
        <v>256</v>
      </c>
      <c r="F1627" s="98">
        <v>1012.68</v>
      </c>
      <c r="G1627" t="str">
        <f t="shared" si="26"/>
        <v>混合型</v>
      </c>
    </row>
    <row r="1628" spans="1:7">
      <c r="A1628" s="6">
        <v>44135</v>
      </c>
      <c r="B1628" s="98"/>
      <c r="C1628" s="98" t="s">
        <v>265</v>
      </c>
      <c r="D1628" s="98" t="s">
        <v>450</v>
      </c>
      <c r="E1628" s="98" t="s">
        <v>256</v>
      </c>
      <c r="F1628" s="98">
        <v>57.24</v>
      </c>
      <c r="G1628" t="str">
        <f t="shared" si="26"/>
        <v>混合型</v>
      </c>
    </row>
    <row r="1629" spans="1:7">
      <c r="A1629" s="6">
        <v>44135</v>
      </c>
      <c r="B1629" s="98"/>
      <c r="C1629" s="98" t="s">
        <v>257</v>
      </c>
      <c r="D1629" s="98" t="s">
        <v>450</v>
      </c>
      <c r="E1629" s="98" t="s">
        <v>256</v>
      </c>
      <c r="F1629" s="98">
        <v>148.31</v>
      </c>
      <c r="G1629" t="str">
        <f t="shared" si="26"/>
        <v>混合型</v>
      </c>
    </row>
    <row r="1630" spans="1:7">
      <c r="A1630" s="6">
        <v>44135</v>
      </c>
      <c r="B1630" s="98"/>
      <c r="C1630" s="98" t="s">
        <v>266</v>
      </c>
      <c r="D1630" s="98" t="s">
        <v>450</v>
      </c>
      <c r="E1630" s="98" t="s">
        <v>256</v>
      </c>
      <c r="F1630" s="98">
        <v>23.01</v>
      </c>
      <c r="G1630" t="str">
        <f t="shared" si="26"/>
        <v>混合型</v>
      </c>
    </row>
    <row r="1631" spans="1:7">
      <c r="A1631" s="6">
        <v>44135</v>
      </c>
      <c r="B1631" s="98" t="s">
        <v>451</v>
      </c>
      <c r="C1631" s="98" t="s">
        <v>254</v>
      </c>
      <c r="D1631" s="98" t="s">
        <v>452</v>
      </c>
      <c r="E1631" s="98" t="s">
        <v>256</v>
      </c>
      <c r="F1631" s="98">
        <v>1191.8499999999999</v>
      </c>
      <c r="G1631" t="str">
        <f t="shared" si="26"/>
        <v>混合型</v>
      </c>
    </row>
    <row r="1632" spans="1:7">
      <c r="A1632" s="6">
        <v>44135</v>
      </c>
      <c r="B1632" s="98"/>
      <c r="C1632" s="98" t="s">
        <v>257</v>
      </c>
      <c r="D1632" s="98" t="s">
        <v>452</v>
      </c>
      <c r="E1632" s="98" t="s">
        <v>256</v>
      </c>
      <c r="F1632" s="98">
        <v>461.12</v>
      </c>
      <c r="G1632" t="str">
        <f t="shared" si="26"/>
        <v>混合型</v>
      </c>
    </row>
    <row r="1633" spans="1:7">
      <c r="A1633" s="6">
        <v>44135</v>
      </c>
      <c r="B1633" s="98"/>
      <c r="C1633" s="98" t="s">
        <v>258</v>
      </c>
      <c r="D1633" s="98" t="s">
        <v>452</v>
      </c>
      <c r="E1633" s="98" t="s">
        <v>259</v>
      </c>
      <c r="F1633" s="98">
        <v>3306.45</v>
      </c>
      <c r="G1633" t="str">
        <f t="shared" si="26"/>
        <v>混合型</v>
      </c>
    </row>
    <row r="1634" spans="1:7">
      <c r="A1634" s="6">
        <v>44135</v>
      </c>
      <c r="B1634" s="98" t="s">
        <v>453</v>
      </c>
      <c r="C1634" s="98" t="s">
        <v>260</v>
      </c>
      <c r="D1634" s="98" t="s">
        <v>454</v>
      </c>
      <c r="E1634" s="98" t="s">
        <v>259</v>
      </c>
      <c r="F1634" s="98">
        <v>431.03</v>
      </c>
      <c r="G1634" t="str">
        <f t="shared" si="26"/>
        <v>基础设施债权</v>
      </c>
    </row>
    <row r="1635" spans="1:7">
      <c r="A1635" s="6">
        <v>44135</v>
      </c>
      <c r="B1635" s="98" t="s">
        <v>455</v>
      </c>
      <c r="C1635" s="98" t="s">
        <v>260</v>
      </c>
      <c r="D1635" s="98" t="s">
        <v>456</v>
      </c>
      <c r="E1635" s="98" t="s">
        <v>259</v>
      </c>
      <c r="F1635" s="98">
        <v>3049.82</v>
      </c>
      <c r="G1635" t="str">
        <f t="shared" si="26"/>
        <v>基础设施债权</v>
      </c>
    </row>
    <row r="1636" spans="1:7">
      <c r="A1636" s="6">
        <v>44135</v>
      </c>
      <c r="B1636" s="98"/>
      <c r="C1636" s="98" t="s">
        <v>302</v>
      </c>
      <c r="D1636" s="98" t="s">
        <v>456</v>
      </c>
      <c r="E1636" s="98" t="s">
        <v>259</v>
      </c>
      <c r="F1636" s="98">
        <v>1205.8</v>
      </c>
      <c r="G1636" t="str">
        <f t="shared" si="26"/>
        <v>基础设施债权</v>
      </c>
    </row>
    <row r="1637" spans="1:7">
      <c r="A1637" s="6">
        <v>44135</v>
      </c>
      <c r="B1637" s="98" t="s">
        <v>457</v>
      </c>
      <c r="C1637" s="98" t="s">
        <v>302</v>
      </c>
      <c r="D1637" s="98" t="s">
        <v>458</v>
      </c>
      <c r="E1637" s="98" t="s">
        <v>259</v>
      </c>
      <c r="F1637" s="98">
        <v>234.96</v>
      </c>
      <c r="G1637" t="str">
        <f t="shared" si="26"/>
        <v>存款型</v>
      </c>
    </row>
    <row r="1638" spans="1:7">
      <c r="A1638" s="6">
        <v>44135</v>
      </c>
      <c r="B1638" s="98" t="s">
        <v>459</v>
      </c>
      <c r="C1638" s="98" t="s">
        <v>460</v>
      </c>
      <c r="D1638" s="98" t="s">
        <v>461</v>
      </c>
      <c r="E1638" s="98" t="s">
        <v>259</v>
      </c>
      <c r="F1638" s="98">
        <v>493.96</v>
      </c>
      <c r="G1638" t="str">
        <f t="shared" si="26"/>
        <v>存款型</v>
      </c>
    </row>
    <row r="1639" spans="1:7">
      <c r="A1639" s="6">
        <v>44135</v>
      </c>
      <c r="B1639" s="98"/>
      <c r="C1639" s="98" t="s">
        <v>462</v>
      </c>
      <c r="D1639" s="98" t="s">
        <v>461</v>
      </c>
      <c r="E1639" s="98" t="s">
        <v>259</v>
      </c>
      <c r="F1639" s="98">
        <v>493.96</v>
      </c>
      <c r="G1639" t="str">
        <f t="shared" si="26"/>
        <v>存款型</v>
      </c>
    </row>
    <row r="1640" spans="1:7">
      <c r="A1640" s="6">
        <v>44135</v>
      </c>
      <c r="B1640" s="98" t="s">
        <v>463</v>
      </c>
      <c r="C1640" s="98" t="s">
        <v>254</v>
      </c>
      <c r="D1640" s="98" t="s">
        <v>464</v>
      </c>
      <c r="E1640" s="98" t="s">
        <v>256</v>
      </c>
      <c r="F1640" s="98">
        <v>139.22</v>
      </c>
      <c r="G1640" t="str">
        <f t="shared" si="26"/>
        <v>混合型</v>
      </c>
    </row>
    <row r="1641" spans="1:7">
      <c r="A1641" s="6">
        <v>44135</v>
      </c>
      <c r="B1641" s="98"/>
      <c r="C1641" s="98" t="s">
        <v>265</v>
      </c>
      <c r="D1641" s="98" t="s">
        <v>464</v>
      </c>
      <c r="E1641" s="98" t="s">
        <v>256</v>
      </c>
      <c r="F1641" s="98">
        <v>18.600000000000001</v>
      </c>
      <c r="G1641" t="str">
        <f t="shared" si="26"/>
        <v>混合型</v>
      </c>
    </row>
    <row r="1642" spans="1:7">
      <c r="A1642" s="6">
        <v>44135</v>
      </c>
      <c r="B1642" s="98"/>
      <c r="C1642" s="98" t="s">
        <v>266</v>
      </c>
      <c r="D1642" s="98" t="s">
        <v>464</v>
      </c>
      <c r="E1642" s="98" t="s">
        <v>256</v>
      </c>
      <c r="F1642" s="98">
        <v>66.19</v>
      </c>
      <c r="G1642" t="str">
        <f t="shared" si="26"/>
        <v>混合型</v>
      </c>
    </row>
    <row r="1643" spans="1:7">
      <c r="A1643" s="6">
        <v>44135</v>
      </c>
      <c r="B1643" s="98" t="s">
        <v>465</v>
      </c>
      <c r="C1643" s="98" t="s">
        <v>274</v>
      </c>
      <c r="D1643" s="98" t="s">
        <v>466</v>
      </c>
      <c r="E1643" s="98" t="s">
        <v>256</v>
      </c>
      <c r="F1643" s="98">
        <v>561.91</v>
      </c>
      <c r="G1643" t="str">
        <f t="shared" si="26"/>
        <v>混合型</v>
      </c>
    </row>
    <row r="1644" spans="1:7">
      <c r="A1644" s="6">
        <v>44135</v>
      </c>
      <c r="B1644" s="98"/>
      <c r="C1644" s="98" t="s">
        <v>263</v>
      </c>
      <c r="D1644" s="98" t="s">
        <v>466</v>
      </c>
      <c r="E1644" s="98" t="s">
        <v>256</v>
      </c>
      <c r="F1644" s="98">
        <v>3.39</v>
      </c>
      <c r="G1644" t="str">
        <f t="shared" si="26"/>
        <v>混合型</v>
      </c>
    </row>
    <row r="1645" spans="1:7">
      <c r="A1645" s="6">
        <v>44135</v>
      </c>
      <c r="B1645" s="98" t="s">
        <v>467</v>
      </c>
      <c r="C1645" s="98" t="s">
        <v>266</v>
      </c>
      <c r="D1645" s="98" t="s">
        <v>468</v>
      </c>
      <c r="E1645" s="98" t="s">
        <v>256</v>
      </c>
      <c r="F1645" s="98">
        <v>167.52</v>
      </c>
      <c r="G1645" t="str">
        <f t="shared" si="26"/>
        <v>混合型</v>
      </c>
    </row>
    <row r="1646" spans="1:7">
      <c r="A1646" s="6">
        <v>44135</v>
      </c>
      <c r="B1646" s="98" t="s">
        <v>482</v>
      </c>
      <c r="C1646" s="98" t="s">
        <v>254</v>
      </c>
      <c r="D1646" s="98" t="s">
        <v>483</v>
      </c>
      <c r="E1646" s="98" t="s">
        <v>256</v>
      </c>
      <c r="F1646" s="98">
        <v>481.67</v>
      </c>
      <c r="G1646" t="str">
        <f t="shared" si="26"/>
        <v>基础设施债权</v>
      </c>
    </row>
    <row r="1647" spans="1:7">
      <c r="A1647" s="6">
        <v>44135</v>
      </c>
      <c r="B1647" s="98"/>
      <c r="C1647" s="98" t="s">
        <v>274</v>
      </c>
      <c r="D1647" s="98" t="s">
        <v>483</v>
      </c>
      <c r="E1647" s="98" t="s">
        <v>256</v>
      </c>
      <c r="F1647" s="98">
        <v>1393.56</v>
      </c>
      <c r="G1647" t="str">
        <f t="shared" si="26"/>
        <v>基础设施债权</v>
      </c>
    </row>
    <row r="1648" spans="1:7">
      <c r="A1648" s="6">
        <v>44135</v>
      </c>
      <c r="B1648" s="98"/>
      <c r="C1648" s="98" t="s">
        <v>257</v>
      </c>
      <c r="D1648" s="98" t="s">
        <v>483</v>
      </c>
      <c r="E1648" s="98" t="s">
        <v>256</v>
      </c>
      <c r="F1648" s="98">
        <v>356.44</v>
      </c>
      <c r="G1648" t="str">
        <f t="shared" si="26"/>
        <v>基础设施债权</v>
      </c>
    </row>
    <row r="1649" spans="1:7">
      <c r="A1649" s="6">
        <v>44135</v>
      </c>
      <c r="B1649" s="98"/>
      <c r="C1649" s="98" t="s">
        <v>276</v>
      </c>
      <c r="D1649" s="98" t="s">
        <v>483</v>
      </c>
      <c r="E1649" s="98" t="s">
        <v>256</v>
      </c>
      <c r="F1649" s="98">
        <v>295.58</v>
      </c>
      <c r="G1649" t="str">
        <f t="shared" si="26"/>
        <v>基础设施债权</v>
      </c>
    </row>
    <row r="1650" spans="1:7">
      <c r="A1650" s="6">
        <v>44135</v>
      </c>
      <c r="B1650" s="98" t="s">
        <v>484</v>
      </c>
      <c r="C1650" s="98" t="s">
        <v>265</v>
      </c>
      <c r="D1650" s="98" t="s">
        <v>485</v>
      </c>
      <c r="E1650" s="98" t="s">
        <v>256</v>
      </c>
      <c r="F1650" s="98">
        <v>17.059999999999999</v>
      </c>
      <c r="G1650" t="str">
        <f t="shared" si="26"/>
        <v>股票型</v>
      </c>
    </row>
    <row r="1651" spans="1:7">
      <c r="A1651" s="6">
        <v>44135</v>
      </c>
      <c r="B1651" s="98" t="s">
        <v>532</v>
      </c>
      <c r="C1651" s="98" t="s">
        <v>257</v>
      </c>
      <c r="D1651" s="98" t="s">
        <v>533</v>
      </c>
      <c r="E1651" s="98" t="s">
        <v>256</v>
      </c>
      <c r="F1651" s="98">
        <v>9.4499999999999993</v>
      </c>
      <c r="G1651" t="e">
        <f t="shared" si="26"/>
        <v>#N/A</v>
      </c>
    </row>
  </sheetData>
  <sortState ref="S3:T13">
    <sortCondition descending="1" ref="T3:T13"/>
  </sortState>
  <phoneticPr fontId="18" type="noConversion"/>
  <pageMargins left="0.7" right="0.7" top="0.75" bottom="0.75" header="0.3" footer="0.3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R147"/>
  <sheetViews>
    <sheetView topLeftCell="F112" workbookViewId="0">
      <selection activeCell="H141" sqref="H141:H147"/>
    </sheetView>
  </sheetViews>
  <sheetFormatPr defaultColWidth="9" defaultRowHeight="13.8"/>
  <cols>
    <col min="1" max="1" width="11.21875" customWidth="1"/>
    <col min="4" max="4" width="20.33203125" customWidth="1"/>
    <col min="8" max="8" width="11.21875" bestFit="1" customWidth="1"/>
    <col min="10" max="10" width="17.21875" style="25" customWidth="1"/>
    <col min="11" max="11" width="16.44140625" customWidth="1"/>
    <col min="12" max="13" width="22" customWidth="1"/>
    <col min="14" max="14" width="76" customWidth="1"/>
    <col min="15" max="16" width="13.6640625" customWidth="1"/>
    <col min="17" max="17" width="16.44140625" customWidth="1"/>
  </cols>
  <sheetData>
    <row r="1" spans="1:18" ht="18.600000000000001">
      <c r="A1" t="s">
        <v>0</v>
      </c>
      <c r="B1" s="7" t="s">
        <v>59</v>
      </c>
      <c r="C1" s="20" t="s">
        <v>10</v>
      </c>
      <c r="D1" s="20" t="s">
        <v>62</v>
      </c>
      <c r="H1" t="s">
        <v>0</v>
      </c>
      <c r="I1" s="26" t="s">
        <v>59</v>
      </c>
      <c r="J1" s="27" t="s">
        <v>14</v>
      </c>
      <c r="K1" s="28" t="s">
        <v>22</v>
      </c>
      <c r="L1" s="28" t="s">
        <v>62</v>
      </c>
      <c r="M1" s="28" t="s">
        <v>63</v>
      </c>
      <c r="N1" s="26" t="s">
        <v>64</v>
      </c>
      <c r="O1" s="29" t="s">
        <v>209</v>
      </c>
      <c r="P1" s="29" t="s">
        <v>66</v>
      </c>
      <c r="Q1" s="29" t="s">
        <v>210</v>
      </c>
      <c r="R1" s="29" t="s">
        <v>36</v>
      </c>
    </row>
    <row r="2" spans="1:18" ht="18.600000000000001">
      <c r="A2" s="6">
        <v>43220</v>
      </c>
      <c r="B2" s="7" t="s">
        <v>19</v>
      </c>
      <c r="C2" s="20">
        <v>4340</v>
      </c>
      <c r="D2" s="23">
        <v>279800.24</v>
      </c>
      <c r="H2" s="6">
        <v>43524</v>
      </c>
      <c r="I2" s="30" t="s">
        <v>19</v>
      </c>
      <c r="J2" s="31">
        <v>178667.99</v>
      </c>
      <c r="K2" s="32">
        <v>10720.08</v>
      </c>
      <c r="L2" s="32">
        <v>189388.07</v>
      </c>
      <c r="M2" s="32">
        <v>210431.19</v>
      </c>
      <c r="N2" s="30" t="s">
        <v>68</v>
      </c>
      <c r="O2" t="s">
        <v>69</v>
      </c>
      <c r="P2">
        <v>201902</v>
      </c>
      <c r="Q2" t="s">
        <v>67</v>
      </c>
    </row>
    <row r="3" spans="1:18" ht="18.600000000000001">
      <c r="A3" s="6">
        <v>43251</v>
      </c>
      <c r="B3" s="7" t="s">
        <v>19</v>
      </c>
      <c r="C3" s="20">
        <v>4340</v>
      </c>
      <c r="D3" s="23">
        <v>290232.51</v>
      </c>
      <c r="H3" s="6">
        <v>43524</v>
      </c>
      <c r="I3" s="30" t="s">
        <v>19</v>
      </c>
      <c r="J3" s="31">
        <v>1429332.25</v>
      </c>
      <c r="K3" s="32">
        <v>85759.93</v>
      </c>
      <c r="L3" s="32">
        <v>1515092.18</v>
      </c>
      <c r="M3" s="32">
        <v>1683435.76</v>
      </c>
      <c r="N3" s="30" t="s">
        <v>70</v>
      </c>
      <c r="O3" t="s">
        <v>69</v>
      </c>
      <c r="P3">
        <v>201901</v>
      </c>
      <c r="Q3" t="s">
        <v>13</v>
      </c>
    </row>
    <row r="4" spans="1:18" ht="18.600000000000001">
      <c r="A4" s="6">
        <v>43281</v>
      </c>
      <c r="B4" s="7" t="s">
        <v>19</v>
      </c>
      <c r="C4" s="20">
        <v>4340</v>
      </c>
      <c r="D4" s="23">
        <v>269337.44</v>
      </c>
      <c r="H4" s="6">
        <v>43524</v>
      </c>
      <c r="I4" s="30" t="s">
        <v>19</v>
      </c>
      <c r="J4" s="31">
        <v>1161281.19</v>
      </c>
      <c r="K4" s="32">
        <v>69676.87</v>
      </c>
      <c r="L4" s="32">
        <v>1230958.06</v>
      </c>
      <c r="M4" s="32">
        <v>1367731.18</v>
      </c>
      <c r="N4" s="30" t="s">
        <v>71</v>
      </c>
      <c r="O4" t="s">
        <v>69</v>
      </c>
      <c r="P4">
        <v>201902</v>
      </c>
      <c r="Q4" t="s">
        <v>13</v>
      </c>
    </row>
    <row r="5" spans="1:18" ht="18.600000000000001">
      <c r="A5" s="6">
        <v>43312</v>
      </c>
      <c r="B5" s="7" t="s">
        <v>19</v>
      </c>
      <c r="C5" s="20">
        <v>4340</v>
      </c>
      <c r="D5" s="23">
        <v>270240.08</v>
      </c>
      <c r="H5" s="6">
        <v>43524</v>
      </c>
      <c r="I5" s="30" t="s">
        <v>19</v>
      </c>
      <c r="J5" s="31">
        <v>44907.08</v>
      </c>
      <c r="K5" s="32">
        <v>2694.42</v>
      </c>
      <c r="L5" s="32">
        <v>47601.5</v>
      </c>
      <c r="M5" s="32">
        <v>52890.559999999998</v>
      </c>
      <c r="N5" s="30" t="s">
        <v>72</v>
      </c>
      <c r="O5" t="s">
        <v>73</v>
      </c>
      <c r="P5">
        <v>201901</v>
      </c>
      <c r="Q5" t="s">
        <v>67</v>
      </c>
    </row>
    <row r="6" spans="1:18" ht="18.600000000000001">
      <c r="A6" s="6">
        <v>43343</v>
      </c>
      <c r="B6" s="7" t="s">
        <v>19</v>
      </c>
      <c r="C6" s="20">
        <v>4340</v>
      </c>
      <c r="D6" s="23">
        <v>259502.17</v>
      </c>
      <c r="H6" s="6">
        <v>43524</v>
      </c>
      <c r="I6" s="30" t="s">
        <v>19</v>
      </c>
      <c r="J6" s="31">
        <v>100864.74</v>
      </c>
      <c r="K6" s="32">
        <v>6051.89</v>
      </c>
      <c r="L6" s="32">
        <v>106916.63</v>
      </c>
      <c r="M6" s="32">
        <v>118796.25</v>
      </c>
      <c r="N6" s="30" t="s">
        <v>74</v>
      </c>
      <c r="O6" t="s">
        <v>75</v>
      </c>
      <c r="P6">
        <v>201901</v>
      </c>
      <c r="Q6" t="s">
        <v>67</v>
      </c>
    </row>
    <row r="7" spans="1:18" ht="18.600000000000001">
      <c r="A7" s="6">
        <v>43373</v>
      </c>
      <c r="B7" s="7" t="s">
        <v>19</v>
      </c>
      <c r="C7" s="20">
        <v>4340</v>
      </c>
      <c r="D7" s="23">
        <v>253373.74</v>
      </c>
      <c r="H7" s="6">
        <v>43524</v>
      </c>
      <c r="I7" s="30" t="s">
        <v>19</v>
      </c>
      <c r="J7" s="31">
        <v>11970.75</v>
      </c>
      <c r="K7" s="32">
        <v>718.24</v>
      </c>
      <c r="L7" s="32">
        <v>12688.99</v>
      </c>
      <c r="M7" s="32">
        <v>14098.88</v>
      </c>
      <c r="N7" s="30" t="s">
        <v>76</v>
      </c>
      <c r="O7" t="s">
        <v>65</v>
      </c>
      <c r="P7">
        <v>201901</v>
      </c>
      <c r="Q7" t="s">
        <v>67</v>
      </c>
    </row>
    <row r="8" spans="1:18" ht="18.600000000000001">
      <c r="A8" s="6">
        <v>43404</v>
      </c>
      <c r="B8" s="7" t="s">
        <v>19</v>
      </c>
      <c r="C8" s="20">
        <v>4340</v>
      </c>
      <c r="D8" s="23">
        <v>255295.29</v>
      </c>
      <c r="H8" s="6">
        <v>43524</v>
      </c>
      <c r="I8" s="30" t="s">
        <v>19</v>
      </c>
      <c r="J8" s="31">
        <v>31694.48</v>
      </c>
      <c r="K8" s="32">
        <v>1901.67</v>
      </c>
      <c r="L8" s="32">
        <v>33596.15</v>
      </c>
      <c r="M8" s="32">
        <v>37329.06</v>
      </c>
      <c r="N8" s="30" t="s">
        <v>77</v>
      </c>
      <c r="O8" t="s">
        <v>73</v>
      </c>
      <c r="P8">
        <v>201902</v>
      </c>
      <c r="Q8" t="s">
        <v>67</v>
      </c>
    </row>
    <row r="9" spans="1:18" ht="18.600000000000001">
      <c r="A9" s="6">
        <v>43131</v>
      </c>
      <c r="B9" s="7" t="s">
        <v>19</v>
      </c>
      <c r="C9" s="20">
        <v>4340</v>
      </c>
      <c r="D9" s="5">
        <v>223124.86</v>
      </c>
      <c r="H9" s="6">
        <v>43524</v>
      </c>
      <c r="I9" s="30" t="s">
        <v>19</v>
      </c>
      <c r="J9" s="31">
        <v>86085.43</v>
      </c>
      <c r="K9" s="32">
        <v>5165.1200000000099</v>
      </c>
      <c r="L9" s="32">
        <v>91250.55</v>
      </c>
      <c r="M9" s="32">
        <v>101389.51</v>
      </c>
      <c r="N9" s="30" t="s">
        <v>78</v>
      </c>
      <c r="O9" t="s">
        <v>75</v>
      </c>
      <c r="P9">
        <v>201902</v>
      </c>
      <c r="Q9" t="s">
        <v>67</v>
      </c>
    </row>
    <row r="10" spans="1:18" ht="17.399999999999999">
      <c r="A10" s="6">
        <v>43159</v>
      </c>
      <c r="B10" t="s">
        <v>19</v>
      </c>
      <c r="C10">
        <v>4340</v>
      </c>
      <c r="D10">
        <v>214405.39</v>
      </c>
      <c r="H10" s="6">
        <v>43524</v>
      </c>
      <c r="I10" s="30" t="s">
        <v>19</v>
      </c>
      <c r="J10" s="31">
        <v>25505.09</v>
      </c>
      <c r="K10" s="32">
        <v>1530.31</v>
      </c>
      <c r="L10" s="32">
        <v>27035.4</v>
      </c>
      <c r="M10" s="32">
        <v>30039.33</v>
      </c>
      <c r="N10" s="30" t="s">
        <v>79</v>
      </c>
      <c r="O10" t="s">
        <v>65</v>
      </c>
      <c r="P10">
        <v>201902</v>
      </c>
      <c r="Q10" t="s">
        <v>67</v>
      </c>
    </row>
    <row r="11" spans="1:18" ht="18.600000000000001">
      <c r="A11" s="6">
        <v>43190</v>
      </c>
      <c r="B11" s="7" t="s">
        <v>19</v>
      </c>
      <c r="C11" s="20">
        <v>4340</v>
      </c>
      <c r="D11" s="5">
        <v>266605.42</v>
      </c>
      <c r="H11" s="6">
        <v>43555</v>
      </c>
      <c r="I11" s="33" t="s">
        <v>19</v>
      </c>
      <c r="J11" s="31">
        <v>180502.53</v>
      </c>
      <c r="K11" s="34">
        <v>10830.15</v>
      </c>
      <c r="L11" s="34">
        <v>191332.68</v>
      </c>
      <c r="M11" s="34">
        <v>212591.87</v>
      </c>
      <c r="N11" s="35" t="s">
        <v>80</v>
      </c>
      <c r="O11" t="s">
        <v>69</v>
      </c>
      <c r="P11">
        <v>201903</v>
      </c>
      <c r="Q11" t="s">
        <v>67</v>
      </c>
    </row>
    <row r="12" spans="1:18" ht="18.600000000000001">
      <c r="A12" s="6">
        <v>43434</v>
      </c>
      <c r="B12" s="7" t="s">
        <v>19</v>
      </c>
      <c r="C12" s="20">
        <v>4340</v>
      </c>
      <c r="D12" s="23">
        <v>228833.76</v>
      </c>
      <c r="H12" s="6">
        <v>43555</v>
      </c>
      <c r="I12" s="33" t="s">
        <v>19</v>
      </c>
      <c r="J12" s="31">
        <v>798126.64</v>
      </c>
      <c r="K12" s="34">
        <v>47887.6</v>
      </c>
      <c r="L12" s="34">
        <v>846014.24</v>
      </c>
      <c r="M12" s="34">
        <v>940015.83</v>
      </c>
      <c r="N12" s="35" t="s">
        <v>81</v>
      </c>
      <c r="O12" t="s">
        <v>69</v>
      </c>
      <c r="P12">
        <v>201903</v>
      </c>
      <c r="Q12" t="s">
        <v>13</v>
      </c>
    </row>
    <row r="13" spans="1:18" ht="18.600000000000001">
      <c r="A13" s="6">
        <v>43465</v>
      </c>
      <c r="B13" s="7" t="s">
        <v>19</v>
      </c>
      <c r="C13" s="20">
        <v>4340</v>
      </c>
      <c r="D13" s="23">
        <v>236684.49</v>
      </c>
      <c r="H13" s="6">
        <v>43555</v>
      </c>
      <c r="I13" s="33" t="s">
        <v>19</v>
      </c>
      <c r="J13" s="31">
        <v>37236.76</v>
      </c>
      <c r="K13" s="34">
        <v>2234.21</v>
      </c>
      <c r="L13" s="34">
        <v>39470.97</v>
      </c>
      <c r="M13" s="34">
        <v>43856.63</v>
      </c>
      <c r="N13" s="35" t="s">
        <v>82</v>
      </c>
      <c r="O13" t="s">
        <v>73</v>
      </c>
      <c r="P13">
        <v>201903</v>
      </c>
      <c r="Q13" t="s">
        <v>67</v>
      </c>
    </row>
    <row r="14" spans="1:18" ht="18.600000000000001">
      <c r="A14" t="s">
        <v>58</v>
      </c>
      <c r="B14" s="7" t="s">
        <v>19</v>
      </c>
      <c r="C14" s="20">
        <v>4340</v>
      </c>
      <c r="D14" s="23">
        <v>-19316.189999999999</v>
      </c>
      <c r="H14" s="6">
        <v>43555</v>
      </c>
      <c r="I14" s="33" t="s">
        <v>19</v>
      </c>
      <c r="J14" s="31">
        <v>94246.66</v>
      </c>
      <c r="K14" s="34">
        <v>5654.8</v>
      </c>
      <c r="L14" s="34">
        <v>99901.46</v>
      </c>
      <c r="M14" s="34">
        <v>111001.62</v>
      </c>
      <c r="N14" s="35" t="s">
        <v>83</v>
      </c>
      <c r="O14" t="s">
        <v>75</v>
      </c>
      <c r="P14">
        <v>201903</v>
      </c>
      <c r="Q14" t="s">
        <v>67</v>
      </c>
    </row>
    <row r="15" spans="1:18" ht="18.600000000000001">
      <c r="A15" s="6">
        <v>43496</v>
      </c>
      <c r="B15" s="7" t="s">
        <v>19</v>
      </c>
      <c r="C15" s="20">
        <v>4340</v>
      </c>
      <c r="D15" s="23">
        <v>245986.19</v>
      </c>
      <c r="H15" s="6">
        <v>43555</v>
      </c>
      <c r="I15" s="33" t="s">
        <v>19</v>
      </c>
      <c r="J15" s="31">
        <v>60422.38</v>
      </c>
      <c r="K15" s="34">
        <v>3625.3500000000099</v>
      </c>
      <c r="L15" s="34">
        <v>64047.73</v>
      </c>
      <c r="M15" s="34">
        <v>71164.14</v>
      </c>
      <c r="N15" s="35" t="s">
        <v>84</v>
      </c>
      <c r="O15" t="s">
        <v>65</v>
      </c>
      <c r="P15">
        <v>201903</v>
      </c>
      <c r="Q15" t="s">
        <v>67</v>
      </c>
    </row>
    <row r="16" spans="1:18" ht="17.399999999999999">
      <c r="H16" s="6">
        <v>43555</v>
      </c>
      <c r="I16" s="33" t="s">
        <v>19</v>
      </c>
      <c r="J16" s="31">
        <v>-17852.560000000001</v>
      </c>
      <c r="K16" s="34">
        <v>-1071.1500000000001</v>
      </c>
      <c r="L16" s="34">
        <v>-18923.71</v>
      </c>
      <c r="M16" s="34">
        <v>-21026.35</v>
      </c>
      <c r="N16" s="35" t="s">
        <v>85</v>
      </c>
      <c r="O16" t="s">
        <v>73</v>
      </c>
      <c r="P16">
        <v>201901</v>
      </c>
      <c r="Q16" t="s">
        <v>67</v>
      </c>
    </row>
    <row r="17" spans="8:17" ht="17.399999999999999">
      <c r="H17" s="6">
        <v>43555</v>
      </c>
      <c r="I17" s="33" t="s">
        <v>19</v>
      </c>
      <c r="J17" s="31">
        <v>-39780.589999999997</v>
      </c>
      <c r="K17" s="34">
        <v>-2386.84</v>
      </c>
      <c r="L17" s="34">
        <v>-42167.43</v>
      </c>
      <c r="M17" s="34">
        <v>-46852.69</v>
      </c>
      <c r="N17" s="35" t="s">
        <v>86</v>
      </c>
      <c r="O17" t="s">
        <v>75</v>
      </c>
      <c r="P17">
        <v>201901</v>
      </c>
      <c r="Q17" t="s">
        <v>67</v>
      </c>
    </row>
    <row r="18" spans="8:17" ht="17.399999999999999">
      <c r="H18" s="6">
        <v>43555</v>
      </c>
      <c r="I18" s="33" t="s">
        <v>19</v>
      </c>
      <c r="J18" s="31">
        <v>-5488.13</v>
      </c>
      <c r="K18" s="34">
        <v>-329.29</v>
      </c>
      <c r="L18" s="34">
        <v>-5817.42</v>
      </c>
      <c r="M18" s="34">
        <v>-6463.79</v>
      </c>
      <c r="N18" s="35" t="s">
        <v>87</v>
      </c>
      <c r="O18" t="s">
        <v>65</v>
      </c>
      <c r="P18">
        <v>201901</v>
      </c>
      <c r="Q18" t="s">
        <v>67</v>
      </c>
    </row>
    <row r="19" spans="8:17" ht="17.399999999999999">
      <c r="H19" s="6">
        <v>43555</v>
      </c>
      <c r="I19" s="33" t="s">
        <v>19</v>
      </c>
      <c r="J19" s="31">
        <v>4724.4799999999996</v>
      </c>
      <c r="K19" s="34">
        <v>283.47000000000003</v>
      </c>
      <c r="L19" s="34">
        <v>5007.95</v>
      </c>
      <c r="M19" s="34">
        <v>5564.38</v>
      </c>
      <c r="N19" s="35" t="s">
        <v>88</v>
      </c>
      <c r="O19" t="s">
        <v>73</v>
      </c>
      <c r="P19">
        <v>201902</v>
      </c>
      <c r="Q19" t="s">
        <v>67</v>
      </c>
    </row>
    <row r="20" spans="8:17" ht="17.399999999999999">
      <c r="H20" s="6">
        <v>43555</v>
      </c>
      <c r="I20" s="33" t="s">
        <v>19</v>
      </c>
      <c r="J20" s="31">
        <v>10368.86</v>
      </c>
      <c r="K20" s="34">
        <v>622.13</v>
      </c>
      <c r="L20" s="34">
        <v>10990.99</v>
      </c>
      <c r="M20" s="34">
        <v>12212.21</v>
      </c>
      <c r="N20" s="35" t="s">
        <v>89</v>
      </c>
      <c r="O20" t="s">
        <v>75</v>
      </c>
      <c r="P20">
        <v>201902</v>
      </c>
      <c r="Q20" t="s">
        <v>67</v>
      </c>
    </row>
    <row r="21" spans="8:17" ht="17.399999999999999">
      <c r="H21" s="6">
        <v>43555</v>
      </c>
      <c r="I21" s="33" t="s">
        <v>19</v>
      </c>
      <c r="J21" s="31">
        <v>2890.63</v>
      </c>
      <c r="K21" s="34">
        <v>173.43</v>
      </c>
      <c r="L21" s="34">
        <v>3064.06</v>
      </c>
      <c r="M21" s="34">
        <v>3404.52</v>
      </c>
      <c r="N21" s="35" t="s">
        <v>90</v>
      </c>
      <c r="O21" t="s">
        <v>65</v>
      </c>
      <c r="P21">
        <v>201902</v>
      </c>
      <c r="Q21" t="s">
        <v>67</v>
      </c>
    </row>
    <row r="22" spans="8:17" ht="17.399999999999999">
      <c r="H22" s="6">
        <v>43585</v>
      </c>
      <c r="I22" s="32" t="s">
        <v>19</v>
      </c>
      <c r="J22" s="31">
        <v>-232062.44</v>
      </c>
      <c r="K22" s="32">
        <v>-13923.75</v>
      </c>
      <c r="L22" s="32">
        <v>-245986.19</v>
      </c>
      <c r="M22" s="32">
        <v>-273317.99</v>
      </c>
      <c r="N22" s="30" t="s">
        <v>91</v>
      </c>
      <c r="O22" t="s">
        <v>69</v>
      </c>
      <c r="P22">
        <v>201901</v>
      </c>
      <c r="Q22" t="s">
        <v>67</v>
      </c>
    </row>
    <row r="23" spans="8:17" ht="17.399999999999999">
      <c r="H23" s="6">
        <v>43585</v>
      </c>
      <c r="I23" s="32" t="s">
        <v>19</v>
      </c>
      <c r="J23" s="36">
        <v>221390.24</v>
      </c>
      <c r="K23" s="32">
        <v>13283.41</v>
      </c>
      <c r="L23" s="32">
        <v>234673.65</v>
      </c>
      <c r="M23" s="32">
        <v>260748.5</v>
      </c>
      <c r="N23" s="30" t="s">
        <v>92</v>
      </c>
      <c r="O23" t="s">
        <v>69</v>
      </c>
      <c r="P23">
        <v>201901</v>
      </c>
      <c r="Q23" t="s">
        <v>67</v>
      </c>
    </row>
    <row r="24" spans="8:17" ht="17.399999999999999">
      <c r="H24" s="6">
        <v>43585</v>
      </c>
      <c r="I24" s="32" t="s">
        <v>19</v>
      </c>
      <c r="J24" s="36">
        <v>-178667.99</v>
      </c>
      <c r="K24" s="32">
        <v>-10720.08</v>
      </c>
      <c r="L24" s="32">
        <v>-189388.07</v>
      </c>
      <c r="M24" s="32">
        <v>-210431.19</v>
      </c>
      <c r="N24" s="30" t="s">
        <v>93</v>
      </c>
      <c r="O24" t="s">
        <v>69</v>
      </c>
      <c r="P24">
        <v>201902</v>
      </c>
      <c r="Q24" t="s">
        <v>67</v>
      </c>
    </row>
    <row r="25" spans="8:17" ht="17.399999999999999">
      <c r="H25" s="6">
        <v>43585</v>
      </c>
      <c r="I25" s="32" t="s">
        <v>19</v>
      </c>
      <c r="J25" s="36">
        <v>172798.82</v>
      </c>
      <c r="K25" s="32">
        <v>10367.93</v>
      </c>
      <c r="L25" s="32">
        <v>183166.75</v>
      </c>
      <c r="M25" s="32">
        <v>203518.61</v>
      </c>
      <c r="N25" s="30" t="s">
        <v>94</v>
      </c>
      <c r="O25" t="s">
        <v>69</v>
      </c>
      <c r="P25">
        <v>201902</v>
      </c>
      <c r="Q25" t="s">
        <v>67</v>
      </c>
    </row>
    <row r="26" spans="8:17" ht="17.399999999999999">
      <c r="H26" s="6">
        <v>43585</v>
      </c>
      <c r="I26" s="32" t="s">
        <v>19</v>
      </c>
      <c r="J26" s="36">
        <v>-180502.53</v>
      </c>
      <c r="K26" s="32">
        <v>-10830.15</v>
      </c>
      <c r="L26" s="32">
        <v>-191332.68</v>
      </c>
      <c r="M26" s="32">
        <v>-212591.87</v>
      </c>
      <c r="N26" s="30" t="s">
        <v>95</v>
      </c>
      <c r="O26" t="s">
        <v>69</v>
      </c>
      <c r="P26">
        <v>201903</v>
      </c>
      <c r="Q26" t="s">
        <v>67</v>
      </c>
    </row>
    <row r="27" spans="8:17" ht="17.399999999999999">
      <c r="H27" s="6">
        <v>43585</v>
      </c>
      <c r="I27" s="32" t="s">
        <v>19</v>
      </c>
      <c r="J27" s="36">
        <v>172771.83</v>
      </c>
      <c r="K27" s="32">
        <v>10366.31</v>
      </c>
      <c r="L27" s="32">
        <v>183138.14</v>
      </c>
      <c r="M27" s="32">
        <v>203486.82</v>
      </c>
      <c r="N27" s="30" t="s">
        <v>96</v>
      </c>
      <c r="O27" t="s">
        <v>69</v>
      </c>
      <c r="P27">
        <v>201903</v>
      </c>
      <c r="Q27" t="s">
        <v>67</v>
      </c>
    </row>
    <row r="28" spans="8:17" ht="17.399999999999999">
      <c r="H28" s="6">
        <v>43585</v>
      </c>
      <c r="I28" s="32" t="s">
        <v>19</v>
      </c>
      <c r="J28" s="36">
        <v>-798126.64</v>
      </c>
      <c r="K28" s="32">
        <v>-47887.6</v>
      </c>
      <c r="L28" s="32">
        <v>-846014.24</v>
      </c>
      <c r="M28" s="32">
        <v>-940015.83</v>
      </c>
      <c r="N28" s="30" t="s">
        <v>97</v>
      </c>
      <c r="O28" t="s">
        <v>69</v>
      </c>
      <c r="P28">
        <v>201903</v>
      </c>
      <c r="Q28" t="s">
        <v>13</v>
      </c>
    </row>
    <row r="29" spans="8:17" ht="17.399999999999999">
      <c r="H29" s="6">
        <v>43585</v>
      </c>
      <c r="I29" s="32" t="s">
        <v>19</v>
      </c>
      <c r="J29" s="36">
        <v>813672.44</v>
      </c>
      <c r="K29" s="32">
        <v>48820.35</v>
      </c>
      <c r="L29" s="32">
        <v>862492.79</v>
      </c>
      <c r="M29" s="32">
        <v>958325.32</v>
      </c>
      <c r="N29" s="30" t="s">
        <v>98</v>
      </c>
      <c r="O29" t="s">
        <v>69</v>
      </c>
      <c r="P29">
        <v>201903</v>
      </c>
      <c r="Q29" t="s">
        <v>13</v>
      </c>
    </row>
    <row r="30" spans="8:17" ht="17.399999999999999">
      <c r="H30" s="6">
        <v>43585</v>
      </c>
      <c r="I30" s="32" t="s">
        <v>19</v>
      </c>
      <c r="J30" s="36">
        <v>41853.519999999997</v>
      </c>
      <c r="K30" s="32">
        <v>2511.21</v>
      </c>
      <c r="L30" s="32">
        <v>44364.73</v>
      </c>
      <c r="M30" s="32">
        <v>49294.1499999999</v>
      </c>
      <c r="N30" s="30" t="s">
        <v>99</v>
      </c>
      <c r="O30" t="s">
        <v>73</v>
      </c>
      <c r="P30">
        <v>201904</v>
      </c>
      <c r="Q30" t="s">
        <v>67</v>
      </c>
    </row>
    <row r="31" spans="8:17" ht="17.399999999999999">
      <c r="H31" s="6">
        <v>43585</v>
      </c>
      <c r="I31" s="32" t="s">
        <v>19</v>
      </c>
      <c r="J31" s="36">
        <v>104975.42</v>
      </c>
      <c r="K31" s="32">
        <v>6298.52</v>
      </c>
      <c r="L31" s="32">
        <v>111273.94</v>
      </c>
      <c r="M31" s="32">
        <v>123637.72</v>
      </c>
      <c r="N31" s="30" t="s">
        <v>100</v>
      </c>
      <c r="O31" t="s">
        <v>75</v>
      </c>
      <c r="P31">
        <v>201904</v>
      </c>
      <c r="Q31" t="s">
        <v>67</v>
      </c>
    </row>
    <row r="32" spans="8:17" ht="17.399999999999999">
      <c r="H32" s="6">
        <v>43585</v>
      </c>
      <c r="I32" s="32" t="s">
        <v>19</v>
      </c>
      <c r="J32" s="36">
        <v>108742.93</v>
      </c>
      <c r="K32" s="32">
        <v>6524.58</v>
      </c>
      <c r="L32" s="32">
        <v>115267.51</v>
      </c>
      <c r="M32" s="32">
        <v>128075.01</v>
      </c>
      <c r="N32" s="30" t="s">
        <v>101</v>
      </c>
      <c r="O32" t="s">
        <v>65</v>
      </c>
      <c r="P32">
        <v>201904</v>
      </c>
      <c r="Q32" t="s">
        <v>67</v>
      </c>
    </row>
    <row r="33" spans="8:17" ht="17.399999999999999">
      <c r="H33" s="6">
        <v>43585</v>
      </c>
      <c r="I33" s="32" t="s">
        <v>19</v>
      </c>
      <c r="J33" s="36">
        <v>145748.01999999999</v>
      </c>
      <c r="K33" s="32">
        <v>8744.8799999999992</v>
      </c>
      <c r="L33" s="32">
        <v>154492.9</v>
      </c>
      <c r="M33" s="32">
        <v>171658.78</v>
      </c>
      <c r="N33" s="30" t="s">
        <v>102</v>
      </c>
      <c r="O33" t="s">
        <v>69</v>
      </c>
      <c r="P33">
        <v>201904</v>
      </c>
      <c r="Q33" t="s">
        <v>67</v>
      </c>
    </row>
    <row r="34" spans="8:17" ht="17.399999999999999">
      <c r="H34" s="6">
        <v>43585</v>
      </c>
      <c r="I34" s="32" t="s">
        <v>19</v>
      </c>
      <c r="J34" s="36">
        <v>1837890.98</v>
      </c>
      <c r="K34" s="32">
        <v>110273.45</v>
      </c>
      <c r="L34" s="32">
        <v>1948164.44</v>
      </c>
      <c r="M34" s="32">
        <v>2164627.15</v>
      </c>
      <c r="N34" s="30" t="s">
        <v>103</v>
      </c>
      <c r="O34" t="s">
        <v>69</v>
      </c>
      <c r="P34">
        <v>201904</v>
      </c>
      <c r="Q34" t="s">
        <v>13</v>
      </c>
    </row>
    <row r="35" spans="8:17" ht="17.399999999999999">
      <c r="H35" s="6">
        <v>43616</v>
      </c>
      <c r="I35" s="32" t="s">
        <v>19</v>
      </c>
      <c r="J35" s="31">
        <v>553206.35</v>
      </c>
      <c r="K35" s="32">
        <v>33192.379999999997</v>
      </c>
      <c r="L35" s="32">
        <v>586398.74</v>
      </c>
      <c r="M35" s="32">
        <v>651554.15</v>
      </c>
      <c r="N35" s="30" t="s">
        <v>104</v>
      </c>
      <c r="O35" t="s">
        <v>69</v>
      </c>
      <c r="P35">
        <v>201905</v>
      </c>
      <c r="Q35" t="s">
        <v>13</v>
      </c>
    </row>
    <row r="36" spans="8:17" ht="17.399999999999999">
      <c r="H36" s="6">
        <v>43616</v>
      </c>
      <c r="I36" s="32" t="s">
        <v>19</v>
      </c>
      <c r="J36" s="31">
        <v>144477.72</v>
      </c>
      <c r="K36" s="32">
        <v>8668.66</v>
      </c>
      <c r="L36" s="32">
        <v>153146.39000000001</v>
      </c>
      <c r="M36" s="32">
        <v>170162.65</v>
      </c>
      <c r="N36" s="30" t="s">
        <v>105</v>
      </c>
      <c r="O36" t="s">
        <v>69</v>
      </c>
      <c r="P36">
        <v>201905</v>
      </c>
      <c r="Q36" t="s">
        <v>67</v>
      </c>
    </row>
    <row r="37" spans="8:17" ht="17.399999999999999">
      <c r="H37" s="6">
        <v>43616</v>
      </c>
      <c r="I37" s="32" t="s">
        <v>19</v>
      </c>
      <c r="J37" s="31">
        <v>41777.64</v>
      </c>
      <c r="K37" s="32">
        <v>2506.66</v>
      </c>
      <c r="L37" s="32">
        <v>44284.3</v>
      </c>
      <c r="M37" s="32">
        <v>49204.78</v>
      </c>
      <c r="N37" s="30" t="s">
        <v>106</v>
      </c>
      <c r="O37" t="s">
        <v>73</v>
      </c>
      <c r="P37">
        <v>201905</v>
      </c>
      <c r="Q37" t="s">
        <v>67</v>
      </c>
    </row>
    <row r="38" spans="8:17" ht="17.399999999999999">
      <c r="H38" s="6">
        <v>43616</v>
      </c>
      <c r="I38" s="32" t="s">
        <v>19</v>
      </c>
      <c r="J38" s="31">
        <v>100425.05</v>
      </c>
      <c r="K38" s="32">
        <v>6025.5</v>
      </c>
      <c r="L38" s="32">
        <v>106450.55</v>
      </c>
      <c r="M38" s="32">
        <v>118278.39</v>
      </c>
      <c r="N38" s="30" t="s">
        <v>107</v>
      </c>
      <c r="O38" t="s">
        <v>75</v>
      </c>
      <c r="P38">
        <v>201905</v>
      </c>
      <c r="Q38" t="s">
        <v>67</v>
      </c>
    </row>
    <row r="39" spans="8:17" ht="17.399999999999999">
      <c r="H39" s="6">
        <v>43616</v>
      </c>
      <c r="I39" s="32" t="s">
        <v>19</v>
      </c>
      <c r="J39" s="31">
        <v>125506.76</v>
      </c>
      <c r="K39" s="32">
        <v>7530.4000000000096</v>
      </c>
      <c r="L39" s="32">
        <v>133037.16</v>
      </c>
      <c r="M39" s="32">
        <v>147819.07</v>
      </c>
      <c r="N39" s="30" t="s">
        <v>108</v>
      </c>
      <c r="O39" t="s">
        <v>157</v>
      </c>
      <c r="P39">
        <v>201905</v>
      </c>
      <c r="Q39" t="s">
        <v>156</v>
      </c>
    </row>
    <row r="40" spans="8:17" ht="17.399999999999999">
      <c r="H40" s="6">
        <v>43646</v>
      </c>
      <c r="I40" s="69" t="s">
        <v>19</v>
      </c>
      <c r="J40" s="69">
        <v>19803.169999999998</v>
      </c>
      <c r="K40" s="69">
        <v>1188.19</v>
      </c>
      <c r="L40" s="69">
        <v>20991.360000000001</v>
      </c>
      <c r="M40" s="69">
        <v>23323.73</v>
      </c>
      <c r="N40" s="71" t="s">
        <v>127</v>
      </c>
      <c r="O40" t="s">
        <v>69</v>
      </c>
      <c r="P40">
        <v>201906</v>
      </c>
      <c r="Q40" t="s">
        <v>13</v>
      </c>
    </row>
    <row r="41" spans="8:17" ht="17.399999999999999">
      <c r="H41" s="6">
        <v>43646</v>
      </c>
      <c r="I41" s="69" t="s">
        <v>19</v>
      </c>
      <c r="J41" s="69">
        <v>138564.29</v>
      </c>
      <c r="K41" s="69">
        <v>8313.86</v>
      </c>
      <c r="L41" s="69">
        <v>146878.15</v>
      </c>
      <c r="M41" s="69">
        <v>163197.93999999997</v>
      </c>
      <c r="N41" s="71" t="s">
        <v>128</v>
      </c>
      <c r="O41" t="s">
        <v>69</v>
      </c>
      <c r="P41">
        <v>201906</v>
      </c>
      <c r="Q41" t="s">
        <v>67</v>
      </c>
    </row>
    <row r="42" spans="8:17" ht="17.399999999999999">
      <c r="H42" s="6">
        <v>43646</v>
      </c>
      <c r="I42" s="69" t="s">
        <v>19</v>
      </c>
      <c r="J42" s="69">
        <v>46792.21</v>
      </c>
      <c r="K42" s="69">
        <v>2807.53</v>
      </c>
      <c r="L42" s="69">
        <v>49599.74</v>
      </c>
      <c r="M42" s="69">
        <v>55110.819999999985</v>
      </c>
      <c r="N42" s="71" t="s">
        <v>129</v>
      </c>
      <c r="O42" t="s">
        <v>73</v>
      </c>
      <c r="P42">
        <v>201906</v>
      </c>
      <c r="Q42" t="s">
        <v>67</v>
      </c>
    </row>
    <row r="43" spans="8:17" ht="17.399999999999999">
      <c r="H43" s="6">
        <v>43646</v>
      </c>
      <c r="I43" s="69" t="s">
        <v>19</v>
      </c>
      <c r="J43" s="69">
        <v>98176.55</v>
      </c>
      <c r="K43" s="69">
        <v>5890.5899999999965</v>
      </c>
      <c r="L43" s="69">
        <v>104067.14</v>
      </c>
      <c r="M43" s="69">
        <v>115630.15999999997</v>
      </c>
      <c r="N43" s="71" t="s">
        <v>130</v>
      </c>
      <c r="O43" t="s">
        <v>75</v>
      </c>
      <c r="P43">
        <v>201906</v>
      </c>
      <c r="Q43" t="s">
        <v>67</v>
      </c>
    </row>
    <row r="44" spans="8:17" ht="17.399999999999999">
      <c r="H44" s="6">
        <v>43646</v>
      </c>
      <c r="I44" s="69" t="s">
        <v>19</v>
      </c>
      <c r="J44" s="69">
        <v>150420.60999999999</v>
      </c>
      <c r="K44" s="69">
        <v>9025.2400000000198</v>
      </c>
      <c r="L44" s="69">
        <v>159445.85</v>
      </c>
      <c r="M44" s="69">
        <v>177162.04999999987</v>
      </c>
      <c r="N44" s="71" t="s">
        <v>131</v>
      </c>
      <c r="O44" t="s">
        <v>65</v>
      </c>
      <c r="P44">
        <v>201906</v>
      </c>
      <c r="Q44" t="s">
        <v>67</v>
      </c>
    </row>
    <row r="45" spans="8:17" ht="17.399999999999999">
      <c r="H45" s="6">
        <v>43677</v>
      </c>
      <c r="I45" s="81" t="s">
        <v>19</v>
      </c>
      <c r="J45" s="81">
        <v>234406.37</v>
      </c>
      <c r="K45" s="81">
        <v>14064.38</v>
      </c>
      <c r="L45" s="81">
        <v>248470.75</v>
      </c>
      <c r="M45" s="81">
        <v>276078.61000000016</v>
      </c>
      <c r="N45" s="82" t="s">
        <v>134</v>
      </c>
      <c r="O45" t="s">
        <v>69</v>
      </c>
      <c r="P45">
        <v>201907</v>
      </c>
      <c r="Q45" t="s">
        <v>13</v>
      </c>
    </row>
    <row r="46" spans="8:17" ht="17.399999999999999">
      <c r="H46" s="6">
        <v>43677</v>
      </c>
      <c r="I46" s="81" t="s">
        <v>19</v>
      </c>
      <c r="J46" s="81">
        <v>145071.1</v>
      </c>
      <c r="K46" s="81">
        <v>8704.27</v>
      </c>
      <c r="L46" s="81">
        <v>153775.37</v>
      </c>
      <c r="M46" s="81">
        <v>170861.51999999996</v>
      </c>
      <c r="N46" s="82" t="s">
        <v>135</v>
      </c>
      <c r="O46" t="s">
        <v>69</v>
      </c>
      <c r="P46">
        <v>201907</v>
      </c>
      <c r="Q46" t="s">
        <v>67</v>
      </c>
    </row>
    <row r="47" spans="8:17" ht="17.399999999999999">
      <c r="H47" s="6">
        <v>43677</v>
      </c>
      <c r="I47" s="81" t="s">
        <v>19</v>
      </c>
      <c r="J47" s="81">
        <v>42341.15</v>
      </c>
      <c r="K47" s="81">
        <v>2540.4599999999996</v>
      </c>
      <c r="L47" s="81">
        <v>44881.61</v>
      </c>
      <c r="M47" s="81">
        <v>49868.460000000145</v>
      </c>
      <c r="N47" s="82" t="s">
        <v>136</v>
      </c>
      <c r="O47" t="s">
        <v>73</v>
      </c>
      <c r="P47">
        <v>201907</v>
      </c>
      <c r="Q47" t="s">
        <v>67</v>
      </c>
    </row>
    <row r="48" spans="8:17" ht="17.399999999999999">
      <c r="H48" s="6">
        <v>43677</v>
      </c>
      <c r="I48" s="81" t="s">
        <v>19</v>
      </c>
      <c r="J48" s="81">
        <v>93770.62</v>
      </c>
      <c r="K48" s="81">
        <v>5626.2400000000052</v>
      </c>
      <c r="L48" s="81">
        <v>99396.86</v>
      </c>
      <c r="M48" s="81">
        <v>110440.95000000032</v>
      </c>
      <c r="N48" s="82" t="s">
        <v>137</v>
      </c>
      <c r="O48" t="s">
        <v>75</v>
      </c>
      <c r="P48">
        <v>201907</v>
      </c>
      <c r="Q48" t="s">
        <v>67</v>
      </c>
    </row>
    <row r="49" spans="8:17" ht="17.399999999999999">
      <c r="H49" s="6">
        <v>43677</v>
      </c>
      <c r="I49" s="81" t="s">
        <v>19</v>
      </c>
      <c r="J49" s="81">
        <v>165218.23000000001</v>
      </c>
      <c r="K49" s="81">
        <v>9913.0899999999965</v>
      </c>
      <c r="L49" s="81">
        <v>175131.32</v>
      </c>
      <c r="M49" s="81">
        <v>194590.35999999975</v>
      </c>
      <c r="N49" s="82" t="s">
        <v>138</v>
      </c>
      <c r="O49" t="s">
        <v>65</v>
      </c>
      <c r="P49">
        <v>201907</v>
      </c>
      <c r="Q49" t="s">
        <v>67</v>
      </c>
    </row>
    <row r="50" spans="8:17" ht="17.399999999999999">
      <c r="H50" s="6">
        <v>43708</v>
      </c>
      <c r="I50" s="81" t="s">
        <v>19</v>
      </c>
      <c r="J50" s="81">
        <v>388071.91</v>
      </c>
      <c r="K50" s="81">
        <v>23284.31</v>
      </c>
      <c r="L50" s="81">
        <v>411356.22</v>
      </c>
      <c r="M50" s="81">
        <v>457062.47</v>
      </c>
      <c r="N50" s="82" t="s">
        <v>142</v>
      </c>
      <c r="O50" t="s">
        <v>69</v>
      </c>
      <c r="P50">
        <v>201908</v>
      </c>
      <c r="Q50" t="s">
        <v>13</v>
      </c>
    </row>
    <row r="51" spans="8:17" ht="17.399999999999999">
      <c r="H51" s="6">
        <v>43708</v>
      </c>
      <c r="I51" s="81" t="s">
        <v>19</v>
      </c>
      <c r="J51" s="81">
        <v>137236.75</v>
      </c>
      <c r="K51" s="81">
        <v>8234.2000000000007</v>
      </c>
      <c r="L51" s="81">
        <v>145470.95000000001</v>
      </c>
      <c r="M51" s="81">
        <v>161634.39000000007</v>
      </c>
      <c r="N51" s="82" t="s">
        <v>143</v>
      </c>
      <c r="O51" t="s">
        <v>69</v>
      </c>
      <c r="P51">
        <v>201908</v>
      </c>
      <c r="Q51" t="s">
        <v>67</v>
      </c>
    </row>
    <row r="52" spans="8:17" ht="17.399999999999999">
      <c r="H52" s="6">
        <v>43708</v>
      </c>
      <c r="I52" s="81" t="s">
        <v>19</v>
      </c>
      <c r="J52" s="81">
        <v>43256.62</v>
      </c>
      <c r="K52" s="81">
        <v>2595.4</v>
      </c>
      <c r="L52" s="81">
        <v>45852.02</v>
      </c>
      <c r="M52" s="81">
        <v>50946.689999999842</v>
      </c>
      <c r="N52" s="82" t="s">
        <v>144</v>
      </c>
      <c r="O52" t="s">
        <v>73</v>
      </c>
      <c r="P52">
        <v>201908</v>
      </c>
      <c r="Q52" t="s">
        <v>67</v>
      </c>
    </row>
    <row r="53" spans="8:17" ht="17.399999999999999">
      <c r="H53" s="6">
        <v>43708</v>
      </c>
      <c r="I53" s="81" t="s">
        <v>19</v>
      </c>
      <c r="J53" s="81">
        <v>92936.76</v>
      </c>
      <c r="K53" s="81">
        <v>5576.2000000000116</v>
      </c>
      <c r="L53" s="81">
        <v>98512.960000000006</v>
      </c>
      <c r="M53" s="81">
        <v>109458.84999999973</v>
      </c>
      <c r="N53" s="82" t="s">
        <v>145</v>
      </c>
      <c r="O53" t="s">
        <v>75</v>
      </c>
      <c r="P53">
        <v>201908</v>
      </c>
      <c r="Q53" t="s">
        <v>67</v>
      </c>
    </row>
    <row r="54" spans="8:17" ht="17.399999999999999">
      <c r="H54" s="6">
        <v>43708</v>
      </c>
      <c r="I54" s="81" t="s">
        <v>19</v>
      </c>
      <c r="J54" s="81">
        <v>189869.33</v>
      </c>
      <c r="K54" s="81">
        <v>11392.160000000003</v>
      </c>
      <c r="L54" s="81">
        <v>201261.49</v>
      </c>
      <c r="M54" s="81">
        <v>223623.88</v>
      </c>
      <c r="N54" s="82" t="s">
        <v>146</v>
      </c>
      <c r="O54" t="s">
        <v>181</v>
      </c>
      <c r="P54">
        <v>201908</v>
      </c>
      <c r="Q54" t="s">
        <v>180</v>
      </c>
    </row>
    <row r="55" spans="8:17">
      <c r="H55" s="6">
        <v>43799</v>
      </c>
      <c r="J55" s="25">
        <v>246546.33</v>
      </c>
      <c r="K55">
        <v>14792.779999999999</v>
      </c>
      <c r="L55">
        <v>261339.11</v>
      </c>
      <c r="M55">
        <v>290376.78999999951</v>
      </c>
      <c r="N55" t="s">
        <v>160</v>
      </c>
      <c r="O55" t="s">
        <v>65</v>
      </c>
      <c r="P55">
        <v>201911</v>
      </c>
      <c r="Q55" t="s">
        <v>67</v>
      </c>
    </row>
    <row r="56" spans="8:17">
      <c r="H56" s="6">
        <v>43799</v>
      </c>
      <c r="J56" s="25">
        <v>73766.63</v>
      </c>
      <c r="K56">
        <v>4426</v>
      </c>
      <c r="L56">
        <v>78192.63</v>
      </c>
      <c r="M56">
        <v>86880.700000000274</v>
      </c>
      <c r="N56" t="s">
        <v>161</v>
      </c>
      <c r="O56" t="s">
        <v>75</v>
      </c>
      <c r="P56">
        <v>201911</v>
      </c>
      <c r="Q56" t="s">
        <v>67</v>
      </c>
    </row>
    <row r="57" spans="8:17">
      <c r="H57" s="6">
        <v>43799</v>
      </c>
      <c r="J57" s="25">
        <v>42362.28</v>
      </c>
      <c r="K57">
        <v>2541.7399999999998</v>
      </c>
      <c r="L57">
        <v>44904.02</v>
      </c>
      <c r="M57">
        <v>49893.349999999991</v>
      </c>
      <c r="N57" t="s">
        <v>162</v>
      </c>
      <c r="O57" t="s">
        <v>73</v>
      </c>
      <c r="P57">
        <v>201911</v>
      </c>
      <c r="Q57" t="s">
        <v>67</v>
      </c>
    </row>
    <row r="58" spans="8:17">
      <c r="H58" s="6">
        <v>43799</v>
      </c>
      <c r="J58" s="25">
        <v>80520.850000000006</v>
      </c>
      <c r="K58">
        <v>4831.25</v>
      </c>
      <c r="L58">
        <v>85352.1</v>
      </c>
      <c r="M58">
        <v>94835.670000000013</v>
      </c>
      <c r="N58" t="s">
        <v>163</v>
      </c>
      <c r="O58" t="s">
        <v>69</v>
      </c>
      <c r="P58">
        <v>201911</v>
      </c>
      <c r="Q58" t="s">
        <v>67</v>
      </c>
    </row>
    <row r="59" spans="8:17">
      <c r="H59" s="6">
        <v>43799</v>
      </c>
      <c r="J59" s="25">
        <v>469036.6</v>
      </c>
      <c r="K59">
        <v>28142.2</v>
      </c>
      <c r="L59">
        <v>497178.79</v>
      </c>
      <c r="M59">
        <v>552420.87999999989</v>
      </c>
      <c r="N59" t="s">
        <v>164</v>
      </c>
      <c r="O59" t="s">
        <v>69</v>
      </c>
      <c r="P59">
        <v>201911</v>
      </c>
      <c r="Q59" t="s">
        <v>13</v>
      </c>
    </row>
    <row r="60" spans="8:17">
      <c r="H60" s="6">
        <v>43769</v>
      </c>
      <c r="J60" s="25">
        <v>219408.16</v>
      </c>
      <c r="K60">
        <v>13164.489999999991</v>
      </c>
      <c r="L60">
        <v>232572.65</v>
      </c>
      <c r="M60">
        <v>258414.05</v>
      </c>
      <c r="N60" t="s">
        <v>165</v>
      </c>
      <c r="O60" t="s">
        <v>65</v>
      </c>
      <c r="P60">
        <v>201910</v>
      </c>
      <c r="Q60" t="s">
        <v>67</v>
      </c>
    </row>
    <row r="61" spans="8:17">
      <c r="H61" s="6">
        <v>43769</v>
      </c>
      <c r="J61" s="25">
        <v>75968.59</v>
      </c>
      <c r="K61">
        <v>4558.1200000000099</v>
      </c>
      <c r="L61">
        <v>80526.710000000006</v>
      </c>
      <c r="M61">
        <v>89474.120000000185</v>
      </c>
      <c r="N61" t="s">
        <v>166</v>
      </c>
      <c r="O61" t="s">
        <v>75</v>
      </c>
      <c r="P61">
        <v>201910</v>
      </c>
      <c r="Q61" t="s">
        <v>67</v>
      </c>
    </row>
    <row r="62" spans="8:17">
      <c r="H62" s="6">
        <v>43769</v>
      </c>
      <c r="J62" s="25">
        <v>42185.25</v>
      </c>
      <c r="K62">
        <v>2531.1</v>
      </c>
      <c r="L62">
        <v>44716.36</v>
      </c>
      <c r="M62">
        <v>49684.849999999926</v>
      </c>
      <c r="N62" t="s">
        <v>167</v>
      </c>
      <c r="O62" t="s">
        <v>73</v>
      </c>
      <c r="P62">
        <v>201910</v>
      </c>
      <c r="Q62" t="s">
        <v>67</v>
      </c>
    </row>
    <row r="63" spans="8:17">
      <c r="H63" s="6">
        <v>43769</v>
      </c>
      <c r="J63" s="25">
        <v>98558.51</v>
      </c>
      <c r="K63">
        <v>5913.51</v>
      </c>
      <c r="L63">
        <v>104472.02</v>
      </c>
      <c r="M63">
        <v>116080.02</v>
      </c>
      <c r="N63" t="s">
        <v>168</v>
      </c>
      <c r="O63" t="s">
        <v>69</v>
      </c>
      <c r="P63">
        <v>201910</v>
      </c>
      <c r="Q63" t="s">
        <v>67</v>
      </c>
    </row>
    <row r="64" spans="8:17">
      <c r="H64" s="6">
        <v>43769</v>
      </c>
      <c r="J64" s="25">
        <v>569068.56999999995</v>
      </c>
      <c r="K64">
        <v>34144.11</v>
      </c>
      <c r="L64">
        <v>603212.68999999994</v>
      </c>
      <c r="M64">
        <v>670236.31999999995</v>
      </c>
      <c r="N64" t="s">
        <v>169</v>
      </c>
      <c r="O64" t="s">
        <v>69</v>
      </c>
      <c r="P64">
        <v>201910</v>
      </c>
      <c r="Q64" t="s">
        <v>13</v>
      </c>
    </row>
    <row r="65" spans="8:17">
      <c r="H65" s="6">
        <v>43738</v>
      </c>
      <c r="J65" s="25">
        <v>942708.5</v>
      </c>
      <c r="K65">
        <v>56562.51</v>
      </c>
      <c r="L65">
        <v>999271.01</v>
      </c>
      <c r="M65">
        <v>1110301.1200000001</v>
      </c>
      <c r="N65" t="s">
        <v>170</v>
      </c>
      <c r="O65" t="s">
        <v>69</v>
      </c>
      <c r="P65">
        <v>201909</v>
      </c>
      <c r="Q65" t="s">
        <v>13</v>
      </c>
    </row>
    <row r="66" spans="8:17">
      <c r="H66" s="6">
        <v>43738</v>
      </c>
      <c r="J66" s="25">
        <v>125606.03</v>
      </c>
      <c r="K66">
        <v>7536.36</v>
      </c>
      <c r="L66">
        <v>133142.39000000001</v>
      </c>
      <c r="M66">
        <v>147935.99000000005</v>
      </c>
      <c r="N66" t="s">
        <v>171</v>
      </c>
      <c r="O66" t="s">
        <v>69</v>
      </c>
      <c r="P66">
        <v>201909</v>
      </c>
      <c r="Q66" t="s">
        <v>67</v>
      </c>
    </row>
    <row r="67" spans="8:17">
      <c r="H67" s="6">
        <v>43738</v>
      </c>
      <c r="J67" s="25">
        <v>46022.54</v>
      </c>
      <c r="K67">
        <v>2761.35</v>
      </c>
      <c r="L67">
        <v>48783.9</v>
      </c>
      <c r="M67">
        <v>54204.329999999987</v>
      </c>
      <c r="N67" t="s">
        <v>172</v>
      </c>
      <c r="O67" t="s">
        <v>73</v>
      </c>
      <c r="P67">
        <v>201909</v>
      </c>
      <c r="Q67" t="s">
        <v>67</v>
      </c>
    </row>
    <row r="68" spans="8:17">
      <c r="H68" s="6">
        <v>43738</v>
      </c>
      <c r="J68" s="25">
        <v>83728.149999999994</v>
      </c>
      <c r="K68">
        <v>5023.6900000000023</v>
      </c>
      <c r="L68">
        <v>88751.84</v>
      </c>
      <c r="M68">
        <v>98613.160000000236</v>
      </c>
      <c r="N68" t="s">
        <v>173</v>
      </c>
      <c r="O68" t="s">
        <v>75</v>
      </c>
      <c r="P68">
        <v>201909</v>
      </c>
      <c r="Q68" t="s">
        <v>67</v>
      </c>
    </row>
    <row r="69" spans="8:17">
      <c r="H69" s="6">
        <v>43738</v>
      </c>
      <c r="J69" s="25">
        <v>209115.53</v>
      </c>
      <c r="K69">
        <v>12546.940000000002</v>
      </c>
      <c r="L69">
        <v>221662.47</v>
      </c>
      <c r="M69">
        <v>246291.63000000021</v>
      </c>
      <c r="N69" t="s">
        <v>174</v>
      </c>
      <c r="O69" t="s">
        <v>65</v>
      </c>
      <c r="P69">
        <v>201909</v>
      </c>
      <c r="Q69" t="s">
        <v>67</v>
      </c>
    </row>
    <row r="70" spans="8:17">
      <c r="H70" s="6">
        <v>43830</v>
      </c>
      <c r="J70" s="25">
        <v>251223.48</v>
      </c>
      <c r="K70">
        <v>15073.410000000003</v>
      </c>
      <c r="L70">
        <v>266296.89</v>
      </c>
      <c r="M70">
        <v>295885.43</v>
      </c>
      <c r="N70" t="s">
        <v>175</v>
      </c>
      <c r="O70" t="s">
        <v>65</v>
      </c>
      <c r="P70">
        <v>201912</v>
      </c>
      <c r="Q70" t="s">
        <v>67</v>
      </c>
    </row>
    <row r="71" spans="8:17">
      <c r="H71" s="6">
        <v>43830</v>
      </c>
      <c r="J71" s="25">
        <v>63175.11</v>
      </c>
      <c r="K71">
        <v>3790.5099999999948</v>
      </c>
      <c r="L71">
        <v>66965.62</v>
      </c>
      <c r="M71">
        <v>74406.240000000005</v>
      </c>
      <c r="N71" t="s">
        <v>176</v>
      </c>
      <c r="O71" t="s">
        <v>75</v>
      </c>
      <c r="P71">
        <v>201912</v>
      </c>
      <c r="Q71" t="s">
        <v>67</v>
      </c>
    </row>
    <row r="72" spans="8:17">
      <c r="H72" s="6">
        <v>43830</v>
      </c>
      <c r="J72" s="25">
        <v>21109.279999999999</v>
      </c>
      <c r="K72">
        <v>1266.56</v>
      </c>
      <c r="L72">
        <v>22375.84</v>
      </c>
      <c r="M72">
        <v>24862.04</v>
      </c>
      <c r="N72" t="s">
        <v>177</v>
      </c>
      <c r="O72" t="s">
        <v>73</v>
      </c>
      <c r="P72">
        <v>201912</v>
      </c>
      <c r="Q72" t="s">
        <v>67</v>
      </c>
    </row>
    <row r="73" spans="8:17">
      <c r="H73" s="6">
        <v>43830</v>
      </c>
      <c r="J73" s="25">
        <v>86532.05</v>
      </c>
      <c r="K73">
        <v>5191.92</v>
      </c>
      <c r="L73">
        <v>91723.98</v>
      </c>
      <c r="M73">
        <v>101915.53</v>
      </c>
      <c r="N73" t="s">
        <v>178</v>
      </c>
      <c r="O73" t="s">
        <v>69</v>
      </c>
      <c r="P73">
        <v>201912</v>
      </c>
      <c r="Q73" t="s">
        <v>67</v>
      </c>
    </row>
    <row r="74" spans="8:17">
      <c r="H74" s="6">
        <v>43830</v>
      </c>
      <c r="J74" s="25">
        <v>4711.84</v>
      </c>
      <c r="K74">
        <v>282.70999999999998</v>
      </c>
      <c r="L74">
        <v>4994.55</v>
      </c>
      <c r="M74">
        <v>5549.5</v>
      </c>
      <c r="N74" t="s">
        <v>179</v>
      </c>
      <c r="O74" t="s">
        <v>207</v>
      </c>
      <c r="P74">
        <v>201912</v>
      </c>
      <c r="Q74" t="s">
        <v>208</v>
      </c>
    </row>
    <row r="75" spans="8:17">
      <c r="H75" s="6">
        <v>43830</v>
      </c>
      <c r="I75" s="98" t="s">
        <v>19</v>
      </c>
      <c r="J75" s="98">
        <v>94236.85</v>
      </c>
      <c r="K75" s="98">
        <v>5654.2099999999919</v>
      </c>
      <c r="L75" s="98">
        <v>99891.06</v>
      </c>
      <c r="M75" s="98">
        <v>110990.07000000011</v>
      </c>
      <c r="N75" s="98" t="s">
        <v>188</v>
      </c>
      <c r="O75" s="98" t="s">
        <v>65</v>
      </c>
      <c r="P75">
        <v>201913</v>
      </c>
      <c r="Q75" t="s">
        <v>67</v>
      </c>
    </row>
    <row r="76" spans="8:17">
      <c r="H76" s="6">
        <v>43830</v>
      </c>
      <c r="I76" s="98" t="s">
        <v>19</v>
      </c>
      <c r="J76" s="98">
        <v>21261.4</v>
      </c>
      <c r="K76" s="98">
        <v>1275.6700000000019</v>
      </c>
      <c r="L76" s="98">
        <v>22537.070000000003</v>
      </c>
      <c r="M76" s="98">
        <v>25041.200000000015</v>
      </c>
      <c r="N76" s="98" t="s">
        <v>189</v>
      </c>
      <c r="O76" s="98" t="s">
        <v>75</v>
      </c>
      <c r="P76">
        <v>201913</v>
      </c>
      <c r="Q76" t="s">
        <v>67</v>
      </c>
    </row>
    <row r="77" spans="8:17">
      <c r="H77" s="6">
        <v>43830</v>
      </c>
      <c r="I77" s="98" t="s">
        <v>19</v>
      </c>
      <c r="J77" s="98">
        <v>7202</v>
      </c>
      <c r="K77" s="98">
        <v>432.12</v>
      </c>
      <c r="L77" s="98">
        <v>7634.11</v>
      </c>
      <c r="M77" s="98">
        <v>8482.3499999999858</v>
      </c>
      <c r="N77" s="98" t="s">
        <v>190</v>
      </c>
      <c r="O77" s="98" t="s">
        <v>73</v>
      </c>
      <c r="P77">
        <v>201913</v>
      </c>
      <c r="Q77" t="s">
        <v>67</v>
      </c>
    </row>
    <row r="78" spans="8:17">
      <c r="H78" s="6">
        <v>43830</v>
      </c>
      <c r="I78" s="98" t="s">
        <v>19</v>
      </c>
      <c r="J78" s="98">
        <v>-17848.810000000001</v>
      </c>
      <c r="K78" s="98">
        <v>-1070.93</v>
      </c>
      <c r="L78" s="98">
        <v>-18919.730000000003</v>
      </c>
      <c r="M78" s="98">
        <v>-21021.929999999978</v>
      </c>
      <c r="N78" s="98" t="s">
        <v>191</v>
      </c>
      <c r="O78" s="98" t="s">
        <v>69</v>
      </c>
      <c r="P78">
        <v>201913</v>
      </c>
      <c r="Q78" t="s">
        <v>67</v>
      </c>
    </row>
    <row r="79" spans="8:17">
      <c r="H79" s="6">
        <v>43861</v>
      </c>
      <c r="J79" s="101">
        <v>172946.82</v>
      </c>
      <c r="K79" s="98">
        <v>10376.809999999998</v>
      </c>
      <c r="L79" s="98">
        <v>183323.63</v>
      </c>
      <c r="M79" s="98">
        <v>203692.91999999984</v>
      </c>
      <c r="N79" s="98" t="s">
        <v>193</v>
      </c>
      <c r="O79" t="s">
        <v>65</v>
      </c>
      <c r="P79">
        <v>202001</v>
      </c>
      <c r="Q79" t="s">
        <v>67</v>
      </c>
    </row>
    <row r="80" spans="8:17">
      <c r="H80" s="6">
        <v>43861</v>
      </c>
      <c r="J80" s="101">
        <v>38012.720000000001</v>
      </c>
      <c r="K80" s="98">
        <v>2280.7699999999968</v>
      </c>
      <c r="L80" s="98">
        <v>40293.49</v>
      </c>
      <c r="M80" s="98">
        <v>44770.53999999995</v>
      </c>
      <c r="N80" s="98" t="s">
        <v>194</v>
      </c>
      <c r="O80" t="s">
        <v>75</v>
      </c>
      <c r="P80">
        <v>202001</v>
      </c>
      <c r="Q80" t="s">
        <v>67</v>
      </c>
    </row>
    <row r="81" spans="8:17">
      <c r="H81" s="6">
        <v>43861</v>
      </c>
      <c r="J81" s="101">
        <v>12114.97</v>
      </c>
      <c r="K81" s="98">
        <v>726.9</v>
      </c>
      <c r="L81" s="98">
        <v>12841.87</v>
      </c>
      <c r="M81" s="98">
        <v>14268.739999999982</v>
      </c>
      <c r="N81" s="98" t="s">
        <v>195</v>
      </c>
      <c r="O81" t="s">
        <v>73</v>
      </c>
      <c r="P81">
        <v>202001</v>
      </c>
      <c r="Q81" t="s">
        <v>67</v>
      </c>
    </row>
    <row r="82" spans="8:17">
      <c r="H82" s="6">
        <v>43861</v>
      </c>
      <c r="J82" s="101">
        <v>84108.85</v>
      </c>
      <c r="K82" s="98">
        <v>5046.53</v>
      </c>
      <c r="L82" s="98">
        <v>89155.38</v>
      </c>
      <c r="M82" s="98">
        <v>99061.529999999955</v>
      </c>
      <c r="N82" s="98" t="s">
        <v>196</v>
      </c>
      <c r="O82" t="s">
        <v>69</v>
      </c>
      <c r="P82">
        <v>202001</v>
      </c>
      <c r="Q82" t="s">
        <v>67</v>
      </c>
    </row>
    <row r="83" spans="8:17">
      <c r="H83" s="6">
        <v>43890</v>
      </c>
      <c r="J83" s="101">
        <v>276740.14</v>
      </c>
      <c r="K83" s="98">
        <v>16604.409999999974</v>
      </c>
      <c r="L83" s="98">
        <v>293344.55</v>
      </c>
      <c r="M83" s="98">
        <v>325938.38999999908</v>
      </c>
      <c r="N83" s="98" t="s">
        <v>197</v>
      </c>
      <c r="O83" t="s">
        <v>65</v>
      </c>
      <c r="P83">
        <v>202002</v>
      </c>
      <c r="Q83" t="s">
        <v>67</v>
      </c>
    </row>
    <row r="84" spans="8:17">
      <c r="H84" s="6">
        <v>43890</v>
      </c>
      <c r="J84" s="101">
        <v>56532.67</v>
      </c>
      <c r="K84" s="98">
        <v>3391.9599999999991</v>
      </c>
      <c r="L84" s="98">
        <v>59924.63</v>
      </c>
      <c r="M84" s="98">
        <v>66582.919999999882</v>
      </c>
      <c r="N84" s="98" t="s">
        <v>198</v>
      </c>
      <c r="O84" t="s">
        <v>75</v>
      </c>
      <c r="P84">
        <v>202002</v>
      </c>
      <c r="Q84" t="s">
        <v>67</v>
      </c>
    </row>
    <row r="85" spans="8:17">
      <c r="H85" s="6">
        <v>43890</v>
      </c>
      <c r="J85" s="101">
        <v>18876.46</v>
      </c>
      <c r="K85" s="98">
        <v>1132.5899999999999</v>
      </c>
      <c r="L85" s="98">
        <v>20009.04</v>
      </c>
      <c r="M85" s="98">
        <v>22232.270000000004</v>
      </c>
      <c r="N85" s="98" t="s">
        <v>199</v>
      </c>
      <c r="O85" t="s">
        <v>73</v>
      </c>
      <c r="P85">
        <v>202002</v>
      </c>
      <c r="Q85" t="s">
        <v>67</v>
      </c>
    </row>
    <row r="86" spans="8:17">
      <c r="H86" s="6">
        <v>43890</v>
      </c>
      <c r="J86" s="101">
        <v>1659986.56</v>
      </c>
      <c r="K86" s="98">
        <v>99599.19</v>
      </c>
      <c r="L86" s="98">
        <v>1759585.75</v>
      </c>
      <c r="M86" s="98">
        <v>1955095.28</v>
      </c>
      <c r="N86" s="98" t="s">
        <v>200</v>
      </c>
      <c r="O86" t="s">
        <v>69</v>
      </c>
      <c r="P86">
        <v>202002</v>
      </c>
      <c r="Q86" t="s">
        <v>13</v>
      </c>
    </row>
    <row r="87" spans="8:17">
      <c r="H87" s="6">
        <v>43890</v>
      </c>
      <c r="J87" s="101">
        <v>129116.91</v>
      </c>
      <c r="K87" s="98">
        <v>7747.01</v>
      </c>
      <c r="L87" s="98">
        <v>136863.93</v>
      </c>
      <c r="M87" s="98">
        <v>152071.02999999994</v>
      </c>
      <c r="N87" s="98" t="s">
        <v>201</v>
      </c>
      <c r="O87" t="s">
        <v>69</v>
      </c>
      <c r="P87">
        <v>202002</v>
      </c>
      <c r="Q87" t="s">
        <v>67</v>
      </c>
    </row>
    <row r="88" spans="8:17">
      <c r="H88" s="6">
        <v>43890</v>
      </c>
      <c r="J88" s="101">
        <v>83508.28</v>
      </c>
      <c r="K88" s="98">
        <v>5010.5</v>
      </c>
      <c r="L88" s="98">
        <v>88518.78</v>
      </c>
      <c r="M88" s="98">
        <v>98354.199999999881</v>
      </c>
      <c r="N88" s="98" t="s">
        <v>202</v>
      </c>
      <c r="O88" t="s">
        <v>69</v>
      </c>
      <c r="P88">
        <v>202001</v>
      </c>
      <c r="Q88" t="s">
        <v>67</v>
      </c>
    </row>
    <row r="89" spans="8:17">
      <c r="H89" s="6">
        <v>43921</v>
      </c>
      <c r="J89" s="98">
        <v>270193.99</v>
      </c>
      <c r="K89" s="98">
        <v>16211.640000000014</v>
      </c>
      <c r="L89" s="98">
        <v>286405.63</v>
      </c>
      <c r="M89" s="98">
        <v>318228.48000000045</v>
      </c>
      <c r="N89" s="98" t="s">
        <v>203</v>
      </c>
      <c r="O89" t="s">
        <v>65</v>
      </c>
      <c r="P89">
        <v>202003</v>
      </c>
      <c r="Q89" t="s">
        <v>67</v>
      </c>
    </row>
    <row r="90" spans="8:17">
      <c r="H90" s="6">
        <v>43921</v>
      </c>
      <c r="J90" s="101">
        <v>58349.71</v>
      </c>
      <c r="K90" s="98">
        <v>3500.9800000000032</v>
      </c>
      <c r="L90" s="98">
        <v>61850.69</v>
      </c>
      <c r="M90" s="98">
        <v>68722.989999999962</v>
      </c>
      <c r="N90" s="98" t="s">
        <v>204</v>
      </c>
      <c r="O90" t="s">
        <v>75</v>
      </c>
      <c r="P90">
        <v>202003</v>
      </c>
      <c r="Q90" t="s">
        <v>67</v>
      </c>
    </row>
    <row r="91" spans="8:17">
      <c r="H91" s="6">
        <v>43921</v>
      </c>
      <c r="J91" s="101">
        <v>20364.95</v>
      </c>
      <c r="K91" s="98">
        <v>1221.9000000000001</v>
      </c>
      <c r="L91" s="98">
        <v>21586.84</v>
      </c>
      <c r="M91" s="98">
        <v>23985.380000000037</v>
      </c>
      <c r="N91" s="98" t="s">
        <v>205</v>
      </c>
      <c r="O91" t="s">
        <v>73</v>
      </c>
      <c r="P91">
        <v>202003</v>
      </c>
      <c r="Q91" t="s">
        <v>67</v>
      </c>
    </row>
    <row r="92" spans="8:17">
      <c r="H92" s="6">
        <v>43921</v>
      </c>
      <c r="J92" s="101">
        <v>99736.73</v>
      </c>
      <c r="K92" s="98">
        <v>5984.2</v>
      </c>
      <c r="L92" s="98">
        <v>105720.93</v>
      </c>
      <c r="M92" s="98">
        <v>117467.70000000006</v>
      </c>
      <c r="N92" s="98" t="s">
        <v>206</v>
      </c>
      <c r="O92" t="s">
        <v>69</v>
      </c>
      <c r="P92">
        <v>202003</v>
      </c>
      <c r="Q92" t="s">
        <v>67</v>
      </c>
    </row>
    <row r="93" spans="8:17" s="102" customFormat="1">
      <c r="H93" s="105">
        <v>43921</v>
      </c>
      <c r="J93" s="103">
        <v>-84108.85</v>
      </c>
      <c r="N93" s="103" t="s">
        <v>211</v>
      </c>
      <c r="O93" s="104" t="s">
        <v>242</v>
      </c>
      <c r="P93" s="102">
        <v>202003</v>
      </c>
      <c r="Q93" s="104" t="s">
        <v>243</v>
      </c>
    </row>
    <row r="94" spans="8:17">
      <c r="H94" s="6">
        <v>43951</v>
      </c>
      <c r="J94" s="98">
        <v>306354.90999999997</v>
      </c>
      <c r="K94" s="98">
        <v>18381.290000000037</v>
      </c>
      <c r="L94" s="98">
        <v>324736.2</v>
      </c>
      <c r="M94" s="98">
        <v>360817.99999999971</v>
      </c>
      <c r="N94" s="98" t="s">
        <v>212</v>
      </c>
      <c r="O94" s="98" t="s">
        <v>65</v>
      </c>
      <c r="P94">
        <v>202004</v>
      </c>
      <c r="Q94" t="s">
        <v>67</v>
      </c>
    </row>
    <row r="95" spans="8:17">
      <c r="H95" s="6">
        <v>43951</v>
      </c>
      <c r="J95" s="98">
        <v>69373.899999999994</v>
      </c>
      <c r="K95" s="98">
        <v>4162.4400000000023</v>
      </c>
      <c r="L95" s="98">
        <v>73536.34</v>
      </c>
      <c r="M95" s="98">
        <v>81707.039999999819</v>
      </c>
      <c r="N95" s="98" t="s">
        <v>213</v>
      </c>
      <c r="O95" s="98" t="s">
        <v>75</v>
      </c>
      <c r="P95">
        <v>202004</v>
      </c>
      <c r="Q95" t="s">
        <v>67</v>
      </c>
    </row>
    <row r="96" spans="8:17">
      <c r="H96" s="6">
        <v>43951</v>
      </c>
      <c r="J96" s="98">
        <v>22824.18</v>
      </c>
      <c r="K96" s="98">
        <v>1369.45</v>
      </c>
      <c r="L96" s="98">
        <v>24193.63</v>
      </c>
      <c r="M96" s="98">
        <v>26881.809999999969</v>
      </c>
      <c r="N96" s="98" t="s">
        <v>214</v>
      </c>
      <c r="O96" s="98" t="s">
        <v>73</v>
      </c>
      <c r="P96">
        <v>202004</v>
      </c>
      <c r="Q96" t="s">
        <v>67</v>
      </c>
    </row>
    <row r="97" spans="8:17">
      <c r="H97" s="6">
        <v>43951</v>
      </c>
      <c r="J97" s="98">
        <v>4430.71</v>
      </c>
      <c r="K97" s="98">
        <v>265.83999999999997</v>
      </c>
      <c r="L97" s="98">
        <v>4696.55</v>
      </c>
      <c r="M97" s="98">
        <v>5218.3999999999996</v>
      </c>
      <c r="N97" s="98" t="s">
        <v>215</v>
      </c>
      <c r="O97" s="98" t="s">
        <v>69</v>
      </c>
      <c r="P97">
        <v>202004</v>
      </c>
      <c r="Q97" t="s">
        <v>13</v>
      </c>
    </row>
    <row r="98" spans="8:17">
      <c r="H98" s="6">
        <v>43951</v>
      </c>
      <c r="J98" s="98">
        <v>96552.22</v>
      </c>
      <c r="K98" s="98">
        <v>5793.13</v>
      </c>
      <c r="L98" s="98">
        <v>102345.35</v>
      </c>
      <c r="M98" s="98">
        <v>113717.0600000001</v>
      </c>
      <c r="N98" s="98" t="s">
        <v>216</v>
      </c>
      <c r="O98" s="98" t="s">
        <v>69</v>
      </c>
      <c r="P98">
        <v>202004</v>
      </c>
      <c r="Q98" t="s">
        <v>67</v>
      </c>
    </row>
    <row r="99" spans="8:17">
      <c r="H99" s="6">
        <v>43982</v>
      </c>
      <c r="I99" s="98" t="s">
        <v>19</v>
      </c>
      <c r="J99" s="98">
        <v>18.45</v>
      </c>
      <c r="K99" s="98">
        <v>1.1100000000000001</v>
      </c>
      <c r="L99" s="98">
        <v>19.559999999999999</v>
      </c>
      <c r="M99" s="98">
        <v>21.729999999999997</v>
      </c>
      <c r="N99" s="98" t="s">
        <v>217</v>
      </c>
      <c r="O99" t="s">
        <v>75</v>
      </c>
      <c r="P99">
        <v>202005</v>
      </c>
      <c r="Q99" t="s">
        <v>67</v>
      </c>
    </row>
    <row r="100" spans="8:17">
      <c r="H100" s="6">
        <v>43982</v>
      </c>
      <c r="I100" s="98" t="s">
        <v>19</v>
      </c>
      <c r="J100" s="98">
        <v>239.57</v>
      </c>
      <c r="K100" s="98">
        <v>14.37</v>
      </c>
      <c r="L100" s="98">
        <v>253.94</v>
      </c>
      <c r="M100" s="98">
        <v>282.16000000000014</v>
      </c>
      <c r="N100" s="98" t="s">
        <v>218</v>
      </c>
      <c r="O100" t="s">
        <v>65</v>
      </c>
      <c r="P100">
        <v>202005</v>
      </c>
      <c r="Q100" t="s">
        <v>67</v>
      </c>
    </row>
    <row r="101" spans="8:17">
      <c r="H101" s="6">
        <v>43982</v>
      </c>
      <c r="I101" s="98" t="s">
        <v>19</v>
      </c>
      <c r="J101" s="98">
        <v>108.74</v>
      </c>
      <c r="K101" s="98">
        <v>6.52</v>
      </c>
      <c r="L101" s="98">
        <v>115.26</v>
      </c>
      <c r="M101" s="98">
        <v>128.06999999999996</v>
      </c>
      <c r="N101" s="98" t="s">
        <v>219</v>
      </c>
      <c r="O101" t="s">
        <v>65</v>
      </c>
      <c r="P101">
        <v>202005</v>
      </c>
      <c r="Q101" t="s">
        <v>67</v>
      </c>
    </row>
    <row r="102" spans="8:17">
      <c r="H102" s="6">
        <v>43982</v>
      </c>
      <c r="I102" s="98" t="s">
        <v>19</v>
      </c>
      <c r="J102" s="98">
        <v>614.64</v>
      </c>
      <c r="K102" s="98">
        <v>36.880000000000003</v>
      </c>
      <c r="L102" s="98">
        <v>651.52</v>
      </c>
      <c r="M102" s="98">
        <v>723.91000000000008</v>
      </c>
      <c r="N102" s="98" t="s">
        <v>220</v>
      </c>
      <c r="O102" t="s">
        <v>75</v>
      </c>
      <c r="P102">
        <v>202005</v>
      </c>
      <c r="Q102" t="s">
        <v>67</v>
      </c>
    </row>
    <row r="103" spans="8:17">
      <c r="H103" s="6">
        <v>43982</v>
      </c>
      <c r="I103" s="98" t="s">
        <v>19</v>
      </c>
      <c r="J103" s="98">
        <v>305374.24</v>
      </c>
      <c r="K103" s="98">
        <v>18322.450000000012</v>
      </c>
      <c r="L103" s="98">
        <v>323696.69</v>
      </c>
      <c r="M103" s="98">
        <v>359662.98999999923</v>
      </c>
      <c r="N103" s="98" t="s">
        <v>221</v>
      </c>
      <c r="O103" t="s">
        <v>65</v>
      </c>
      <c r="P103">
        <v>202005</v>
      </c>
      <c r="Q103" t="s">
        <v>67</v>
      </c>
    </row>
    <row r="104" spans="8:17">
      <c r="H104" s="6">
        <v>43982</v>
      </c>
      <c r="I104" s="98" t="s">
        <v>19</v>
      </c>
      <c r="J104" s="98">
        <v>70926.070000000007</v>
      </c>
      <c r="K104" s="98">
        <v>4255.5599999999977</v>
      </c>
      <c r="L104" s="98">
        <v>75181.63</v>
      </c>
      <c r="M104" s="98">
        <v>83535.149999999878</v>
      </c>
      <c r="N104" s="98" t="s">
        <v>222</v>
      </c>
      <c r="O104" t="s">
        <v>75</v>
      </c>
      <c r="P104">
        <v>202005</v>
      </c>
      <c r="Q104" t="s">
        <v>67</v>
      </c>
    </row>
    <row r="105" spans="8:17">
      <c r="H105" s="6">
        <v>43982</v>
      </c>
      <c r="I105" s="98" t="s">
        <v>19</v>
      </c>
      <c r="J105" s="98">
        <v>32007.19</v>
      </c>
      <c r="K105" s="98">
        <v>1920.43</v>
      </c>
      <c r="L105" s="98">
        <v>33927.620000000003</v>
      </c>
      <c r="M105" s="98">
        <v>37697.35999999995</v>
      </c>
      <c r="N105" s="98" t="s">
        <v>223</v>
      </c>
      <c r="O105" t="s">
        <v>73</v>
      </c>
      <c r="P105">
        <v>202005</v>
      </c>
      <c r="Q105" t="s">
        <v>67</v>
      </c>
    </row>
    <row r="106" spans="8:17">
      <c r="H106" s="6">
        <v>43982</v>
      </c>
      <c r="I106" s="98" t="s">
        <v>19</v>
      </c>
      <c r="J106" s="98">
        <v>779472.91</v>
      </c>
      <c r="K106" s="98">
        <v>46768.37</v>
      </c>
      <c r="L106" s="98">
        <v>826241.28</v>
      </c>
      <c r="M106" s="98">
        <v>918045.86999999988</v>
      </c>
      <c r="N106" s="98" t="s">
        <v>224</v>
      </c>
      <c r="O106" t="s">
        <v>69</v>
      </c>
      <c r="P106">
        <v>202005</v>
      </c>
      <c r="Q106" t="s">
        <v>13</v>
      </c>
    </row>
    <row r="107" spans="8:17">
      <c r="H107" s="6">
        <v>43982</v>
      </c>
      <c r="I107" s="98" t="s">
        <v>19</v>
      </c>
      <c r="J107" s="98">
        <v>125957.88</v>
      </c>
      <c r="K107" s="98">
        <v>7557.47</v>
      </c>
      <c r="L107" s="98">
        <v>133515.35</v>
      </c>
      <c r="M107" s="98">
        <v>148350.38999999998</v>
      </c>
      <c r="N107" s="98" t="s">
        <v>225</v>
      </c>
      <c r="O107" t="s">
        <v>69</v>
      </c>
      <c r="P107">
        <v>202005</v>
      </c>
      <c r="Q107" t="s">
        <v>67</v>
      </c>
    </row>
    <row r="108" spans="8:17">
      <c r="H108" s="6">
        <v>43982</v>
      </c>
      <c r="I108" s="98" t="s">
        <v>19</v>
      </c>
      <c r="J108" s="98">
        <v>47133.82</v>
      </c>
      <c r="K108" s="98">
        <v>2828.03</v>
      </c>
      <c r="L108" s="98">
        <v>49961.84</v>
      </c>
      <c r="M108" s="98">
        <v>55513.16</v>
      </c>
      <c r="N108" s="98" t="s">
        <v>226</v>
      </c>
      <c r="O108" t="s">
        <v>69</v>
      </c>
      <c r="P108">
        <v>202005</v>
      </c>
      <c r="Q108" t="s">
        <v>67</v>
      </c>
    </row>
    <row r="109" spans="8:17">
      <c r="H109" s="6">
        <v>44012</v>
      </c>
      <c r="I109" s="98" t="s">
        <v>19</v>
      </c>
      <c r="J109" s="98">
        <v>37.47</v>
      </c>
      <c r="K109" s="98">
        <v>2.25</v>
      </c>
      <c r="L109" s="98">
        <v>39.72</v>
      </c>
      <c r="M109" s="98">
        <v>44.13000000000001</v>
      </c>
      <c r="N109" s="98" t="s">
        <v>232</v>
      </c>
      <c r="O109" t="s">
        <v>75</v>
      </c>
      <c r="P109">
        <v>202006</v>
      </c>
      <c r="Q109" t="s">
        <v>67</v>
      </c>
    </row>
    <row r="110" spans="8:17">
      <c r="H110" s="6">
        <v>44012</v>
      </c>
      <c r="I110" s="98" t="s">
        <v>19</v>
      </c>
      <c r="J110" s="98">
        <v>268.33999999999997</v>
      </c>
      <c r="K110" s="98">
        <v>16.100000000000001</v>
      </c>
      <c r="L110" s="98">
        <v>284.44</v>
      </c>
      <c r="M110" s="98">
        <v>316.04000000000019</v>
      </c>
      <c r="N110" s="98" t="s">
        <v>233</v>
      </c>
      <c r="O110" t="s">
        <v>65</v>
      </c>
      <c r="P110">
        <v>202006</v>
      </c>
      <c r="Q110" t="s">
        <v>67</v>
      </c>
    </row>
    <row r="111" spans="8:17">
      <c r="H111" s="6">
        <v>44012</v>
      </c>
      <c r="I111" s="98" t="s">
        <v>19</v>
      </c>
      <c r="J111" s="98">
        <v>278.22000000000003</v>
      </c>
      <c r="K111" s="98">
        <v>16.690000000000001</v>
      </c>
      <c r="L111" s="98">
        <v>294.91000000000003</v>
      </c>
      <c r="M111" s="98">
        <v>327.68000000000035</v>
      </c>
      <c r="N111" s="98" t="s">
        <v>234</v>
      </c>
      <c r="O111" t="s">
        <v>65</v>
      </c>
      <c r="P111">
        <v>202006</v>
      </c>
      <c r="Q111" t="s">
        <v>67</v>
      </c>
    </row>
    <row r="112" spans="8:17">
      <c r="H112" s="6">
        <v>44012</v>
      </c>
      <c r="I112" s="98" t="s">
        <v>19</v>
      </c>
      <c r="J112" s="98">
        <v>863.87</v>
      </c>
      <c r="K112" s="98">
        <v>51.83</v>
      </c>
      <c r="L112" s="98">
        <v>915.71</v>
      </c>
      <c r="M112" s="98">
        <v>1017.4500000000004</v>
      </c>
      <c r="N112" s="98" t="s">
        <v>235</v>
      </c>
      <c r="O112" t="s">
        <v>75</v>
      </c>
      <c r="P112">
        <v>202006</v>
      </c>
      <c r="Q112" t="s">
        <v>67</v>
      </c>
    </row>
    <row r="113" spans="8:17">
      <c r="H113" s="6">
        <v>44012</v>
      </c>
      <c r="I113" s="98" t="s">
        <v>19</v>
      </c>
      <c r="J113" s="98">
        <v>314398.48</v>
      </c>
      <c r="K113" s="98">
        <v>18863.910000000033</v>
      </c>
      <c r="L113" s="98">
        <v>333262.39</v>
      </c>
      <c r="M113" s="98">
        <v>370291.53999999893</v>
      </c>
      <c r="N113" s="98" t="s">
        <v>236</v>
      </c>
      <c r="O113" t="s">
        <v>65</v>
      </c>
      <c r="P113">
        <v>202006</v>
      </c>
      <c r="Q113" t="s">
        <v>67</v>
      </c>
    </row>
    <row r="114" spans="8:17">
      <c r="H114" s="6">
        <v>44012</v>
      </c>
      <c r="I114" s="98" t="s">
        <v>19</v>
      </c>
      <c r="J114" s="98">
        <v>79764.97</v>
      </c>
      <c r="K114" s="98">
        <v>4785.8999999999942</v>
      </c>
      <c r="L114" s="98">
        <v>84550.87</v>
      </c>
      <c r="M114" s="98">
        <v>93945.409999999785</v>
      </c>
      <c r="N114" s="98" t="s">
        <v>237</v>
      </c>
      <c r="O114" t="s">
        <v>75</v>
      </c>
      <c r="P114">
        <v>202006</v>
      </c>
      <c r="Q114" t="s">
        <v>67</v>
      </c>
    </row>
    <row r="115" spans="8:17">
      <c r="H115" s="6">
        <v>44012</v>
      </c>
      <c r="I115" s="98" t="s">
        <v>19</v>
      </c>
      <c r="J115" s="98">
        <v>19930.89</v>
      </c>
      <c r="K115" s="98">
        <v>1195.8499999999999</v>
      </c>
      <c r="L115" s="98">
        <v>21126.74</v>
      </c>
      <c r="M115" s="98">
        <v>23474.159999999978</v>
      </c>
      <c r="N115" s="98" t="s">
        <v>238</v>
      </c>
      <c r="O115" t="s">
        <v>73</v>
      </c>
      <c r="P115">
        <v>202006</v>
      </c>
      <c r="Q115" t="s">
        <v>67</v>
      </c>
    </row>
    <row r="116" spans="8:17">
      <c r="H116" s="6">
        <v>44012</v>
      </c>
      <c r="I116" s="98" t="s">
        <v>19</v>
      </c>
      <c r="J116" s="98">
        <v>1033664.54</v>
      </c>
      <c r="K116" s="98">
        <v>62019.87</v>
      </c>
      <c r="L116" s="98">
        <v>1095684.4099999999</v>
      </c>
      <c r="M116" s="98">
        <v>1217427.1199999996</v>
      </c>
      <c r="N116" s="98" t="s">
        <v>239</v>
      </c>
      <c r="O116" t="s">
        <v>69</v>
      </c>
      <c r="P116">
        <v>202006</v>
      </c>
      <c r="Q116" t="s">
        <v>13</v>
      </c>
    </row>
    <row r="117" spans="8:17">
      <c r="H117" s="6">
        <v>44012</v>
      </c>
      <c r="I117" s="98" t="s">
        <v>19</v>
      </c>
      <c r="J117" s="98">
        <v>133151.29</v>
      </c>
      <c r="K117" s="98">
        <v>7989.08</v>
      </c>
      <c r="L117" s="98">
        <v>141140.37</v>
      </c>
      <c r="M117" s="98">
        <v>156822.63</v>
      </c>
      <c r="N117" s="98" t="s">
        <v>240</v>
      </c>
      <c r="O117" t="s">
        <v>493</v>
      </c>
      <c r="P117">
        <v>202006</v>
      </c>
      <c r="Q117" t="s">
        <v>494</v>
      </c>
    </row>
    <row r="118" spans="8:17">
      <c r="H118" s="108">
        <v>44043</v>
      </c>
      <c r="I118" s="98" t="s">
        <v>19</v>
      </c>
      <c r="J118" s="98">
        <v>37.47</v>
      </c>
      <c r="K118" s="98">
        <v>2.25</v>
      </c>
      <c r="L118" s="98">
        <v>39.72</v>
      </c>
      <c r="M118" s="98">
        <v>44.13000000000001</v>
      </c>
      <c r="N118" s="98" t="s">
        <v>232</v>
      </c>
      <c r="O118" t="s">
        <v>75</v>
      </c>
      <c r="P118">
        <v>202006</v>
      </c>
      <c r="Q118" t="s">
        <v>67</v>
      </c>
    </row>
    <row r="119" spans="8:17">
      <c r="H119" s="108">
        <v>44043</v>
      </c>
      <c r="I119" s="98" t="s">
        <v>19</v>
      </c>
      <c r="J119" s="98">
        <v>268.33999999999997</v>
      </c>
      <c r="K119" s="98">
        <v>16.100000000000001</v>
      </c>
      <c r="L119" s="98">
        <v>284.44</v>
      </c>
      <c r="M119" s="98">
        <v>316.04000000000019</v>
      </c>
      <c r="N119" s="98" t="s">
        <v>233</v>
      </c>
      <c r="O119" t="s">
        <v>65</v>
      </c>
      <c r="P119">
        <v>202006</v>
      </c>
      <c r="Q119" t="s">
        <v>67</v>
      </c>
    </row>
    <row r="120" spans="8:17">
      <c r="H120" s="108">
        <v>44043</v>
      </c>
      <c r="I120" s="98" t="s">
        <v>19</v>
      </c>
      <c r="J120" s="98">
        <v>278.22000000000003</v>
      </c>
      <c r="K120" s="98">
        <v>16.690000000000001</v>
      </c>
      <c r="L120" s="98">
        <v>294.91000000000003</v>
      </c>
      <c r="M120" s="98">
        <v>327.68000000000035</v>
      </c>
      <c r="N120" s="98" t="s">
        <v>234</v>
      </c>
      <c r="O120" t="s">
        <v>65</v>
      </c>
      <c r="P120">
        <v>202006</v>
      </c>
      <c r="Q120" t="s">
        <v>67</v>
      </c>
    </row>
    <row r="121" spans="8:17">
      <c r="H121" s="108">
        <v>44043</v>
      </c>
      <c r="I121" s="98" t="s">
        <v>19</v>
      </c>
      <c r="J121" s="98">
        <v>863.87</v>
      </c>
      <c r="K121" s="98">
        <v>51.83</v>
      </c>
      <c r="L121" s="98">
        <v>915.71</v>
      </c>
      <c r="M121" s="98">
        <v>1017.4500000000004</v>
      </c>
      <c r="N121" s="98" t="s">
        <v>235</v>
      </c>
      <c r="O121" t="s">
        <v>75</v>
      </c>
      <c r="P121">
        <v>202006</v>
      </c>
      <c r="Q121" t="s">
        <v>67</v>
      </c>
    </row>
    <row r="122" spans="8:17">
      <c r="H122" s="108">
        <v>44043</v>
      </c>
      <c r="I122" s="98" t="s">
        <v>19</v>
      </c>
      <c r="J122" s="98">
        <v>314398.48</v>
      </c>
      <c r="K122" s="98">
        <v>18863.910000000033</v>
      </c>
      <c r="L122" s="98">
        <v>333262.39</v>
      </c>
      <c r="M122" s="98">
        <v>370291.53999999893</v>
      </c>
      <c r="N122" s="98" t="s">
        <v>236</v>
      </c>
      <c r="O122" t="s">
        <v>65</v>
      </c>
      <c r="P122">
        <v>202006</v>
      </c>
      <c r="Q122" t="s">
        <v>67</v>
      </c>
    </row>
    <row r="123" spans="8:17">
      <c r="H123" s="108">
        <v>44043</v>
      </c>
      <c r="I123" s="98" t="s">
        <v>19</v>
      </c>
      <c r="J123" s="98">
        <v>79764.97</v>
      </c>
      <c r="K123" s="98">
        <v>4785.8999999999942</v>
      </c>
      <c r="L123" s="98">
        <v>84550.87</v>
      </c>
      <c r="M123" s="98">
        <v>93945.409999999785</v>
      </c>
      <c r="N123" s="98" t="s">
        <v>237</v>
      </c>
      <c r="O123" t="s">
        <v>75</v>
      </c>
      <c r="P123">
        <v>202006</v>
      </c>
      <c r="Q123" t="s">
        <v>67</v>
      </c>
    </row>
    <row r="124" spans="8:17">
      <c r="H124" s="108">
        <v>44043</v>
      </c>
      <c r="I124" s="98" t="s">
        <v>19</v>
      </c>
      <c r="J124" s="98">
        <v>19930.89</v>
      </c>
      <c r="K124" s="98">
        <v>1195.8499999999999</v>
      </c>
      <c r="L124" s="98">
        <v>21126.74</v>
      </c>
      <c r="M124" s="98">
        <v>23474.159999999978</v>
      </c>
      <c r="N124" s="98" t="s">
        <v>238</v>
      </c>
      <c r="O124" t="s">
        <v>73</v>
      </c>
      <c r="P124">
        <v>202006</v>
      </c>
      <c r="Q124" t="s">
        <v>67</v>
      </c>
    </row>
    <row r="125" spans="8:17">
      <c r="H125" s="108">
        <v>44043</v>
      </c>
      <c r="I125" s="98" t="s">
        <v>19</v>
      </c>
      <c r="J125" s="98">
        <v>1033664.54</v>
      </c>
      <c r="K125" s="98">
        <v>62019.87</v>
      </c>
      <c r="L125" s="98">
        <v>1095684.4099999999</v>
      </c>
      <c r="M125" s="98">
        <v>1217427.1199999996</v>
      </c>
      <c r="N125" s="98" t="s">
        <v>239</v>
      </c>
      <c r="O125" t="s">
        <v>69</v>
      </c>
      <c r="P125">
        <v>202006</v>
      </c>
      <c r="Q125" t="s">
        <v>13</v>
      </c>
    </row>
    <row r="126" spans="8:17">
      <c r="H126" s="108">
        <v>44043</v>
      </c>
      <c r="I126" s="98" t="s">
        <v>19</v>
      </c>
      <c r="J126" s="98">
        <v>133151.29</v>
      </c>
      <c r="K126" s="98">
        <v>7989.08</v>
      </c>
      <c r="L126" s="98">
        <v>141140.37</v>
      </c>
      <c r="M126" s="98">
        <v>156822.63</v>
      </c>
      <c r="N126" s="98" t="s">
        <v>240</v>
      </c>
      <c r="O126" t="s">
        <v>69</v>
      </c>
      <c r="P126">
        <v>202006</v>
      </c>
      <c r="Q126" t="s">
        <v>67</v>
      </c>
    </row>
    <row r="127" spans="8:17">
      <c r="H127" s="6">
        <v>44074</v>
      </c>
      <c r="I127" s="98" t="s">
        <v>19</v>
      </c>
      <c r="J127" s="98">
        <v>18429.55</v>
      </c>
      <c r="K127" s="98">
        <v>1105.77</v>
      </c>
      <c r="L127" s="98">
        <v>19535.32</v>
      </c>
      <c r="M127" s="98">
        <v>21705.909999999963</v>
      </c>
      <c r="N127" s="98" t="s">
        <v>470</v>
      </c>
      <c r="O127" t="s">
        <v>65</v>
      </c>
      <c r="P127">
        <v>202008</v>
      </c>
      <c r="Q127" t="s">
        <v>67</v>
      </c>
    </row>
    <row r="128" spans="8:17">
      <c r="H128" s="6">
        <v>44074</v>
      </c>
      <c r="I128" s="98" t="s">
        <v>19</v>
      </c>
      <c r="J128" s="98">
        <v>9330.0300000000007</v>
      </c>
      <c r="K128" s="98">
        <v>559.79999999999995</v>
      </c>
      <c r="L128" s="98">
        <v>9889.83</v>
      </c>
      <c r="M128" s="98">
        <v>10988.700000000033</v>
      </c>
      <c r="N128" s="98" t="s">
        <v>471</v>
      </c>
      <c r="O128" t="s">
        <v>65</v>
      </c>
      <c r="P128">
        <v>202008</v>
      </c>
      <c r="Q128" t="s">
        <v>67</v>
      </c>
    </row>
    <row r="129" spans="8:17">
      <c r="H129" s="6">
        <v>44074</v>
      </c>
      <c r="I129" s="98" t="s">
        <v>19</v>
      </c>
      <c r="J129" s="98">
        <v>3876.9</v>
      </c>
      <c r="K129" s="98">
        <v>232.61</v>
      </c>
      <c r="L129" s="98">
        <v>4109.5200000000004</v>
      </c>
      <c r="M129" s="98">
        <v>4566.1300000000074</v>
      </c>
      <c r="N129" s="98" t="s">
        <v>472</v>
      </c>
      <c r="O129" t="s">
        <v>75</v>
      </c>
      <c r="P129">
        <v>202008</v>
      </c>
      <c r="Q129" t="s">
        <v>67</v>
      </c>
    </row>
    <row r="130" spans="8:17">
      <c r="H130" s="6">
        <v>44074</v>
      </c>
      <c r="I130" s="98" t="s">
        <v>19</v>
      </c>
      <c r="J130" s="98">
        <v>313131.21999999997</v>
      </c>
      <c r="K130" s="98">
        <v>18787.870000000054</v>
      </c>
      <c r="L130" s="98">
        <v>331919.09000000003</v>
      </c>
      <c r="M130" s="98">
        <v>368798.99000000057</v>
      </c>
      <c r="N130" s="98" t="s">
        <v>473</v>
      </c>
      <c r="O130" t="s">
        <v>65</v>
      </c>
      <c r="P130">
        <v>202008</v>
      </c>
      <c r="Q130" t="s">
        <v>67</v>
      </c>
    </row>
    <row r="131" spans="8:17">
      <c r="H131" s="6">
        <v>44074</v>
      </c>
      <c r="I131" s="98" t="s">
        <v>19</v>
      </c>
      <c r="J131" s="98">
        <v>81222.350000000006</v>
      </c>
      <c r="K131" s="98">
        <v>4873.3399999999965</v>
      </c>
      <c r="L131" s="98">
        <v>86095.69</v>
      </c>
      <c r="M131" s="98">
        <v>95661.879999999961</v>
      </c>
      <c r="N131" s="98" t="s">
        <v>474</v>
      </c>
      <c r="O131" t="s">
        <v>75</v>
      </c>
      <c r="P131">
        <v>202008</v>
      </c>
      <c r="Q131" t="s">
        <v>67</v>
      </c>
    </row>
    <row r="132" spans="8:17">
      <c r="H132" s="6">
        <v>44074</v>
      </c>
      <c r="I132" s="98" t="s">
        <v>19</v>
      </c>
      <c r="J132" s="98">
        <v>23659.59</v>
      </c>
      <c r="K132" s="98">
        <v>1419.58</v>
      </c>
      <c r="L132" s="98">
        <v>25079.17</v>
      </c>
      <c r="M132" s="98">
        <v>27865.740000000067</v>
      </c>
      <c r="N132" s="98" t="s">
        <v>475</v>
      </c>
      <c r="O132" t="s">
        <v>73</v>
      </c>
      <c r="P132">
        <v>202008</v>
      </c>
      <c r="Q132" t="s">
        <v>67</v>
      </c>
    </row>
    <row r="133" spans="8:17">
      <c r="H133" s="6">
        <v>44074</v>
      </c>
      <c r="I133" s="98" t="s">
        <v>19</v>
      </c>
      <c r="J133" s="98">
        <v>134984.5</v>
      </c>
      <c r="K133" s="98">
        <v>8099.07</v>
      </c>
      <c r="L133" s="98">
        <v>143083.57</v>
      </c>
      <c r="M133" s="98">
        <v>158981.74000000008</v>
      </c>
      <c r="N133" s="98" t="s">
        <v>476</v>
      </c>
      <c r="O133" t="s">
        <v>69</v>
      </c>
      <c r="P133">
        <v>202008</v>
      </c>
      <c r="Q133" t="s">
        <v>67</v>
      </c>
    </row>
    <row r="134" spans="8:17">
      <c r="H134" s="6">
        <v>44104</v>
      </c>
      <c r="I134" s="98" t="s">
        <v>19</v>
      </c>
      <c r="J134" s="98">
        <v>28214.06</v>
      </c>
      <c r="K134" s="98">
        <v>1692.84</v>
      </c>
      <c r="L134" s="98">
        <v>29906.9</v>
      </c>
      <c r="M134" s="98">
        <v>33229.889999999854</v>
      </c>
      <c r="N134" s="98" t="s">
        <v>486</v>
      </c>
      <c r="O134" s="98" t="s">
        <v>65</v>
      </c>
      <c r="P134">
        <v>202009</v>
      </c>
      <c r="Q134" t="s">
        <v>67</v>
      </c>
    </row>
    <row r="135" spans="8:17">
      <c r="H135" s="6">
        <v>44104</v>
      </c>
      <c r="I135" s="98" t="s">
        <v>19</v>
      </c>
      <c r="J135" s="98">
        <v>11977.39</v>
      </c>
      <c r="K135" s="98">
        <v>718.64</v>
      </c>
      <c r="L135" s="98">
        <v>12696.03</v>
      </c>
      <c r="M135" s="98">
        <v>14106.700000000028</v>
      </c>
      <c r="N135" s="98" t="s">
        <v>487</v>
      </c>
      <c r="O135" s="98" t="s">
        <v>65</v>
      </c>
      <c r="P135">
        <v>202009</v>
      </c>
      <c r="Q135" t="s">
        <v>67</v>
      </c>
    </row>
    <row r="136" spans="8:17">
      <c r="H136" s="6">
        <v>44104</v>
      </c>
      <c r="I136" s="98" t="s">
        <v>19</v>
      </c>
      <c r="J136" s="98">
        <v>3962.07</v>
      </c>
      <c r="K136" s="98">
        <v>237.72</v>
      </c>
      <c r="L136" s="98">
        <v>4199.8</v>
      </c>
      <c r="M136" s="98">
        <v>4666.4400000000123</v>
      </c>
      <c r="N136" s="98" t="s">
        <v>488</v>
      </c>
      <c r="O136" s="98" t="s">
        <v>75</v>
      </c>
      <c r="P136">
        <v>202009</v>
      </c>
      <c r="Q136" t="s">
        <v>67</v>
      </c>
    </row>
    <row r="137" spans="8:17">
      <c r="H137" s="6">
        <v>44104</v>
      </c>
      <c r="I137" s="98" t="s">
        <v>19</v>
      </c>
      <c r="J137" s="98">
        <v>309565.21000000002</v>
      </c>
      <c r="K137" s="98">
        <v>18573.909999999974</v>
      </c>
      <c r="L137" s="98">
        <v>328139.12</v>
      </c>
      <c r="M137" s="98">
        <v>364599.01999999781</v>
      </c>
      <c r="N137" s="98" t="s">
        <v>489</v>
      </c>
      <c r="O137" s="98" t="s">
        <v>65</v>
      </c>
      <c r="P137">
        <v>202009</v>
      </c>
      <c r="Q137" t="s">
        <v>67</v>
      </c>
    </row>
    <row r="138" spans="8:17">
      <c r="H138" s="6">
        <v>44104</v>
      </c>
      <c r="I138" s="98" t="s">
        <v>19</v>
      </c>
      <c r="J138" s="98">
        <v>70899.67</v>
      </c>
      <c r="K138" s="98">
        <v>4253.9799999999959</v>
      </c>
      <c r="L138" s="98">
        <v>75153.649999999994</v>
      </c>
      <c r="M138" s="98">
        <v>83504.050000000207</v>
      </c>
      <c r="N138" s="98" t="s">
        <v>490</v>
      </c>
      <c r="O138" s="98" t="s">
        <v>75</v>
      </c>
      <c r="P138">
        <v>202009</v>
      </c>
      <c r="Q138" t="s">
        <v>67</v>
      </c>
    </row>
    <row r="139" spans="8:17">
      <c r="H139" s="6">
        <v>44104</v>
      </c>
      <c r="I139" s="98" t="s">
        <v>19</v>
      </c>
      <c r="J139" s="98">
        <v>19890.48</v>
      </c>
      <c r="K139" s="98">
        <v>1193.43</v>
      </c>
      <c r="L139" s="98">
        <v>21083.91</v>
      </c>
      <c r="M139" s="98">
        <v>23426.569999999956</v>
      </c>
      <c r="N139" s="98" t="s">
        <v>491</v>
      </c>
      <c r="O139" s="98" t="s">
        <v>73</v>
      </c>
      <c r="P139">
        <v>202009</v>
      </c>
      <c r="Q139" t="s">
        <v>67</v>
      </c>
    </row>
    <row r="140" spans="8:17">
      <c r="H140" s="6">
        <v>44104</v>
      </c>
      <c r="I140" s="98" t="s">
        <v>19</v>
      </c>
      <c r="J140" s="98">
        <v>131072.45000000001</v>
      </c>
      <c r="K140" s="98">
        <v>7864.34</v>
      </c>
      <c r="L140" s="98">
        <v>138936.79999999999</v>
      </c>
      <c r="M140" s="98">
        <v>154374.21999999997</v>
      </c>
      <c r="N140" s="98" t="s">
        <v>492</v>
      </c>
      <c r="O140" s="98" t="s">
        <v>69</v>
      </c>
      <c r="P140">
        <v>202009</v>
      </c>
      <c r="Q140" t="s">
        <v>67</v>
      </c>
    </row>
    <row r="141" spans="8:17">
      <c r="H141" s="6">
        <v>44135</v>
      </c>
      <c r="I141" s="98" t="s">
        <v>19</v>
      </c>
      <c r="J141" s="98">
        <v>32793.29</v>
      </c>
      <c r="K141" s="98">
        <v>1967.6</v>
      </c>
      <c r="L141" s="98">
        <v>34760.89</v>
      </c>
      <c r="M141" s="98">
        <v>38623.209999999955</v>
      </c>
      <c r="N141" s="98" t="s">
        <v>534</v>
      </c>
      <c r="O141" s="98"/>
    </row>
    <row r="142" spans="8:17">
      <c r="H142" s="6">
        <v>44135</v>
      </c>
      <c r="I142" s="98" t="s">
        <v>19</v>
      </c>
      <c r="J142" s="98">
        <v>13400.09</v>
      </c>
      <c r="K142" s="98">
        <v>804.01</v>
      </c>
      <c r="L142" s="98">
        <v>14204.1</v>
      </c>
      <c r="M142" s="98">
        <v>15782.329999999956</v>
      </c>
      <c r="N142" s="98" t="s">
        <v>535</v>
      </c>
      <c r="O142" s="98"/>
    </row>
    <row r="143" spans="8:17">
      <c r="H143" s="6">
        <v>44135</v>
      </c>
      <c r="I143" s="98" t="s">
        <v>19</v>
      </c>
      <c r="J143" s="98">
        <v>3901.22</v>
      </c>
      <c r="K143" s="98">
        <v>234.07</v>
      </c>
      <c r="L143" s="98">
        <v>4135.29</v>
      </c>
      <c r="M143" s="98">
        <v>4594.7700000000059</v>
      </c>
      <c r="N143" s="98" t="s">
        <v>536</v>
      </c>
      <c r="O143" s="98"/>
    </row>
    <row r="144" spans="8:17">
      <c r="H144" s="6">
        <v>44135</v>
      </c>
      <c r="I144" s="98" t="s">
        <v>19</v>
      </c>
      <c r="J144" s="98">
        <v>296250.55</v>
      </c>
      <c r="K144" s="98">
        <v>17775.040000000037</v>
      </c>
      <c r="L144" s="98">
        <v>314025.59000000003</v>
      </c>
      <c r="M144" s="98">
        <v>348917.32000000088</v>
      </c>
      <c r="N144" s="98" t="s">
        <v>537</v>
      </c>
      <c r="O144" s="98"/>
    </row>
    <row r="145" spans="8:15">
      <c r="H145" s="6">
        <v>44135</v>
      </c>
      <c r="I145" s="98" t="s">
        <v>19</v>
      </c>
      <c r="J145" s="98">
        <v>59993.52</v>
      </c>
      <c r="K145" s="98">
        <v>3599.6100000000006</v>
      </c>
      <c r="L145" s="98">
        <v>63593.13</v>
      </c>
      <c r="M145" s="98">
        <v>70659.029999999708</v>
      </c>
      <c r="N145" s="98" t="s">
        <v>538</v>
      </c>
      <c r="O145" s="98"/>
    </row>
    <row r="146" spans="8:15">
      <c r="H146" s="6">
        <v>44135</v>
      </c>
      <c r="I146" s="98" t="s">
        <v>19</v>
      </c>
      <c r="J146" s="98">
        <v>17243.150000000001</v>
      </c>
      <c r="K146" s="98">
        <v>1034.5899999999999</v>
      </c>
      <c r="L146" s="98">
        <v>18277.740000000002</v>
      </c>
      <c r="M146" s="98">
        <v>20308.599999999878</v>
      </c>
      <c r="N146" s="98" t="s">
        <v>539</v>
      </c>
      <c r="O146" s="98"/>
    </row>
    <row r="147" spans="8:15">
      <c r="H147" s="6">
        <v>44135</v>
      </c>
      <c r="I147" s="98" t="s">
        <v>19</v>
      </c>
      <c r="J147" s="98">
        <v>135736.25</v>
      </c>
      <c r="K147" s="98">
        <v>8144.18</v>
      </c>
      <c r="L147" s="98">
        <v>143880.43</v>
      </c>
      <c r="M147" s="98">
        <v>159867.14000000007</v>
      </c>
      <c r="N147" s="98" t="s">
        <v>540</v>
      </c>
      <c r="O147" s="98"/>
    </row>
  </sheetData>
  <autoFilter ref="H1:R44"/>
  <phoneticPr fontId="18" type="noConversion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7"/>
  <sheetViews>
    <sheetView workbookViewId="0">
      <selection sqref="A1:E7"/>
    </sheetView>
  </sheetViews>
  <sheetFormatPr defaultColWidth="9" defaultRowHeight="13.8"/>
  <cols>
    <col min="1" max="1" width="11.21875" customWidth="1"/>
    <col min="4" max="4" width="20.33203125" customWidth="1"/>
    <col min="5" max="5" width="11.6640625" customWidth="1"/>
  </cols>
  <sheetData>
    <row r="1" spans="1:5" ht="18.600000000000001">
      <c r="A1" t="s">
        <v>0</v>
      </c>
      <c r="B1" s="7" t="s">
        <v>59</v>
      </c>
      <c r="C1" s="20" t="s">
        <v>10</v>
      </c>
      <c r="D1" s="20" t="s">
        <v>62</v>
      </c>
      <c r="E1" t="s">
        <v>36</v>
      </c>
    </row>
    <row r="2" spans="1:5" ht="18.600000000000001">
      <c r="A2" s="6">
        <v>43220</v>
      </c>
      <c r="B2" s="7" t="s">
        <v>19</v>
      </c>
      <c r="C2" s="20">
        <v>4340</v>
      </c>
      <c r="D2" s="23">
        <v>1722960.59</v>
      </c>
    </row>
    <row r="3" spans="1:5" ht="18.600000000000001">
      <c r="A3" s="6">
        <v>43404</v>
      </c>
      <c r="B3" s="7" t="s">
        <v>19</v>
      </c>
      <c r="C3" s="20">
        <v>4340</v>
      </c>
      <c r="D3" s="23">
        <v>1049335.54</v>
      </c>
      <c r="E3" t="s">
        <v>109</v>
      </c>
    </row>
    <row r="4" spans="1:5" ht="18.600000000000001">
      <c r="A4" s="6">
        <v>43404</v>
      </c>
      <c r="B4" s="7" t="s">
        <v>19</v>
      </c>
      <c r="C4" s="20">
        <v>4340</v>
      </c>
      <c r="D4" s="23">
        <v>1613297.79</v>
      </c>
      <c r="E4" t="s">
        <v>110</v>
      </c>
    </row>
    <row r="5" spans="1:5" ht="18.600000000000001">
      <c r="A5" s="6">
        <v>43434</v>
      </c>
      <c r="B5" s="7" t="s">
        <v>19</v>
      </c>
      <c r="C5" s="20">
        <v>4340</v>
      </c>
      <c r="D5" s="23">
        <v>784335.8</v>
      </c>
      <c r="E5" s="24">
        <v>43374</v>
      </c>
    </row>
    <row r="6" spans="1:5" ht="18.600000000000001">
      <c r="A6" s="6">
        <v>43465</v>
      </c>
      <c r="B6" s="7" t="s">
        <v>19</v>
      </c>
      <c r="C6" s="20">
        <v>4340</v>
      </c>
      <c r="D6" s="23">
        <v>61890.46</v>
      </c>
      <c r="E6" s="24">
        <v>43406</v>
      </c>
    </row>
    <row r="7" spans="1:5" ht="18.600000000000001">
      <c r="A7" s="6">
        <v>43465</v>
      </c>
      <c r="B7" s="7" t="s">
        <v>19</v>
      </c>
      <c r="C7" s="20">
        <v>4340</v>
      </c>
      <c r="D7" s="23">
        <v>248780.82</v>
      </c>
      <c r="E7" s="24">
        <v>43437</v>
      </c>
    </row>
  </sheetData>
  <phoneticPr fontId="18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36"/>
  <sheetViews>
    <sheetView topLeftCell="G10" workbookViewId="0">
      <selection activeCell="I37" sqref="I37"/>
    </sheetView>
  </sheetViews>
  <sheetFormatPr defaultColWidth="9" defaultRowHeight="13.8"/>
  <cols>
    <col min="1" max="1" width="11.21875" customWidth="1"/>
    <col min="4" max="4" width="17.5546875" customWidth="1"/>
    <col min="9" max="9" width="11.6640625" customWidth="1"/>
    <col min="10" max="10" width="17.5546875" customWidth="1"/>
    <col min="11" max="11" width="14.77734375" customWidth="1"/>
    <col min="12" max="12" width="16.21875" customWidth="1"/>
    <col min="13" max="13" width="17.5546875" customWidth="1"/>
    <col min="14" max="14" width="20.33203125" customWidth="1"/>
    <col min="15" max="15" width="11.88671875" customWidth="1"/>
    <col min="17" max="17" width="14.77734375" customWidth="1"/>
    <col min="19" max="19" width="17.5546875" customWidth="1"/>
    <col min="23" max="23" width="11.88671875" customWidth="1"/>
  </cols>
  <sheetData>
    <row r="1" spans="1:23" ht="17.399999999999999" customHeight="1">
      <c r="A1" t="s">
        <v>0</v>
      </c>
      <c r="B1" s="7" t="s">
        <v>11</v>
      </c>
      <c r="C1" s="7" t="s">
        <v>111</v>
      </c>
      <c r="D1" s="7" t="s">
        <v>112</v>
      </c>
      <c r="I1" t="s">
        <v>113</v>
      </c>
      <c r="J1" s="110" t="s">
        <v>114</v>
      </c>
      <c r="K1" s="110"/>
      <c r="L1" s="110"/>
      <c r="M1" s="110"/>
      <c r="N1" s="110" t="s">
        <v>115</v>
      </c>
      <c r="O1" s="110"/>
      <c r="P1" s="110"/>
      <c r="Q1" s="110"/>
      <c r="R1" s="110"/>
      <c r="S1" s="110"/>
      <c r="T1" s="111" t="s">
        <v>116</v>
      </c>
      <c r="U1" s="111"/>
      <c r="V1" s="111"/>
      <c r="W1" s="111"/>
    </row>
    <row r="2" spans="1:23" ht="18">
      <c r="A2" s="6">
        <v>43220</v>
      </c>
      <c r="B2" s="7" t="s">
        <v>19</v>
      </c>
      <c r="C2" s="7">
        <v>4340</v>
      </c>
      <c r="D2" s="7">
        <v>6125.14</v>
      </c>
      <c r="J2" s="8" t="s">
        <v>11</v>
      </c>
      <c r="K2" s="8" t="s">
        <v>14</v>
      </c>
      <c r="L2" s="8" t="s">
        <v>16</v>
      </c>
      <c r="M2" s="8" t="s">
        <v>112</v>
      </c>
      <c r="N2" s="8" t="s">
        <v>11</v>
      </c>
      <c r="O2" s="8" t="s">
        <v>111</v>
      </c>
      <c r="P2" s="12" t="s">
        <v>117</v>
      </c>
      <c r="Q2" s="8" t="s">
        <v>14</v>
      </c>
      <c r="R2" s="8" t="s">
        <v>16</v>
      </c>
      <c r="S2" s="8" t="s">
        <v>112</v>
      </c>
      <c r="T2" s="8" t="s">
        <v>11</v>
      </c>
      <c r="U2" s="8" t="s">
        <v>111</v>
      </c>
      <c r="V2" s="12" t="s">
        <v>117</v>
      </c>
      <c r="W2" s="12" t="s">
        <v>118</v>
      </c>
    </row>
    <row r="3" spans="1:23" ht="18">
      <c r="A3" s="6">
        <v>43251</v>
      </c>
      <c r="B3" s="7" t="s">
        <v>19</v>
      </c>
      <c r="C3" s="7">
        <v>4340</v>
      </c>
      <c r="D3" s="7">
        <v>7328.43</v>
      </c>
      <c r="J3" s="9" t="s">
        <v>119</v>
      </c>
      <c r="K3" s="11">
        <v>51922.33</v>
      </c>
      <c r="L3" s="11">
        <v>3115.33</v>
      </c>
      <c r="M3" s="11">
        <v>55037.66</v>
      </c>
      <c r="N3" s="9" t="s">
        <v>119</v>
      </c>
      <c r="O3" s="10">
        <v>4340</v>
      </c>
      <c r="P3" s="11">
        <v>5503.77</v>
      </c>
      <c r="Q3" s="11">
        <v>46418.559999999998</v>
      </c>
      <c r="R3" s="11">
        <v>3115.33</v>
      </c>
      <c r="S3" s="22">
        <v>55037.66</v>
      </c>
      <c r="T3" s="9" t="s">
        <v>119</v>
      </c>
      <c r="U3" s="10">
        <v>4340</v>
      </c>
      <c r="V3" s="11">
        <v>5503.77</v>
      </c>
      <c r="W3" s="11">
        <v>-5503.7700000000204</v>
      </c>
    </row>
    <row r="4" spans="1:23" ht="17.399999999999999">
      <c r="A4" s="6">
        <v>43281</v>
      </c>
      <c r="B4" s="7" t="s">
        <v>19</v>
      </c>
      <c r="C4" s="7">
        <v>4340</v>
      </c>
      <c r="D4" s="7">
        <v>8223.41</v>
      </c>
    </row>
    <row r="5" spans="1:23" ht="18">
      <c r="A5" s="6">
        <v>43312</v>
      </c>
      <c r="B5" s="7" t="s">
        <v>19</v>
      </c>
      <c r="C5" s="7">
        <v>4340</v>
      </c>
      <c r="D5" s="7">
        <v>8128.98</v>
      </c>
      <c r="J5" s="12" t="s">
        <v>11</v>
      </c>
      <c r="K5" s="12" t="s">
        <v>117</v>
      </c>
      <c r="L5" s="13" t="s">
        <v>14</v>
      </c>
      <c r="M5" s="12" t="s">
        <v>16</v>
      </c>
      <c r="N5" s="12" t="s">
        <v>63</v>
      </c>
      <c r="O5" s="12" t="s">
        <v>64</v>
      </c>
    </row>
    <row r="6" spans="1:23" ht="18">
      <c r="A6" s="6">
        <v>43343</v>
      </c>
      <c r="B6" s="7" t="s">
        <v>19</v>
      </c>
      <c r="C6" s="7">
        <v>4340</v>
      </c>
      <c r="D6" s="7">
        <v>7748.25</v>
      </c>
      <c r="I6" t="s">
        <v>58</v>
      </c>
      <c r="J6" s="14" t="s">
        <v>119</v>
      </c>
      <c r="K6" s="15">
        <v>-20.85</v>
      </c>
      <c r="L6" s="16">
        <v>-175.82</v>
      </c>
      <c r="M6" s="16">
        <v>-11.8</v>
      </c>
      <c r="N6" s="16">
        <v>-208.47</v>
      </c>
      <c r="O6" s="17"/>
    </row>
    <row r="7" spans="1:23" ht="18">
      <c r="A7" s="6">
        <v>43373</v>
      </c>
      <c r="B7" s="7" t="s">
        <v>19</v>
      </c>
      <c r="C7" s="7">
        <v>4340</v>
      </c>
      <c r="D7" s="7">
        <v>7594.38</v>
      </c>
      <c r="I7" s="6">
        <v>43496</v>
      </c>
      <c r="J7" s="14" t="s">
        <v>119</v>
      </c>
      <c r="K7" s="18">
        <v>700.09</v>
      </c>
      <c r="L7" s="18">
        <v>5904.53</v>
      </c>
      <c r="M7" s="18">
        <v>396.28</v>
      </c>
      <c r="N7" s="18">
        <v>7000.9</v>
      </c>
      <c r="O7" s="17"/>
    </row>
    <row r="8" spans="1:23" ht="18.600000000000001">
      <c r="A8" s="6">
        <v>43404</v>
      </c>
      <c r="B8" s="7" t="s">
        <v>19</v>
      </c>
      <c r="C8" s="7">
        <v>4340</v>
      </c>
      <c r="D8" s="7">
        <v>7873.77</v>
      </c>
      <c r="I8" s="6">
        <v>43524</v>
      </c>
      <c r="J8" s="14" t="s">
        <v>119</v>
      </c>
      <c r="K8" s="19">
        <v>584.19000000000005</v>
      </c>
      <c r="L8" s="19">
        <v>4927.03</v>
      </c>
      <c r="M8" s="19">
        <v>330.67</v>
      </c>
      <c r="N8" s="19">
        <v>5841.89</v>
      </c>
      <c r="O8" s="17"/>
    </row>
    <row r="9" spans="1:23" ht="18.600000000000001">
      <c r="A9" s="6">
        <v>43434</v>
      </c>
      <c r="B9" s="7" t="s">
        <v>19</v>
      </c>
      <c r="C9" s="7">
        <v>4340</v>
      </c>
      <c r="D9" s="7">
        <v>8082.56</v>
      </c>
      <c r="I9" s="6">
        <v>43555</v>
      </c>
      <c r="J9" s="20" t="s">
        <v>119</v>
      </c>
      <c r="K9" s="19">
        <v>754.12</v>
      </c>
      <c r="L9" s="19">
        <v>6360.26</v>
      </c>
      <c r="M9" s="19">
        <v>426.86</v>
      </c>
      <c r="N9" s="19">
        <v>7541.24</v>
      </c>
      <c r="O9" s="17"/>
    </row>
    <row r="10" spans="1:23" ht="18">
      <c r="A10" s="6">
        <v>43465</v>
      </c>
      <c r="B10" s="7" t="s">
        <v>19</v>
      </c>
      <c r="C10" s="7">
        <v>4340</v>
      </c>
      <c r="D10" s="7">
        <v>7652.72</v>
      </c>
      <c r="I10" s="6">
        <v>43585</v>
      </c>
      <c r="K10" s="18">
        <v>-700.09</v>
      </c>
      <c r="L10" s="18">
        <v>-5904.53</v>
      </c>
      <c r="M10" s="18">
        <v>-396.28</v>
      </c>
      <c r="N10" s="18">
        <v>-7000.9</v>
      </c>
      <c r="O10" s="14" t="s">
        <v>120</v>
      </c>
    </row>
    <row r="11" spans="1:23" ht="17.399999999999999">
      <c r="I11" s="6">
        <v>43585</v>
      </c>
      <c r="K11" s="18">
        <v>802.11</v>
      </c>
      <c r="L11" s="18">
        <v>6765</v>
      </c>
      <c r="M11" s="18">
        <v>454.03</v>
      </c>
      <c r="N11" s="18">
        <v>8021.14</v>
      </c>
      <c r="O11" s="14" t="s">
        <v>121</v>
      </c>
    </row>
    <row r="12" spans="1:23" ht="17.399999999999999">
      <c r="I12" s="6">
        <v>43585</v>
      </c>
      <c r="K12" s="18">
        <v>-584.19000000000005</v>
      </c>
      <c r="L12" s="18">
        <v>-4927.03</v>
      </c>
      <c r="M12" s="18">
        <v>-330.67</v>
      </c>
      <c r="N12" s="18">
        <v>-5841.89</v>
      </c>
      <c r="O12" s="14" t="s">
        <v>122</v>
      </c>
    </row>
    <row r="13" spans="1:23" ht="17.399999999999999">
      <c r="I13" s="6">
        <v>43585</v>
      </c>
      <c r="K13" s="18">
        <v>674.8</v>
      </c>
      <c r="L13" s="18">
        <v>5691.26</v>
      </c>
      <c r="M13" s="18">
        <v>381.96</v>
      </c>
      <c r="N13" s="18">
        <v>6748.02</v>
      </c>
      <c r="O13" s="14" t="s">
        <v>123</v>
      </c>
    </row>
    <row r="14" spans="1:23" ht="17.399999999999999">
      <c r="I14" s="6">
        <v>43585</v>
      </c>
      <c r="K14" s="18">
        <v>961.46</v>
      </c>
      <c r="L14" s="18">
        <v>8108.9</v>
      </c>
      <c r="M14" s="18">
        <v>544.22</v>
      </c>
      <c r="N14" s="18">
        <v>9614.58</v>
      </c>
      <c r="O14" s="14" t="s">
        <v>124</v>
      </c>
    </row>
    <row r="15" spans="1:23" ht="17.399999999999999">
      <c r="I15" s="6">
        <v>43616</v>
      </c>
      <c r="K15" s="18">
        <v>46.49</v>
      </c>
      <c r="L15" s="18">
        <v>392.05</v>
      </c>
      <c r="M15" s="18">
        <v>26.31</v>
      </c>
      <c r="N15" s="18">
        <v>464.85</v>
      </c>
    </row>
    <row r="16" spans="1:23" ht="17.399999999999999">
      <c r="I16" s="6">
        <v>43646</v>
      </c>
      <c r="K16" s="72">
        <v>45.78</v>
      </c>
      <c r="L16" s="72">
        <v>386.13999999999993</v>
      </c>
      <c r="M16" s="72">
        <v>25.92</v>
      </c>
      <c r="N16" s="72">
        <v>457.84</v>
      </c>
    </row>
    <row r="17" spans="9:15" ht="17.399999999999999">
      <c r="I17" s="6">
        <v>43677</v>
      </c>
      <c r="J17" s="83" t="s">
        <v>119</v>
      </c>
      <c r="K17" s="84">
        <v>45.78</v>
      </c>
      <c r="L17" s="84">
        <v>386.13999999999993</v>
      </c>
      <c r="M17" s="84">
        <v>25.92</v>
      </c>
      <c r="N17" s="84">
        <v>457.84</v>
      </c>
      <c r="O17" s="84" t="s">
        <v>139</v>
      </c>
    </row>
    <row r="18" spans="9:15" ht="17.399999999999999">
      <c r="I18" s="6">
        <v>43677</v>
      </c>
      <c r="J18" s="83" t="s">
        <v>119</v>
      </c>
      <c r="K18" s="84">
        <v>53.18</v>
      </c>
      <c r="L18" s="84">
        <v>448.48999999999995</v>
      </c>
      <c r="M18" s="84">
        <v>30.1</v>
      </c>
      <c r="N18" s="84">
        <v>531.77</v>
      </c>
      <c r="O18" s="85">
        <v>201907</v>
      </c>
    </row>
    <row r="19" spans="9:15" ht="17.399999999999999">
      <c r="I19" s="6">
        <v>43708</v>
      </c>
      <c r="J19" s="83" t="s">
        <v>119</v>
      </c>
      <c r="K19" s="84">
        <v>52.2</v>
      </c>
      <c r="L19" s="84">
        <v>440.28</v>
      </c>
      <c r="M19" s="84">
        <v>29.55</v>
      </c>
      <c r="N19" s="84">
        <v>522.03</v>
      </c>
    </row>
    <row r="20" spans="9:15">
      <c r="I20" s="6">
        <v>43738</v>
      </c>
      <c r="K20">
        <v>52.98</v>
      </c>
      <c r="L20">
        <v>446.80999999999995</v>
      </c>
      <c r="M20">
        <v>29.99</v>
      </c>
      <c r="N20">
        <v>529.78</v>
      </c>
    </row>
    <row r="21" spans="9:15">
      <c r="I21" s="6">
        <v>43769</v>
      </c>
      <c r="J21" s="98" t="s">
        <v>19</v>
      </c>
      <c r="K21" s="98">
        <v>50.5</v>
      </c>
      <c r="L21" s="98">
        <v>425.89000000000004</v>
      </c>
      <c r="M21" s="98">
        <v>28.58</v>
      </c>
      <c r="N21" s="98">
        <v>504.97</v>
      </c>
    </row>
    <row r="22" spans="9:15">
      <c r="I22" s="6">
        <v>43799</v>
      </c>
      <c r="J22" s="98" t="s">
        <v>119</v>
      </c>
      <c r="K22" s="98">
        <v>53.88</v>
      </c>
      <c r="L22" s="98">
        <v>454.38</v>
      </c>
      <c r="M22" s="98">
        <v>30.5</v>
      </c>
      <c r="N22" s="98">
        <v>538.76</v>
      </c>
    </row>
    <row r="23" spans="9:15">
      <c r="I23" s="6">
        <v>43830</v>
      </c>
      <c r="K23">
        <v>60.81</v>
      </c>
      <c r="L23">
        <v>512.91</v>
      </c>
      <c r="M23">
        <v>34.42</v>
      </c>
      <c r="N23">
        <v>608.14</v>
      </c>
    </row>
    <row r="24" spans="9:15">
      <c r="I24" s="6">
        <v>43830</v>
      </c>
      <c r="J24" s="98" t="s">
        <v>119</v>
      </c>
      <c r="K24" s="98">
        <v>-1.7</v>
      </c>
      <c r="L24" s="98">
        <v>-14.3</v>
      </c>
      <c r="M24" s="98">
        <v>-0.96</v>
      </c>
      <c r="N24" s="98">
        <v>-16.96</v>
      </c>
    </row>
    <row r="25" spans="9:15">
      <c r="I25" s="6">
        <v>43861</v>
      </c>
      <c r="K25" s="98">
        <v>62.39</v>
      </c>
      <c r="L25" s="98">
        <v>526.19000000000005</v>
      </c>
      <c r="M25" s="98">
        <v>35.31</v>
      </c>
      <c r="N25" s="98">
        <v>623.89</v>
      </c>
    </row>
    <row r="26" spans="9:15">
      <c r="I26" s="6">
        <v>43890</v>
      </c>
      <c r="K26" s="98">
        <v>57.23</v>
      </c>
      <c r="L26" s="98">
        <v>482.70000000000005</v>
      </c>
      <c r="M26" s="98">
        <v>32.4</v>
      </c>
      <c r="N26" s="98">
        <v>572.33000000000004</v>
      </c>
    </row>
    <row r="27" spans="9:15">
      <c r="I27" s="6">
        <v>43921</v>
      </c>
      <c r="K27" s="98">
        <v>62.83</v>
      </c>
      <c r="L27" s="98">
        <v>529.93999999999994</v>
      </c>
      <c r="M27" s="98">
        <v>35.57</v>
      </c>
      <c r="N27" s="98">
        <v>628.34</v>
      </c>
    </row>
    <row r="28" spans="9:15">
      <c r="I28" s="6">
        <v>43951</v>
      </c>
      <c r="K28" s="98">
        <v>67.36999999999999</v>
      </c>
      <c r="L28" s="98">
        <v>568.16999999999996</v>
      </c>
      <c r="M28" s="98">
        <v>38.14</v>
      </c>
      <c r="N28" s="98">
        <v>673.68</v>
      </c>
    </row>
    <row r="29" spans="9:15">
      <c r="I29" s="6">
        <v>43982</v>
      </c>
      <c r="J29" s="98" t="s">
        <v>119</v>
      </c>
      <c r="K29" s="98">
        <v>130.47999999999999</v>
      </c>
      <c r="L29" s="98">
        <v>1100.48</v>
      </c>
      <c r="M29" s="98">
        <v>73.849999999999994</v>
      </c>
      <c r="N29" s="98">
        <v>1304.81</v>
      </c>
    </row>
    <row r="30" spans="9:15">
      <c r="I30" s="6">
        <v>44012</v>
      </c>
      <c r="J30" s="98" t="s">
        <v>119</v>
      </c>
      <c r="K30" s="98">
        <v>342.48</v>
      </c>
      <c r="L30" s="98">
        <v>2888.46</v>
      </c>
      <c r="M30" s="98">
        <v>193.86</v>
      </c>
      <c r="N30" s="98">
        <v>3424.8</v>
      </c>
      <c r="O30" s="98">
        <v>202006</v>
      </c>
    </row>
    <row r="31" spans="9:15">
      <c r="I31" s="6">
        <v>44012</v>
      </c>
      <c r="J31" s="98" t="s">
        <v>119</v>
      </c>
      <c r="K31" s="98">
        <v>66.81</v>
      </c>
      <c r="L31" s="98">
        <v>563.54999999999995</v>
      </c>
      <c r="M31" s="98">
        <v>37.82</v>
      </c>
      <c r="N31" s="98">
        <v>668.18</v>
      </c>
      <c r="O31" s="98" t="s">
        <v>241</v>
      </c>
    </row>
    <row r="32" spans="9:15">
      <c r="I32" s="108">
        <v>44043</v>
      </c>
      <c r="J32" s="98" t="s">
        <v>119</v>
      </c>
      <c r="K32" s="98">
        <v>342.48</v>
      </c>
      <c r="L32" s="98">
        <v>2888.46</v>
      </c>
      <c r="M32" s="98">
        <v>193.86</v>
      </c>
      <c r="N32" s="98">
        <v>3424.8</v>
      </c>
      <c r="O32" s="98">
        <v>202006</v>
      </c>
    </row>
    <row r="33" spans="9:15">
      <c r="I33" s="108">
        <v>44043</v>
      </c>
      <c r="J33" s="98" t="s">
        <v>119</v>
      </c>
      <c r="K33" s="98">
        <v>66.81</v>
      </c>
      <c r="L33" s="98">
        <v>563.54999999999995</v>
      </c>
      <c r="M33" s="98">
        <v>37.82</v>
      </c>
      <c r="N33" s="98">
        <v>668.18</v>
      </c>
      <c r="O33" s="98" t="s">
        <v>241</v>
      </c>
    </row>
    <row r="34" spans="9:15">
      <c r="I34" s="6">
        <v>44074</v>
      </c>
      <c r="J34" s="98" t="s">
        <v>119</v>
      </c>
      <c r="K34" s="98">
        <v>74.809999999999988</v>
      </c>
      <c r="L34" s="98">
        <v>630.99</v>
      </c>
      <c r="M34" s="98">
        <v>42.35</v>
      </c>
      <c r="N34" s="98">
        <v>748.15</v>
      </c>
    </row>
    <row r="35" spans="9:15">
      <c r="I35" s="6">
        <v>44104</v>
      </c>
      <c r="J35" s="98" t="s">
        <v>119</v>
      </c>
      <c r="K35" s="98">
        <v>72.400000000000006</v>
      </c>
      <c r="L35" s="98">
        <v>610.6</v>
      </c>
      <c r="M35" s="98">
        <v>40.98</v>
      </c>
      <c r="N35" s="98">
        <v>723.98</v>
      </c>
      <c r="O35" s="98"/>
    </row>
    <row r="36" spans="9:15">
      <c r="I36" s="6">
        <v>44135</v>
      </c>
      <c r="J36" s="98" t="s">
        <v>119</v>
      </c>
      <c r="K36" s="98">
        <v>111.55</v>
      </c>
      <c r="L36" s="98">
        <v>940.82000000000016</v>
      </c>
      <c r="M36" s="98">
        <v>63.14</v>
      </c>
      <c r="N36" s="98">
        <v>1115.52</v>
      </c>
    </row>
  </sheetData>
  <mergeCells count="3">
    <mergeCell ref="J1:M1"/>
    <mergeCell ref="N1:S1"/>
    <mergeCell ref="T1:W1"/>
  </mergeCells>
  <phoneticPr fontId="18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61"/>
  <sheetViews>
    <sheetView workbookViewId="0">
      <pane ySplit="1" topLeftCell="A23" activePane="bottomLeft" state="frozen"/>
      <selection pane="bottomLeft" activeCell="A58" sqref="A58:A61"/>
    </sheetView>
  </sheetViews>
  <sheetFormatPr defaultRowHeight="13.8"/>
  <cols>
    <col min="1" max="1" width="11.21875" bestFit="1" customWidth="1"/>
    <col min="2" max="2" width="21.77734375" bestFit="1" customWidth="1"/>
    <col min="3" max="4" width="14.77734375" bestFit="1" customWidth="1"/>
    <col min="6" max="6" width="14.77734375" bestFit="1" customWidth="1"/>
  </cols>
  <sheetData>
    <row r="1" spans="1:6" ht="17.399999999999999">
      <c r="A1" s="77" t="s">
        <v>155</v>
      </c>
      <c r="B1" s="91" t="s">
        <v>147</v>
      </c>
      <c r="C1" s="91" t="s">
        <v>148</v>
      </c>
      <c r="D1" s="91" t="s">
        <v>149</v>
      </c>
      <c r="E1" s="92" t="s">
        <v>150</v>
      </c>
      <c r="F1" s="91" t="s">
        <v>151</v>
      </c>
    </row>
    <row r="2" spans="1:6" ht="18.600000000000001">
      <c r="A2" s="6">
        <v>43708</v>
      </c>
      <c r="B2" s="93" t="s">
        <v>152</v>
      </c>
      <c r="C2" s="94">
        <v>1366.03</v>
      </c>
      <c r="D2" s="94">
        <v>5154.83</v>
      </c>
      <c r="E2" s="95">
        <v>309.29000000000002</v>
      </c>
      <c r="F2" s="96">
        <v>6830.15</v>
      </c>
    </row>
    <row r="3" spans="1:6" ht="18.600000000000001">
      <c r="A3" s="6">
        <v>43708</v>
      </c>
      <c r="B3" s="93" t="s">
        <v>153</v>
      </c>
      <c r="C3" s="94">
        <v>1873.99</v>
      </c>
      <c r="D3" s="94">
        <v>7071.68</v>
      </c>
      <c r="E3" s="95">
        <v>424.3</v>
      </c>
      <c r="F3" s="96">
        <v>9369.9699999999993</v>
      </c>
    </row>
    <row r="4" spans="1:6" ht="18.600000000000001">
      <c r="A4" s="6">
        <v>43708</v>
      </c>
      <c r="B4" s="93" t="s">
        <v>154</v>
      </c>
      <c r="C4" s="94">
        <v>1363.71</v>
      </c>
      <c r="D4" s="94">
        <v>5146.09</v>
      </c>
      <c r="E4" s="95">
        <v>308.77</v>
      </c>
      <c r="F4" s="96">
        <v>6818.57</v>
      </c>
    </row>
    <row r="5" spans="1:6">
      <c r="A5" s="6">
        <v>43799</v>
      </c>
      <c r="B5" s="98" t="s">
        <v>154</v>
      </c>
      <c r="C5" s="98">
        <v>1335.02</v>
      </c>
      <c r="D5" s="98">
        <v>5037.8100000000004</v>
      </c>
      <c r="E5" s="98">
        <v>302.27</v>
      </c>
      <c r="F5" s="98">
        <v>6675.0999999999985</v>
      </c>
    </row>
    <row r="6" spans="1:6">
      <c r="A6" s="6">
        <v>43799</v>
      </c>
      <c r="B6" s="98" t="s">
        <v>153</v>
      </c>
      <c r="C6" s="98">
        <v>283.26</v>
      </c>
      <c r="D6" s="98">
        <v>1068.9000000000001</v>
      </c>
      <c r="E6" s="98">
        <v>64.13</v>
      </c>
      <c r="F6" s="98">
        <v>1416.2899999999991</v>
      </c>
    </row>
    <row r="7" spans="1:6">
      <c r="A7" s="6">
        <v>43799</v>
      </c>
      <c r="B7" s="98" t="s">
        <v>152</v>
      </c>
      <c r="C7" s="98">
        <v>1271.01</v>
      </c>
      <c r="D7" s="98">
        <v>4796.26</v>
      </c>
      <c r="E7" s="98">
        <v>287.77999999999997</v>
      </c>
      <c r="F7" s="98">
        <v>6355.0500000000011</v>
      </c>
    </row>
    <row r="8" spans="1:6">
      <c r="A8" s="6">
        <v>43769</v>
      </c>
      <c r="B8" t="s">
        <v>154</v>
      </c>
      <c r="C8">
        <v>686.05</v>
      </c>
      <c r="D8">
        <v>2588.87</v>
      </c>
      <c r="E8">
        <v>155.33000000000001</v>
      </c>
      <c r="F8">
        <v>3430.2500000000009</v>
      </c>
    </row>
    <row r="9" spans="1:6">
      <c r="A9" s="6">
        <v>43769</v>
      </c>
      <c r="B9" t="s">
        <v>153</v>
      </c>
      <c r="C9">
        <v>-86.54</v>
      </c>
      <c r="D9">
        <v>-326.57</v>
      </c>
      <c r="E9">
        <v>-19.59</v>
      </c>
      <c r="F9">
        <v>-432.71000000000004</v>
      </c>
    </row>
    <row r="10" spans="1:6">
      <c r="A10" s="6">
        <v>43769</v>
      </c>
      <c r="B10" t="s">
        <v>152</v>
      </c>
      <c r="C10">
        <v>665.68</v>
      </c>
      <c r="D10">
        <v>2512.0100000000002</v>
      </c>
      <c r="E10">
        <v>150.72</v>
      </c>
      <c r="F10">
        <v>3328.41</v>
      </c>
    </row>
    <row r="11" spans="1:6">
      <c r="A11" s="6">
        <v>43738</v>
      </c>
      <c r="B11" t="s">
        <v>152</v>
      </c>
      <c r="C11">
        <v>169.42</v>
      </c>
      <c r="D11">
        <v>639.33000000000004</v>
      </c>
      <c r="E11">
        <v>38.36</v>
      </c>
      <c r="F11">
        <v>847.11000000000058</v>
      </c>
    </row>
    <row r="12" spans="1:6">
      <c r="A12" s="6">
        <v>43738</v>
      </c>
      <c r="B12" t="s">
        <v>153</v>
      </c>
      <c r="C12">
        <v>-348.75</v>
      </c>
      <c r="D12">
        <v>-1316.04</v>
      </c>
      <c r="E12">
        <v>-78.959999999999994</v>
      </c>
      <c r="F12">
        <v>-1743.7499999999991</v>
      </c>
    </row>
    <row r="13" spans="1:6">
      <c r="A13" s="6">
        <v>43738</v>
      </c>
      <c r="B13" t="s">
        <v>154</v>
      </c>
      <c r="C13">
        <v>131.29</v>
      </c>
      <c r="D13">
        <v>495.45</v>
      </c>
      <c r="E13">
        <v>29.73</v>
      </c>
      <c r="F13">
        <v>656.47000000000025</v>
      </c>
    </row>
    <row r="14" spans="1:6">
      <c r="A14" s="6">
        <v>43830</v>
      </c>
      <c r="B14" s="98" t="s">
        <v>192</v>
      </c>
      <c r="C14">
        <v>330.75</v>
      </c>
      <c r="D14">
        <v>1248.1099999999999</v>
      </c>
      <c r="E14">
        <v>74.89</v>
      </c>
      <c r="F14">
        <v>1653.75</v>
      </c>
    </row>
    <row r="15" spans="1:6">
      <c r="A15" s="6">
        <v>43830</v>
      </c>
      <c r="B15" s="98" t="s">
        <v>154</v>
      </c>
      <c r="C15">
        <v>1615.65</v>
      </c>
      <c r="D15">
        <v>6096.79</v>
      </c>
      <c r="E15">
        <v>365.81</v>
      </c>
      <c r="F15">
        <v>8078.25</v>
      </c>
    </row>
    <row r="16" spans="1:6">
      <c r="A16" s="6">
        <v>43830</v>
      </c>
      <c r="B16" s="98" t="s">
        <v>153</v>
      </c>
      <c r="C16">
        <v>311.05</v>
      </c>
      <c r="D16">
        <v>1173.75</v>
      </c>
      <c r="E16">
        <v>70.430000000000007</v>
      </c>
      <c r="F16">
        <v>1555.2300000000014</v>
      </c>
    </row>
    <row r="17" spans="1:6">
      <c r="A17" s="6">
        <v>43830</v>
      </c>
      <c r="B17" s="98" t="s">
        <v>152</v>
      </c>
      <c r="C17">
        <v>2204.52</v>
      </c>
      <c r="D17">
        <v>8318.9500000000007</v>
      </c>
      <c r="E17">
        <v>499.14</v>
      </c>
      <c r="F17">
        <v>11022.61</v>
      </c>
    </row>
    <row r="18" spans="1:6">
      <c r="A18" s="6">
        <v>43830</v>
      </c>
      <c r="B18" s="98" t="s">
        <v>192</v>
      </c>
      <c r="C18" s="98">
        <v>-77.45</v>
      </c>
      <c r="D18" s="98">
        <v>-292.26</v>
      </c>
      <c r="E18" s="98">
        <v>-17.54</v>
      </c>
      <c r="F18" s="98">
        <v>-387.24</v>
      </c>
    </row>
    <row r="19" spans="1:6">
      <c r="A19" s="6">
        <v>43830</v>
      </c>
      <c r="B19" s="98" t="s">
        <v>154</v>
      </c>
      <c r="C19" s="98">
        <v>379.44</v>
      </c>
      <c r="D19" s="98">
        <v>1431.84</v>
      </c>
      <c r="E19" s="98">
        <v>85.91</v>
      </c>
      <c r="F19" s="98">
        <v>1897.1900000000023</v>
      </c>
    </row>
    <row r="20" spans="1:6">
      <c r="A20" s="6">
        <v>43830</v>
      </c>
      <c r="B20" s="98" t="s">
        <v>153</v>
      </c>
      <c r="C20" s="98">
        <v>-82.25</v>
      </c>
      <c r="D20" s="98">
        <v>-310.37</v>
      </c>
      <c r="E20" s="98">
        <v>-18.62</v>
      </c>
      <c r="F20" s="98">
        <v>-411.23999999999978</v>
      </c>
    </row>
    <row r="21" spans="1:6">
      <c r="A21" s="6">
        <v>43830</v>
      </c>
      <c r="B21" s="98" t="s">
        <v>152</v>
      </c>
      <c r="C21" s="98">
        <v>990.54</v>
      </c>
      <c r="D21" s="98">
        <v>3737.89</v>
      </c>
      <c r="E21" s="98">
        <v>224.27</v>
      </c>
      <c r="F21" s="98">
        <v>4952.7099999999991</v>
      </c>
    </row>
    <row r="22" spans="1:6">
      <c r="A22" s="6">
        <v>43861</v>
      </c>
      <c r="B22" t="s">
        <v>192</v>
      </c>
      <c r="C22">
        <v>800.83</v>
      </c>
      <c r="D22">
        <v>3022.01</v>
      </c>
      <c r="E22">
        <v>181.32</v>
      </c>
      <c r="F22">
        <v>4004.16</v>
      </c>
    </row>
    <row r="23" spans="1:6">
      <c r="A23" s="6">
        <v>43861</v>
      </c>
      <c r="B23" t="s">
        <v>154</v>
      </c>
      <c r="C23">
        <v>2695.5</v>
      </c>
      <c r="D23">
        <v>10171.709999999999</v>
      </c>
      <c r="E23">
        <v>610.29999999999995</v>
      </c>
      <c r="F23">
        <v>13477.51</v>
      </c>
    </row>
    <row r="24" spans="1:6">
      <c r="A24" s="6">
        <v>43861</v>
      </c>
      <c r="B24" t="s">
        <v>153</v>
      </c>
      <c r="C24">
        <v>304.68</v>
      </c>
      <c r="D24">
        <v>1149.73</v>
      </c>
      <c r="E24">
        <v>68.98</v>
      </c>
      <c r="F24">
        <v>1523.39</v>
      </c>
    </row>
    <row r="25" spans="1:6">
      <c r="A25" s="6">
        <v>43861</v>
      </c>
      <c r="B25" t="s">
        <v>152</v>
      </c>
      <c r="C25">
        <v>4538.8999999999996</v>
      </c>
      <c r="D25">
        <v>17127.93</v>
      </c>
      <c r="E25">
        <v>1027.68</v>
      </c>
      <c r="F25">
        <v>22694.51</v>
      </c>
    </row>
    <row r="26" spans="1:6">
      <c r="A26" s="6">
        <v>43890</v>
      </c>
      <c r="B26" s="98" t="s">
        <v>192</v>
      </c>
      <c r="C26" s="98">
        <v>739.72</v>
      </c>
      <c r="D26" s="98">
        <v>2791.4</v>
      </c>
      <c r="E26" s="98">
        <v>167.48</v>
      </c>
      <c r="F26" s="98">
        <v>3698.6000000000004</v>
      </c>
    </row>
    <row r="27" spans="1:6">
      <c r="A27" s="6">
        <v>43890</v>
      </c>
      <c r="B27" s="98" t="s">
        <v>154</v>
      </c>
      <c r="C27" s="98">
        <v>2759.77</v>
      </c>
      <c r="D27" s="98">
        <v>10414.25</v>
      </c>
      <c r="E27" s="98">
        <v>624.85</v>
      </c>
      <c r="F27" s="98">
        <v>13798.87</v>
      </c>
    </row>
    <row r="28" spans="1:6">
      <c r="A28" s="6">
        <v>43890</v>
      </c>
      <c r="B28" s="98" t="s">
        <v>153</v>
      </c>
      <c r="C28" s="98">
        <v>293.24</v>
      </c>
      <c r="D28" s="98">
        <v>1106.56</v>
      </c>
      <c r="E28" s="98">
        <v>66.39</v>
      </c>
      <c r="F28" s="98">
        <v>1466.1899999999998</v>
      </c>
    </row>
    <row r="29" spans="1:6">
      <c r="A29" s="6">
        <v>43890</v>
      </c>
      <c r="B29" s="98" t="s">
        <v>152</v>
      </c>
      <c r="C29" s="98">
        <v>4486.7</v>
      </c>
      <c r="D29" s="98">
        <v>16930.939999999999</v>
      </c>
      <c r="E29" s="98">
        <v>1015.86</v>
      </c>
      <c r="F29" s="98">
        <v>22433.500000000004</v>
      </c>
    </row>
    <row r="30" spans="1:6">
      <c r="A30" s="6">
        <v>43921</v>
      </c>
      <c r="B30" s="98" t="s">
        <v>192</v>
      </c>
      <c r="C30">
        <v>1266.0899999999999</v>
      </c>
      <c r="D30">
        <v>4777.71</v>
      </c>
      <c r="E30">
        <v>286.66000000000003</v>
      </c>
      <c r="F30">
        <v>6330.4599999999991</v>
      </c>
    </row>
    <row r="31" spans="1:6">
      <c r="A31" s="6">
        <v>43921</v>
      </c>
      <c r="B31" s="98" t="s">
        <v>154</v>
      </c>
      <c r="C31">
        <v>3954.15</v>
      </c>
      <c r="D31">
        <v>14921.33</v>
      </c>
      <c r="E31">
        <v>895.28</v>
      </c>
      <c r="F31">
        <v>19770.759999999995</v>
      </c>
    </row>
    <row r="32" spans="1:6">
      <c r="A32" s="6">
        <v>43921</v>
      </c>
      <c r="B32" s="98" t="s">
        <v>153</v>
      </c>
      <c r="C32">
        <v>296.23</v>
      </c>
      <c r="D32">
        <v>1117.8499999999999</v>
      </c>
      <c r="E32">
        <v>67.069999999999993</v>
      </c>
      <c r="F32">
        <v>1481.1499999999994</v>
      </c>
    </row>
    <row r="33" spans="1:6">
      <c r="A33" s="6">
        <v>43921</v>
      </c>
      <c r="B33" s="98" t="s">
        <v>152</v>
      </c>
      <c r="C33">
        <v>5567.55</v>
      </c>
      <c r="D33">
        <v>21009.63</v>
      </c>
      <c r="E33">
        <v>1260.58</v>
      </c>
      <c r="F33">
        <v>27837.760000000006</v>
      </c>
    </row>
    <row r="34" spans="1:6">
      <c r="A34" s="6">
        <v>43951</v>
      </c>
      <c r="C34" s="98">
        <v>1353.22</v>
      </c>
      <c r="D34" s="98"/>
      <c r="E34" s="98">
        <v>306.39</v>
      </c>
    </row>
    <row r="35" spans="1:6">
      <c r="A35" s="6">
        <v>43951</v>
      </c>
      <c r="C35" s="98">
        <v>6363.77</v>
      </c>
      <c r="D35" s="98"/>
      <c r="E35" s="98">
        <v>1440.85</v>
      </c>
    </row>
    <row r="36" spans="1:6">
      <c r="A36" s="6">
        <v>43951</v>
      </c>
      <c r="C36" s="98">
        <v>305.86</v>
      </c>
      <c r="D36" s="98"/>
      <c r="E36" s="98">
        <v>69.25</v>
      </c>
    </row>
    <row r="37" spans="1:6">
      <c r="A37" s="6">
        <v>43951</v>
      </c>
      <c r="C37" s="98">
        <v>5767.43</v>
      </c>
      <c r="D37" s="98"/>
      <c r="E37" s="98">
        <v>1305.83</v>
      </c>
    </row>
    <row r="38" spans="1:6">
      <c r="A38" s="6">
        <v>43982</v>
      </c>
      <c r="B38" s="98" t="s">
        <v>192</v>
      </c>
      <c r="C38" s="98">
        <v>1429.12</v>
      </c>
      <c r="D38" s="98">
        <v>5392.92</v>
      </c>
      <c r="E38" s="98">
        <v>323.57</v>
      </c>
      <c r="F38" s="98">
        <v>7145.6099999999951</v>
      </c>
    </row>
    <row r="39" spans="1:6">
      <c r="A39" s="6">
        <v>43982</v>
      </c>
      <c r="B39" s="98" t="s">
        <v>154</v>
      </c>
      <c r="C39" s="98">
        <v>6630.22</v>
      </c>
      <c r="D39" s="98">
        <v>25019.71</v>
      </c>
      <c r="E39" s="98">
        <v>1501.18</v>
      </c>
      <c r="F39" s="98">
        <v>33151.110000000015</v>
      </c>
    </row>
    <row r="40" spans="1:6">
      <c r="A40" s="6">
        <v>43982</v>
      </c>
      <c r="B40" s="98" t="s">
        <v>153</v>
      </c>
      <c r="C40" s="98">
        <v>324.85000000000002</v>
      </c>
      <c r="D40" s="98">
        <v>1225.8399999999999</v>
      </c>
      <c r="E40" s="98">
        <v>73.55</v>
      </c>
      <c r="F40" s="98">
        <v>1624.2399999999996</v>
      </c>
    </row>
    <row r="41" spans="1:6">
      <c r="A41" s="6">
        <v>43982</v>
      </c>
      <c r="B41" s="98" t="s">
        <v>152</v>
      </c>
      <c r="C41" s="98">
        <v>6422.77</v>
      </c>
      <c r="D41" s="98">
        <v>24236.89</v>
      </c>
      <c r="E41" s="98">
        <v>1454.21</v>
      </c>
      <c r="F41" s="98">
        <v>32113.869999999992</v>
      </c>
    </row>
    <row r="42" spans="1:6">
      <c r="A42" s="6">
        <v>44012</v>
      </c>
      <c r="B42" s="98" t="s">
        <v>192</v>
      </c>
      <c r="C42" s="98">
        <v>1371.94</v>
      </c>
      <c r="D42" s="98">
        <v>5177.1400000000003</v>
      </c>
      <c r="E42" s="98">
        <v>310.63</v>
      </c>
      <c r="F42" s="98">
        <v>6859.7099999999991</v>
      </c>
    </row>
    <row r="43" spans="1:6">
      <c r="A43" s="6">
        <v>44012</v>
      </c>
      <c r="B43" s="98" t="s">
        <v>154</v>
      </c>
      <c r="C43" s="98">
        <v>6701.55</v>
      </c>
      <c r="D43" s="98">
        <v>25288.85</v>
      </c>
      <c r="E43" s="98">
        <v>1517.33</v>
      </c>
      <c r="F43" s="98">
        <v>33507.729999999996</v>
      </c>
    </row>
    <row r="44" spans="1:6">
      <c r="A44" s="6">
        <v>44012</v>
      </c>
      <c r="B44" s="98" t="s">
        <v>153</v>
      </c>
      <c r="C44" s="98">
        <v>216.18</v>
      </c>
      <c r="D44" s="98">
        <v>815.78</v>
      </c>
      <c r="E44" s="98">
        <v>48.95</v>
      </c>
      <c r="F44" s="98">
        <v>1080.910000000001</v>
      </c>
    </row>
    <row r="45" spans="1:6">
      <c r="A45" s="6">
        <v>44012</v>
      </c>
      <c r="B45" s="98" t="s">
        <v>152</v>
      </c>
      <c r="C45" s="98">
        <v>6549.9</v>
      </c>
      <c r="D45" s="98">
        <v>24716.61</v>
      </c>
      <c r="E45" s="98">
        <v>1483</v>
      </c>
      <c r="F45" s="98">
        <v>32749.51</v>
      </c>
    </row>
    <row r="46" spans="1:6">
      <c r="A46" s="6">
        <v>44043</v>
      </c>
      <c r="B46" s="98" t="s">
        <v>192</v>
      </c>
      <c r="C46" s="98">
        <v>1371.94</v>
      </c>
      <c r="D46" s="98">
        <v>5177.1400000000003</v>
      </c>
      <c r="E46" s="98">
        <v>310.63</v>
      </c>
      <c r="F46" s="98">
        <v>6859.7099999999991</v>
      </c>
    </row>
    <row r="47" spans="1:6">
      <c r="A47" s="6">
        <v>44043</v>
      </c>
      <c r="B47" s="98" t="s">
        <v>154</v>
      </c>
      <c r="C47" s="98">
        <v>6701.55</v>
      </c>
      <c r="D47" s="98">
        <v>25288.85</v>
      </c>
      <c r="E47" s="98">
        <v>1517.33</v>
      </c>
      <c r="F47" s="98">
        <v>33507.729999999996</v>
      </c>
    </row>
    <row r="48" spans="1:6">
      <c r="A48" s="6">
        <v>44043</v>
      </c>
      <c r="B48" s="98" t="s">
        <v>153</v>
      </c>
      <c r="C48" s="98">
        <v>216.18</v>
      </c>
      <c r="D48" s="98">
        <v>815.78</v>
      </c>
      <c r="E48" s="98">
        <v>48.95</v>
      </c>
      <c r="F48" s="98">
        <v>1080.910000000001</v>
      </c>
    </row>
    <row r="49" spans="1:6">
      <c r="A49" s="6">
        <v>44043</v>
      </c>
      <c r="B49" s="98" t="s">
        <v>152</v>
      </c>
      <c r="C49" s="98">
        <v>6549.9</v>
      </c>
      <c r="D49" s="98">
        <v>24716.61</v>
      </c>
      <c r="E49" s="98">
        <v>1483</v>
      </c>
      <c r="F49" s="98">
        <v>32749.51</v>
      </c>
    </row>
    <row r="50" spans="1:6">
      <c r="A50" s="6">
        <v>44074</v>
      </c>
      <c r="B50" s="98" t="s">
        <v>192</v>
      </c>
      <c r="C50" s="98">
        <v>1895.88</v>
      </c>
      <c r="D50" s="98">
        <v>7154.25</v>
      </c>
      <c r="E50" s="98">
        <v>429.25</v>
      </c>
      <c r="F50" s="98">
        <v>9479.3800000000065</v>
      </c>
    </row>
    <row r="51" spans="1:6">
      <c r="A51" s="6">
        <v>44074</v>
      </c>
      <c r="B51" s="98" t="s">
        <v>154</v>
      </c>
      <c r="C51" s="98">
        <v>9071.2800000000007</v>
      </c>
      <c r="D51" s="98">
        <v>34231.25</v>
      </c>
      <c r="E51" s="98">
        <v>2053.87</v>
      </c>
      <c r="F51" s="98">
        <v>45356.399999999965</v>
      </c>
    </row>
    <row r="52" spans="1:6">
      <c r="A52" s="6">
        <v>44074</v>
      </c>
      <c r="B52" s="98" t="s">
        <v>153</v>
      </c>
      <c r="C52" s="98">
        <v>257.87</v>
      </c>
      <c r="D52" s="98">
        <v>973.09</v>
      </c>
      <c r="E52" s="98">
        <v>58.39</v>
      </c>
      <c r="F52" s="98">
        <v>1289.3499999999997</v>
      </c>
    </row>
    <row r="53" spans="1:6">
      <c r="A53" s="6">
        <v>44074</v>
      </c>
      <c r="B53" s="98" t="s">
        <v>152</v>
      </c>
      <c r="C53" s="98">
        <v>9505.82</v>
      </c>
      <c r="D53" s="98">
        <v>35871.03</v>
      </c>
      <c r="E53" s="98">
        <v>2152.2600000000002</v>
      </c>
      <c r="F53" s="98">
        <v>47529.12000000001</v>
      </c>
    </row>
    <row r="54" spans="1:6">
      <c r="A54" s="6">
        <v>44104</v>
      </c>
      <c r="B54" s="98" t="s">
        <v>192</v>
      </c>
      <c r="C54" s="98">
        <v>1616.67</v>
      </c>
      <c r="D54" s="98">
        <v>6100.63</v>
      </c>
      <c r="E54" s="98">
        <v>366.04</v>
      </c>
      <c r="F54" s="98">
        <v>8083.34</v>
      </c>
    </row>
    <row r="55" spans="1:6">
      <c r="A55" s="6">
        <v>44104</v>
      </c>
      <c r="B55" s="98" t="s">
        <v>154</v>
      </c>
      <c r="C55" s="98">
        <v>9629.02</v>
      </c>
      <c r="D55" s="98">
        <v>36335.910000000003</v>
      </c>
      <c r="E55" s="98">
        <v>2180.15</v>
      </c>
      <c r="F55" s="98">
        <v>48145.08</v>
      </c>
    </row>
    <row r="56" spans="1:6">
      <c r="A56" s="6">
        <v>44104</v>
      </c>
      <c r="B56" s="98" t="s">
        <v>153</v>
      </c>
      <c r="C56" s="98">
        <v>270.14999999999998</v>
      </c>
      <c r="D56" s="98">
        <v>1019.41</v>
      </c>
      <c r="E56" s="98">
        <v>61.17</v>
      </c>
      <c r="F56" s="98">
        <v>1350.7299999999993</v>
      </c>
    </row>
    <row r="57" spans="1:6">
      <c r="A57" s="6">
        <v>44104</v>
      </c>
      <c r="B57" s="98" t="s">
        <v>152</v>
      </c>
      <c r="C57" s="98">
        <v>10413.41</v>
      </c>
      <c r="D57" s="98">
        <v>39295.9</v>
      </c>
      <c r="E57" s="98">
        <v>2357.75</v>
      </c>
      <c r="F57" s="98">
        <v>52067.059999999983</v>
      </c>
    </row>
    <row r="58" spans="1:6">
      <c r="A58" s="6">
        <v>44135</v>
      </c>
      <c r="B58" s="98" t="s">
        <v>192</v>
      </c>
      <c r="C58" s="98">
        <v>1504.51</v>
      </c>
      <c r="D58" s="98">
        <v>5677.39</v>
      </c>
      <c r="E58" s="98">
        <v>340.64</v>
      </c>
      <c r="F58" s="98">
        <v>7522.5399999999936</v>
      </c>
    </row>
    <row r="59" spans="1:6">
      <c r="A59" s="6">
        <v>44135</v>
      </c>
      <c r="B59" s="98" t="s">
        <v>154</v>
      </c>
      <c r="C59" s="98">
        <v>9555.61</v>
      </c>
      <c r="D59" s="98">
        <v>36058.9</v>
      </c>
      <c r="E59" s="98">
        <v>2163.5300000000002</v>
      </c>
      <c r="F59" s="98">
        <v>47778.039999999994</v>
      </c>
    </row>
    <row r="60" spans="1:6">
      <c r="A60" s="6">
        <v>44135</v>
      </c>
      <c r="B60" s="98" t="s">
        <v>153</v>
      </c>
      <c r="C60" s="98">
        <v>485.75</v>
      </c>
      <c r="D60" s="98">
        <v>1833.02</v>
      </c>
      <c r="E60" s="98">
        <v>109.98</v>
      </c>
      <c r="F60" s="98">
        <v>2428.7499999999991</v>
      </c>
    </row>
    <row r="61" spans="1:6">
      <c r="A61" s="6">
        <v>44135</v>
      </c>
      <c r="B61" s="98" t="s">
        <v>152</v>
      </c>
      <c r="C61" s="98">
        <v>10660.34</v>
      </c>
      <c r="D61" s="98">
        <v>40227.69</v>
      </c>
      <c r="E61" s="98">
        <v>2413.66</v>
      </c>
      <c r="F61" s="98">
        <v>53301.69</v>
      </c>
    </row>
  </sheetData>
  <phoneticPr fontId="18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5"/>
  <sheetViews>
    <sheetView workbookViewId="0">
      <selection activeCell="H16" sqref="H16"/>
    </sheetView>
  </sheetViews>
  <sheetFormatPr defaultRowHeight="13.8"/>
  <cols>
    <col min="1" max="1" width="10.109375" bestFit="1" customWidth="1"/>
    <col min="2" max="2" width="16.33203125" bestFit="1" customWidth="1"/>
    <col min="3" max="3" width="9.21875" bestFit="1" customWidth="1"/>
    <col min="6" max="8" width="13" bestFit="1" customWidth="1"/>
    <col min="9" max="9" width="10.33203125" bestFit="1" customWidth="1"/>
    <col min="10" max="10" width="12.109375" bestFit="1" customWidth="1"/>
  </cols>
  <sheetData>
    <row r="1" spans="1:10">
      <c r="A1" s="77" t="s">
        <v>231</v>
      </c>
      <c r="B1" s="106" t="s">
        <v>9</v>
      </c>
      <c r="C1" s="106" t="s">
        <v>10</v>
      </c>
      <c r="D1" s="106" t="s">
        <v>11</v>
      </c>
      <c r="E1" s="106" t="s">
        <v>12</v>
      </c>
      <c r="F1" s="107" t="s">
        <v>13</v>
      </c>
      <c r="G1" s="107" t="s">
        <v>14</v>
      </c>
      <c r="H1" s="107" t="s">
        <v>15</v>
      </c>
      <c r="I1" s="107" t="s">
        <v>16</v>
      </c>
      <c r="J1" s="107" t="s">
        <v>17</v>
      </c>
    </row>
    <row r="2" spans="1:10">
      <c r="A2" s="6">
        <v>43982</v>
      </c>
      <c r="B2" s="106" t="s">
        <v>152</v>
      </c>
      <c r="C2" s="106" t="s">
        <v>227</v>
      </c>
      <c r="D2" s="106" t="s">
        <v>19</v>
      </c>
      <c r="E2" s="106">
        <v>4340</v>
      </c>
      <c r="F2" s="107">
        <v>562606.72</v>
      </c>
      <c r="G2" s="107">
        <v>450085.38</v>
      </c>
      <c r="H2" s="107">
        <v>424608.85</v>
      </c>
      <c r="I2" s="107">
        <v>25476.530000000028</v>
      </c>
      <c r="J2" s="107">
        <v>112521.33999999997</v>
      </c>
    </row>
    <row r="3" spans="1:10">
      <c r="A3" s="6">
        <v>43982</v>
      </c>
      <c r="B3" s="106" t="s">
        <v>153</v>
      </c>
      <c r="C3" s="106" t="s">
        <v>228</v>
      </c>
      <c r="D3" s="106" t="s">
        <v>19</v>
      </c>
      <c r="E3" s="106">
        <v>4340</v>
      </c>
      <c r="F3" s="107">
        <v>464432.37</v>
      </c>
      <c r="G3" s="107">
        <v>371545.9</v>
      </c>
      <c r="H3" s="107">
        <v>350515</v>
      </c>
      <c r="I3" s="107">
        <v>21030.900000000023</v>
      </c>
      <c r="J3" s="107">
        <v>92886.469999999972</v>
      </c>
    </row>
    <row r="4" spans="1:10">
      <c r="A4" s="6">
        <v>43982</v>
      </c>
      <c r="B4" s="106" t="s">
        <v>154</v>
      </c>
      <c r="C4" s="106" t="s">
        <v>229</v>
      </c>
      <c r="D4" s="106" t="s">
        <v>19</v>
      </c>
      <c r="E4" s="106">
        <v>4340</v>
      </c>
      <c r="F4" s="107">
        <v>607448.5</v>
      </c>
      <c r="G4" s="107">
        <v>485958.8</v>
      </c>
      <c r="H4" s="107">
        <v>458451.7</v>
      </c>
      <c r="I4" s="107">
        <v>27507.099999999977</v>
      </c>
      <c r="J4" s="107">
        <v>121489.70000000001</v>
      </c>
    </row>
    <row r="5" spans="1:10">
      <c r="A5" s="6">
        <v>43982</v>
      </c>
      <c r="B5" s="106" t="s">
        <v>192</v>
      </c>
      <c r="C5" s="106" t="s">
        <v>230</v>
      </c>
      <c r="D5" s="106" t="s">
        <v>19</v>
      </c>
      <c r="E5" s="106">
        <v>4340</v>
      </c>
      <c r="F5" s="107">
        <v>26552.14</v>
      </c>
      <c r="G5" s="107">
        <v>21241.71</v>
      </c>
      <c r="H5" s="107">
        <v>20039.349999999999</v>
      </c>
      <c r="I5" s="107">
        <v>1202.3600000000006</v>
      </c>
      <c r="J5" s="107">
        <v>5310.43</v>
      </c>
    </row>
  </sheetData>
  <phoneticPr fontId="18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8"/>
  <sheetViews>
    <sheetView zoomScale="140" zoomScaleNormal="140" workbookViewId="0">
      <selection activeCell="G8" sqref="G8"/>
    </sheetView>
  </sheetViews>
  <sheetFormatPr defaultColWidth="9" defaultRowHeight="13.8"/>
  <cols>
    <col min="1" max="1" width="11.88671875" bestFit="1" customWidth="1"/>
    <col min="2" max="2" width="17.33203125" customWidth="1"/>
    <col min="6" max="8" width="14" bestFit="1" customWidth="1"/>
    <col min="9" max="9" width="12.33203125" bestFit="1" customWidth="1"/>
    <col min="10" max="10" width="12.109375" customWidth="1"/>
  </cols>
  <sheetData>
    <row r="1" spans="1:10">
      <c r="A1" t="s">
        <v>0</v>
      </c>
      <c r="B1" s="5" t="s">
        <v>9</v>
      </c>
      <c r="C1" s="5" t="s">
        <v>10</v>
      </c>
      <c r="D1" s="5" t="s">
        <v>11</v>
      </c>
      <c r="E1" s="5" t="s">
        <v>12</v>
      </c>
      <c r="F1" s="4" t="s">
        <v>13</v>
      </c>
      <c r="G1" s="4" t="s">
        <v>14</v>
      </c>
      <c r="H1" s="4" t="s">
        <v>15</v>
      </c>
      <c r="I1" s="4" t="s">
        <v>16</v>
      </c>
      <c r="J1" s="4" t="s">
        <v>17</v>
      </c>
    </row>
    <row r="2" spans="1:10">
      <c r="A2" s="6">
        <v>43281</v>
      </c>
      <c r="B2" s="5" t="s">
        <v>18</v>
      </c>
      <c r="C2" s="5">
        <v>174</v>
      </c>
      <c r="D2" s="5" t="s">
        <v>19</v>
      </c>
      <c r="E2" s="5">
        <v>4340</v>
      </c>
      <c r="F2" s="4">
        <v>323816.45</v>
      </c>
      <c r="G2" s="4">
        <v>259053.16</v>
      </c>
      <c r="H2" s="4">
        <v>244389.77</v>
      </c>
      <c r="I2" s="4">
        <v>14663.39</v>
      </c>
      <c r="J2" s="4">
        <v>64763.29</v>
      </c>
    </row>
    <row r="3" spans="1:10">
      <c r="A3" s="6">
        <v>43159</v>
      </c>
      <c r="B3" s="5" t="s">
        <v>20</v>
      </c>
      <c r="C3" s="5">
        <v>127</v>
      </c>
      <c r="D3" s="5" t="s">
        <v>19</v>
      </c>
      <c r="E3" s="5">
        <v>4340</v>
      </c>
      <c r="F3" s="5">
        <v>482141.58</v>
      </c>
      <c r="G3" s="5">
        <v>385713.26</v>
      </c>
      <c r="H3" s="5">
        <v>363880.43</v>
      </c>
      <c r="I3" s="5">
        <v>21832.83</v>
      </c>
      <c r="J3" s="5">
        <v>96428.32</v>
      </c>
    </row>
    <row r="4" spans="1:10">
      <c r="A4" s="6">
        <v>43646</v>
      </c>
      <c r="B4" s="73" t="s">
        <v>126</v>
      </c>
      <c r="C4" s="74">
        <v>13</v>
      </c>
      <c r="D4" s="74" t="s">
        <v>19</v>
      </c>
      <c r="E4" s="75">
        <v>4340</v>
      </c>
      <c r="F4" s="76">
        <v>83202.320000000007</v>
      </c>
      <c r="G4" s="76">
        <f>ROUND(F4*0.8,2)</f>
        <v>66561.86</v>
      </c>
      <c r="H4" s="76">
        <f>ROUND(G4/1.06,2)</f>
        <v>62794.21</v>
      </c>
      <c r="I4" s="76">
        <f>G4-H4</f>
        <v>3767.6500000000015</v>
      </c>
      <c r="J4" s="76">
        <f>F4-G4</f>
        <v>16640.460000000006</v>
      </c>
    </row>
    <row r="5" spans="1:10">
      <c r="A5" s="6">
        <v>43830</v>
      </c>
      <c r="B5" s="98" t="s">
        <v>18</v>
      </c>
      <c r="F5" s="64">
        <v>1293844.3999999999</v>
      </c>
      <c r="G5" s="64">
        <v>1035075.52</v>
      </c>
      <c r="H5" s="64">
        <v>976486.34</v>
      </c>
      <c r="I5" s="64">
        <v>58589.180000000051</v>
      </c>
      <c r="J5" s="64">
        <v>258768.87999999989</v>
      </c>
    </row>
    <row r="6" spans="1:10">
      <c r="A6" s="6">
        <v>43830</v>
      </c>
      <c r="B6" s="98" t="s">
        <v>184</v>
      </c>
      <c r="F6" s="64">
        <v>2446450.69</v>
      </c>
      <c r="G6" s="64">
        <v>1957160.55</v>
      </c>
      <c r="H6" s="64">
        <v>1846377.88</v>
      </c>
      <c r="I6" s="64">
        <v>110782.67000000016</v>
      </c>
      <c r="J6" s="64">
        <v>489290.1399999999</v>
      </c>
    </row>
    <row r="7" spans="1:10">
      <c r="A7" s="6">
        <v>44074</v>
      </c>
      <c r="B7" s="98" t="s">
        <v>158</v>
      </c>
      <c r="D7" s="98" t="s">
        <v>19</v>
      </c>
      <c r="E7" s="98">
        <v>4340</v>
      </c>
      <c r="F7" s="98">
        <v>15661.61</v>
      </c>
      <c r="G7" s="98">
        <v>12529.29</v>
      </c>
      <c r="H7" s="98">
        <v>11820.08</v>
      </c>
      <c r="I7" s="98">
        <v>709.21000000000095</v>
      </c>
      <c r="J7" s="98">
        <v>3132.3199999999997</v>
      </c>
    </row>
    <row r="8" spans="1:10">
      <c r="A8" s="6">
        <v>44074</v>
      </c>
      <c r="B8" s="98" t="s">
        <v>18</v>
      </c>
      <c r="D8" s="98" t="s">
        <v>19</v>
      </c>
      <c r="E8" s="98">
        <v>4340</v>
      </c>
      <c r="F8" s="98">
        <v>-95223.34999999986</v>
      </c>
      <c r="G8" s="98">
        <v>-76178.679999999993</v>
      </c>
      <c r="H8" s="98">
        <v>-71866.679999999993</v>
      </c>
      <c r="I8" s="98">
        <v>-4312</v>
      </c>
      <c r="J8" s="98">
        <v>-19044.669999999867</v>
      </c>
    </row>
  </sheetData>
  <phoneticPr fontId="18" type="noConversion"/>
  <pageMargins left="0.7" right="0.7" top="0.75" bottom="0.75" header="0.3" footer="0.3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3"/>
  <sheetViews>
    <sheetView tabSelected="1" workbookViewId="0">
      <selection activeCell="B6" sqref="B6"/>
    </sheetView>
  </sheetViews>
  <sheetFormatPr defaultColWidth="9" defaultRowHeight="13.8"/>
  <cols>
    <col min="2" max="2" width="28.44140625" bestFit="1" customWidth="1"/>
    <col min="3" max="3" width="11.44140625" customWidth="1"/>
  </cols>
  <sheetData>
    <row r="1" spans="1:3">
      <c r="A1" t="s">
        <v>0</v>
      </c>
      <c r="B1" s="1" t="s">
        <v>9</v>
      </c>
      <c r="C1" s="2" t="s">
        <v>125</v>
      </c>
    </row>
    <row r="2" spans="1:3">
      <c r="A2" t="s">
        <v>58</v>
      </c>
      <c r="B2" s="3" t="s">
        <v>56</v>
      </c>
      <c r="C2" s="4">
        <v>392466.77</v>
      </c>
    </row>
    <row r="3" spans="1:3">
      <c r="A3" t="s">
        <v>58</v>
      </c>
      <c r="B3" s="3" t="s">
        <v>126</v>
      </c>
      <c r="C3" s="4">
        <v>219434.26</v>
      </c>
    </row>
  </sheetData>
  <phoneticPr fontId="18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投管汇总校验</vt:lpstr>
      <vt:lpstr>投资管理费收入汇总</vt:lpstr>
      <vt:lpstr>单一计划（含税）</vt:lpstr>
      <vt:lpstr>集合计划（含税）</vt:lpstr>
      <vt:lpstr>养老金收入（含税）</vt:lpstr>
      <vt:lpstr>养老金明细</vt:lpstr>
      <vt:lpstr>个养（含税）</vt:lpstr>
      <vt:lpstr>个养—业绩报酬（含税）</vt:lpstr>
      <vt:lpstr>团养（含税</vt:lpstr>
      <vt:lpstr>职业年金收入</vt:lpstr>
      <vt:lpstr>职业年金业绩报酬</vt:lpstr>
      <vt:lpstr>计提业绩报酬</vt:lpstr>
      <vt:lpstr>单一计划含税-含回冲条款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张曦</dc:creator>
  <cp:lastModifiedBy>张婷</cp:lastModifiedBy>
  <dcterms:created xsi:type="dcterms:W3CDTF">2018-07-26T07:04:00Z</dcterms:created>
  <dcterms:modified xsi:type="dcterms:W3CDTF">2020-11-06T08:28:50Z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2052-11.1.0.8612</vt:lpwstr>
  </property>
  <property fmtid="{D5CDD505-2E9C-101B-9397-08002B2CF9AE}" pid="3" name="WorkbookGuid">
    <vt:lpwstr>39f42b17-1d70-4273-b2ce-08e3d3c2c80d</vt:lpwstr>
  </property>
</Properties>
</file>