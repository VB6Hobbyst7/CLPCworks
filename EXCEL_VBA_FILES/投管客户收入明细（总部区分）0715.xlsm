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14148" windowHeight="6216" firstSheet="5" activeTab="5"/>
  </bookViews>
  <sheets>
    <sheet name="投管汇总校验" sheetId="8" r:id="rId1"/>
    <sheet name="投资管理费收入汇总" sheetId="10" r:id="rId2"/>
    <sheet name="单一计划（含税）" sheetId="1" r:id="rId3"/>
    <sheet name="集合计划（含税）" sheetId="2" r:id="rId4"/>
    <sheet name="养老金收入（含税）" sheetId="3" r:id="rId5"/>
    <sheet name="养老金明细" sheetId="13" r:id="rId6"/>
    <sheet name="个养（含税）" sheetId="4" r:id="rId7"/>
    <sheet name="个养—业绩报酬（含税）" sheetId="5" r:id="rId8"/>
    <sheet name="团养（含税" sheetId="6" r:id="rId9"/>
    <sheet name="职业年金收入" sheetId="11" r:id="rId10"/>
    <sheet name="职业年金业绩报酬" sheetId="12" r:id="rId11"/>
    <sheet name="计提业绩报酬" sheetId="7" r:id="rId12"/>
    <sheet name="单一计划含税-含回冲条款" sheetId="9" r:id="rId13"/>
  </sheets>
  <definedNames>
    <definedName name="_xlnm._FilterDatabase" localSheetId="2" hidden="1">'单一计划（含税）'!$A$1:$D$206</definedName>
    <definedName name="_xlnm._FilterDatabase" localSheetId="6" hidden="1">'个养（含税）'!$H$1:$R$44</definedName>
    <definedName name="_xlnm._FilterDatabase" localSheetId="3" hidden="1">'集合计划（含税）'!$A$1:$E$1</definedName>
  </definedNames>
  <calcPr calcId="162913"/>
  <pivotCaches>
    <pivotCache cacheId="63" r:id="rId14"/>
    <pivotCache cacheId="64" r:id="rId15"/>
  </pivotCaches>
</workbook>
</file>

<file path=xl/calcChain.xml><?xml version="1.0" encoding="utf-8"?>
<calcChain xmlns="http://schemas.openxmlformats.org/spreadsheetml/2006/main">
  <c r="D41" i="2" l="1"/>
  <c r="D42" i="2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40" i="2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G40" i="10"/>
  <c r="H40" i="10"/>
  <c r="G41" i="10"/>
  <c r="H41" i="10"/>
  <c r="G42" i="10"/>
  <c r="H42" i="10"/>
  <c r="G43" i="10"/>
  <c r="H43" i="10"/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F2" i="1"/>
  <c r="E2" i="1"/>
  <c r="G3" i="10"/>
  <c r="H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G31" i="10"/>
  <c r="H31" i="10"/>
  <c r="G32" i="10"/>
  <c r="H32" i="10"/>
  <c r="G33" i="10"/>
  <c r="H33" i="10"/>
  <c r="G34" i="10"/>
  <c r="H34" i="10"/>
  <c r="G35" i="10"/>
  <c r="H35" i="10"/>
  <c r="G36" i="10"/>
  <c r="H36" i="10"/>
  <c r="G37" i="10"/>
  <c r="H37" i="10"/>
  <c r="G38" i="10"/>
  <c r="H38" i="10"/>
  <c r="G39" i="10"/>
  <c r="H39" i="10"/>
  <c r="H2" i="10"/>
  <c r="G2" i="10"/>
  <c r="D267" i="1" l="1"/>
  <c r="D268" i="1"/>
  <c r="D269" i="1"/>
  <c r="D270" i="1"/>
  <c r="D271" i="1"/>
  <c r="D272" i="1"/>
  <c r="D273" i="1"/>
  <c r="D274" i="1"/>
  <c r="D259" i="1" l="1"/>
  <c r="D260" i="1"/>
  <c r="D261" i="1"/>
  <c r="D262" i="1"/>
  <c r="D263" i="1"/>
  <c r="D264" i="1"/>
  <c r="D265" i="1"/>
  <c r="D266" i="1"/>
  <c r="D251" i="1" l="1"/>
  <c r="D252" i="1"/>
  <c r="D253" i="1"/>
  <c r="D254" i="1"/>
  <c r="D255" i="1"/>
  <c r="D256" i="1"/>
  <c r="D257" i="1"/>
  <c r="D258" i="1"/>
  <c r="D243" i="1" l="1"/>
  <c r="D244" i="1"/>
  <c r="D245" i="1"/>
  <c r="D246" i="1"/>
  <c r="D247" i="1"/>
  <c r="D248" i="1"/>
  <c r="D249" i="1"/>
  <c r="D250" i="1"/>
  <c r="D235" i="1"/>
  <c r="D236" i="1"/>
  <c r="D237" i="1"/>
  <c r="D238" i="1"/>
  <c r="D239" i="1"/>
  <c r="D240" i="1"/>
  <c r="D241" i="1"/>
  <c r="D242" i="1"/>
  <c r="D34" i="2" l="1"/>
  <c r="A34" i="2"/>
  <c r="D228" i="1"/>
  <c r="D229" i="1"/>
  <c r="D230" i="1"/>
  <c r="D231" i="1"/>
  <c r="D232" i="1"/>
  <c r="D233" i="1"/>
  <c r="D234" i="1"/>
  <c r="D214" i="1" l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07" i="1" l="1"/>
  <c r="D208" i="1"/>
  <c r="D209" i="1"/>
  <c r="D210" i="1"/>
  <c r="D211" i="1"/>
  <c r="D212" i="1"/>
  <c r="D213" i="1"/>
  <c r="D193" i="1" l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186" i="1" l="1"/>
  <c r="D187" i="1"/>
  <c r="D188" i="1"/>
  <c r="D189" i="1"/>
  <c r="D190" i="1"/>
  <c r="D191" i="1"/>
  <c r="D192" i="1"/>
  <c r="D175" i="1" l="1"/>
  <c r="D176" i="1"/>
  <c r="D177" i="1"/>
  <c r="D178" i="1"/>
  <c r="D179" i="1"/>
  <c r="D180" i="1"/>
  <c r="D181" i="1"/>
  <c r="D182" i="1"/>
  <c r="D183" i="1"/>
  <c r="D184" i="1"/>
  <c r="D185" i="1"/>
  <c r="J21" i="10" l="1"/>
  <c r="J25" i="10"/>
  <c r="G95" i="1"/>
  <c r="G96" i="1" s="1"/>
  <c r="I18" i="10"/>
  <c r="J18" i="10" s="1"/>
  <c r="I19" i="10"/>
  <c r="J19" i="10" s="1"/>
  <c r="I20" i="10"/>
  <c r="J20" i="10" s="1"/>
  <c r="I21" i="10"/>
  <c r="I22" i="10"/>
  <c r="J22" i="10" s="1"/>
  <c r="I23" i="10"/>
  <c r="J23" i="10" s="1"/>
  <c r="I24" i="10"/>
  <c r="J24" i="10" s="1"/>
  <c r="I25" i="10"/>
  <c r="D174" i="1" l="1"/>
  <c r="D167" i="1"/>
  <c r="D168" i="1"/>
  <c r="D169" i="1"/>
  <c r="D170" i="1"/>
  <c r="D171" i="1"/>
  <c r="D172" i="1"/>
  <c r="D173" i="1"/>
  <c r="D160" i="1" l="1"/>
  <c r="D161" i="1"/>
  <c r="D162" i="1"/>
  <c r="D163" i="1"/>
  <c r="D164" i="1"/>
  <c r="D165" i="1"/>
  <c r="D166" i="1"/>
  <c r="D153" i="1"/>
  <c r="D154" i="1"/>
  <c r="D155" i="1"/>
  <c r="D156" i="1"/>
  <c r="D157" i="1"/>
  <c r="D158" i="1"/>
  <c r="D159" i="1"/>
  <c r="D145" i="1"/>
  <c r="D146" i="1"/>
  <c r="D147" i="1"/>
  <c r="D148" i="1"/>
  <c r="D149" i="1"/>
  <c r="D150" i="1"/>
  <c r="D151" i="1"/>
  <c r="D152" i="1"/>
  <c r="D138" i="1" l="1"/>
  <c r="D139" i="1"/>
  <c r="D140" i="1"/>
  <c r="D141" i="1"/>
  <c r="D142" i="1"/>
  <c r="D143" i="1"/>
  <c r="D144" i="1"/>
  <c r="D131" i="1"/>
  <c r="D132" i="1"/>
  <c r="D133" i="1"/>
  <c r="D134" i="1"/>
  <c r="D135" i="1"/>
  <c r="D136" i="1"/>
  <c r="D137" i="1"/>
  <c r="G4" i="7" l="1"/>
  <c r="J4" i="7" s="1"/>
  <c r="D124" i="1"/>
  <c r="D125" i="1"/>
  <c r="D126" i="1"/>
  <c r="D127" i="1"/>
  <c r="D128" i="1"/>
  <c r="D129" i="1"/>
  <c r="D130" i="1"/>
  <c r="H4" i="7" l="1"/>
  <c r="I4" i="7"/>
  <c r="C18" i="2" l="1"/>
  <c r="C19" i="2" s="1"/>
  <c r="C20" i="2" s="1"/>
  <c r="B18" i="2"/>
  <c r="B19" i="2" s="1"/>
  <c r="B20" i="2" s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U5" i="1"/>
  <c r="D5" i="1"/>
  <c r="U4" i="1"/>
  <c r="D4" i="1"/>
  <c r="T3" i="1"/>
  <c r="D3" i="1"/>
  <c r="T2" i="1"/>
  <c r="D2" i="1"/>
  <c r="I17" i="10"/>
  <c r="J17" i="10" s="1"/>
  <c r="I16" i="10"/>
  <c r="J16" i="10" s="1"/>
  <c r="I15" i="10"/>
  <c r="J15" i="10" s="1"/>
  <c r="I14" i="10"/>
  <c r="J14" i="10" s="1"/>
  <c r="K25" i="10" s="1"/>
  <c r="I13" i="10"/>
  <c r="I12" i="10"/>
  <c r="I11" i="10"/>
  <c r="I10" i="10"/>
  <c r="I9" i="10"/>
  <c r="I8" i="10"/>
  <c r="I7" i="10"/>
  <c r="I6" i="10"/>
  <c r="I5" i="10"/>
  <c r="I4" i="10"/>
  <c r="I3" i="10"/>
  <c r="I2" i="10"/>
  <c r="M19" i="8"/>
  <c r="L19" i="8"/>
  <c r="M18" i="8"/>
  <c r="L18" i="8"/>
  <c r="G15" i="8"/>
  <c r="C13" i="8"/>
  <c r="B13" i="8"/>
  <c r="C12" i="8"/>
  <c r="B12" i="8"/>
  <c r="C11" i="8"/>
  <c r="B11" i="8"/>
  <c r="C10" i="8"/>
  <c r="B10" i="8"/>
  <c r="C9" i="8"/>
  <c r="B9" i="8"/>
  <c r="C8" i="8"/>
  <c r="B8" i="8"/>
  <c r="D7" i="8"/>
  <c r="C7" i="8"/>
  <c r="B7" i="8"/>
  <c r="C6" i="8"/>
  <c r="B6" i="8"/>
  <c r="E6" i="8" s="1"/>
  <c r="G6" i="8" s="1"/>
  <c r="C5" i="8"/>
  <c r="B5" i="8"/>
  <c r="C4" i="8"/>
  <c r="B4" i="8"/>
  <c r="E4" i="8" s="1"/>
  <c r="G4" i="8" s="1"/>
  <c r="D3" i="8"/>
  <c r="D14" i="8" s="1"/>
  <c r="C3" i="8"/>
  <c r="B3" i="8"/>
  <c r="C2" i="8"/>
  <c r="B2" i="8"/>
  <c r="E2" i="8" l="1"/>
  <c r="G2" i="8" s="1"/>
  <c r="E9" i="8"/>
  <c r="G9" i="8" s="1"/>
  <c r="E13" i="8"/>
  <c r="G13" i="8" s="1"/>
  <c r="E11" i="8"/>
  <c r="G11" i="8" s="1"/>
  <c r="C14" i="8"/>
  <c r="E3" i="8"/>
  <c r="E8" i="8"/>
  <c r="G8" i="8" s="1"/>
  <c r="E10" i="8"/>
  <c r="G10" i="8" s="1"/>
  <c r="E12" i="8"/>
  <c r="G12" i="8" s="1"/>
  <c r="E5" i="8"/>
  <c r="G5" i="8" s="1"/>
  <c r="E7" i="8"/>
  <c r="B14" i="8"/>
  <c r="E14" i="8" l="1"/>
  <c r="G14" i="8" s="1"/>
  <c r="H15" i="8" s="1"/>
  <c r="I15" i="8" s="1"/>
</calcChain>
</file>

<file path=xl/comments1.xml><?xml version="1.0" encoding="utf-8"?>
<comments xmlns="http://schemas.openxmlformats.org/spreadsheetml/2006/main">
  <authors>
    <author>张曦</author>
  </authors>
  <commentList>
    <comment ref="L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含税管理费收入=应收管理费*0.9</t>
        </r>
      </text>
    </comment>
  </commentList>
</comments>
</file>

<file path=xl/sharedStrings.xml><?xml version="1.0" encoding="utf-8"?>
<sst xmlns="http://schemas.openxmlformats.org/spreadsheetml/2006/main" count="14232" uniqueCount="584">
  <si>
    <t>期间</t>
  </si>
  <si>
    <t>单一计划（含税）</t>
  </si>
  <si>
    <t>集合计划（含税）</t>
  </si>
  <si>
    <t>计提业绩报酬(含税）</t>
  </si>
  <si>
    <t>合计</t>
  </si>
  <si>
    <t>SAP数据</t>
  </si>
  <si>
    <t>含税校验</t>
  </si>
  <si>
    <t>SAP累加</t>
  </si>
  <si>
    <t>全年合计</t>
  </si>
  <si>
    <t>组合名称</t>
  </si>
  <si>
    <t>代码</t>
  </si>
  <si>
    <t>归属地</t>
  </si>
  <si>
    <t>机构代码</t>
  </si>
  <si>
    <t>业绩报酬</t>
  </si>
  <si>
    <t>管理费收入</t>
  </si>
  <si>
    <t>不含税收入</t>
  </si>
  <si>
    <t>税金</t>
  </si>
  <si>
    <t>风险准备金</t>
  </si>
  <si>
    <t>安徽中烟工业公司</t>
  </si>
  <si>
    <t>安徽</t>
  </si>
  <si>
    <t>安徽烟草肥外</t>
  </si>
  <si>
    <t>所属地区</t>
  </si>
  <si>
    <t>增值税金额</t>
  </si>
  <si>
    <t>单一计划含税</t>
  </si>
  <si>
    <t>集合计划含税</t>
  </si>
  <si>
    <t>逻辑关系：</t>
  </si>
  <si>
    <t>不含税收入+增值税金额=单一计划含税+集合计划含税</t>
  </si>
  <si>
    <t>单一计划含税=Σ各项单一计划投管费收入*20%（风险准备金）</t>
  </si>
  <si>
    <t>计提（含税含准备金）</t>
  </si>
  <si>
    <t>规范简称</t>
  </si>
  <si>
    <t>本表数据与收入汇总中的税后数据相比，含有风险保证金20%</t>
  </si>
  <si>
    <t>行标签</t>
  </si>
  <si>
    <t>业绩报酬备忘</t>
  </si>
  <si>
    <t>项目</t>
  </si>
  <si>
    <t>含税含风险准备金</t>
  </si>
  <si>
    <t>不含税额</t>
  </si>
  <si>
    <t>备注</t>
  </si>
  <si>
    <t>安徽高速年金</t>
  </si>
  <si>
    <t>安徽高速</t>
  </si>
  <si>
    <t>烟草肥外</t>
  </si>
  <si>
    <t>是否是烟草肥外暂缺支持性证据</t>
  </si>
  <si>
    <t>安徽盐业年金(工行)</t>
  </si>
  <si>
    <t>安徽徽商集团有限公司</t>
  </si>
  <si>
    <t>徽商集团</t>
  </si>
  <si>
    <t>求和项:计提（含税含准备金）</t>
  </si>
  <si>
    <t>安徽中烟</t>
  </si>
  <si>
    <t>安徽盐业</t>
  </si>
  <si>
    <t>皖北煤电债权</t>
  </si>
  <si>
    <t>徽商银行股份有限公司信托组合</t>
  </si>
  <si>
    <t>徽商银行信托</t>
  </si>
  <si>
    <t>皖北煤电</t>
  </si>
  <si>
    <t>皖北煤电（集团）有限责任公司-信托组合</t>
  </si>
  <si>
    <t>皖北煤电信托</t>
  </si>
  <si>
    <t>中铁四局集团有限公司</t>
  </si>
  <si>
    <t>中铁四局</t>
  </si>
  <si>
    <t>(空白)</t>
  </si>
  <si>
    <t>安徽烟草肥外年金</t>
  </si>
  <si>
    <t>总计</t>
  </si>
  <si>
    <t>2018-13</t>
  </si>
  <si>
    <t>地区</t>
  </si>
  <si>
    <t>含税收入</t>
  </si>
  <si>
    <t>增值税</t>
  </si>
  <si>
    <t>含税管理费收入</t>
  </si>
  <si>
    <t>应收管理费金额</t>
  </si>
  <si>
    <t>类别</t>
  </si>
  <si>
    <t>年年盈</t>
  </si>
  <si>
    <t>权责期间</t>
  </si>
  <si>
    <t>基础管理费</t>
  </si>
  <si>
    <t>封闭式--基础管理费</t>
  </si>
  <si>
    <t>封闭式--201901业绩报酬</t>
  </si>
  <si>
    <t>封闭式--201902业绩报酬</t>
  </si>
  <si>
    <t>开放式--月月理财201901</t>
  </si>
  <si>
    <t>月月盈</t>
  </si>
  <si>
    <t>开放式--广源180--201901</t>
  </si>
  <si>
    <t>半年盈</t>
  </si>
  <si>
    <t>开放式--安鑫盈360--201901</t>
  </si>
  <si>
    <t>开放式--月月理财201902</t>
  </si>
  <si>
    <t>开放式--广源180--201902</t>
  </si>
  <si>
    <t>开放式--安鑫盈360--201902</t>
  </si>
  <si>
    <t>封闭式--201903基础管理费</t>
  </si>
  <si>
    <t>封闭式--201903业绩报酬</t>
  </si>
  <si>
    <t>开放式--月月理财201903</t>
  </si>
  <si>
    <t>开放式--广源180--201903</t>
  </si>
  <si>
    <t>开放式--安鑫盈360--201903</t>
  </si>
  <si>
    <t>开放式--月月理财--调整201901</t>
  </si>
  <si>
    <t>开放式--广源180--调整201901</t>
  </si>
  <si>
    <t>开放式--安鑫盈360--调整201901</t>
  </si>
  <si>
    <t>开放式--月月理财--调整201902</t>
  </si>
  <si>
    <t>开放式--广源180--调整201902</t>
  </si>
  <si>
    <t>开放式--安鑫盈360--调整201902</t>
  </si>
  <si>
    <t>封闭式--嘉年6号--冲销201901基础管理费</t>
  </si>
  <si>
    <t>封闭式--嘉年6号--新拆分201901基础管理费</t>
  </si>
  <si>
    <t>封闭式--嘉年6号--冲销201902基础管理费</t>
  </si>
  <si>
    <t>封闭式--嘉年6号--新拆分201902基础管理费</t>
  </si>
  <si>
    <t>封闭式--嘉年6号--冲销201903基础管理费</t>
  </si>
  <si>
    <t>封闭式--嘉年6号--新拆分201903基础管理费</t>
  </si>
  <si>
    <t>封闭式--嘉年6号--冲销201903业绩报酬</t>
  </si>
  <si>
    <t>封闭式--嘉年6号--新拆分201903业绩报酬</t>
  </si>
  <si>
    <t>开放式--月月理财--201904</t>
  </si>
  <si>
    <t>开放式--广源180--201904</t>
  </si>
  <si>
    <t>开放式--安鑫盈360--201904</t>
  </si>
  <si>
    <t>封闭式--嘉年6号--201904基础管理费</t>
  </si>
  <si>
    <t>封闭式--嘉年6号--201904业绩报酬</t>
  </si>
  <si>
    <t>封闭式--嘉年6号业绩报酬--201905</t>
  </si>
  <si>
    <t>封闭式--嘉年6号基础管理费--201905</t>
  </si>
  <si>
    <t>开放式--月月理财--201905</t>
  </si>
  <si>
    <t>开放式--广源180--201905</t>
  </si>
  <si>
    <t>开放式--安鑫盈360--201905</t>
  </si>
  <si>
    <t>2018年2季度</t>
  </si>
  <si>
    <t>2018年3季度</t>
  </si>
  <si>
    <t>公司代码</t>
  </si>
  <si>
    <t>含税收入金额</t>
  </si>
  <si>
    <t>2018年调整</t>
  </si>
  <si>
    <t>5月-12月收入合计--已入账</t>
  </si>
  <si>
    <t>5月-12月收入调整记账方法</t>
  </si>
  <si>
    <t>差异调整</t>
  </si>
  <si>
    <t>计提准备金</t>
  </si>
  <si>
    <t>调整收入</t>
  </si>
  <si>
    <t>安徽省分公司</t>
  </si>
  <si>
    <t>团养管理费--冲销201901</t>
  </si>
  <si>
    <t>团养管理费--新拆分201901</t>
  </si>
  <si>
    <t>团养管理费--冲销201902</t>
  </si>
  <si>
    <t>团养管理费--新拆分201902</t>
  </si>
  <si>
    <t>团养管理费--201904</t>
  </si>
  <si>
    <t>计提</t>
  </si>
  <si>
    <t>皖北煤电(集团）有限责任公司</t>
  </si>
  <si>
    <t>封闭式--嘉年6号业绩报酬--201906</t>
  </si>
  <si>
    <t>封闭式--嘉年6号基础管理费--201906</t>
  </si>
  <si>
    <t>开放式--月月理财--201906</t>
  </si>
  <si>
    <t>开放式--广源180--201906</t>
  </si>
  <si>
    <t>开放式--安鑫盈360--201906</t>
  </si>
  <si>
    <t>年终调整</t>
    <phoneticPr fontId="18" type="noConversion"/>
  </si>
  <si>
    <t>说明项</t>
    <phoneticPr fontId="18" type="noConversion"/>
  </si>
  <si>
    <t>封闭式--嘉年6号业绩报酬--201907</t>
  </si>
  <si>
    <t>封闭式--嘉年6号基础管理费--201907</t>
  </si>
  <si>
    <t>开放式--月月理财--201907</t>
  </si>
  <si>
    <t>开放式--广源180--201907</t>
  </si>
  <si>
    <t>开放式--安鑫盈360--201907</t>
  </si>
  <si>
    <t>调整6月重新入账</t>
    <phoneticPr fontId="18" type="noConversion"/>
  </si>
  <si>
    <t>皖北煤电债权</t>
    <phoneticPr fontId="15" type="noConversion"/>
  </si>
  <si>
    <t>徽商银行股份有限公司信托组合</t>
    <phoneticPr fontId="15" type="noConversion"/>
  </si>
  <si>
    <t>封闭式--嘉年6号业绩报酬--201908</t>
  </si>
  <si>
    <t>封闭式--嘉年6号基础管理费--201908</t>
  </si>
  <si>
    <t>开放式--月月理财--201908</t>
  </si>
  <si>
    <t>开放式--广源180--201908</t>
  </si>
  <si>
    <t>开放式--安鑫盈360--201908</t>
  </si>
  <si>
    <t>组合名称</t>
    <phoneticPr fontId="18" type="noConversion"/>
  </si>
  <si>
    <t>计提准备金</t>
    <phoneticPr fontId="18" type="noConversion"/>
  </si>
  <si>
    <t>不含税收入</t>
    <phoneticPr fontId="15" type="noConversion"/>
  </si>
  <si>
    <t>税金</t>
    <phoneticPr fontId="15" type="noConversion"/>
  </si>
  <si>
    <t>应收管理费</t>
    <phoneticPr fontId="15" type="noConversion"/>
  </si>
  <si>
    <t>安徽1号国寿</t>
  </si>
  <si>
    <t>安徽1号国寿信托</t>
  </si>
  <si>
    <t>安徽4号国寿</t>
  </si>
  <si>
    <t>期间</t>
    <phoneticPr fontId="18" type="noConversion"/>
  </si>
  <si>
    <t>安徽古井</t>
  </si>
  <si>
    <t>开放式--安鑫盈360--201911</t>
  </si>
  <si>
    <t>开放式--广源180--201911</t>
  </si>
  <si>
    <t>开放式--月月理财--201911</t>
  </si>
  <si>
    <t>封闭式--嘉年6号+定期盈01期+丰年可转债基础管理费--201911</t>
  </si>
  <si>
    <t>封闭式--嘉年6号业绩报酬--201911</t>
  </si>
  <si>
    <t>开放式--安鑫盈360--201910</t>
  </si>
  <si>
    <t>开放式--广源180--201910</t>
  </si>
  <si>
    <t>开放式--月月理财--201910</t>
  </si>
  <si>
    <t>封闭式--嘉年6号基础管理费--201910</t>
  </si>
  <si>
    <t>封闭式--嘉年6号业绩报酬--201910</t>
  </si>
  <si>
    <t>封闭式--嘉年6号业绩报酬--201909</t>
  </si>
  <si>
    <t>封闭式--嘉年6号基础管理费--201909</t>
  </si>
  <si>
    <t>开放式--月月理财--201909</t>
  </si>
  <si>
    <t>开放式--广源180--201909</t>
  </si>
  <si>
    <t>开放式--安鑫盈360--201909</t>
  </si>
  <si>
    <t>开放式--安鑫盈360--201912</t>
  </si>
  <si>
    <t>开放式--广源180--201912</t>
  </si>
  <si>
    <t>开放式--月月理财--201912</t>
  </si>
  <si>
    <t>封闭式--嘉年6号+定期盈01期+丰年可转债基础管理费--201912</t>
  </si>
  <si>
    <t>封闭式--嘉年6号业绩报酬--201912</t>
  </si>
  <si>
    <t>确认13月投管费收入--含回冲条款企业年金</t>
  </si>
  <si>
    <t>确认13月投管费收入--企业年金</t>
  </si>
  <si>
    <t>国网安徽省电力公司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</si>
  <si>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</si>
  <si>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</si>
  <si>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</si>
  <si>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开放式--安鑫盈360--201913</t>
  </si>
  <si>
    <t>开放式--广源180--201913</t>
  </si>
  <si>
    <t>开放式--月月理财--201913</t>
  </si>
  <si>
    <t>封闭式--嘉年6号+定期盈01期+丰年可转债基础管理费--201913</t>
  </si>
  <si>
    <t>安徽9号国寿</t>
  </si>
  <si>
    <t>开放式--安鑫盈360--202001</t>
  </si>
  <si>
    <t>开放式--广源180--202001</t>
  </si>
  <si>
    <t>开放式--月月理财--202001</t>
  </si>
  <si>
    <t>封闭式--嘉年6号+定期盈01期+丰年可转债基础管理费--202001</t>
  </si>
  <si>
    <t>开放式--安鑫盈360--202002</t>
  </si>
  <si>
    <t>开放式--广源180--202002</t>
  </si>
  <si>
    <t>开放式--月月理财--202002</t>
  </si>
  <si>
    <t>封闭式--嘉年6号+定期盈01期+丰年可转债+福寿嘉年0142期基础管理费--202002</t>
  </si>
  <si>
    <t>封闭式--嘉年6号+定期盈01期+丰年可转债基础管理费--重新拆分202001</t>
  </si>
  <si>
    <t>开放式--安鑫盈360--202003</t>
  </si>
  <si>
    <t>开放式--广源180--202003</t>
  </si>
  <si>
    <t>开放式--月月理财--202003</t>
  </si>
  <si>
    <t>封闭式--嘉年6号+定期盈01期+丰年可转债+福寿嘉年0142期基础管理费--202003</t>
  </si>
  <si>
    <t>产品类型</t>
    <phoneticPr fontId="18" type="noConversion"/>
  </si>
  <si>
    <t>确认1月封闭式个人养老保障收入--嘉年6号+定期盈01期+丰年可转债基础管理费</t>
  </si>
  <si>
    <t>开放式--安鑫盈360--202004</t>
  </si>
  <si>
    <t>开放式--广源180--202004</t>
  </si>
  <si>
    <t>开放式--月月理财--202004</t>
  </si>
  <si>
    <t>封闭式--嘉年6号业绩报酬202004</t>
  </si>
  <si>
    <t>封闭式--嘉年6号+定期盈01期+丰年可转债+福寿嘉年0142期基础管理费--202004</t>
  </si>
  <si>
    <t>开放式--广源6号--202005</t>
  </si>
  <si>
    <t>开放式--安鑫利365--202005</t>
  </si>
  <si>
    <t>开放式--嘉年2号--202005</t>
  </si>
  <si>
    <t>开放式--福寿广源1号--202005</t>
  </si>
  <si>
    <t>开放式--安鑫盈360--202005</t>
  </si>
  <si>
    <t>开放式--广源180--202005</t>
  </si>
  <si>
    <t>开放式--月月理财--202005</t>
  </si>
  <si>
    <t>封闭式--嘉年6号业绩报酬202005</t>
  </si>
  <si>
    <t>封闭式--嘉年6号+定期盈01期+丰年可转债+福寿嘉年0142期、0143期&amp;0144期基础管理费--202005</t>
  </si>
  <si>
    <t>调整1月-4月封闭式基础管理费--202005</t>
  </si>
  <si>
    <t>I52Z0017</t>
  </si>
  <si>
    <t>I52Z0018</t>
  </si>
  <si>
    <t>I52Z0019</t>
  </si>
  <si>
    <t>I52Z0050</t>
  </si>
  <si>
    <t>期间</t>
    <phoneticPr fontId="18" type="noConversion"/>
  </si>
  <si>
    <t>开放式--广源6号--202006</t>
  </si>
  <si>
    <t>开放式--安鑫利365--202006</t>
  </si>
  <si>
    <t>开放式--嘉年2号--202006</t>
  </si>
  <si>
    <t>开放式--福寿广源1号--202006</t>
  </si>
  <si>
    <t>开放式--安鑫盈360--202006</t>
  </si>
  <si>
    <t>开放式--广源180--202006</t>
  </si>
  <si>
    <t>开放式--月月理财--202006</t>
  </si>
  <si>
    <t>封闭式--嘉年6号业绩报酬202006</t>
  </si>
  <si>
    <t>封闭式--嘉年6号+定期盈01期+丰年可转债+福寿嘉年0142-0146期基础管理费--202006</t>
  </si>
  <si>
    <t>202005新拆分</t>
  </si>
  <si>
    <t>徽商银行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</si>
  <si>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</si>
  <si>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</si>
  <si>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</si>
  <si>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基金代码</t>
    <phoneticPr fontId="18" type="noConversion"/>
  </si>
  <si>
    <t>客户全称</t>
  </si>
  <si>
    <t>基金名称</t>
  </si>
  <si>
    <t>计划类型</t>
  </si>
  <si>
    <t>应收管理费</t>
    <phoneticPr fontId="18" type="noConversion"/>
  </si>
  <si>
    <t>CL0001</t>
  </si>
  <si>
    <t>永诚</t>
  </si>
  <si>
    <t>国寿养老红运股票型养老金产品</t>
  </si>
  <si>
    <t>集合计划</t>
  </si>
  <si>
    <t>永睿</t>
  </si>
  <si>
    <t>工行中铁四局集团有限公司企业年金计划国寿组合</t>
  </si>
  <si>
    <t>单一计划</t>
  </si>
  <si>
    <t>中行淮南矿业（集团）有限责任公司企业年金计划受托直投（国寿）</t>
  </si>
  <si>
    <t>农行安徽古井集团有限责任公司企业年金计划国寿组合</t>
  </si>
  <si>
    <t>CL0002</t>
  </si>
  <si>
    <t>永福</t>
  </si>
  <si>
    <t>国寿养老红盛债券型养老金产品</t>
  </si>
  <si>
    <t>永乐</t>
  </si>
  <si>
    <t>永颐</t>
  </si>
  <si>
    <t>工行安徽省高速公路控股集团有限公司企业年金计划国寿组合</t>
  </si>
  <si>
    <t>中行国网安徽省电力公司企业年金计划养老金专户平安组合</t>
  </si>
  <si>
    <t>安徽省壹号职业年金计划国寿组合</t>
  </si>
  <si>
    <t>职业年金</t>
  </si>
  <si>
    <t>安徽省肆号职业年金计划国寿组合</t>
  </si>
  <si>
    <t>民生安徽省玖号职业年金计划国寿组合</t>
  </si>
  <si>
    <t>CL0003</t>
  </si>
  <si>
    <t>永丰</t>
  </si>
  <si>
    <t>国寿养老红运混合型养老金产品</t>
  </si>
  <si>
    <t>永通</t>
  </si>
  <si>
    <t>光大银行安徽新华传媒股份有限公司企业年金计划受托直投（国寿）</t>
  </si>
  <si>
    <t>安徽省壹号职业年金计划国寿信托组合</t>
  </si>
  <si>
    <t>CL0004</t>
  </si>
  <si>
    <t>国寿养老红盛混合型养老金产品</t>
  </si>
  <si>
    <t>CL0005</t>
  </si>
  <si>
    <t>国寿养老红运固定收益型养老金产品</t>
  </si>
  <si>
    <t>永祥</t>
  </si>
  <si>
    <t>交行安徽省徽商集团有限公司企业年金计划国寿组合</t>
  </si>
  <si>
    <t>建行建信养老金管理有限责任公司企业年金计划建信组合</t>
  </si>
  <si>
    <t>中行徽商银行股份有限公司企业年金计划国寿组合</t>
  </si>
  <si>
    <t>CL0007</t>
  </si>
  <si>
    <t>国寿养老红利基础设施债权投资计划型养老金产品</t>
  </si>
  <si>
    <t>中行安徽省皖北煤电集团有限责任公司企业年金计划国寿组合</t>
  </si>
  <si>
    <t>工行安徽中烟工业有限责任公司企业年金计划国寿组合</t>
  </si>
  <si>
    <t>中行淮南矿业（集团）有限责任公司企业年金计划海富通组合</t>
  </si>
  <si>
    <t>中行安徽省皖北煤电集团有限责任公司企业年金计划国寿债权组合</t>
  </si>
  <si>
    <t>光大中国烟草总公司安徽省公司企业年金计划平安固收组合</t>
  </si>
  <si>
    <t>中行马钢（集团）控股有限公司企业年金计划海富通组合</t>
  </si>
  <si>
    <t>工行铜陵有色金属集团控股有限公司企业年金计划海富通组合</t>
  </si>
  <si>
    <t>工商银行海航集团有限公司企业年金计划海富通组合</t>
  </si>
  <si>
    <t>中国银行淮北矿业（集团）有限责任公司企业年金计划海富通组合</t>
  </si>
  <si>
    <t>工行安徽中烟工业有限责任公司企业年金计划海富通组合</t>
  </si>
  <si>
    <t>CL0008</t>
  </si>
  <si>
    <t>国寿养老红利信托产品型养老金产品</t>
  </si>
  <si>
    <t>光大中国烟草总公司安徽省公司企业年金计划国寿组合</t>
  </si>
  <si>
    <t>工行铜陵有色金属集团控股有限公司企业年金计划受托直投（国寿）</t>
  </si>
  <si>
    <t>中行国网安徽省电力公司企业年金计划国寿组合</t>
  </si>
  <si>
    <t>招行深圳市机场（集团）有限公司企业年金计划受托直投（泰康养老）</t>
  </si>
  <si>
    <t>中国银行河钢股份有限公司唐山分公司企业年金计划（嘉实）</t>
  </si>
  <si>
    <t>CL0010</t>
  </si>
  <si>
    <t>国寿养老红泰优先股型养老金产品（1期）</t>
  </si>
  <si>
    <t>CL0011</t>
  </si>
  <si>
    <t>国寿养老现金增利货币型养老金产品</t>
  </si>
  <si>
    <t>中行安徽省皖北煤电集团有限责任公司企业年金计划受托直投（国寿）</t>
  </si>
  <si>
    <t>工行昆明铁路局企业年金计划海富通组合</t>
  </si>
  <si>
    <t>CL0012</t>
  </si>
  <si>
    <t>中信北京农村商业银行股份有限公司企业年金计划嘉实组合</t>
  </si>
  <si>
    <t>国寿养老红利存款型养老金产品（1期）</t>
  </si>
  <si>
    <t>建行厦门港务控股集团有限公司企业年金计划嘉实组合</t>
  </si>
  <si>
    <t>CL0013</t>
  </si>
  <si>
    <t>国寿养老质优稳利基础设施债权投资计划型养老金产品（1期）</t>
  </si>
  <si>
    <t>CL0014</t>
  </si>
  <si>
    <t>国寿养老红泰优先股型养老金产品（2期）</t>
  </si>
  <si>
    <t>CL0016</t>
  </si>
  <si>
    <t>国寿养老质优甄选信托产品型养老金产品（2期）</t>
  </si>
  <si>
    <t>CL0020</t>
  </si>
  <si>
    <t>国寿养老策略成长混合型养老金产品</t>
  </si>
  <si>
    <t>CL0021</t>
  </si>
  <si>
    <t>国寿养老策略优选股票型养老金产品</t>
  </si>
  <si>
    <t>CL0022</t>
  </si>
  <si>
    <t>国寿养老研究精选股票型养老金产品</t>
  </si>
  <si>
    <t>CL0024</t>
  </si>
  <si>
    <t>国寿养老质优稳利基础设施债权投资计划型养老金产品（2期）</t>
  </si>
  <si>
    <t>CL0025</t>
  </si>
  <si>
    <t>国寿养老红信固定收益型养老金产品</t>
  </si>
  <si>
    <t>CL0026</t>
  </si>
  <si>
    <t>国寿养老红义固定收益型养老金产品</t>
  </si>
  <si>
    <t>CL0027</t>
  </si>
  <si>
    <t>国寿养老红仁固定收益型养老金产品</t>
  </si>
  <si>
    <t>CL0033</t>
  </si>
  <si>
    <t>国寿养老配置1号混合型养老金产品</t>
  </si>
  <si>
    <t>CL0034</t>
  </si>
  <si>
    <t>国寿养老配置2号混合型养老金产品</t>
  </si>
  <si>
    <t>CL0035</t>
  </si>
  <si>
    <t>国寿养老配置3号混合型养老金产品</t>
  </si>
  <si>
    <t>CL0036</t>
  </si>
  <si>
    <t>国寿养老策略1号股票型养老金产品</t>
  </si>
  <si>
    <t>CL0037</t>
  </si>
  <si>
    <t>国寿养老策略2号股票型养老金产品</t>
  </si>
  <si>
    <t>CL0039</t>
  </si>
  <si>
    <t>国寿养老策略4号股票型养老金产品</t>
  </si>
  <si>
    <t>CL0040</t>
  </si>
  <si>
    <t>国寿养老稳健1号固定收益型养老金产品</t>
  </si>
  <si>
    <t>招行天津津融投资服务集团有限公司企业年金计划受托直投（泰康养老）</t>
  </si>
  <si>
    <t>工行青岛四方车辆研究所有限公司企业年金计划受托直投（泰康养老）</t>
  </si>
  <si>
    <t>CL0046</t>
  </si>
  <si>
    <t>国寿养老质优安泰保险产品型养老金产品（5期）</t>
  </si>
  <si>
    <t>CL0047</t>
  </si>
  <si>
    <t>国寿养老安享鑫祺混合型养老金产品</t>
  </si>
  <si>
    <t>CL0049</t>
  </si>
  <si>
    <t>国寿养老质优稳利基础设施债权投资计划型养老金产品（3期）</t>
  </si>
  <si>
    <t>CL0050</t>
  </si>
  <si>
    <t>国寿养老质优稳利基础设施债权投资计划型养老金产品（4期）</t>
  </si>
  <si>
    <t>CL0054</t>
  </si>
  <si>
    <t>国寿养老红利存款型养老金产品（3期）</t>
  </si>
  <si>
    <t>CL0059</t>
  </si>
  <si>
    <t>国寿养老红利存款型养老金产品（5期）</t>
  </si>
  <si>
    <t>CL0060</t>
  </si>
  <si>
    <t>国寿养老红利存款型养老金产品（6期）</t>
  </si>
  <si>
    <t>CL0061</t>
  </si>
  <si>
    <t>工行中国广核集团有限公司企业年金计划海富通组合</t>
  </si>
  <si>
    <t>国寿养老红利存款型养老金产品（7期）</t>
  </si>
  <si>
    <t>CL0063</t>
  </si>
  <si>
    <t>国寿养老稳健4号固定收益型养老金产品</t>
  </si>
  <si>
    <t>CL0064</t>
  </si>
  <si>
    <t>国寿养老稳健5号固定收益型养老金产品</t>
  </si>
  <si>
    <t>CL0065</t>
  </si>
  <si>
    <t>国寿养老稳健6号固定收益型养老金产品</t>
  </si>
  <si>
    <t>中行淮北矿业（集团）有限责任公司企业年金计划嘉实</t>
  </si>
  <si>
    <t>建行安徽省能源集团有限公司企业年金计划嘉实</t>
  </si>
  <si>
    <t>中行淮南矿业（集团）有限责任公司企业年金计划嘉实组合</t>
  </si>
  <si>
    <t>CL0067</t>
  </si>
  <si>
    <t>国寿养老稳健8号固定收益型养老金产品</t>
  </si>
  <si>
    <t>建行中国电力建设集团有限公司企业年金计划受托直投标准组合（泰康养老）</t>
  </si>
  <si>
    <t>招行泰康金色瑞泰企业年金集合计划受托直投平稳增长组合（泰康养老）</t>
  </si>
  <si>
    <t>CL0068</t>
  </si>
  <si>
    <t>国寿养老策略5号股票型养老金产品</t>
  </si>
  <si>
    <t>CL0069</t>
  </si>
  <si>
    <t>国寿养老策略6号股票型养老金产品</t>
  </si>
  <si>
    <t>CL0071</t>
  </si>
  <si>
    <t>国寿养老策略8号股票型养老金产品</t>
  </si>
  <si>
    <t>CL0072</t>
  </si>
  <si>
    <t>国寿养老策略9号股票型养老金产品</t>
  </si>
  <si>
    <t>CL0073</t>
  </si>
  <si>
    <t>国寿养老红利存款型养老金产品（8期）</t>
  </si>
  <si>
    <t>CL0075</t>
  </si>
  <si>
    <t>国寿养老质优甄选信托产品型养老金产品（12期）</t>
  </si>
  <si>
    <t>CL0077</t>
  </si>
  <si>
    <t>国寿养老质优稳利基础设施债权投资计划型养老金产品（5期）</t>
  </si>
  <si>
    <t>CL0082</t>
  </si>
  <si>
    <t>国寿养老配置6号混合型养老金产品</t>
  </si>
  <si>
    <t>CL0089</t>
  </si>
  <si>
    <t>国寿养老量化多策略FOF混合型养老金产品</t>
  </si>
  <si>
    <t>CL0092</t>
  </si>
  <si>
    <t>国寿养老质优稳利基础设施债权投资计划型养老金产品（6期）</t>
  </si>
  <si>
    <t>CL0101</t>
  </si>
  <si>
    <t>国寿养老多元策略FOF固定收益型养老金产品</t>
  </si>
  <si>
    <t>CL0103</t>
  </si>
  <si>
    <t>国寿养老质优增益基础设施债权投资计划型养老金产品（4期）</t>
  </si>
  <si>
    <t>CL0105</t>
  </si>
  <si>
    <t>国寿养老质优稳利基础设施债权投资计划型养老金产品（8期）</t>
  </si>
  <si>
    <t>CL0106</t>
  </si>
  <si>
    <t>国寿养老质优稳利基础设施债权投资计划型养老金产品（9期）</t>
  </si>
  <si>
    <t>CL0107</t>
  </si>
  <si>
    <t>国寿养老质优稳利基础设施债权投资计划型养老金产品（10期）</t>
  </si>
  <si>
    <t>CL0110</t>
  </si>
  <si>
    <t>国寿养老质优甄选信托产品型养老金产品（22期）</t>
  </si>
  <si>
    <t>中行淮南矿业（集团）有限责任公司企业年金计划易方达组合</t>
  </si>
  <si>
    <t>CL0111</t>
  </si>
  <si>
    <t>国寿养老质优甄选信托产品型养老金产品（23期）</t>
  </si>
  <si>
    <t>中行中国南方航空集团有限公司企业年金计划（太平）</t>
  </si>
  <si>
    <t>工行四川九洲电器集团有限责任公司企业年金计划（太平）</t>
  </si>
  <si>
    <t>光大云南省农村信用社企业年金计划中金组合</t>
  </si>
  <si>
    <t>CL0120</t>
  </si>
  <si>
    <t>国寿养老质优稳利基础设施债权投资计划型养老金产品（12期）</t>
  </si>
  <si>
    <t>CL0121</t>
  </si>
  <si>
    <t>国寿养老质优稳利基础设施债权投资计划型养老金产品（13期）</t>
  </si>
  <si>
    <t>CL0122</t>
  </si>
  <si>
    <t>国寿养老质优稳利基础设施债权投资计划型养老金产品（14期）</t>
  </si>
  <si>
    <t>CL0124</t>
  </si>
  <si>
    <t>国寿养老质优稳利基础设施债权投资计划型养老金产品（16期）</t>
  </si>
  <si>
    <t>CL0125</t>
  </si>
  <si>
    <t>国寿养老质优甄选信托产品型养老金产品（24期）</t>
  </si>
  <si>
    <t>光大银行北京控股集团有限公司企业年金计划南方组合</t>
  </si>
  <si>
    <t>中信银行中国航空集团公司企业年金计划南方组合</t>
  </si>
  <si>
    <t>招商银行深圳市水务（集团）有限公司企业年金计划南方组合</t>
  </si>
  <si>
    <t>CL0126</t>
  </si>
  <si>
    <t>国寿养老质优甄选信托产品型养老金产品（25期）</t>
  </si>
  <si>
    <t>交行太原供水集团有限公司企业年金计划受托直投（泰康养老）</t>
  </si>
  <si>
    <t>中信中国国旅集团有限公司企业年金计划受托直投（泰康养老）</t>
  </si>
  <si>
    <t>CL0130</t>
  </si>
  <si>
    <t>国寿养老质优稳利基础设施债权投资计划型养老金产品（17期）</t>
  </si>
  <si>
    <t>CL0132</t>
  </si>
  <si>
    <t>国寿养老质优稳利基础设施债权投资计划型养老金产品（19期）</t>
  </si>
  <si>
    <t>CL0140</t>
  </si>
  <si>
    <t>国寿养老稳健9号固定收益型养老金产品</t>
  </si>
  <si>
    <t>CL0048</t>
  </si>
  <si>
    <t>国寿养老安享鑫泰混合型养老金产品</t>
  </si>
  <si>
    <t>CL0158</t>
  </si>
  <si>
    <t>国寿养老配置10号混合型养老金产品</t>
  </si>
  <si>
    <t>CL0084</t>
  </si>
  <si>
    <t>国寿养老配置8号混合型养老金产品</t>
  </si>
  <si>
    <t>CL0157</t>
  </si>
  <si>
    <t>国寿养老配置9号混合型养老金产品</t>
  </si>
  <si>
    <t>CL0080</t>
  </si>
  <si>
    <t>国寿养老配置4号混合型养老金产品</t>
  </si>
  <si>
    <t>CL0102</t>
  </si>
  <si>
    <t>国寿养老质优增益基础设施债权投资计划型养老金产品（3期）</t>
  </si>
  <si>
    <t>CL0108</t>
  </si>
  <si>
    <t>国寿养老质优稳利基础设施债权投资计划型养老金产品（11期）</t>
  </si>
  <si>
    <t>CL0115</t>
  </si>
  <si>
    <t>国寿养老红利存款型养老金产品（14期）</t>
  </si>
  <si>
    <t>CL0112</t>
  </si>
  <si>
    <t>民生银行中国民生银行股份有限公司企业年金计划工银瑞信组合</t>
  </si>
  <si>
    <t>国寿养老红利存款型养老金产品（11期）</t>
  </si>
  <si>
    <t>建行神华集团有限责任公司企业年金计划工银瑞信组合</t>
  </si>
  <si>
    <t>CL0160</t>
  </si>
  <si>
    <t>国寿养老生命周期2040混合型养老金产品</t>
  </si>
  <si>
    <t>CL0159</t>
  </si>
  <si>
    <t>国寿养老生命周期2035混合型养老金产品</t>
  </si>
  <si>
    <t>CL0146</t>
  </si>
  <si>
    <t>国寿养老生命周期2030混合型养老金产品</t>
  </si>
  <si>
    <t>期间</t>
    <phoneticPr fontId="18" type="noConversion"/>
  </si>
  <si>
    <t>开放式--安鑫利365--202008</t>
  </si>
  <si>
    <t>开放式--嘉年2号--202008</t>
  </si>
  <si>
    <t>开放式--福寿广源1号--202008</t>
  </si>
  <si>
    <t>开放式--安鑫盈360--202008</t>
  </si>
  <si>
    <t>开放式--广源180--202008</t>
  </si>
  <si>
    <t>开放式--月月理财--202008</t>
  </si>
  <si>
    <t>封闭式--嘉年6号+定期盈01期+丰年可转债+福寿嘉年0142-0146期+嘉年团客尊享1期+多元策略1期基础管理费--202008</t>
  </si>
  <si>
    <t>农行海航集团有限公司企业年金计划海富通组合</t>
  </si>
  <si>
    <t>建行镇海石化建安工程有限公司企业年金计划受托直投（泰康养老）</t>
  </si>
  <si>
    <t>CL0081</t>
  </si>
  <si>
    <t>国寿养老配置5号混合型养老金产品</t>
  </si>
  <si>
    <t>中行北京控股集团有限公司企业年金计划南方组合</t>
  </si>
  <si>
    <t>CL0133</t>
  </si>
  <si>
    <t>国寿养老质优稳利基础设施债权投资计划型养老金产品（20期）</t>
  </si>
  <si>
    <t>CL0070</t>
  </si>
  <si>
    <t>国寿养老策略7号股票型养老金产品</t>
  </si>
  <si>
    <t>开放式--安鑫利365--202009</t>
  </si>
  <si>
    <t>开放式--嘉年2号--202009</t>
  </si>
  <si>
    <t>开放式--福寿广源1号--202009</t>
  </si>
  <si>
    <t>开放式--安鑫盈360--202009</t>
  </si>
  <si>
    <t>开放式--广源190--202009</t>
  </si>
  <si>
    <t>开放式--月月理财--202009</t>
  </si>
  <si>
    <t>封闭式基础管理费--202009</t>
  </si>
  <si>
    <t>徽商银行信托</t>
    <phoneticPr fontId="18" type="noConversion"/>
  </si>
  <si>
    <t>CL0097</t>
  </si>
  <si>
    <t>国寿养老质优甄选信托产品型养老金产品（18期）</t>
  </si>
  <si>
    <t>CL0042</t>
  </si>
  <si>
    <t>国寿养老稳健3号固定收益型养老金产品</t>
  </si>
  <si>
    <t>开放式--安鑫利365--202010</t>
  </si>
  <si>
    <t>开放式--嘉年2号--202010</t>
  </si>
  <si>
    <t>开放式--福寿广源1号--202010</t>
  </si>
  <si>
    <t>开放式--安鑫盈360--202010</t>
  </si>
  <si>
    <t>开放式--广源190--202010</t>
  </si>
  <si>
    <t>开放式--月月理财--202010</t>
  </si>
  <si>
    <t>封闭式基础管理费--202010</t>
  </si>
  <si>
    <t>开放式--安鑫利365--202011</t>
  </si>
  <si>
    <t>开放式--嘉年2号--202011</t>
  </si>
  <si>
    <t>开放式--福寿广源1号--202011</t>
  </si>
  <si>
    <t>开放式--安鑫盈360--202011</t>
  </si>
  <si>
    <t>开放式--广源190--202011</t>
  </si>
  <si>
    <t>开放式--月月理财--202011</t>
  </si>
  <si>
    <t>封闭式基础管理费--202011--国寿多元策略2期</t>
  </si>
  <si>
    <t>封闭式基础管理费--202011</t>
  </si>
  <si>
    <t>中行马钢（集团）控股有限公司企业年金计划泰康资产组合</t>
  </si>
  <si>
    <t>开放式--安鑫利365--202012</t>
  </si>
  <si>
    <t>开放式--嘉年2号--202012</t>
  </si>
  <si>
    <t>开放式--福寿广源1号--202012</t>
  </si>
  <si>
    <t>开放式--安鑫盈360--202012</t>
  </si>
  <si>
    <t>开放式--广源180--202012</t>
  </si>
  <si>
    <t>开放式--月月理财--202012</t>
  </si>
  <si>
    <t>封闭式嘉年6号业绩报酬--202012</t>
  </si>
  <si>
    <t>封闭式基础管理费--202012</t>
  </si>
  <si>
    <t>基础管理费</t>
    <phoneticPr fontId="18" type="noConversion"/>
  </si>
  <si>
    <r>
      <t>封闭式--嘉年6号业绩报酬</t>
    </r>
    <r>
      <rPr>
        <sz val="11"/>
        <color theme="1"/>
        <rFont val="等线"/>
        <family val="3"/>
        <charset val="134"/>
        <scheme val="minor"/>
      </rPr>
      <t>--</t>
    </r>
    <r>
      <rPr>
        <sz val="11"/>
        <color theme="1"/>
        <rFont val="等线"/>
        <family val="3"/>
        <charset val="134"/>
        <scheme val="minor"/>
      </rPr>
      <t>202002</t>
    </r>
    <phoneticPr fontId="18" type="noConversion"/>
  </si>
  <si>
    <t>年年利</t>
  </si>
  <si>
    <t>嘉年188</t>
  </si>
  <si>
    <t>广源366</t>
    <phoneticPr fontId="18" type="noConversion"/>
  </si>
  <si>
    <t>基础管理费</t>
    <phoneticPr fontId="18" type="noConversion"/>
  </si>
  <si>
    <t>封闭型</t>
  </si>
  <si>
    <t>广源366</t>
    <phoneticPr fontId="18" type="noConversion"/>
  </si>
  <si>
    <t>开放式--广源6号--202007</t>
  </si>
  <si>
    <t>开放式--安鑫利365--202007</t>
  </si>
  <si>
    <t>开放式--嘉年2号--202007</t>
  </si>
  <si>
    <t>开放式--福寿广源1号--202007</t>
  </si>
  <si>
    <t>开放式--安鑫盈360--202007</t>
  </si>
  <si>
    <t>开放式--广源180--202007</t>
  </si>
  <si>
    <t>开放式--月月理财--202007</t>
  </si>
  <si>
    <t>封闭式--嘉年6号+定期盈01期+丰年可转债+福寿嘉年0142-0146期+嘉年团客尊享1期+多元策略1期基础管理费--202007</t>
  </si>
  <si>
    <t>封闭型</t>
    <phoneticPr fontId="18" type="noConversion"/>
  </si>
  <si>
    <t>广源366</t>
    <phoneticPr fontId="18" type="noConversion"/>
  </si>
  <si>
    <t>确认12月封闭式个人养老保障收入</t>
  </si>
  <si>
    <t>确认12月开放式个人养老保障收入--月月理财</t>
  </si>
  <si>
    <t>确认12月开放式个人养老保障收入--广源180</t>
  </si>
  <si>
    <t>确认12月开放式个人养老保障收入--安鑫盈360</t>
  </si>
  <si>
    <t>确认12月开放式个人养老保障收入--福寿广源1号</t>
  </si>
  <si>
    <t>确认12月开放式个人养老保障收入--嘉年2号</t>
  </si>
  <si>
    <t>确认12月开放式个人养老保障收入--安鑫利365</t>
  </si>
  <si>
    <t>确认12月封闭式个人养老保障收入--嘉年6号业绩报酬</t>
  </si>
  <si>
    <t>确认13月封闭式个人养老保障收入</t>
  </si>
  <si>
    <t>确认13月开放式个人养老保障收入--月月理财</t>
  </si>
  <si>
    <t>确认13月开放式个人养老保障收入--广源180</t>
  </si>
  <si>
    <t>确认13月开放式个人养老保障收入--安鑫盈360</t>
  </si>
  <si>
    <t>确认13月开放式个人养老保障收入--福寿广源1号</t>
  </si>
  <si>
    <t>确认13月开放式个人养老保障收入--嘉年2号</t>
  </si>
  <si>
    <t>确认13月开放式个人养老保障收入--安鑫利365</t>
  </si>
  <si>
    <t>封闭型</t>
    <phoneticPr fontId="18" type="noConversion"/>
  </si>
  <si>
    <t>基础管理费</t>
    <phoneticPr fontId="18" type="noConversion"/>
  </si>
  <si>
    <t>广源366</t>
    <phoneticPr fontId="18" type="noConversion"/>
  </si>
  <si>
    <t>基础管理费</t>
    <phoneticPr fontId="18" type="noConversion"/>
  </si>
  <si>
    <t>基础管理费</t>
    <phoneticPr fontId="18" type="noConversion"/>
  </si>
  <si>
    <t>年度</t>
    <phoneticPr fontId="18" type="noConversion"/>
  </si>
  <si>
    <t>月度</t>
    <phoneticPr fontId="18" type="noConversion"/>
  </si>
  <si>
    <t>年度</t>
    <phoneticPr fontId="18" type="noConversion"/>
  </si>
  <si>
    <t>安徽烟草肥外</t>
    <phoneticPr fontId="18" type="noConversion"/>
  </si>
  <si>
    <t>古井</t>
    <phoneticPr fontId="18" type="noConversion"/>
  </si>
  <si>
    <t>开放式--安鑫利365--202101</t>
  </si>
  <si>
    <t>开放式--嘉年2号--202101</t>
  </si>
  <si>
    <t>开放式--福寿广源1号--202101</t>
  </si>
  <si>
    <t>开放式--安鑫盈360--202101</t>
  </si>
  <si>
    <t>开放式--广源180--202101</t>
  </si>
  <si>
    <t>开放式--月月理财--202101</t>
  </si>
  <si>
    <t>封闭式基础管理费--202101</t>
  </si>
  <si>
    <t>交行中国人民解放军第五七二〇工厂企业年金计划受托直投（国寿）</t>
  </si>
  <si>
    <t>CL0062</t>
  </si>
  <si>
    <t>国寿养老策略FOF股票型养老金产品</t>
  </si>
  <si>
    <t>CL0161</t>
  </si>
  <si>
    <t>国寿养老量化阿尔法股票型养老金产品</t>
  </si>
  <si>
    <t>开放式--安鑫利365--202102</t>
  </si>
  <si>
    <t>开放式--嘉年2号--202102</t>
  </si>
  <si>
    <t>开放式--福寿广源1号--202102</t>
  </si>
  <si>
    <t>开放式--安鑫盈360--202102</t>
  </si>
  <si>
    <t>开放式--广源180--202102</t>
  </si>
  <si>
    <t>开放式--月月理财--202102</t>
  </si>
  <si>
    <t>封闭式基础管理费--202102</t>
  </si>
  <si>
    <t>开放式--安鑫利365--202103</t>
  </si>
  <si>
    <t>开放式--嘉年2号--202103</t>
  </si>
  <si>
    <t>开放式--福寿广源1号--202103</t>
  </si>
  <si>
    <t>开放式--安鑫盈360--202103</t>
  </si>
  <si>
    <t>开放式--广源180--202103</t>
  </si>
  <si>
    <t>开放式--月月理财--202103</t>
  </si>
  <si>
    <t>福寿嘉年0142期业绩报酬--202103</t>
  </si>
  <si>
    <t>封闭式基础管理费--202103</t>
  </si>
  <si>
    <t>基础管理费</t>
    <phoneticPr fontId="18" type="noConversion"/>
  </si>
  <si>
    <t>年年利</t>
    <phoneticPr fontId="18" type="noConversion"/>
  </si>
  <si>
    <t>广源366</t>
    <phoneticPr fontId="18" type="noConversion"/>
  </si>
  <si>
    <t>封闭型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</si>
</sst>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 "/>
  </numFmts>
  <fonts count="22">
    <font>
      <sz val="11"/>
      <color theme="1"/>
      <name val="等线"/>
      <charset val="134"/>
      <scheme val="minor"/>
    </font>
    <font>
      <b/>
      <sz val="10"/>
      <name val="楷体_GB2312"/>
      <charset val="134"/>
    </font>
    <font>
      <sz val="10"/>
      <name val="Times New Roman"/>
      <family val="1"/>
    </font>
    <font>
      <sz val="14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14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sz val="10"/>
      <name val="宋体"/>
      <family val="3"/>
      <charset val="134"/>
    </font>
    <font>
      <b/>
      <sz val="10"/>
      <name val="仿宋_GB2312"/>
      <charset val="134"/>
    </font>
    <font>
      <sz val="12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name val="仿宋_GB2312"/>
      <family val="3"/>
      <charset val="134"/>
    </font>
    <font>
      <sz val="14"/>
      <color theme="1"/>
      <name val="Times New Roman"/>
      <family val="1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0" fontId="2" fillId="0" borderId="0">
      <protection locked="0"/>
    </xf>
    <xf numFmtId="0" fontId="2" fillId="0" borderId="0">
      <protection locked="0"/>
    </xf>
  </cellStyleXfs>
  <cellXfs count="121">
    <xf numFmtId="0" fontId="0" fillId="0" borderId="0" xfId="0">
      <alignment vertical="center"/>
    </xf>
    <xf numFmtId="43" fontId="1" fillId="2" borderId="1" xfId="3" applyFont="1" applyFill="1" applyBorder="1" applyAlignment="1" applyProtection="1">
      <alignment horizontal="center" vertical="center" wrapText="1"/>
      <protection locked="0"/>
    </xf>
    <xf numFmtId="43" fontId="1" fillId="2" borderId="1" xfId="3" applyFont="1" applyFill="1" applyBorder="1" applyAlignment="1">
      <alignment horizontal="center" vertical="center" wrapText="1"/>
    </xf>
    <xf numFmtId="0" fontId="2" fillId="0" borderId="1" xfId="7" applyBorder="1">
      <protection locked="0"/>
    </xf>
    <xf numFmtId="43" fontId="2" fillId="0" borderId="1" xfId="1" applyFont="1" applyBorder="1" applyAlignment="1" applyProtection="1">
      <protection locked="0"/>
    </xf>
    <xf numFmtId="0" fontId="2" fillId="0" borderId="1" xfId="6" applyBorder="1">
      <protection locked="0"/>
    </xf>
    <xf numFmtId="14" fontId="0" fillId="0" borderId="0" xfId="0" applyNumberFormat="1">
      <alignment vertical="center"/>
    </xf>
    <xf numFmtId="0" fontId="3" fillId="0" borderId="1" xfId="4" applyFont="1" applyBorder="1" applyAlignment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protection locked="0"/>
    </xf>
    <xf numFmtId="0" fontId="5" fillId="0" borderId="1" xfId="0" applyFont="1" applyBorder="1" applyAlignment="1" applyProtection="1">
      <protection locked="0"/>
    </xf>
    <xf numFmtId="43" fontId="0" fillId="0" borderId="1" xfId="0" applyNumberFormat="1" applyBorder="1" applyAlignment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43" fontId="5" fillId="0" borderId="1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protection locked="0"/>
    </xf>
    <xf numFmtId="176" fontId="5" fillId="0" borderId="1" xfId="0" applyNumberFormat="1" applyFont="1" applyFill="1" applyBorder="1" applyAlignment="1" applyProtection="1">
      <protection locked="0"/>
    </xf>
    <xf numFmtId="176" fontId="5" fillId="0" borderId="1" xfId="1" applyNumberFormat="1" applyFont="1" applyFill="1" applyBorder="1" applyAlignment="1" applyProtection="1">
      <protection locked="0"/>
    </xf>
    <xf numFmtId="0" fontId="0" fillId="0" borderId="1" xfId="0" applyBorder="1">
      <alignment vertical="center"/>
    </xf>
    <xf numFmtId="43" fontId="5" fillId="0" borderId="1" xfId="1" applyFont="1" applyBorder="1" applyAlignment="1" applyProtection="1">
      <protection locked="0"/>
    </xf>
    <xf numFmtId="43" fontId="6" fillId="0" borderId="1" xfId="1" applyFont="1" applyFill="1" applyBorder="1" applyAlignment="1" applyProtection="1">
      <protection locked="0"/>
    </xf>
    <xf numFmtId="0" fontId="6" fillId="0" borderId="1" xfId="4" applyFont="1" applyBorder="1" applyAlignment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 applyProtection="1">
      <protection locked="0"/>
    </xf>
    <xf numFmtId="43" fontId="6" fillId="0" borderId="1" xfId="1" applyFont="1" applyBorder="1" applyAlignment="1" applyProtection="1">
      <alignment horizontal="center"/>
      <protection locked="0"/>
    </xf>
    <xf numFmtId="57" fontId="0" fillId="0" borderId="0" xfId="0" applyNumberFormat="1">
      <alignment vertical="center"/>
    </xf>
    <xf numFmtId="0" fontId="0" fillId="4" borderId="0" xfId="0" applyFill="1">
      <alignment vertical="center"/>
    </xf>
    <xf numFmtId="0" fontId="7" fillId="0" borderId="1" xfId="0" applyFont="1" applyBorder="1" applyAlignment="1" applyProtection="1">
      <alignment horizontal="center"/>
      <protection locked="0"/>
    </xf>
    <xf numFmtId="43" fontId="7" fillId="4" borderId="1" xfId="1" applyFont="1" applyFill="1" applyBorder="1" applyAlignment="1" applyProtection="1">
      <alignment horizontal="center"/>
      <protection locked="0"/>
    </xf>
    <xf numFmtId="43" fontId="7" fillId="0" borderId="1" xfId="1" applyFont="1" applyBorder="1" applyAlignment="1" applyProtection="1">
      <alignment horizontal="center"/>
      <protection locked="0"/>
    </xf>
    <xf numFmtId="43" fontId="7" fillId="0" borderId="2" xfId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protection locked="0"/>
    </xf>
    <xf numFmtId="43" fontId="8" fillId="4" borderId="1" xfId="1" applyFont="1" applyFill="1" applyBorder="1" applyAlignment="1" applyProtection="1">
      <protection locked="0"/>
    </xf>
    <xf numFmtId="43" fontId="8" fillId="0" borderId="1" xfId="1" applyFont="1" applyBorder="1" applyAlignme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3" fontId="8" fillId="5" borderId="1" xfId="1" applyFont="1" applyFill="1" applyBorder="1" applyAlignment="1" applyProtection="1">
      <protection locked="0"/>
    </xf>
    <xf numFmtId="0" fontId="8" fillId="5" borderId="1" xfId="0" applyFont="1" applyFill="1" applyBorder="1" applyAlignment="1" applyProtection="1">
      <protection locked="0"/>
    </xf>
    <xf numFmtId="43" fontId="8" fillId="3" borderId="1" xfId="1" applyFont="1" applyFill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43" fontId="6" fillId="0" borderId="1" xfId="5" applyFont="1" applyBorder="1" applyAlignment="1" applyProtection="1">
      <protection locked="0"/>
    </xf>
    <xf numFmtId="43" fontId="6" fillId="4" borderId="1" xfId="5" applyFont="1" applyFill="1" applyBorder="1" applyAlignment="1" applyProtection="1">
      <protection locked="0"/>
    </xf>
    <xf numFmtId="0" fontId="9" fillId="0" borderId="3" xfId="0" applyFont="1" applyBorder="1" applyAlignment="1" applyProtection="1">
      <alignment horizontal="right" vertical="center" wrapText="1" readingOrder="1"/>
      <protection locked="0"/>
    </xf>
    <xf numFmtId="43" fontId="0" fillId="0" borderId="0" xfId="0" applyNumberFormat="1">
      <alignment vertical="center"/>
    </xf>
    <xf numFmtId="0" fontId="0" fillId="3" borderId="0" xfId="0" applyFill="1" applyAlignment="1">
      <alignment vertical="center" wrapText="1"/>
    </xf>
    <xf numFmtId="43" fontId="1" fillId="0" borderId="1" xfId="1" applyFont="1" applyFill="1" applyBorder="1" applyAlignment="1">
      <alignment horizontal="center" vertical="center" wrapText="1"/>
    </xf>
    <xf numFmtId="43" fontId="10" fillId="0" borderId="1" xfId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3" fontId="11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5" xfId="3" applyNumberFormat="1" applyFont="1" applyFill="1" applyBorder="1" applyAlignment="1" applyProtection="1">
      <alignment horizontal="center" vertical="center" wrapText="1"/>
      <protection locked="0"/>
    </xf>
    <xf numFmtId="43" fontId="11" fillId="0" borderId="1" xfId="1" applyFont="1" applyFill="1" applyBorder="1" applyAlignment="1" applyProtection="1">
      <alignment horizontal="left" vertical="center" wrapText="1"/>
      <protection locked="0"/>
    </xf>
    <xf numFmtId="43" fontId="2" fillId="0" borderId="1" xfId="1" applyFont="1" applyFill="1" applyBorder="1" applyAlignment="1" applyProtection="1">
      <protection locked="0"/>
    </xf>
    <xf numFmtId="43" fontId="0" fillId="0" borderId="1" xfId="0" applyNumberFormat="1" applyBorder="1" applyAlignment="1" applyProtection="1">
      <alignment vertical="center"/>
      <protection locked="0"/>
    </xf>
    <xf numFmtId="14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43" fontId="11" fillId="0" borderId="1" xfId="1" applyFont="1" applyFill="1" applyBorder="1" applyAlignment="1" applyProtection="1">
      <alignment vertical="center" wrapText="1"/>
      <protection locked="0"/>
    </xf>
    <xf numFmtId="0" fontId="11" fillId="0" borderId="1" xfId="1" applyNumberFormat="1" applyFont="1" applyFill="1" applyBorder="1" applyAlignment="1" applyProtection="1">
      <alignment vertical="center" wrapText="1"/>
      <protection locked="0"/>
    </xf>
    <xf numFmtId="0" fontId="11" fillId="0" borderId="1" xfId="3" applyNumberFormat="1" applyFont="1" applyFill="1" applyBorder="1" applyAlignment="1" applyProtection="1">
      <alignment vertical="center" wrapText="1"/>
      <protection locked="0"/>
    </xf>
    <xf numFmtId="0" fontId="2" fillId="0" borderId="1" xfId="4" applyBorder="1">
      <protection locked="0"/>
    </xf>
    <xf numFmtId="43" fontId="12" fillId="0" borderId="1" xfId="1" applyFont="1" applyBorder="1" applyAlignment="1" applyProtection="1"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43" fontId="8" fillId="0" borderId="1" xfId="1" applyFont="1" applyBorder="1" applyAlignment="1" applyProtection="1">
      <alignment horizontal="center"/>
      <protection locked="0"/>
    </xf>
    <xf numFmtId="43" fontId="0" fillId="0" borderId="0" xfId="1" applyFont="1">
      <alignment vertical="center"/>
    </xf>
    <xf numFmtId="43" fontId="0" fillId="0" borderId="1" xfId="1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43" fontId="19" fillId="0" borderId="6" xfId="1" applyFont="1" applyFill="1" applyBorder="1" applyAlignment="1" applyProtection="1">
      <alignment horizontal="left" vertical="center" wrapText="1"/>
      <protection locked="0"/>
    </xf>
    <xf numFmtId="43" fontId="10" fillId="0" borderId="6" xfId="1" applyFont="1" applyFill="1" applyBorder="1" applyAlignment="1">
      <alignment vertical="center" wrapText="1"/>
    </xf>
    <xf numFmtId="43" fontId="8" fillId="0" borderId="6" xfId="1" applyFont="1" applyBorder="1" applyAlignment="1" applyProtection="1">
      <protection locked="0"/>
    </xf>
    <xf numFmtId="43" fontId="6" fillId="0" borderId="6" xfId="1" applyFont="1" applyFill="1" applyBorder="1" applyAlignment="1" applyProtection="1">
      <protection locked="0"/>
    </xf>
    <xf numFmtId="0" fontId="8" fillId="0" borderId="6" xfId="0" applyFont="1" applyBorder="1" applyAlignment="1" applyProtection="1">
      <protection locked="0"/>
    </xf>
    <xf numFmtId="43" fontId="5" fillId="0" borderId="6" xfId="1" applyFont="1" applyBorder="1" applyAlignment="1" applyProtection="1">
      <protection locked="0"/>
    </xf>
    <xf numFmtId="0" fontId="2" fillId="0" borderId="6" xfId="6" applyFill="1" applyBorder="1" applyAlignment="1">
      <protection locked="0"/>
    </xf>
    <xf numFmtId="0" fontId="2" fillId="0" borderId="6" xfId="6" applyFill="1" applyBorder="1" applyAlignment="1">
      <alignment horizontal="center"/>
      <protection locked="0"/>
    </xf>
    <xf numFmtId="0" fontId="2" fillId="0" borderId="6" xfId="8" applyFill="1" applyBorder="1" applyAlignment="1">
      <alignment horizontal="center"/>
      <protection locked="0"/>
    </xf>
    <xf numFmtId="43" fontId="10" fillId="0" borderId="6" xfId="1" applyFont="1" applyFill="1" applyBorder="1" applyAlignment="1" applyProtection="1">
      <protection locked="0"/>
    </xf>
    <xf numFmtId="0" fontId="17" fillId="0" borderId="0" xfId="0" applyFont="1">
      <alignment vertic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protection locked="0"/>
    </xf>
    <xf numFmtId="0" fontId="8" fillId="0" borderId="8" xfId="0" applyFont="1" applyBorder="1" applyAlignment="1" applyProtection="1">
      <protection locked="0"/>
    </xf>
    <xf numFmtId="0" fontId="5" fillId="0" borderId="8" xfId="0" applyFont="1" applyFill="1" applyBorder="1" applyAlignment="1" applyProtection="1">
      <protection locked="0"/>
    </xf>
    <xf numFmtId="43" fontId="5" fillId="0" borderId="8" xfId="1" applyFont="1" applyBorder="1" applyAlignment="1" applyProtection="1">
      <protection locked="0"/>
    </xf>
    <xf numFmtId="0" fontId="5" fillId="0" borderId="8" xfId="1" applyNumberFormat="1" applyFont="1" applyFill="1" applyBorder="1" applyAlignment="1" applyProtection="1">
      <alignment horizontal="center"/>
      <protection locked="0"/>
    </xf>
    <xf numFmtId="43" fontId="6" fillId="0" borderId="8" xfId="1" applyFont="1" applyFill="1" applyBorder="1" applyAlignment="1" applyProtection="1">
      <protection locked="0"/>
    </xf>
    <xf numFmtId="0" fontId="2" fillId="6" borderId="8" xfId="0" applyFont="1" applyFill="1" applyBorder="1" applyAlignment="1" applyProtection="1">
      <alignment horizontal="left" vertical="center" wrapText="1"/>
      <protection locked="0"/>
    </xf>
    <xf numFmtId="43" fontId="2" fillId="6" borderId="8" xfId="1" applyFont="1" applyFill="1" applyBorder="1" applyAlignment="1" applyProtection="1">
      <alignment vertical="center" wrapText="1"/>
      <protection locked="0"/>
    </xf>
    <xf numFmtId="43" fontId="19" fillId="0" borderId="8" xfId="1" applyFont="1" applyFill="1" applyBorder="1" applyAlignment="1" applyProtection="1">
      <alignment horizontal="left" vertical="center" wrapText="1"/>
      <protection locked="0"/>
    </xf>
    <xf numFmtId="43" fontId="2" fillId="0" borderId="8" xfId="1" applyFont="1" applyBorder="1" applyAlignment="1" applyProtection="1">
      <protection locked="0"/>
    </xf>
    <xf numFmtId="0" fontId="3" fillId="0" borderId="8" xfId="4" applyFont="1" applyBorder="1" applyAlignment="1">
      <alignment horizontal="center"/>
      <protection locked="0"/>
    </xf>
    <xf numFmtId="0" fontId="3" fillId="0" borderId="8" xfId="4" applyFont="1" applyFill="1" applyBorder="1" applyAlignment="1">
      <alignment horizontal="center"/>
      <protection locked="0"/>
    </xf>
    <xf numFmtId="0" fontId="3" fillId="0" borderId="8" xfId="4" applyFont="1" applyBorder="1" applyAlignment="1">
      <alignment horizontal="left"/>
      <protection locked="0"/>
    </xf>
    <xf numFmtId="43" fontId="20" fillId="0" borderId="8" xfId="5" applyFont="1" applyBorder="1" applyAlignment="1" applyProtection="1">
      <protection locked="0"/>
    </xf>
    <xf numFmtId="43" fontId="20" fillId="0" borderId="8" xfId="5" applyFont="1" applyFill="1" applyBorder="1" applyAlignment="1" applyProtection="1">
      <protection locked="0"/>
    </xf>
    <xf numFmtId="43" fontId="6" fillId="0" borderId="8" xfId="5" applyFont="1" applyBorder="1" applyAlignment="1" applyProtection="1">
      <protection locked="0"/>
    </xf>
    <xf numFmtId="0" fontId="0" fillId="0" borderId="0" xfId="0" pivotButton="1">
      <alignment vertical="center"/>
    </xf>
    <xf numFmtId="0" fontId="0" fillId="0" borderId="0" xfId="0" applyAlignment="1" applyProtection="1">
      <protection locked="0"/>
    </xf>
    <xf numFmtId="43" fontId="6" fillId="0" borderId="9" xfId="1" applyFont="1" applyFill="1" applyBorder="1" applyAlignment="1" applyProtection="1">
      <protection locked="0"/>
    </xf>
    <xf numFmtId="43" fontId="0" fillId="0" borderId="0" xfId="1" applyFont="1" applyAlignment="1" applyProtection="1">
      <protection locked="0"/>
    </xf>
    <xf numFmtId="0" fontId="0" fillId="7" borderId="0" xfId="0" applyFill="1">
      <alignment vertical="center"/>
    </xf>
    <xf numFmtId="0" fontId="21" fillId="7" borderId="0" xfId="0" applyFont="1" applyFill="1" applyBorder="1" applyAlignment="1" applyProtection="1"/>
    <xf numFmtId="0" fontId="17" fillId="7" borderId="0" xfId="0" applyFont="1" applyFill="1">
      <alignment vertical="center"/>
    </xf>
    <xf numFmtId="14" fontId="0" fillId="7" borderId="0" xfId="0" applyNumberFormat="1" applyFill="1">
      <alignment vertical="center"/>
    </xf>
    <xf numFmtId="0" fontId="2" fillId="0" borderId="0" xfId="8" applyBorder="1">
      <protection locked="0"/>
    </xf>
    <xf numFmtId="43" fontId="2" fillId="0" borderId="0" xfId="1" applyFont="1" applyBorder="1" applyAlignment="1" applyProtection="1">
      <protection locked="0"/>
    </xf>
    <xf numFmtId="14" fontId="0" fillId="0" borderId="0" xfId="0" applyNumberFormat="1" applyAlignment="1" applyProtection="1">
      <protection locked="0"/>
    </xf>
    <xf numFmtId="0" fontId="17" fillId="0" borderId="0" xfId="0" applyFont="1" applyAlignment="1" applyProtection="1">
      <protection locked="0"/>
    </xf>
    <xf numFmtId="14" fontId="0" fillId="8" borderId="0" xfId="0" applyNumberFormat="1" applyFill="1">
      <alignment vertical="center"/>
    </xf>
    <xf numFmtId="0" fontId="0" fillId="8" borderId="0" xfId="0" applyFill="1" applyAlignment="1" applyProtection="1">
      <protection locked="0"/>
    </xf>
    <xf numFmtId="0" fontId="0" fillId="8" borderId="0" xfId="0" applyFill="1">
      <alignment vertical="center"/>
    </xf>
    <xf numFmtId="0" fontId="0" fillId="0" borderId="0" xfId="0" applyFill="1" applyAlignment="1" applyProtection="1">
      <protection locked="0"/>
    </xf>
    <xf numFmtId="14" fontId="0" fillId="9" borderId="0" xfId="0" applyNumberFormat="1" applyFill="1">
      <alignment vertical="center"/>
    </xf>
    <xf numFmtId="0" fontId="0" fillId="9" borderId="0" xfId="0" applyFill="1" applyAlignment="1" applyProtection="1">
      <protection locked="0"/>
    </xf>
    <xf numFmtId="0" fontId="0" fillId="9" borderId="0" xfId="0" applyFill="1">
      <alignment vertical="center"/>
    </xf>
    <xf numFmtId="43" fontId="7" fillId="0" borderId="0" xfId="1" applyFont="1" applyBorder="1" applyAlignment="1" applyProtection="1">
      <alignment horizontal="center"/>
      <protection locked="0"/>
    </xf>
    <xf numFmtId="0" fontId="0" fillId="0" borderId="0" xfId="1" applyNumberFormat="1" applyFont="1">
      <alignment vertical="center"/>
    </xf>
    <xf numFmtId="0" fontId="17" fillId="0" borderId="0" xfId="0" applyFont="1" applyFill="1" applyBorder="1">
      <alignment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</cellXfs>
  <cellStyles count="9">
    <cellStyle name="百分比" xfId="2" builtinId="5"/>
    <cellStyle name="常规" xfId="0" builtinId="0"/>
    <cellStyle name="常规 10" xfId="8"/>
    <cellStyle name="常规 2" xfId="6"/>
    <cellStyle name="常规 54" xfId="4"/>
    <cellStyle name="常规 7" xfId="7"/>
    <cellStyle name="千位分隔" xfId="1" builtinId="3"/>
    <cellStyle name="千位分隔 110 2" xfId="5"/>
    <cellStyle name="千位分隔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819.397999652778" createdVersion="6" refreshedVersion="6" minRefreshableVersion="3" recordCount="152">
  <cacheSource type="worksheet">
    <worksheetSource ref="A1:D1048576" sheet="单一计划（含税）"/>
  </cacheSource>
  <cacheFields count="4">
    <cacheField name="期间" numFmtId="0">
      <sharedItems containsDate="1" containsBlank="1" containsMixedTypes="1" minDate="2018-01-31T00:00:00" maxDate="2019-09-01T00:00:00" count="23"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01-31T00:00:00"/>
        <d v="2018-02-28T00:00:00"/>
        <d v="2018-03-31T00:00:00"/>
        <d v="2018-11-30T00:00:00"/>
        <d v="2018-12-31T00:00:00"/>
        <s v="2018-13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m/>
        <d v="2018-05-30T00:00:00" u="1"/>
      </sharedItems>
    </cacheField>
    <cacheField name="组合名称" numFmtId="0">
      <sharedItems containsBlank="1"/>
    </cacheField>
    <cacheField name="计提（含税含准备金）" numFmtId="0">
      <sharedItems containsString="0" containsBlank="1" containsNumber="1" minValue="-2029.9" maxValue="42802.39"/>
    </cacheField>
    <cacheField name="规范简称" numFmtId="0">
      <sharedItems containsBlank="1" count="10">
        <s v="安徽高速"/>
        <s v="安徽盐业"/>
        <s v="徽商集团"/>
        <s v="皖北煤电债权"/>
        <s v="皖北煤电信托"/>
        <s v="中铁四局"/>
        <s v="徽商银行信托"/>
        <s v="烟草肥外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张婷" refreshedDate="44119.4019974537" createdVersion="6" refreshedVersion="6" minRefreshableVersion="3" recordCount="242">
  <cacheSource type="worksheet">
    <worksheetSource ref="B1:B1048576" sheet="单一计划（含税）"/>
  </cacheSource>
  <cacheFields count="1">
    <cacheField name="组合名称" numFmtId="0">
      <sharedItems containsBlank="1" count="14">
        <s v="安徽高速年金"/>
        <s v="安徽盐业年金(工行)"/>
        <s v="安徽徽商集团有限公司"/>
        <s v="皖北煤电债权"/>
        <s v="皖北煤电（集团）有限责任公司-信托组合"/>
        <s v="中铁四局集团有限公司"/>
        <s v="徽商银行股份有限公司信托组合"/>
        <s v="安徽烟草肥外年金"/>
        <s v="安徽古井"/>
        <s v="安徽中烟工业公司"/>
        <s v="国网安徽省电力公司"/>
        <s v="皖北煤电(集团）有限责任公司"/>
        <s v="徽商银行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s v="安徽高速年金"/>
    <n v="8999.98"/>
    <x v="0"/>
  </r>
  <r>
    <x v="0"/>
    <s v="安徽盐业年金(工行)"/>
    <n v="5062.05"/>
    <x v="1"/>
  </r>
  <r>
    <x v="0"/>
    <s v="安徽徽商集团有限公司"/>
    <n v="1383.42"/>
    <x v="2"/>
  </r>
  <r>
    <x v="0"/>
    <s v="皖北煤电债权"/>
    <n v="9653.4100000000108"/>
    <x v="3"/>
  </r>
  <r>
    <x v="0"/>
    <s v="皖北煤电（集团）有限责任公司-信托组合"/>
    <n v="14201.75"/>
    <x v="4"/>
  </r>
  <r>
    <x v="0"/>
    <s v="中铁四局集团有限公司"/>
    <n v="8048.56"/>
    <x v="5"/>
  </r>
  <r>
    <x v="0"/>
    <s v="徽商银行股份有限公司信托组合"/>
    <n v="15831.36"/>
    <x v="6"/>
  </r>
  <r>
    <x v="1"/>
    <s v="安徽高速年金"/>
    <n v="9357.61"/>
    <x v="0"/>
  </r>
  <r>
    <x v="1"/>
    <s v="安徽盐业年金(工行)"/>
    <n v="5623.65"/>
    <x v="1"/>
  </r>
  <r>
    <x v="1"/>
    <s v="安徽徽商集团有限公司"/>
    <n v="1409.3"/>
    <x v="2"/>
  </r>
  <r>
    <x v="1"/>
    <s v="皖北煤电债权"/>
    <n v="10166.14"/>
    <x v="3"/>
  </r>
  <r>
    <x v="1"/>
    <s v="皖北煤电（集团）有限责任公司-信托组合"/>
    <n v="14705.26"/>
    <x v="4"/>
  </r>
  <r>
    <x v="1"/>
    <s v="中铁四局集团有限公司"/>
    <n v="8454.93"/>
    <x v="5"/>
  </r>
  <r>
    <x v="1"/>
    <s v="徽商银行股份有限公司信托组合"/>
    <n v="16368.67"/>
    <x v="6"/>
  </r>
  <r>
    <x v="2"/>
    <s v="安徽高速年金"/>
    <n v="9069.42"/>
    <x v="0"/>
  </r>
  <r>
    <x v="2"/>
    <s v="安徽盐业年金(工行)"/>
    <n v="5635.68"/>
    <x v="1"/>
  </r>
  <r>
    <x v="2"/>
    <s v="安徽徽商集团有限公司"/>
    <n v="1366.24"/>
    <x v="2"/>
  </r>
  <r>
    <x v="2"/>
    <s v="皖北煤电债权"/>
    <n v="9817.51"/>
    <x v="3"/>
  </r>
  <r>
    <x v="2"/>
    <s v="皖北煤电（集团）有限责任公司-信托组合"/>
    <n v="14290.98"/>
    <x v="4"/>
  </r>
  <r>
    <x v="2"/>
    <s v="中铁四局集团有限公司"/>
    <n v="7445.88"/>
    <x v="5"/>
  </r>
  <r>
    <x v="2"/>
    <s v="徽商银行股份有限公司信托组合"/>
    <n v="15914.21"/>
    <x v="6"/>
  </r>
  <r>
    <x v="3"/>
    <s v="安徽高速年金"/>
    <n v="9374.7800000000097"/>
    <x v="0"/>
  </r>
  <r>
    <x v="3"/>
    <s v="安徽盐业年金(工行)"/>
    <n v="5718.0099999999902"/>
    <x v="1"/>
  </r>
  <r>
    <x v="3"/>
    <s v="安徽徽商集团有限公司"/>
    <n v="1410.66"/>
    <x v="2"/>
  </r>
  <r>
    <x v="3"/>
    <s v="皖北煤电债权"/>
    <n v="10218.24"/>
    <x v="3"/>
  </r>
  <r>
    <x v="3"/>
    <s v="皖北煤电（集团）有限责任公司-信托组合"/>
    <n v="14817.97"/>
    <x v="4"/>
  </r>
  <r>
    <x v="3"/>
    <s v="中铁四局集团有限公司"/>
    <n v="7146.95"/>
    <x v="5"/>
  </r>
  <r>
    <x v="3"/>
    <s v="徽商银行股份有限公司信托组合"/>
    <n v="16489.080000000002"/>
    <x v="6"/>
  </r>
  <r>
    <x v="4"/>
    <s v="安徽高速年金"/>
    <n v="9474.4"/>
    <x v="0"/>
  </r>
  <r>
    <x v="4"/>
    <s v="安徽盐业年金(工行)"/>
    <n v="4538.63"/>
    <x v="1"/>
  </r>
  <r>
    <x v="4"/>
    <s v="安徽徽商集团有限公司"/>
    <n v="1432.45"/>
    <x v="2"/>
  </r>
  <r>
    <x v="4"/>
    <s v="皖北煤电债权"/>
    <n v="10252.36"/>
    <x v="3"/>
  </r>
  <r>
    <x v="4"/>
    <s v="皖北煤电（集团）有限责任公司-信托组合"/>
    <n v="14902.85"/>
    <x v="4"/>
  </r>
  <r>
    <x v="4"/>
    <s v="中铁四局集团有限公司"/>
    <n v="7233.55"/>
    <x v="5"/>
  </r>
  <r>
    <x v="4"/>
    <s v="徽商银行股份有限公司信托组合"/>
    <n v="16603.87"/>
    <x v="6"/>
  </r>
  <r>
    <x v="5"/>
    <s v="安徽高速年金"/>
    <n v="10575.88"/>
    <x v="0"/>
  </r>
  <r>
    <x v="5"/>
    <s v="安徽徽商集团有限公司"/>
    <n v="1388.81"/>
    <x v="2"/>
  </r>
  <r>
    <x v="5"/>
    <s v="皖北煤电债权"/>
    <n v="9958.99"/>
    <x v="3"/>
  </r>
  <r>
    <x v="5"/>
    <s v="皖北煤电（集团）有限责任公司-信托组合"/>
    <n v="14505.48"/>
    <x v="4"/>
  </r>
  <r>
    <x v="5"/>
    <s v="中铁四局集团有限公司"/>
    <n v="6401.33"/>
    <x v="5"/>
  </r>
  <r>
    <x v="5"/>
    <s v="徽商银行股份有限公司信托组合"/>
    <n v="16179.92"/>
    <x v="6"/>
  </r>
  <r>
    <x v="5"/>
    <s v="安徽盐业年金(工行)"/>
    <n v="-2029.9"/>
    <x v="1"/>
  </r>
  <r>
    <x v="6"/>
    <s v="安徽高速年金"/>
    <n v="10702.33"/>
    <x v="0"/>
  </r>
  <r>
    <x v="6"/>
    <s v="安徽徽商集团有限公司"/>
    <n v="1436.92"/>
    <x v="2"/>
  </r>
  <r>
    <x v="6"/>
    <s v="皖北煤电债权"/>
    <n v="10382.379999999999"/>
    <x v="3"/>
  </r>
  <r>
    <x v="6"/>
    <s v="皖北煤电（集团）有限责任公司-信托组合"/>
    <n v="15012.25"/>
    <x v="4"/>
  </r>
  <r>
    <x v="6"/>
    <s v="中铁四局集团有限公司"/>
    <n v="5817.6"/>
    <x v="5"/>
  </r>
  <r>
    <x v="6"/>
    <s v="徽商银行股份有限公司信托组合"/>
    <n v="16732.22"/>
    <x v="6"/>
  </r>
  <r>
    <x v="7"/>
    <s v="安徽高速年金"/>
    <n v="9302.56"/>
    <x v="0"/>
  </r>
  <r>
    <x v="7"/>
    <s v="安徽盐业年金(工行)"/>
    <n v="7072.96"/>
    <x v="1"/>
  </r>
  <r>
    <x v="7"/>
    <s v="安徽徽商集团有限公司"/>
    <n v="1430.52"/>
    <x v="2"/>
  </r>
  <r>
    <x v="7"/>
    <s v="皖北煤电债权"/>
    <n v="12816.44"/>
    <x v="3"/>
  </r>
  <r>
    <x v="7"/>
    <s v="皖北煤电（集团）有限责任公司-信托组合"/>
    <n v="14114.68"/>
    <x v="4"/>
  </r>
  <r>
    <x v="7"/>
    <s v="中铁四局集团有限公司"/>
    <n v="10964.62"/>
    <x v="5"/>
  </r>
  <r>
    <x v="7"/>
    <s v="徽商银行股份有限公司信托组合"/>
    <n v="12968.26"/>
    <x v="6"/>
  </r>
  <r>
    <x v="8"/>
    <s v="安徽高速年金"/>
    <n v="8375.92"/>
    <x v="0"/>
  </r>
  <r>
    <x v="8"/>
    <s v="安徽盐业年金(工行)"/>
    <n v="5648.26"/>
    <x v="1"/>
  </r>
  <r>
    <x v="8"/>
    <s v="安徽徽商集团有限公司"/>
    <n v="1297.44"/>
    <x v="2"/>
  </r>
  <r>
    <x v="8"/>
    <s v="皖北煤电债权"/>
    <n v="10700.88"/>
    <x v="3"/>
  </r>
  <r>
    <x v="8"/>
    <s v="皖北煤电（集团）有限责任公司-信托组合"/>
    <n v="12156.52"/>
    <x v="4"/>
  </r>
  <r>
    <x v="8"/>
    <s v="中铁四局集团有限公司"/>
    <n v="9545.4500000000007"/>
    <x v="5"/>
  </r>
  <r>
    <x v="8"/>
    <s v="徽商银行股份有限公司信托组合"/>
    <n v="14588.66"/>
    <x v="6"/>
  </r>
  <r>
    <x v="9"/>
    <s v="安徽高速年金"/>
    <n v="9285.85"/>
    <x v="0"/>
  </r>
  <r>
    <x v="9"/>
    <s v="安徽盐业年金(工行)"/>
    <n v="5543.16"/>
    <x v="1"/>
  </r>
  <r>
    <x v="9"/>
    <s v="安徽徽商集团有限公司"/>
    <n v="1442.24"/>
    <x v="2"/>
  </r>
  <r>
    <x v="9"/>
    <s v="皖北煤电债权"/>
    <n v="10349.06"/>
    <x v="3"/>
  </r>
  <r>
    <x v="9"/>
    <s v="皖北煤电（集团）有限责任公司-信托组合"/>
    <n v="14277.12"/>
    <x v="4"/>
  </r>
  <r>
    <x v="9"/>
    <s v="中铁四局集团有限公司"/>
    <n v="9636.81"/>
    <x v="5"/>
  </r>
  <r>
    <x v="9"/>
    <s v="徽商银行股份有限公司信托组合"/>
    <n v="16037.76"/>
    <x v="6"/>
  </r>
  <r>
    <x v="10"/>
    <s v="安徽高速年金"/>
    <n v="10603.3"/>
    <x v="0"/>
  </r>
  <r>
    <x v="10"/>
    <s v="安徽徽商集团有限公司"/>
    <n v="1416.87"/>
    <x v="2"/>
  </r>
  <r>
    <x v="10"/>
    <s v="皖北煤电债权"/>
    <n v="9444.8499999999894"/>
    <x v="3"/>
  </r>
  <r>
    <x v="10"/>
    <s v="皖北煤电（集团）有限责任公司-信托组合"/>
    <n v="14660.74"/>
    <x v="4"/>
  </r>
  <r>
    <x v="10"/>
    <s v="中铁四局集团有限公司"/>
    <n v="5239.4800000000096"/>
    <x v="5"/>
  </r>
  <r>
    <x v="10"/>
    <s v="徽商银行股份有限公司信托组合"/>
    <n v="16375.03"/>
    <x v="6"/>
  </r>
  <r>
    <x v="11"/>
    <s v="安徽高速年金"/>
    <n v="10848.09"/>
    <x v="0"/>
  </r>
  <r>
    <x v="11"/>
    <s v="安徽徽商集团有限公司"/>
    <n v="1488.54"/>
    <x v="2"/>
  </r>
  <r>
    <x v="11"/>
    <s v="皖北煤电债权"/>
    <n v="7795.42"/>
    <x v="3"/>
  </r>
  <r>
    <x v="11"/>
    <s v="皖北煤电（集团）有限责任公司-信托组合"/>
    <n v="15172.49"/>
    <x v="4"/>
  </r>
  <r>
    <x v="11"/>
    <s v="中铁四局集团有限公司"/>
    <n v="6146.75"/>
    <x v="5"/>
  </r>
  <r>
    <x v="11"/>
    <s v="徽商银行股份有限公司信托组合"/>
    <n v="16941.5"/>
    <x v="6"/>
  </r>
  <r>
    <x v="12"/>
    <s v="安徽高速年金"/>
    <n v="367.15000000000902"/>
    <x v="0"/>
  </r>
  <r>
    <x v="12"/>
    <s v="安徽徽商集团有限公司"/>
    <n v="17.090000000000099"/>
    <x v="2"/>
  </r>
  <r>
    <x v="12"/>
    <s v="皖北煤电债权"/>
    <n v="-985.79999999998802"/>
    <x v="3"/>
  </r>
  <r>
    <x v="12"/>
    <s v="皖北煤电（集团）有限责任公司-信托组合"/>
    <n v="193.82000000000701"/>
    <x v="4"/>
  </r>
  <r>
    <x v="12"/>
    <s v="中铁四局集团有限公司"/>
    <n v="-630.25"/>
    <x v="5"/>
  </r>
  <r>
    <x v="12"/>
    <s v="徽商银行股份有限公司信托组合"/>
    <n v="277.66999999998399"/>
    <x v="6"/>
  </r>
  <r>
    <x v="13"/>
    <s v="安徽高速年金"/>
    <n v="11791.18"/>
    <x v="0"/>
  </r>
  <r>
    <x v="13"/>
    <s v="安徽烟草肥外年金"/>
    <n v="42454.05"/>
    <x v="7"/>
  </r>
  <r>
    <x v="13"/>
    <s v="安徽徽商集团有限公司"/>
    <n v="1560.82"/>
    <x v="2"/>
  </r>
  <r>
    <x v="13"/>
    <s v="皖北煤电债权"/>
    <n v="6463.38"/>
    <x v="3"/>
  </r>
  <r>
    <x v="13"/>
    <s v="皖北煤电（集团）有限责任公司-信托组合"/>
    <n v="16025.39"/>
    <x v="4"/>
  </r>
  <r>
    <x v="13"/>
    <s v="中铁四局集团有限公司"/>
    <n v="7232.97"/>
    <x v="5"/>
  </r>
  <r>
    <x v="13"/>
    <s v="徽商银行股份有限公司信托组合"/>
    <n v="17913.2"/>
    <x v="6"/>
  </r>
  <r>
    <x v="14"/>
    <s v="安徽高速年金"/>
    <n v="10723.79"/>
    <x v="0"/>
  </r>
  <r>
    <x v="14"/>
    <s v="安徽烟草肥外年金"/>
    <n v="35412.78"/>
    <x v="7"/>
  </r>
  <r>
    <x v="14"/>
    <s v="安徽徽商集团有限公司"/>
    <n v="1278.8"/>
    <x v="2"/>
  </r>
  <r>
    <x v="14"/>
    <s v="皖北煤电债权"/>
    <n v="3700.31"/>
    <x v="3"/>
  </r>
  <r>
    <x v="14"/>
    <s v="皖北煤电（集团）有限责任公司-信托组合"/>
    <n v="13090.6"/>
    <x v="4"/>
  </r>
  <r>
    <x v="14"/>
    <s v="中铁四局集团有限公司"/>
    <n v="6474.35"/>
    <x v="5"/>
  </r>
  <r>
    <x v="14"/>
    <s v="徽商银行股份有限公司信托组合"/>
    <n v="14645.57"/>
    <x v="6"/>
  </r>
  <r>
    <x v="15"/>
    <s v="安徽高速年金"/>
    <n v="12494.49"/>
    <x v="0"/>
  </r>
  <r>
    <x v="15"/>
    <s v="安徽烟草肥外年金"/>
    <n v="40853.089999999997"/>
    <x v="7"/>
  </r>
  <r>
    <x v="15"/>
    <s v="安徽徽商集团有限公司"/>
    <n v="1503.24"/>
    <x v="2"/>
  </r>
  <r>
    <x v="15"/>
    <s v="皖北煤电债权"/>
    <n v="4629.67"/>
    <x v="3"/>
  </r>
  <r>
    <x v="15"/>
    <s v="皖北煤电（集团）有限责任公司-信托组合"/>
    <n v="15397.44"/>
    <x v="4"/>
  </r>
  <r>
    <x v="15"/>
    <s v="中铁四局集团有限公司"/>
    <n v="8245.49"/>
    <x v="5"/>
  </r>
  <r>
    <x v="15"/>
    <s v="徽商银行股份有限公司信托组合"/>
    <n v="17236.32"/>
    <x v="6"/>
  </r>
  <r>
    <x v="16"/>
    <s v="安徽高速年金"/>
    <n v="11615.23"/>
    <x v="0"/>
  </r>
  <r>
    <x v="16"/>
    <s v="安徽烟草肥外年金"/>
    <n v="40561.82"/>
    <x v="7"/>
  </r>
  <r>
    <x v="16"/>
    <s v="安徽徽商集团有限公司"/>
    <n v="1463.19"/>
    <x v="2"/>
  </r>
  <r>
    <x v="16"/>
    <s v="皖北煤电债权"/>
    <n v="4449.09"/>
    <x v="3"/>
  </r>
  <r>
    <x v="16"/>
    <s v="皖北煤电（集团）有限责任公司-信托组合"/>
    <n v="14981.24"/>
    <x v="4"/>
  </r>
  <r>
    <x v="16"/>
    <s v="中铁四局集团有限公司"/>
    <n v="8693.43"/>
    <x v="5"/>
  </r>
  <r>
    <x v="16"/>
    <s v="徽商银行股份有限公司信托组合"/>
    <n v="16775.080000000002"/>
    <x v="6"/>
  </r>
  <r>
    <x v="17"/>
    <s v="安徽高速年金"/>
    <n v="11022.2"/>
    <x v="0"/>
  </r>
  <r>
    <x v="17"/>
    <s v="安徽烟草肥外年金"/>
    <n v="42802.39"/>
    <x v="7"/>
  </r>
  <r>
    <x v="17"/>
    <s v="安徽徽商集团有限公司"/>
    <n v="1508.4"/>
    <x v="2"/>
  </r>
  <r>
    <x v="17"/>
    <s v="皖北煤电债权"/>
    <n v="4639.95"/>
    <x v="3"/>
  </r>
  <r>
    <x v="17"/>
    <s v="皖北煤电（集团）有限责任公司-信托组合"/>
    <n v="15553.56"/>
    <x v="4"/>
  </r>
  <r>
    <x v="17"/>
    <s v="中铁四局集团有限公司"/>
    <n v="8893.01"/>
    <x v="5"/>
  </r>
  <r>
    <x v="17"/>
    <s v="徽商银行股份有限公司信托组合"/>
    <n v="17427.009999999998"/>
    <x v="6"/>
  </r>
  <r>
    <x v="18"/>
    <s v="安徽高速年金"/>
    <n v="10661.130000000005"/>
    <x v="0"/>
  </r>
  <r>
    <x v="18"/>
    <s v="安徽烟草肥外年金"/>
    <n v="41564.19"/>
    <x v="7"/>
  </r>
  <r>
    <x v="18"/>
    <s v="安徽徽商集团有限公司"/>
    <n v="1465.8900000000003"/>
    <x v="2"/>
  </r>
  <r>
    <x v="18"/>
    <s v="皖北煤电债权"/>
    <n v="3637.8199999999997"/>
    <x v="3"/>
  </r>
  <r>
    <x v="18"/>
    <s v="皖北煤电（集团）有限责任公司-信托组合"/>
    <n v="15129.840000000011"/>
    <x v="4"/>
  </r>
  <r>
    <x v="18"/>
    <s v="中铁四局集团有限公司"/>
    <n v="8420.82"/>
    <x v="5"/>
  </r>
  <r>
    <x v="18"/>
    <s v="徽商银行股份有限公司信托组合"/>
    <n v="16966.47"/>
    <x v="6"/>
  </r>
  <r>
    <x v="19"/>
    <s v="安徽高速年金"/>
    <n v="8924.5599999999977"/>
    <x v="0"/>
  </r>
  <r>
    <x v="19"/>
    <s v="安徽烟草肥外年金"/>
    <n v="42071.700000000012"/>
    <x v="7"/>
  </r>
  <r>
    <x v="19"/>
    <s v="安徽徽商集团有限公司"/>
    <n v="1209.5300000000007"/>
    <x v="2"/>
  </r>
  <r>
    <x v="19"/>
    <s v="皖北煤电债权"/>
    <n v="3800.0799999999981"/>
    <x v="3"/>
  </r>
  <r>
    <x v="19"/>
    <s v="皖北煤电（集团）有限责任公司-信托组合"/>
    <n v="15684.729999999996"/>
    <x v="4"/>
  </r>
  <r>
    <x v="19"/>
    <s v="中铁四局集团有限公司"/>
    <n v="8700.3499999999985"/>
    <x v="5"/>
  </r>
  <r>
    <x v="19"/>
    <s v="徽商银行股份有限公司信托组合"/>
    <n v="17595.28"/>
    <x v="6"/>
  </r>
  <r>
    <x v="20"/>
    <s v="安徽高速年金"/>
    <n v="6955.429999999993"/>
    <x v="0"/>
  </r>
  <r>
    <x v="20"/>
    <s v="安徽烟草肥外年金"/>
    <n v="41156.579999999958"/>
    <x v="7"/>
  </r>
  <r>
    <x v="20"/>
    <s v="安徽徽商集团有限公司"/>
    <n v="1137.1499999999996"/>
    <x v="2"/>
  </r>
  <r>
    <x v="20"/>
    <s v="皖北煤电债权"/>
    <n v="3738.2599999999984"/>
    <x v="3"/>
  </r>
  <r>
    <x v="20"/>
    <s v="皖北煤电（集团）有限责任公司-信托组合"/>
    <n v="15783.179999999993"/>
    <x v="4"/>
  </r>
  <r>
    <x v="20"/>
    <s v="中铁四局集团有限公司"/>
    <n v="10327.740000000005"/>
    <x v="5"/>
  </r>
  <r>
    <x v="20"/>
    <s v="徽商银行股份有限公司信托组合"/>
    <n v="17713.49000000002"/>
    <x v="6"/>
  </r>
  <r>
    <x v="21"/>
    <s v="安徽古井"/>
    <n v="616.49"/>
    <x v="8"/>
  </r>
  <r>
    <x v="21"/>
    <s v="徽商银行股份有限公司信托组合"/>
    <n v="676.37999999997555"/>
    <x v="6"/>
  </r>
  <r>
    <x v="21"/>
    <s v="中铁四局集团有限公司"/>
    <n v="13874.970000000001"/>
    <x v="5"/>
  </r>
  <r>
    <x v="21"/>
    <s v="皖北煤电（集团）有限责任公司-信托组合"/>
    <n v="14952.190000000002"/>
    <x v="4"/>
  </r>
  <r>
    <x v="21"/>
    <s v="皖北煤电债权"/>
    <n v="3630.75"/>
    <x v="3"/>
  </r>
  <r>
    <x v="21"/>
    <s v="安徽徽商集团有限公司"/>
    <n v="1057.9099999999999"/>
    <x v="2"/>
  </r>
  <r>
    <x v="21"/>
    <s v="安徽烟草肥外年金"/>
    <n v="37528.789999999979"/>
    <x v="7"/>
  </r>
  <r>
    <x v="21"/>
    <s v="安徽高速年金"/>
    <n v="11206.089999999997"/>
    <x v="0"/>
  </r>
  <r>
    <x v="21"/>
    <m/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2"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1"/>
  </r>
  <r>
    <x v="0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8"/>
  </r>
  <r>
    <x v="6"/>
  </r>
  <r>
    <x v="5"/>
  </r>
  <r>
    <x v="4"/>
  </r>
  <r>
    <x v="3"/>
  </r>
  <r>
    <x v="2"/>
  </r>
  <r>
    <x v="7"/>
  </r>
  <r>
    <x v="0"/>
  </r>
  <r>
    <x v="6"/>
  </r>
  <r>
    <x v="5"/>
  </r>
  <r>
    <x v="4"/>
  </r>
  <r>
    <x v="3"/>
  </r>
  <r>
    <x v="2"/>
  </r>
  <r>
    <x v="7"/>
  </r>
  <r>
    <x v="0"/>
  </r>
  <r>
    <x v="0"/>
  </r>
  <r>
    <x v="7"/>
  </r>
  <r>
    <x v="2"/>
  </r>
  <r>
    <x v="3"/>
  </r>
  <r>
    <x v="4"/>
  </r>
  <r>
    <x v="5"/>
  </r>
  <r>
    <x v="6"/>
  </r>
  <r>
    <x v="6"/>
  </r>
  <r>
    <x v="8"/>
  </r>
  <r>
    <x v="5"/>
  </r>
  <r>
    <x v="4"/>
  </r>
  <r>
    <x v="3"/>
  </r>
  <r>
    <x v="2"/>
  </r>
  <r>
    <x v="7"/>
  </r>
  <r>
    <x v="0"/>
  </r>
  <r>
    <x v="9"/>
  </r>
  <r>
    <x v="10"/>
  </r>
  <r>
    <x v="11"/>
  </r>
  <r>
    <x v="6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12"/>
  </r>
  <r>
    <x v="8"/>
  </r>
  <r>
    <x v="5"/>
  </r>
  <r>
    <x v="4"/>
  </r>
  <r>
    <x v="3"/>
  </r>
  <r>
    <x v="2"/>
  </r>
  <r>
    <x v="7"/>
  </r>
  <r>
    <x v="0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64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I1:I16" firstHeaderRow="1" firstDataRow="1" firstDataCol="1"/>
  <pivotFields count="1">
    <pivotField axis="axisRow" showAll="0">
      <items count="15">
        <item x="0"/>
        <item x="2"/>
        <item x="1"/>
        <item x="6"/>
        <item x="4"/>
        <item x="3"/>
        <item x="5"/>
        <item x="13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63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M3:N11" firstHeaderRow="1" firstDataRow="1" firstDataCol="1" rowPageCount="1" colPageCount="1"/>
  <pivotFields count="4">
    <pivotField axis="axisPage" multipleItemSelectionAllowed="1" showAll="0">
      <items count="24">
        <item h="1" x="7"/>
        <item h="1" x="8"/>
        <item h="1" x="9"/>
        <item h="1" x="0"/>
        <item m="1" x="22"/>
        <item h="1" x="2"/>
        <item h="1" x="3"/>
        <item h="1" x="4"/>
        <item h="1" x="5"/>
        <item h="1" x="6"/>
        <item h="1" x="10"/>
        <item h="1" x="21"/>
        <item h="1" x="1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dataField="1" showAll="0" defaultSubtotal="0"/>
    <pivotField axis="axisRow" showAll="0">
      <items count="11">
        <item x="0"/>
        <item x="1"/>
        <item x="2"/>
        <item x="6"/>
        <item x="4"/>
        <item x="3"/>
        <item x="5"/>
        <item x="9"/>
        <item x="8"/>
        <item x="7"/>
        <item t="default"/>
      </items>
    </pivotField>
  </pivotFields>
  <rowFields count="1">
    <field x="3"/>
  </rowFields>
  <rowItems count="8">
    <i>
      <x/>
    </i>
    <i>
      <x v="2"/>
    </i>
    <i>
      <x v="3"/>
    </i>
    <i>
      <x v="4"/>
    </i>
    <i>
      <x v="5"/>
    </i>
    <i>
      <x v="6"/>
    </i>
    <i>
      <x v="9"/>
    </i>
    <i t="grand">
      <x/>
    </i>
  </rowItems>
  <colItems count="1">
    <i/>
  </colItems>
  <pageFields count="1">
    <pageField fld="0" hier="0"/>
  </pageFields>
  <dataFields count="1">
    <dataField name="求和项:计提（含税含准备金）" fld="2" baseField="3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9"/>
  <sheetViews>
    <sheetView zoomScale="90" zoomScaleNormal="90" workbookViewId="0">
      <selection activeCell="C32" sqref="C32"/>
    </sheetView>
  </sheetViews>
  <sheetFormatPr defaultColWidth="9" defaultRowHeight="13.8"/>
  <cols>
    <col min="1" max="1" width="11.21875" customWidth="1"/>
    <col min="2" max="2" width="18.44140625" customWidth="1"/>
    <col min="3" max="3" width="18.33203125" customWidth="1"/>
    <col min="4" max="4" width="21.109375" customWidth="1"/>
    <col min="5" max="5" width="14.77734375" customWidth="1"/>
    <col min="6" max="6" width="13" customWidth="1"/>
    <col min="7" max="7" width="12.77734375" customWidth="1"/>
    <col min="8" max="8" width="13.33203125" customWidth="1"/>
    <col min="9" max="9" width="12.109375" customWidth="1"/>
    <col min="10" max="10" width="10.33203125" customWidth="1"/>
    <col min="11" max="11" width="12.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9">
      <c r="A2" s="6">
        <v>43131</v>
      </c>
      <c r="B2" s="64">
        <f>SUMIFS('单一计划（含税）'!$C:$C,'单一计划（含税）'!$A:$A,投管汇总校验!A2)*0.92</f>
        <v>63176.43680000001</v>
      </c>
      <c r="C2" s="64">
        <f>SUMIF('集合计划（含税）'!$A:$A,投管汇总校验!A2,'集合计划（含税）'!$D:$D)*0.92</f>
        <v>288667.59039999999</v>
      </c>
      <c r="D2" s="64"/>
      <c r="E2" s="64">
        <f>SUM(B2:D2)</f>
        <v>351844.02720000001</v>
      </c>
      <c r="F2" s="65">
        <v>347835.06</v>
      </c>
      <c r="G2" s="66">
        <f>(E2-F2)/E2</f>
        <v>1.139416016779839E-2</v>
      </c>
      <c r="H2" s="41"/>
    </row>
    <row r="3" spans="1:9">
      <c r="A3" s="6">
        <v>43159</v>
      </c>
      <c r="B3" s="64">
        <f>SUMIFS('单一计划（含税）'!$C:$C,'单一计划（含税）'!$A:$A,投管汇总校验!A3)*0.92</f>
        <v>57328.079600000005</v>
      </c>
      <c r="C3" s="64">
        <f>SUMIF('集合计划（含税）'!$A:$A,投管汇总校验!A3,'集合计划（含税）'!$D:$D)*0.92</f>
        <v>265429.83480000001</v>
      </c>
      <c r="D3" s="64">
        <f>I19</f>
        <v>363880.43</v>
      </c>
      <c r="E3" s="64">
        <f t="shared" ref="E3:E12" si="0">SUM(B3:D3)</f>
        <v>686638.34440000006</v>
      </c>
      <c r="F3" s="65"/>
      <c r="G3" s="66"/>
      <c r="H3" s="41"/>
    </row>
    <row r="4" spans="1:9">
      <c r="A4" s="6">
        <v>43190</v>
      </c>
      <c r="B4" s="64">
        <f>SUMIFS('单一计划（含税）'!$C:$C,'单一计划（含税）'!$A:$A,投管汇总校验!A4)*0.92</f>
        <v>61246.240000000005</v>
      </c>
      <c r="C4" s="64">
        <f>SUMIF('集合计划（含税）'!$A:$A,投管汇总校验!A4,'集合计划（含税）'!$D:$D)*0.92</f>
        <v>280699.85680000001</v>
      </c>
      <c r="D4" s="64"/>
      <c r="E4" s="64">
        <f t="shared" si="0"/>
        <v>341946.0968</v>
      </c>
      <c r="F4" s="65">
        <v>338081.26</v>
      </c>
      <c r="G4" s="66">
        <f t="shared" ref="G4:G13" si="1">(E4-F4)/E4</f>
        <v>1.1302473799724303E-2</v>
      </c>
      <c r="H4" s="41"/>
    </row>
    <row r="5" spans="1:9">
      <c r="A5" s="6">
        <v>43220</v>
      </c>
      <c r="B5" s="64">
        <f>SUMIFS('单一计划（含税）'!$C:$C,'单一计划（含税）'!$A:$A,投管汇总校验!A5)*0.92</f>
        <v>58126.087600000006</v>
      </c>
      <c r="C5" s="64">
        <f>SUMIF('集合计划（含税）'!$A:$A,投管汇总校验!A5,'集合计划（含税）'!$D:$D)*0.92</f>
        <v>284910.66000000003</v>
      </c>
      <c r="D5" s="64"/>
      <c r="E5" s="64">
        <f t="shared" si="0"/>
        <v>343036.74760000006</v>
      </c>
      <c r="F5" s="65">
        <v>339839.55</v>
      </c>
      <c r="G5" s="66">
        <f t="shared" si="1"/>
        <v>9.3202772658286231E-3</v>
      </c>
      <c r="H5" s="41"/>
    </row>
    <row r="6" spans="1:9">
      <c r="A6" s="6">
        <v>43251</v>
      </c>
      <c r="B6" s="64">
        <f>SUMIFS('单一计划（含税）'!$C:$C,'单一计划（含税）'!$A:$A,投管汇总校验!A6)*0.92</f>
        <v>60798.715199999999</v>
      </c>
      <c r="C6" s="64">
        <f>SUMIF('集合计划（含税）'!$A:$A,投管汇总校验!A6,'集合计划（含税）'!$D:$D)*0.92</f>
        <v>304296.29280000005</v>
      </c>
      <c r="D6" s="64"/>
      <c r="E6" s="64">
        <f t="shared" si="0"/>
        <v>365095.00800000003</v>
      </c>
      <c r="F6" s="65">
        <v>361910.65</v>
      </c>
      <c r="G6" s="66">
        <f t="shared" si="1"/>
        <v>8.7219981928649305E-3</v>
      </c>
      <c r="H6" s="41"/>
    </row>
    <row r="7" spans="1:9">
      <c r="A7" s="6">
        <v>43281</v>
      </c>
      <c r="B7" s="64">
        <f>SUMIFS('单一计划（含税）'!$C:$C,'单一计划（含税）'!$A:$A,投管汇总校验!A7)*0.92</f>
        <v>58456.7264</v>
      </c>
      <c r="C7" s="64">
        <f>SUMIF('集合计划（含税）'!$A:$A,投管汇总校验!A7,'集合计划（含税）'!$D:$D)*0.92</f>
        <v>291504.92560000002</v>
      </c>
      <c r="D7" s="64">
        <f>I18</f>
        <v>244389.77</v>
      </c>
      <c r="E7" s="64">
        <f t="shared" si="0"/>
        <v>594351.42200000002</v>
      </c>
      <c r="F7" s="65"/>
      <c r="G7" s="66"/>
      <c r="H7" s="41"/>
    </row>
    <row r="8" spans="1:9">
      <c r="A8" s="6">
        <v>43312</v>
      </c>
      <c r="B8" s="64">
        <f>SUMIFS('单一计划（含税）'!$C:$C,'单一计划（含税）'!$A:$A,投管汇总校验!A8)*0.92</f>
        <v>59961.634800000007</v>
      </c>
      <c r="C8" s="64">
        <f>SUMIF('集合计划（含税）'!$A:$A,投管汇总校验!A8,'集合计划（含税）'!$D:$D)*0.92</f>
        <v>305642.40919999999</v>
      </c>
      <c r="D8" s="64"/>
      <c r="E8" s="64">
        <f t="shared" si="0"/>
        <v>365604.04399999999</v>
      </c>
      <c r="F8" s="65">
        <v>362604.3</v>
      </c>
      <c r="G8" s="66">
        <f t="shared" si="1"/>
        <v>8.2048983024925349E-3</v>
      </c>
      <c r="H8" s="41"/>
    </row>
    <row r="9" spans="1:9">
      <c r="A9" s="6">
        <v>43343</v>
      </c>
      <c r="B9" s="64">
        <f>SUMIFS('单一计划（含税）'!$C:$C,'单一计划（含税）'!$A:$A,投管汇总校验!A9)*0.92</f>
        <v>59283.061200000004</v>
      </c>
      <c r="C9" s="64">
        <f>SUMIF('集合计划（含税）'!$A:$A,投管汇总校验!A9,'集合计划（含税）'!$D:$D)*0.92</f>
        <v>309798.24239999999</v>
      </c>
      <c r="D9" s="64"/>
      <c r="E9" s="64">
        <f t="shared" si="0"/>
        <v>369081.30359999998</v>
      </c>
      <c r="F9" s="65">
        <v>366309.16</v>
      </c>
      <c r="G9" s="66">
        <f t="shared" si="1"/>
        <v>7.5109293615272972E-3</v>
      </c>
      <c r="H9" s="41"/>
    </row>
    <row r="10" spans="1:9">
      <c r="A10" s="6">
        <v>43373</v>
      </c>
      <c r="B10" s="64">
        <f>SUMIFS('单一计划（含税）'!$C:$C,'单一计划（含税）'!$A:$A,投管汇总校验!A10)*0.92</f>
        <v>52422.069200000005</v>
      </c>
      <c r="C10" s="64">
        <f>SUMIF('集合计划（含税）'!$A:$A,投管汇总校验!A10,'集合计划（含税）'!$D:$D)*0.92</f>
        <v>297295.49760000006</v>
      </c>
      <c r="D10" s="64"/>
      <c r="E10" s="64">
        <f t="shared" si="0"/>
        <v>349717.56680000009</v>
      </c>
      <c r="F10" s="65">
        <v>347860.08</v>
      </c>
      <c r="G10" s="66">
        <f t="shared" si="1"/>
        <v>5.311391180593308E-3</v>
      </c>
      <c r="H10" s="41"/>
    </row>
    <row r="11" spans="1:9">
      <c r="A11" s="6">
        <v>43404</v>
      </c>
      <c r="B11" s="64">
        <f>SUMIFS('单一计划（含税）'!$C:$C,'单一计划（含税）'!$A:$A,投管汇总校验!A11)*0.92</f>
        <v>55277.004000000001</v>
      </c>
      <c r="C11" s="64">
        <f>SUMIF('集合计划（含税）'!$A:$A,投管汇总校验!A11,'集合计划（含税）'!$D:$D)*0.92</f>
        <v>314032.41360000003</v>
      </c>
      <c r="D11" s="64"/>
      <c r="E11" s="64">
        <f t="shared" si="0"/>
        <v>369309.41760000004</v>
      </c>
      <c r="F11" s="65">
        <v>367364.66</v>
      </c>
      <c r="G11" s="66">
        <f t="shared" si="1"/>
        <v>5.2659301586141568E-3</v>
      </c>
      <c r="H11" s="41"/>
    </row>
    <row r="12" spans="1:9">
      <c r="A12" s="6">
        <v>43434</v>
      </c>
      <c r="B12" s="64">
        <f>SUMIFS('单一计划（含税）'!$C:$C,'单一计划（含税）'!$A:$A,投管汇总校验!A12)*0.92</f>
        <v>53121.0484</v>
      </c>
      <c r="C12" s="64">
        <f>SUMIF('集合计划（含税）'!$A:$A,投管汇总校验!A12,'集合计划（含税）'!$D:$D)*0.92</f>
        <v>310963.74440000003</v>
      </c>
      <c r="D12" s="64"/>
      <c r="E12" s="64">
        <f t="shared" si="0"/>
        <v>364084.79280000005</v>
      </c>
      <c r="F12" s="65">
        <v>362449.33</v>
      </c>
      <c r="G12" s="66">
        <f t="shared" si="1"/>
        <v>4.4919832751664363E-3</v>
      </c>
      <c r="H12" s="41"/>
    </row>
    <row r="13" spans="1:9">
      <c r="A13" s="6">
        <v>43465</v>
      </c>
      <c r="B13" s="64">
        <f>SUMIFS('单一计划（含税）'!$C:$C,'单一计划（含税）'!$A:$A,投管汇总校验!A13)*0.92</f>
        <v>53021.872400000007</v>
      </c>
      <c r="C13" s="64">
        <f>SUMIF('集合计划（含税）'!$A:$A,投管汇总校验!A13,'集合计划（含税）'!$D:$D)*0.92</f>
        <v>313352.71760000003</v>
      </c>
      <c r="D13" s="64"/>
      <c r="E13" s="64">
        <f t="shared" ref="E13" si="2">SUM(B13:D13)</f>
        <v>366374.59</v>
      </c>
      <c r="F13" s="65">
        <v>356805.88</v>
      </c>
      <c r="G13" s="66">
        <f t="shared" si="1"/>
        <v>2.6117286136028213E-2</v>
      </c>
      <c r="H13" s="41"/>
    </row>
    <row r="14" spans="1:9">
      <c r="A14" t="s">
        <v>8</v>
      </c>
      <c r="B14" s="41">
        <f>SUM(B2:B13)</f>
        <v>692218.97559999989</v>
      </c>
      <c r="C14" s="41">
        <f>SUM(C2:C13)</f>
        <v>3566594.1851999997</v>
      </c>
      <c r="D14" s="41">
        <f t="shared" ref="D14:E14" si="3">SUM(D2:D13)</f>
        <v>608270.19999999995</v>
      </c>
      <c r="E14" s="41">
        <f t="shared" si="3"/>
        <v>4867083.3608000008</v>
      </c>
      <c r="G14" s="41">
        <f>E14/10000</f>
        <v>486.70833608000009</v>
      </c>
    </row>
    <row r="15" spans="1:9">
      <c r="G15">
        <f>529.52</f>
        <v>529.52</v>
      </c>
      <c r="H15" s="41">
        <f>G14-G15</f>
        <v>-42.811663919999887</v>
      </c>
      <c r="I15" s="66">
        <f>H15/G15</f>
        <v>-8.0849946970841302E-2</v>
      </c>
    </row>
    <row r="17" spans="2:13">
      <c r="B17" t="s">
        <v>0</v>
      </c>
      <c r="C17" s="5" t="s">
        <v>9</v>
      </c>
      <c r="D17" s="5" t="s">
        <v>10</v>
      </c>
      <c r="E17" s="5" t="s">
        <v>11</v>
      </c>
      <c r="F17" s="5" t="s">
        <v>12</v>
      </c>
      <c r="G17" s="4" t="s">
        <v>13</v>
      </c>
      <c r="H17" s="4" t="s">
        <v>14</v>
      </c>
      <c r="I17" s="4" t="s">
        <v>15</v>
      </c>
      <c r="J17" s="4" t="s">
        <v>16</v>
      </c>
      <c r="K17" s="4" t="s">
        <v>17</v>
      </c>
    </row>
    <row r="18" spans="2:13">
      <c r="B18" s="6">
        <v>43281</v>
      </c>
      <c r="C18" s="5" t="s">
        <v>18</v>
      </c>
      <c r="D18" s="5">
        <v>174</v>
      </c>
      <c r="E18" s="5" t="s">
        <v>19</v>
      </c>
      <c r="F18" s="5">
        <v>4340</v>
      </c>
      <c r="G18" s="4">
        <v>323816.45</v>
      </c>
      <c r="H18" s="4">
        <v>259053.16</v>
      </c>
      <c r="I18" s="4">
        <v>244389.77</v>
      </c>
      <c r="J18" s="4">
        <v>14663.39</v>
      </c>
      <c r="K18" s="4">
        <v>64763.29</v>
      </c>
      <c r="L18" s="66">
        <f>J18/H18</f>
        <v>5.6603787423399887E-2</v>
      </c>
      <c r="M18">
        <f>I18/G18</f>
        <v>0.75471697006128002</v>
      </c>
    </row>
    <row r="19" spans="2:13">
      <c r="B19" s="6">
        <v>43159</v>
      </c>
      <c r="C19" s="5" t="s">
        <v>20</v>
      </c>
      <c r="D19" s="5">
        <v>127</v>
      </c>
      <c r="E19" s="5" t="s">
        <v>19</v>
      </c>
      <c r="F19" s="5">
        <v>4340</v>
      </c>
      <c r="G19" s="5">
        <v>482141.58</v>
      </c>
      <c r="H19" s="5">
        <v>385713.26</v>
      </c>
      <c r="I19" s="5">
        <v>363880.43</v>
      </c>
      <c r="J19" s="5">
        <v>21832.83</v>
      </c>
      <c r="K19" s="5">
        <v>96428.32</v>
      </c>
      <c r="L19" s="66">
        <f>J19/H19</f>
        <v>5.6603783857469669E-2</v>
      </c>
      <c r="M19">
        <f>I19/G19</f>
        <v>0.75471696508730901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3"/>
  <sheetViews>
    <sheetView workbookViewId="0">
      <pane ySplit="3" topLeftCell="A19" activePane="bottomLeft" state="frozen"/>
      <selection pane="bottomLeft" activeCell="B42" sqref="B42:F42"/>
    </sheetView>
  </sheetViews>
  <sheetFormatPr defaultColWidth="9" defaultRowHeight="13.8"/>
  <cols>
    <col min="1" max="1" width="11.21875" customWidth="1"/>
    <col min="2" max="2" width="12.109375" customWidth="1"/>
    <col min="3" max="4" width="16.44140625" style="64" customWidth="1"/>
    <col min="5" max="8" width="19.21875" style="64" customWidth="1"/>
    <col min="10" max="10" width="11.6640625" bestFit="1" customWidth="1"/>
    <col min="11" max="11" width="15.109375" customWidth="1"/>
    <col min="12" max="12" width="11.6640625" customWidth="1"/>
  </cols>
  <sheetData>
    <row r="1" spans="1:13" ht="17.399999999999999">
      <c r="A1" t="s">
        <v>0</v>
      </c>
      <c r="B1" s="61" t="s">
        <v>21</v>
      </c>
      <c r="C1" s="28" t="s">
        <v>15</v>
      </c>
      <c r="D1" s="28" t="s">
        <v>22</v>
      </c>
      <c r="E1" s="28" t="s">
        <v>23</v>
      </c>
      <c r="F1" s="28" t="s">
        <v>24</v>
      </c>
      <c r="G1" s="116" t="s">
        <v>548</v>
      </c>
      <c r="H1" s="116" t="s">
        <v>549</v>
      </c>
      <c r="L1" t="s">
        <v>25</v>
      </c>
      <c r="M1" t="s">
        <v>26</v>
      </c>
    </row>
    <row r="2" spans="1:13">
      <c r="A2" s="6">
        <v>43131</v>
      </c>
      <c r="C2" s="64">
        <v>347835.06</v>
      </c>
      <c r="D2" s="64">
        <v>22202.2378723404</v>
      </c>
      <c r="E2" s="64">
        <v>56268.177872340399</v>
      </c>
      <c r="F2" s="64">
        <v>313769.12</v>
      </c>
      <c r="G2" s="117">
        <f>YEAR(A2)</f>
        <v>2018</v>
      </c>
      <c r="H2" s="117">
        <f>MONTH(A2)</f>
        <v>1</v>
      </c>
      <c r="I2" s="41">
        <f t="shared" ref="I2:I25" si="0">D2/(C2+D2)</f>
        <v>5.9999999999999928E-2</v>
      </c>
      <c r="K2" s="64"/>
      <c r="L2" s="41"/>
    </row>
    <row r="3" spans="1:13">
      <c r="A3" s="6">
        <v>43159</v>
      </c>
      <c r="C3" s="64">
        <v>683089.09</v>
      </c>
      <c r="D3" s="64">
        <v>43601.4312765957</v>
      </c>
      <c r="E3" s="64">
        <v>438179.831276596</v>
      </c>
      <c r="F3" s="64">
        <v>288510.69</v>
      </c>
      <c r="G3" s="117">
        <f t="shared" ref="G3:G39" si="1">YEAR(A3)</f>
        <v>2018</v>
      </c>
      <c r="H3" s="117">
        <f t="shared" ref="H3:H39" si="2">MONTH(A3)</f>
        <v>2</v>
      </c>
      <c r="I3" s="41">
        <f t="shared" si="0"/>
        <v>5.9999999999999949E-2</v>
      </c>
      <c r="K3" s="64"/>
      <c r="L3" s="41"/>
      <c r="M3" t="s">
        <v>27</v>
      </c>
    </row>
    <row r="4" spans="1:13">
      <c r="A4" s="6">
        <v>43190</v>
      </c>
      <c r="C4" s="64">
        <v>338081.26</v>
      </c>
      <c r="D4" s="64">
        <v>21579.654893617</v>
      </c>
      <c r="E4" s="64">
        <v>54552.374893617103</v>
      </c>
      <c r="F4" s="64">
        <v>305108.53999999998</v>
      </c>
      <c r="G4" s="117">
        <f t="shared" si="1"/>
        <v>2018</v>
      </c>
      <c r="H4" s="117">
        <f t="shared" si="2"/>
        <v>3</v>
      </c>
      <c r="I4" s="41">
        <f t="shared" si="0"/>
        <v>5.9999999999999935E-2</v>
      </c>
      <c r="K4" s="64"/>
      <c r="L4" s="41"/>
    </row>
    <row r="5" spans="1:13">
      <c r="A5" s="6">
        <v>43220</v>
      </c>
      <c r="C5" s="64">
        <v>339839.55</v>
      </c>
      <c r="D5" s="64">
        <v>21691.886170212802</v>
      </c>
      <c r="E5" s="64">
        <v>51845.936170212699</v>
      </c>
      <c r="F5" s="64">
        <v>309685.5</v>
      </c>
      <c r="G5" s="117">
        <f t="shared" si="1"/>
        <v>2018</v>
      </c>
      <c r="H5" s="117">
        <f t="shared" si="2"/>
        <v>4</v>
      </c>
      <c r="I5" s="41">
        <f t="shared" si="0"/>
        <v>6.0000000000000088E-2</v>
      </c>
      <c r="K5" s="64"/>
      <c r="L5" s="41"/>
    </row>
    <row r="6" spans="1:13">
      <c r="A6" s="6">
        <v>43251</v>
      </c>
      <c r="C6" s="64">
        <v>361910.65</v>
      </c>
      <c r="D6" s="64">
        <v>23100.679787233999</v>
      </c>
      <c r="E6" s="64">
        <v>54254.489787234103</v>
      </c>
      <c r="F6" s="64">
        <v>330756.84000000003</v>
      </c>
      <c r="G6" s="117">
        <f t="shared" si="1"/>
        <v>2018</v>
      </c>
      <c r="H6" s="117">
        <f t="shared" si="2"/>
        <v>5</v>
      </c>
      <c r="I6" s="41">
        <f t="shared" si="0"/>
        <v>5.9999999999999894E-2</v>
      </c>
      <c r="K6" s="64"/>
      <c r="L6" s="41"/>
    </row>
    <row r="7" spans="1:13">
      <c r="A7" s="6">
        <v>43281</v>
      </c>
      <c r="C7" s="64">
        <v>591262.52</v>
      </c>
      <c r="D7" s="64">
        <v>37740.160851063803</v>
      </c>
      <c r="E7" s="64">
        <v>312149.50085106399</v>
      </c>
      <c r="F7" s="64">
        <v>316853.18</v>
      </c>
      <c r="G7" s="117">
        <f t="shared" si="1"/>
        <v>2018</v>
      </c>
      <c r="H7" s="117">
        <f t="shared" si="2"/>
        <v>6</v>
      </c>
      <c r="I7" s="41">
        <f t="shared" si="0"/>
        <v>5.9999999999999963E-2</v>
      </c>
      <c r="K7" s="64"/>
      <c r="L7" s="41"/>
    </row>
    <row r="8" spans="1:13">
      <c r="A8" s="6">
        <v>43312</v>
      </c>
      <c r="C8" s="64">
        <v>362604.3</v>
      </c>
      <c r="D8" s="64">
        <v>23144.955319148899</v>
      </c>
      <c r="E8" s="64">
        <v>53529.245319148897</v>
      </c>
      <c r="F8" s="64">
        <v>332220.01</v>
      </c>
      <c r="G8" s="117">
        <f t="shared" si="1"/>
        <v>2018</v>
      </c>
      <c r="H8" s="117">
        <f t="shared" si="2"/>
        <v>7</v>
      </c>
      <c r="I8" s="41">
        <f t="shared" si="0"/>
        <v>5.9999999999999915E-2</v>
      </c>
      <c r="K8" s="64"/>
      <c r="L8" s="41"/>
    </row>
    <row r="9" spans="1:13">
      <c r="A9" s="6">
        <v>43343</v>
      </c>
      <c r="C9" s="64">
        <v>366309.16</v>
      </c>
      <c r="D9" s="64">
        <v>23381.435744680799</v>
      </c>
      <c r="E9" s="64">
        <v>52953.375744680903</v>
      </c>
      <c r="F9" s="64">
        <v>336737.22</v>
      </c>
      <c r="G9" s="117">
        <f t="shared" si="1"/>
        <v>2018</v>
      </c>
      <c r="H9" s="117">
        <f t="shared" si="2"/>
        <v>8</v>
      </c>
      <c r="I9" s="41">
        <f t="shared" si="0"/>
        <v>5.9999999999999873E-2</v>
      </c>
      <c r="K9" s="64"/>
      <c r="L9" s="41"/>
    </row>
    <row r="10" spans="1:13">
      <c r="A10" s="6">
        <v>43373</v>
      </c>
      <c r="C10" s="64">
        <v>347860.08</v>
      </c>
      <c r="D10" s="64">
        <v>22203.834893617</v>
      </c>
      <c r="E10" s="64">
        <v>46916.634893617098</v>
      </c>
      <c r="F10" s="64">
        <v>323147.28000000003</v>
      </c>
      <c r="G10" s="117">
        <f t="shared" si="1"/>
        <v>2018</v>
      </c>
      <c r="H10" s="117">
        <f t="shared" si="2"/>
        <v>9</v>
      </c>
      <c r="I10" s="41">
        <f t="shared" si="0"/>
        <v>5.9999999999999942E-2</v>
      </c>
      <c r="K10" s="64"/>
      <c r="L10" s="41"/>
    </row>
    <row r="11" spans="1:13">
      <c r="A11" s="6">
        <v>43404</v>
      </c>
      <c r="C11" s="64">
        <v>367364.66</v>
      </c>
      <c r="D11" s="64">
        <v>23448.808085106401</v>
      </c>
      <c r="E11" s="64">
        <v>49473.8880851063</v>
      </c>
      <c r="F11" s="64">
        <v>341339.58</v>
      </c>
      <c r="G11" s="117">
        <f t="shared" si="1"/>
        <v>2018</v>
      </c>
      <c r="H11" s="117">
        <f t="shared" si="2"/>
        <v>10</v>
      </c>
      <c r="I11" s="41">
        <f t="shared" si="0"/>
        <v>6.0000000000000053E-2</v>
      </c>
      <c r="K11" s="64"/>
      <c r="L11" s="41"/>
    </row>
    <row r="12" spans="1:13">
      <c r="A12" s="6">
        <v>43434</v>
      </c>
      <c r="C12" s="64">
        <v>362449.33</v>
      </c>
      <c r="D12" s="64">
        <v>23135.0636170213</v>
      </c>
      <c r="E12" s="64">
        <v>47580.323617021197</v>
      </c>
      <c r="F12" s="64">
        <v>338004.07</v>
      </c>
      <c r="G12" s="117">
        <f t="shared" si="1"/>
        <v>2018</v>
      </c>
      <c r="H12" s="117">
        <f t="shared" si="2"/>
        <v>11</v>
      </c>
      <c r="I12" s="41">
        <f t="shared" si="0"/>
        <v>6.0000000000000053E-2</v>
      </c>
      <c r="K12" s="64"/>
      <c r="L12" s="41"/>
    </row>
    <row r="13" spans="1:13">
      <c r="A13" s="6">
        <v>43465</v>
      </c>
      <c r="C13" s="64">
        <v>826629.77</v>
      </c>
      <c r="D13" s="64">
        <v>52763.602340425503</v>
      </c>
      <c r="E13" s="64">
        <v>547893.37234042597</v>
      </c>
      <c r="F13" s="64">
        <v>331500</v>
      </c>
      <c r="G13" s="117">
        <f t="shared" si="1"/>
        <v>2018</v>
      </c>
      <c r="H13" s="117">
        <f t="shared" si="2"/>
        <v>12</v>
      </c>
      <c r="I13" s="41">
        <f t="shared" si="0"/>
        <v>5.999999999999997E-2</v>
      </c>
      <c r="K13" s="64"/>
      <c r="L13" s="41"/>
    </row>
    <row r="14" spans="1:13">
      <c r="A14" s="6">
        <v>43496</v>
      </c>
      <c r="B14" t="s">
        <v>19</v>
      </c>
      <c r="C14" s="64">
        <v>421225.21</v>
      </c>
      <c r="D14" s="64">
        <v>26886.715531914899</v>
      </c>
      <c r="E14" s="64">
        <v>84365.995531914901</v>
      </c>
      <c r="F14" s="64">
        <v>363745.93</v>
      </c>
      <c r="G14" s="117">
        <f t="shared" si="1"/>
        <v>2019</v>
      </c>
      <c r="H14" s="117">
        <f t="shared" si="2"/>
        <v>1</v>
      </c>
      <c r="I14" s="41">
        <f t="shared" si="0"/>
        <v>6.0000000000000005E-2</v>
      </c>
      <c r="J14" s="41">
        <f>F14*(1-I14)</f>
        <v>341921.17419999995</v>
      </c>
      <c r="K14" s="64"/>
      <c r="L14" s="41"/>
    </row>
    <row r="15" spans="1:13" ht="17.399999999999999">
      <c r="A15" s="6">
        <v>43524</v>
      </c>
      <c r="B15" s="62" t="s">
        <v>19</v>
      </c>
      <c r="C15" s="63">
        <v>351188.71</v>
      </c>
      <c r="D15" s="32">
        <v>21071.32</v>
      </c>
      <c r="E15" s="32">
        <v>68260.960000000006</v>
      </c>
      <c r="F15" s="32">
        <v>303999.07</v>
      </c>
      <c r="G15" s="117">
        <f t="shared" si="1"/>
        <v>2019</v>
      </c>
      <c r="H15" s="117">
        <f t="shared" si="2"/>
        <v>2</v>
      </c>
      <c r="I15" s="41">
        <f t="shared" si="0"/>
        <v>5.6603766995881877E-2</v>
      </c>
      <c r="J15" s="41">
        <f t="shared" ref="J15:J25" si="3">F15*(1-I15)</f>
        <v>286791.57747475524</v>
      </c>
      <c r="K15" s="64"/>
      <c r="L15" s="41"/>
    </row>
    <row r="16" spans="1:13" ht="17.399999999999999">
      <c r="A16" s="6">
        <v>43555</v>
      </c>
      <c r="B16" s="62" t="s">
        <v>19</v>
      </c>
      <c r="C16" s="63">
        <v>411925.08</v>
      </c>
      <c r="D16" s="32">
        <v>24715.51</v>
      </c>
      <c r="E16" s="32">
        <v>80287.789999999994</v>
      </c>
      <c r="F16" s="32">
        <v>356352.8</v>
      </c>
      <c r="G16" s="117">
        <f t="shared" si="1"/>
        <v>2019</v>
      </c>
      <c r="H16" s="117">
        <f t="shared" si="2"/>
        <v>3</v>
      </c>
      <c r="I16" s="41">
        <f t="shared" si="0"/>
        <v>5.6603784819913322E-2</v>
      </c>
      <c r="J16" s="41">
        <f t="shared" si="3"/>
        <v>336181.88278882636</v>
      </c>
      <c r="K16" s="64"/>
      <c r="L16" s="41"/>
    </row>
    <row r="17" spans="1:11" ht="17.399999999999999">
      <c r="A17" s="6">
        <v>43585</v>
      </c>
      <c r="B17" s="62" t="s">
        <v>19</v>
      </c>
      <c r="C17" s="63">
        <v>399229.73</v>
      </c>
      <c r="D17" s="32">
        <v>23953.78</v>
      </c>
      <c r="E17" s="32">
        <v>78831.259999999995</v>
      </c>
      <c r="F17" s="32">
        <v>344352.25</v>
      </c>
      <c r="G17" s="117">
        <f t="shared" si="1"/>
        <v>2019</v>
      </c>
      <c r="H17" s="117">
        <f t="shared" si="2"/>
        <v>4</v>
      </c>
      <c r="I17" s="41">
        <f t="shared" si="0"/>
        <v>5.660376511362647E-2</v>
      </c>
      <c r="J17" s="41">
        <f t="shared" si="3"/>
        <v>324860.61612465122</v>
      </c>
    </row>
    <row r="18" spans="1:11" ht="17.399999999999999">
      <c r="A18" s="6">
        <v>43616</v>
      </c>
      <c r="B18" s="62" t="s">
        <v>19</v>
      </c>
      <c r="C18" s="63">
        <v>408455.46</v>
      </c>
      <c r="D18" s="32">
        <v>24507.33</v>
      </c>
      <c r="E18" s="32">
        <v>81477.22</v>
      </c>
      <c r="F18" s="32">
        <v>351485.57</v>
      </c>
      <c r="G18" s="117">
        <f t="shared" si="1"/>
        <v>2019</v>
      </c>
      <c r="H18" s="117">
        <f t="shared" si="2"/>
        <v>5</v>
      </c>
      <c r="I18" s="41">
        <f t="shared" si="0"/>
        <v>5.6603778814341067E-2</v>
      </c>
      <c r="J18" s="41">
        <f t="shared" si="3"/>
        <v>331590.1585392874</v>
      </c>
    </row>
    <row r="19" spans="1:11" ht="17.399999999999999">
      <c r="A19" s="6">
        <v>43646</v>
      </c>
      <c r="B19" s="79" t="s">
        <v>19</v>
      </c>
      <c r="C19" s="80">
        <v>398400.87</v>
      </c>
      <c r="D19" s="81">
        <v>23904.05</v>
      </c>
      <c r="E19" s="81">
        <v>78276.929999999993</v>
      </c>
      <c r="F19" s="81">
        <v>344027.99</v>
      </c>
      <c r="G19" s="117">
        <f t="shared" si="1"/>
        <v>2019</v>
      </c>
      <c r="H19" s="117">
        <f t="shared" si="2"/>
        <v>6</v>
      </c>
      <c r="I19" s="41">
        <f t="shared" si="0"/>
        <v>5.6603768670277395E-2</v>
      </c>
      <c r="J19" s="41">
        <f t="shared" si="3"/>
        <v>324554.7092379395</v>
      </c>
    </row>
    <row r="20" spans="1:11" ht="17.399999999999999">
      <c r="A20" s="6">
        <v>43677</v>
      </c>
      <c r="B20" s="79" t="s">
        <v>19</v>
      </c>
      <c r="C20" s="80">
        <v>414722.42</v>
      </c>
      <c r="D20" s="81">
        <v>24883.34</v>
      </c>
      <c r="E20" s="81">
        <v>78388.98</v>
      </c>
      <c r="F20" s="81">
        <v>361216.78</v>
      </c>
      <c r="G20" s="117">
        <f t="shared" si="1"/>
        <v>2019</v>
      </c>
      <c r="H20" s="117">
        <f t="shared" si="2"/>
        <v>7</v>
      </c>
      <c r="I20" s="41">
        <f t="shared" si="0"/>
        <v>5.6603762425678862E-2</v>
      </c>
      <c r="J20" s="41">
        <f t="shared" si="3"/>
        <v>340770.55120071128</v>
      </c>
    </row>
    <row r="21" spans="1:11" ht="17.399999999999999">
      <c r="A21" s="6">
        <v>43708</v>
      </c>
      <c r="B21" s="79" t="s">
        <v>19</v>
      </c>
      <c r="C21" s="80">
        <v>414400.03</v>
      </c>
      <c r="D21" s="81">
        <v>24864</v>
      </c>
      <c r="E21" s="81">
        <v>77449.460000000006</v>
      </c>
      <c r="F21" s="81">
        <v>361814.57</v>
      </c>
      <c r="G21" s="117">
        <f t="shared" si="1"/>
        <v>2019</v>
      </c>
      <c r="H21" s="117">
        <f t="shared" si="2"/>
        <v>8</v>
      </c>
      <c r="I21" s="41">
        <f t="shared" si="0"/>
        <v>5.6603769719091271E-2</v>
      </c>
      <c r="J21" s="41">
        <f t="shared" si="3"/>
        <v>341334.50139870797</v>
      </c>
    </row>
    <row r="22" spans="1:11">
      <c r="A22" s="6">
        <v>43738</v>
      </c>
      <c r="C22" s="64">
        <v>413561.85</v>
      </c>
      <c r="D22" s="64">
        <v>24813.71</v>
      </c>
      <c r="E22" s="64">
        <v>77398.05</v>
      </c>
      <c r="F22" s="64">
        <v>360977.51</v>
      </c>
      <c r="G22" s="117">
        <f t="shared" si="1"/>
        <v>2019</v>
      </c>
      <c r="H22" s="117">
        <f t="shared" si="2"/>
        <v>9</v>
      </c>
      <c r="I22" s="41">
        <f t="shared" si="0"/>
        <v>5.6603771432878237E-2</v>
      </c>
      <c r="J22" s="41">
        <f t="shared" si="3"/>
        <v>340544.82153155049</v>
      </c>
    </row>
    <row r="23" spans="1:11">
      <c r="A23" s="6">
        <v>43769</v>
      </c>
      <c r="C23" s="64">
        <v>440862.81</v>
      </c>
      <c r="D23" s="64">
        <v>26451.77</v>
      </c>
      <c r="E23" s="64">
        <v>87948.92</v>
      </c>
      <c r="F23" s="64">
        <v>379365.66000000003</v>
      </c>
      <c r="G23" s="117">
        <f t="shared" si="1"/>
        <v>2019</v>
      </c>
      <c r="H23" s="117">
        <f t="shared" si="2"/>
        <v>10</v>
      </c>
      <c r="I23" s="41">
        <f t="shared" si="0"/>
        <v>5.6603776411170391E-2</v>
      </c>
      <c r="J23" s="41">
        <f t="shared" si="3"/>
        <v>357892.13100328395</v>
      </c>
    </row>
    <row r="24" spans="1:11">
      <c r="A24" s="6">
        <v>43799</v>
      </c>
      <c r="C24" s="64">
        <v>396626.98</v>
      </c>
      <c r="D24" s="64">
        <v>23797.62</v>
      </c>
      <c r="E24" s="64">
        <v>66834.86</v>
      </c>
      <c r="F24" s="64">
        <v>353589.74000000005</v>
      </c>
      <c r="G24" s="117">
        <f t="shared" si="1"/>
        <v>2019</v>
      </c>
      <c r="H24" s="117">
        <f t="shared" si="2"/>
        <v>11</v>
      </c>
      <c r="I24" s="41">
        <f t="shared" si="0"/>
        <v>5.6603776277601263E-2</v>
      </c>
      <c r="J24" s="41">
        <f t="shared" si="3"/>
        <v>333575.22546298482</v>
      </c>
    </row>
    <row r="25" spans="1:11">
      <c r="A25" s="6">
        <v>43830</v>
      </c>
      <c r="C25" s="64">
        <v>414163.78</v>
      </c>
      <c r="D25" s="64">
        <v>24849.83</v>
      </c>
      <c r="E25" s="64">
        <v>68923.81</v>
      </c>
      <c r="F25" s="64">
        <v>370089.8</v>
      </c>
      <c r="G25" s="117">
        <f t="shared" si="1"/>
        <v>2019</v>
      </c>
      <c r="H25" s="117">
        <f t="shared" si="2"/>
        <v>12</v>
      </c>
      <c r="I25" s="41">
        <f t="shared" si="0"/>
        <v>5.6603780461384784E-2</v>
      </c>
      <c r="J25" s="41">
        <f t="shared" si="3"/>
        <v>349141.31820980215</v>
      </c>
      <c r="K25" s="41">
        <f>SUM(J14:J25)</f>
        <v>4009158.6671725004</v>
      </c>
    </row>
    <row r="26" spans="1:11">
      <c r="A26" s="6">
        <v>43830</v>
      </c>
      <c r="C26" s="100">
        <v>1049983.3999999999</v>
      </c>
      <c r="D26" s="100">
        <v>62999</v>
      </c>
      <c r="E26" s="100">
        <v>1112982.3999999999</v>
      </c>
      <c r="F26" s="100"/>
      <c r="G26" s="117">
        <f t="shared" si="1"/>
        <v>2019</v>
      </c>
      <c r="H26" s="117">
        <f t="shared" si="2"/>
        <v>12</v>
      </c>
      <c r="I26" s="98" t="s">
        <v>176</v>
      </c>
    </row>
    <row r="27" spans="1:11">
      <c r="A27" s="6">
        <v>43830</v>
      </c>
      <c r="C27" s="100">
        <v>19095.88</v>
      </c>
      <c r="D27" s="100">
        <v>1145.75</v>
      </c>
      <c r="E27" s="100">
        <v>3014.94</v>
      </c>
      <c r="F27" s="100">
        <v>17226.689999999991</v>
      </c>
      <c r="G27" s="117">
        <f t="shared" si="1"/>
        <v>2019</v>
      </c>
      <c r="H27" s="117">
        <f t="shared" si="2"/>
        <v>12</v>
      </c>
      <c r="I27" s="98" t="s">
        <v>177</v>
      </c>
    </row>
    <row r="28" spans="1:11">
      <c r="A28" s="6">
        <v>43861</v>
      </c>
      <c r="C28" s="100">
        <v>434162.57</v>
      </c>
      <c r="D28" s="100">
        <v>26049.75</v>
      </c>
      <c r="E28" s="100">
        <v>77945.960000000006</v>
      </c>
      <c r="F28" s="100">
        <v>382266.36</v>
      </c>
      <c r="G28" s="117">
        <f t="shared" si="1"/>
        <v>2020</v>
      </c>
      <c r="H28" s="117">
        <f t="shared" si="2"/>
        <v>1</v>
      </c>
    </row>
    <row r="29" spans="1:11">
      <c r="A29" s="6">
        <v>43890</v>
      </c>
      <c r="C29" s="100">
        <v>434567.69</v>
      </c>
      <c r="D29" s="100">
        <v>26074.06</v>
      </c>
      <c r="E29" s="100">
        <v>75072.070000000007</v>
      </c>
      <c r="F29" s="100">
        <v>385569.68000000005</v>
      </c>
      <c r="G29" s="117">
        <f t="shared" si="1"/>
        <v>2020</v>
      </c>
      <c r="H29" s="117">
        <f t="shared" si="2"/>
        <v>2</v>
      </c>
    </row>
    <row r="30" spans="1:11">
      <c r="A30" s="6">
        <v>43921</v>
      </c>
      <c r="C30" s="100">
        <v>471784.14</v>
      </c>
      <c r="D30" s="100">
        <v>28307.05</v>
      </c>
      <c r="E30" s="100">
        <v>83352.19</v>
      </c>
      <c r="F30" s="100">
        <v>416739.00000000006</v>
      </c>
      <c r="G30" s="117">
        <f t="shared" si="1"/>
        <v>2020</v>
      </c>
      <c r="H30" s="117">
        <f t="shared" si="2"/>
        <v>3</v>
      </c>
    </row>
    <row r="31" spans="1:11">
      <c r="A31" s="6">
        <v>43951</v>
      </c>
      <c r="C31" s="98">
        <v>448405.89</v>
      </c>
      <c r="D31" s="98">
        <v>26904.35</v>
      </c>
      <c r="E31" s="98">
        <v>76307.3</v>
      </c>
      <c r="F31" s="98">
        <v>399002.94</v>
      </c>
      <c r="G31" s="117">
        <f t="shared" si="1"/>
        <v>2020</v>
      </c>
      <c r="H31" s="117">
        <f t="shared" si="2"/>
        <v>4</v>
      </c>
    </row>
    <row r="32" spans="1:11">
      <c r="A32" s="6">
        <v>43982</v>
      </c>
      <c r="C32" s="98">
        <v>471417.91</v>
      </c>
      <c r="D32" s="98">
        <v>28285.07</v>
      </c>
      <c r="E32" s="98">
        <v>76503.67</v>
      </c>
      <c r="F32" s="98">
        <v>423199.30999999994</v>
      </c>
      <c r="G32" s="117">
        <f t="shared" si="1"/>
        <v>2020</v>
      </c>
      <c r="H32" s="117">
        <f t="shared" si="2"/>
        <v>5</v>
      </c>
    </row>
    <row r="33" spans="1:8">
      <c r="A33" s="6">
        <v>44012</v>
      </c>
      <c r="C33" s="64">
        <v>467252.79</v>
      </c>
      <c r="D33" s="64">
        <v>28035.17</v>
      </c>
      <c r="E33" s="64">
        <v>74254.3</v>
      </c>
      <c r="F33" s="64">
        <v>421033.66</v>
      </c>
      <c r="G33" s="117">
        <f t="shared" si="1"/>
        <v>2020</v>
      </c>
      <c r="H33" s="117">
        <f t="shared" si="2"/>
        <v>6</v>
      </c>
    </row>
    <row r="34" spans="1:8">
      <c r="A34" s="107">
        <v>44043</v>
      </c>
      <c r="B34" s="98" t="s">
        <v>19</v>
      </c>
      <c r="C34" s="98">
        <v>467252.79</v>
      </c>
      <c r="D34" s="98">
        <v>28035.17</v>
      </c>
      <c r="E34" s="98">
        <v>74254.3</v>
      </c>
      <c r="F34" s="98">
        <v>421033.66</v>
      </c>
      <c r="G34" s="117">
        <f t="shared" si="1"/>
        <v>2020</v>
      </c>
      <c r="H34" s="117">
        <f t="shared" si="2"/>
        <v>7</v>
      </c>
    </row>
    <row r="35" spans="1:8">
      <c r="A35" s="6">
        <v>44074</v>
      </c>
      <c r="C35" s="98">
        <v>497282.08</v>
      </c>
      <c r="D35" s="98">
        <v>29836.92</v>
      </c>
      <c r="E35" s="98">
        <v>122249.68</v>
      </c>
      <c r="F35" s="98">
        <v>404869.32000000007</v>
      </c>
      <c r="G35" s="117">
        <f t="shared" si="1"/>
        <v>2020</v>
      </c>
      <c r="H35" s="117">
        <f t="shared" si="2"/>
        <v>8</v>
      </c>
    </row>
    <row r="36" spans="1:8">
      <c r="A36" s="6">
        <v>44104</v>
      </c>
      <c r="C36" s="64">
        <v>495588.49</v>
      </c>
      <c r="D36" s="64">
        <v>29735.31</v>
      </c>
      <c r="E36" s="64">
        <v>96936.4</v>
      </c>
      <c r="F36" s="64">
        <v>428387.39999999997</v>
      </c>
      <c r="G36" s="117">
        <f t="shared" si="1"/>
        <v>2020</v>
      </c>
      <c r="H36" s="117">
        <f t="shared" si="2"/>
        <v>9</v>
      </c>
    </row>
    <row r="37" spans="1:8">
      <c r="A37" s="107">
        <v>44135</v>
      </c>
      <c r="B37" s="98">
        <v>4340</v>
      </c>
      <c r="C37" s="98">
        <v>502854.13</v>
      </c>
      <c r="D37" s="98">
        <v>30171.25</v>
      </c>
      <c r="E37" s="98">
        <v>96091.7</v>
      </c>
      <c r="F37" s="98">
        <v>436933.68000000011</v>
      </c>
      <c r="G37" s="117">
        <f t="shared" si="1"/>
        <v>2020</v>
      </c>
      <c r="H37" s="117">
        <f t="shared" si="2"/>
        <v>10</v>
      </c>
    </row>
    <row r="38" spans="1:8">
      <c r="A38" s="6">
        <v>44165</v>
      </c>
      <c r="B38" s="98">
        <v>4340</v>
      </c>
      <c r="C38" s="98">
        <v>491695.22</v>
      </c>
      <c r="D38" s="98">
        <v>29501.71</v>
      </c>
      <c r="E38" s="98">
        <v>87529.84</v>
      </c>
      <c r="F38" s="98">
        <v>433667.09</v>
      </c>
      <c r="G38" s="117">
        <f t="shared" si="1"/>
        <v>2020</v>
      </c>
      <c r="H38" s="117">
        <f t="shared" si="2"/>
        <v>11</v>
      </c>
    </row>
    <row r="39" spans="1:8">
      <c r="A39" s="107">
        <v>44196</v>
      </c>
      <c r="B39" s="98">
        <v>4340</v>
      </c>
      <c r="C39" s="98">
        <v>519917</v>
      </c>
      <c r="D39" s="98">
        <v>31195.02</v>
      </c>
      <c r="E39" s="98">
        <v>97485.16</v>
      </c>
      <c r="F39" s="98">
        <v>453626.86000000004</v>
      </c>
      <c r="G39" s="117">
        <f t="shared" si="1"/>
        <v>2020</v>
      </c>
      <c r="H39" s="117">
        <f t="shared" si="2"/>
        <v>12</v>
      </c>
    </row>
    <row r="40" spans="1:8">
      <c r="A40" s="107">
        <v>44227</v>
      </c>
      <c r="B40" s="98">
        <v>4340</v>
      </c>
      <c r="C40" s="98">
        <v>558816.24</v>
      </c>
      <c r="D40" s="98">
        <v>33528.97</v>
      </c>
      <c r="E40" s="98">
        <v>99563.28</v>
      </c>
      <c r="F40" s="98">
        <v>492781.93000000005</v>
      </c>
      <c r="G40" s="117">
        <f t="shared" ref="G40:G43" si="4">YEAR(A40)</f>
        <v>2021</v>
      </c>
      <c r="H40" s="117">
        <f t="shared" ref="H40:H43" si="5">MONTH(A40)</f>
        <v>1</v>
      </c>
    </row>
    <row r="41" spans="1:8">
      <c r="A41" s="6">
        <v>44255</v>
      </c>
      <c r="B41" s="98">
        <v>4340</v>
      </c>
      <c r="C41" s="98">
        <v>534070.4</v>
      </c>
      <c r="D41" s="98">
        <v>32044.22</v>
      </c>
      <c r="E41" s="98">
        <v>87158.81</v>
      </c>
      <c r="F41" s="98">
        <v>478955.81000000006</v>
      </c>
      <c r="G41" s="117">
        <f t="shared" si="4"/>
        <v>2021</v>
      </c>
      <c r="H41" s="117">
        <f t="shared" si="5"/>
        <v>2</v>
      </c>
    </row>
    <row r="42" spans="1:8">
      <c r="A42" s="6">
        <v>44286</v>
      </c>
      <c r="B42" s="98">
        <v>4340</v>
      </c>
      <c r="C42" s="98">
        <v>588971.4</v>
      </c>
      <c r="D42" s="98">
        <v>35338.28</v>
      </c>
      <c r="E42" s="98">
        <v>98649.57</v>
      </c>
      <c r="F42" s="98">
        <v>525660.1100000001</v>
      </c>
      <c r="G42" s="117">
        <f t="shared" si="4"/>
        <v>2021</v>
      </c>
      <c r="H42" s="117">
        <f t="shared" si="5"/>
        <v>3</v>
      </c>
    </row>
    <row r="43" spans="1:8">
      <c r="G43" s="117">
        <f t="shared" si="4"/>
        <v>1900</v>
      </c>
      <c r="H43" s="117">
        <f t="shared" si="5"/>
        <v>1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97"/>
  <sheetViews>
    <sheetView topLeftCell="A274" workbookViewId="0">
      <selection activeCell="D289" sqref="D289:F297"/>
    </sheetView>
  </sheetViews>
  <sheetFormatPr defaultColWidth="9" defaultRowHeight="13.8"/>
  <cols>
    <col min="1" max="1" width="11.21875" customWidth="1"/>
    <col min="2" max="2" width="39.109375" customWidth="1"/>
    <col min="3" max="3" width="12.77734375" customWidth="1"/>
    <col min="4" max="6" width="15.21875" customWidth="1"/>
    <col min="7" max="7" width="25.5546875" customWidth="1"/>
    <col min="9" max="9" width="41.33203125" customWidth="1"/>
    <col min="13" max="13" width="13.88671875" customWidth="1"/>
    <col min="14" max="14" width="29.77734375" customWidth="1"/>
    <col min="17" max="17" width="13.88671875" customWidth="1"/>
    <col min="18" max="18" width="11.21875" customWidth="1"/>
    <col min="19" max="19" width="13.88671875" customWidth="1"/>
    <col min="20" max="20" width="18.44140625" customWidth="1"/>
    <col min="21" max="21" width="10.5546875" customWidth="1"/>
  </cols>
  <sheetData>
    <row r="1" spans="1:22" ht="41.4">
      <c r="A1" t="s">
        <v>0</v>
      </c>
      <c r="B1" s="1" t="s">
        <v>9</v>
      </c>
      <c r="C1" s="2" t="s">
        <v>28</v>
      </c>
      <c r="D1" t="s">
        <v>29</v>
      </c>
      <c r="E1" s="77" t="s">
        <v>550</v>
      </c>
      <c r="F1" s="118" t="s">
        <v>549</v>
      </c>
      <c r="G1" s="42" t="s">
        <v>30</v>
      </c>
      <c r="I1" s="97" t="s">
        <v>31</v>
      </c>
      <c r="J1" t="s">
        <v>29</v>
      </c>
      <c r="M1" s="97" t="s">
        <v>0</v>
      </c>
      <c r="N1" s="52">
        <v>43496</v>
      </c>
      <c r="Q1" t="s">
        <v>32</v>
      </c>
      <c r="R1" t="s">
        <v>0</v>
      </c>
      <c r="S1" t="s">
        <v>33</v>
      </c>
      <c r="T1" t="s">
        <v>34</v>
      </c>
      <c r="U1" t="s">
        <v>35</v>
      </c>
      <c r="V1" t="s">
        <v>36</v>
      </c>
    </row>
    <row r="2" spans="1:22">
      <c r="A2" s="6">
        <v>43220</v>
      </c>
      <c r="B2" s="43" t="s">
        <v>37</v>
      </c>
      <c r="C2" s="44">
        <v>8999.98</v>
      </c>
      <c r="D2" t="str">
        <f>VLOOKUP(B2,$I:$J,2,0)</f>
        <v>安徽高速</v>
      </c>
      <c r="E2">
        <f>YEAR(A2)</f>
        <v>2018</v>
      </c>
      <c r="F2">
        <f>MONTH(A2)</f>
        <v>4</v>
      </c>
      <c r="I2" s="45" t="s">
        <v>37</v>
      </c>
      <c r="J2" t="s">
        <v>38</v>
      </c>
      <c r="R2" s="6">
        <v>43159</v>
      </c>
      <c r="S2" t="s">
        <v>39</v>
      </c>
      <c r="T2" s="54">
        <f>U2*1.06/0.8</f>
        <v>482141.56974999997</v>
      </c>
      <c r="U2" s="54">
        <v>363880.43</v>
      </c>
      <c r="V2" s="55" t="s">
        <v>40</v>
      </c>
    </row>
    <row r="3" spans="1:22">
      <c r="A3" s="6">
        <v>43220</v>
      </c>
      <c r="B3" s="43" t="s">
        <v>41</v>
      </c>
      <c r="C3" s="44">
        <v>5062.05</v>
      </c>
      <c r="D3" t="str">
        <f t="shared" ref="D3:D66" si="0">VLOOKUP(B3,$I:$J,2,0)</f>
        <v>安徽盐业</v>
      </c>
      <c r="E3">
        <f t="shared" ref="E3:E66" si="1">YEAR(A3)</f>
        <v>2018</v>
      </c>
      <c r="F3">
        <f t="shared" ref="F3:F66" si="2">MONTH(A3)</f>
        <v>4</v>
      </c>
      <c r="I3" s="45" t="s">
        <v>42</v>
      </c>
      <c r="J3" t="s">
        <v>43</v>
      </c>
      <c r="M3" s="97" t="s">
        <v>31</v>
      </c>
      <c r="N3" t="s">
        <v>44</v>
      </c>
      <c r="R3" s="6">
        <v>43281</v>
      </c>
      <c r="S3" t="s">
        <v>45</v>
      </c>
      <c r="T3" s="54">
        <f>U3*1.06/0.8</f>
        <v>323816.44524999999</v>
      </c>
      <c r="U3" s="54">
        <v>244389.77</v>
      </c>
    </row>
    <row r="4" spans="1:22">
      <c r="A4" s="6">
        <v>43220</v>
      </c>
      <c r="B4" s="43" t="s">
        <v>42</v>
      </c>
      <c r="C4" s="44">
        <v>1383.42</v>
      </c>
      <c r="D4" t="str">
        <f t="shared" si="0"/>
        <v>徽商集团</v>
      </c>
      <c r="E4">
        <f t="shared" si="1"/>
        <v>2018</v>
      </c>
      <c r="F4">
        <f t="shared" si="2"/>
        <v>4</v>
      </c>
      <c r="I4" s="45" t="s">
        <v>41</v>
      </c>
      <c r="J4" t="s">
        <v>46</v>
      </c>
      <c r="M4" s="45" t="s">
        <v>38</v>
      </c>
      <c r="N4" s="53">
        <v>11791.18</v>
      </c>
      <c r="R4" s="6">
        <v>43465</v>
      </c>
      <c r="S4" t="s">
        <v>39</v>
      </c>
      <c r="T4" s="54">
        <v>392466.77</v>
      </c>
      <c r="U4" s="54">
        <f>T4*0.8/1.06</f>
        <v>296201.3358490566</v>
      </c>
    </row>
    <row r="5" spans="1:22">
      <c r="A5" s="6">
        <v>43220</v>
      </c>
      <c r="B5" s="43" t="s">
        <v>47</v>
      </c>
      <c r="C5" s="44">
        <v>9653.4100000000108</v>
      </c>
      <c r="D5" t="str">
        <f t="shared" si="0"/>
        <v>皖北煤电债权</v>
      </c>
      <c r="E5">
        <f t="shared" si="1"/>
        <v>2018</v>
      </c>
      <c r="F5">
        <f t="shared" si="2"/>
        <v>4</v>
      </c>
      <c r="I5" s="45" t="s">
        <v>48</v>
      </c>
      <c r="J5" t="s">
        <v>49</v>
      </c>
      <c r="M5" s="45" t="s">
        <v>43</v>
      </c>
      <c r="N5" s="53">
        <v>1560.82</v>
      </c>
      <c r="R5" s="6">
        <v>43465</v>
      </c>
      <c r="S5" t="s">
        <v>50</v>
      </c>
      <c r="T5" s="54">
        <v>219434.26</v>
      </c>
      <c r="U5" s="54">
        <f>T5*0.8/1.06</f>
        <v>165610.76226415095</v>
      </c>
    </row>
    <row r="6" spans="1:22">
      <c r="A6" s="6">
        <v>43220</v>
      </c>
      <c r="B6" s="43" t="s">
        <v>51</v>
      </c>
      <c r="C6" s="44">
        <v>14201.75</v>
      </c>
      <c r="D6" t="str">
        <f t="shared" si="0"/>
        <v>皖北煤电信托</v>
      </c>
      <c r="E6">
        <f t="shared" si="1"/>
        <v>2018</v>
      </c>
      <c r="F6">
        <f t="shared" si="2"/>
        <v>4</v>
      </c>
      <c r="I6" s="45" t="s">
        <v>51</v>
      </c>
      <c r="J6" t="s">
        <v>52</v>
      </c>
      <c r="M6" s="45" t="s">
        <v>49</v>
      </c>
      <c r="N6" s="53">
        <v>17913.2</v>
      </c>
      <c r="T6" s="54"/>
      <c r="U6" s="54"/>
    </row>
    <row r="7" spans="1:22">
      <c r="A7" s="6">
        <v>43220</v>
      </c>
      <c r="B7" s="43" t="s">
        <v>53</v>
      </c>
      <c r="C7" s="44">
        <v>8048.56</v>
      </c>
      <c r="D7" t="str">
        <f t="shared" si="0"/>
        <v>中铁四局</v>
      </c>
      <c r="E7">
        <f t="shared" si="1"/>
        <v>2018</v>
      </c>
      <c r="F7">
        <f t="shared" si="2"/>
        <v>4</v>
      </c>
      <c r="I7" s="45" t="s">
        <v>47</v>
      </c>
      <c r="J7" t="s">
        <v>47</v>
      </c>
      <c r="M7" s="45" t="s">
        <v>52</v>
      </c>
      <c r="N7" s="53">
        <v>16025.39</v>
      </c>
      <c r="T7" s="54"/>
      <c r="U7" s="54"/>
    </row>
    <row r="8" spans="1:22">
      <c r="A8" s="6">
        <v>43220</v>
      </c>
      <c r="B8" s="43" t="s">
        <v>48</v>
      </c>
      <c r="C8" s="44">
        <v>15831.36</v>
      </c>
      <c r="D8" t="str">
        <f t="shared" si="0"/>
        <v>徽商银行信托</v>
      </c>
      <c r="E8">
        <f t="shared" si="1"/>
        <v>2018</v>
      </c>
      <c r="F8">
        <f t="shared" si="2"/>
        <v>4</v>
      </c>
      <c r="I8" s="45" t="s">
        <v>53</v>
      </c>
      <c r="J8" t="s">
        <v>54</v>
      </c>
      <c r="M8" s="45" t="s">
        <v>47</v>
      </c>
      <c r="N8" s="53">
        <v>6463.38</v>
      </c>
      <c r="T8" s="54"/>
      <c r="U8" s="54"/>
    </row>
    <row r="9" spans="1:22">
      <c r="A9" s="6">
        <v>43251</v>
      </c>
      <c r="B9" s="46" t="s">
        <v>37</v>
      </c>
      <c r="C9" s="44">
        <v>9357.61</v>
      </c>
      <c r="D9" t="str">
        <f t="shared" si="0"/>
        <v>安徽高速</v>
      </c>
      <c r="E9">
        <f t="shared" si="1"/>
        <v>2018</v>
      </c>
      <c r="F9">
        <f t="shared" si="2"/>
        <v>5</v>
      </c>
      <c r="I9" s="45" t="s">
        <v>55</v>
      </c>
      <c r="M9" s="45" t="s">
        <v>54</v>
      </c>
      <c r="N9" s="53">
        <v>7232.97</v>
      </c>
      <c r="T9" s="54"/>
      <c r="U9" s="54"/>
    </row>
    <row r="10" spans="1:22">
      <c r="A10" s="6">
        <v>43251</v>
      </c>
      <c r="B10" s="46" t="s">
        <v>41</v>
      </c>
      <c r="C10" s="44">
        <v>5623.65</v>
      </c>
      <c r="D10" t="str">
        <f t="shared" si="0"/>
        <v>安徽盐业</v>
      </c>
      <c r="E10">
        <f t="shared" si="1"/>
        <v>2018</v>
      </c>
      <c r="F10">
        <f t="shared" si="2"/>
        <v>5</v>
      </c>
      <c r="I10" s="45" t="s">
        <v>56</v>
      </c>
      <c r="J10" s="77" t="s">
        <v>551</v>
      </c>
      <c r="M10" s="45" t="s">
        <v>39</v>
      </c>
      <c r="N10" s="53">
        <v>42454.05</v>
      </c>
      <c r="T10" s="54"/>
      <c r="U10" s="54"/>
    </row>
    <row r="11" spans="1:22">
      <c r="A11" s="6">
        <v>43251</v>
      </c>
      <c r="B11" s="46" t="s">
        <v>42</v>
      </c>
      <c r="C11" s="44">
        <v>1409.3</v>
      </c>
      <c r="D11" t="str">
        <f t="shared" si="0"/>
        <v>徽商集团</v>
      </c>
      <c r="E11">
        <f t="shared" si="1"/>
        <v>2018</v>
      </c>
      <c r="F11">
        <f t="shared" si="2"/>
        <v>5</v>
      </c>
      <c r="I11" s="45" t="s">
        <v>155</v>
      </c>
      <c r="J11" s="77" t="s">
        <v>552</v>
      </c>
      <c r="M11" s="45" t="s">
        <v>57</v>
      </c>
      <c r="N11" s="53">
        <v>103440.98999999999</v>
      </c>
      <c r="T11" s="54"/>
      <c r="U11" s="54"/>
    </row>
    <row r="12" spans="1:22">
      <c r="A12" s="6">
        <v>43251</v>
      </c>
      <c r="B12" s="46" t="s">
        <v>47</v>
      </c>
      <c r="C12" s="44">
        <v>10166.14</v>
      </c>
      <c r="D12" t="str">
        <f t="shared" si="0"/>
        <v>皖北煤电债权</v>
      </c>
      <c r="E12">
        <f t="shared" si="1"/>
        <v>2018</v>
      </c>
      <c r="F12">
        <f t="shared" si="2"/>
        <v>5</v>
      </c>
      <c r="I12" s="45" t="s">
        <v>18</v>
      </c>
      <c r="J12" s="77" t="s">
        <v>233</v>
      </c>
      <c r="T12" s="54"/>
      <c r="U12" s="54"/>
    </row>
    <row r="13" spans="1:22">
      <c r="A13" s="6">
        <v>43251</v>
      </c>
      <c r="B13" s="46" t="s">
        <v>51</v>
      </c>
      <c r="C13" s="44">
        <v>14705.26</v>
      </c>
      <c r="D13" t="str">
        <f t="shared" si="0"/>
        <v>皖北煤电信托</v>
      </c>
      <c r="E13">
        <f t="shared" si="1"/>
        <v>2018</v>
      </c>
      <c r="F13">
        <f t="shared" si="2"/>
        <v>5</v>
      </c>
      <c r="I13" s="45" t="s">
        <v>178</v>
      </c>
      <c r="J13" s="77" t="s">
        <v>234</v>
      </c>
      <c r="T13" s="54"/>
      <c r="U13" s="54"/>
    </row>
    <row r="14" spans="1:22">
      <c r="A14" s="6">
        <v>43251</v>
      </c>
      <c r="B14" s="47" t="s">
        <v>53</v>
      </c>
      <c r="C14" s="44">
        <v>8454.93</v>
      </c>
      <c r="D14" t="str">
        <f t="shared" si="0"/>
        <v>中铁四局</v>
      </c>
      <c r="E14">
        <f t="shared" si="1"/>
        <v>2018</v>
      </c>
      <c r="F14">
        <f t="shared" si="2"/>
        <v>5</v>
      </c>
      <c r="I14" s="45" t="s">
        <v>125</v>
      </c>
      <c r="J14" s="77" t="s">
        <v>235</v>
      </c>
    </row>
    <row r="15" spans="1:22">
      <c r="A15" s="6">
        <v>43251</v>
      </c>
      <c r="B15" s="48" t="s">
        <v>48</v>
      </c>
      <c r="C15" s="44">
        <v>16368.67</v>
      </c>
      <c r="D15" t="str">
        <f t="shared" si="0"/>
        <v>徽商银行信托</v>
      </c>
      <c r="E15">
        <f t="shared" si="1"/>
        <v>2018</v>
      </c>
      <c r="F15">
        <f t="shared" si="2"/>
        <v>5</v>
      </c>
      <c r="I15" s="45" t="s">
        <v>232</v>
      </c>
      <c r="J15" s="77" t="s">
        <v>481</v>
      </c>
    </row>
    <row r="16" spans="1:22">
      <c r="A16" s="6">
        <v>43281</v>
      </c>
      <c r="B16" s="49" t="s">
        <v>37</v>
      </c>
      <c r="C16" s="50">
        <v>9069.42</v>
      </c>
      <c r="D16" t="str">
        <f t="shared" si="0"/>
        <v>安徽高速</v>
      </c>
      <c r="E16">
        <f t="shared" si="1"/>
        <v>2018</v>
      </c>
      <c r="F16">
        <f t="shared" si="2"/>
        <v>6</v>
      </c>
      <c r="I16" s="45" t="s">
        <v>57</v>
      </c>
    </row>
    <row r="17" spans="1:10">
      <c r="A17" s="6">
        <v>43281</v>
      </c>
      <c r="B17" s="49" t="s">
        <v>41</v>
      </c>
      <c r="C17" s="50">
        <v>5635.68</v>
      </c>
      <c r="D17" t="str">
        <f t="shared" si="0"/>
        <v>安徽盐业</v>
      </c>
      <c r="E17">
        <f t="shared" si="1"/>
        <v>2018</v>
      </c>
      <c r="F17">
        <f t="shared" si="2"/>
        <v>6</v>
      </c>
    </row>
    <row r="18" spans="1:10">
      <c r="A18" s="6">
        <v>43281</v>
      </c>
      <c r="B18" s="49" t="s">
        <v>42</v>
      </c>
      <c r="C18" s="50">
        <v>1366.24</v>
      </c>
      <c r="D18" t="str">
        <f t="shared" si="0"/>
        <v>徽商集团</v>
      </c>
      <c r="E18">
        <f t="shared" si="1"/>
        <v>2018</v>
      </c>
      <c r="F18">
        <f t="shared" si="2"/>
        <v>6</v>
      </c>
    </row>
    <row r="19" spans="1:10">
      <c r="A19" s="6">
        <v>43281</v>
      </c>
      <c r="B19" s="49" t="s">
        <v>47</v>
      </c>
      <c r="C19" s="50">
        <v>9817.51</v>
      </c>
      <c r="D19" t="str">
        <f t="shared" si="0"/>
        <v>皖北煤电债权</v>
      </c>
      <c r="E19">
        <f t="shared" si="1"/>
        <v>2018</v>
      </c>
      <c r="F19">
        <f t="shared" si="2"/>
        <v>6</v>
      </c>
      <c r="I19" t="s">
        <v>18</v>
      </c>
      <c r="J19" s="77" t="s">
        <v>179</v>
      </c>
    </row>
    <row r="20" spans="1:10">
      <c r="A20" s="6">
        <v>43281</v>
      </c>
      <c r="B20" s="49" t="s">
        <v>51</v>
      </c>
      <c r="C20" s="50">
        <v>14290.98</v>
      </c>
      <c r="D20" t="str">
        <f t="shared" si="0"/>
        <v>皖北煤电信托</v>
      </c>
      <c r="E20">
        <f t="shared" si="1"/>
        <v>2018</v>
      </c>
      <c r="F20">
        <f t="shared" si="2"/>
        <v>6</v>
      </c>
      <c r="I20" t="s">
        <v>178</v>
      </c>
      <c r="J20" s="77" t="s">
        <v>180</v>
      </c>
    </row>
    <row r="21" spans="1:10">
      <c r="A21" s="6">
        <v>43281</v>
      </c>
      <c r="B21" s="49" t="s">
        <v>53</v>
      </c>
      <c r="C21" s="50">
        <v>7445.88</v>
      </c>
      <c r="D21" t="str">
        <f t="shared" si="0"/>
        <v>中铁四局</v>
      </c>
      <c r="E21">
        <f t="shared" si="1"/>
        <v>2018</v>
      </c>
      <c r="F21">
        <f t="shared" si="2"/>
        <v>6</v>
      </c>
      <c r="I21" t="s">
        <v>125</v>
      </c>
      <c r="J21" s="77" t="s">
        <v>181</v>
      </c>
    </row>
    <row r="22" spans="1:10">
      <c r="A22" s="6">
        <v>43281</v>
      </c>
      <c r="B22" s="49" t="s">
        <v>48</v>
      </c>
      <c r="C22" s="50">
        <v>15914.21</v>
      </c>
      <c r="D22" t="str">
        <f t="shared" si="0"/>
        <v>徽商银行信托</v>
      </c>
      <c r="E22">
        <f t="shared" si="1"/>
        <v>2018</v>
      </c>
      <c r="F22">
        <f t="shared" si="2"/>
        <v>6</v>
      </c>
    </row>
    <row r="23" spans="1:10">
      <c r="A23" s="6">
        <v>43312</v>
      </c>
      <c r="B23" s="49" t="s">
        <v>37</v>
      </c>
      <c r="C23" s="4">
        <v>9374.7800000000097</v>
      </c>
      <c r="D23" t="str">
        <f t="shared" si="0"/>
        <v>安徽高速</v>
      </c>
      <c r="E23">
        <f t="shared" si="1"/>
        <v>2018</v>
      </c>
      <c r="F23">
        <f t="shared" si="2"/>
        <v>7</v>
      </c>
    </row>
    <row r="24" spans="1:10">
      <c r="A24" s="6">
        <v>43312</v>
      </c>
      <c r="B24" s="49" t="s">
        <v>41</v>
      </c>
      <c r="C24" s="4">
        <v>5718.0099999999902</v>
      </c>
      <c r="D24" t="str">
        <f t="shared" si="0"/>
        <v>安徽盐业</v>
      </c>
      <c r="E24">
        <f t="shared" si="1"/>
        <v>2018</v>
      </c>
      <c r="F24">
        <f t="shared" si="2"/>
        <v>7</v>
      </c>
    </row>
    <row r="25" spans="1:10">
      <c r="A25" s="6">
        <v>43312</v>
      </c>
      <c r="B25" s="49" t="s">
        <v>42</v>
      </c>
      <c r="C25" s="4">
        <v>1410.66</v>
      </c>
      <c r="D25" t="str">
        <f t="shared" si="0"/>
        <v>徽商集团</v>
      </c>
      <c r="E25">
        <f t="shared" si="1"/>
        <v>2018</v>
      </c>
      <c r="F25">
        <f t="shared" si="2"/>
        <v>7</v>
      </c>
    </row>
    <row r="26" spans="1:10">
      <c r="A26" s="6">
        <v>43312</v>
      </c>
      <c r="B26" s="49" t="s">
        <v>47</v>
      </c>
      <c r="C26" s="4">
        <v>10218.24</v>
      </c>
      <c r="D26" t="str">
        <f t="shared" si="0"/>
        <v>皖北煤电债权</v>
      </c>
      <c r="E26">
        <f t="shared" si="1"/>
        <v>2018</v>
      </c>
      <c r="F26">
        <f t="shared" si="2"/>
        <v>7</v>
      </c>
    </row>
    <row r="27" spans="1:10">
      <c r="A27" s="6">
        <v>43312</v>
      </c>
      <c r="B27" s="49" t="s">
        <v>51</v>
      </c>
      <c r="C27" s="4">
        <v>14817.97</v>
      </c>
      <c r="D27" t="str">
        <f t="shared" si="0"/>
        <v>皖北煤电信托</v>
      </c>
      <c r="E27">
        <f t="shared" si="1"/>
        <v>2018</v>
      </c>
      <c r="F27">
        <f t="shared" si="2"/>
        <v>7</v>
      </c>
    </row>
    <row r="28" spans="1:10">
      <c r="A28" s="6">
        <v>43312</v>
      </c>
      <c r="B28" s="49" t="s">
        <v>53</v>
      </c>
      <c r="C28" s="4">
        <v>7146.95</v>
      </c>
      <c r="D28" t="str">
        <f t="shared" si="0"/>
        <v>中铁四局</v>
      </c>
      <c r="E28">
        <f t="shared" si="1"/>
        <v>2018</v>
      </c>
      <c r="F28">
        <f t="shared" si="2"/>
        <v>7</v>
      </c>
    </row>
    <row r="29" spans="1:10">
      <c r="A29" s="6">
        <v>43312</v>
      </c>
      <c r="B29" s="49" t="s">
        <v>48</v>
      </c>
      <c r="C29" s="4">
        <v>16489.080000000002</v>
      </c>
      <c r="D29" t="str">
        <f t="shared" si="0"/>
        <v>徽商银行信托</v>
      </c>
      <c r="E29">
        <f t="shared" si="1"/>
        <v>2018</v>
      </c>
      <c r="F29">
        <f t="shared" si="2"/>
        <v>7</v>
      </c>
    </row>
    <row r="30" spans="1:10">
      <c r="A30" s="6">
        <v>43343</v>
      </c>
      <c r="B30" s="46" t="s">
        <v>37</v>
      </c>
      <c r="C30" s="44">
        <v>9474.4</v>
      </c>
      <c r="D30" t="str">
        <f t="shared" si="0"/>
        <v>安徽高速</v>
      </c>
      <c r="E30">
        <f t="shared" si="1"/>
        <v>2018</v>
      </c>
      <c r="F30">
        <f t="shared" si="2"/>
        <v>8</v>
      </c>
    </row>
    <row r="31" spans="1:10">
      <c r="A31" s="6">
        <v>43343</v>
      </c>
      <c r="B31" s="46" t="s">
        <v>41</v>
      </c>
      <c r="C31" s="44">
        <v>4538.63</v>
      </c>
      <c r="D31" t="str">
        <f t="shared" si="0"/>
        <v>安徽盐业</v>
      </c>
      <c r="E31">
        <f t="shared" si="1"/>
        <v>2018</v>
      </c>
      <c r="F31">
        <f t="shared" si="2"/>
        <v>8</v>
      </c>
    </row>
    <row r="32" spans="1:10">
      <c r="A32" s="6">
        <v>43343</v>
      </c>
      <c r="B32" s="46" t="s">
        <v>42</v>
      </c>
      <c r="C32" s="44">
        <v>1432.45</v>
      </c>
      <c r="D32" t="str">
        <f t="shared" si="0"/>
        <v>徽商集团</v>
      </c>
      <c r="E32">
        <f t="shared" si="1"/>
        <v>2018</v>
      </c>
      <c r="F32">
        <f t="shared" si="2"/>
        <v>8</v>
      </c>
    </row>
    <row r="33" spans="1:6">
      <c r="A33" s="6">
        <v>43343</v>
      </c>
      <c r="B33" s="46" t="s">
        <v>47</v>
      </c>
      <c r="C33" s="44">
        <v>10252.36</v>
      </c>
      <c r="D33" t="str">
        <f t="shared" si="0"/>
        <v>皖北煤电债权</v>
      </c>
      <c r="E33">
        <f t="shared" si="1"/>
        <v>2018</v>
      </c>
      <c r="F33">
        <f t="shared" si="2"/>
        <v>8</v>
      </c>
    </row>
    <row r="34" spans="1:6">
      <c r="A34" s="6">
        <v>43343</v>
      </c>
      <c r="B34" s="46" t="s">
        <v>51</v>
      </c>
      <c r="C34" s="44">
        <v>14902.85</v>
      </c>
      <c r="D34" t="str">
        <f t="shared" si="0"/>
        <v>皖北煤电信托</v>
      </c>
      <c r="E34">
        <f t="shared" si="1"/>
        <v>2018</v>
      </c>
      <c r="F34">
        <f t="shared" si="2"/>
        <v>8</v>
      </c>
    </row>
    <row r="35" spans="1:6">
      <c r="A35" s="6">
        <v>43343</v>
      </c>
      <c r="B35" s="46" t="s">
        <v>53</v>
      </c>
      <c r="C35" s="44">
        <v>7233.55</v>
      </c>
      <c r="D35" t="str">
        <f t="shared" si="0"/>
        <v>中铁四局</v>
      </c>
      <c r="E35">
        <f t="shared" si="1"/>
        <v>2018</v>
      </c>
      <c r="F35">
        <f t="shared" si="2"/>
        <v>8</v>
      </c>
    </row>
    <row r="36" spans="1:6">
      <c r="A36" s="6">
        <v>43343</v>
      </c>
      <c r="B36" s="46" t="s">
        <v>48</v>
      </c>
      <c r="C36" s="44">
        <v>16603.87</v>
      </c>
      <c r="D36" t="str">
        <f t="shared" si="0"/>
        <v>徽商银行信托</v>
      </c>
      <c r="E36">
        <f t="shared" si="1"/>
        <v>2018</v>
      </c>
      <c r="F36">
        <f t="shared" si="2"/>
        <v>8</v>
      </c>
    </row>
    <row r="37" spans="1:6">
      <c r="A37" s="6">
        <v>43373</v>
      </c>
      <c r="B37" s="46" t="s">
        <v>37</v>
      </c>
      <c r="C37" s="51">
        <v>10575.88</v>
      </c>
      <c r="D37" t="str">
        <f t="shared" si="0"/>
        <v>安徽高速</v>
      </c>
      <c r="E37">
        <f t="shared" si="1"/>
        <v>2018</v>
      </c>
      <c r="F37">
        <f t="shared" si="2"/>
        <v>9</v>
      </c>
    </row>
    <row r="38" spans="1:6">
      <c r="A38" s="6">
        <v>43373</v>
      </c>
      <c r="B38" s="46" t="s">
        <v>42</v>
      </c>
      <c r="C38" s="51">
        <v>1388.81</v>
      </c>
      <c r="D38" t="str">
        <f t="shared" si="0"/>
        <v>徽商集团</v>
      </c>
      <c r="E38">
        <f t="shared" si="1"/>
        <v>2018</v>
      </c>
      <c r="F38">
        <f t="shared" si="2"/>
        <v>9</v>
      </c>
    </row>
    <row r="39" spans="1:6">
      <c r="A39" s="6">
        <v>43373</v>
      </c>
      <c r="B39" s="46" t="s">
        <v>47</v>
      </c>
      <c r="C39" s="51">
        <v>9958.99</v>
      </c>
      <c r="D39" t="str">
        <f t="shared" si="0"/>
        <v>皖北煤电债权</v>
      </c>
      <c r="E39">
        <f t="shared" si="1"/>
        <v>2018</v>
      </c>
      <c r="F39">
        <f t="shared" si="2"/>
        <v>9</v>
      </c>
    </row>
    <row r="40" spans="1:6">
      <c r="A40" s="6">
        <v>43373</v>
      </c>
      <c r="B40" s="46" t="s">
        <v>51</v>
      </c>
      <c r="C40" s="51">
        <v>14505.48</v>
      </c>
      <c r="D40" t="str">
        <f t="shared" si="0"/>
        <v>皖北煤电信托</v>
      </c>
      <c r="E40">
        <f t="shared" si="1"/>
        <v>2018</v>
      </c>
      <c r="F40">
        <f t="shared" si="2"/>
        <v>9</v>
      </c>
    </row>
    <row r="41" spans="1:6">
      <c r="A41" s="6">
        <v>43373</v>
      </c>
      <c r="B41" s="46" t="s">
        <v>53</v>
      </c>
      <c r="C41" s="51">
        <v>6401.33</v>
      </c>
      <c r="D41" t="str">
        <f t="shared" si="0"/>
        <v>中铁四局</v>
      </c>
      <c r="E41">
        <f t="shared" si="1"/>
        <v>2018</v>
      </c>
      <c r="F41">
        <f t="shared" si="2"/>
        <v>9</v>
      </c>
    </row>
    <row r="42" spans="1:6">
      <c r="A42" s="6">
        <v>43373</v>
      </c>
      <c r="B42" s="46" t="s">
        <v>48</v>
      </c>
      <c r="C42" s="51">
        <v>16179.92</v>
      </c>
      <c r="D42" t="str">
        <f t="shared" si="0"/>
        <v>徽商银行信托</v>
      </c>
      <c r="E42">
        <f t="shared" si="1"/>
        <v>2018</v>
      </c>
      <c r="F42">
        <f t="shared" si="2"/>
        <v>9</v>
      </c>
    </row>
    <row r="43" spans="1:6">
      <c r="A43" s="6">
        <v>43373</v>
      </c>
      <c r="B43" s="46" t="s">
        <v>41</v>
      </c>
      <c r="C43" s="51">
        <v>-2029.9</v>
      </c>
      <c r="D43" t="str">
        <f t="shared" si="0"/>
        <v>安徽盐业</v>
      </c>
      <c r="E43">
        <f t="shared" si="1"/>
        <v>2018</v>
      </c>
      <c r="F43">
        <f t="shared" si="2"/>
        <v>9</v>
      </c>
    </row>
    <row r="44" spans="1:6">
      <c r="A44" s="6">
        <v>43404</v>
      </c>
      <c r="B44" s="49" t="s">
        <v>37</v>
      </c>
      <c r="C44" s="51">
        <v>10702.33</v>
      </c>
      <c r="D44" t="str">
        <f t="shared" si="0"/>
        <v>安徽高速</v>
      </c>
      <c r="E44">
        <f t="shared" si="1"/>
        <v>2018</v>
      </c>
      <c r="F44">
        <f t="shared" si="2"/>
        <v>10</v>
      </c>
    </row>
    <row r="45" spans="1:6">
      <c r="A45" s="6">
        <v>43404</v>
      </c>
      <c r="B45" s="49" t="s">
        <v>42</v>
      </c>
      <c r="C45" s="51">
        <v>1436.92</v>
      </c>
      <c r="D45" t="str">
        <f t="shared" si="0"/>
        <v>徽商集团</v>
      </c>
      <c r="E45">
        <f t="shared" si="1"/>
        <v>2018</v>
      </c>
      <c r="F45">
        <f t="shared" si="2"/>
        <v>10</v>
      </c>
    </row>
    <row r="46" spans="1:6">
      <c r="A46" s="6">
        <v>43404</v>
      </c>
      <c r="B46" s="49" t="s">
        <v>47</v>
      </c>
      <c r="C46" s="51">
        <v>10382.379999999999</v>
      </c>
      <c r="D46" t="str">
        <f t="shared" si="0"/>
        <v>皖北煤电债权</v>
      </c>
      <c r="E46">
        <f t="shared" si="1"/>
        <v>2018</v>
      </c>
      <c r="F46">
        <f t="shared" si="2"/>
        <v>10</v>
      </c>
    </row>
    <row r="47" spans="1:6">
      <c r="A47" s="6">
        <v>43404</v>
      </c>
      <c r="B47" s="49" t="s">
        <v>51</v>
      </c>
      <c r="C47" s="51">
        <v>15012.25</v>
      </c>
      <c r="D47" t="str">
        <f t="shared" si="0"/>
        <v>皖北煤电信托</v>
      </c>
      <c r="E47">
        <f t="shared" si="1"/>
        <v>2018</v>
      </c>
      <c r="F47">
        <f t="shared" si="2"/>
        <v>10</v>
      </c>
    </row>
    <row r="48" spans="1:6">
      <c r="A48" s="6">
        <v>43404</v>
      </c>
      <c r="B48" s="49" t="s">
        <v>53</v>
      </c>
      <c r="C48" s="51">
        <v>5817.6</v>
      </c>
      <c r="D48" t="str">
        <f t="shared" si="0"/>
        <v>中铁四局</v>
      </c>
      <c r="E48">
        <f t="shared" si="1"/>
        <v>2018</v>
      </c>
      <c r="F48">
        <f t="shared" si="2"/>
        <v>10</v>
      </c>
    </row>
    <row r="49" spans="1:6">
      <c r="A49" s="6">
        <v>43404</v>
      </c>
      <c r="B49" s="49" t="s">
        <v>48</v>
      </c>
      <c r="C49" s="51">
        <v>16732.22</v>
      </c>
      <c r="D49" t="str">
        <f t="shared" si="0"/>
        <v>徽商银行信托</v>
      </c>
      <c r="E49">
        <f t="shared" si="1"/>
        <v>2018</v>
      </c>
      <c r="F49">
        <f t="shared" si="2"/>
        <v>10</v>
      </c>
    </row>
    <row r="50" spans="1:6">
      <c r="A50" s="6">
        <v>43131</v>
      </c>
      <c r="B50" s="46" t="s">
        <v>37</v>
      </c>
      <c r="C50" s="44">
        <v>9302.56</v>
      </c>
      <c r="D50" t="str">
        <f t="shared" si="0"/>
        <v>安徽高速</v>
      </c>
      <c r="E50">
        <f t="shared" si="1"/>
        <v>2018</v>
      </c>
      <c r="F50">
        <f t="shared" si="2"/>
        <v>1</v>
      </c>
    </row>
    <row r="51" spans="1:6">
      <c r="A51" s="6">
        <v>43131</v>
      </c>
      <c r="B51" s="46" t="s">
        <v>41</v>
      </c>
      <c r="C51" s="44">
        <v>7072.96</v>
      </c>
      <c r="D51" t="str">
        <f t="shared" si="0"/>
        <v>安徽盐业</v>
      </c>
      <c r="E51">
        <f t="shared" si="1"/>
        <v>2018</v>
      </c>
      <c r="F51">
        <f t="shared" si="2"/>
        <v>1</v>
      </c>
    </row>
    <row r="52" spans="1:6">
      <c r="A52" s="6">
        <v>43131</v>
      </c>
      <c r="B52" s="46" t="s">
        <v>42</v>
      </c>
      <c r="C52" s="44">
        <v>1430.52</v>
      </c>
      <c r="D52" t="str">
        <f t="shared" si="0"/>
        <v>徽商集团</v>
      </c>
      <c r="E52">
        <f t="shared" si="1"/>
        <v>2018</v>
      </c>
      <c r="F52">
        <f t="shared" si="2"/>
        <v>1</v>
      </c>
    </row>
    <row r="53" spans="1:6">
      <c r="A53" s="6">
        <v>43131</v>
      </c>
      <c r="B53" s="46" t="s">
        <v>47</v>
      </c>
      <c r="C53" s="44">
        <v>12816.44</v>
      </c>
      <c r="D53" t="str">
        <f t="shared" si="0"/>
        <v>皖北煤电债权</v>
      </c>
      <c r="E53">
        <f t="shared" si="1"/>
        <v>2018</v>
      </c>
      <c r="F53">
        <f t="shared" si="2"/>
        <v>1</v>
      </c>
    </row>
    <row r="54" spans="1:6">
      <c r="A54" s="6">
        <v>43131</v>
      </c>
      <c r="B54" s="46" t="s">
        <v>51</v>
      </c>
      <c r="C54" s="44">
        <v>14114.68</v>
      </c>
      <c r="D54" t="str">
        <f t="shared" si="0"/>
        <v>皖北煤电信托</v>
      </c>
      <c r="E54">
        <f t="shared" si="1"/>
        <v>2018</v>
      </c>
      <c r="F54">
        <f t="shared" si="2"/>
        <v>1</v>
      </c>
    </row>
    <row r="55" spans="1:6">
      <c r="A55" s="6">
        <v>43131</v>
      </c>
      <c r="B55" s="47" t="s">
        <v>53</v>
      </c>
      <c r="C55" s="44">
        <v>10964.62</v>
      </c>
      <c r="D55" t="str">
        <f t="shared" si="0"/>
        <v>中铁四局</v>
      </c>
      <c r="E55">
        <f t="shared" si="1"/>
        <v>2018</v>
      </c>
      <c r="F55">
        <f t="shared" si="2"/>
        <v>1</v>
      </c>
    </row>
    <row r="56" spans="1:6">
      <c r="A56" s="6">
        <v>43131</v>
      </c>
      <c r="B56" s="48" t="s">
        <v>48</v>
      </c>
      <c r="C56" s="44">
        <v>12968.26</v>
      </c>
      <c r="D56" t="str">
        <f t="shared" si="0"/>
        <v>徽商银行信托</v>
      </c>
      <c r="E56">
        <f t="shared" si="1"/>
        <v>2018</v>
      </c>
      <c r="F56">
        <f t="shared" si="2"/>
        <v>1</v>
      </c>
    </row>
    <row r="57" spans="1:6">
      <c r="A57" s="6">
        <v>43159</v>
      </c>
      <c r="B57" s="43" t="s">
        <v>37</v>
      </c>
      <c r="C57" s="44">
        <v>8375.92</v>
      </c>
      <c r="D57" t="str">
        <f t="shared" si="0"/>
        <v>安徽高速</v>
      </c>
      <c r="E57">
        <f t="shared" si="1"/>
        <v>2018</v>
      </c>
      <c r="F57">
        <f t="shared" si="2"/>
        <v>2</v>
      </c>
    </row>
    <row r="58" spans="1:6">
      <c r="A58" s="6">
        <v>43159</v>
      </c>
      <c r="B58" s="43" t="s">
        <v>41</v>
      </c>
      <c r="C58" s="44">
        <v>5648.26</v>
      </c>
      <c r="D58" t="str">
        <f t="shared" si="0"/>
        <v>安徽盐业</v>
      </c>
      <c r="E58">
        <f t="shared" si="1"/>
        <v>2018</v>
      </c>
      <c r="F58">
        <f t="shared" si="2"/>
        <v>2</v>
      </c>
    </row>
    <row r="59" spans="1:6">
      <c r="A59" s="6">
        <v>43159</v>
      </c>
      <c r="B59" s="43" t="s">
        <v>42</v>
      </c>
      <c r="C59" s="44">
        <v>1297.44</v>
      </c>
      <c r="D59" t="str">
        <f t="shared" si="0"/>
        <v>徽商集团</v>
      </c>
      <c r="E59">
        <f t="shared" si="1"/>
        <v>2018</v>
      </c>
      <c r="F59">
        <f t="shared" si="2"/>
        <v>2</v>
      </c>
    </row>
    <row r="60" spans="1:6">
      <c r="A60" s="6">
        <v>43159</v>
      </c>
      <c r="B60" s="43" t="s">
        <v>47</v>
      </c>
      <c r="C60" s="44">
        <v>10700.88</v>
      </c>
      <c r="D60" t="str">
        <f t="shared" si="0"/>
        <v>皖北煤电债权</v>
      </c>
      <c r="E60">
        <f t="shared" si="1"/>
        <v>2018</v>
      </c>
      <c r="F60">
        <f t="shared" si="2"/>
        <v>2</v>
      </c>
    </row>
    <row r="61" spans="1:6">
      <c r="A61" s="6">
        <v>43159</v>
      </c>
      <c r="B61" s="43" t="s">
        <v>51</v>
      </c>
      <c r="C61" s="44">
        <v>12156.52</v>
      </c>
      <c r="D61" t="str">
        <f t="shared" si="0"/>
        <v>皖北煤电信托</v>
      </c>
      <c r="E61">
        <f t="shared" si="1"/>
        <v>2018</v>
      </c>
      <c r="F61">
        <f t="shared" si="2"/>
        <v>2</v>
      </c>
    </row>
    <row r="62" spans="1:6">
      <c r="A62" s="6">
        <v>43159</v>
      </c>
      <c r="B62" s="43" t="s">
        <v>53</v>
      </c>
      <c r="C62" s="44">
        <v>9545.4500000000007</v>
      </c>
      <c r="D62" t="str">
        <f t="shared" si="0"/>
        <v>中铁四局</v>
      </c>
      <c r="E62">
        <f t="shared" si="1"/>
        <v>2018</v>
      </c>
      <c r="F62">
        <f t="shared" si="2"/>
        <v>2</v>
      </c>
    </row>
    <row r="63" spans="1:6">
      <c r="A63" s="6">
        <v>43159</v>
      </c>
      <c r="B63" s="43" t="s">
        <v>48</v>
      </c>
      <c r="C63" s="44">
        <v>14588.66</v>
      </c>
      <c r="D63" t="str">
        <f t="shared" si="0"/>
        <v>徽商银行信托</v>
      </c>
      <c r="E63">
        <f t="shared" si="1"/>
        <v>2018</v>
      </c>
      <c r="F63">
        <f t="shared" si="2"/>
        <v>2</v>
      </c>
    </row>
    <row r="64" spans="1:6">
      <c r="A64" s="6">
        <v>43190</v>
      </c>
      <c r="B64" s="43" t="s">
        <v>37</v>
      </c>
      <c r="C64" s="44">
        <v>9285.85</v>
      </c>
      <c r="D64" t="str">
        <f t="shared" si="0"/>
        <v>安徽高速</v>
      </c>
      <c r="E64">
        <f t="shared" si="1"/>
        <v>2018</v>
      </c>
      <c r="F64">
        <f t="shared" si="2"/>
        <v>3</v>
      </c>
    </row>
    <row r="65" spans="1:6">
      <c r="A65" s="6">
        <v>43190</v>
      </c>
      <c r="B65" s="43" t="s">
        <v>41</v>
      </c>
      <c r="C65" s="44">
        <v>5543.16</v>
      </c>
      <c r="D65" t="str">
        <f t="shared" si="0"/>
        <v>安徽盐业</v>
      </c>
      <c r="E65">
        <f t="shared" si="1"/>
        <v>2018</v>
      </c>
      <c r="F65">
        <f t="shared" si="2"/>
        <v>3</v>
      </c>
    </row>
    <row r="66" spans="1:6">
      <c r="A66" s="6">
        <v>43190</v>
      </c>
      <c r="B66" s="43" t="s">
        <v>42</v>
      </c>
      <c r="C66" s="44">
        <v>1442.24</v>
      </c>
      <c r="D66" t="str">
        <f t="shared" si="0"/>
        <v>徽商集团</v>
      </c>
      <c r="E66">
        <f t="shared" si="1"/>
        <v>2018</v>
      </c>
      <c r="F66">
        <f t="shared" si="2"/>
        <v>3</v>
      </c>
    </row>
    <row r="67" spans="1:6">
      <c r="A67" s="6">
        <v>43190</v>
      </c>
      <c r="B67" s="43" t="s">
        <v>47</v>
      </c>
      <c r="C67" s="44">
        <v>10349.06</v>
      </c>
      <c r="D67" t="str">
        <f t="shared" ref="D67:D131" si="3">VLOOKUP(B67,$I:$J,2,0)</f>
        <v>皖北煤电债权</v>
      </c>
      <c r="E67">
        <f t="shared" ref="E67:E130" si="4">YEAR(A67)</f>
        <v>2018</v>
      </c>
      <c r="F67">
        <f t="shared" ref="F67:F130" si="5">MONTH(A67)</f>
        <v>3</v>
      </c>
    </row>
    <row r="68" spans="1:6">
      <c r="A68" s="6">
        <v>43190</v>
      </c>
      <c r="B68" s="43" t="s">
        <v>51</v>
      </c>
      <c r="C68" s="44">
        <v>14277.12</v>
      </c>
      <c r="D68" t="str">
        <f t="shared" si="3"/>
        <v>皖北煤电信托</v>
      </c>
      <c r="E68">
        <f t="shared" si="4"/>
        <v>2018</v>
      </c>
      <c r="F68">
        <f t="shared" si="5"/>
        <v>3</v>
      </c>
    </row>
    <row r="69" spans="1:6">
      <c r="A69" s="6">
        <v>43190</v>
      </c>
      <c r="B69" s="43" t="s">
        <v>53</v>
      </c>
      <c r="C69" s="44">
        <v>9636.81</v>
      </c>
      <c r="D69" t="str">
        <f t="shared" si="3"/>
        <v>中铁四局</v>
      </c>
      <c r="E69">
        <f t="shared" si="4"/>
        <v>2018</v>
      </c>
      <c r="F69">
        <f t="shared" si="5"/>
        <v>3</v>
      </c>
    </row>
    <row r="70" spans="1:6">
      <c r="A70" s="6">
        <v>43190</v>
      </c>
      <c r="B70" s="43" t="s">
        <v>48</v>
      </c>
      <c r="C70" s="44">
        <v>16037.76</v>
      </c>
      <c r="D70" t="str">
        <f t="shared" si="3"/>
        <v>徽商银行信托</v>
      </c>
      <c r="E70">
        <f t="shared" si="4"/>
        <v>2018</v>
      </c>
      <c r="F70">
        <f t="shared" si="5"/>
        <v>3</v>
      </c>
    </row>
    <row r="71" spans="1:6">
      <c r="A71" s="6">
        <v>43434</v>
      </c>
      <c r="B71" s="49" t="s">
        <v>37</v>
      </c>
      <c r="C71" s="4">
        <v>10603.3</v>
      </c>
      <c r="D71" t="str">
        <f t="shared" si="3"/>
        <v>安徽高速</v>
      </c>
      <c r="E71">
        <f t="shared" si="4"/>
        <v>2018</v>
      </c>
      <c r="F71">
        <f t="shared" si="5"/>
        <v>11</v>
      </c>
    </row>
    <row r="72" spans="1:6">
      <c r="A72" s="6">
        <v>43434</v>
      </c>
      <c r="B72" s="49" t="s">
        <v>42</v>
      </c>
      <c r="C72" s="4">
        <v>1416.87</v>
      </c>
      <c r="D72" t="str">
        <f t="shared" si="3"/>
        <v>徽商集团</v>
      </c>
      <c r="E72">
        <f t="shared" si="4"/>
        <v>2018</v>
      </c>
      <c r="F72">
        <f t="shared" si="5"/>
        <v>11</v>
      </c>
    </row>
    <row r="73" spans="1:6">
      <c r="A73" s="6">
        <v>43434</v>
      </c>
      <c r="B73" s="49" t="s">
        <v>47</v>
      </c>
      <c r="C73" s="4">
        <v>9444.8499999999894</v>
      </c>
      <c r="D73" t="str">
        <f t="shared" si="3"/>
        <v>皖北煤电债权</v>
      </c>
      <c r="E73">
        <f t="shared" si="4"/>
        <v>2018</v>
      </c>
      <c r="F73">
        <f t="shared" si="5"/>
        <v>11</v>
      </c>
    </row>
    <row r="74" spans="1:6">
      <c r="A74" s="6">
        <v>43434</v>
      </c>
      <c r="B74" s="49" t="s">
        <v>51</v>
      </c>
      <c r="C74" s="4">
        <v>14660.74</v>
      </c>
      <c r="D74" t="str">
        <f t="shared" si="3"/>
        <v>皖北煤电信托</v>
      </c>
      <c r="E74">
        <f t="shared" si="4"/>
        <v>2018</v>
      </c>
      <c r="F74">
        <f t="shared" si="5"/>
        <v>11</v>
      </c>
    </row>
    <row r="75" spans="1:6">
      <c r="A75" s="6">
        <v>43434</v>
      </c>
      <c r="B75" s="49" t="s">
        <v>53</v>
      </c>
      <c r="C75" s="4">
        <v>5239.4800000000096</v>
      </c>
      <c r="D75" t="str">
        <f t="shared" si="3"/>
        <v>中铁四局</v>
      </c>
      <c r="E75">
        <f t="shared" si="4"/>
        <v>2018</v>
      </c>
      <c r="F75">
        <f t="shared" si="5"/>
        <v>11</v>
      </c>
    </row>
    <row r="76" spans="1:6">
      <c r="A76" s="6">
        <v>43434</v>
      </c>
      <c r="B76" s="49" t="s">
        <v>48</v>
      </c>
      <c r="C76" s="4">
        <v>16375.03</v>
      </c>
      <c r="D76" t="str">
        <f t="shared" si="3"/>
        <v>徽商银行信托</v>
      </c>
      <c r="E76">
        <f t="shared" si="4"/>
        <v>2018</v>
      </c>
      <c r="F76">
        <f t="shared" si="5"/>
        <v>11</v>
      </c>
    </row>
    <row r="77" spans="1:6">
      <c r="A77" s="6">
        <v>43465</v>
      </c>
      <c r="B77" s="56" t="s">
        <v>37</v>
      </c>
      <c r="C77" s="4">
        <v>10848.09</v>
      </c>
      <c r="D77" t="str">
        <f t="shared" si="3"/>
        <v>安徽高速</v>
      </c>
      <c r="E77">
        <f t="shared" si="4"/>
        <v>2018</v>
      </c>
      <c r="F77">
        <f t="shared" si="5"/>
        <v>12</v>
      </c>
    </row>
    <row r="78" spans="1:6">
      <c r="A78" s="6">
        <v>43465</v>
      </c>
      <c r="B78" s="56" t="s">
        <v>42</v>
      </c>
      <c r="C78" s="4">
        <v>1488.54</v>
      </c>
      <c r="D78" t="str">
        <f t="shared" si="3"/>
        <v>徽商集团</v>
      </c>
      <c r="E78">
        <f t="shared" si="4"/>
        <v>2018</v>
      </c>
      <c r="F78">
        <f t="shared" si="5"/>
        <v>12</v>
      </c>
    </row>
    <row r="79" spans="1:6">
      <c r="A79" s="6">
        <v>43465</v>
      </c>
      <c r="B79" s="56" t="s">
        <v>47</v>
      </c>
      <c r="C79" s="4">
        <v>7795.42</v>
      </c>
      <c r="D79" t="str">
        <f t="shared" si="3"/>
        <v>皖北煤电债权</v>
      </c>
      <c r="E79">
        <f t="shared" si="4"/>
        <v>2018</v>
      </c>
      <c r="F79">
        <f t="shared" si="5"/>
        <v>12</v>
      </c>
    </row>
    <row r="80" spans="1:6">
      <c r="A80" s="6">
        <v>43465</v>
      </c>
      <c r="B80" s="56" t="s">
        <v>51</v>
      </c>
      <c r="C80" s="4">
        <v>15172.49</v>
      </c>
      <c r="D80" t="str">
        <f t="shared" si="3"/>
        <v>皖北煤电信托</v>
      </c>
      <c r="E80">
        <f t="shared" si="4"/>
        <v>2018</v>
      </c>
      <c r="F80">
        <f t="shared" si="5"/>
        <v>12</v>
      </c>
    </row>
    <row r="81" spans="1:7">
      <c r="A81" s="6">
        <v>43465</v>
      </c>
      <c r="B81" s="57" t="s">
        <v>53</v>
      </c>
      <c r="C81" s="4">
        <v>6146.75</v>
      </c>
      <c r="D81" t="str">
        <f t="shared" si="3"/>
        <v>中铁四局</v>
      </c>
      <c r="E81">
        <f t="shared" si="4"/>
        <v>2018</v>
      </c>
      <c r="F81">
        <f t="shared" si="5"/>
        <v>12</v>
      </c>
    </row>
    <row r="82" spans="1:7">
      <c r="A82" s="6">
        <v>43465</v>
      </c>
      <c r="B82" s="58" t="s">
        <v>48</v>
      </c>
      <c r="C82" s="4">
        <v>16941.5</v>
      </c>
      <c r="D82" t="str">
        <f t="shared" si="3"/>
        <v>徽商银行信托</v>
      </c>
      <c r="E82">
        <f t="shared" si="4"/>
        <v>2018</v>
      </c>
      <c r="F82">
        <f t="shared" si="5"/>
        <v>12</v>
      </c>
    </row>
    <row r="83" spans="1:7">
      <c r="A83" s="6">
        <v>43465</v>
      </c>
      <c r="B83" s="59" t="s">
        <v>37</v>
      </c>
      <c r="C83" s="4">
        <v>367.15000000000902</v>
      </c>
      <c r="D83" t="str">
        <f t="shared" si="3"/>
        <v>安徽高速</v>
      </c>
      <c r="E83">
        <f t="shared" si="4"/>
        <v>2018</v>
      </c>
      <c r="F83">
        <f t="shared" si="5"/>
        <v>12</v>
      </c>
      <c r="G83" t="s">
        <v>58</v>
      </c>
    </row>
    <row r="84" spans="1:7">
      <c r="A84" s="6">
        <v>43465</v>
      </c>
      <c r="B84" s="59" t="s">
        <v>42</v>
      </c>
      <c r="C84" s="4">
        <v>17.090000000000099</v>
      </c>
      <c r="D84" t="str">
        <f t="shared" si="3"/>
        <v>徽商集团</v>
      </c>
      <c r="E84">
        <f t="shared" si="4"/>
        <v>2018</v>
      </c>
      <c r="F84">
        <f t="shared" si="5"/>
        <v>12</v>
      </c>
      <c r="G84" t="s">
        <v>58</v>
      </c>
    </row>
    <row r="85" spans="1:7">
      <c r="A85" s="6">
        <v>43465</v>
      </c>
      <c r="B85" s="59" t="s">
        <v>47</v>
      </c>
      <c r="C85" s="4">
        <v>-985.79999999998802</v>
      </c>
      <c r="D85" t="str">
        <f t="shared" si="3"/>
        <v>皖北煤电债权</v>
      </c>
      <c r="E85">
        <f t="shared" si="4"/>
        <v>2018</v>
      </c>
      <c r="F85">
        <f t="shared" si="5"/>
        <v>12</v>
      </c>
      <c r="G85" t="s">
        <v>58</v>
      </c>
    </row>
    <row r="86" spans="1:7">
      <c r="A86" s="6">
        <v>43465</v>
      </c>
      <c r="B86" s="59" t="s">
        <v>51</v>
      </c>
      <c r="C86" s="4">
        <v>193.82000000000701</v>
      </c>
      <c r="D86" t="str">
        <f t="shared" si="3"/>
        <v>皖北煤电信托</v>
      </c>
      <c r="E86">
        <f t="shared" si="4"/>
        <v>2018</v>
      </c>
      <c r="F86">
        <f t="shared" si="5"/>
        <v>12</v>
      </c>
      <c r="G86" t="s">
        <v>58</v>
      </c>
    </row>
    <row r="87" spans="1:7">
      <c r="A87" s="6">
        <v>43465</v>
      </c>
      <c r="B87" s="59" t="s">
        <v>53</v>
      </c>
      <c r="C87" s="4">
        <v>-630.25</v>
      </c>
      <c r="D87" t="str">
        <f t="shared" si="3"/>
        <v>中铁四局</v>
      </c>
      <c r="E87">
        <f t="shared" si="4"/>
        <v>2018</v>
      </c>
      <c r="F87">
        <f t="shared" si="5"/>
        <v>12</v>
      </c>
      <c r="G87" t="s">
        <v>58</v>
      </c>
    </row>
    <row r="88" spans="1:7">
      <c r="A88" s="6">
        <v>43465</v>
      </c>
      <c r="B88" s="59" t="s">
        <v>48</v>
      </c>
      <c r="C88" s="4">
        <v>277.66999999998399</v>
      </c>
      <c r="D88" t="str">
        <f t="shared" si="3"/>
        <v>徽商银行信托</v>
      </c>
      <c r="E88">
        <f t="shared" si="4"/>
        <v>2018</v>
      </c>
      <c r="F88">
        <f t="shared" si="5"/>
        <v>12</v>
      </c>
      <c r="G88" t="s">
        <v>58</v>
      </c>
    </row>
    <row r="89" spans="1:7">
      <c r="A89" s="6">
        <v>43496</v>
      </c>
      <c r="B89" s="49" t="s">
        <v>37</v>
      </c>
      <c r="C89" s="44">
        <v>11791.18</v>
      </c>
      <c r="D89" t="str">
        <f t="shared" si="3"/>
        <v>安徽高速</v>
      </c>
      <c r="E89">
        <f t="shared" si="4"/>
        <v>2019</v>
      </c>
      <c r="F89">
        <f t="shared" si="5"/>
        <v>1</v>
      </c>
    </row>
    <row r="90" spans="1:7">
      <c r="A90" s="6">
        <v>43496</v>
      </c>
      <c r="B90" s="49" t="s">
        <v>56</v>
      </c>
      <c r="C90" s="44">
        <v>42454.05</v>
      </c>
      <c r="D90" t="str">
        <f t="shared" si="3"/>
        <v>安徽烟草肥外</v>
      </c>
      <c r="E90">
        <f t="shared" si="4"/>
        <v>2019</v>
      </c>
      <c r="F90">
        <f t="shared" si="5"/>
        <v>1</v>
      </c>
    </row>
    <row r="91" spans="1:7">
      <c r="A91" s="6">
        <v>43496</v>
      </c>
      <c r="B91" s="49" t="s">
        <v>42</v>
      </c>
      <c r="C91" s="44">
        <v>1560.82</v>
      </c>
      <c r="D91" t="str">
        <f t="shared" si="3"/>
        <v>徽商集团</v>
      </c>
      <c r="E91">
        <f t="shared" si="4"/>
        <v>2019</v>
      </c>
      <c r="F91">
        <f t="shared" si="5"/>
        <v>1</v>
      </c>
    </row>
    <row r="92" spans="1:7">
      <c r="A92" s="6">
        <v>43496</v>
      </c>
      <c r="B92" s="49" t="s">
        <v>47</v>
      </c>
      <c r="C92" s="44">
        <v>6463.38</v>
      </c>
      <c r="D92" t="str">
        <f t="shared" si="3"/>
        <v>皖北煤电债权</v>
      </c>
      <c r="E92">
        <f t="shared" si="4"/>
        <v>2019</v>
      </c>
      <c r="F92">
        <f t="shared" si="5"/>
        <v>1</v>
      </c>
    </row>
    <row r="93" spans="1:7">
      <c r="A93" s="6">
        <v>43496</v>
      </c>
      <c r="B93" s="49" t="s">
        <v>51</v>
      </c>
      <c r="C93" s="44">
        <v>16025.39</v>
      </c>
      <c r="D93" t="str">
        <f t="shared" si="3"/>
        <v>皖北煤电信托</v>
      </c>
      <c r="E93">
        <f t="shared" si="4"/>
        <v>2019</v>
      </c>
      <c r="F93">
        <f t="shared" si="5"/>
        <v>1</v>
      </c>
    </row>
    <row r="94" spans="1:7">
      <c r="A94" s="6">
        <v>43496</v>
      </c>
      <c r="B94" s="49" t="s">
        <v>53</v>
      </c>
      <c r="C94" s="44">
        <v>7232.97</v>
      </c>
      <c r="D94" t="str">
        <f t="shared" si="3"/>
        <v>中铁四局</v>
      </c>
      <c r="E94">
        <f t="shared" si="4"/>
        <v>2019</v>
      </c>
      <c r="F94">
        <f t="shared" si="5"/>
        <v>1</v>
      </c>
    </row>
    <row r="95" spans="1:7">
      <c r="A95" s="6">
        <v>43496</v>
      </c>
      <c r="B95" s="49" t="s">
        <v>48</v>
      </c>
      <c r="C95" s="44">
        <v>17913.2</v>
      </c>
      <c r="D95" t="str">
        <f t="shared" si="3"/>
        <v>徽商银行信托</v>
      </c>
      <c r="E95">
        <f t="shared" si="4"/>
        <v>2019</v>
      </c>
      <c r="F95">
        <f t="shared" si="5"/>
        <v>1</v>
      </c>
      <c r="G95" s="41">
        <f>SUM(C89:C95)</f>
        <v>103440.99</v>
      </c>
    </row>
    <row r="96" spans="1:7" ht="17.399999999999999">
      <c r="A96" s="6">
        <v>43524</v>
      </c>
      <c r="B96" s="30" t="s">
        <v>37</v>
      </c>
      <c r="C96" s="32">
        <v>10723.79</v>
      </c>
      <c r="D96" t="str">
        <f t="shared" si="3"/>
        <v>安徽高速</v>
      </c>
      <c r="E96">
        <f t="shared" si="4"/>
        <v>2019</v>
      </c>
      <c r="F96">
        <f t="shared" si="5"/>
        <v>2</v>
      </c>
      <c r="G96" s="41">
        <f>G95*0.94</f>
        <v>97234.530599999998</v>
      </c>
    </row>
    <row r="97" spans="1:7" ht="17.399999999999999">
      <c r="A97" s="6">
        <v>43524</v>
      </c>
      <c r="B97" s="30" t="s">
        <v>56</v>
      </c>
      <c r="C97" s="32">
        <v>35412.78</v>
      </c>
      <c r="D97" t="str">
        <f t="shared" si="3"/>
        <v>安徽烟草肥外</v>
      </c>
      <c r="E97">
        <f t="shared" si="4"/>
        <v>2019</v>
      </c>
      <c r="F97">
        <f t="shared" si="5"/>
        <v>2</v>
      </c>
      <c r="G97">
        <v>84366</v>
      </c>
    </row>
    <row r="98" spans="1:7" ht="17.399999999999999">
      <c r="A98" s="6">
        <v>43524</v>
      </c>
      <c r="B98" s="30" t="s">
        <v>42</v>
      </c>
      <c r="C98" s="32">
        <v>1278.8</v>
      </c>
      <c r="D98" t="str">
        <f t="shared" si="3"/>
        <v>徽商集团</v>
      </c>
      <c r="E98">
        <f t="shared" si="4"/>
        <v>2019</v>
      </c>
      <c r="F98">
        <f t="shared" si="5"/>
        <v>2</v>
      </c>
    </row>
    <row r="99" spans="1:7" ht="17.399999999999999">
      <c r="A99" s="6">
        <v>43524</v>
      </c>
      <c r="B99" s="30" t="s">
        <v>47</v>
      </c>
      <c r="C99" s="32">
        <v>3700.31</v>
      </c>
      <c r="D99" t="str">
        <f t="shared" si="3"/>
        <v>皖北煤电债权</v>
      </c>
      <c r="E99">
        <f t="shared" si="4"/>
        <v>2019</v>
      </c>
      <c r="F99">
        <f t="shared" si="5"/>
        <v>2</v>
      </c>
      <c r="G99" s="41"/>
    </row>
    <row r="100" spans="1:7" ht="17.399999999999999">
      <c r="A100" s="6">
        <v>43524</v>
      </c>
      <c r="B100" s="30" t="s">
        <v>51</v>
      </c>
      <c r="C100" s="32">
        <v>13090.6</v>
      </c>
      <c r="D100" t="str">
        <f t="shared" si="3"/>
        <v>皖北煤电信托</v>
      </c>
      <c r="E100">
        <f t="shared" si="4"/>
        <v>2019</v>
      </c>
      <c r="F100">
        <f t="shared" si="5"/>
        <v>2</v>
      </c>
    </row>
    <row r="101" spans="1:7" ht="17.399999999999999">
      <c r="A101" s="6">
        <v>43524</v>
      </c>
      <c r="B101" s="30" t="s">
        <v>53</v>
      </c>
      <c r="C101" s="32">
        <v>6474.35</v>
      </c>
      <c r="D101" t="str">
        <f t="shared" si="3"/>
        <v>中铁四局</v>
      </c>
      <c r="E101">
        <f t="shared" si="4"/>
        <v>2019</v>
      </c>
      <c r="F101">
        <f t="shared" si="5"/>
        <v>2</v>
      </c>
    </row>
    <row r="102" spans="1:7" ht="17.399999999999999">
      <c r="A102" s="6">
        <v>43524</v>
      </c>
      <c r="B102" s="30" t="s">
        <v>48</v>
      </c>
      <c r="C102" s="32">
        <v>14645.57</v>
      </c>
      <c r="D102" t="str">
        <f t="shared" si="3"/>
        <v>徽商银行信托</v>
      </c>
      <c r="E102">
        <f t="shared" si="4"/>
        <v>2019</v>
      </c>
      <c r="F102">
        <f t="shared" si="5"/>
        <v>2</v>
      </c>
    </row>
    <row r="103" spans="1:7" ht="15.6">
      <c r="A103" s="6">
        <v>43555</v>
      </c>
      <c r="B103" s="49" t="s">
        <v>37</v>
      </c>
      <c r="C103" s="60">
        <v>12494.49</v>
      </c>
      <c r="D103" t="str">
        <f t="shared" si="3"/>
        <v>安徽高速</v>
      </c>
      <c r="E103">
        <f t="shared" si="4"/>
        <v>2019</v>
      </c>
      <c r="F103">
        <f t="shared" si="5"/>
        <v>3</v>
      </c>
    </row>
    <row r="104" spans="1:7" ht="15.6">
      <c r="A104" s="6">
        <v>43555</v>
      </c>
      <c r="B104" s="49" t="s">
        <v>56</v>
      </c>
      <c r="C104" s="60">
        <v>40853.089999999997</v>
      </c>
      <c r="D104" t="str">
        <f t="shared" si="3"/>
        <v>安徽烟草肥外</v>
      </c>
      <c r="E104">
        <f t="shared" si="4"/>
        <v>2019</v>
      </c>
      <c r="F104">
        <f t="shared" si="5"/>
        <v>3</v>
      </c>
    </row>
    <row r="105" spans="1:7" ht="15.6">
      <c r="A105" s="6">
        <v>43555</v>
      </c>
      <c r="B105" s="49" t="s">
        <v>42</v>
      </c>
      <c r="C105" s="60">
        <v>1503.24</v>
      </c>
      <c r="D105" t="str">
        <f t="shared" si="3"/>
        <v>徽商集团</v>
      </c>
      <c r="E105">
        <f t="shared" si="4"/>
        <v>2019</v>
      </c>
      <c r="F105">
        <f t="shared" si="5"/>
        <v>3</v>
      </c>
    </row>
    <row r="106" spans="1:7" ht="15.6">
      <c r="A106" s="6">
        <v>43555</v>
      </c>
      <c r="B106" s="49" t="s">
        <v>47</v>
      </c>
      <c r="C106" s="60">
        <v>4629.67</v>
      </c>
      <c r="D106" t="str">
        <f t="shared" si="3"/>
        <v>皖北煤电债权</v>
      </c>
      <c r="E106">
        <f t="shared" si="4"/>
        <v>2019</v>
      </c>
      <c r="F106">
        <f t="shared" si="5"/>
        <v>3</v>
      </c>
    </row>
    <row r="107" spans="1:7" ht="15.6">
      <c r="A107" s="6">
        <v>43555</v>
      </c>
      <c r="B107" s="49" t="s">
        <v>51</v>
      </c>
      <c r="C107" s="60">
        <v>15397.44</v>
      </c>
      <c r="D107" t="str">
        <f t="shared" si="3"/>
        <v>皖北煤电信托</v>
      </c>
      <c r="E107">
        <f t="shared" si="4"/>
        <v>2019</v>
      </c>
      <c r="F107">
        <f t="shared" si="5"/>
        <v>3</v>
      </c>
    </row>
    <row r="108" spans="1:7" ht="15.6">
      <c r="A108" s="6">
        <v>43555</v>
      </c>
      <c r="B108" s="49" t="s">
        <v>53</v>
      </c>
      <c r="C108" s="60">
        <v>8245.49</v>
      </c>
      <c r="D108" t="str">
        <f t="shared" si="3"/>
        <v>中铁四局</v>
      </c>
      <c r="E108">
        <f t="shared" si="4"/>
        <v>2019</v>
      </c>
      <c r="F108">
        <f t="shared" si="5"/>
        <v>3</v>
      </c>
    </row>
    <row r="109" spans="1:7" ht="15.6">
      <c r="A109" s="6">
        <v>43555</v>
      </c>
      <c r="B109" s="49" t="s">
        <v>48</v>
      </c>
      <c r="C109" s="60">
        <v>17236.32</v>
      </c>
      <c r="D109" t="str">
        <f t="shared" si="3"/>
        <v>徽商银行信托</v>
      </c>
      <c r="E109">
        <f t="shared" si="4"/>
        <v>2019</v>
      </c>
      <c r="F109">
        <f t="shared" si="5"/>
        <v>3</v>
      </c>
    </row>
    <row r="110" spans="1:7">
      <c r="A110" s="6">
        <v>43585</v>
      </c>
      <c r="B110" s="49" t="s">
        <v>37</v>
      </c>
      <c r="C110" s="44">
        <v>11615.23</v>
      </c>
      <c r="D110" t="str">
        <f t="shared" si="3"/>
        <v>安徽高速</v>
      </c>
      <c r="E110">
        <f t="shared" si="4"/>
        <v>2019</v>
      </c>
      <c r="F110">
        <f t="shared" si="5"/>
        <v>4</v>
      </c>
    </row>
    <row r="111" spans="1:7">
      <c r="A111" s="6">
        <v>43585</v>
      </c>
      <c r="B111" s="49" t="s">
        <v>56</v>
      </c>
      <c r="C111" s="44">
        <v>40561.82</v>
      </c>
      <c r="D111" t="str">
        <f t="shared" si="3"/>
        <v>安徽烟草肥外</v>
      </c>
      <c r="E111">
        <f t="shared" si="4"/>
        <v>2019</v>
      </c>
      <c r="F111">
        <f t="shared" si="5"/>
        <v>4</v>
      </c>
    </row>
    <row r="112" spans="1:7">
      <c r="A112" s="6">
        <v>43585</v>
      </c>
      <c r="B112" s="49" t="s">
        <v>42</v>
      </c>
      <c r="C112" s="44">
        <v>1463.19</v>
      </c>
      <c r="D112" t="str">
        <f t="shared" si="3"/>
        <v>徽商集团</v>
      </c>
      <c r="E112">
        <f t="shared" si="4"/>
        <v>2019</v>
      </c>
      <c r="F112">
        <f t="shared" si="5"/>
        <v>4</v>
      </c>
    </row>
    <row r="113" spans="1:6">
      <c r="A113" s="6">
        <v>43585</v>
      </c>
      <c r="B113" s="49" t="s">
        <v>47</v>
      </c>
      <c r="C113" s="44">
        <v>4449.09</v>
      </c>
      <c r="D113" t="str">
        <f t="shared" si="3"/>
        <v>皖北煤电债权</v>
      </c>
      <c r="E113">
        <f t="shared" si="4"/>
        <v>2019</v>
      </c>
      <c r="F113">
        <f t="shared" si="5"/>
        <v>4</v>
      </c>
    </row>
    <row r="114" spans="1:6">
      <c r="A114" s="6">
        <v>43585</v>
      </c>
      <c r="B114" s="49" t="s">
        <v>51</v>
      </c>
      <c r="C114" s="44">
        <v>14981.24</v>
      </c>
      <c r="D114" t="str">
        <f t="shared" si="3"/>
        <v>皖北煤电信托</v>
      </c>
      <c r="E114">
        <f t="shared" si="4"/>
        <v>2019</v>
      </c>
      <c r="F114">
        <f t="shared" si="5"/>
        <v>4</v>
      </c>
    </row>
    <row r="115" spans="1:6">
      <c r="A115" s="6">
        <v>43585</v>
      </c>
      <c r="B115" s="49" t="s">
        <v>53</v>
      </c>
      <c r="C115" s="44">
        <v>8693.43</v>
      </c>
      <c r="D115" t="str">
        <f t="shared" si="3"/>
        <v>中铁四局</v>
      </c>
      <c r="E115">
        <f t="shared" si="4"/>
        <v>2019</v>
      </c>
      <c r="F115">
        <f t="shared" si="5"/>
        <v>4</v>
      </c>
    </row>
    <row r="116" spans="1:6">
      <c r="A116" s="6">
        <v>43585</v>
      </c>
      <c r="B116" s="49" t="s">
        <v>48</v>
      </c>
      <c r="C116" s="44">
        <v>16775.080000000002</v>
      </c>
      <c r="D116" t="str">
        <f t="shared" si="3"/>
        <v>徽商银行信托</v>
      </c>
      <c r="E116">
        <f t="shared" si="4"/>
        <v>2019</v>
      </c>
      <c r="F116">
        <f t="shared" si="5"/>
        <v>4</v>
      </c>
    </row>
    <row r="117" spans="1:6">
      <c r="A117" s="6">
        <v>43616</v>
      </c>
      <c r="B117" s="49" t="s">
        <v>37</v>
      </c>
      <c r="C117" s="44">
        <v>11022.2</v>
      </c>
      <c r="D117" t="str">
        <f t="shared" si="3"/>
        <v>安徽高速</v>
      </c>
      <c r="E117">
        <f t="shared" si="4"/>
        <v>2019</v>
      </c>
      <c r="F117">
        <f t="shared" si="5"/>
        <v>5</v>
      </c>
    </row>
    <row r="118" spans="1:6">
      <c r="A118" s="6">
        <v>43616</v>
      </c>
      <c r="B118" s="49" t="s">
        <v>56</v>
      </c>
      <c r="C118" s="44">
        <v>42802.39</v>
      </c>
      <c r="D118" t="str">
        <f t="shared" si="3"/>
        <v>安徽烟草肥外</v>
      </c>
      <c r="E118">
        <f t="shared" si="4"/>
        <v>2019</v>
      </c>
      <c r="F118">
        <f t="shared" si="5"/>
        <v>5</v>
      </c>
    </row>
    <row r="119" spans="1:6">
      <c r="A119" s="6">
        <v>43616</v>
      </c>
      <c r="B119" s="49" t="s">
        <v>42</v>
      </c>
      <c r="C119" s="44">
        <v>1508.4</v>
      </c>
      <c r="D119" t="str">
        <f t="shared" si="3"/>
        <v>徽商集团</v>
      </c>
      <c r="E119">
        <f t="shared" si="4"/>
        <v>2019</v>
      </c>
      <c r="F119">
        <f t="shared" si="5"/>
        <v>5</v>
      </c>
    </row>
    <row r="120" spans="1:6">
      <c r="A120" s="6">
        <v>43616</v>
      </c>
      <c r="B120" s="49" t="s">
        <v>47</v>
      </c>
      <c r="C120" s="44">
        <v>4639.95</v>
      </c>
      <c r="D120" t="str">
        <f t="shared" si="3"/>
        <v>皖北煤电债权</v>
      </c>
      <c r="E120">
        <f t="shared" si="4"/>
        <v>2019</v>
      </c>
      <c r="F120">
        <f t="shared" si="5"/>
        <v>5</v>
      </c>
    </row>
    <row r="121" spans="1:6">
      <c r="A121" s="6">
        <v>43616</v>
      </c>
      <c r="B121" s="49" t="s">
        <v>51</v>
      </c>
      <c r="C121" s="44">
        <v>15553.56</v>
      </c>
      <c r="D121" t="str">
        <f t="shared" si="3"/>
        <v>皖北煤电信托</v>
      </c>
      <c r="E121">
        <f t="shared" si="4"/>
        <v>2019</v>
      </c>
      <c r="F121">
        <f t="shared" si="5"/>
        <v>5</v>
      </c>
    </row>
    <row r="122" spans="1:6">
      <c r="A122" s="6">
        <v>43616</v>
      </c>
      <c r="B122" s="49" t="s">
        <v>53</v>
      </c>
      <c r="C122" s="44">
        <v>8893.01</v>
      </c>
      <c r="D122" t="str">
        <f t="shared" si="3"/>
        <v>中铁四局</v>
      </c>
      <c r="E122">
        <f t="shared" si="4"/>
        <v>2019</v>
      </c>
      <c r="F122">
        <f t="shared" si="5"/>
        <v>5</v>
      </c>
    </row>
    <row r="123" spans="1:6">
      <c r="A123" s="6">
        <v>43616</v>
      </c>
      <c r="B123" s="49" t="s">
        <v>48</v>
      </c>
      <c r="C123" s="44">
        <v>17427.009999999998</v>
      </c>
      <c r="D123" t="str">
        <f t="shared" si="3"/>
        <v>徽商银行信托</v>
      </c>
      <c r="E123">
        <f t="shared" si="4"/>
        <v>2019</v>
      </c>
      <c r="F123">
        <f t="shared" si="5"/>
        <v>5</v>
      </c>
    </row>
    <row r="124" spans="1:6">
      <c r="A124" s="6">
        <v>43646</v>
      </c>
      <c r="B124" s="67" t="s">
        <v>37</v>
      </c>
      <c r="C124" s="68">
        <v>10661.130000000005</v>
      </c>
      <c r="D124" t="str">
        <f t="shared" si="3"/>
        <v>安徽高速</v>
      </c>
      <c r="E124">
        <f t="shared" si="4"/>
        <v>2019</v>
      </c>
      <c r="F124">
        <f t="shared" si="5"/>
        <v>6</v>
      </c>
    </row>
    <row r="125" spans="1:6">
      <c r="A125" s="6">
        <v>43646</v>
      </c>
      <c r="B125" s="67" t="s">
        <v>56</v>
      </c>
      <c r="C125" s="68">
        <v>41564.19</v>
      </c>
      <c r="D125" t="str">
        <f t="shared" si="3"/>
        <v>安徽烟草肥外</v>
      </c>
      <c r="E125">
        <f t="shared" si="4"/>
        <v>2019</v>
      </c>
      <c r="F125">
        <f t="shared" si="5"/>
        <v>6</v>
      </c>
    </row>
    <row r="126" spans="1:6">
      <c r="A126" s="6">
        <v>43646</v>
      </c>
      <c r="B126" s="67" t="s">
        <v>42</v>
      </c>
      <c r="C126" s="68">
        <v>1465.8900000000003</v>
      </c>
      <c r="D126" t="str">
        <f t="shared" si="3"/>
        <v>徽商集团</v>
      </c>
      <c r="E126">
        <f t="shared" si="4"/>
        <v>2019</v>
      </c>
      <c r="F126">
        <f t="shared" si="5"/>
        <v>6</v>
      </c>
    </row>
    <row r="127" spans="1:6">
      <c r="A127" s="6">
        <v>43646</v>
      </c>
      <c r="B127" s="67" t="s">
        <v>47</v>
      </c>
      <c r="C127" s="68">
        <v>3637.8199999999997</v>
      </c>
      <c r="D127" t="str">
        <f t="shared" si="3"/>
        <v>皖北煤电债权</v>
      </c>
      <c r="E127">
        <f t="shared" si="4"/>
        <v>2019</v>
      </c>
      <c r="F127">
        <f t="shared" si="5"/>
        <v>6</v>
      </c>
    </row>
    <row r="128" spans="1:6">
      <c r="A128" s="6">
        <v>43646</v>
      </c>
      <c r="B128" s="67" t="s">
        <v>51</v>
      </c>
      <c r="C128" s="68">
        <v>15129.840000000011</v>
      </c>
      <c r="D128" t="str">
        <f t="shared" si="3"/>
        <v>皖北煤电信托</v>
      </c>
      <c r="E128">
        <f t="shared" si="4"/>
        <v>2019</v>
      </c>
      <c r="F128">
        <f t="shared" si="5"/>
        <v>6</v>
      </c>
    </row>
    <row r="129" spans="1:6">
      <c r="A129" s="6">
        <v>43646</v>
      </c>
      <c r="B129" s="67" t="s">
        <v>53</v>
      </c>
      <c r="C129" s="68">
        <v>8420.82</v>
      </c>
      <c r="D129" t="str">
        <f t="shared" si="3"/>
        <v>中铁四局</v>
      </c>
      <c r="E129">
        <f t="shared" si="4"/>
        <v>2019</v>
      </c>
      <c r="F129">
        <f t="shared" si="5"/>
        <v>6</v>
      </c>
    </row>
    <row r="130" spans="1:6">
      <c r="A130" s="6">
        <v>43646</v>
      </c>
      <c r="B130" s="67" t="s">
        <v>48</v>
      </c>
      <c r="C130" s="68">
        <v>16966.47</v>
      </c>
      <c r="D130" t="str">
        <f t="shared" si="3"/>
        <v>徽商银行信托</v>
      </c>
      <c r="E130">
        <f t="shared" si="4"/>
        <v>2019</v>
      </c>
      <c r="F130">
        <f t="shared" si="5"/>
        <v>6</v>
      </c>
    </row>
    <row r="131" spans="1:6">
      <c r="A131" s="6">
        <v>43677</v>
      </c>
      <c r="B131" s="87" t="s">
        <v>37</v>
      </c>
      <c r="C131" s="88">
        <v>8924.5599999999977</v>
      </c>
      <c r="D131" t="str">
        <f t="shared" si="3"/>
        <v>安徽高速</v>
      </c>
      <c r="E131">
        <f t="shared" ref="E131:E194" si="6">YEAR(A131)</f>
        <v>2019</v>
      </c>
      <c r="F131">
        <f t="shared" ref="F131:F194" si="7">MONTH(A131)</f>
        <v>7</v>
      </c>
    </row>
    <row r="132" spans="1:6">
      <c r="A132" s="6">
        <v>43677</v>
      </c>
      <c r="B132" s="87" t="s">
        <v>56</v>
      </c>
      <c r="C132" s="88">
        <v>42071.700000000012</v>
      </c>
      <c r="D132" t="str">
        <f t="shared" ref="D132:D195" si="8">VLOOKUP(B132,$I:$J,2,0)</f>
        <v>安徽烟草肥外</v>
      </c>
      <c r="E132">
        <f t="shared" si="6"/>
        <v>2019</v>
      </c>
      <c r="F132">
        <f t="shared" si="7"/>
        <v>7</v>
      </c>
    </row>
    <row r="133" spans="1:6">
      <c r="A133" s="6">
        <v>43677</v>
      </c>
      <c r="B133" s="87" t="s">
        <v>42</v>
      </c>
      <c r="C133" s="88">
        <v>1209.5300000000007</v>
      </c>
      <c r="D133" t="str">
        <f t="shared" si="8"/>
        <v>徽商集团</v>
      </c>
      <c r="E133">
        <f t="shared" si="6"/>
        <v>2019</v>
      </c>
      <c r="F133">
        <f t="shared" si="7"/>
        <v>7</v>
      </c>
    </row>
    <row r="134" spans="1:6">
      <c r="A134" s="6">
        <v>43677</v>
      </c>
      <c r="B134" s="87" t="s">
        <v>47</v>
      </c>
      <c r="C134" s="88">
        <v>3800.0799999999981</v>
      </c>
      <c r="D134" t="str">
        <f t="shared" si="8"/>
        <v>皖北煤电债权</v>
      </c>
      <c r="E134">
        <f t="shared" si="6"/>
        <v>2019</v>
      </c>
      <c r="F134">
        <f t="shared" si="7"/>
        <v>7</v>
      </c>
    </row>
    <row r="135" spans="1:6">
      <c r="A135" s="6">
        <v>43677</v>
      </c>
      <c r="B135" s="87" t="s">
        <v>51</v>
      </c>
      <c r="C135" s="88">
        <v>15684.729999999996</v>
      </c>
      <c r="D135" t="str">
        <f t="shared" si="8"/>
        <v>皖北煤电信托</v>
      </c>
      <c r="E135">
        <f t="shared" si="6"/>
        <v>2019</v>
      </c>
      <c r="F135">
        <f t="shared" si="7"/>
        <v>7</v>
      </c>
    </row>
    <row r="136" spans="1:6">
      <c r="A136" s="6">
        <v>43677</v>
      </c>
      <c r="B136" s="87" t="s">
        <v>53</v>
      </c>
      <c r="C136" s="88">
        <v>8700.3499999999985</v>
      </c>
      <c r="D136" t="str">
        <f t="shared" si="8"/>
        <v>中铁四局</v>
      </c>
      <c r="E136">
        <f t="shared" si="6"/>
        <v>2019</v>
      </c>
      <c r="F136">
        <f t="shared" si="7"/>
        <v>7</v>
      </c>
    </row>
    <row r="137" spans="1:6">
      <c r="A137" s="6">
        <v>43677</v>
      </c>
      <c r="B137" s="87" t="s">
        <v>48</v>
      </c>
      <c r="C137" s="88">
        <v>17595.28</v>
      </c>
      <c r="D137" t="str">
        <f t="shared" si="8"/>
        <v>徽商银行信托</v>
      </c>
      <c r="E137">
        <f t="shared" si="6"/>
        <v>2019</v>
      </c>
      <c r="F137">
        <f t="shared" si="7"/>
        <v>7</v>
      </c>
    </row>
    <row r="138" spans="1:6">
      <c r="A138" s="6">
        <v>43708</v>
      </c>
      <c r="B138" s="89" t="s">
        <v>37</v>
      </c>
      <c r="C138" s="90">
        <v>6955.429999999993</v>
      </c>
      <c r="D138" t="str">
        <f t="shared" si="8"/>
        <v>安徽高速</v>
      </c>
      <c r="E138">
        <f t="shared" si="6"/>
        <v>2019</v>
      </c>
      <c r="F138">
        <f t="shared" si="7"/>
        <v>8</v>
      </c>
    </row>
    <row r="139" spans="1:6">
      <c r="A139" s="6">
        <v>43708</v>
      </c>
      <c r="B139" s="89" t="s">
        <v>56</v>
      </c>
      <c r="C139" s="90">
        <v>41156.579999999958</v>
      </c>
      <c r="D139" t="str">
        <f t="shared" si="8"/>
        <v>安徽烟草肥外</v>
      </c>
      <c r="E139">
        <f t="shared" si="6"/>
        <v>2019</v>
      </c>
      <c r="F139">
        <f t="shared" si="7"/>
        <v>8</v>
      </c>
    </row>
    <row r="140" spans="1:6">
      <c r="A140" s="6">
        <v>43708</v>
      </c>
      <c r="B140" s="89" t="s">
        <v>42</v>
      </c>
      <c r="C140" s="90">
        <v>1137.1499999999996</v>
      </c>
      <c r="D140" t="str">
        <f t="shared" si="8"/>
        <v>徽商集团</v>
      </c>
      <c r="E140">
        <f t="shared" si="6"/>
        <v>2019</v>
      </c>
      <c r="F140">
        <f t="shared" si="7"/>
        <v>8</v>
      </c>
    </row>
    <row r="141" spans="1:6">
      <c r="A141" s="6">
        <v>43708</v>
      </c>
      <c r="B141" s="89" t="s">
        <v>139</v>
      </c>
      <c r="C141" s="90">
        <v>3738.2599999999984</v>
      </c>
      <c r="D141" t="str">
        <f t="shared" si="8"/>
        <v>皖北煤电债权</v>
      </c>
      <c r="E141">
        <f t="shared" si="6"/>
        <v>2019</v>
      </c>
      <c r="F141">
        <f t="shared" si="7"/>
        <v>8</v>
      </c>
    </row>
    <row r="142" spans="1:6">
      <c r="A142" s="6">
        <v>43708</v>
      </c>
      <c r="B142" s="89" t="s">
        <v>51</v>
      </c>
      <c r="C142" s="90">
        <v>15783.179999999993</v>
      </c>
      <c r="D142" t="str">
        <f t="shared" si="8"/>
        <v>皖北煤电信托</v>
      </c>
      <c r="E142">
        <f t="shared" si="6"/>
        <v>2019</v>
      </c>
      <c r="F142">
        <f t="shared" si="7"/>
        <v>8</v>
      </c>
    </row>
    <row r="143" spans="1:6">
      <c r="A143" s="6">
        <v>43708</v>
      </c>
      <c r="B143" s="89" t="s">
        <v>53</v>
      </c>
      <c r="C143" s="90">
        <v>10327.740000000005</v>
      </c>
      <c r="D143" t="str">
        <f t="shared" si="8"/>
        <v>中铁四局</v>
      </c>
      <c r="E143">
        <f t="shared" si="6"/>
        <v>2019</v>
      </c>
      <c r="F143">
        <f t="shared" si="7"/>
        <v>8</v>
      </c>
    </row>
    <row r="144" spans="1:6">
      <c r="A144" s="6">
        <v>43708</v>
      </c>
      <c r="B144" s="89" t="s">
        <v>140</v>
      </c>
      <c r="C144" s="90">
        <v>17713.49000000002</v>
      </c>
      <c r="D144" t="str">
        <f t="shared" si="8"/>
        <v>徽商银行信托</v>
      </c>
      <c r="E144">
        <f t="shared" si="6"/>
        <v>2019</v>
      </c>
      <c r="F144">
        <f t="shared" si="7"/>
        <v>8</v>
      </c>
    </row>
    <row r="145" spans="1:6">
      <c r="A145" s="6">
        <v>43799</v>
      </c>
      <c r="B145" t="s">
        <v>155</v>
      </c>
      <c r="C145">
        <v>616.49</v>
      </c>
      <c r="D145" t="str">
        <f t="shared" si="8"/>
        <v>古井</v>
      </c>
      <c r="E145">
        <f t="shared" si="6"/>
        <v>2019</v>
      </c>
      <c r="F145">
        <f t="shared" si="7"/>
        <v>11</v>
      </c>
    </row>
    <row r="146" spans="1:6">
      <c r="A146" s="6">
        <v>43799</v>
      </c>
      <c r="B146" t="s">
        <v>48</v>
      </c>
      <c r="C146">
        <v>676.37999999997555</v>
      </c>
      <c r="D146" t="str">
        <f t="shared" si="8"/>
        <v>徽商银行信托</v>
      </c>
      <c r="E146">
        <f t="shared" si="6"/>
        <v>2019</v>
      </c>
      <c r="F146">
        <f t="shared" si="7"/>
        <v>11</v>
      </c>
    </row>
    <row r="147" spans="1:6">
      <c r="A147" s="6">
        <v>43799</v>
      </c>
      <c r="B147" t="s">
        <v>53</v>
      </c>
      <c r="C147">
        <v>13874.970000000001</v>
      </c>
      <c r="D147" t="str">
        <f t="shared" si="8"/>
        <v>中铁四局</v>
      </c>
      <c r="E147">
        <f t="shared" si="6"/>
        <v>2019</v>
      </c>
      <c r="F147">
        <f t="shared" si="7"/>
        <v>11</v>
      </c>
    </row>
    <row r="148" spans="1:6">
      <c r="A148" s="6">
        <v>43799</v>
      </c>
      <c r="B148" t="s">
        <v>51</v>
      </c>
      <c r="C148">
        <v>14952.190000000002</v>
      </c>
      <c r="D148" t="str">
        <f t="shared" si="8"/>
        <v>皖北煤电信托</v>
      </c>
      <c r="E148">
        <f t="shared" si="6"/>
        <v>2019</v>
      </c>
      <c r="F148">
        <f t="shared" si="7"/>
        <v>11</v>
      </c>
    </row>
    <row r="149" spans="1:6">
      <c r="A149" s="6">
        <v>43799</v>
      </c>
      <c r="B149" t="s">
        <v>47</v>
      </c>
      <c r="C149">
        <v>3630.75</v>
      </c>
      <c r="D149" t="str">
        <f t="shared" si="8"/>
        <v>皖北煤电债权</v>
      </c>
      <c r="E149">
        <f t="shared" si="6"/>
        <v>2019</v>
      </c>
      <c r="F149">
        <f t="shared" si="7"/>
        <v>11</v>
      </c>
    </row>
    <row r="150" spans="1:6">
      <c r="A150" s="6">
        <v>43799</v>
      </c>
      <c r="B150" t="s">
        <v>42</v>
      </c>
      <c r="C150">
        <v>1057.9099999999999</v>
      </c>
      <c r="D150" t="str">
        <f t="shared" si="8"/>
        <v>徽商集团</v>
      </c>
      <c r="E150">
        <f t="shared" si="6"/>
        <v>2019</v>
      </c>
      <c r="F150">
        <f t="shared" si="7"/>
        <v>11</v>
      </c>
    </row>
    <row r="151" spans="1:6">
      <c r="A151" s="6">
        <v>43799</v>
      </c>
      <c r="B151" t="s">
        <v>56</v>
      </c>
      <c r="C151">
        <v>37528.789999999979</v>
      </c>
      <c r="D151" t="str">
        <f t="shared" si="8"/>
        <v>安徽烟草肥外</v>
      </c>
      <c r="E151">
        <f t="shared" si="6"/>
        <v>2019</v>
      </c>
      <c r="F151">
        <f t="shared" si="7"/>
        <v>11</v>
      </c>
    </row>
    <row r="152" spans="1:6">
      <c r="A152" s="6">
        <v>43799</v>
      </c>
      <c r="B152" t="s">
        <v>37</v>
      </c>
      <c r="C152">
        <v>11206.089999999997</v>
      </c>
      <c r="D152" t="str">
        <f t="shared" si="8"/>
        <v>安徽高速</v>
      </c>
      <c r="E152">
        <f t="shared" si="6"/>
        <v>2019</v>
      </c>
      <c r="F152">
        <f t="shared" si="7"/>
        <v>11</v>
      </c>
    </row>
    <row r="153" spans="1:6">
      <c r="A153" s="6">
        <v>43769</v>
      </c>
      <c r="B153" s="98" t="s">
        <v>48</v>
      </c>
      <c r="C153" s="98">
        <v>17811.820000000007</v>
      </c>
      <c r="D153" t="str">
        <f t="shared" si="8"/>
        <v>徽商银行信托</v>
      </c>
      <c r="E153">
        <f t="shared" si="6"/>
        <v>2019</v>
      </c>
      <c r="F153">
        <f t="shared" si="7"/>
        <v>10</v>
      </c>
    </row>
    <row r="154" spans="1:6">
      <c r="A154" s="6">
        <v>43769</v>
      </c>
      <c r="B154" s="98" t="s">
        <v>53</v>
      </c>
      <c r="C154" s="98">
        <v>13928.289999999994</v>
      </c>
      <c r="D154" t="str">
        <f t="shared" si="8"/>
        <v>中铁四局</v>
      </c>
      <c r="E154">
        <f t="shared" si="6"/>
        <v>2019</v>
      </c>
      <c r="F154">
        <f t="shared" si="7"/>
        <v>10</v>
      </c>
    </row>
    <row r="155" spans="1:6">
      <c r="A155" s="6">
        <v>43769</v>
      </c>
      <c r="B155" s="98" t="s">
        <v>51</v>
      </c>
      <c r="C155" s="98">
        <v>15936.029999999999</v>
      </c>
      <c r="D155" t="str">
        <f t="shared" si="8"/>
        <v>皖北煤电信托</v>
      </c>
      <c r="E155">
        <f t="shared" si="6"/>
        <v>2019</v>
      </c>
      <c r="F155">
        <f t="shared" si="7"/>
        <v>10</v>
      </c>
    </row>
    <row r="156" spans="1:6">
      <c r="A156" s="6">
        <v>43769</v>
      </c>
      <c r="B156" s="98" t="s">
        <v>47</v>
      </c>
      <c r="C156" s="98">
        <v>3851.0400000000009</v>
      </c>
      <c r="D156" t="str">
        <f t="shared" si="8"/>
        <v>皖北煤电债权</v>
      </c>
      <c r="E156">
        <f t="shared" si="6"/>
        <v>2019</v>
      </c>
      <c r="F156">
        <f t="shared" si="7"/>
        <v>10</v>
      </c>
    </row>
    <row r="157" spans="1:6">
      <c r="A157" s="6">
        <v>43769</v>
      </c>
      <c r="B157" s="98" t="s">
        <v>42</v>
      </c>
      <c r="C157" s="98">
        <v>11961.66</v>
      </c>
      <c r="D157" t="str">
        <f t="shared" si="8"/>
        <v>徽商集团</v>
      </c>
      <c r="E157">
        <f t="shared" si="6"/>
        <v>2019</v>
      </c>
      <c r="F157">
        <f t="shared" si="7"/>
        <v>10</v>
      </c>
    </row>
    <row r="158" spans="1:6">
      <c r="A158" s="6">
        <v>43769</v>
      </c>
      <c r="B158" s="98" t="s">
        <v>56</v>
      </c>
      <c r="C158" s="98">
        <v>39342.910000000033</v>
      </c>
      <c r="D158" t="str">
        <f t="shared" si="8"/>
        <v>安徽烟草肥外</v>
      </c>
      <c r="E158">
        <f t="shared" si="6"/>
        <v>2019</v>
      </c>
      <c r="F158">
        <f t="shared" si="7"/>
        <v>10</v>
      </c>
    </row>
    <row r="159" spans="1:6">
      <c r="A159" s="6">
        <v>43769</v>
      </c>
      <c r="B159" s="98" t="s">
        <v>37</v>
      </c>
      <c r="C159" s="98">
        <v>7104.4000000000087</v>
      </c>
      <c r="D159" t="str">
        <f t="shared" si="8"/>
        <v>安徽高速</v>
      </c>
      <c r="E159">
        <f t="shared" si="6"/>
        <v>2019</v>
      </c>
      <c r="F159">
        <f t="shared" si="7"/>
        <v>10</v>
      </c>
    </row>
    <row r="160" spans="1:6">
      <c r="A160" s="6">
        <v>43738</v>
      </c>
      <c r="B160" t="s">
        <v>37</v>
      </c>
      <c r="C160">
        <v>7404.9700000000012</v>
      </c>
      <c r="D160" t="str">
        <f t="shared" si="8"/>
        <v>安徽高速</v>
      </c>
      <c r="E160">
        <f t="shared" si="6"/>
        <v>2019</v>
      </c>
      <c r="F160">
        <f t="shared" si="7"/>
        <v>9</v>
      </c>
    </row>
    <row r="161" spans="1:7">
      <c r="A161" s="6">
        <v>43738</v>
      </c>
      <c r="B161" t="s">
        <v>56</v>
      </c>
      <c r="C161">
        <v>39567.890000000014</v>
      </c>
      <c r="D161" t="str">
        <f t="shared" si="8"/>
        <v>安徽烟草肥外</v>
      </c>
      <c r="E161">
        <f t="shared" si="6"/>
        <v>2019</v>
      </c>
      <c r="F161">
        <f t="shared" si="7"/>
        <v>9</v>
      </c>
    </row>
    <row r="162" spans="1:7">
      <c r="A162" s="6">
        <v>43738</v>
      </c>
      <c r="B162" t="s">
        <v>42</v>
      </c>
      <c r="C162">
        <v>1119.5</v>
      </c>
      <c r="D162" t="str">
        <f t="shared" si="8"/>
        <v>徽商集团</v>
      </c>
      <c r="E162">
        <f t="shared" si="6"/>
        <v>2019</v>
      </c>
      <c r="F162">
        <f t="shared" si="7"/>
        <v>9</v>
      </c>
    </row>
    <row r="163" spans="1:7">
      <c r="A163" s="6">
        <v>43738</v>
      </c>
      <c r="B163" t="s">
        <v>47</v>
      </c>
      <c r="C163">
        <v>3667.7200000000012</v>
      </c>
      <c r="D163" t="str">
        <f t="shared" si="8"/>
        <v>皖北煤电债权</v>
      </c>
      <c r="E163">
        <f t="shared" si="6"/>
        <v>2019</v>
      </c>
      <c r="F163">
        <f t="shared" si="7"/>
        <v>9</v>
      </c>
    </row>
    <row r="164" spans="1:7">
      <c r="A164" s="6">
        <v>43738</v>
      </c>
      <c r="B164" t="s">
        <v>51</v>
      </c>
      <c r="C164">
        <v>15337.960000000006</v>
      </c>
      <c r="D164" t="str">
        <f t="shared" si="8"/>
        <v>皖北煤电信托</v>
      </c>
      <c r="E164">
        <f t="shared" si="6"/>
        <v>2019</v>
      </c>
      <c r="F164">
        <f t="shared" si="7"/>
        <v>9</v>
      </c>
    </row>
    <row r="165" spans="1:7">
      <c r="A165" s="6">
        <v>43738</v>
      </c>
      <c r="B165" t="s">
        <v>53</v>
      </c>
      <c r="C165">
        <v>12431.089999999997</v>
      </c>
      <c r="D165" t="str">
        <f t="shared" si="8"/>
        <v>中铁四局</v>
      </c>
      <c r="E165">
        <f t="shared" si="6"/>
        <v>2019</v>
      </c>
      <c r="F165">
        <f t="shared" si="7"/>
        <v>9</v>
      </c>
    </row>
    <row r="166" spans="1:7">
      <c r="A166" s="6">
        <v>43738</v>
      </c>
      <c r="B166" t="s">
        <v>48</v>
      </c>
      <c r="C166">
        <v>17218.429999999993</v>
      </c>
      <c r="D166" t="str">
        <f t="shared" si="8"/>
        <v>徽商银行信托</v>
      </c>
      <c r="E166">
        <f t="shared" si="6"/>
        <v>2019</v>
      </c>
      <c r="F166">
        <f t="shared" si="7"/>
        <v>9</v>
      </c>
    </row>
    <row r="167" spans="1:7">
      <c r="A167" s="6">
        <v>43830</v>
      </c>
      <c r="B167" t="s">
        <v>48</v>
      </c>
      <c r="C167">
        <v>-9180.4500000000007</v>
      </c>
      <c r="D167" t="str">
        <f t="shared" si="8"/>
        <v>徽商银行信托</v>
      </c>
      <c r="E167">
        <f t="shared" si="6"/>
        <v>2019</v>
      </c>
      <c r="F167">
        <f t="shared" si="7"/>
        <v>12</v>
      </c>
    </row>
    <row r="168" spans="1:7">
      <c r="A168" s="6">
        <v>43830</v>
      </c>
      <c r="B168" t="s">
        <v>155</v>
      </c>
      <c r="C168">
        <v>433.93</v>
      </c>
      <c r="D168" t="str">
        <f t="shared" si="8"/>
        <v>古井</v>
      </c>
      <c r="E168">
        <f t="shared" si="6"/>
        <v>2019</v>
      </c>
      <c r="F168">
        <f t="shared" si="7"/>
        <v>12</v>
      </c>
    </row>
    <row r="169" spans="1:7">
      <c r="A169" s="6">
        <v>43830</v>
      </c>
      <c r="B169" t="s">
        <v>53</v>
      </c>
      <c r="C169">
        <v>16055.45</v>
      </c>
      <c r="D169" t="str">
        <f t="shared" si="8"/>
        <v>中铁四局</v>
      </c>
      <c r="E169">
        <f t="shared" si="6"/>
        <v>2019</v>
      </c>
      <c r="F169">
        <f t="shared" si="7"/>
        <v>12</v>
      </c>
    </row>
    <row r="170" spans="1:7">
      <c r="A170" s="6">
        <v>43830</v>
      </c>
      <c r="B170" t="s">
        <v>51</v>
      </c>
      <c r="C170">
        <v>16589.939999999999</v>
      </c>
      <c r="D170" t="str">
        <f t="shared" si="8"/>
        <v>皖北煤电信托</v>
      </c>
      <c r="E170">
        <f t="shared" si="6"/>
        <v>2019</v>
      </c>
      <c r="F170">
        <f t="shared" si="7"/>
        <v>12</v>
      </c>
    </row>
    <row r="171" spans="1:7">
      <c r="A171" s="6">
        <v>43830</v>
      </c>
      <c r="B171" t="s">
        <v>47</v>
      </c>
      <c r="C171">
        <v>4011.18</v>
      </c>
      <c r="D171" t="str">
        <f t="shared" si="8"/>
        <v>皖北煤电债权</v>
      </c>
      <c r="E171">
        <f t="shared" si="6"/>
        <v>2019</v>
      </c>
      <c r="F171">
        <f t="shared" si="7"/>
        <v>12</v>
      </c>
    </row>
    <row r="172" spans="1:7">
      <c r="A172" s="6">
        <v>43830</v>
      </c>
      <c r="B172" t="s">
        <v>42</v>
      </c>
      <c r="C172">
        <v>1203.29</v>
      </c>
      <c r="D172" t="str">
        <f t="shared" si="8"/>
        <v>徽商集团</v>
      </c>
      <c r="E172">
        <f t="shared" si="6"/>
        <v>2019</v>
      </c>
      <c r="F172">
        <f t="shared" si="7"/>
        <v>12</v>
      </c>
    </row>
    <row r="173" spans="1:7">
      <c r="A173" s="6">
        <v>43830</v>
      </c>
      <c r="B173" t="s">
        <v>56</v>
      </c>
      <c r="C173">
        <v>42883.61</v>
      </c>
      <c r="D173" t="str">
        <f t="shared" si="8"/>
        <v>安徽烟草肥外</v>
      </c>
      <c r="E173">
        <f t="shared" si="6"/>
        <v>2019</v>
      </c>
      <c r="F173">
        <f t="shared" si="7"/>
        <v>12</v>
      </c>
    </row>
    <row r="174" spans="1:7">
      <c r="A174" s="6">
        <v>43830</v>
      </c>
      <c r="B174" t="s">
        <v>37</v>
      </c>
      <c r="C174">
        <v>14157.81</v>
      </c>
      <c r="D174" t="str">
        <f t="shared" si="8"/>
        <v>安徽高速</v>
      </c>
      <c r="E174">
        <f t="shared" si="6"/>
        <v>2019</v>
      </c>
      <c r="F174">
        <f t="shared" si="7"/>
        <v>12</v>
      </c>
    </row>
    <row r="175" spans="1:7">
      <c r="A175" s="6">
        <v>43830</v>
      </c>
      <c r="B175" t="s">
        <v>18</v>
      </c>
      <c r="C175">
        <v>239724.21</v>
      </c>
      <c r="D175" t="str">
        <f t="shared" si="8"/>
        <v>安徽中烟</v>
      </c>
      <c r="E175">
        <f t="shared" si="6"/>
        <v>2019</v>
      </c>
      <c r="F175">
        <f t="shared" si="7"/>
        <v>12</v>
      </c>
      <c r="G175" t="s">
        <v>176</v>
      </c>
    </row>
    <row r="176" spans="1:7">
      <c r="A176" s="6">
        <v>43830</v>
      </c>
      <c r="B176" t="s">
        <v>178</v>
      </c>
      <c r="C176">
        <v>1055104.1499999999</v>
      </c>
      <c r="D176" t="str">
        <f t="shared" si="8"/>
        <v>安徽电力</v>
      </c>
      <c r="E176">
        <f t="shared" si="6"/>
        <v>2019</v>
      </c>
      <c r="F176">
        <f t="shared" si="7"/>
        <v>12</v>
      </c>
      <c r="G176" t="s">
        <v>176</v>
      </c>
    </row>
    <row r="177" spans="1:7">
      <c r="A177" s="6">
        <v>43830</v>
      </c>
      <c r="B177" t="s">
        <v>125</v>
      </c>
      <c r="C177">
        <v>96399.64</v>
      </c>
      <c r="D177" t="str">
        <f t="shared" si="8"/>
        <v>皖北煤电</v>
      </c>
      <c r="E177">
        <f t="shared" si="6"/>
        <v>2019</v>
      </c>
      <c r="F177">
        <f t="shared" si="7"/>
        <v>12</v>
      </c>
      <c r="G177" t="s">
        <v>176</v>
      </c>
    </row>
    <row r="178" spans="1:7">
      <c r="A178" s="6">
        <v>43830</v>
      </c>
      <c r="B178" t="s">
        <v>48</v>
      </c>
      <c r="C178">
        <v>-34.909999999974389</v>
      </c>
      <c r="D178" t="str">
        <f t="shared" si="8"/>
        <v>徽商银行信托</v>
      </c>
      <c r="E178">
        <f t="shared" si="6"/>
        <v>2019</v>
      </c>
      <c r="F178">
        <f t="shared" si="7"/>
        <v>12</v>
      </c>
      <c r="G178" t="s">
        <v>177</v>
      </c>
    </row>
    <row r="179" spans="1:7">
      <c r="A179" s="6">
        <v>43830</v>
      </c>
      <c r="B179" t="s">
        <v>155</v>
      </c>
      <c r="C179">
        <v>141.51999999999998</v>
      </c>
      <c r="D179" t="str">
        <f t="shared" si="8"/>
        <v>古井</v>
      </c>
      <c r="E179">
        <f t="shared" si="6"/>
        <v>2019</v>
      </c>
      <c r="F179">
        <f t="shared" si="7"/>
        <v>12</v>
      </c>
      <c r="G179" t="s">
        <v>177</v>
      </c>
    </row>
    <row r="180" spans="1:7">
      <c r="A180" s="6">
        <v>43830</v>
      </c>
      <c r="B180" t="s">
        <v>53</v>
      </c>
      <c r="C180">
        <v>2187.8499999999913</v>
      </c>
      <c r="D180" t="str">
        <f t="shared" si="8"/>
        <v>中铁四局</v>
      </c>
      <c r="E180">
        <f t="shared" si="6"/>
        <v>2019</v>
      </c>
      <c r="F180">
        <f t="shared" si="7"/>
        <v>12</v>
      </c>
      <c r="G180" t="s">
        <v>177</v>
      </c>
    </row>
    <row r="181" spans="1:7">
      <c r="A181" s="6">
        <v>43830</v>
      </c>
      <c r="B181" t="s">
        <v>51</v>
      </c>
      <c r="C181">
        <v>157.6699999999837</v>
      </c>
      <c r="D181" t="str">
        <f t="shared" si="8"/>
        <v>皖北煤电信托</v>
      </c>
      <c r="E181">
        <f t="shared" si="6"/>
        <v>2019</v>
      </c>
      <c r="F181">
        <f t="shared" si="7"/>
        <v>12</v>
      </c>
      <c r="G181" t="s">
        <v>177</v>
      </c>
    </row>
    <row r="182" spans="1:7">
      <c r="A182" s="6">
        <v>43830</v>
      </c>
      <c r="B182" t="s">
        <v>47</v>
      </c>
      <c r="C182">
        <v>-247.06999999999971</v>
      </c>
      <c r="D182" t="str">
        <f t="shared" si="8"/>
        <v>皖北煤电债权</v>
      </c>
      <c r="E182">
        <f t="shared" si="6"/>
        <v>2019</v>
      </c>
      <c r="F182">
        <f t="shared" si="7"/>
        <v>12</v>
      </c>
      <c r="G182" t="s">
        <v>177</v>
      </c>
    </row>
    <row r="183" spans="1:7">
      <c r="A183" s="6">
        <v>43830</v>
      </c>
      <c r="B183" t="s">
        <v>42</v>
      </c>
      <c r="C183">
        <v>-369.46000000000276</v>
      </c>
      <c r="D183" t="str">
        <f t="shared" si="8"/>
        <v>徽商集团</v>
      </c>
      <c r="E183">
        <f t="shared" si="6"/>
        <v>2019</v>
      </c>
      <c r="F183">
        <f t="shared" si="7"/>
        <v>12</v>
      </c>
      <c r="G183" t="s">
        <v>177</v>
      </c>
    </row>
    <row r="184" spans="1:7">
      <c r="A184" s="6">
        <v>43830</v>
      </c>
      <c r="B184" t="s">
        <v>56</v>
      </c>
      <c r="C184">
        <v>548.80999999999767</v>
      </c>
      <c r="D184" t="str">
        <f t="shared" si="8"/>
        <v>安徽烟草肥外</v>
      </c>
      <c r="E184">
        <f t="shared" si="6"/>
        <v>2019</v>
      </c>
      <c r="F184">
        <f t="shared" si="7"/>
        <v>12</v>
      </c>
      <c r="G184" t="s">
        <v>177</v>
      </c>
    </row>
    <row r="185" spans="1:7">
      <c r="A185" s="6">
        <v>43830</v>
      </c>
      <c r="B185" t="s">
        <v>37</v>
      </c>
      <c r="C185">
        <v>1384.2700000000041</v>
      </c>
      <c r="D185" t="str">
        <f t="shared" si="8"/>
        <v>安徽高速</v>
      </c>
      <c r="E185">
        <f t="shared" si="6"/>
        <v>2019</v>
      </c>
      <c r="F185">
        <f t="shared" si="7"/>
        <v>12</v>
      </c>
      <c r="G185" t="s">
        <v>177</v>
      </c>
    </row>
    <row r="186" spans="1:7">
      <c r="A186" s="6">
        <v>43861</v>
      </c>
      <c r="B186" s="98" t="s">
        <v>155</v>
      </c>
      <c r="C186" s="98">
        <v>1242.76</v>
      </c>
      <c r="D186" t="str">
        <f t="shared" si="8"/>
        <v>古井</v>
      </c>
      <c r="E186">
        <f t="shared" si="6"/>
        <v>2020</v>
      </c>
      <c r="F186">
        <f t="shared" si="7"/>
        <v>1</v>
      </c>
    </row>
    <row r="187" spans="1:7">
      <c r="A187" s="6">
        <v>43861</v>
      </c>
      <c r="B187" s="98" t="s">
        <v>53</v>
      </c>
      <c r="C187" s="98">
        <v>17608.36</v>
      </c>
      <c r="D187" t="str">
        <f t="shared" si="8"/>
        <v>中铁四局</v>
      </c>
      <c r="E187">
        <f t="shared" si="6"/>
        <v>2020</v>
      </c>
      <c r="F187">
        <f t="shared" si="7"/>
        <v>1</v>
      </c>
    </row>
    <row r="188" spans="1:7">
      <c r="A188" s="6">
        <v>43861</v>
      </c>
      <c r="B188" s="98" t="s">
        <v>51</v>
      </c>
      <c r="C188" s="98">
        <v>16103.62</v>
      </c>
      <c r="D188" t="str">
        <f t="shared" si="8"/>
        <v>皖北煤电信托</v>
      </c>
      <c r="E188">
        <f t="shared" si="6"/>
        <v>2020</v>
      </c>
      <c r="F188">
        <f t="shared" si="7"/>
        <v>1</v>
      </c>
    </row>
    <row r="189" spans="1:7">
      <c r="A189" s="6">
        <v>43861</v>
      </c>
      <c r="B189" s="98" t="s">
        <v>47</v>
      </c>
      <c r="C189" s="98">
        <v>3565.53</v>
      </c>
      <c r="D189" t="str">
        <f t="shared" si="8"/>
        <v>皖北煤电债权</v>
      </c>
      <c r="E189">
        <f t="shared" si="6"/>
        <v>2020</v>
      </c>
      <c r="F189">
        <f t="shared" si="7"/>
        <v>1</v>
      </c>
    </row>
    <row r="190" spans="1:7">
      <c r="A190" s="6">
        <v>43861</v>
      </c>
      <c r="B190" s="98" t="s">
        <v>42</v>
      </c>
      <c r="C190" s="98">
        <v>1203.2</v>
      </c>
      <c r="D190" t="str">
        <f t="shared" si="8"/>
        <v>徽商集团</v>
      </c>
      <c r="E190">
        <f t="shared" si="6"/>
        <v>2020</v>
      </c>
      <c r="F190">
        <f t="shared" si="7"/>
        <v>1</v>
      </c>
    </row>
    <row r="191" spans="1:7">
      <c r="A191" s="6">
        <v>43861</v>
      </c>
      <c r="B191" s="98" t="s">
        <v>56</v>
      </c>
      <c r="C191" s="98">
        <v>44189.46</v>
      </c>
      <c r="D191" t="str">
        <f t="shared" si="8"/>
        <v>安徽烟草肥外</v>
      </c>
      <c r="E191">
        <f t="shared" si="6"/>
        <v>2020</v>
      </c>
      <c r="F191">
        <f t="shared" si="7"/>
        <v>1</v>
      </c>
    </row>
    <row r="192" spans="1:7">
      <c r="A192" s="6">
        <v>43861</v>
      </c>
      <c r="B192" s="98" t="s">
        <v>37</v>
      </c>
      <c r="C192" s="98">
        <v>13519.52</v>
      </c>
      <c r="D192" t="str">
        <f t="shared" si="8"/>
        <v>安徽高速</v>
      </c>
      <c r="E192">
        <f t="shared" si="6"/>
        <v>2020</v>
      </c>
      <c r="F192">
        <f t="shared" si="7"/>
        <v>1</v>
      </c>
    </row>
    <row r="193" spans="1:6">
      <c r="A193" s="6">
        <v>43890</v>
      </c>
      <c r="B193" s="98" t="s">
        <v>155</v>
      </c>
      <c r="C193" s="98">
        <v>1770.3100000000002</v>
      </c>
      <c r="D193" t="str">
        <f t="shared" si="8"/>
        <v>古井</v>
      </c>
      <c r="E193">
        <f t="shared" si="6"/>
        <v>2020</v>
      </c>
      <c r="F193">
        <f t="shared" si="7"/>
        <v>2</v>
      </c>
    </row>
    <row r="194" spans="1:6">
      <c r="A194" s="6">
        <v>43890</v>
      </c>
      <c r="B194" s="98" t="s">
        <v>53</v>
      </c>
      <c r="C194" s="98">
        <v>15926.349999999999</v>
      </c>
      <c r="D194" t="str">
        <f t="shared" si="8"/>
        <v>中铁四局</v>
      </c>
      <c r="E194">
        <f t="shared" si="6"/>
        <v>2020</v>
      </c>
      <c r="F194">
        <f t="shared" si="7"/>
        <v>2</v>
      </c>
    </row>
    <row r="195" spans="1:6">
      <c r="A195" s="6">
        <v>43890</v>
      </c>
      <c r="B195" s="98" t="s">
        <v>51</v>
      </c>
      <c r="C195" s="98">
        <v>15137.63</v>
      </c>
      <c r="D195" t="str">
        <f t="shared" si="8"/>
        <v>皖北煤电信托</v>
      </c>
      <c r="E195">
        <f t="shared" ref="E195:E258" si="9">YEAR(A195)</f>
        <v>2020</v>
      </c>
      <c r="F195">
        <f t="shared" ref="F195:F258" si="10">MONTH(A195)</f>
        <v>2</v>
      </c>
    </row>
    <row r="196" spans="1:6">
      <c r="A196" s="6">
        <v>43890</v>
      </c>
      <c r="B196" s="98" t="s">
        <v>47</v>
      </c>
      <c r="C196" s="98">
        <v>3346.82</v>
      </c>
      <c r="D196" t="str">
        <f t="shared" ref="D196:D259" si="11">VLOOKUP(B196,$I:$J,2,0)</f>
        <v>皖北煤电债权</v>
      </c>
      <c r="E196">
        <f t="shared" si="9"/>
        <v>2020</v>
      </c>
      <c r="F196">
        <f t="shared" si="10"/>
        <v>2</v>
      </c>
    </row>
    <row r="197" spans="1:6">
      <c r="A197" s="6">
        <v>43890</v>
      </c>
      <c r="B197" s="98" t="s">
        <v>42</v>
      </c>
      <c r="C197" s="98">
        <v>1127.5899999999999</v>
      </c>
      <c r="D197" t="str">
        <f t="shared" si="11"/>
        <v>徽商集团</v>
      </c>
      <c r="E197">
        <f t="shared" si="9"/>
        <v>2020</v>
      </c>
      <c r="F197">
        <f t="shared" si="10"/>
        <v>2</v>
      </c>
    </row>
    <row r="198" spans="1:6">
      <c r="A198" s="6">
        <v>43890</v>
      </c>
      <c r="B198" s="98" t="s">
        <v>56</v>
      </c>
      <c r="C198" s="98">
        <v>43755.689999999995</v>
      </c>
      <c r="D198" t="str">
        <f t="shared" si="11"/>
        <v>安徽烟草肥外</v>
      </c>
      <c r="E198">
        <f t="shared" si="9"/>
        <v>2020</v>
      </c>
      <c r="F198">
        <f t="shared" si="10"/>
        <v>2</v>
      </c>
    </row>
    <row r="199" spans="1:6">
      <c r="A199" s="6">
        <v>43890</v>
      </c>
      <c r="B199" s="98" t="s">
        <v>37</v>
      </c>
      <c r="C199" s="98">
        <v>12775.7</v>
      </c>
      <c r="D199" t="str">
        <f t="shared" si="11"/>
        <v>安徽高速</v>
      </c>
      <c r="E199">
        <f t="shared" si="9"/>
        <v>2020</v>
      </c>
      <c r="F199">
        <f t="shared" si="10"/>
        <v>2</v>
      </c>
    </row>
    <row r="200" spans="1:6">
      <c r="A200" s="6">
        <v>43921</v>
      </c>
      <c r="B200" s="98" t="s">
        <v>155</v>
      </c>
      <c r="C200" s="98">
        <v>1760.0799999999992</v>
      </c>
      <c r="D200" t="str">
        <f t="shared" si="11"/>
        <v>古井</v>
      </c>
      <c r="E200">
        <f t="shared" si="9"/>
        <v>2020</v>
      </c>
      <c r="F200">
        <f t="shared" si="10"/>
        <v>3</v>
      </c>
    </row>
    <row r="201" spans="1:6">
      <c r="A201" s="6">
        <v>43921</v>
      </c>
      <c r="B201" s="98" t="s">
        <v>53</v>
      </c>
      <c r="C201" s="98">
        <v>15003.059999999998</v>
      </c>
      <c r="D201" t="str">
        <f t="shared" si="11"/>
        <v>中铁四局</v>
      </c>
      <c r="E201">
        <f t="shared" si="9"/>
        <v>2020</v>
      </c>
      <c r="F201">
        <f t="shared" si="10"/>
        <v>3</v>
      </c>
    </row>
    <row r="202" spans="1:6">
      <c r="A202" s="6">
        <v>43921</v>
      </c>
      <c r="B202" s="98" t="s">
        <v>51</v>
      </c>
      <c r="C202" s="98">
        <v>16245.599999999997</v>
      </c>
      <c r="D202" t="str">
        <f t="shared" si="11"/>
        <v>皖北煤电信托</v>
      </c>
      <c r="E202">
        <f t="shared" si="9"/>
        <v>2020</v>
      </c>
      <c r="F202">
        <f t="shared" si="10"/>
        <v>3</v>
      </c>
    </row>
    <row r="203" spans="1:6">
      <c r="A203" s="6">
        <v>43921</v>
      </c>
      <c r="B203" s="98" t="s">
        <v>47</v>
      </c>
      <c r="C203" s="98">
        <v>3583.809999999999</v>
      </c>
      <c r="D203" t="str">
        <f t="shared" si="11"/>
        <v>皖北煤电债权</v>
      </c>
      <c r="E203">
        <f t="shared" si="9"/>
        <v>2020</v>
      </c>
      <c r="F203">
        <f t="shared" si="10"/>
        <v>3</v>
      </c>
    </row>
    <row r="204" spans="1:6">
      <c r="A204" s="6">
        <v>43921</v>
      </c>
      <c r="B204" s="98" t="s">
        <v>42</v>
      </c>
      <c r="C204" s="98">
        <v>1219.6499999999999</v>
      </c>
      <c r="D204" t="str">
        <f t="shared" si="11"/>
        <v>徽商集团</v>
      </c>
      <c r="E204">
        <f t="shared" si="9"/>
        <v>2020</v>
      </c>
      <c r="F204">
        <f t="shared" si="10"/>
        <v>3</v>
      </c>
    </row>
    <row r="205" spans="1:6">
      <c r="A205" s="6">
        <v>43921</v>
      </c>
      <c r="B205" s="98" t="s">
        <v>56</v>
      </c>
      <c r="C205" s="98">
        <v>48505.520000000026</v>
      </c>
      <c r="D205" t="str">
        <f t="shared" si="11"/>
        <v>安徽烟草肥外</v>
      </c>
      <c r="E205">
        <f t="shared" si="9"/>
        <v>2020</v>
      </c>
      <c r="F205">
        <f t="shared" si="10"/>
        <v>3</v>
      </c>
    </row>
    <row r="206" spans="1:6">
      <c r="A206" s="6">
        <v>43921</v>
      </c>
      <c r="B206" s="98" t="s">
        <v>37</v>
      </c>
      <c r="C206" s="98">
        <v>17872.519999999997</v>
      </c>
      <c r="D206" t="str">
        <f t="shared" si="11"/>
        <v>安徽高速</v>
      </c>
      <c r="E206">
        <f t="shared" si="9"/>
        <v>2020</v>
      </c>
      <c r="F206">
        <f t="shared" si="10"/>
        <v>3</v>
      </c>
    </row>
    <row r="207" spans="1:6">
      <c r="A207" s="6">
        <v>43951</v>
      </c>
      <c r="B207" s="98" t="s">
        <v>155</v>
      </c>
      <c r="C207" s="98">
        <v>1121.1400000000001</v>
      </c>
      <c r="D207" t="str">
        <f t="shared" si="11"/>
        <v>古井</v>
      </c>
      <c r="E207">
        <f t="shared" si="9"/>
        <v>2020</v>
      </c>
      <c r="F207">
        <f t="shared" si="10"/>
        <v>4</v>
      </c>
    </row>
    <row r="208" spans="1:6">
      <c r="A208" s="6">
        <v>43951</v>
      </c>
      <c r="B208" s="98" t="s">
        <v>53</v>
      </c>
      <c r="C208" s="98">
        <v>10725.330000000002</v>
      </c>
      <c r="D208" t="str">
        <f t="shared" si="11"/>
        <v>中铁四局</v>
      </c>
      <c r="E208">
        <f t="shared" si="9"/>
        <v>2020</v>
      </c>
      <c r="F208">
        <f t="shared" si="10"/>
        <v>4</v>
      </c>
    </row>
    <row r="209" spans="1:6">
      <c r="A209" s="6">
        <v>43951</v>
      </c>
      <c r="B209" s="98" t="s">
        <v>51</v>
      </c>
      <c r="C209" s="98">
        <v>15804.570000000002</v>
      </c>
      <c r="D209" t="str">
        <f t="shared" si="11"/>
        <v>皖北煤电信托</v>
      </c>
      <c r="E209">
        <f t="shared" si="9"/>
        <v>2020</v>
      </c>
      <c r="F209">
        <f t="shared" si="10"/>
        <v>4</v>
      </c>
    </row>
    <row r="210" spans="1:6">
      <c r="A210" s="6">
        <v>43951</v>
      </c>
      <c r="B210" s="98" t="s">
        <v>47</v>
      </c>
      <c r="C210" s="98">
        <v>3484.5000000000005</v>
      </c>
      <c r="D210" t="str">
        <f t="shared" si="11"/>
        <v>皖北煤电债权</v>
      </c>
      <c r="E210">
        <f t="shared" si="9"/>
        <v>2020</v>
      </c>
      <c r="F210">
        <f t="shared" si="10"/>
        <v>4</v>
      </c>
    </row>
    <row r="211" spans="1:6">
      <c r="A211" s="6">
        <v>43951</v>
      </c>
      <c r="B211" s="98" t="s">
        <v>42</v>
      </c>
      <c r="C211" s="98">
        <v>1173.0399999999997</v>
      </c>
      <c r="D211" t="str">
        <f t="shared" si="11"/>
        <v>徽商集团</v>
      </c>
      <c r="E211">
        <f t="shared" si="9"/>
        <v>2020</v>
      </c>
      <c r="F211">
        <f t="shared" si="10"/>
        <v>4</v>
      </c>
    </row>
    <row r="212" spans="1:6">
      <c r="A212" s="6">
        <v>43951</v>
      </c>
      <c r="B212" s="98" t="s">
        <v>56</v>
      </c>
      <c r="C212" s="98">
        <v>45193.699999999975</v>
      </c>
      <c r="D212" t="str">
        <f t="shared" si="11"/>
        <v>安徽烟草肥外</v>
      </c>
      <c r="E212">
        <f t="shared" si="9"/>
        <v>2020</v>
      </c>
      <c r="F212">
        <f t="shared" si="10"/>
        <v>4</v>
      </c>
    </row>
    <row r="213" spans="1:6">
      <c r="A213" s="6">
        <v>43951</v>
      </c>
      <c r="B213" s="98" t="s">
        <v>37</v>
      </c>
      <c r="C213" s="98">
        <v>17881.840000000004</v>
      </c>
      <c r="D213" t="str">
        <f t="shared" si="11"/>
        <v>安徽高速</v>
      </c>
      <c r="E213">
        <f t="shared" si="9"/>
        <v>2020</v>
      </c>
      <c r="F213">
        <f t="shared" si="10"/>
        <v>4</v>
      </c>
    </row>
    <row r="214" spans="1:6">
      <c r="A214" s="6">
        <v>43982</v>
      </c>
      <c r="B214" s="98" t="s">
        <v>155</v>
      </c>
      <c r="C214" s="98">
        <v>1163.4399999999998</v>
      </c>
      <c r="D214" t="str">
        <f t="shared" si="11"/>
        <v>古井</v>
      </c>
      <c r="E214">
        <f t="shared" si="9"/>
        <v>2020</v>
      </c>
      <c r="F214">
        <f t="shared" si="10"/>
        <v>5</v>
      </c>
    </row>
    <row r="215" spans="1:6">
      <c r="A215" s="6">
        <v>43982</v>
      </c>
      <c r="B215" s="98" t="s">
        <v>53</v>
      </c>
      <c r="C215" s="98">
        <v>9252.2200000000084</v>
      </c>
      <c r="D215" t="str">
        <f t="shared" si="11"/>
        <v>中铁四局</v>
      </c>
      <c r="E215">
        <f t="shared" si="9"/>
        <v>2020</v>
      </c>
      <c r="F215">
        <f t="shared" si="10"/>
        <v>5</v>
      </c>
    </row>
    <row r="216" spans="1:6">
      <c r="A216" s="6">
        <v>43982</v>
      </c>
      <c r="B216" s="98" t="s">
        <v>51</v>
      </c>
      <c r="C216" s="98">
        <v>16395.070000000007</v>
      </c>
      <c r="D216" t="str">
        <f t="shared" si="11"/>
        <v>皖北煤电信托</v>
      </c>
      <c r="E216">
        <f t="shared" si="9"/>
        <v>2020</v>
      </c>
      <c r="F216">
        <f t="shared" si="10"/>
        <v>5</v>
      </c>
    </row>
    <row r="217" spans="1:6">
      <c r="A217" s="6">
        <v>43982</v>
      </c>
      <c r="B217" s="98" t="s">
        <v>47</v>
      </c>
      <c r="C217" s="98">
        <v>3613.8699999999985</v>
      </c>
      <c r="D217" t="str">
        <f t="shared" si="11"/>
        <v>皖北煤电债权</v>
      </c>
      <c r="E217">
        <f t="shared" si="9"/>
        <v>2020</v>
      </c>
      <c r="F217">
        <f t="shared" si="10"/>
        <v>5</v>
      </c>
    </row>
    <row r="218" spans="1:6">
      <c r="A218" s="6">
        <v>43982</v>
      </c>
      <c r="B218" s="98" t="s">
        <v>42</v>
      </c>
      <c r="C218" s="98">
        <v>1375.6400000000006</v>
      </c>
      <c r="D218" t="str">
        <f t="shared" si="11"/>
        <v>徽商集团</v>
      </c>
      <c r="E218">
        <f t="shared" si="9"/>
        <v>2020</v>
      </c>
      <c r="F218">
        <f t="shared" si="10"/>
        <v>5</v>
      </c>
    </row>
    <row r="219" spans="1:6">
      <c r="A219" s="6">
        <v>43982</v>
      </c>
      <c r="B219" s="98" t="s">
        <v>56</v>
      </c>
      <c r="C219" s="98">
        <v>49002.630000000012</v>
      </c>
      <c r="D219" t="str">
        <f t="shared" si="11"/>
        <v>安徽烟草肥外</v>
      </c>
      <c r="E219">
        <f t="shared" si="9"/>
        <v>2020</v>
      </c>
      <c r="F219">
        <f t="shared" si="10"/>
        <v>5</v>
      </c>
    </row>
    <row r="220" spans="1:6">
      <c r="A220" s="6">
        <v>43982</v>
      </c>
      <c r="B220" s="98" t="s">
        <v>37</v>
      </c>
      <c r="C220" s="98">
        <v>14826.720000000001</v>
      </c>
      <c r="D220" t="str">
        <f t="shared" si="11"/>
        <v>安徽高速</v>
      </c>
      <c r="E220">
        <f t="shared" si="9"/>
        <v>2020</v>
      </c>
      <c r="F220">
        <f t="shared" si="10"/>
        <v>5</v>
      </c>
    </row>
    <row r="221" spans="1:6">
      <c r="A221" s="6">
        <v>44012</v>
      </c>
      <c r="B221" s="98" t="s">
        <v>155</v>
      </c>
      <c r="C221" s="98">
        <v>1146.7000000000005</v>
      </c>
      <c r="D221" t="str">
        <f t="shared" si="11"/>
        <v>古井</v>
      </c>
      <c r="E221">
        <f t="shared" si="9"/>
        <v>2020</v>
      </c>
      <c r="F221">
        <f t="shared" si="10"/>
        <v>6</v>
      </c>
    </row>
    <row r="222" spans="1:6">
      <c r="A222" s="6">
        <v>44012</v>
      </c>
      <c r="B222" s="98" t="s">
        <v>53</v>
      </c>
      <c r="C222" s="98">
        <v>7870.1299999999901</v>
      </c>
      <c r="D222" t="str">
        <f t="shared" si="11"/>
        <v>中铁四局</v>
      </c>
      <c r="E222">
        <f t="shared" si="9"/>
        <v>2020</v>
      </c>
      <c r="F222">
        <f t="shared" si="10"/>
        <v>6</v>
      </c>
    </row>
    <row r="223" spans="1:6">
      <c r="A223" s="6">
        <v>44012</v>
      </c>
      <c r="B223" s="98" t="s">
        <v>51</v>
      </c>
      <c r="C223" s="98">
        <v>15942.560000000005</v>
      </c>
      <c r="D223" t="str">
        <f t="shared" si="11"/>
        <v>皖北煤电信托</v>
      </c>
      <c r="E223">
        <f t="shared" si="9"/>
        <v>2020</v>
      </c>
      <c r="F223">
        <f t="shared" si="10"/>
        <v>6</v>
      </c>
    </row>
    <row r="224" spans="1:6">
      <c r="A224" s="6">
        <v>44012</v>
      </c>
      <c r="B224" s="98" t="s">
        <v>47</v>
      </c>
      <c r="C224" s="98">
        <v>3512.5400000000031</v>
      </c>
      <c r="D224" t="str">
        <f t="shared" si="11"/>
        <v>皖北煤电债权</v>
      </c>
      <c r="E224">
        <f t="shared" si="9"/>
        <v>2020</v>
      </c>
      <c r="F224">
        <f t="shared" si="10"/>
        <v>6</v>
      </c>
    </row>
    <row r="225" spans="1:6">
      <c r="A225" s="6">
        <v>44012</v>
      </c>
      <c r="B225" s="98" t="s">
        <v>42</v>
      </c>
      <c r="C225" s="98">
        <v>1176.7399999999996</v>
      </c>
      <c r="D225" t="str">
        <f t="shared" si="11"/>
        <v>徽商集团</v>
      </c>
      <c r="E225">
        <f t="shared" si="9"/>
        <v>2020</v>
      </c>
      <c r="F225">
        <f t="shared" si="10"/>
        <v>6</v>
      </c>
    </row>
    <row r="226" spans="1:6">
      <c r="A226" s="6">
        <v>44012</v>
      </c>
      <c r="B226" s="98" t="s">
        <v>56</v>
      </c>
      <c r="C226" s="98">
        <v>49176.460000000014</v>
      </c>
      <c r="D226" t="str">
        <f t="shared" si="11"/>
        <v>安徽烟草肥外</v>
      </c>
      <c r="E226">
        <f t="shared" si="9"/>
        <v>2020</v>
      </c>
      <c r="F226">
        <f t="shared" si="10"/>
        <v>6</v>
      </c>
    </row>
    <row r="227" spans="1:6">
      <c r="A227" s="6">
        <v>44012</v>
      </c>
      <c r="B227" s="98" t="s">
        <v>37</v>
      </c>
      <c r="C227" s="98">
        <v>13992.75</v>
      </c>
      <c r="D227" t="str">
        <f t="shared" si="11"/>
        <v>安徽高速</v>
      </c>
      <c r="E227">
        <f t="shared" si="9"/>
        <v>2020</v>
      </c>
      <c r="F227">
        <f t="shared" si="10"/>
        <v>6</v>
      </c>
    </row>
    <row r="228" spans="1:6">
      <c r="A228" s="6">
        <v>44043</v>
      </c>
      <c r="B228" t="s">
        <v>155</v>
      </c>
      <c r="C228">
        <v>1146.7000000000005</v>
      </c>
      <c r="D228" t="str">
        <f t="shared" si="11"/>
        <v>古井</v>
      </c>
      <c r="E228">
        <f t="shared" si="9"/>
        <v>2020</v>
      </c>
      <c r="F228">
        <f t="shared" si="10"/>
        <v>7</v>
      </c>
    </row>
    <row r="229" spans="1:6">
      <c r="A229" s="6">
        <v>44043</v>
      </c>
      <c r="B229" t="s">
        <v>53</v>
      </c>
      <c r="C229">
        <v>7870.1299999999901</v>
      </c>
      <c r="D229" t="str">
        <f t="shared" si="11"/>
        <v>中铁四局</v>
      </c>
      <c r="E229">
        <f t="shared" si="9"/>
        <v>2020</v>
      </c>
      <c r="F229">
        <f t="shared" si="10"/>
        <v>7</v>
      </c>
    </row>
    <row r="230" spans="1:6">
      <c r="A230" s="6">
        <v>44043</v>
      </c>
      <c r="B230" t="s">
        <v>51</v>
      </c>
      <c r="C230">
        <v>15942.560000000005</v>
      </c>
      <c r="D230" t="str">
        <f t="shared" si="11"/>
        <v>皖北煤电信托</v>
      </c>
      <c r="E230">
        <f t="shared" si="9"/>
        <v>2020</v>
      </c>
      <c r="F230">
        <f t="shared" si="10"/>
        <v>7</v>
      </c>
    </row>
    <row r="231" spans="1:6">
      <c r="A231" s="6">
        <v>44043</v>
      </c>
      <c r="B231" t="s">
        <v>47</v>
      </c>
      <c r="C231">
        <v>3512.5400000000031</v>
      </c>
      <c r="D231" t="str">
        <f t="shared" si="11"/>
        <v>皖北煤电债权</v>
      </c>
      <c r="E231">
        <f t="shared" si="9"/>
        <v>2020</v>
      </c>
      <c r="F231">
        <f t="shared" si="10"/>
        <v>7</v>
      </c>
    </row>
    <row r="232" spans="1:6">
      <c r="A232" s="6">
        <v>44043</v>
      </c>
      <c r="B232" t="s">
        <v>42</v>
      </c>
      <c r="C232">
        <v>1176.7399999999996</v>
      </c>
      <c r="D232" t="str">
        <f t="shared" si="11"/>
        <v>徽商集团</v>
      </c>
      <c r="E232">
        <f t="shared" si="9"/>
        <v>2020</v>
      </c>
      <c r="F232">
        <f t="shared" si="10"/>
        <v>7</v>
      </c>
    </row>
    <row r="233" spans="1:6">
      <c r="A233" s="6">
        <v>44043</v>
      </c>
      <c r="B233" t="s">
        <v>56</v>
      </c>
      <c r="C233">
        <v>49176.460000000014</v>
      </c>
      <c r="D233" t="str">
        <f t="shared" si="11"/>
        <v>安徽烟草肥外</v>
      </c>
      <c r="E233">
        <f t="shared" si="9"/>
        <v>2020</v>
      </c>
      <c r="F233">
        <f t="shared" si="10"/>
        <v>7</v>
      </c>
    </row>
    <row r="234" spans="1:6">
      <c r="A234" s="6">
        <v>44043</v>
      </c>
      <c r="B234" t="s">
        <v>37</v>
      </c>
      <c r="C234">
        <v>13992.75</v>
      </c>
      <c r="D234" t="str">
        <f t="shared" si="11"/>
        <v>安徽高速</v>
      </c>
      <c r="E234">
        <f t="shared" si="9"/>
        <v>2020</v>
      </c>
      <c r="F234">
        <f t="shared" si="10"/>
        <v>7</v>
      </c>
    </row>
    <row r="235" spans="1:6">
      <c r="A235" s="6">
        <v>44074</v>
      </c>
      <c r="B235" s="98" t="s">
        <v>232</v>
      </c>
      <c r="C235" s="98">
        <v>53426.210000000006</v>
      </c>
      <c r="D235" t="str">
        <f t="shared" si="11"/>
        <v>徽商银行信托</v>
      </c>
      <c r="E235">
        <f t="shared" si="9"/>
        <v>2020</v>
      </c>
      <c r="F235">
        <f t="shared" si="10"/>
        <v>8</v>
      </c>
    </row>
    <row r="236" spans="1:6">
      <c r="A236" s="6">
        <v>44074</v>
      </c>
      <c r="B236" s="98" t="s">
        <v>155</v>
      </c>
      <c r="C236" s="98">
        <v>2173.79</v>
      </c>
      <c r="D236" t="str">
        <f t="shared" si="11"/>
        <v>古井</v>
      </c>
      <c r="E236">
        <f t="shared" si="9"/>
        <v>2020</v>
      </c>
      <c r="F236">
        <f t="shared" si="10"/>
        <v>8</v>
      </c>
    </row>
    <row r="237" spans="1:6">
      <c r="A237" s="6">
        <v>44074</v>
      </c>
      <c r="B237" s="98" t="s">
        <v>53</v>
      </c>
      <c r="C237" s="98">
        <v>6008.4900000000052</v>
      </c>
      <c r="D237" t="str">
        <f t="shared" si="11"/>
        <v>中铁四局</v>
      </c>
      <c r="E237">
        <f t="shared" si="9"/>
        <v>2020</v>
      </c>
      <c r="F237">
        <f t="shared" si="10"/>
        <v>8</v>
      </c>
    </row>
    <row r="238" spans="1:6">
      <c r="A238" s="6">
        <v>44074</v>
      </c>
      <c r="B238" s="98" t="s">
        <v>51</v>
      </c>
      <c r="C238" s="98">
        <v>16587.700000000004</v>
      </c>
      <c r="D238" t="str">
        <f t="shared" si="11"/>
        <v>皖北煤电信托</v>
      </c>
      <c r="E238">
        <f t="shared" si="9"/>
        <v>2020</v>
      </c>
      <c r="F238">
        <f t="shared" si="10"/>
        <v>8</v>
      </c>
    </row>
    <row r="239" spans="1:6">
      <c r="A239" s="6">
        <v>44074</v>
      </c>
      <c r="B239" s="98" t="s">
        <v>47</v>
      </c>
      <c r="C239" s="98">
        <v>3661.9200000000042</v>
      </c>
      <c r="D239" t="str">
        <f t="shared" si="11"/>
        <v>皖北煤电债权</v>
      </c>
      <c r="E239">
        <f t="shared" si="9"/>
        <v>2020</v>
      </c>
      <c r="F239">
        <f t="shared" si="10"/>
        <v>8</v>
      </c>
    </row>
    <row r="240" spans="1:6">
      <c r="A240" s="6">
        <v>44074</v>
      </c>
      <c r="B240" s="98" t="s">
        <v>42</v>
      </c>
      <c r="C240" s="98">
        <v>1499.0199999999993</v>
      </c>
      <c r="D240" t="str">
        <f t="shared" si="11"/>
        <v>徽商集团</v>
      </c>
      <c r="E240">
        <f t="shared" si="9"/>
        <v>2020</v>
      </c>
      <c r="F240">
        <f t="shared" si="10"/>
        <v>8</v>
      </c>
    </row>
    <row r="241" spans="1:6">
      <c r="A241" s="6">
        <v>44074</v>
      </c>
      <c r="B241" s="98" t="s">
        <v>56</v>
      </c>
      <c r="C241" s="98">
        <v>53814.150000000016</v>
      </c>
      <c r="D241" t="str">
        <f t="shared" si="11"/>
        <v>安徽烟草肥外</v>
      </c>
      <c r="E241">
        <f t="shared" si="9"/>
        <v>2020</v>
      </c>
      <c r="F241">
        <f t="shared" si="10"/>
        <v>8</v>
      </c>
    </row>
    <row r="242" spans="1:6">
      <c r="A242" s="6">
        <v>44074</v>
      </c>
      <c r="B242" s="98" t="s">
        <v>37</v>
      </c>
      <c r="C242" s="98">
        <v>15640.820000000007</v>
      </c>
      <c r="D242" t="str">
        <f t="shared" si="11"/>
        <v>安徽高速</v>
      </c>
      <c r="E242">
        <f t="shared" si="9"/>
        <v>2020</v>
      </c>
      <c r="F242">
        <f t="shared" si="10"/>
        <v>8</v>
      </c>
    </row>
    <row r="243" spans="1:6">
      <c r="A243" s="6">
        <v>44104</v>
      </c>
      <c r="B243" s="98" t="s">
        <v>232</v>
      </c>
      <c r="C243" s="98">
        <v>27861.040000000008</v>
      </c>
      <c r="D243" t="str">
        <f t="shared" si="11"/>
        <v>徽商银行信托</v>
      </c>
      <c r="E243">
        <f t="shared" si="9"/>
        <v>2020</v>
      </c>
      <c r="F243">
        <f t="shared" si="10"/>
        <v>9</v>
      </c>
    </row>
    <row r="244" spans="1:6">
      <c r="A244" s="6">
        <v>44104</v>
      </c>
      <c r="B244" s="98" t="s">
        <v>155</v>
      </c>
      <c r="C244" s="98">
        <v>2094.2599999999993</v>
      </c>
      <c r="D244" t="str">
        <f t="shared" si="11"/>
        <v>古井</v>
      </c>
      <c r="E244">
        <f t="shared" si="9"/>
        <v>2020</v>
      </c>
      <c r="F244">
        <f t="shared" si="10"/>
        <v>9</v>
      </c>
    </row>
    <row r="245" spans="1:6">
      <c r="A245" s="6">
        <v>44104</v>
      </c>
      <c r="B245" s="98" t="s">
        <v>53</v>
      </c>
      <c r="C245" s="98">
        <v>5292.8600000000006</v>
      </c>
      <c r="D245" t="str">
        <f t="shared" si="11"/>
        <v>中铁四局</v>
      </c>
      <c r="E245">
        <f t="shared" si="9"/>
        <v>2020</v>
      </c>
      <c r="F245">
        <f t="shared" si="10"/>
        <v>9</v>
      </c>
    </row>
    <row r="246" spans="1:6">
      <c r="A246" s="6">
        <v>44104</v>
      </c>
      <c r="B246" s="98" t="s">
        <v>51</v>
      </c>
      <c r="C246" s="98">
        <v>13913.049999999996</v>
      </c>
      <c r="D246" t="str">
        <f t="shared" si="11"/>
        <v>皖北煤电信托</v>
      </c>
      <c r="E246">
        <f t="shared" si="9"/>
        <v>2020</v>
      </c>
      <c r="F246">
        <f t="shared" si="10"/>
        <v>9</v>
      </c>
    </row>
    <row r="247" spans="1:6">
      <c r="A247" s="6">
        <v>44104</v>
      </c>
      <c r="B247" s="98" t="s">
        <v>47</v>
      </c>
      <c r="C247" s="98">
        <v>1205.8799999999969</v>
      </c>
      <c r="D247" t="str">
        <f t="shared" si="11"/>
        <v>皖北煤电债权</v>
      </c>
      <c r="E247">
        <f t="shared" si="9"/>
        <v>2020</v>
      </c>
      <c r="F247">
        <f t="shared" si="10"/>
        <v>9</v>
      </c>
    </row>
    <row r="248" spans="1:6">
      <c r="A248" s="6">
        <v>44104</v>
      </c>
      <c r="B248" s="98" t="s">
        <v>42</v>
      </c>
      <c r="C248" s="98">
        <v>1228.3899999999996</v>
      </c>
      <c r="D248" t="str">
        <f t="shared" si="11"/>
        <v>徽商集团</v>
      </c>
      <c r="E248">
        <f t="shared" si="9"/>
        <v>2020</v>
      </c>
      <c r="F248">
        <f t="shared" si="10"/>
        <v>9</v>
      </c>
    </row>
    <row r="249" spans="1:6">
      <c r="A249" s="6">
        <v>44104</v>
      </c>
      <c r="B249" s="98" t="s">
        <v>56</v>
      </c>
      <c r="C249" s="98">
        <v>54424.049999999996</v>
      </c>
      <c r="D249" t="str">
        <f t="shared" si="11"/>
        <v>安徽烟草肥外</v>
      </c>
      <c r="E249">
        <f t="shared" si="9"/>
        <v>2020</v>
      </c>
      <c r="F249">
        <f t="shared" si="10"/>
        <v>9</v>
      </c>
    </row>
    <row r="250" spans="1:6">
      <c r="A250" s="6">
        <v>44104</v>
      </c>
      <c r="B250" s="98" t="s">
        <v>37</v>
      </c>
      <c r="C250" s="98">
        <v>15150.970000000001</v>
      </c>
      <c r="D250" t="str">
        <f t="shared" si="11"/>
        <v>安徽高速</v>
      </c>
      <c r="E250">
        <f t="shared" si="9"/>
        <v>2020</v>
      </c>
      <c r="F250">
        <f t="shared" si="10"/>
        <v>9</v>
      </c>
    </row>
    <row r="251" spans="1:6">
      <c r="A251" s="6">
        <v>44135</v>
      </c>
      <c r="B251" s="98" t="s">
        <v>232</v>
      </c>
      <c r="C251" s="98">
        <v>35659.25999999998</v>
      </c>
      <c r="D251" t="str">
        <f t="shared" si="11"/>
        <v>徽商银行信托</v>
      </c>
      <c r="E251">
        <f t="shared" si="9"/>
        <v>2020</v>
      </c>
      <c r="F251">
        <f t="shared" si="10"/>
        <v>10</v>
      </c>
    </row>
    <row r="252" spans="1:6">
      <c r="A252" s="6">
        <v>44135</v>
      </c>
      <c r="B252" s="98" t="s">
        <v>155</v>
      </c>
      <c r="C252" s="98">
        <v>1910.8400000000001</v>
      </c>
      <c r="D252" t="str">
        <f t="shared" si="11"/>
        <v>古井</v>
      </c>
      <c r="E252">
        <f t="shared" si="9"/>
        <v>2020</v>
      </c>
      <c r="F252">
        <f t="shared" si="10"/>
        <v>10</v>
      </c>
    </row>
    <row r="253" spans="1:6">
      <c r="A253" s="6">
        <v>44135</v>
      </c>
      <c r="B253" s="98" t="s">
        <v>53</v>
      </c>
      <c r="C253" s="98">
        <v>6078.3700000000026</v>
      </c>
      <c r="D253" t="str">
        <f t="shared" si="11"/>
        <v>中铁四局</v>
      </c>
      <c r="E253">
        <f t="shared" si="9"/>
        <v>2020</v>
      </c>
      <c r="F253">
        <f t="shared" si="10"/>
        <v>10</v>
      </c>
    </row>
    <row r="254" spans="1:6">
      <c r="A254" s="6">
        <v>44135</v>
      </c>
      <c r="B254" s="98" t="s">
        <v>51</v>
      </c>
      <c r="C254" s="98">
        <v>1388.6000000000058</v>
      </c>
      <c r="D254" t="str">
        <f t="shared" si="11"/>
        <v>皖北煤电信托</v>
      </c>
      <c r="E254">
        <f t="shared" si="9"/>
        <v>2020</v>
      </c>
      <c r="F254">
        <f t="shared" si="10"/>
        <v>10</v>
      </c>
    </row>
    <row r="255" spans="1:6">
      <c r="A255" s="6">
        <v>44135</v>
      </c>
      <c r="B255" s="98" t="s">
        <v>47</v>
      </c>
      <c r="C255" s="98">
        <v>250.80000000000291</v>
      </c>
      <c r="D255" t="str">
        <f t="shared" si="11"/>
        <v>皖北煤电债权</v>
      </c>
      <c r="E255">
        <f t="shared" si="9"/>
        <v>2020</v>
      </c>
      <c r="F255">
        <f t="shared" si="10"/>
        <v>10</v>
      </c>
    </row>
    <row r="256" spans="1:6">
      <c r="A256" s="6">
        <v>44135</v>
      </c>
      <c r="B256" s="98" t="s">
        <v>42</v>
      </c>
      <c r="C256" s="98">
        <v>1732.6200000000015</v>
      </c>
      <c r="D256" t="str">
        <f t="shared" si="11"/>
        <v>徽商集团</v>
      </c>
      <c r="E256">
        <f t="shared" si="9"/>
        <v>2020</v>
      </c>
      <c r="F256">
        <f t="shared" si="10"/>
        <v>10</v>
      </c>
    </row>
    <row r="257" spans="1:6">
      <c r="A257" s="6">
        <v>44135</v>
      </c>
      <c r="B257" s="98" t="s">
        <v>56</v>
      </c>
      <c r="C257" s="98">
        <v>57683.640000000036</v>
      </c>
      <c r="D257" t="str">
        <f t="shared" si="11"/>
        <v>安徽烟草肥外</v>
      </c>
      <c r="E257">
        <f t="shared" si="9"/>
        <v>2020</v>
      </c>
      <c r="F257">
        <f t="shared" si="10"/>
        <v>10</v>
      </c>
    </row>
    <row r="258" spans="1:6">
      <c r="A258" s="6">
        <v>44135</v>
      </c>
      <c r="B258" s="98" t="s">
        <v>37</v>
      </c>
      <c r="C258" s="98">
        <v>15410.499999999993</v>
      </c>
      <c r="D258" t="str">
        <f t="shared" si="11"/>
        <v>安徽高速</v>
      </c>
      <c r="E258">
        <f t="shared" si="9"/>
        <v>2020</v>
      </c>
      <c r="F258">
        <f t="shared" si="10"/>
        <v>10</v>
      </c>
    </row>
    <row r="259" spans="1:6">
      <c r="A259" s="6">
        <v>44165</v>
      </c>
      <c r="B259" s="98" t="s">
        <v>232</v>
      </c>
      <c r="C259" s="98">
        <v>32056.39999999998</v>
      </c>
      <c r="D259" t="str">
        <f t="shared" si="11"/>
        <v>徽商银行信托</v>
      </c>
      <c r="E259">
        <f t="shared" ref="E259:E275" si="12">YEAR(A259)</f>
        <v>2020</v>
      </c>
      <c r="F259">
        <f t="shared" ref="F259:F275" si="13">MONTH(A259)</f>
        <v>11</v>
      </c>
    </row>
    <row r="260" spans="1:6">
      <c r="A260" s="6">
        <v>44165</v>
      </c>
      <c r="B260" s="98" t="s">
        <v>155</v>
      </c>
      <c r="C260" s="98">
        <v>1325.8500000000004</v>
      </c>
      <c r="D260" t="str">
        <f t="shared" ref="D260:D274" si="14">VLOOKUP(B260,$I:$J,2,0)</f>
        <v>古井</v>
      </c>
      <c r="E260">
        <f t="shared" si="12"/>
        <v>2020</v>
      </c>
      <c r="F260">
        <f t="shared" si="13"/>
        <v>11</v>
      </c>
    </row>
    <row r="261" spans="1:6">
      <c r="A261" s="6">
        <v>44165</v>
      </c>
      <c r="B261" s="98" t="s">
        <v>53</v>
      </c>
      <c r="C261" s="98">
        <v>5154.9899999999907</v>
      </c>
      <c r="D261" t="str">
        <f t="shared" si="14"/>
        <v>中铁四局</v>
      </c>
      <c r="E261">
        <f t="shared" si="12"/>
        <v>2020</v>
      </c>
      <c r="F261">
        <f t="shared" si="13"/>
        <v>11</v>
      </c>
    </row>
    <row r="262" spans="1:6">
      <c r="A262" s="6">
        <v>44165</v>
      </c>
      <c r="B262" s="98" t="s">
        <v>51</v>
      </c>
      <c r="C262" s="98">
        <v>49.649999999994179</v>
      </c>
      <c r="D262" t="str">
        <f t="shared" si="14"/>
        <v>皖北煤电信托</v>
      </c>
      <c r="E262">
        <f t="shared" si="12"/>
        <v>2020</v>
      </c>
      <c r="F262">
        <f t="shared" si="13"/>
        <v>11</v>
      </c>
    </row>
    <row r="263" spans="1:6">
      <c r="A263" s="6">
        <v>44165</v>
      </c>
      <c r="B263" s="98" t="s">
        <v>47</v>
      </c>
      <c r="C263" s="98">
        <v>-31.180000000000291</v>
      </c>
      <c r="D263" t="str">
        <f t="shared" si="14"/>
        <v>皖北煤电债权</v>
      </c>
      <c r="E263">
        <f t="shared" si="12"/>
        <v>2020</v>
      </c>
      <c r="F263">
        <f t="shared" si="13"/>
        <v>11</v>
      </c>
    </row>
    <row r="264" spans="1:6">
      <c r="A264" s="6">
        <v>44165</v>
      </c>
      <c r="B264" s="98" t="s">
        <v>42</v>
      </c>
      <c r="C264" s="98">
        <v>1402.7499999999993</v>
      </c>
      <c r="D264" t="str">
        <f t="shared" si="14"/>
        <v>徽商集团</v>
      </c>
      <c r="E264">
        <f t="shared" si="12"/>
        <v>2020</v>
      </c>
      <c r="F264">
        <f t="shared" si="13"/>
        <v>11</v>
      </c>
    </row>
    <row r="265" spans="1:6">
      <c r="A265" s="6">
        <v>44165</v>
      </c>
      <c r="B265" s="98" t="s">
        <v>56</v>
      </c>
      <c r="C265" s="98">
        <v>54380.909999999982</v>
      </c>
      <c r="D265" t="str">
        <f t="shared" si="14"/>
        <v>安徽烟草肥外</v>
      </c>
      <c r="E265">
        <f t="shared" si="12"/>
        <v>2020</v>
      </c>
      <c r="F265">
        <f t="shared" si="13"/>
        <v>11</v>
      </c>
    </row>
    <row r="266" spans="1:6">
      <c r="A266" s="6">
        <v>44165</v>
      </c>
      <c r="B266" s="98" t="s">
        <v>37</v>
      </c>
      <c r="C266" s="98">
        <v>15072.930000000029</v>
      </c>
      <c r="D266" t="str">
        <f t="shared" si="14"/>
        <v>安徽高速</v>
      </c>
      <c r="E266">
        <f t="shared" si="12"/>
        <v>2020</v>
      </c>
      <c r="F266">
        <f t="shared" si="13"/>
        <v>11</v>
      </c>
    </row>
    <row r="267" spans="1:6">
      <c r="A267" s="6">
        <v>44196</v>
      </c>
      <c r="B267" s="98" t="s">
        <v>232</v>
      </c>
      <c r="C267" s="98">
        <v>35765.33</v>
      </c>
      <c r="D267" t="str">
        <f t="shared" si="14"/>
        <v>徽商银行信托</v>
      </c>
      <c r="E267">
        <f t="shared" si="12"/>
        <v>2020</v>
      </c>
      <c r="F267">
        <f t="shared" si="13"/>
        <v>12</v>
      </c>
    </row>
    <row r="268" spans="1:6">
      <c r="A268" s="6">
        <v>44196</v>
      </c>
      <c r="B268" s="98" t="s">
        <v>155</v>
      </c>
      <c r="C268" s="98">
        <v>1214.2600000000002</v>
      </c>
      <c r="D268" t="str">
        <f t="shared" si="14"/>
        <v>古井</v>
      </c>
      <c r="E268">
        <f t="shared" si="12"/>
        <v>2020</v>
      </c>
      <c r="F268">
        <f t="shared" si="13"/>
        <v>12</v>
      </c>
    </row>
    <row r="269" spans="1:6">
      <c r="A269" s="6">
        <v>44196</v>
      </c>
      <c r="B269" s="98" t="s">
        <v>53</v>
      </c>
      <c r="C269" s="98">
        <v>5776.679999999993</v>
      </c>
      <c r="D269" t="str">
        <f t="shared" si="14"/>
        <v>中铁四局</v>
      </c>
      <c r="E269">
        <f t="shared" si="12"/>
        <v>2020</v>
      </c>
      <c r="F269">
        <f t="shared" si="13"/>
        <v>12</v>
      </c>
    </row>
    <row r="270" spans="1:6">
      <c r="A270" s="6">
        <v>44196</v>
      </c>
      <c r="B270" s="98" t="s">
        <v>51</v>
      </c>
      <c r="C270" s="98">
        <v>1169.9700000000012</v>
      </c>
      <c r="D270" t="str">
        <f t="shared" si="14"/>
        <v>皖北煤电信托</v>
      </c>
      <c r="E270">
        <f t="shared" si="12"/>
        <v>2020</v>
      </c>
      <c r="F270">
        <f t="shared" si="13"/>
        <v>12</v>
      </c>
    </row>
    <row r="271" spans="1:6">
      <c r="A271" s="6">
        <v>44196</v>
      </c>
      <c r="B271" s="98" t="s">
        <v>47</v>
      </c>
      <c r="C271" s="98">
        <v>304.62999999999738</v>
      </c>
      <c r="D271" t="str">
        <f t="shared" si="14"/>
        <v>皖北煤电债权</v>
      </c>
      <c r="E271">
        <f t="shared" si="12"/>
        <v>2020</v>
      </c>
      <c r="F271">
        <f t="shared" si="13"/>
        <v>12</v>
      </c>
    </row>
    <row r="272" spans="1:6">
      <c r="A272" s="6">
        <v>44196</v>
      </c>
      <c r="B272" s="98" t="s">
        <v>42</v>
      </c>
      <c r="C272" s="98">
        <v>1245.8599999999985</v>
      </c>
      <c r="D272" t="str">
        <f t="shared" si="14"/>
        <v>徽商集团</v>
      </c>
      <c r="E272">
        <f t="shared" si="12"/>
        <v>2020</v>
      </c>
      <c r="F272">
        <f t="shared" si="13"/>
        <v>12</v>
      </c>
    </row>
    <row r="273" spans="1:6">
      <c r="A273" s="6">
        <v>44196</v>
      </c>
      <c r="B273" s="98" t="s">
        <v>56</v>
      </c>
      <c r="C273" s="98">
        <v>59692.750000000022</v>
      </c>
      <c r="D273" t="str">
        <f t="shared" si="14"/>
        <v>安徽烟草肥外</v>
      </c>
      <c r="E273">
        <f t="shared" si="12"/>
        <v>2020</v>
      </c>
      <c r="F273">
        <f t="shared" si="13"/>
        <v>12</v>
      </c>
    </row>
    <row r="274" spans="1:6">
      <c r="A274" s="6">
        <v>44196</v>
      </c>
      <c r="B274" s="98" t="s">
        <v>37</v>
      </c>
      <c r="C274" s="98">
        <v>16686.969999999972</v>
      </c>
      <c r="D274" t="str">
        <f t="shared" si="14"/>
        <v>安徽高速</v>
      </c>
      <c r="E274">
        <f t="shared" si="12"/>
        <v>2020</v>
      </c>
      <c r="F274">
        <f t="shared" si="13"/>
        <v>12</v>
      </c>
    </row>
    <row r="275" spans="1:6">
      <c r="A275" s="6">
        <v>44227</v>
      </c>
      <c r="B275" s="98" t="s">
        <v>232</v>
      </c>
      <c r="C275" s="98">
        <v>34733.379999999997</v>
      </c>
      <c r="D275" t="str">
        <f t="shared" ref="D275:D281" si="15">VLOOKUP(B275,$I:$J,2,0)</f>
        <v>徽商银行信托</v>
      </c>
      <c r="E275">
        <f t="shared" ref="E275:E282" si="16">YEAR(A275)</f>
        <v>2021</v>
      </c>
      <c r="F275">
        <f t="shared" ref="F275:F282" si="17">MONTH(A275)</f>
        <v>1</v>
      </c>
    </row>
    <row r="276" spans="1:6">
      <c r="A276" s="6">
        <v>44227</v>
      </c>
      <c r="B276" s="98" t="s">
        <v>155</v>
      </c>
      <c r="C276" s="98">
        <v>599.16999999999996</v>
      </c>
      <c r="D276" t="str">
        <f t="shared" si="15"/>
        <v>古井</v>
      </c>
      <c r="E276">
        <f t="shared" si="16"/>
        <v>2021</v>
      </c>
      <c r="F276">
        <f t="shared" si="17"/>
        <v>1</v>
      </c>
    </row>
    <row r="277" spans="1:6">
      <c r="A277" s="6">
        <v>44227</v>
      </c>
      <c r="B277" s="98" t="s">
        <v>53</v>
      </c>
      <c r="C277" s="98">
        <v>5423</v>
      </c>
      <c r="D277" t="str">
        <f t="shared" si="15"/>
        <v>中铁四局</v>
      </c>
      <c r="E277">
        <f t="shared" si="16"/>
        <v>2021</v>
      </c>
      <c r="F277">
        <f t="shared" si="17"/>
        <v>1</v>
      </c>
    </row>
    <row r="278" spans="1:6">
      <c r="A278" s="6">
        <v>44227</v>
      </c>
      <c r="B278" s="98" t="s">
        <v>51</v>
      </c>
      <c r="C278" s="98">
        <v>955.89</v>
      </c>
      <c r="D278" t="str">
        <f t="shared" si="15"/>
        <v>皖北煤电信托</v>
      </c>
      <c r="E278">
        <f t="shared" si="16"/>
        <v>2021</v>
      </c>
      <c r="F278">
        <f t="shared" si="17"/>
        <v>1</v>
      </c>
    </row>
    <row r="279" spans="1:6">
      <c r="A279" s="6">
        <v>44227</v>
      </c>
      <c r="B279" s="98" t="s">
        <v>42</v>
      </c>
      <c r="C279" s="98">
        <v>2268.36</v>
      </c>
      <c r="D279" t="str">
        <f t="shared" si="15"/>
        <v>徽商集团</v>
      </c>
      <c r="E279">
        <f t="shared" si="16"/>
        <v>2021</v>
      </c>
      <c r="F279">
        <f t="shared" si="17"/>
        <v>1</v>
      </c>
    </row>
    <row r="280" spans="1:6">
      <c r="A280" s="6">
        <v>44227</v>
      </c>
      <c r="B280" s="98" t="s">
        <v>56</v>
      </c>
      <c r="C280" s="98">
        <v>61891.519999999997</v>
      </c>
      <c r="D280" t="str">
        <f t="shared" si="15"/>
        <v>安徽烟草肥外</v>
      </c>
      <c r="E280">
        <f t="shared" si="16"/>
        <v>2021</v>
      </c>
      <c r="F280">
        <f t="shared" si="17"/>
        <v>1</v>
      </c>
    </row>
    <row r="281" spans="1:6">
      <c r="A281" s="6">
        <v>44227</v>
      </c>
      <c r="B281" s="98" t="s">
        <v>37</v>
      </c>
      <c r="C281" s="98">
        <v>18582.78</v>
      </c>
      <c r="D281" t="str">
        <f t="shared" si="15"/>
        <v>安徽高速</v>
      </c>
      <c r="E281">
        <f t="shared" si="16"/>
        <v>2021</v>
      </c>
      <c r="F281">
        <f t="shared" si="17"/>
        <v>1</v>
      </c>
    </row>
    <row r="282" spans="1:6">
      <c r="A282" s="6">
        <v>44255</v>
      </c>
      <c r="B282" s="98" t="s">
        <v>232</v>
      </c>
      <c r="C282" s="98">
        <v>31793.010000000002</v>
      </c>
      <c r="D282" t="str">
        <f t="shared" ref="D282:D289" si="18">VLOOKUP(B282,$I:$J,2,0)</f>
        <v>徽商银行信托</v>
      </c>
      <c r="E282">
        <f t="shared" ref="E282:E290" si="19">YEAR(A282)</f>
        <v>2021</v>
      </c>
      <c r="F282">
        <f t="shared" ref="F282:F290" si="20">MONTH(A282)</f>
        <v>2</v>
      </c>
    </row>
    <row r="283" spans="1:6">
      <c r="A283" s="6">
        <v>44255</v>
      </c>
      <c r="B283" s="98" t="s">
        <v>155</v>
      </c>
      <c r="C283" s="98">
        <v>743.94999999999993</v>
      </c>
      <c r="D283" t="str">
        <f t="shared" si="18"/>
        <v>古井</v>
      </c>
      <c r="E283">
        <f t="shared" si="19"/>
        <v>2021</v>
      </c>
      <c r="F283">
        <f t="shared" si="20"/>
        <v>2</v>
      </c>
    </row>
    <row r="284" spans="1:6">
      <c r="A284" s="6">
        <v>44255</v>
      </c>
      <c r="B284" s="98" t="s">
        <v>53</v>
      </c>
      <c r="C284" s="98">
        <v>4349.7099999999991</v>
      </c>
      <c r="D284" t="str">
        <f t="shared" si="18"/>
        <v>中铁四局</v>
      </c>
      <c r="E284">
        <f t="shared" si="19"/>
        <v>2021</v>
      </c>
      <c r="F284">
        <f t="shared" si="20"/>
        <v>2</v>
      </c>
    </row>
    <row r="285" spans="1:6">
      <c r="A285" s="6">
        <v>44255</v>
      </c>
      <c r="B285" s="98" t="s">
        <v>51</v>
      </c>
      <c r="C285" s="98">
        <v>867.19999999999993</v>
      </c>
      <c r="D285" t="str">
        <f t="shared" si="18"/>
        <v>皖北煤电信托</v>
      </c>
      <c r="E285">
        <f t="shared" si="19"/>
        <v>2021</v>
      </c>
      <c r="F285">
        <f t="shared" si="20"/>
        <v>2</v>
      </c>
    </row>
    <row r="286" spans="1:6">
      <c r="A286" s="6">
        <v>44255</v>
      </c>
      <c r="B286" s="98" t="s">
        <v>47</v>
      </c>
      <c r="C286" s="98">
        <v>36.21</v>
      </c>
      <c r="D286" t="str">
        <f t="shared" si="18"/>
        <v>皖北煤电债权</v>
      </c>
      <c r="E286">
        <f t="shared" si="19"/>
        <v>2021</v>
      </c>
      <c r="F286">
        <f t="shared" si="20"/>
        <v>2</v>
      </c>
    </row>
    <row r="287" spans="1:6">
      <c r="A287" s="6">
        <v>44255</v>
      </c>
      <c r="B287" s="98" t="s">
        <v>42</v>
      </c>
      <c r="C287" s="98">
        <v>2043.8200000000002</v>
      </c>
      <c r="D287" t="str">
        <f t="shared" si="18"/>
        <v>徽商集团</v>
      </c>
      <c r="E287">
        <f t="shared" si="19"/>
        <v>2021</v>
      </c>
      <c r="F287">
        <f t="shared" si="20"/>
        <v>2</v>
      </c>
    </row>
    <row r="288" spans="1:6">
      <c r="A288" s="6">
        <v>44255</v>
      </c>
      <c r="B288" s="98" t="s">
        <v>56</v>
      </c>
      <c r="C288" s="98">
        <v>53521.88</v>
      </c>
      <c r="D288" t="str">
        <f t="shared" si="18"/>
        <v>安徽烟草肥外</v>
      </c>
      <c r="E288">
        <f t="shared" si="19"/>
        <v>2021</v>
      </c>
      <c r="F288">
        <f t="shared" si="20"/>
        <v>2</v>
      </c>
    </row>
    <row r="289" spans="1:6">
      <c r="A289" s="6">
        <v>44255</v>
      </c>
      <c r="B289" s="98" t="s">
        <v>37</v>
      </c>
      <c r="C289" s="98">
        <v>15592.730000000003</v>
      </c>
      <c r="D289" t="str">
        <f t="shared" si="18"/>
        <v>安徽高速</v>
      </c>
      <c r="E289">
        <f t="shared" si="19"/>
        <v>2021</v>
      </c>
      <c r="F289">
        <f t="shared" si="20"/>
        <v>2</v>
      </c>
    </row>
    <row r="290" spans="1:6">
      <c r="A290" s="6">
        <v>44286</v>
      </c>
      <c r="B290" s="98" t="s">
        <v>51</v>
      </c>
      <c r="C290" s="98">
        <v>280.22000000000014</v>
      </c>
      <c r="D290" t="str">
        <f t="shared" ref="D290:D297" si="21">VLOOKUP(B290,$I:$J,2,0)</f>
        <v>皖北煤电信托</v>
      </c>
      <c r="E290">
        <f t="shared" ref="E290:E297" si="22">YEAR(A290)</f>
        <v>2021</v>
      </c>
      <c r="F290">
        <f t="shared" ref="F290:F297" si="23">MONTH(A290)</f>
        <v>3</v>
      </c>
    </row>
    <row r="291" spans="1:6">
      <c r="A291" s="6">
        <v>44286</v>
      </c>
      <c r="B291" s="98" t="s">
        <v>232</v>
      </c>
      <c r="C291" s="98">
        <v>36490.660000000011</v>
      </c>
      <c r="D291" t="str">
        <f t="shared" si="21"/>
        <v>徽商银行信托</v>
      </c>
      <c r="E291">
        <f t="shared" si="22"/>
        <v>2021</v>
      </c>
      <c r="F291">
        <f t="shared" si="23"/>
        <v>3</v>
      </c>
    </row>
    <row r="292" spans="1:6">
      <c r="A292" s="6">
        <v>44286</v>
      </c>
      <c r="B292" s="98" t="s">
        <v>155</v>
      </c>
      <c r="C292" s="98">
        <v>671.14000000000021</v>
      </c>
      <c r="D292" t="str">
        <f t="shared" si="21"/>
        <v>古井</v>
      </c>
      <c r="E292">
        <f t="shared" si="22"/>
        <v>2021</v>
      </c>
      <c r="F292">
        <f t="shared" si="23"/>
        <v>3</v>
      </c>
    </row>
    <row r="293" spans="1:6">
      <c r="A293" s="6">
        <v>44286</v>
      </c>
      <c r="B293" s="98" t="s">
        <v>53</v>
      </c>
      <c r="C293" s="98">
        <v>4768.09</v>
      </c>
      <c r="D293" t="str">
        <f t="shared" si="21"/>
        <v>中铁四局</v>
      </c>
      <c r="E293">
        <f t="shared" si="22"/>
        <v>2021</v>
      </c>
      <c r="F293">
        <f t="shared" si="23"/>
        <v>3</v>
      </c>
    </row>
    <row r="294" spans="1:6">
      <c r="A294" s="6">
        <v>44286</v>
      </c>
      <c r="B294" s="98" t="s">
        <v>47</v>
      </c>
      <c r="C294" s="98">
        <v>20.36</v>
      </c>
      <c r="D294" t="str">
        <f t="shared" si="21"/>
        <v>皖北煤电债权</v>
      </c>
      <c r="E294">
        <f t="shared" si="22"/>
        <v>2021</v>
      </c>
      <c r="F294">
        <f t="shared" si="23"/>
        <v>3</v>
      </c>
    </row>
    <row r="295" spans="1:6">
      <c r="A295" s="6">
        <v>44286</v>
      </c>
      <c r="B295" s="98" t="s">
        <v>42</v>
      </c>
      <c r="C295" s="98">
        <v>2268.86</v>
      </c>
      <c r="D295" t="str">
        <f t="shared" si="21"/>
        <v>徽商集团</v>
      </c>
      <c r="E295">
        <f t="shared" si="22"/>
        <v>2021</v>
      </c>
      <c r="F295">
        <f t="shared" si="23"/>
        <v>3</v>
      </c>
    </row>
    <row r="296" spans="1:6">
      <c r="A296" s="6">
        <v>44286</v>
      </c>
      <c r="B296" s="98" t="s">
        <v>56</v>
      </c>
      <c r="C296" s="98">
        <v>62227.93</v>
      </c>
      <c r="D296" t="str">
        <f t="shared" si="21"/>
        <v>安徽烟草肥外</v>
      </c>
      <c r="E296">
        <f t="shared" si="22"/>
        <v>2021</v>
      </c>
      <c r="F296">
        <f t="shared" si="23"/>
        <v>3</v>
      </c>
    </row>
    <row r="297" spans="1:6">
      <c r="A297" s="6">
        <v>44286</v>
      </c>
      <c r="B297" s="98" t="s">
        <v>37</v>
      </c>
      <c r="C297" s="98">
        <v>16584.699999999997</v>
      </c>
      <c r="D297" t="str">
        <f t="shared" si="21"/>
        <v>安徽高速</v>
      </c>
      <c r="E297">
        <f t="shared" si="22"/>
        <v>2021</v>
      </c>
      <c r="F297">
        <f t="shared" si="23"/>
        <v>3</v>
      </c>
    </row>
  </sheetData>
  <autoFilter ref="A1:D206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"/>
  <sheetViews>
    <sheetView topLeftCell="A19" workbookViewId="0">
      <selection activeCell="D40" sqref="D40:D42"/>
    </sheetView>
  </sheetViews>
  <sheetFormatPr defaultColWidth="9" defaultRowHeight="13.8"/>
  <cols>
    <col min="1" max="1" width="11.21875" customWidth="1"/>
    <col min="4" max="4" width="15.33203125" customWidth="1"/>
  </cols>
  <sheetData>
    <row r="1" spans="1:7">
      <c r="A1" t="s">
        <v>0</v>
      </c>
      <c r="B1" s="21" t="s">
        <v>59</v>
      </c>
      <c r="C1" s="21" t="s">
        <v>10</v>
      </c>
      <c r="D1" s="21" t="s">
        <v>60</v>
      </c>
      <c r="E1" s="78" t="s">
        <v>132</v>
      </c>
    </row>
    <row r="2" spans="1:7" ht="18.600000000000001">
      <c r="A2" s="6">
        <v>43131</v>
      </c>
      <c r="B2" s="7" t="s">
        <v>19</v>
      </c>
      <c r="C2" s="20">
        <v>4340</v>
      </c>
      <c r="D2" s="38">
        <v>313769.12</v>
      </c>
    </row>
    <row r="3" spans="1:7" ht="18.600000000000001">
      <c r="A3" s="6">
        <v>43159</v>
      </c>
      <c r="B3" s="7" t="s">
        <v>19</v>
      </c>
      <c r="C3" s="20">
        <v>4340</v>
      </c>
      <c r="D3" s="38">
        <v>288510.69</v>
      </c>
    </row>
    <row r="4" spans="1:7" ht="18.600000000000001">
      <c r="A4" s="6">
        <v>43190</v>
      </c>
      <c r="B4" s="7" t="s">
        <v>19</v>
      </c>
      <c r="C4" s="20">
        <v>4340</v>
      </c>
      <c r="D4" s="38">
        <v>305108.53999999998</v>
      </c>
    </row>
    <row r="5" spans="1:7" ht="18.600000000000001">
      <c r="A5" s="6">
        <v>43220</v>
      </c>
      <c r="B5" s="7" t="s">
        <v>19</v>
      </c>
      <c r="C5" s="20">
        <v>4340</v>
      </c>
      <c r="D5" s="38">
        <v>309685.5</v>
      </c>
    </row>
    <row r="6" spans="1:7" ht="18.600000000000001">
      <c r="A6" s="6">
        <v>43251</v>
      </c>
      <c r="B6" s="7" t="s">
        <v>19</v>
      </c>
      <c r="C6" s="20">
        <v>4340</v>
      </c>
      <c r="D6" s="38">
        <v>330756.84000000003</v>
      </c>
    </row>
    <row r="7" spans="1:7" ht="18.600000000000001">
      <c r="A7" s="6">
        <v>43281</v>
      </c>
      <c r="B7" s="7" t="s">
        <v>19</v>
      </c>
      <c r="C7" s="20">
        <v>4340</v>
      </c>
      <c r="D7" s="38">
        <v>316853.18</v>
      </c>
    </row>
    <row r="8" spans="1:7" ht="18.600000000000001">
      <c r="A8" s="6">
        <v>43312</v>
      </c>
      <c r="B8" s="7" t="s">
        <v>19</v>
      </c>
      <c r="C8" s="20">
        <v>4340</v>
      </c>
      <c r="D8" s="38">
        <v>332220.01</v>
      </c>
    </row>
    <row r="9" spans="1:7" ht="18.600000000000001">
      <c r="A9" s="6">
        <v>43343</v>
      </c>
      <c r="B9" s="7" t="s">
        <v>19</v>
      </c>
      <c r="C9" s="20">
        <v>4340</v>
      </c>
      <c r="D9" s="38">
        <v>336737.22</v>
      </c>
    </row>
    <row r="10" spans="1:7" ht="18.600000000000001">
      <c r="A10" s="6">
        <v>43373</v>
      </c>
      <c r="B10" s="7" t="s">
        <v>19</v>
      </c>
      <c r="C10" s="20">
        <v>4340</v>
      </c>
      <c r="D10" s="38">
        <v>323147.28000000003</v>
      </c>
    </row>
    <row r="11" spans="1:7" ht="18.600000000000001">
      <c r="A11" s="6">
        <v>43404</v>
      </c>
      <c r="B11" s="7" t="s">
        <v>19</v>
      </c>
      <c r="C11" s="20">
        <v>4340</v>
      </c>
      <c r="D11" s="38">
        <v>341339.58</v>
      </c>
    </row>
    <row r="12" spans="1:7" ht="18.600000000000001">
      <c r="A12" s="6">
        <v>43434</v>
      </c>
      <c r="B12" s="7" t="s">
        <v>19</v>
      </c>
      <c r="C12" s="20">
        <v>4340</v>
      </c>
      <c r="D12" s="38">
        <v>338004.07</v>
      </c>
    </row>
    <row r="13" spans="1:7" ht="18.600000000000001">
      <c r="A13" s="6">
        <v>43465</v>
      </c>
      <c r="B13" s="7" t="s">
        <v>19</v>
      </c>
      <c r="C13" s="20">
        <v>4340</v>
      </c>
      <c r="D13" s="38">
        <v>9100.7800000000007</v>
      </c>
      <c r="E13" s="77" t="s">
        <v>131</v>
      </c>
    </row>
    <row r="14" spans="1:7" ht="18.600000000000001">
      <c r="A14" s="6">
        <v>43465</v>
      </c>
      <c r="B14" s="7" t="s">
        <v>19</v>
      </c>
      <c r="C14" s="20">
        <v>4340</v>
      </c>
      <c r="D14" s="38">
        <v>331500</v>
      </c>
    </row>
    <row r="15" spans="1:7" ht="18.600000000000001">
      <c r="A15" s="6">
        <v>43496</v>
      </c>
      <c r="B15" s="7" t="s">
        <v>19</v>
      </c>
      <c r="C15" s="20">
        <v>4340</v>
      </c>
      <c r="D15" s="38">
        <v>363745.93</v>
      </c>
      <c r="F15" s="40"/>
      <c r="G15" s="41"/>
    </row>
    <row r="16" spans="1:7" ht="18.600000000000001">
      <c r="A16" s="6">
        <v>43524</v>
      </c>
      <c r="B16" s="7" t="s">
        <v>19</v>
      </c>
      <c r="C16" s="20">
        <v>4340</v>
      </c>
      <c r="D16" s="32">
        <v>303999.07</v>
      </c>
      <c r="F16" s="40"/>
      <c r="G16" s="41"/>
    </row>
    <row r="17" spans="1:4" ht="18.600000000000001">
      <c r="A17" s="6">
        <v>43555</v>
      </c>
      <c r="B17" s="7" t="s">
        <v>19</v>
      </c>
      <c r="C17" s="20">
        <v>4340</v>
      </c>
      <c r="D17" s="32">
        <v>356352.8</v>
      </c>
    </row>
    <row r="18" spans="1:4" ht="18.600000000000001">
      <c r="A18" s="6">
        <v>43585</v>
      </c>
      <c r="B18" s="7" t="str">
        <f t="shared" ref="B18:C20" si="0">B17</f>
        <v>安徽</v>
      </c>
      <c r="C18" s="20">
        <f t="shared" si="0"/>
        <v>4340</v>
      </c>
      <c r="D18" s="32">
        <v>344352.25</v>
      </c>
    </row>
    <row r="19" spans="1:4" ht="18.600000000000001">
      <c r="A19" s="6">
        <v>43616</v>
      </c>
      <c r="B19" s="7" t="str">
        <f t="shared" si="0"/>
        <v>安徽</v>
      </c>
      <c r="C19" s="20">
        <f t="shared" si="0"/>
        <v>4340</v>
      </c>
      <c r="D19" s="32">
        <v>351485.57</v>
      </c>
    </row>
    <row r="20" spans="1:4" ht="18.600000000000001">
      <c r="A20" s="6">
        <v>43646</v>
      </c>
      <c r="B20" s="7" t="str">
        <f t="shared" si="0"/>
        <v>安徽</v>
      </c>
      <c r="C20" s="20">
        <f t="shared" si="0"/>
        <v>4340</v>
      </c>
      <c r="D20" s="69">
        <v>344027.99</v>
      </c>
    </row>
    <row r="21" spans="1:4">
      <c r="A21" s="6">
        <v>43677</v>
      </c>
      <c r="D21">
        <v>361216.78</v>
      </c>
    </row>
    <row r="22" spans="1:4" ht="17.399999999999999">
      <c r="A22" s="6">
        <v>43708</v>
      </c>
      <c r="D22" s="81">
        <v>361814.57</v>
      </c>
    </row>
    <row r="23" spans="1:4">
      <c r="A23" s="6">
        <v>43738</v>
      </c>
      <c r="D23">
        <v>360977.51</v>
      </c>
    </row>
    <row r="24" spans="1:4">
      <c r="A24" s="6">
        <v>43769</v>
      </c>
      <c r="D24">
        <v>379365.66000000003</v>
      </c>
    </row>
    <row r="25" spans="1:4">
      <c r="A25" s="6">
        <v>43799</v>
      </c>
      <c r="D25">
        <v>353589.74000000005</v>
      </c>
    </row>
    <row r="26" spans="1:4">
      <c r="A26" s="6">
        <v>43830</v>
      </c>
      <c r="D26">
        <v>370089.8</v>
      </c>
    </row>
    <row r="27" spans="1:4">
      <c r="A27" s="6">
        <v>43830</v>
      </c>
      <c r="D27" s="98">
        <v>17226.689999999991</v>
      </c>
    </row>
    <row r="28" spans="1:4">
      <c r="A28" s="6">
        <v>43861</v>
      </c>
      <c r="D28" s="98">
        <v>382266.36</v>
      </c>
    </row>
    <row r="29" spans="1:4">
      <c r="A29" s="6">
        <v>43890</v>
      </c>
      <c r="D29">
        <v>385569.68000000005</v>
      </c>
    </row>
    <row r="30" spans="1:4">
      <c r="A30" s="6">
        <v>43921</v>
      </c>
      <c r="D30" s="98">
        <v>416739.00000000006</v>
      </c>
    </row>
    <row r="31" spans="1:4">
      <c r="A31" s="6">
        <v>43951</v>
      </c>
      <c r="D31" s="98">
        <v>399002.94</v>
      </c>
    </row>
    <row r="32" spans="1:4">
      <c r="A32" s="6">
        <v>43982</v>
      </c>
      <c r="D32" s="98">
        <v>423199.30999999994</v>
      </c>
    </row>
    <row r="33" spans="1:4">
      <c r="A33" s="6">
        <v>44012</v>
      </c>
      <c r="D33" s="98">
        <v>421033.66</v>
      </c>
    </row>
    <row r="34" spans="1:4">
      <c r="A34" s="6">
        <f>投资管理费收入汇总!A34</f>
        <v>44043</v>
      </c>
      <c r="D34">
        <f>投资管理费收入汇总!F34</f>
        <v>421033.66</v>
      </c>
    </row>
    <row r="35" spans="1:4">
      <c r="A35" s="6">
        <v>44074</v>
      </c>
      <c r="D35" s="98">
        <v>404869.32000000007</v>
      </c>
    </row>
    <row r="36" spans="1:4">
      <c r="A36" s="6">
        <v>44104</v>
      </c>
      <c r="D36" s="64">
        <v>428387.39999999997</v>
      </c>
    </row>
    <row r="37" spans="1:4">
      <c r="A37" s="6">
        <v>44135</v>
      </c>
      <c r="D37">
        <v>436933.68000000011</v>
      </c>
    </row>
    <row r="38" spans="1:4">
      <c r="A38" s="6">
        <v>44165</v>
      </c>
      <c r="D38" s="98">
        <v>433667.09</v>
      </c>
    </row>
    <row r="39" spans="1:4">
      <c r="A39" s="6">
        <v>44196</v>
      </c>
      <c r="D39" s="98">
        <v>453626.86000000004</v>
      </c>
    </row>
    <row r="40" spans="1:4">
      <c r="A40" s="6">
        <v>44227</v>
      </c>
      <c r="D40">
        <f>VLOOKUP(A40,投资管理费收入汇总!A:F,6,0)</f>
        <v>492781.93000000005</v>
      </c>
    </row>
    <row r="41" spans="1:4">
      <c r="A41" s="6">
        <v>44255</v>
      </c>
      <c r="D41">
        <f>VLOOKUP(A41,投资管理费收入汇总!A:F,6,0)</f>
        <v>478955.81000000006</v>
      </c>
    </row>
    <row r="42" spans="1:4">
      <c r="A42" s="6">
        <v>44286</v>
      </c>
      <c r="D42">
        <f>VLOOKUP(A42,投资管理费收入汇总!A:F,6,0)</f>
        <v>525660.1100000001</v>
      </c>
    </row>
  </sheetData>
  <autoFilter ref="A1:E1"/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2"/>
  <sheetViews>
    <sheetView topLeftCell="A22" workbookViewId="0">
      <selection activeCell="A43" sqref="A43"/>
    </sheetView>
  </sheetViews>
  <sheetFormatPr defaultColWidth="9" defaultRowHeight="13.8"/>
  <cols>
    <col min="1" max="1" width="11.21875" customWidth="1"/>
    <col min="4" max="5" width="16.44140625" bestFit="1" customWidth="1"/>
    <col min="6" max="6" width="13" customWidth="1"/>
  </cols>
  <sheetData>
    <row r="1" spans="1:6">
      <c r="A1" t="s">
        <v>0</v>
      </c>
      <c r="B1" s="37" t="s">
        <v>21</v>
      </c>
      <c r="C1" s="37" t="s">
        <v>10</v>
      </c>
      <c r="D1" s="37" t="s">
        <v>60</v>
      </c>
      <c r="E1" s="37" t="s">
        <v>15</v>
      </c>
      <c r="F1" s="37" t="s">
        <v>61</v>
      </c>
    </row>
    <row r="2" spans="1:6" ht="18.600000000000001">
      <c r="A2" s="6">
        <v>43220</v>
      </c>
      <c r="B2" s="7" t="s">
        <v>19</v>
      </c>
      <c r="C2" s="20">
        <v>4340</v>
      </c>
      <c r="D2" s="38">
        <v>275209.01</v>
      </c>
      <c r="E2" s="38">
        <v>259631.14</v>
      </c>
      <c r="F2" s="39">
        <v>15577.87</v>
      </c>
    </row>
    <row r="3" spans="1:6" ht="18.600000000000001">
      <c r="A3" s="6">
        <v>43251</v>
      </c>
      <c r="B3" s="7" t="s">
        <v>19</v>
      </c>
      <c r="C3" s="20">
        <v>4340</v>
      </c>
      <c r="D3" s="38">
        <v>300407.7</v>
      </c>
      <c r="E3" s="38">
        <v>283403.49</v>
      </c>
      <c r="F3" s="39">
        <v>17004.21</v>
      </c>
    </row>
    <row r="4" spans="1:6" ht="18.600000000000001">
      <c r="A4" s="6">
        <v>43281</v>
      </c>
      <c r="B4" s="7" t="s">
        <v>19</v>
      </c>
      <c r="C4" s="20">
        <v>4340</v>
      </c>
      <c r="D4" s="38">
        <v>295901.38</v>
      </c>
      <c r="E4" s="38">
        <v>279152.25</v>
      </c>
      <c r="F4" s="39">
        <v>16749.13</v>
      </c>
    </row>
    <row r="5" spans="1:6" ht="18.600000000000001">
      <c r="A5" s="6">
        <v>43312</v>
      </c>
      <c r="B5" s="7" t="s">
        <v>19</v>
      </c>
      <c r="C5" s="20">
        <v>4340</v>
      </c>
      <c r="D5" s="38">
        <v>343676.41</v>
      </c>
      <c r="E5" s="38">
        <v>324223.03000000003</v>
      </c>
      <c r="F5" s="39">
        <v>19453.38</v>
      </c>
    </row>
    <row r="6" spans="1:6" ht="18.600000000000001">
      <c r="A6" s="6">
        <v>43343</v>
      </c>
      <c r="B6" s="7" t="s">
        <v>19</v>
      </c>
      <c r="C6" s="20">
        <v>4340</v>
      </c>
      <c r="D6" s="38">
        <v>354980.12</v>
      </c>
      <c r="E6" s="38">
        <v>334886.90999999997</v>
      </c>
      <c r="F6" s="39">
        <v>20093.21</v>
      </c>
    </row>
    <row r="7" spans="1:6" ht="18.600000000000001">
      <c r="A7" s="6">
        <v>43373</v>
      </c>
      <c r="B7" s="7" t="s">
        <v>19</v>
      </c>
      <c r="C7" s="20">
        <v>4340</v>
      </c>
      <c r="D7" s="38">
        <v>343195.48</v>
      </c>
      <c r="E7" s="38">
        <v>323769.32</v>
      </c>
      <c r="F7" s="39">
        <v>19426.16</v>
      </c>
    </row>
    <row r="8" spans="1:6" ht="18.600000000000001">
      <c r="A8" s="6">
        <v>43404</v>
      </c>
      <c r="B8" s="7" t="s">
        <v>19</v>
      </c>
      <c r="C8" s="20">
        <v>4340</v>
      </c>
      <c r="D8" s="38">
        <v>356176.14</v>
      </c>
      <c r="E8" s="38">
        <v>336015.23</v>
      </c>
      <c r="F8" s="39">
        <v>20160.91</v>
      </c>
    </row>
    <row r="9" spans="1:6" ht="18.600000000000001">
      <c r="A9" s="6">
        <v>43131</v>
      </c>
      <c r="B9" s="7" t="s">
        <v>19</v>
      </c>
      <c r="C9" s="20">
        <v>4340</v>
      </c>
      <c r="D9" s="38">
        <v>293497.06</v>
      </c>
      <c r="E9" s="38">
        <v>276884.02</v>
      </c>
      <c r="F9" s="39">
        <v>16613.04</v>
      </c>
    </row>
    <row r="10" spans="1:6" ht="18.600000000000001">
      <c r="A10" s="6">
        <v>43159</v>
      </c>
      <c r="B10" s="7" t="s">
        <v>19</v>
      </c>
      <c r="C10" s="20">
        <v>4340</v>
      </c>
      <c r="D10" s="38">
        <v>261302.03</v>
      </c>
      <c r="E10" s="38">
        <v>246511.35</v>
      </c>
      <c r="F10" s="39">
        <v>14790.68</v>
      </c>
    </row>
    <row r="11" spans="1:6" ht="18.600000000000001">
      <c r="A11" s="6">
        <v>43190</v>
      </c>
      <c r="B11" s="7" t="s">
        <v>19</v>
      </c>
      <c r="C11" s="20">
        <v>4340</v>
      </c>
      <c r="D11" s="38">
        <v>290722.11</v>
      </c>
      <c r="E11" s="38">
        <v>274266.14</v>
      </c>
      <c r="F11" s="39">
        <v>16455.97</v>
      </c>
    </row>
    <row r="12" spans="1:6" ht="18.600000000000001">
      <c r="A12" s="6">
        <v>43434</v>
      </c>
      <c r="B12" s="7" t="s">
        <v>19</v>
      </c>
      <c r="C12" s="20">
        <v>4340</v>
      </c>
      <c r="D12" s="38">
        <v>357149.85</v>
      </c>
      <c r="E12" s="38">
        <v>336933.82</v>
      </c>
      <c r="F12" s="39">
        <v>20216.03</v>
      </c>
    </row>
    <row r="13" spans="1:6" ht="18.600000000000001">
      <c r="A13" s="6">
        <v>43465</v>
      </c>
      <c r="B13" s="7" t="s">
        <v>19</v>
      </c>
      <c r="C13" s="20">
        <v>4340</v>
      </c>
      <c r="D13" s="38">
        <v>371880.25</v>
      </c>
      <c r="E13" s="38">
        <v>350830.42</v>
      </c>
      <c r="F13" s="39">
        <v>21049.83</v>
      </c>
    </row>
    <row r="14" spans="1:6" ht="18.600000000000001">
      <c r="A14" t="s">
        <v>58</v>
      </c>
      <c r="B14" s="7" t="s">
        <v>19</v>
      </c>
      <c r="C14" s="20">
        <v>4340</v>
      </c>
      <c r="D14" s="38">
        <v>-6902.61</v>
      </c>
      <c r="E14" s="38">
        <v>-6511.9</v>
      </c>
      <c r="F14" s="39">
        <v>-390.71</v>
      </c>
    </row>
    <row r="15" spans="1:6" ht="18.600000000000001">
      <c r="A15" s="6">
        <v>43496</v>
      </c>
      <c r="B15" s="7" t="s">
        <v>19</v>
      </c>
      <c r="C15" s="20">
        <v>4340</v>
      </c>
      <c r="D15" s="38">
        <v>386248.6</v>
      </c>
      <c r="E15" s="38">
        <v>364385.47</v>
      </c>
      <c r="F15" s="39">
        <v>21863.13</v>
      </c>
    </row>
    <row r="16" spans="1:6" ht="18">
      <c r="A16" s="6">
        <v>43524</v>
      </c>
      <c r="B16" s="20" t="s">
        <v>19</v>
      </c>
      <c r="D16" s="19">
        <v>339381.02</v>
      </c>
      <c r="E16" s="19">
        <v>320170.77</v>
      </c>
      <c r="F16" s="19">
        <v>19210.25</v>
      </c>
    </row>
    <row r="17" spans="1:6" ht="18">
      <c r="A17" s="6">
        <v>43555</v>
      </c>
      <c r="D17" s="19">
        <v>413968.39</v>
      </c>
      <c r="E17" s="19">
        <v>390536.22</v>
      </c>
      <c r="F17" s="19">
        <v>23432.17</v>
      </c>
    </row>
    <row r="18" spans="1:6" ht="18">
      <c r="A18" s="6">
        <v>43585</v>
      </c>
      <c r="D18" s="19">
        <v>465378.83</v>
      </c>
      <c r="E18" s="19">
        <v>439036.63</v>
      </c>
      <c r="F18" s="19">
        <v>26342.2</v>
      </c>
    </row>
    <row r="19" spans="1:6" ht="18">
      <c r="A19" s="6">
        <v>43616</v>
      </c>
      <c r="D19" s="19">
        <v>476484.8</v>
      </c>
      <c r="E19" s="19">
        <v>449513.96</v>
      </c>
      <c r="F19" s="19">
        <v>26970.84</v>
      </c>
    </row>
    <row r="20" spans="1:6" ht="18">
      <c r="A20" s="6">
        <v>43646</v>
      </c>
      <c r="D20" s="70">
        <v>500096.77999999985</v>
      </c>
      <c r="E20" s="70">
        <v>471789.42</v>
      </c>
      <c r="F20" s="70">
        <v>28307.360000000001</v>
      </c>
    </row>
    <row r="21" spans="1:6" ht="18">
      <c r="A21" s="6">
        <v>43677</v>
      </c>
      <c r="D21" s="86">
        <v>494347.59999999992</v>
      </c>
      <c r="E21" s="86">
        <v>466365.66</v>
      </c>
      <c r="F21" s="86">
        <v>27981.94</v>
      </c>
    </row>
    <row r="22" spans="1:6" ht="18">
      <c r="A22" s="6">
        <v>43708</v>
      </c>
      <c r="D22" s="86">
        <v>1056046.3899999999</v>
      </c>
      <c r="E22" s="86">
        <v>996270.18</v>
      </c>
      <c r="F22" s="86">
        <v>59776.21</v>
      </c>
    </row>
    <row r="23" spans="1:6" ht="18">
      <c r="A23" s="6">
        <v>43738</v>
      </c>
      <c r="D23" s="99">
        <v>1113933.8500000003</v>
      </c>
      <c r="E23" s="99">
        <v>1050880.99</v>
      </c>
      <c r="F23" s="99">
        <v>63052.86</v>
      </c>
    </row>
    <row r="24" spans="1:6">
      <c r="A24" s="6">
        <v>43769</v>
      </c>
      <c r="D24">
        <v>1203571.27</v>
      </c>
      <c r="E24">
        <v>1135444.5900000001</v>
      </c>
      <c r="F24">
        <v>68126.679999999993</v>
      </c>
    </row>
    <row r="25" spans="1:6">
      <c r="A25" s="6">
        <v>43799</v>
      </c>
      <c r="D25">
        <v>1160018.3399999999</v>
      </c>
      <c r="E25">
        <v>1094356.92</v>
      </c>
      <c r="F25">
        <v>65661.42</v>
      </c>
    </row>
    <row r="26" spans="1:6">
      <c r="A26" s="6">
        <v>43830</v>
      </c>
      <c r="D26">
        <v>1294558.7700000005</v>
      </c>
      <c r="E26">
        <v>1221281.8600000001</v>
      </c>
      <c r="F26">
        <v>73276.91</v>
      </c>
    </row>
    <row r="27" spans="1:6">
      <c r="A27" s="6">
        <v>43830</v>
      </c>
      <c r="B27" s="98">
        <v>4340</v>
      </c>
      <c r="C27" s="98" t="s">
        <v>19</v>
      </c>
      <c r="D27" s="98">
        <v>163035.08999999994</v>
      </c>
      <c r="E27" s="98">
        <v>153806.69</v>
      </c>
      <c r="F27" s="98">
        <v>9228.4</v>
      </c>
    </row>
    <row r="28" spans="1:6">
      <c r="A28" s="6">
        <v>43861</v>
      </c>
      <c r="D28" s="98">
        <v>1341992.1599999999</v>
      </c>
      <c r="E28" s="98">
        <v>1266030.3400000001</v>
      </c>
      <c r="F28" s="98">
        <v>75961.820000000007</v>
      </c>
    </row>
    <row r="29" spans="1:6">
      <c r="A29" s="6">
        <v>43890</v>
      </c>
      <c r="D29" s="98">
        <v>1286191.6600000006</v>
      </c>
      <c r="E29" s="98">
        <v>1213388.3600000001</v>
      </c>
      <c r="F29" s="98">
        <v>72803.3</v>
      </c>
    </row>
    <row r="30" spans="1:6">
      <c r="A30" s="6">
        <v>43921</v>
      </c>
      <c r="D30" s="98">
        <v>1409677.9800000002</v>
      </c>
      <c r="E30" s="98">
        <v>1329884.8899999999</v>
      </c>
      <c r="F30" s="98">
        <v>79793.09</v>
      </c>
    </row>
    <row r="31" spans="1:6">
      <c r="A31" s="6">
        <v>43951</v>
      </c>
      <c r="D31" s="98">
        <v>1392494.35</v>
      </c>
      <c r="E31" s="98">
        <v>1313673.92</v>
      </c>
      <c r="F31" s="98">
        <v>78820.429999999993</v>
      </c>
    </row>
    <row r="32" spans="1:6">
      <c r="A32" s="6">
        <v>43982</v>
      </c>
      <c r="B32" s="98">
        <v>4340</v>
      </c>
      <c r="C32" s="98" t="s">
        <v>19</v>
      </c>
      <c r="D32" s="98">
        <v>1463246.7500000002</v>
      </c>
      <c r="E32" s="98">
        <v>1380421.46</v>
      </c>
      <c r="F32" s="98">
        <v>82825.289999999994</v>
      </c>
    </row>
    <row r="33" spans="1:6">
      <c r="A33" s="6">
        <v>44012</v>
      </c>
      <c r="B33" s="98">
        <v>4340</v>
      </c>
      <c r="C33" s="98" t="s">
        <v>19</v>
      </c>
      <c r="D33" s="98">
        <v>1530442.2600000002</v>
      </c>
      <c r="E33" s="98">
        <v>1443813.45</v>
      </c>
      <c r="F33" s="98">
        <v>86628.81</v>
      </c>
    </row>
    <row r="34" spans="1:6">
      <c r="A34" s="6">
        <v>44043</v>
      </c>
      <c r="B34" s="98">
        <v>4340</v>
      </c>
      <c r="C34" s="98" t="s">
        <v>19</v>
      </c>
      <c r="D34" s="98">
        <v>1530442.2600000002</v>
      </c>
      <c r="E34" s="98">
        <v>1443813.45</v>
      </c>
      <c r="F34" s="98">
        <v>86628.81</v>
      </c>
    </row>
    <row r="35" spans="1:6">
      <c r="A35" s="6">
        <v>44074</v>
      </c>
      <c r="B35" s="98">
        <v>4340</v>
      </c>
      <c r="C35" s="98" t="s">
        <v>19</v>
      </c>
      <c r="D35" s="98">
        <v>1603779.4200000002</v>
      </c>
      <c r="E35" s="98">
        <v>1512999.45</v>
      </c>
      <c r="F35" s="98">
        <v>90779.97</v>
      </c>
    </row>
    <row r="36" spans="1:6">
      <c r="A36" s="6">
        <v>44104</v>
      </c>
      <c r="B36" s="98">
        <v>4340</v>
      </c>
      <c r="C36" s="98" t="s">
        <v>19</v>
      </c>
      <c r="D36" s="100">
        <v>1664651.2900000003</v>
      </c>
      <c r="E36" s="100">
        <v>1570425.75</v>
      </c>
      <c r="F36" s="100">
        <v>94225.54</v>
      </c>
    </row>
    <row r="37" spans="1:6">
      <c r="A37" s="6">
        <v>44135</v>
      </c>
      <c r="B37" s="98">
        <v>4340</v>
      </c>
      <c r="C37" s="98" t="s">
        <v>19</v>
      </c>
      <c r="D37" s="98">
        <v>1733715.5000000002</v>
      </c>
      <c r="E37" s="98">
        <v>1635580.66</v>
      </c>
      <c r="F37" s="98">
        <v>98134.84</v>
      </c>
    </row>
    <row r="38" spans="1:6">
      <c r="A38" s="6">
        <v>44165</v>
      </c>
      <c r="B38" s="98">
        <v>4340</v>
      </c>
      <c r="C38" s="98" t="s">
        <v>19</v>
      </c>
      <c r="D38" s="98">
        <v>1657068.3399999999</v>
      </c>
      <c r="E38" s="98">
        <v>1563272.02</v>
      </c>
      <c r="F38" s="98">
        <v>93796.32</v>
      </c>
    </row>
    <row r="39" spans="1:6">
      <c r="A39" s="6">
        <v>44196</v>
      </c>
      <c r="B39" s="98">
        <v>4340</v>
      </c>
      <c r="C39" s="98" t="s">
        <v>19</v>
      </c>
      <c r="D39" s="98">
        <v>1702978.6799999992</v>
      </c>
      <c r="E39" s="98">
        <v>1606583.66</v>
      </c>
      <c r="F39" s="98">
        <v>96395.02</v>
      </c>
    </row>
    <row r="40" spans="1:6">
      <c r="A40" s="6">
        <v>44227</v>
      </c>
      <c r="B40">
        <v>4340</v>
      </c>
      <c r="C40" t="s">
        <v>19</v>
      </c>
      <c r="D40" s="100">
        <v>1779948.9972113543</v>
      </c>
      <c r="E40" s="100">
        <v>1679197.17</v>
      </c>
      <c r="F40" s="100">
        <v>100751.83</v>
      </c>
    </row>
    <row r="41" spans="1:6">
      <c r="A41" s="6">
        <v>44255</v>
      </c>
      <c r="B41" s="98">
        <v>4340</v>
      </c>
      <c r="C41" s="98" t="s">
        <v>19</v>
      </c>
      <c r="D41" s="100">
        <v>1640904.709866585</v>
      </c>
      <c r="E41" s="100">
        <v>1548023.31</v>
      </c>
      <c r="F41" s="100">
        <v>92881.4</v>
      </c>
    </row>
    <row r="42" spans="1:6">
      <c r="A42" s="6">
        <v>44286</v>
      </c>
      <c r="B42" s="98">
        <v>4340</v>
      </c>
      <c r="C42" s="98" t="s">
        <v>19</v>
      </c>
      <c r="D42" s="100">
        <v>1777316.6137302916</v>
      </c>
      <c r="E42" s="100">
        <v>1676713.79</v>
      </c>
      <c r="F42" s="100">
        <v>100602.83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701"/>
  <sheetViews>
    <sheetView tabSelected="1" topLeftCell="A3681" workbookViewId="0">
      <selection activeCell="D2507" sqref="D2507:D3701"/>
    </sheetView>
  </sheetViews>
  <sheetFormatPr defaultRowHeight="13.8"/>
  <cols>
    <col min="1" max="1" width="11.21875" bestFit="1" customWidth="1"/>
    <col min="2" max="2" width="9.5546875" bestFit="1" customWidth="1"/>
    <col min="3" max="3" width="75.33203125" bestFit="1" customWidth="1"/>
    <col min="4" max="4" width="62.21875" bestFit="1" customWidth="1"/>
    <col min="5" max="5" width="9.5546875" bestFit="1" customWidth="1"/>
    <col min="6" max="6" width="11.6640625" bestFit="1" customWidth="1"/>
  </cols>
  <sheetData>
    <row r="1" spans="1:6">
      <c r="A1" s="77" t="s">
        <v>457</v>
      </c>
      <c r="B1" s="98" t="s">
        <v>236</v>
      </c>
      <c r="C1" s="98" t="s">
        <v>237</v>
      </c>
      <c r="D1" s="98" t="s">
        <v>238</v>
      </c>
      <c r="E1" s="98" t="s">
        <v>239</v>
      </c>
      <c r="F1" s="98" t="s">
        <v>240</v>
      </c>
    </row>
    <row r="2" spans="1:6">
      <c r="A2" s="6">
        <v>44074</v>
      </c>
      <c r="B2" s="98" t="s">
        <v>241</v>
      </c>
      <c r="C2" s="98" t="s">
        <v>242</v>
      </c>
      <c r="D2" s="98" t="s">
        <v>243</v>
      </c>
      <c r="E2" s="98" t="s">
        <v>244</v>
      </c>
      <c r="F2" s="98">
        <v>53.16</v>
      </c>
    </row>
    <row r="3" spans="1:6">
      <c r="A3" s="6">
        <v>44074</v>
      </c>
      <c r="B3" s="98"/>
      <c r="C3" s="98" t="s">
        <v>245</v>
      </c>
      <c r="D3" s="98" t="s">
        <v>243</v>
      </c>
      <c r="E3" s="98" t="s">
        <v>244</v>
      </c>
      <c r="F3" s="98">
        <v>438.02</v>
      </c>
    </row>
    <row r="4" spans="1:6">
      <c r="A4" s="6">
        <v>44074</v>
      </c>
      <c r="B4" s="98"/>
      <c r="C4" s="98" t="s">
        <v>246</v>
      </c>
      <c r="D4" s="98" t="s">
        <v>243</v>
      </c>
      <c r="E4" s="98" t="s">
        <v>247</v>
      </c>
      <c r="F4" s="98">
        <v>1491.74</v>
      </c>
    </row>
    <row r="5" spans="1:6">
      <c r="A5" s="6">
        <v>44074</v>
      </c>
      <c r="B5" s="98"/>
      <c r="C5" s="98" t="s">
        <v>248</v>
      </c>
      <c r="D5" s="98" t="s">
        <v>243</v>
      </c>
      <c r="E5" s="98" t="s">
        <v>247</v>
      </c>
      <c r="F5" s="98">
        <v>3196.69</v>
      </c>
    </row>
    <row r="6" spans="1:6">
      <c r="A6" s="6">
        <v>44074</v>
      </c>
      <c r="B6" s="98"/>
      <c r="C6" s="98" t="s">
        <v>249</v>
      </c>
      <c r="D6" s="98" t="s">
        <v>243</v>
      </c>
      <c r="E6" s="98" t="s">
        <v>247</v>
      </c>
      <c r="F6" s="98">
        <v>464</v>
      </c>
    </row>
    <row r="7" spans="1:6">
      <c r="A7" s="6">
        <v>44074</v>
      </c>
      <c r="B7" s="98" t="s">
        <v>250</v>
      </c>
      <c r="C7" s="98" t="s">
        <v>251</v>
      </c>
      <c r="D7" s="98" t="s">
        <v>252</v>
      </c>
      <c r="E7" s="98" t="s">
        <v>244</v>
      </c>
      <c r="F7" s="98">
        <v>109.64</v>
      </c>
    </row>
    <row r="8" spans="1:6">
      <c r="A8" s="6">
        <v>44074</v>
      </c>
      <c r="B8" s="98"/>
      <c r="C8" s="98" t="s">
        <v>253</v>
      </c>
      <c r="D8" s="98" t="s">
        <v>252</v>
      </c>
      <c r="E8" s="98" t="s">
        <v>244</v>
      </c>
      <c r="F8" s="98">
        <v>51.85</v>
      </c>
    </row>
    <row r="9" spans="1:6">
      <c r="A9" s="6">
        <v>44074</v>
      </c>
      <c r="B9" s="98"/>
      <c r="C9" s="98" t="s">
        <v>254</v>
      </c>
      <c r="D9" s="98" t="s">
        <v>252</v>
      </c>
      <c r="E9" s="98" t="s">
        <v>244</v>
      </c>
      <c r="F9" s="98">
        <v>243.86</v>
      </c>
    </row>
    <row r="10" spans="1:6">
      <c r="A10" s="6">
        <v>44074</v>
      </c>
      <c r="B10" s="98"/>
      <c r="C10" s="98" t="s">
        <v>255</v>
      </c>
      <c r="D10" s="98" t="s">
        <v>252</v>
      </c>
      <c r="E10" s="98" t="s">
        <v>247</v>
      </c>
      <c r="F10" s="98">
        <v>1278.3699999999999</v>
      </c>
    </row>
    <row r="11" spans="1:6">
      <c r="A11" s="6">
        <v>44074</v>
      </c>
      <c r="B11" s="98"/>
      <c r="C11" s="98" t="s">
        <v>246</v>
      </c>
      <c r="D11" s="98" t="s">
        <v>252</v>
      </c>
      <c r="E11" s="98" t="s">
        <v>247</v>
      </c>
      <c r="F11" s="98">
        <v>1021.83</v>
      </c>
    </row>
    <row r="12" spans="1:6">
      <c r="A12" s="6">
        <v>44074</v>
      </c>
      <c r="B12" s="98"/>
      <c r="C12" s="98" t="s">
        <v>256</v>
      </c>
      <c r="D12" s="98" t="s">
        <v>252</v>
      </c>
      <c r="E12" s="98" t="s">
        <v>247</v>
      </c>
      <c r="F12" s="98">
        <v>5887.52</v>
      </c>
    </row>
    <row r="13" spans="1:6">
      <c r="A13" s="6">
        <v>44074</v>
      </c>
      <c r="B13" s="98"/>
      <c r="C13" s="98" t="s">
        <v>257</v>
      </c>
      <c r="D13" s="98" t="s">
        <v>252</v>
      </c>
      <c r="E13" s="98" t="s">
        <v>258</v>
      </c>
      <c r="F13" s="98">
        <v>6131.53</v>
      </c>
    </row>
    <row r="14" spans="1:6">
      <c r="A14" s="6">
        <v>44074</v>
      </c>
      <c r="B14" s="98"/>
      <c r="C14" s="98" t="s">
        <v>259</v>
      </c>
      <c r="D14" s="98" t="s">
        <v>252</v>
      </c>
      <c r="E14" s="98" t="s">
        <v>258</v>
      </c>
      <c r="F14" s="98">
        <v>25.33</v>
      </c>
    </row>
    <row r="15" spans="1:6">
      <c r="A15" s="6">
        <v>44074</v>
      </c>
      <c r="B15" s="98"/>
      <c r="C15" s="98" t="s">
        <v>260</v>
      </c>
      <c r="D15" s="98" t="s">
        <v>252</v>
      </c>
      <c r="E15" s="98" t="s">
        <v>258</v>
      </c>
      <c r="F15" s="98">
        <v>41.26</v>
      </c>
    </row>
    <row r="16" spans="1:6">
      <c r="A16" s="6">
        <v>44074</v>
      </c>
      <c r="B16" s="98" t="s">
        <v>261</v>
      </c>
      <c r="C16" s="98" t="s">
        <v>262</v>
      </c>
      <c r="D16" s="98" t="s">
        <v>263</v>
      </c>
      <c r="E16" s="98" t="s">
        <v>244</v>
      </c>
      <c r="F16" s="98">
        <v>127.37</v>
      </c>
    </row>
    <row r="17" spans="1:6">
      <c r="A17" s="6">
        <v>44074</v>
      </c>
      <c r="B17" s="98"/>
      <c r="C17" s="98" t="s">
        <v>253</v>
      </c>
      <c r="D17" s="98" t="s">
        <v>263</v>
      </c>
      <c r="E17" s="98" t="s">
        <v>244</v>
      </c>
      <c r="F17" s="98">
        <v>21.77</v>
      </c>
    </row>
    <row r="18" spans="1:6">
      <c r="A18" s="6">
        <v>44074</v>
      </c>
      <c r="B18" s="98"/>
      <c r="C18" s="98" t="s">
        <v>245</v>
      </c>
      <c r="D18" s="98" t="s">
        <v>263</v>
      </c>
      <c r="E18" s="98" t="s">
        <v>244</v>
      </c>
      <c r="F18" s="98">
        <v>31.12</v>
      </c>
    </row>
    <row r="19" spans="1:6">
      <c r="A19" s="6">
        <v>44074</v>
      </c>
      <c r="B19" s="98"/>
      <c r="C19" s="98" t="s">
        <v>264</v>
      </c>
      <c r="D19" s="98" t="s">
        <v>263</v>
      </c>
      <c r="E19" s="98" t="s">
        <v>244</v>
      </c>
      <c r="F19" s="98">
        <v>318</v>
      </c>
    </row>
    <row r="20" spans="1:6">
      <c r="A20" s="6">
        <v>44074</v>
      </c>
      <c r="B20" s="98"/>
      <c r="C20" s="98" t="s">
        <v>254</v>
      </c>
      <c r="D20" s="98" t="s">
        <v>263</v>
      </c>
      <c r="E20" s="98" t="s">
        <v>244</v>
      </c>
      <c r="F20" s="98">
        <v>29.15</v>
      </c>
    </row>
    <row r="21" spans="1:6">
      <c r="A21" s="6">
        <v>44074</v>
      </c>
      <c r="B21" s="98"/>
      <c r="C21" s="98" t="s">
        <v>248</v>
      </c>
      <c r="D21" s="98" t="s">
        <v>263</v>
      </c>
      <c r="E21" s="98" t="s">
        <v>247</v>
      </c>
      <c r="F21" s="98">
        <v>6630.06</v>
      </c>
    </row>
    <row r="22" spans="1:6">
      <c r="A22" s="6">
        <v>44074</v>
      </c>
      <c r="B22" s="98"/>
      <c r="C22" s="98" t="s">
        <v>265</v>
      </c>
      <c r="D22" s="98" t="s">
        <v>263</v>
      </c>
      <c r="E22" s="98" t="s">
        <v>247</v>
      </c>
      <c r="F22" s="98">
        <v>811.65</v>
      </c>
    </row>
    <row r="23" spans="1:6">
      <c r="A23" s="6">
        <v>44074</v>
      </c>
      <c r="B23" s="98"/>
      <c r="C23" s="98" t="s">
        <v>266</v>
      </c>
      <c r="D23" s="98" t="s">
        <v>263</v>
      </c>
      <c r="E23" s="98" t="s">
        <v>258</v>
      </c>
      <c r="F23" s="98">
        <v>25791.79</v>
      </c>
    </row>
    <row r="24" spans="1:6">
      <c r="A24" s="6">
        <v>44074</v>
      </c>
      <c r="B24" s="98" t="s">
        <v>267</v>
      </c>
      <c r="C24" s="98" t="s">
        <v>242</v>
      </c>
      <c r="D24" s="98" t="s">
        <v>268</v>
      </c>
      <c r="E24" s="98" t="s">
        <v>244</v>
      </c>
      <c r="F24" s="98">
        <v>145.93</v>
      </c>
    </row>
    <row r="25" spans="1:6">
      <c r="A25" s="6">
        <v>44074</v>
      </c>
      <c r="B25" s="98"/>
      <c r="C25" s="98" t="s">
        <v>264</v>
      </c>
      <c r="D25" s="98" t="s">
        <v>268</v>
      </c>
      <c r="E25" s="98" t="s">
        <v>244</v>
      </c>
      <c r="F25" s="98">
        <v>190.39</v>
      </c>
    </row>
    <row r="26" spans="1:6">
      <c r="A26" s="6">
        <v>44074</v>
      </c>
      <c r="B26" s="98"/>
      <c r="C26" s="98" t="s">
        <v>254</v>
      </c>
      <c r="D26" s="98" t="s">
        <v>268</v>
      </c>
      <c r="E26" s="98" t="s">
        <v>244</v>
      </c>
      <c r="F26" s="98">
        <v>73.489999999999995</v>
      </c>
    </row>
    <row r="27" spans="1:6">
      <c r="A27" s="6">
        <v>44074</v>
      </c>
      <c r="B27" s="98"/>
      <c r="C27" s="98" t="s">
        <v>248</v>
      </c>
      <c r="D27" s="98" t="s">
        <v>268</v>
      </c>
      <c r="E27" s="98" t="s">
        <v>247</v>
      </c>
      <c r="F27" s="98">
        <v>5454.46</v>
      </c>
    </row>
    <row r="28" spans="1:6">
      <c r="A28" s="6">
        <v>44074</v>
      </c>
      <c r="B28" s="98"/>
      <c r="C28" s="98" t="s">
        <v>265</v>
      </c>
      <c r="D28" s="98" t="s">
        <v>268</v>
      </c>
      <c r="E28" s="98" t="s">
        <v>247</v>
      </c>
      <c r="F28" s="98">
        <v>420.63</v>
      </c>
    </row>
    <row r="29" spans="1:6">
      <c r="A29" s="6">
        <v>44074</v>
      </c>
      <c r="B29" s="98"/>
      <c r="C29" s="98" t="s">
        <v>266</v>
      </c>
      <c r="D29" s="98" t="s">
        <v>268</v>
      </c>
      <c r="E29" s="98" t="s">
        <v>258</v>
      </c>
      <c r="F29" s="98">
        <v>24225.33</v>
      </c>
    </row>
    <row r="30" spans="1:6">
      <c r="A30" s="6">
        <v>44074</v>
      </c>
      <c r="B30" s="98" t="s">
        <v>269</v>
      </c>
      <c r="C30" s="98" t="s">
        <v>242</v>
      </c>
      <c r="D30" s="98" t="s">
        <v>270</v>
      </c>
      <c r="E30" s="98" t="s">
        <v>244</v>
      </c>
      <c r="F30" s="98">
        <v>58.81</v>
      </c>
    </row>
    <row r="31" spans="1:6">
      <c r="A31" s="6">
        <v>44074</v>
      </c>
      <c r="B31" s="98"/>
      <c r="C31" s="98" t="s">
        <v>251</v>
      </c>
      <c r="D31" s="98" t="s">
        <v>270</v>
      </c>
      <c r="E31" s="98" t="s">
        <v>244</v>
      </c>
      <c r="F31" s="98">
        <v>37.619999999999997</v>
      </c>
    </row>
    <row r="32" spans="1:6">
      <c r="A32" s="6">
        <v>44074</v>
      </c>
      <c r="B32" s="98"/>
      <c r="C32" s="98" t="s">
        <v>245</v>
      </c>
      <c r="D32" s="98" t="s">
        <v>270</v>
      </c>
      <c r="E32" s="98" t="s">
        <v>244</v>
      </c>
      <c r="F32" s="98">
        <v>102.64</v>
      </c>
    </row>
    <row r="33" spans="1:6">
      <c r="A33" s="6">
        <v>44074</v>
      </c>
      <c r="B33" s="98"/>
      <c r="C33" s="98" t="s">
        <v>264</v>
      </c>
      <c r="D33" s="98" t="s">
        <v>270</v>
      </c>
      <c r="E33" s="98" t="s">
        <v>244</v>
      </c>
      <c r="F33" s="98">
        <v>183.29</v>
      </c>
    </row>
    <row r="34" spans="1:6">
      <c r="A34" s="6">
        <v>44074</v>
      </c>
      <c r="B34" s="98"/>
      <c r="C34" s="98" t="s">
        <v>271</v>
      </c>
      <c r="D34" s="98" t="s">
        <v>270</v>
      </c>
      <c r="E34" s="98" t="s">
        <v>244</v>
      </c>
      <c r="F34" s="98">
        <v>14.68</v>
      </c>
    </row>
    <row r="35" spans="1:6">
      <c r="A35" s="6">
        <v>44074</v>
      </c>
      <c r="B35" s="98"/>
      <c r="C35" s="98" t="s">
        <v>255</v>
      </c>
      <c r="D35" s="98" t="s">
        <v>270</v>
      </c>
      <c r="E35" s="98" t="s">
        <v>247</v>
      </c>
      <c r="F35" s="98">
        <v>915.2</v>
      </c>
    </row>
    <row r="36" spans="1:6">
      <c r="A36" s="6">
        <v>44074</v>
      </c>
      <c r="B36" s="98"/>
      <c r="C36" s="98" t="s">
        <v>272</v>
      </c>
      <c r="D36" s="98" t="s">
        <v>270</v>
      </c>
      <c r="E36" s="98" t="s">
        <v>247</v>
      </c>
      <c r="F36" s="98">
        <v>209.06</v>
      </c>
    </row>
    <row r="37" spans="1:6">
      <c r="A37" s="6">
        <v>44074</v>
      </c>
      <c r="B37" s="98"/>
      <c r="C37" s="98" t="s">
        <v>246</v>
      </c>
      <c r="D37" s="98" t="s">
        <v>270</v>
      </c>
      <c r="E37" s="98" t="s">
        <v>247</v>
      </c>
      <c r="F37" s="98">
        <v>2122.8200000000002</v>
      </c>
    </row>
    <row r="38" spans="1:6">
      <c r="A38" s="6">
        <v>44074</v>
      </c>
      <c r="B38" s="98"/>
      <c r="C38" s="98" t="s">
        <v>265</v>
      </c>
      <c r="D38" s="98" t="s">
        <v>270</v>
      </c>
      <c r="E38" s="98" t="s">
        <v>247</v>
      </c>
      <c r="F38" s="98">
        <v>1521.71</v>
      </c>
    </row>
    <row r="39" spans="1:6">
      <c r="A39" s="6">
        <v>44074</v>
      </c>
      <c r="B39" s="98"/>
      <c r="C39" s="98" t="s">
        <v>273</v>
      </c>
      <c r="D39" s="98" t="s">
        <v>270</v>
      </c>
      <c r="E39" s="98" t="s">
        <v>247</v>
      </c>
      <c r="F39" s="98">
        <v>2338.75</v>
      </c>
    </row>
    <row r="40" spans="1:6">
      <c r="A40" s="6">
        <v>44074</v>
      </c>
      <c r="B40" s="98"/>
      <c r="C40" s="98" t="s">
        <v>274</v>
      </c>
      <c r="D40" s="98" t="s">
        <v>270</v>
      </c>
      <c r="E40" s="98" t="s">
        <v>247</v>
      </c>
      <c r="F40" s="98">
        <v>7617.82</v>
      </c>
    </row>
    <row r="41" spans="1:6">
      <c r="A41" s="6">
        <v>44074</v>
      </c>
      <c r="B41" s="98" t="s">
        <v>275</v>
      </c>
      <c r="C41" s="98" t="s">
        <v>242</v>
      </c>
      <c r="D41" s="98" t="s">
        <v>276</v>
      </c>
      <c r="E41" s="98" t="s">
        <v>244</v>
      </c>
      <c r="F41" s="98">
        <v>117.89</v>
      </c>
    </row>
    <row r="42" spans="1:6">
      <c r="A42" s="6">
        <v>44074</v>
      </c>
      <c r="B42" s="98"/>
      <c r="C42" s="98" t="s">
        <v>262</v>
      </c>
      <c r="D42" s="98" t="s">
        <v>276</v>
      </c>
      <c r="E42" s="98" t="s">
        <v>244</v>
      </c>
      <c r="F42" s="98">
        <v>1222.7</v>
      </c>
    </row>
    <row r="43" spans="1:6">
      <c r="A43" s="6">
        <v>44074</v>
      </c>
      <c r="B43" s="98"/>
      <c r="C43" s="98" t="s">
        <v>251</v>
      </c>
      <c r="D43" s="98" t="s">
        <v>276</v>
      </c>
      <c r="E43" s="98" t="s">
        <v>244</v>
      </c>
      <c r="F43" s="98">
        <v>49</v>
      </c>
    </row>
    <row r="44" spans="1:6">
      <c r="A44" s="6">
        <v>44074</v>
      </c>
      <c r="B44" s="98"/>
      <c r="C44" s="98" t="s">
        <v>253</v>
      </c>
      <c r="D44" s="98" t="s">
        <v>276</v>
      </c>
      <c r="E44" s="98" t="s">
        <v>244</v>
      </c>
      <c r="F44" s="98">
        <v>22.42</v>
      </c>
    </row>
    <row r="45" spans="1:6">
      <c r="A45" s="6">
        <v>44074</v>
      </c>
      <c r="B45" s="98"/>
      <c r="C45" s="98" t="s">
        <v>245</v>
      </c>
      <c r="D45" s="98" t="s">
        <v>276</v>
      </c>
      <c r="E45" s="98" t="s">
        <v>244</v>
      </c>
      <c r="F45" s="98">
        <v>64</v>
      </c>
    </row>
    <row r="46" spans="1:6">
      <c r="A46" s="6">
        <v>44074</v>
      </c>
      <c r="B46" s="98"/>
      <c r="C46" s="98" t="s">
        <v>264</v>
      </c>
      <c r="D46" s="98" t="s">
        <v>276</v>
      </c>
      <c r="E46" s="98" t="s">
        <v>244</v>
      </c>
      <c r="F46" s="98">
        <v>386.66</v>
      </c>
    </row>
    <row r="47" spans="1:6">
      <c r="A47" s="6">
        <v>44074</v>
      </c>
      <c r="B47" s="98"/>
      <c r="C47" s="98" t="s">
        <v>271</v>
      </c>
      <c r="D47" s="98" t="s">
        <v>276</v>
      </c>
      <c r="E47" s="98" t="s">
        <v>244</v>
      </c>
      <c r="F47" s="98">
        <v>38.729999999999997</v>
      </c>
    </row>
    <row r="48" spans="1:6">
      <c r="A48" s="6">
        <v>44074</v>
      </c>
      <c r="B48" s="98"/>
      <c r="C48" s="98" t="s">
        <v>254</v>
      </c>
      <c r="D48" s="98" t="s">
        <v>276</v>
      </c>
      <c r="E48" s="98" t="s">
        <v>244</v>
      </c>
      <c r="F48" s="98">
        <v>180.36</v>
      </c>
    </row>
    <row r="49" spans="1:6">
      <c r="A49" s="6">
        <v>44074</v>
      </c>
      <c r="B49" s="98"/>
      <c r="C49" s="98" t="s">
        <v>277</v>
      </c>
      <c r="D49" s="98" t="s">
        <v>276</v>
      </c>
      <c r="E49" s="98" t="s">
        <v>247</v>
      </c>
      <c r="F49" s="98">
        <v>6109.65</v>
      </c>
    </row>
    <row r="50" spans="1:6">
      <c r="A50" s="6">
        <v>44074</v>
      </c>
      <c r="B50" s="98"/>
      <c r="C50" s="98" t="s">
        <v>278</v>
      </c>
      <c r="D50" s="98" t="s">
        <v>276</v>
      </c>
      <c r="E50" s="98" t="s">
        <v>247</v>
      </c>
      <c r="F50" s="98">
        <v>2636.72</v>
      </c>
    </row>
    <row r="51" spans="1:6">
      <c r="A51" s="6">
        <v>44074</v>
      </c>
      <c r="B51" s="98"/>
      <c r="C51" s="98" t="s">
        <v>272</v>
      </c>
      <c r="D51" s="98" t="s">
        <v>276</v>
      </c>
      <c r="E51" s="98" t="s">
        <v>247</v>
      </c>
      <c r="F51" s="98">
        <v>1579.95</v>
      </c>
    </row>
    <row r="52" spans="1:6">
      <c r="A52" s="6">
        <v>44074</v>
      </c>
      <c r="B52" s="98"/>
      <c r="C52" s="98" t="s">
        <v>246</v>
      </c>
      <c r="D52" s="98" t="s">
        <v>276</v>
      </c>
      <c r="E52" s="98" t="s">
        <v>247</v>
      </c>
      <c r="F52" s="98">
        <v>3873.5</v>
      </c>
    </row>
    <row r="53" spans="1:6">
      <c r="A53" s="6">
        <v>44074</v>
      </c>
      <c r="B53" s="98"/>
      <c r="C53" s="98" t="s">
        <v>279</v>
      </c>
      <c r="D53" s="98" t="s">
        <v>276</v>
      </c>
      <c r="E53" s="98" t="s">
        <v>247</v>
      </c>
      <c r="F53" s="98">
        <v>12755.95</v>
      </c>
    </row>
    <row r="54" spans="1:6">
      <c r="A54" s="6">
        <v>44074</v>
      </c>
      <c r="B54" s="98"/>
      <c r="C54" s="98" t="s">
        <v>248</v>
      </c>
      <c r="D54" s="98" t="s">
        <v>276</v>
      </c>
      <c r="E54" s="98" t="s">
        <v>247</v>
      </c>
      <c r="F54" s="98">
        <v>11880</v>
      </c>
    </row>
    <row r="55" spans="1:6">
      <c r="A55" s="6">
        <v>44074</v>
      </c>
      <c r="B55" s="98"/>
      <c r="C55" s="98" t="s">
        <v>280</v>
      </c>
      <c r="D55" s="98" t="s">
        <v>276</v>
      </c>
      <c r="E55" s="98" t="s">
        <v>247</v>
      </c>
      <c r="F55" s="98">
        <v>9142.5499999999993</v>
      </c>
    </row>
    <row r="56" spans="1:6">
      <c r="A56" s="6">
        <v>44074</v>
      </c>
      <c r="B56" s="98"/>
      <c r="C56" s="98" t="s">
        <v>281</v>
      </c>
      <c r="D56" s="98" t="s">
        <v>276</v>
      </c>
      <c r="E56" s="98" t="s">
        <v>247</v>
      </c>
      <c r="F56" s="98">
        <v>14287.13</v>
      </c>
    </row>
    <row r="57" spans="1:6">
      <c r="A57" s="6">
        <v>44074</v>
      </c>
      <c r="B57" s="98"/>
      <c r="C57" s="98" t="s">
        <v>256</v>
      </c>
      <c r="D57" s="98" t="s">
        <v>276</v>
      </c>
      <c r="E57" s="98" t="s">
        <v>247</v>
      </c>
      <c r="F57" s="98">
        <v>2464.7199999999998</v>
      </c>
    </row>
    <row r="58" spans="1:6">
      <c r="A58" s="6">
        <v>44074</v>
      </c>
      <c r="B58" s="98"/>
      <c r="C58" s="98" t="s">
        <v>282</v>
      </c>
      <c r="D58" s="98" t="s">
        <v>276</v>
      </c>
      <c r="E58" s="98" t="s">
        <v>247</v>
      </c>
      <c r="F58" s="98">
        <v>4086.26</v>
      </c>
    </row>
    <row r="59" spans="1:6">
      <c r="A59" s="6">
        <v>44074</v>
      </c>
      <c r="B59" s="98"/>
      <c r="C59" s="98" t="s">
        <v>283</v>
      </c>
      <c r="D59" s="98" t="s">
        <v>276</v>
      </c>
      <c r="E59" s="98" t="s">
        <v>247</v>
      </c>
      <c r="F59" s="98">
        <v>2411.35</v>
      </c>
    </row>
    <row r="60" spans="1:6">
      <c r="A60" s="6">
        <v>44074</v>
      </c>
      <c r="B60" s="98"/>
      <c r="C60" s="98" t="s">
        <v>284</v>
      </c>
      <c r="D60" s="98" t="s">
        <v>276</v>
      </c>
      <c r="E60" s="98" t="s">
        <v>247</v>
      </c>
      <c r="F60" s="98">
        <v>2411.35</v>
      </c>
    </row>
    <row r="61" spans="1:6">
      <c r="A61" s="6">
        <v>44074</v>
      </c>
      <c r="B61" s="98"/>
      <c r="C61" s="98" t="s">
        <v>285</v>
      </c>
      <c r="D61" s="98" t="s">
        <v>276</v>
      </c>
      <c r="E61" s="98" t="s">
        <v>247</v>
      </c>
      <c r="F61" s="98">
        <v>9626.7800000000007</v>
      </c>
    </row>
    <row r="62" spans="1:6">
      <c r="A62" s="6">
        <v>44074</v>
      </c>
      <c r="B62" s="98"/>
      <c r="C62" s="98" t="s">
        <v>286</v>
      </c>
      <c r="D62" s="98" t="s">
        <v>276</v>
      </c>
      <c r="E62" s="98" t="s">
        <v>247</v>
      </c>
      <c r="F62" s="98">
        <v>1929.08</v>
      </c>
    </row>
    <row r="63" spans="1:6">
      <c r="A63" s="6">
        <v>44074</v>
      </c>
      <c r="B63" s="98"/>
      <c r="C63" s="98" t="s">
        <v>257</v>
      </c>
      <c r="D63" s="98" t="s">
        <v>276</v>
      </c>
      <c r="E63" s="98" t="s">
        <v>258</v>
      </c>
      <c r="F63" s="98">
        <v>35942.079999999994</v>
      </c>
    </row>
    <row r="64" spans="1:6">
      <c r="A64" s="6">
        <v>44074</v>
      </c>
      <c r="B64" s="98"/>
      <c r="C64" s="98" t="s">
        <v>259</v>
      </c>
      <c r="D64" s="98" t="s">
        <v>276</v>
      </c>
      <c r="E64" s="98" t="s">
        <v>258</v>
      </c>
      <c r="F64" s="98">
        <v>30543.890000000003</v>
      </c>
    </row>
    <row r="65" spans="1:6">
      <c r="A65" s="6">
        <v>44074</v>
      </c>
      <c r="B65" s="98"/>
      <c r="C65" s="98" t="s">
        <v>249</v>
      </c>
      <c r="D65" s="98" t="s">
        <v>276</v>
      </c>
      <c r="E65" s="98" t="s">
        <v>247</v>
      </c>
      <c r="F65" s="98">
        <v>1193.48</v>
      </c>
    </row>
    <row r="66" spans="1:6">
      <c r="A66" s="6">
        <v>44074</v>
      </c>
      <c r="B66" s="98"/>
      <c r="C66" s="98" t="s">
        <v>260</v>
      </c>
      <c r="D66" s="98" t="s">
        <v>276</v>
      </c>
      <c r="E66" s="98" t="s">
        <v>258</v>
      </c>
      <c r="F66" s="98">
        <v>10699.13</v>
      </c>
    </row>
    <row r="67" spans="1:6">
      <c r="A67" s="6">
        <v>44074</v>
      </c>
      <c r="B67" s="98" t="s">
        <v>287</v>
      </c>
      <c r="C67" s="98" t="s">
        <v>242</v>
      </c>
      <c r="D67" s="98" t="s">
        <v>288</v>
      </c>
      <c r="E67" s="98" t="s">
        <v>244</v>
      </c>
      <c r="F67" s="98">
        <v>1785.58</v>
      </c>
    </row>
    <row r="68" spans="1:6">
      <c r="A68" s="6">
        <v>44074</v>
      </c>
      <c r="B68" s="98"/>
      <c r="C68" s="98" t="s">
        <v>262</v>
      </c>
      <c r="D68" s="98" t="s">
        <v>288</v>
      </c>
      <c r="E68" s="98" t="s">
        <v>244</v>
      </c>
      <c r="F68" s="98">
        <v>9793.16</v>
      </c>
    </row>
    <row r="69" spans="1:6">
      <c r="A69" s="6">
        <v>44074</v>
      </c>
      <c r="B69" s="98"/>
      <c r="C69" s="98" t="s">
        <v>251</v>
      </c>
      <c r="D69" s="98" t="s">
        <v>288</v>
      </c>
      <c r="E69" s="98" t="s">
        <v>244</v>
      </c>
      <c r="F69" s="98">
        <v>66.63</v>
      </c>
    </row>
    <row r="70" spans="1:6">
      <c r="A70" s="6">
        <v>44074</v>
      </c>
      <c r="B70" s="98"/>
      <c r="C70" s="98" t="s">
        <v>253</v>
      </c>
      <c r="D70" s="98" t="s">
        <v>288</v>
      </c>
      <c r="E70" s="98" t="s">
        <v>244</v>
      </c>
      <c r="F70" s="98">
        <v>34.630000000000003</v>
      </c>
    </row>
    <row r="71" spans="1:6">
      <c r="A71" s="6">
        <v>44074</v>
      </c>
      <c r="B71" s="98"/>
      <c r="C71" s="98" t="s">
        <v>245</v>
      </c>
      <c r="D71" s="98" t="s">
        <v>288</v>
      </c>
      <c r="E71" s="98" t="s">
        <v>244</v>
      </c>
      <c r="F71" s="98">
        <v>2707.73</v>
      </c>
    </row>
    <row r="72" spans="1:6">
      <c r="A72" s="6">
        <v>44074</v>
      </c>
      <c r="B72" s="98"/>
      <c r="C72" s="98" t="s">
        <v>264</v>
      </c>
      <c r="D72" s="98" t="s">
        <v>288</v>
      </c>
      <c r="E72" s="98" t="s">
        <v>244</v>
      </c>
      <c r="F72" s="98">
        <v>978.81</v>
      </c>
    </row>
    <row r="73" spans="1:6">
      <c r="A73" s="6">
        <v>44074</v>
      </c>
      <c r="B73" s="98"/>
      <c r="C73" s="98" t="s">
        <v>271</v>
      </c>
      <c r="D73" s="98" t="s">
        <v>288</v>
      </c>
      <c r="E73" s="98" t="s">
        <v>244</v>
      </c>
      <c r="F73" s="98">
        <v>9.74</v>
      </c>
    </row>
    <row r="74" spans="1:6">
      <c r="A74" s="6">
        <v>44074</v>
      </c>
      <c r="B74" s="98"/>
      <c r="C74" s="98" t="s">
        <v>254</v>
      </c>
      <c r="D74" s="98" t="s">
        <v>288</v>
      </c>
      <c r="E74" s="98" t="s">
        <v>244</v>
      </c>
      <c r="F74" s="98">
        <v>496.02</v>
      </c>
    </row>
    <row r="75" spans="1:6">
      <c r="A75" s="6">
        <v>44074</v>
      </c>
      <c r="B75" s="98"/>
      <c r="C75" s="98" t="s">
        <v>277</v>
      </c>
      <c r="D75" s="98" t="s">
        <v>288</v>
      </c>
      <c r="E75" s="98" t="s">
        <v>247</v>
      </c>
      <c r="F75" s="98">
        <v>2451.5500000000002</v>
      </c>
    </row>
    <row r="76" spans="1:6">
      <c r="A76" s="6">
        <v>44074</v>
      </c>
      <c r="B76" s="98"/>
      <c r="C76" s="98" t="s">
        <v>255</v>
      </c>
      <c r="D76" s="98" t="s">
        <v>288</v>
      </c>
      <c r="E76" s="98" t="s">
        <v>247</v>
      </c>
      <c r="F76" s="98">
        <v>2642.45</v>
      </c>
    </row>
    <row r="77" spans="1:6">
      <c r="A77" s="6">
        <v>44074</v>
      </c>
      <c r="B77" s="98"/>
      <c r="C77" s="98" t="s">
        <v>278</v>
      </c>
      <c r="D77" s="98" t="s">
        <v>288</v>
      </c>
      <c r="E77" s="98" t="s">
        <v>247</v>
      </c>
      <c r="F77" s="98">
        <v>6525.68</v>
      </c>
    </row>
    <row r="78" spans="1:6">
      <c r="A78" s="6">
        <v>44074</v>
      </c>
      <c r="B78" s="98"/>
      <c r="C78" s="98" t="s">
        <v>289</v>
      </c>
      <c r="D78" s="98" t="s">
        <v>288</v>
      </c>
      <c r="E78" s="98" t="s">
        <v>247</v>
      </c>
      <c r="F78" s="98">
        <v>307.33999999999997</v>
      </c>
    </row>
    <row r="79" spans="1:6">
      <c r="A79" s="6">
        <v>44074</v>
      </c>
      <c r="B79" s="98"/>
      <c r="C79" s="98" t="s">
        <v>272</v>
      </c>
      <c r="D79" s="98" t="s">
        <v>288</v>
      </c>
      <c r="E79" s="98" t="s">
        <v>247</v>
      </c>
      <c r="F79" s="98">
        <v>730.77</v>
      </c>
    </row>
    <row r="80" spans="1:6">
      <c r="A80" s="6">
        <v>44074</v>
      </c>
      <c r="B80" s="98"/>
      <c r="C80" s="98" t="s">
        <v>246</v>
      </c>
      <c r="D80" s="98" t="s">
        <v>288</v>
      </c>
      <c r="E80" s="98" t="s">
        <v>247</v>
      </c>
      <c r="F80" s="98">
        <v>3012.76</v>
      </c>
    </row>
    <row r="81" spans="1:6">
      <c r="A81" s="6">
        <v>44074</v>
      </c>
      <c r="B81" s="98"/>
      <c r="C81" s="98" t="s">
        <v>290</v>
      </c>
      <c r="D81" s="98" t="s">
        <v>288</v>
      </c>
      <c r="E81" s="98" t="s">
        <v>247</v>
      </c>
      <c r="F81" s="98">
        <v>2269.46</v>
      </c>
    </row>
    <row r="82" spans="1:6">
      <c r="A82" s="6">
        <v>44074</v>
      </c>
      <c r="B82" s="98"/>
      <c r="C82" s="98" t="s">
        <v>291</v>
      </c>
      <c r="D82" s="98" t="s">
        <v>288</v>
      </c>
      <c r="E82" s="98" t="s">
        <v>247</v>
      </c>
      <c r="F82" s="98">
        <v>14843.12</v>
      </c>
    </row>
    <row r="83" spans="1:6">
      <c r="A83" s="6">
        <v>44074</v>
      </c>
      <c r="B83" s="98"/>
      <c r="C83" s="98" t="s">
        <v>256</v>
      </c>
      <c r="D83" s="98" t="s">
        <v>288</v>
      </c>
      <c r="E83" s="98" t="s">
        <v>247</v>
      </c>
      <c r="F83" s="98">
        <v>1185.01</v>
      </c>
    </row>
    <row r="84" spans="1:6">
      <c r="A84" s="6">
        <v>44074</v>
      </c>
      <c r="B84" s="98"/>
      <c r="C84" s="98" t="s">
        <v>265</v>
      </c>
      <c r="D84" s="98" t="s">
        <v>288</v>
      </c>
      <c r="E84" s="98" t="s">
        <v>247</v>
      </c>
      <c r="F84" s="98">
        <v>1814.25</v>
      </c>
    </row>
    <row r="85" spans="1:6">
      <c r="A85" s="6">
        <v>44074</v>
      </c>
      <c r="B85" s="98"/>
      <c r="C85" s="98" t="s">
        <v>292</v>
      </c>
      <c r="D85" s="98" t="s">
        <v>288</v>
      </c>
      <c r="E85" s="98" t="s">
        <v>247</v>
      </c>
      <c r="F85" s="98">
        <v>185.68</v>
      </c>
    </row>
    <row r="86" spans="1:6">
      <c r="A86" s="6">
        <v>44074</v>
      </c>
      <c r="B86" s="98"/>
      <c r="C86" s="98" t="s">
        <v>293</v>
      </c>
      <c r="D86" s="98" t="s">
        <v>288</v>
      </c>
      <c r="E86" s="98" t="s">
        <v>247</v>
      </c>
      <c r="F86" s="98">
        <v>1525.16</v>
      </c>
    </row>
    <row r="87" spans="1:6">
      <c r="A87" s="6">
        <v>44074</v>
      </c>
      <c r="B87" s="98"/>
      <c r="C87" s="98" t="s">
        <v>257</v>
      </c>
      <c r="D87" s="98" t="s">
        <v>288</v>
      </c>
      <c r="E87" s="98" t="s">
        <v>258</v>
      </c>
      <c r="F87" s="98">
        <v>11107.98</v>
      </c>
    </row>
    <row r="88" spans="1:6">
      <c r="A88" s="6">
        <v>44074</v>
      </c>
      <c r="B88" s="98"/>
      <c r="C88" s="98" t="s">
        <v>266</v>
      </c>
      <c r="D88" s="98" t="s">
        <v>288</v>
      </c>
      <c r="E88" s="98" t="s">
        <v>258</v>
      </c>
      <c r="F88" s="98">
        <v>385677.23</v>
      </c>
    </row>
    <row r="89" spans="1:6">
      <c r="A89" s="6">
        <v>44074</v>
      </c>
      <c r="B89" s="98"/>
      <c r="C89" s="98" t="s">
        <v>259</v>
      </c>
      <c r="D89" s="98" t="s">
        <v>288</v>
      </c>
      <c r="E89" s="98" t="s">
        <v>258</v>
      </c>
      <c r="F89" s="98">
        <v>6486.23</v>
      </c>
    </row>
    <row r="90" spans="1:6">
      <c r="A90" s="6">
        <v>44074</v>
      </c>
      <c r="B90" s="98"/>
      <c r="C90" s="98" t="s">
        <v>249</v>
      </c>
      <c r="D90" s="98" t="s">
        <v>288</v>
      </c>
      <c r="E90" s="98" t="s">
        <v>247</v>
      </c>
      <c r="F90" s="98">
        <v>2230.5100000000002</v>
      </c>
    </row>
    <row r="91" spans="1:6">
      <c r="A91" s="6">
        <v>44074</v>
      </c>
      <c r="B91" s="98"/>
      <c r="C91" s="98" t="s">
        <v>260</v>
      </c>
      <c r="D91" s="98" t="s">
        <v>288</v>
      </c>
      <c r="E91" s="98" t="s">
        <v>258</v>
      </c>
      <c r="F91" s="98">
        <v>5467.33</v>
      </c>
    </row>
    <row r="92" spans="1:6">
      <c r="A92" s="6">
        <v>44074</v>
      </c>
      <c r="B92" s="98" t="s">
        <v>294</v>
      </c>
      <c r="C92" s="98" t="s">
        <v>242</v>
      </c>
      <c r="D92" s="98" t="s">
        <v>295</v>
      </c>
      <c r="E92" s="98" t="s">
        <v>244</v>
      </c>
      <c r="F92" s="98">
        <v>46.48</v>
      </c>
    </row>
    <row r="93" spans="1:6">
      <c r="A93" s="6">
        <v>44074</v>
      </c>
      <c r="B93" s="98"/>
      <c r="C93" s="98" t="s">
        <v>262</v>
      </c>
      <c r="D93" s="98" t="s">
        <v>295</v>
      </c>
      <c r="E93" s="98" t="s">
        <v>244</v>
      </c>
      <c r="F93" s="98">
        <v>0.87</v>
      </c>
    </row>
    <row r="94" spans="1:6">
      <c r="A94" s="6">
        <v>44074</v>
      </c>
      <c r="B94" s="98"/>
      <c r="C94" s="98" t="s">
        <v>251</v>
      </c>
      <c r="D94" s="98" t="s">
        <v>295</v>
      </c>
      <c r="E94" s="98" t="s">
        <v>244</v>
      </c>
      <c r="F94" s="98">
        <v>1.01</v>
      </c>
    </row>
    <row r="95" spans="1:6">
      <c r="A95" s="6">
        <v>44074</v>
      </c>
      <c r="B95" s="98"/>
      <c r="C95" s="98" t="s">
        <v>245</v>
      </c>
      <c r="D95" s="98" t="s">
        <v>295</v>
      </c>
      <c r="E95" s="98" t="s">
        <v>244</v>
      </c>
      <c r="F95" s="98">
        <v>38.64</v>
      </c>
    </row>
    <row r="96" spans="1:6">
      <c r="A96" s="6">
        <v>44074</v>
      </c>
      <c r="B96" s="98"/>
      <c r="C96" s="98" t="s">
        <v>264</v>
      </c>
      <c r="D96" s="98" t="s">
        <v>295</v>
      </c>
      <c r="E96" s="98" t="s">
        <v>244</v>
      </c>
      <c r="F96" s="98">
        <v>23.99</v>
      </c>
    </row>
    <row r="97" spans="1:6">
      <c r="A97" s="6">
        <v>44074</v>
      </c>
      <c r="B97" s="98"/>
      <c r="C97" s="98" t="s">
        <v>271</v>
      </c>
      <c r="D97" s="98" t="s">
        <v>295</v>
      </c>
      <c r="E97" s="98" t="s">
        <v>244</v>
      </c>
      <c r="F97" s="98">
        <v>0.83</v>
      </c>
    </row>
    <row r="98" spans="1:6">
      <c r="A98" s="6">
        <v>44074</v>
      </c>
      <c r="B98" s="98"/>
      <c r="C98" s="98" t="s">
        <v>254</v>
      </c>
      <c r="D98" s="98" t="s">
        <v>295</v>
      </c>
      <c r="E98" s="98" t="s">
        <v>244</v>
      </c>
      <c r="F98" s="98">
        <v>17.399999999999999</v>
      </c>
    </row>
    <row r="99" spans="1:6">
      <c r="A99" s="6">
        <v>44074</v>
      </c>
      <c r="B99" s="98" t="s">
        <v>296</v>
      </c>
      <c r="C99" s="98" t="s">
        <v>242</v>
      </c>
      <c r="D99" s="98" t="s">
        <v>297</v>
      </c>
      <c r="E99" s="98" t="s">
        <v>244</v>
      </c>
      <c r="F99" s="98">
        <v>466.45</v>
      </c>
    </row>
    <row r="100" spans="1:6">
      <c r="A100" s="6">
        <v>44074</v>
      </c>
      <c r="B100" s="98"/>
      <c r="C100" s="98" t="s">
        <v>262</v>
      </c>
      <c r="D100" s="98" t="s">
        <v>297</v>
      </c>
      <c r="E100" s="98" t="s">
        <v>244</v>
      </c>
      <c r="F100" s="98">
        <v>3810.77</v>
      </c>
    </row>
    <row r="101" spans="1:6">
      <c r="A101" s="6">
        <v>44074</v>
      </c>
      <c r="B101" s="98"/>
      <c r="C101" s="98" t="s">
        <v>251</v>
      </c>
      <c r="D101" s="98" t="s">
        <v>297</v>
      </c>
      <c r="E101" s="98" t="s">
        <v>244</v>
      </c>
      <c r="F101" s="98">
        <v>84.17</v>
      </c>
    </row>
    <row r="102" spans="1:6">
      <c r="A102" s="6">
        <v>44074</v>
      </c>
      <c r="B102" s="98"/>
      <c r="C102" s="98" t="s">
        <v>253</v>
      </c>
      <c r="D102" s="98" t="s">
        <v>297</v>
      </c>
      <c r="E102" s="98" t="s">
        <v>244</v>
      </c>
      <c r="F102" s="98">
        <v>63.72</v>
      </c>
    </row>
    <row r="103" spans="1:6">
      <c r="A103" s="6">
        <v>44074</v>
      </c>
      <c r="B103" s="98"/>
      <c r="C103" s="98" t="s">
        <v>245</v>
      </c>
      <c r="D103" s="98" t="s">
        <v>297</v>
      </c>
      <c r="E103" s="98" t="s">
        <v>244</v>
      </c>
      <c r="F103" s="98">
        <v>764.39</v>
      </c>
    </row>
    <row r="104" spans="1:6">
      <c r="A104" s="6">
        <v>44074</v>
      </c>
      <c r="B104" s="98"/>
      <c r="C104" s="98" t="s">
        <v>264</v>
      </c>
      <c r="D104" s="98" t="s">
        <v>297</v>
      </c>
      <c r="E104" s="98" t="s">
        <v>244</v>
      </c>
      <c r="F104" s="98">
        <v>532.17999999999995</v>
      </c>
    </row>
    <row r="105" spans="1:6">
      <c r="A105" s="6">
        <v>44074</v>
      </c>
      <c r="B105" s="98"/>
      <c r="C105" s="98" t="s">
        <v>271</v>
      </c>
      <c r="D105" s="98" t="s">
        <v>297</v>
      </c>
      <c r="E105" s="98" t="s">
        <v>244</v>
      </c>
      <c r="F105" s="98">
        <v>8.14</v>
      </c>
    </row>
    <row r="106" spans="1:6">
      <c r="A106" s="6">
        <v>44074</v>
      </c>
      <c r="B106" s="98"/>
      <c r="C106" s="98" t="s">
        <v>254</v>
      </c>
      <c r="D106" s="98" t="s">
        <v>297</v>
      </c>
      <c r="E106" s="98" t="s">
        <v>244</v>
      </c>
      <c r="F106" s="98">
        <v>432.12</v>
      </c>
    </row>
    <row r="107" spans="1:6">
      <c r="A107" s="6">
        <v>44074</v>
      </c>
      <c r="B107" s="98"/>
      <c r="C107" s="98" t="s">
        <v>277</v>
      </c>
      <c r="D107" s="98" t="s">
        <v>297</v>
      </c>
      <c r="E107" s="98" t="s">
        <v>247</v>
      </c>
      <c r="F107" s="98">
        <v>1780.61</v>
      </c>
    </row>
    <row r="108" spans="1:6">
      <c r="A108" s="6">
        <v>44074</v>
      </c>
      <c r="B108" s="98"/>
      <c r="C108" s="98" t="s">
        <v>289</v>
      </c>
      <c r="D108" s="98" t="s">
        <v>297</v>
      </c>
      <c r="E108" s="98" t="s">
        <v>247</v>
      </c>
      <c r="F108" s="98">
        <v>2377.8000000000002</v>
      </c>
    </row>
    <row r="109" spans="1:6">
      <c r="A109" s="6">
        <v>44074</v>
      </c>
      <c r="B109" s="98"/>
      <c r="C109" s="98" t="s">
        <v>272</v>
      </c>
      <c r="D109" s="98" t="s">
        <v>297</v>
      </c>
      <c r="E109" s="98" t="s">
        <v>247</v>
      </c>
      <c r="F109" s="98">
        <v>546.57000000000005</v>
      </c>
    </row>
    <row r="110" spans="1:6">
      <c r="A110" s="6">
        <v>44074</v>
      </c>
      <c r="B110" s="98"/>
      <c r="C110" s="98" t="s">
        <v>246</v>
      </c>
      <c r="D110" s="98" t="s">
        <v>297</v>
      </c>
      <c r="E110" s="98" t="s">
        <v>247</v>
      </c>
      <c r="F110" s="98">
        <v>1682.02</v>
      </c>
    </row>
    <row r="111" spans="1:6">
      <c r="A111" s="6">
        <v>44074</v>
      </c>
      <c r="B111" s="98"/>
      <c r="C111" s="98" t="s">
        <v>248</v>
      </c>
      <c r="D111" s="98" t="s">
        <v>297</v>
      </c>
      <c r="E111" s="98" t="s">
        <v>247</v>
      </c>
      <c r="F111" s="98">
        <v>11797.95</v>
      </c>
    </row>
    <row r="112" spans="1:6">
      <c r="A112" s="6">
        <v>44074</v>
      </c>
      <c r="B112" s="98"/>
      <c r="C112" s="98" t="s">
        <v>280</v>
      </c>
      <c r="D112" s="98" t="s">
        <v>297</v>
      </c>
      <c r="E112" s="98" t="s">
        <v>247</v>
      </c>
      <c r="F112" s="98">
        <v>935.07</v>
      </c>
    </row>
    <row r="113" spans="1:6">
      <c r="A113" s="6">
        <v>44074</v>
      </c>
      <c r="B113" s="98"/>
      <c r="C113" s="98" t="s">
        <v>290</v>
      </c>
      <c r="D113" s="98" t="s">
        <v>297</v>
      </c>
      <c r="E113" s="98" t="s">
        <v>247</v>
      </c>
      <c r="F113" s="98">
        <v>984.98</v>
      </c>
    </row>
    <row r="114" spans="1:6">
      <c r="A114" s="6">
        <v>44074</v>
      </c>
      <c r="B114" s="98"/>
      <c r="C114" s="98" t="s">
        <v>298</v>
      </c>
      <c r="D114" s="98" t="s">
        <v>297</v>
      </c>
      <c r="E114" s="98" t="s">
        <v>247</v>
      </c>
      <c r="F114" s="98">
        <v>569</v>
      </c>
    </row>
    <row r="115" spans="1:6">
      <c r="A115" s="6">
        <v>44074</v>
      </c>
      <c r="B115" s="98"/>
      <c r="C115" s="98" t="s">
        <v>291</v>
      </c>
      <c r="D115" s="98" t="s">
        <v>297</v>
      </c>
      <c r="E115" s="98" t="s">
        <v>247</v>
      </c>
      <c r="F115" s="98">
        <v>9145.57</v>
      </c>
    </row>
    <row r="116" spans="1:6">
      <c r="A116" s="6">
        <v>44074</v>
      </c>
      <c r="B116" s="98"/>
      <c r="C116" s="98" t="s">
        <v>265</v>
      </c>
      <c r="D116" s="98" t="s">
        <v>297</v>
      </c>
      <c r="E116" s="98" t="s">
        <v>247</v>
      </c>
      <c r="F116" s="98">
        <v>1132.8800000000001</v>
      </c>
    </row>
    <row r="117" spans="1:6">
      <c r="A117" s="6">
        <v>44074</v>
      </c>
      <c r="B117" s="98"/>
      <c r="C117" s="98" t="s">
        <v>299</v>
      </c>
      <c r="D117" s="98" t="s">
        <v>297</v>
      </c>
      <c r="E117" s="98" t="s">
        <v>247</v>
      </c>
      <c r="F117" s="98">
        <v>2140.4699999999998</v>
      </c>
    </row>
    <row r="118" spans="1:6">
      <c r="A118" s="6">
        <v>44074</v>
      </c>
      <c r="B118" s="98"/>
      <c r="C118" s="98" t="s">
        <v>257</v>
      </c>
      <c r="D118" s="98" t="s">
        <v>297</v>
      </c>
      <c r="E118" s="98" t="s">
        <v>258</v>
      </c>
      <c r="F118" s="98">
        <v>10052.290000000001</v>
      </c>
    </row>
    <row r="119" spans="1:6">
      <c r="A119" s="6">
        <v>44074</v>
      </c>
      <c r="B119" s="98"/>
      <c r="C119" s="98" t="s">
        <v>259</v>
      </c>
      <c r="D119" s="98" t="s">
        <v>297</v>
      </c>
      <c r="E119" s="98" t="s">
        <v>258</v>
      </c>
      <c r="F119" s="98">
        <v>8549.08</v>
      </c>
    </row>
    <row r="120" spans="1:6">
      <c r="A120" s="6">
        <v>44074</v>
      </c>
      <c r="B120" s="98"/>
      <c r="C120" s="98" t="s">
        <v>249</v>
      </c>
      <c r="D120" s="98" t="s">
        <v>297</v>
      </c>
      <c r="E120" s="98" t="s">
        <v>247</v>
      </c>
      <c r="F120" s="98">
        <v>1385.88</v>
      </c>
    </row>
    <row r="121" spans="1:6">
      <c r="A121" s="6">
        <v>44074</v>
      </c>
      <c r="B121" s="98"/>
      <c r="C121" s="98" t="s">
        <v>260</v>
      </c>
      <c r="D121" s="98" t="s">
        <v>297</v>
      </c>
      <c r="E121" s="98" t="s">
        <v>258</v>
      </c>
      <c r="F121" s="98">
        <v>2994.52</v>
      </c>
    </row>
    <row r="122" spans="1:6">
      <c r="A122" s="6">
        <v>44074</v>
      </c>
      <c r="B122" s="98"/>
      <c r="C122" s="98" t="s">
        <v>274</v>
      </c>
      <c r="D122" s="98" t="s">
        <v>297</v>
      </c>
      <c r="E122" s="98" t="s">
        <v>247</v>
      </c>
      <c r="F122" s="98">
        <v>4235.66</v>
      </c>
    </row>
    <row r="123" spans="1:6">
      <c r="A123" s="6">
        <v>44074</v>
      </c>
      <c r="B123" s="98" t="s">
        <v>300</v>
      </c>
      <c r="C123" s="98" t="s">
        <v>301</v>
      </c>
      <c r="D123" s="98" t="s">
        <v>302</v>
      </c>
      <c r="E123" s="98" t="s">
        <v>247</v>
      </c>
      <c r="F123" s="98">
        <v>17104.71</v>
      </c>
    </row>
    <row r="124" spans="1:6">
      <c r="A124" s="6">
        <v>44074</v>
      </c>
      <c r="B124" s="98"/>
      <c r="C124" s="98" t="s">
        <v>303</v>
      </c>
      <c r="D124" s="98" t="s">
        <v>302</v>
      </c>
      <c r="E124" s="98" t="s">
        <v>247</v>
      </c>
      <c r="F124" s="98">
        <v>4561.25</v>
      </c>
    </row>
    <row r="125" spans="1:6">
      <c r="A125" s="6">
        <v>44074</v>
      </c>
      <c r="B125" s="98" t="s">
        <v>304</v>
      </c>
      <c r="C125" s="98" t="s">
        <v>262</v>
      </c>
      <c r="D125" s="98" t="s">
        <v>305</v>
      </c>
      <c r="E125" s="98" t="s">
        <v>244</v>
      </c>
      <c r="F125" s="98">
        <v>345.17</v>
      </c>
    </row>
    <row r="126" spans="1:6">
      <c r="A126" s="6">
        <v>44074</v>
      </c>
      <c r="B126" s="98"/>
      <c r="C126" s="98" t="s">
        <v>245</v>
      </c>
      <c r="D126" s="98" t="s">
        <v>305</v>
      </c>
      <c r="E126" s="98" t="s">
        <v>244</v>
      </c>
      <c r="F126" s="98">
        <v>176.12</v>
      </c>
    </row>
    <row r="127" spans="1:6">
      <c r="A127" s="6">
        <v>44074</v>
      </c>
      <c r="B127" s="98" t="s">
        <v>306</v>
      </c>
      <c r="C127" s="98" t="s">
        <v>242</v>
      </c>
      <c r="D127" s="98" t="s">
        <v>307</v>
      </c>
      <c r="E127" s="98" t="s">
        <v>244</v>
      </c>
      <c r="F127" s="98">
        <v>20.75</v>
      </c>
    </row>
    <row r="128" spans="1:6">
      <c r="A128" s="6">
        <v>44074</v>
      </c>
      <c r="B128" s="98"/>
      <c r="C128" s="98" t="s">
        <v>262</v>
      </c>
      <c r="D128" s="98" t="s">
        <v>307</v>
      </c>
      <c r="E128" s="98" t="s">
        <v>244</v>
      </c>
      <c r="F128" s="98">
        <v>111.51</v>
      </c>
    </row>
    <row r="129" spans="1:6">
      <c r="A129" s="6">
        <v>44074</v>
      </c>
      <c r="B129" s="98"/>
      <c r="C129" s="98" t="s">
        <v>245</v>
      </c>
      <c r="D129" s="98" t="s">
        <v>307</v>
      </c>
      <c r="E129" s="98" t="s">
        <v>244</v>
      </c>
      <c r="F129" s="98">
        <v>24.65</v>
      </c>
    </row>
    <row r="130" spans="1:6">
      <c r="A130" s="6">
        <v>44074</v>
      </c>
      <c r="B130" s="98"/>
      <c r="C130" s="98" t="s">
        <v>264</v>
      </c>
      <c r="D130" s="98" t="s">
        <v>307</v>
      </c>
      <c r="E130" s="98" t="s">
        <v>244</v>
      </c>
      <c r="F130" s="98">
        <v>9.49</v>
      </c>
    </row>
    <row r="131" spans="1:6">
      <c r="A131" s="6">
        <v>44074</v>
      </c>
      <c r="B131" s="98" t="s">
        <v>308</v>
      </c>
      <c r="C131" s="98" t="s">
        <v>262</v>
      </c>
      <c r="D131" s="98" t="s">
        <v>309</v>
      </c>
      <c r="E131" s="98" t="s">
        <v>244</v>
      </c>
      <c r="F131" s="98">
        <v>404.38</v>
      </c>
    </row>
    <row r="132" spans="1:6">
      <c r="A132" s="6">
        <v>44074</v>
      </c>
      <c r="B132" s="98"/>
      <c r="C132" s="98" t="s">
        <v>245</v>
      </c>
      <c r="D132" s="98" t="s">
        <v>309</v>
      </c>
      <c r="E132" s="98" t="s">
        <v>244</v>
      </c>
      <c r="F132" s="98">
        <v>83.47</v>
      </c>
    </row>
    <row r="133" spans="1:6">
      <c r="A133" s="6">
        <v>44074</v>
      </c>
      <c r="B133" s="98"/>
      <c r="C133" s="98" t="s">
        <v>264</v>
      </c>
      <c r="D133" s="98" t="s">
        <v>309</v>
      </c>
      <c r="E133" s="98" t="s">
        <v>244</v>
      </c>
      <c r="F133" s="98">
        <v>17.66</v>
      </c>
    </row>
    <row r="134" spans="1:6">
      <c r="A134" s="6">
        <v>44074</v>
      </c>
      <c r="B134" s="98"/>
      <c r="C134" s="98" t="s">
        <v>254</v>
      </c>
      <c r="D134" s="98" t="s">
        <v>309</v>
      </c>
      <c r="E134" s="98" t="s">
        <v>244</v>
      </c>
      <c r="F134" s="98">
        <v>18.28</v>
      </c>
    </row>
    <row r="135" spans="1:6">
      <c r="A135" s="6">
        <v>44074</v>
      </c>
      <c r="B135" s="98"/>
      <c r="C135" s="98" t="s">
        <v>272</v>
      </c>
      <c r="D135" s="98" t="s">
        <v>309</v>
      </c>
      <c r="E135" s="98" t="s">
        <v>247</v>
      </c>
      <c r="F135" s="98">
        <v>163.34</v>
      </c>
    </row>
    <row r="136" spans="1:6">
      <c r="A136" s="6">
        <v>44074</v>
      </c>
      <c r="B136" s="98" t="s">
        <v>310</v>
      </c>
      <c r="C136" s="98" t="s">
        <v>262</v>
      </c>
      <c r="D136" s="98" t="s">
        <v>311</v>
      </c>
      <c r="E136" s="98" t="s">
        <v>244</v>
      </c>
      <c r="F136" s="98">
        <v>68.44</v>
      </c>
    </row>
    <row r="137" spans="1:6">
      <c r="A137" s="6">
        <v>44074</v>
      </c>
      <c r="B137" s="98"/>
      <c r="C137" s="98" t="s">
        <v>245</v>
      </c>
      <c r="D137" s="98" t="s">
        <v>311</v>
      </c>
      <c r="E137" s="98" t="s">
        <v>244</v>
      </c>
      <c r="F137" s="98">
        <v>550.04</v>
      </c>
    </row>
    <row r="138" spans="1:6">
      <c r="A138" s="6">
        <v>44074</v>
      </c>
      <c r="B138" s="98"/>
      <c r="C138" s="98" t="s">
        <v>271</v>
      </c>
      <c r="D138" s="98" t="s">
        <v>311</v>
      </c>
      <c r="E138" s="98" t="s">
        <v>244</v>
      </c>
      <c r="F138" s="98">
        <v>8.11</v>
      </c>
    </row>
    <row r="139" spans="1:6">
      <c r="A139" s="6">
        <v>44074</v>
      </c>
      <c r="B139" s="98"/>
      <c r="C139" s="98" t="s">
        <v>254</v>
      </c>
      <c r="D139" s="98" t="s">
        <v>311</v>
      </c>
      <c r="E139" s="98" t="s">
        <v>244</v>
      </c>
      <c r="F139" s="98">
        <v>45.9</v>
      </c>
    </row>
    <row r="140" spans="1:6">
      <c r="A140" s="6">
        <v>44074</v>
      </c>
      <c r="B140" s="98"/>
      <c r="C140" s="98" t="s">
        <v>277</v>
      </c>
      <c r="D140" s="98" t="s">
        <v>311</v>
      </c>
      <c r="E140" s="98" t="s">
        <v>247</v>
      </c>
      <c r="F140" s="98">
        <v>3957.39</v>
      </c>
    </row>
    <row r="141" spans="1:6">
      <c r="A141" s="6">
        <v>44074</v>
      </c>
      <c r="B141" s="98"/>
      <c r="C141" s="98" t="s">
        <v>248</v>
      </c>
      <c r="D141" s="98" t="s">
        <v>311</v>
      </c>
      <c r="E141" s="98" t="s">
        <v>247</v>
      </c>
      <c r="F141" s="98">
        <v>5825.26</v>
      </c>
    </row>
    <row r="142" spans="1:6">
      <c r="A142" s="6">
        <v>44074</v>
      </c>
      <c r="B142" s="98"/>
      <c r="C142" s="98" t="s">
        <v>266</v>
      </c>
      <c r="D142" s="98" t="s">
        <v>311</v>
      </c>
      <c r="E142" s="98" t="s">
        <v>258</v>
      </c>
      <c r="F142" s="98">
        <v>19210.04</v>
      </c>
    </row>
    <row r="143" spans="1:6">
      <c r="A143" s="6">
        <v>44074</v>
      </c>
      <c r="B143" s="98" t="s">
        <v>312</v>
      </c>
      <c r="C143" s="98" t="s">
        <v>242</v>
      </c>
      <c r="D143" s="98" t="s">
        <v>313</v>
      </c>
      <c r="E143" s="98" t="s">
        <v>244</v>
      </c>
      <c r="F143" s="98">
        <v>188.55</v>
      </c>
    </row>
    <row r="144" spans="1:6">
      <c r="A144" s="6">
        <v>44074</v>
      </c>
      <c r="B144" s="98"/>
      <c r="C144" s="98" t="s">
        <v>262</v>
      </c>
      <c r="D144" s="98" t="s">
        <v>313</v>
      </c>
      <c r="E144" s="98" t="s">
        <v>244</v>
      </c>
      <c r="F144" s="98">
        <v>26944.54</v>
      </c>
    </row>
    <row r="145" spans="1:6">
      <c r="A145" s="6">
        <v>44074</v>
      </c>
      <c r="B145" s="98"/>
      <c r="C145" s="98" t="s">
        <v>253</v>
      </c>
      <c r="D145" s="98" t="s">
        <v>313</v>
      </c>
      <c r="E145" s="98" t="s">
        <v>244</v>
      </c>
      <c r="F145" s="98">
        <v>25.65</v>
      </c>
    </row>
    <row r="146" spans="1:6">
      <c r="A146" s="6">
        <v>44074</v>
      </c>
      <c r="B146" s="98"/>
      <c r="C146" s="98" t="s">
        <v>245</v>
      </c>
      <c r="D146" s="98" t="s">
        <v>313</v>
      </c>
      <c r="E146" s="98" t="s">
        <v>244</v>
      </c>
      <c r="F146" s="98">
        <v>132.18</v>
      </c>
    </row>
    <row r="147" spans="1:6">
      <c r="A147" s="6">
        <v>44074</v>
      </c>
      <c r="B147" s="98"/>
      <c r="C147" s="98" t="s">
        <v>248</v>
      </c>
      <c r="D147" s="98" t="s">
        <v>313</v>
      </c>
      <c r="E147" s="98" t="s">
        <v>247</v>
      </c>
      <c r="F147" s="98">
        <v>2043.31</v>
      </c>
    </row>
    <row r="148" spans="1:6">
      <c r="A148" s="6">
        <v>44074</v>
      </c>
      <c r="B148" s="98" t="s">
        <v>314</v>
      </c>
      <c r="C148" s="98" t="s">
        <v>242</v>
      </c>
      <c r="D148" s="98" t="s">
        <v>315</v>
      </c>
      <c r="E148" s="98" t="s">
        <v>244</v>
      </c>
      <c r="F148" s="98">
        <v>3308.31</v>
      </c>
    </row>
    <row r="149" spans="1:6">
      <c r="A149" s="6">
        <v>44074</v>
      </c>
      <c r="B149" s="98"/>
      <c r="C149" s="98" t="s">
        <v>262</v>
      </c>
      <c r="D149" s="98" t="s">
        <v>315</v>
      </c>
      <c r="E149" s="98" t="s">
        <v>244</v>
      </c>
      <c r="F149" s="98">
        <v>5624.64</v>
      </c>
    </row>
    <row r="150" spans="1:6">
      <c r="A150" s="6">
        <v>44074</v>
      </c>
      <c r="B150" s="98"/>
      <c r="C150" s="98" t="s">
        <v>245</v>
      </c>
      <c r="D150" s="98" t="s">
        <v>315</v>
      </c>
      <c r="E150" s="98" t="s">
        <v>244</v>
      </c>
      <c r="F150" s="98">
        <v>7.82</v>
      </c>
    </row>
    <row r="151" spans="1:6">
      <c r="A151" s="6">
        <v>44074</v>
      </c>
      <c r="B151" s="98"/>
      <c r="C151" s="98" t="s">
        <v>289</v>
      </c>
      <c r="D151" s="98" t="s">
        <v>315</v>
      </c>
      <c r="E151" s="98" t="s">
        <v>247</v>
      </c>
      <c r="F151" s="98">
        <v>3012.07</v>
      </c>
    </row>
    <row r="152" spans="1:6">
      <c r="A152" s="6">
        <v>44074</v>
      </c>
      <c r="B152" s="98"/>
      <c r="C152" s="98" t="s">
        <v>248</v>
      </c>
      <c r="D152" s="98" t="s">
        <v>315</v>
      </c>
      <c r="E152" s="98" t="s">
        <v>247</v>
      </c>
      <c r="F152" s="98">
        <v>2358.65</v>
      </c>
    </row>
    <row r="153" spans="1:6">
      <c r="A153" s="6">
        <v>44074</v>
      </c>
      <c r="B153" s="98" t="s">
        <v>316</v>
      </c>
      <c r="C153" s="98" t="s">
        <v>262</v>
      </c>
      <c r="D153" s="98" t="s">
        <v>317</v>
      </c>
      <c r="E153" s="98" t="s">
        <v>244</v>
      </c>
      <c r="F153" s="98">
        <v>444.39</v>
      </c>
    </row>
    <row r="154" spans="1:6">
      <c r="A154" s="6">
        <v>44074</v>
      </c>
      <c r="B154" s="98"/>
      <c r="C154" s="98" t="s">
        <v>245</v>
      </c>
      <c r="D154" s="98" t="s">
        <v>317</v>
      </c>
      <c r="E154" s="98" t="s">
        <v>244</v>
      </c>
      <c r="F154" s="98">
        <v>157.47</v>
      </c>
    </row>
    <row r="155" spans="1:6">
      <c r="A155" s="6">
        <v>44074</v>
      </c>
      <c r="B155" s="98"/>
      <c r="C155" s="98" t="s">
        <v>254</v>
      </c>
      <c r="D155" s="98" t="s">
        <v>317</v>
      </c>
      <c r="E155" s="98" t="s">
        <v>244</v>
      </c>
      <c r="F155" s="98">
        <v>42.84</v>
      </c>
    </row>
    <row r="156" spans="1:6">
      <c r="A156" s="6">
        <v>44074</v>
      </c>
      <c r="B156" s="98" t="s">
        <v>318</v>
      </c>
      <c r="C156" s="98" t="s">
        <v>242</v>
      </c>
      <c r="D156" s="98" t="s">
        <v>319</v>
      </c>
      <c r="E156" s="98" t="s">
        <v>244</v>
      </c>
      <c r="F156" s="98">
        <v>425.94</v>
      </c>
    </row>
    <row r="157" spans="1:6">
      <c r="A157" s="6">
        <v>44074</v>
      </c>
      <c r="B157" s="98"/>
      <c r="C157" s="98" t="s">
        <v>262</v>
      </c>
      <c r="D157" s="98" t="s">
        <v>319</v>
      </c>
      <c r="E157" s="98" t="s">
        <v>244</v>
      </c>
      <c r="F157" s="98">
        <v>960.85</v>
      </c>
    </row>
    <row r="158" spans="1:6">
      <c r="A158" s="6">
        <v>44074</v>
      </c>
      <c r="B158" s="98"/>
      <c r="C158" s="98" t="s">
        <v>253</v>
      </c>
      <c r="D158" s="98" t="s">
        <v>319</v>
      </c>
      <c r="E158" s="98" t="s">
        <v>244</v>
      </c>
      <c r="F158" s="98">
        <v>37.270000000000003</v>
      </c>
    </row>
    <row r="159" spans="1:6">
      <c r="A159" s="6">
        <v>44074</v>
      </c>
      <c r="B159" s="98"/>
      <c r="C159" s="98" t="s">
        <v>245</v>
      </c>
      <c r="D159" s="98" t="s">
        <v>319</v>
      </c>
      <c r="E159" s="98" t="s">
        <v>244</v>
      </c>
      <c r="F159" s="98">
        <v>35.229999999999997</v>
      </c>
    </row>
    <row r="160" spans="1:6">
      <c r="A160" s="6">
        <v>44074</v>
      </c>
      <c r="B160" s="98"/>
      <c r="C160" s="98" t="s">
        <v>264</v>
      </c>
      <c r="D160" s="98" t="s">
        <v>319</v>
      </c>
      <c r="E160" s="98" t="s">
        <v>244</v>
      </c>
      <c r="F160" s="98">
        <v>699.09</v>
      </c>
    </row>
    <row r="161" spans="1:6">
      <c r="A161" s="6">
        <v>44074</v>
      </c>
      <c r="B161" s="98"/>
      <c r="C161" s="98" t="s">
        <v>271</v>
      </c>
      <c r="D161" s="98" t="s">
        <v>319</v>
      </c>
      <c r="E161" s="98" t="s">
        <v>244</v>
      </c>
      <c r="F161" s="98">
        <v>14.82</v>
      </c>
    </row>
    <row r="162" spans="1:6">
      <c r="A162" s="6">
        <v>44074</v>
      </c>
      <c r="B162" s="98"/>
      <c r="C162" s="98" t="s">
        <v>254</v>
      </c>
      <c r="D162" s="98" t="s">
        <v>319</v>
      </c>
      <c r="E162" s="98" t="s">
        <v>244</v>
      </c>
      <c r="F162" s="98">
        <v>451.05</v>
      </c>
    </row>
    <row r="163" spans="1:6">
      <c r="A163" s="6">
        <v>44074</v>
      </c>
      <c r="B163" s="98"/>
      <c r="C163" s="98" t="s">
        <v>255</v>
      </c>
      <c r="D163" s="98" t="s">
        <v>319</v>
      </c>
      <c r="E163" s="98" t="s">
        <v>247</v>
      </c>
      <c r="F163" s="98">
        <v>3257.59</v>
      </c>
    </row>
    <row r="164" spans="1:6">
      <c r="A164" s="6">
        <v>44074</v>
      </c>
      <c r="B164" s="98"/>
      <c r="C164" s="98" t="s">
        <v>278</v>
      </c>
      <c r="D164" s="98" t="s">
        <v>319</v>
      </c>
      <c r="E164" s="98" t="s">
        <v>247</v>
      </c>
      <c r="F164" s="98">
        <v>11245.11</v>
      </c>
    </row>
    <row r="165" spans="1:6">
      <c r="A165" s="6">
        <v>44074</v>
      </c>
      <c r="B165" s="98"/>
      <c r="C165" s="98" t="s">
        <v>272</v>
      </c>
      <c r="D165" s="98" t="s">
        <v>319</v>
      </c>
      <c r="E165" s="98" t="s">
        <v>247</v>
      </c>
      <c r="F165" s="98">
        <v>2495.81</v>
      </c>
    </row>
    <row r="166" spans="1:6">
      <c r="A166" s="6">
        <v>44074</v>
      </c>
      <c r="B166" s="98"/>
      <c r="C166" s="98" t="s">
        <v>246</v>
      </c>
      <c r="D166" s="98" t="s">
        <v>319</v>
      </c>
      <c r="E166" s="98" t="s">
        <v>247</v>
      </c>
      <c r="F166" s="98">
        <v>4682.1400000000003</v>
      </c>
    </row>
    <row r="167" spans="1:6">
      <c r="A167" s="6">
        <v>44074</v>
      </c>
      <c r="B167" s="98"/>
      <c r="C167" s="98" t="s">
        <v>249</v>
      </c>
      <c r="D167" s="98" t="s">
        <v>319</v>
      </c>
      <c r="E167" s="98" t="s">
        <v>247</v>
      </c>
      <c r="F167" s="98">
        <v>254.2</v>
      </c>
    </row>
    <row r="168" spans="1:6">
      <c r="A168" s="6">
        <v>44074</v>
      </c>
      <c r="B168" s="98" t="s">
        <v>320</v>
      </c>
      <c r="C168" s="98" t="s">
        <v>242</v>
      </c>
      <c r="D168" s="98" t="s">
        <v>321</v>
      </c>
      <c r="E168" s="98" t="s">
        <v>244</v>
      </c>
      <c r="F168" s="98">
        <v>2779.38</v>
      </c>
    </row>
    <row r="169" spans="1:6">
      <c r="A169" s="6">
        <v>44074</v>
      </c>
      <c r="B169" s="98"/>
      <c r="C169" s="98" t="s">
        <v>262</v>
      </c>
      <c r="D169" s="98" t="s">
        <v>321</v>
      </c>
      <c r="E169" s="98" t="s">
        <v>244</v>
      </c>
      <c r="F169" s="98">
        <v>5731.19</v>
      </c>
    </row>
    <row r="170" spans="1:6">
      <c r="A170" s="6">
        <v>44074</v>
      </c>
      <c r="B170" s="98"/>
      <c r="C170" s="98" t="s">
        <v>253</v>
      </c>
      <c r="D170" s="98" t="s">
        <v>321</v>
      </c>
      <c r="E170" s="98" t="s">
        <v>244</v>
      </c>
      <c r="F170" s="98">
        <v>64.63</v>
      </c>
    </row>
    <row r="171" spans="1:6">
      <c r="A171" s="6">
        <v>44074</v>
      </c>
      <c r="B171" s="98"/>
      <c r="C171" s="98" t="s">
        <v>245</v>
      </c>
      <c r="D171" s="98" t="s">
        <v>321</v>
      </c>
      <c r="E171" s="98" t="s">
        <v>244</v>
      </c>
      <c r="F171" s="98">
        <v>145.72999999999999</v>
      </c>
    </row>
    <row r="172" spans="1:6">
      <c r="A172" s="6">
        <v>44074</v>
      </c>
      <c r="B172" s="98"/>
      <c r="C172" s="98" t="s">
        <v>264</v>
      </c>
      <c r="D172" s="98" t="s">
        <v>321</v>
      </c>
      <c r="E172" s="98" t="s">
        <v>244</v>
      </c>
      <c r="F172" s="98">
        <v>2112.29</v>
      </c>
    </row>
    <row r="173" spans="1:6">
      <c r="A173" s="6">
        <v>44074</v>
      </c>
      <c r="B173" s="98"/>
      <c r="C173" s="98" t="s">
        <v>271</v>
      </c>
      <c r="D173" s="98" t="s">
        <v>321</v>
      </c>
      <c r="E173" s="98" t="s">
        <v>244</v>
      </c>
      <c r="F173" s="98">
        <v>10.46</v>
      </c>
    </row>
    <row r="174" spans="1:6">
      <c r="A174" s="6">
        <v>44074</v>
      </c>
      <c r="B174" s="98"/>
      <c r="C174" s="98" t="s">
        <v>254</v>
      </c>
      <c r="D174" s="98" t="s">
        <v>321</v>
      </c>
      <c r="E174" s="98" t="s">
        <v>244</v>
      </c>
      <c r="F174" s="98">
        <v>281.89999999999998</v>
      </c>
    </row>
    <row r="175" spans="1:6">
      <c r="A175" s="6">
        <v>44074</v>
      </c>
      <c r="B175" s="98"/>
      <c r="C175" s="98" t="s">
        <v>277</v>
      </c>
      <c r="D175" s="98" t="s">
        <v>321</v>
      </c>
      <c r="E175" s="98" t="s">
        <v>247</v>
      </c>
      <c r="F175" s="98">
        <v>17028.62</v>
      </c>
    </row>
    <row r="176" spans="1:6">
      <c r="A176" s="6">
        <v>44074</v>
      </c>
      <c r="B176" s="98"/>
      <c r="C176" s="98" t="s">
        <v>255</v>
      </c>
      <c r="D176" s="98" t="s">
        <v>321</v>
      </c>
      <c r="E176" s="98" t="s">
        <v>247</v>
      </c>
      <c r="F176" s="98">
        <v>694.92</v>
      </c>
    </row>
    <row r="177" spans="1:6">
      <c r="A177" s="6">
        <v>44074</v>
      </c>
      <c r="B177" s="98"/>
      <c r="C177" s="98" t="s">
        <v>278</v>
      </c>
      <c r="D177" s="98" t="s">
        <v>321</v>
      </c>
      <c r="E177" s="98" t="s">
        <v>247</v>
      </c>
      <c r="F177" s="98">
        <v>3144.58</v>
      </c>
    </row>
    <row r="178" spans="1:6">
      <c r="A178" s="6">
        <v>44074</v>
      </c>
      <c r="B178" s="98"/>
      <c r="C178" s="98" t="s">
        <v>272</v>
      </c>
      <c r="D178" s="98" t="s">
        <v>321</v>
      </c>
      <c r="E178" s="98" t="s">
        <v>247</v>
      </c>
      <c r="F178" s="98">
        <v>2374.31</v>
      </c>
    </row>
    <row r="179" spans="1:6">
      <c r="A179" s="6">
        <v>44074</v>
      </c>
      <c r="B179" s="98"/>
      <c r="C179" s="98" t="s">
        <v>290</v>
      </c>
      <c r="D179" s="98" t="s">
        <v>321</v>
      </c>
      <c r="E179" s="98" t="s">
        <v>247</v>
      </c>
      <c r="F179" s="98">
        <v>408.14</v>
      </c>
    </row>
    <row r="180" spans="1:6">
      <c r="A180" s="6">
        <v>44074</v>
      </c>
      <c r="B180" s="98"/>
      <c r="C180" s="98" t="s">
        <v>256</v>
      </c>
      <c r="D180" s="98" t="s">
        <v>321</v>
      </c>
      <c r="E180" s="98" t="s">
        <v>247</v>
      </c>
      <c r="F180" s="98">
        <v>10047.66</v>
      </c>
    </row>
    <row r="181" spans="1:6">
      <c r="A181" s="6">
        <v>44074</v>
      </c>
      <c r="B181" s="98"/>
      <c r="C181" s="98" t="s">
        <v>265</v>
      </c>
      <c r="D181" s="98" t="s">
        <v>321</v>
      </c>
      <c r="E181" s="98" t="s">
        <v>247</v>
      </c>
      <c r="F181" s="98">
        <v>807.92</v>
      </c>
    </row>
    <row r="182" spans="1:6">
      <c r="A182" s="6">
        <v>44074</v>
      </c>
      <c r="B182" s="98"/>
      <c r="C182" s="98" t="s">
        <v>249</v>
      </c>
      <c r="D182" s="98" t="s">
        <v>321</v>
      </c>
      <c r="E182" s="98" t="s">
        <v>247</v>
      </c>
      <c r="F182" s="98">
        <v>281.41000000000003</v>
      </c>
    </row>
    <row r="183" spans="1:6">
      <c r="A183" s="6">
        <v>44074</v>
      </c>
      <c r="B183" s="98"/>
      <c r="C183" s="98" t="s">
        <v>274</v>
      </c>
      <c r="D183" s="98" t="s">
        <v>321</v>
      </c>
      <c r="E183" s="98" t="s">
        <v>247</v>
      </c>
      <c r="F183" s="98">
        <v>26653.74</v>
      </c>
    </row>
    <row r="184" spans="1:6">
      <c r="A184" s="6">
        <v>44074</v>
      </c>
      <c r="B184" s="98" t="s">
        <v>322</v>
      </c>
      <c r="C184" s="98" t="s">
        <v>253</v>
      </c>
      <c r="D184" s="98" t="s">
        <v>323</v>
      </c>
      <c r="E184" s="98" t="s">
        <v>244</v>
      </c>
      <c r="F184" s="98">
        <v>48.57</v>
      </c>
    </row>
    <row r="185" spans="1:6">
      <c r="A185" s="6">
        <v>44074</v>
      </c>
      <c r="B185" s="98"/>
      <c r="C185" s="98" t="s">
        <v>245</v>
      </c>
      <c r="D185" s="98" t="s">
        <v>323</v>
      </c>
      <c r="E185" s="98" t="s">
        <v>244</v>
      </c>
      <c r="F185" s="98">
        <v>2233.27</v>
      </c>
    </row>
    <row r="186" spans="1:6">
      <c r="A186" s="6">
        <v>44074</v>
      </c>
      <c r="B186" s="98"/>
      <c r="C186" s="98" t="s">
        <v>255</v>
      </c>
      <c r="D186" s="98" t="s">
        <v>323</v>
      </c>
      <c r="E186" s="98" t="s">
        <v>247</v>
      </c>
      <c r="F186" s="98">
        <v>7823.96</v>
      </c>
    </row>
    <row r="187" spans="1:6">
      <c r="A187" s="6">
        <v>44074</v>
      </c>
      <c r="B187" s="98"/>
      <c r="C187" s="98" t="s">
        <v>289</v>
      </c>
      <c r="D187" s="98" t="s">
        <v>323</v>
      </c>
      <c r="E187" s="98" t="s">
        <v>247</v>
      </c>
      <c r="F187" s="98">
        <v>11593.87</v>
      </c>
    </row>
    <row r="188" spans="1:6">
      <c r="A188" s="6">
        <v>44074</v>
      </c>
      <c r="B188" s="98"/>
      <c r="C188" s="98" t="s">
        <v>265</v>
      </c>
      <c r="D188" s="98" t="s">
        <v>323</v>
      </c>
      <c r="E188" s="98" t="s">
        <v>247</v>
      </c>
      <c r="F188" s="98">
        <v>700.71</v>
      </c>
    </row>
    <row r="189" spans="1:6">
      <c r="A189" s="6">
        <v>44074</v>
      </c>
      <c r="B189" s="98" t="s">
        <v>324</v>
      </c>
      <c r="C189" s="98" t="s">
        <v>251</v>
      </c>
      <c r="D189" s="98" t="s">
        <v>325</v>
      </c>
      <c r="E189" s="98" t="s">
        <v>244</v>
      </c>
      <c r="F189" s="98">
        <v>325.11</v>
      </c>
    </row>
    <row r="190" spans="1:6">
      <c r="A190" s="6">
        <v>44074</v>
      </c>
      <c r="B190" s="98"/>
      <c r="C190" s="98" t="s">
        <v>257</v>
      </c>
      <c r="D190" s="98" t="s">
        <v>325</v>
      </c>
      <c r="E190" s="98" t="s">
        <v>258</v>
      </c>
      <c r="F190" s="98">
        <v>35854.269999999997</v>
      </c>
    </row>
    <row r="191" spans="1:6">
      <c r="A191" s="6">
        <v>44074</v>
      </c>
      <c r="B191" s="98"/>
      <c r="C191" s="98" t="s">
        <v>266</v>
      </c>
      <c r="D191" s="98" t="s">
        <v>325</v>
      </c>
      <c r="E191" s="98" t="s">
        <v>258</v>
      </c>
      <c r="F191" s="98">
        <v>23109.3</v>
      </c>
    </row>
    <row r="192" spans="1:6">
      <c r="A192" s="6">
        <v>44074</v>
      </c>
      <c r="B192" s="98"/>
      <c r="C192" s="98" t="s">
        <v>259</v>
      </c>
      <c r="D192" s="98" t="s">
        <v>325</v>
      </c>
      <c r="E192" s="98" t="s">
        <v>258</v>
      </c>
      <c r="F192" s="98">
        <v>27871.300000000003</v>
      </c>
    </row>
    <row r="193" spans="1:6">
      <c r="A193" s="6">
        <v>44074</v>
      </c>
      <c r="B193" s="98"/>
      <c r="C193" s="98" t="s">
        <v>260</v>
      </c>
      <c r="D193" s="98" t="s">
        <v>325</v>
      </c>
      <c r="E193" s="98" t="s">
        <v>258</v>
      </c>
      <c r="F193" s="98">
        <v>8811.66</v>
      </c>
    </row>
    <row r="194" spans="1:6">
      <c r="A194" s="6">
        <v>44074</v>
      </c>
      <c r="B194" s="98" t="s">
        <v>326</v>
      </c>
      <c r="C194" s="98" t="s">
        <v>242</v>
      </c>
      <c r="D194" s="98" t="s">
        <v>327</v>
      </c>
      <c r="E194" s="98" t="s">
        <v>244</v>
      </c>
      <c r="F194" s="98">
        <v>785.47</v>
      </c>
    </row>
    <row r="195" spans="1:6">
      <c r="A195" s="6">
        <v>44074</v>
      </c>
      <c r="B195" s="98"/>
      <c r="C195" s="98" t="s">
        <v>262</v>
      </c>
      <c r="D195" s="98" t="s">
        <v>327</v>
      </c>
      <c r="E195" s="98" t="s">
        <v>244</v>
      </c>
      <c r="F195" s="98">
        <v>3931.66</v>
      </c>
    </row>
    <row r="196" spans="1:6">
      <c r="A196" s="6">
        <v>44074</v>
      </c>
      <c r="B196" s="98"/>
      <c r="C196" s="98" t="s">
        <v>251</v>
      </c>
      <c r="D196" s="98" t="s">
        <v>327</v>
      </c>
      <c r="E196" s="98" t="s">
        <v>244</v>
      </c>
      <c r="F196" s="98">
        <v>2.74</v>
      </c>
    </row>
    <row r="197" spans="1:6">
      <c r="A197" s="6">
        <v>44074</v>
      </c>
      <c r="B197" s="98"/>
      <c r="C197" s="98" t="s">
        <v>245</v>
      </c>
      <c r="D197" s="98" t="s">
        <v>327</v>
      </c>
      <c r="E197" s="98" t="s">
        <v>244</v>
      </c>
      <c r="F197" s="98">
        <v>444.24</v>
      </c>
    </row>
    <row r="198" spans="1:6">
      <c r="A198" s="6">
        <v>44074</v>
      </c>
      <c r="B198" s="98"/>
      <c r="C198" s="98" t="s">
        <v>264</v>
      </c>
      <c r="D198" s="98" t="s">
        <v>327</v>
      </c>
      <c r="E198" s="98" t="s">
        <v>244</v>
      </c>
      <c r="F198" s="98">
        <v>319.77999999999997</v>
      </c>
    </row>
    <row r="199" spans="1:6">
      <c r="A199" s="6">
        <v>44074</v>
      </c>
      <c r="B199" s="98"/>
      <c r="C199" s="98" t="s">
        <v>271</v>
      </c>
      <c r="D199" s="98" t="s">
        <v>327</v>
      </c>
      <c r="E199" s="98" t="s">
        <v>244</v>
      </c>
      <c r="F199" s="98">
        <v>13.53</v>
      </c>
    </row>
    <row r="200" spans="1:6">
      <c r="A200" s="6">
        <v>44074</v>
      </c>
      <c r="B200" s="98"/>
      <c r="C200" s="98" t="s">
        <v>278</v>
      </c>
      <c r="D200" s="98" t="s">
        <v>327</v>
      </c>
      <c r="E200" s="98" t="s">
        <v>247</v>
      </c>
      <c r="F200" s="98">
        <v>1471.43</v>
      </c>
    </row>
    <row r="201" spans="1:6">
      <c r="A201" s="6">
        <v>44074</v>
      </c>
      <c r="B201" s="98"/>
      <c r="C201" s="98" t="s">
        <v>289</v>
      </c>
      <c r="D201" s="98" t="s">
        <v>327</v>
      </c>
      <c r="E201" s="98" t="s">
        <v>247</v>
      </c>
      <c r="F201" s="98">
        <v>2212.6799999999998</v>
      </c>
    </row>
    <row r="202" spans="1:6">
      <c r="A202" s="6">
        <v>44074</v>
      </c>
      <c r="B202" s="98"/>
      <c r="C202" s="98" t="s">
        <v>248</v>
      </c>
      <c r="D202" s="98" t="s">
        <v>327</v>
      </c>
      <c r="E202" s="98" t="s">
        <v>247</v>
      </c>
      <c r="F202" s="98">
        <v>3537.1</v>
      </c>
    </row>
    <row r="203" spans="1:6">
      <c r="A203" s="6">
        <v>44074</v>
      </c>
      <c r="B203" s="98"/>
      <c r="C203" s="98" t="s">
        <v>266</v>
      </c>
      <c r="D203" s="98" t="s">
        <v>327</v>
      </c>
      <c r="E203" s="98" t="s">
        <v>258</v>
      </c>
      <c r="F203" s="98">
        <v>20076.759999999998</v>
      </c>
    </row>
    <row r="204" spans="1:6">
      <c r="A204" s="6">
        <v>44074</v>
      </c>
      <c r="B204" s="98"/>
      <c r="C204" s="98" t="s">
        <v>274</v>
      </c>
      <c r="D204" s="98" t="s">
        <v>327</v>
      </c>
      <c r="E204" s="98" t="s">
        <v>247</v>
      </c>
      <c r="F204" s="98">
        <v>5643.3</v>
      </c>
    </row>
    <row r="205" spans="1:6">
      <c r="A205" s="6">
        <v>44074</v>
      </c>
      <c r="B205" s="98" t="s">
        <v>328</v>
      </c>
      <c r="C205" s="98" t="s">
        <v>262</v>
      </c>
      <c r="D205" s="98" t="s">
        <v>329</v>
      </c>
      <c r="E205" s="98" t="s">
        <v>244</v>
      </c>
      <c r="F205" s="98">
        <v>84.83</v>
      </c>
    </row>
    <row r="206" spans="1:6">
      <c r="A206" s="6">
        <v>44074</v>
      </c>
      <c r="B206" s="98"/>
      <c r="C206" s="98" t="s">
        <v>245</v>
      </c>
      <c r="D206" s="98" t="s">
        <v>329</v>
      </c>
      <c r="E206" s="98" t="s">
        <v>244</v>
      </c>
      <c r="F206" s="98">
        <v>473.77</v>
      </c>
    </row>
    <row r="207" spans="1:6">
      <c r="A207" s="6">
        <v>44074</v>
      </c>
      <c r="B207" s="98"/>
      <c r="C207" s="98" t="s">
        <v>264</v>
      </c>
      <c r="D207" s="98" t="s">
        <v>329</v>
      </c>
      <c r="E207" s="98" t="s">
        <v>244</v>
      </c>
      <c r="F207" s="98">
        <v>249.63</v>
      </c>
    </row>
    <row r="208" spans="1:6">
      <c r="A208" s="6">
        <v>44074</v>
      </c>
      <c r="B208" s="98"/>
      <c r="C208" s="98" t="s">
        <v>271</v>
      </c>
      <c r="D208" s="98" t="s">
        <v>329</v>
      </c>
      <c r="E208" s="98" t="s">
        <v>244</v>
      </c>
      <c r="F208" s="98">
        <v>5.41</v>
      </c>
    </row>
    <row r="209" spans="1:6">
      <c r="A209" s="6">
        <v>44074</v>
      </c>
      <c r="B209" s="98"/>
      <c r="C209" s="98" t="s">
        <v>254</v>
      </c>
      <c r="D209" s="98" t="s">
        <v>329</v>
      </c>
      <c r="E209" s="98" t="s">
        <v>244</v>
      </c>
      <c r="F209" s="98">
        <v>211.41</v>
      </c>
    </row>
    <row r="210" spans="1:6">
      <c r="A210" s="6">
        <v>44074</v>
      </c>
      <c r="B210" s="98"/>
      <c r="C210" s="98" t="s">
        <v>255</v>
      </c>
      <c r="D210" s="98" t="s">
        <v>329</v>
      </c>
      <c r="E210" s="98" t="s">
        <v>247</v>
      </c>
      <c r="F210" s="98">
        <v>7543.58</v>
      </c>
    </row>
    <row r="211" spans="1:6">
      <c r="A211" s="6">
        <v>44074</v>
      </c>
      <c r="B211" s="98"/>
      <c r="C211" s="98" t="s">
        <v>289</v>
      </c>
      <c r="D211" s="98" t="s">
        <v>329</v>
      </c>
      <c r="E211" s="98" t="s">
        <v>247</v>
      </c>
      <c r="F211" s="98">
        <v>9209.07</v>
      </c>
    </row>
    <row r="212" spans="1:6">
      <c r="A212" s="6">
        <v>44074</v>
      </c>
      <c r="B212" s="98"/>
      <c r="C212" s="98" t="s">
        <v>246</v>
      </c>
      <c r="D212" s="98" t="s">
        <v>329</v>
      </c>
      <c r="E212" s="98" t="s">
        <v>247</v>
      </c>
      <c r="F212" s="98">
        <v>13190.48</v>
      </c>
    </row>
    <row r="213" spans="1:6">
      <c r="A213" s="6">
        <v>44074</v>
      </c>
      <c r="B213" s="98"/>
      <c r="C213" s="98" t="s">
        <v>265</v>
      </c>
      <c r="D213" s="98" t="s">
        <v>329</v>
      </c>
      <c r="E213" s="98" t="s">
        <v>247</v>
      </c>
      <c r="F213" s="98">
        <v>1328.06</v>
      </c>
    </row>
    <row r="214" spans="1:6">
      <c r="A214" s="6">
        <v>44074</v>
      </c>
      <c r="B214" s="98"/>
      <c r="C214" s="98" t="s">
        <v>266</v>
      </c>
      <c r="D214" s="98" t="s">
        <v>329</v>
      </c>
      <c r="E214" s="98" t="s">
        <v>258</v>
      </c>
      <c r="F214" s="98">
        <v>18860.21</v>
      </c>
    </row>
    <row r="215" spans="1:6">
      <c r="A215" s="6">
        <v>44074</v>
      </c>
      <c r="B215" s="98"/>
      <c r="C215" s="98" t="s">
        <v>249</v>
      </c>
      <c r="D215" s="98" t="s">
        <v>329</v>
      </c>
      <c r="E215" s="98" t="s">
        <v>247</v>
      </c>
      <c r="F215" s="98">
        <v>250.12</v>
      </c>
    </row>
    <row r="216" spans="1:6">
      <c r="A216" s="6">
        <v>44074</v>
      </c>
      <c r="B216" s="98"/>
      <c r="C216" s="98" t="s">
        <v>274</v>
      </c>
      <c r="D216" s="98" t="s">
        <v>329</v>
      </c>
      <c r="E216" s="98" t="s">
        <v>247</v>
      </c>
      <c r="F216" s="98">
        <v>13000.37</v>
      </c>
    </row>
    <row r="217" spans="1:6">
      <c r="A217" s="6">
        <v>44074</v>
      </c>
      <c r="B217" s="98" t="s">
        <v>330</v>
      </c>
      <c r="C217" s="98" t="s">
        <v>262</v>
      </c>
      <c r="D217" s="98" t="s">
        <v>331</v>
      </c>
      <c r="E217" s="98" t="s">
        <v>244</v>
      </c>
      <c r="F217" s="98">
        <v>109.96</v>
      </c>
    </row>
    <row r="218" spans="1:6">
      <c r="A218" s="6">
        <v>44074</v>
      </c>
      <c r="B218" s="98"/>
      <c r="C218" s="98" t="s">
        <v>253</v>
      </c>
      <c r="D218" s="98" t="s">
        <v>331</v>
      </c>
      <c r="E218" s="98" t="s">
        <v>244</v>
      </c>
      <c r="F218" s="98">
        <v>112.23</v>
      </c>
    </row>
    <row r="219" spans="1:6">
      <c r="A219" s="6">
        <v>44074</v>
      </c>
      <c r="B219" s="98"/>
      <c r="C219" s="98" t="s">
        <v>245</v>
      </c>
      <c r="D219" s="98" t="s">
        <v>331</v>
      </c>
      <c r="E219" s="98" t="s">
        <v>244</v>
      </c>
      <c r="F219" s="98">
        <v>47.27</v>
      </c>
    </row>
    <row r="220" spans="1:6">
      <c r="A220" s="6">
        <v>44074</v>
      </c>
      <c r="B220" s="98" t="s">
        <v>332</v>
      </c>
      <c r="C220" s="98" t="s">
        <v>242</v>
      </c>
      <c r="D220" s="98" t="s">
        <v>333</v>
      </c>
      <c r="E220" s="98" t="s">
        <v>244</v>
      </c>
      <c r="F220" s="98">
        <v>756.12</v>
      </c>
    </row>
    <row r="221" spans="1:6">
      <c r="A221" s="6">
        <v>44074</v>
      </c>
      <c r="B221" s="98"/>
      <c r="C221" s="98" t="s">
        <v>245</v>
      </c>
      <c r="D221" s="98" t="s">
        <v>333</v>
      </c>
      <c r="E221" s="98" t="s">
        <v>244</v>
      </c>
      <c r="F221" s="98">
        <v>6.65</v>
      </c>
    </row>
    <row r="222" spans="1:6">
      <c r="A222" s="6">
        <v>44074</v>
      </c>
      <c r="B222" s="98"/>
      <c r="C222" s="98" t="s">
        <v>248</v>
      </c>
      <c r="D222" s="98" t="s">
        <v>333</v>
      </c>
      <c r="E222" s="98" t="s">
        <v>247</v>
      </c>
      <c r="F222" s="98">
        <v>3828.68</v>
      </c>
    </row>
    <row r="223" spans="1:6">
      <c r="A223" s="6">
        <v>44074</v>
      </c>
      <c r="B223" s="98" t="s">
        <v>334</v>
      </c>
      <c r="C223" s="98" t="s">
        <v>242</v>
      </c>
      <c r="D223" s="98" t="s">
        <v>335</v>
      </c>
      <c r="E223" s="98" t="s">
        <v>244</v>
      </c>
      <c r="F223" s="98">
        <v>1376.21</v>
      </c>
    </row>
    <row r="224" spans="1:6">
      <c r="A224" s="6">
        <v>44074</v>
      </c>
      <c r="B224" s="98"/>
      <c r="C224" s="98" t="s">
        <v>262</v>
      </c>
      <c r="D224" s="98" t="s">
        <v>335</v>
      </c>
      <c r="E224" s="98" t="s">
        <v>244</v>
      </c>
      <c r="F224" s="98">
        <v>1334.29</v>
      </c>
    </row>
    <row r="225" spans="1:6">
      <c r="A225" s="6">
        <v>44074</v>
      </c>
      <c r="B225" s="98"/>
      <c r="C225" s="98" t="s">
        <v>251</v>
      </c>
      <c r="D225" s="98" t="s">
        <v>335</v>
      </c>
      <c r="E225" s="98" t="s">
        <v>244</v>
      </c>
      <c r="F225" s="98">
        <v>32.049999999999997</v>
      </c>
    </row>
    <row r="226" spans="1:6">
      <c r="A226" s="6">
        <v>44074</v>
      </c>
      <c r="B226" s="98"/>
      <c r="C226" s="98" t="s">
        <v>253</v>
      </c>
      <c r="D226" s="98" t="s">
        <v>335</v>
      </c>
      <c r="E226" s="98" t="s">
        <v>244</v>
      </c>
      <c r="F226" s="98">
        <v>61.24</v>
      </c>
    </row>
    <row r="227" spans="1:6">
      <c r="A227" s="6">
        <v>44074</v>
      </c>
      <c r="B227" s="98"/>
      <c r="C227" s="98" t="s">
        <v>245</v>
      </c>
      <c r="D227" s="98" t="s">
        <v>335</v>
      </c>
      <c r="E227" s="98" t="s">
        <v>244</v>
      </c>
      <c r="F227" s="98">
        <v>226.6</v>
      </c>
    </row>
    <row r="228" spans="1:6">
      <c r="A228" s="6">
        <v>44074</v>
      </c>
      <c r="B228" s="98"/>
      <c r="C228" s="98" t="s">
        <v>254</v>
      </c>
      <c r="D228" s="98" t="s">
        <v>335</v>
      </c>
      <c r="E228" s="98" t="s">
        <v>244</v>
      </c>
      <c r="F228" s="98">
        <v>72.97</v>
      </c>
    </row>
    <row r="229" spans="1:6">
      <c r="A229" s="6">
        <v>44074</v>
      </c>
      <c r="B229" s="98"/>
      <c r="C229" s="98" t="s">
        <v>255</v>
      </c>
      <c r="D229" s="98" t="s">
        <v>335</v>
      </c>
      <c r="E229" s="98" t="s">
        <v>247</v>
      </c>
      <c r="F229" s="98">
        <v>15671.24</v>
      </c>
    </row>
    <row r="230" spans="1:6">
      <c r="A230" s="6">
        <v>44074</v>
      </c>
      <c r="B230" s="98"/>
      <c r="C230" s="98" t="s">
        <v>289</v>
      </c>
      <c r="D230" s="98" t="s">
        <v>335</v>
      </c>
      <c r="E230" s="98" t="s">
        <v>247</v>
      </c>
      <c r="F230" s="98">
        <v>32182.11</v>
      </c>
    </row>
    <row r="231" spans="1:6">
      <c r="A231" s="6">
        <v>44074</v>
      </c>
      <c r="B231" s="98"/>
      <c r="C231" s="98" t="s">
        <v>248</v>
      </c>
      <c r="D231" s="98" t="s">
        <v>335</v>
      </c>
      <c r="E231" s="98" t="s">
        <v>247</v>
      </c>
      <c r="F231" s="98">
        <v>3380.6</v>
      </c>
    </row>
    <row r="232" spans="1:6">
      <c r="A232" s="6">
        <v>44074</v>
      </c>
      <c r="B232" s="98"/>
      <c r="C232" s="98" t="s">
        <v>260</v>
      </c>
      <c r="D232" s="98" t="s">
        <v>335</v>
      </c>
      <c r="E232" s="98" t="s">
        <v>258</v>
      </c>
      <c r="F232" s="98">
        <v>9942.6299999999992</v>
      </c>
    </row>
    <row r="233" spans="1:6">
      <c r="A233" s="6">
        <v>44074</v>
      </c>
      <c r="B233" s="98" t="s">
        <v>336</v>
      </c>
      <c r="C233" s="98" t="s">
        <v>253</v>
      </c>
      <c r="D233" s="98" t="s">
        <v>337</v>
      </c>
      <c r="E233" s="98" t="s">
        <v>244</v>
      </c>
      <c r="F233" s="98">
        <v>45.06</v>
      </c>
    </row>
    <row r="234" spans="1:6">
      <c r="A234" s="6">
        <v>44074</v>
      </c>
      <c r="B234" s="98"/>
      <c r="C234" s="98" t="s">
        <v>245</v>
      </c>
      <c r="D234" s="98" t="s">
        <v>337</v>
      </c>
      <c r="E234" s="98" t="s">
        <v>244</v>
      </c>
      <c r="F234" s="98">
        <v>25.76</v>
      </c>
    </row>
    <row r="235" spans="1:6">
      <c r="A235" s="6">
        <v>44074</v>
      </c>
      <c r="B235" s="98"/>
      <c r="C235" s="98" t="s">
        <v>255</v>
      </c>
      <c r="D235" s="98" t="s">
        <v>337</v>
      </c>
      <c r="E235" s="98" t="s">
        <v>247</v>
      </c>
      <c r="F235" s="98">
        <v>5351.07</v>
      </c>
    </row>
    <row r="236" spans="1:6">
      <c r="A236" s="6">
        <v>44074</v>
      </c>
      <c r="B236" s="98"/>
      <c r="C236" s="98" t="s">
        <v>256</v>
      </c>
      <c r="D236" s="98" t="s">
        <v>337</v>
      </c>
      <c r="E236" s="98" t="s">
        <v>247</v>
      </c>
      <c r="F236" s="98">
        <v>6797.46</v>
      </c>
    </row>
    <row r="237" spans="1:6">
      <c r="A237" s="6">
        <v>44074</v>
      </c>
      <c r="B237" s="98"/>
      <c r="C237" s="98" t="s">
        <v>338</v>
      </c>
      <c r="D237" s="98" t="s">
        <v>337</v>
      </c>
      <c r="E237" s="98" t="s">
        <v>247</v>
      </c>
      <c r="F237" s="98">
        <v>269.04000000000002</v>
      </c>
    </row>
    <row r="238" spans="1:6">
      <c r="A238" s="6">
        <v>44074</v>
      </c>
      <c r="B238" s="98"/>
      <c r="C238" s="98" t="s">
        <v>339</v>
      </c>
      <c r="D238" s="98" t="s">
        <v>337</v>
      </c>
      <c r="E238" s="98" t="s">
        <v>247</v>
      </c>
      <c r="F238" s="98">
        <v>153.35</v>
      </c>
    </row>
    <row r="239" spans="1:6">
      <c r="A239" s="6">
        <v>44074</v>
      </c>
      <c r="B239" s="98"/>
      <c r="C239" s="98" t="s">
        <v>265</v>
      </c>
      <c r="D239" s="98" t="s">
        <v>337</v>
      </c>
      <c r="E239" s="98" t="s">
        <v>247</v>
      </c>
      <c r="F239" s="98">
        <v>744.95</v>
      </c>
    </row>
    <row r="240" spans="1:6">
      <c r="A240" s="6">
        <v>44074</v>
      </c>
      <c r="B240" s="98" t="s">
        <v>340</v>
      </c>
      <c r="C240" s="98" t="s">
        <v>245</v>
      </c>
      <c r="D240" s="98" t="s">
        <v>341</v>
      </c>
      <c r="E240" s="98" t="s">
        <v>244</v>
      </c>
      <c r="F240" s="98">
        <v>71.900000000000006</v>
      </c>
    </row>
    <row r="241" spans="1:6">
      <c r="A241" s="6">
        <v>44074</v>
      </c>
      <c r="B241" s="98" t="s">
        <v>342</v>
      </c>
      <c r="C241" s="98" t="s">
        <v>251</v>
      </c>
      <c r="D241" s="98" t="s">
        <v>343</v>
      </c>
      <c r="E241" s="98" t="s">
        <v>244</v>
      </c>
      <c r="F241" s="98">
        <v>1.94</v>
      </c>
    </row>
    <row r="242" spans="1:6">
      <c r="A242" s="6">
        <v>44074</v>
      </c>
      <c r="B242" s="98"/>
      <c r="C242" s="98" t="s">
        <v>254</v>
      </c>
      <c r="D242" s="98" t="s">
        <v>343</v>
      </c>
      <c r="E242" s="98" t="s">
        <v>244</v>
      </c>
      <c r="F242" s="98">
        <v>195.52</v>
      </c>
    </row>
    <row r="243" spans="1:6">
      <c r="A243" s="6">
        <v>44074</v>
      </c>
      <c r="B243" s="98"/>
      <c r="C243" s="98" t="s">
        <v>266</v>
      </c>
      <c r="D243" s="98" t="s">
        <v>343</v>
      </c>
      <c r="E243" s="98" t="s">
        <v>258</v>
      </c>
      <c r="F243" s="98">
        <v>2865.31</v>
      </c>
    </row>
    <row r="244" spans="1:6">
      <c r="A244" s="6">
        <v>44074</v>
      </c>
      <c r="B244" s="98"/>
      <c r="C244" s="98" t="s">
        <v>274</v>
      </c>
      <c r="D244" s="98" t="s">
        <v>343</v>
      </c>
      <c r="E244" s="98" t="s">
        <v>247</v>
      </c>
      <c r="F244" s="98">
        <v>3402.93</v>
      </c>
    </row>
    <row r="245" spans="1:6">
      <c r="A245" s="6">
        <v>44074</v>
      </c>
      <c r="B245" s="98" t="s">
        <v>344</v>
      </c>
      <c r="C245" s="98" t="s">
        <v>262</v>
      </c>
      <c r="D245" s="98" t="s">
        <v>345</v>
      </c>
      <c r="E245" s="98" t="s">
        <v>244</v>
      </c>
      <c r="F245" s="98">
        <v>247.56</v>
      </c>
    </row>
    <row r="246" spans="1:6">
      <c r="A246" s="6">
        <v>44074</v>
      </c>
      <c r="B246" s="98"/>
      <c r="C246" s="98" t="s">
        <v>245</v>
      </c>
      <c r="D246" s="98" t="s">
        <v>345</v>
      </c>
      <c r="E246" s="98" t="s">
        <v>244</v>
      </c>
      <c r="F246" s="98">
        <v>89</v>
      </c>
    </row>
    <row r="247" spans="1:6">
      <c r="A247" s="6">
        <v>44074</v>
      </c>
      <c r="B247" s="98" t="s">
        <v>346</v>
      </c>
      <c r="C247" s="98" t="s">
        <v>245</v>
      </c>
      <c r="D247" s="98" t="s">
        <v>347</v>
      </c>
      <c r="E247" s="98" t="s">
        <v>244</v>
      </c>
      <c r="F247" s="98">
        <v>13.44</v>
      </c>
    </row>
    <row r="248" spans="1:6">
      <c r="A248" s="6">
        <v>44074</v>
      </c>
      <c r="B248" s="98" t="s">
        <v>348</v>
      </c>
      <c r="C248" s="98" t="s">
        <v>242</v>
      </c>
      <c r="D248" s="98" t="s">
        <v>349</v>
      </c>
      <c r="E248" s="98" t="s">
        <v>244</v>
      </c>
      <c r="F248" s="98">
        <v>110.08</v>
      </c>
    </row>
    <row r="249" spans="1:6">
      <c r="A249" s="6">
        <v>44074</v>
      </c>
      <c r="B249" s="98"/>
      <c r="C249" s="98" t="s">
        <v>262</v>
      </c>
      <c r="D249" s="98" t="s">
        <v>349</v>
      </c>
      <c r="E249" s="98" t="s">
        <v>244</v>
      </c>
      <c r="F249" s="98">
        <v>74.02</v>
      </c>
    </row>
    <row r="250" spans="1:6">
      <c r="A250" s="6">
        <v>44074</v>
      </c>
      <c r="B250" s="98"/>
      <c r="C250" s="98" t="s">
        <v>264</v>
      </c>
      <c r="D250" s="98" t="s">
        <v>349</v>
      </c>
      <c r="E250" s="98" t="s">
        <v>244</v>
      </c>
      <c r="F250" s="98">
        <v>48.2</v>
      </c>
    </row>
    <row r="251" spans="1:6">
      <c r="A251" s="6">
        <v>44074</v>
      </c>
      <c r="B251" s="98" t="s">
        <v>350</v>
      </c>
      <c r="C251" s="98" t="s">
        <v>242</v>
      </c>
      <c r="D251" s="98" t="s">
        <v>351</v>
      </c>
      <c r="E251" s="98" t="s">
        <v>244</v>
      </c>
      <c r="F251" s="98">
        <v>95.84</v>
      </c>
    </row>
    <row r="252" spans="1:6">
      <c r="A252" s="6">
        <v>44074</v>
      </c>
      <c r="B252" s="98"/>
      <c r="C252" s="98" t="s">
        <v>245</v>
      </c>
      <c r="D252" s="98" t="s">
        <v>351</v>
      </c>
      <c r="E252" s="98" t="s">
        <v>244</v>
      </c>
      <c r="F252" s="98">
        <v>142.77000000000001</v>
      </c>
    </row>
    <row r="253" spans="1:6">
      <c r="A253" s="6">
        <v>44074</v>
      </c>
      <c r="B253" s="98"/>
      <c r="C253" s="98" t="s">
        <v>291</v>
      </c>
      <c r="D253" s="98" t="s">
        <v>351</v>
      </c>
      <c r="E253" s="98" t="s">
        <v>247</v>
      </c>
      <c r="F253" s="98">
        <v>233.66</v>
      </c>
    </row>
    <row r="254" spans="1:6">
      <c r="A254" s="6">
        <v>44074</v>
      </c>
      <c r="B254" s="98" t="s">
        <v>352</v>
      </c>
      <c r="C254" s="98" t="s">
        <v>245</v>
      </c>
      <c r="D254" s="98" t="s">
        <v>353</v>
      </c>
      <c r="E254" s="98" t="s">
        <v>244</v>
      </c>
      <c r="F254" s="98">
        <v>0.06</v>
      </c>
    </row>
    <row r="255" spans="1:6">
      <c r="A255" s="6">
        <v>44074</v>
      </c>
      <c r="B255" s="98" t="s">
        <v>354</v>
      </c>
      <c r="C255" s="98" t="s">
        <v>355</v>
      </c>
      <c r="D255" s="98" t="s">
        <v>356</v>
      </c>
      <c r="E255" s="98" t="s">
        <v>247</v>
      </c>
      <c r="F255" s="98">
        <v>921.19</v>
      </c>
    </row>
    <row r="256" spans="1:6">
      <c r="A256" s="6">
        <v>44074</v>
      </c>
      <c r="B256" s="98" t="s">
        <v>357</v>
      </c>
      <c r="C256" s="98" t="s">
        <v>248</v>
      </c>
      <c r="D256" s="98" t="s">
        <v>358</v>
      </c>
      <c r="E256" s="98" t="s">
        <v>247</v>
      </c>
      <c r="F256" s="98">
        <v>21257.439999999999</v>
      </c>
    </row>
    <row r="257" spans="1:6">
      <c r="A257" s="6">
        <v>44074</v>
      </c>
      <c r="B257" s="98"/>
      <c r="C257" s="98" t="s">
        <v>290</v>
      </c>
      <c r="D257" s="98" t="s">
        <v>358</v>
      </c>
      <c r="E257" s="98" t="s">
        <v>247</v>
      </c>
      <c r="F257" s="98">
        <v>5455.55</v>
      </c>
    </row>
    <row r="258" spans="1:6">
      <c r="A258" s="6">
        <v>44074</v>
      </c>
      <c r="B258" s="98" t="s">
        <v>359</v>
      </c>
      <c r="C258" s="98" t="s">
        <v>242</v>
      </c>
      <c r="D258" s="98" t="s">
        <v>360</v>
      </c>
      <c r="E258" s="98" t="s">
        <v>244</v>
      </c>
      <c r="F258" s="98">
        <v>48.87</v>
      </c>
    </row>
    <row r="259" spans="1:6">
      <c r="A259" s="6">
        <v>44074</v>
      </c>
      <c r="B259" s="98"/>
      <c r="C259" s="98" t="s">
        <v>262</v>
      </c>
      <c r="D259" s="98" t="s">
        <v>360</v>
      </c>
      <c r="E259" s="98" t="s">
        <v>244</v>
      </c>
      <c r="F259" s="98">
        <v>56.47</v>
      </c>
    </row>
    <row r="260" spans="1:6">
      <c r="A260" s="6">
        <v>44074</v>
      </c>
      <c r="B260" s="98"/>
      <c r="C260" s="98" t="s">
        <v>251</v>
      </c>
      <c r="D260" s="98" t="s">
        <v>360</v>
      </c>
      <c r="E260" s="98" t="s">
        <v>244</v>
      </c>
      <c r="F260" s="98">
        <v>14.84</v>
      </c>
    </row>
    <row r="261" spans="1:6">
      <c r="A261" s="6">
        <v>44074</v>
      </c>
      <c r="B261" s="98"/>
      <c r="C261" s="98" t="s">
        <v>245</v>
      </c>
      <c r="D261" s="98" t="s">
        <v>360</v>
      </c>
      <c r="E261" s="98" t="s">
        <v>244</v>
      </c>
      <c r="F261" s="98">
        <v>548.78</v>
      </c>
    </row>
    <row r="262" spans="1:6">
      <c r="A262" s="6">
        <v>44074</v>
      </c>
      <c r="B262" s="98"/>
      <c r="C262" s="98" t="s">
        <v>289</v>
      </c>
      <c r="D262" s="98" t="s">
        <v>360</v>
      </c>
      <c r="E262" s="98" t="s">
        <v>247</v>
      </c>
      <c r="F262" s="98">
        <v>533.1</v>
      </c>
    </row>
    <row r="263" spans="1:6">
      <c r="A263" s="6">
        <v>44074</v>
      </c>
      <c r="B263" s="98" t="s">
        <v>361</v>
      </c>
      <c r="C263" s="98" t="s">
        <v>264</v>
      </c>
      <c r="D263" s="98" t="s">
        <v>362</v>
      </c>
      <c r="E263" s="98" t="s">
        <v>244</v>
      </c>
      <c r="F263" s="98">
        <v>79.06</v>
      </c>
    </row>
    <row r="264" spans="1:6">
      <c r="A264" s="6">
        <v>44074</v>
      </c>
      <c r="B264" s="98"/>
      <c r="C264" s="98" t="s">
        <v>248</v>
      </c>
      <c r="D264" s="98" t="s">
        <v>362</v>
      </c>
      <c r="E264" s="98" t="s">
        <v>247</v>
      </c>
      <c r="F264" s="98">
        <v>8038.96</v>
      </c>
    </row>
    <row r="265" spans="1:6">
      <c r="A265" s="6">
        <v>44074</v>
      </c>
      <c r="B265" s="98"/>
      <c r="C265" s="98" t="s">
        <v>290</v>
      </c>
      <c r="D265" s="98" t="s">
        <v>362</v>
      </c>
      <c r="E265" s="98" t="s">
        <v>247</v>
      </c>
      <c r="F265" s="98">
        <v>2500.9699999999998</v>
      </c>
    </row>
    <row r="266" spans="1:6">
      <c r="A266" s="6">
        <v>44074</v>
      </c>
      <c r="B266" s="98"/>
      <c r="C266" s="98" t="s">
        <v>363</v>
      </c>
      <c r="D266" s="98" t="s">
        <v>362</v>
      </c>
      <c r="E266" s="98" t="s">
        <v>247</v>
      </c>
      <c r="F266" s="98">
        <v>5001.93</v>
      </c>
    </row>
    <row r="267" spans="1:6">
      <c r="A267" s="6">
        <v>44074</v>
      </c>
      <c r="B267" s="98"/>
      <c r="C267" s="98" t="s">
        <v>364</v>
      </c>
      <c r="D267" s="98" t="s">
        <v>362</v>
      </c>
      <c r="E267" s="98" t="s">
        <v>247</v>
      </c>
      <c r="F267" s="98">
        <v>2500.9699999999998</v>
      </c>
    </row>
    <row r="268" spans="1:6">
      <c r="A268" s="6">
        <v>44074</v>
      </c>
      <c r="B268" s="98"/>
      <c r="C268" s="98" t="s">
        <v>365</v>
      </c>
      <c r="D268" s="98" t="s">
        <v>362</v>
      </c>
      <c r="E268" s="98" t="s">
        <v>247</v>
      </c>
      <c r="F268" s="98">
        <v>2500.9699999999998</v>
      </c>
    </row>
    <row r="269" spans="1:6">
      <c r="A269" s="6">
        <v>44074</v>
      </c>
      <c r="B269" s="98" t="s">
        <v>366</v>
      </c>
      <c r="C269" s="98" t="s">
        <v>251</v>
      </c>
      <c r="D269" s="98" t="s">
        <v>367</v>
      </c>
      <c r="E269" s="98" t="s">
        <v>244</v>
      </c>
      <c r="F269" s="98">
        <v>55.17</v>
      </c>
    </row>
    <row r="270" spans="1:6">
      <c r="A270" s="6">
        <v>44074</v>
      </c>
      <c r="B270" s="98"/>
      <c r="C270" s="98" t="s">
        <v>253</v>
      </c>
      <c r="D270" s="98" t="s">
        <v>367</v>
      </c>
      <c r="E270" s="98" t="s">
        <v>244</v>
      </c>
      <c r="F270" s="98">
        <v>9.0399999999999991</v>
      </c>
    </row>
    <row r="271" spans="1:6">
      <c r="A271" s="6">
        <v>44074</v>
      </c>
      <c r="B271" s="98"/>
      <c r="C271" s="98" t="s">
        <v>368</v>
      </c>
      <c r="D271" s="98" t="s">
        <v>367</v>
      </c>
      <c r="E271" s="98" t="s">
        <v>247</v>
      </c>
      <c r="F271" s="98">
        <v>1411.16</v>
      </c>
    </row>
    <row r="272" spans="1:6">
      <c r="A272" s="6">
        <v>44074</v>
      </c>
      <c r="B272" s="98"/>
      <c r="C272" s="98" t="s">
        <v>257</v>
      </c>
      <c r="D272" s="98" t="s">
        <v>367</v>
      </c>
      <c r="E272" s="98" t="s">
        <v>258</v>
      </c>
      <c r="F272" s="98">
        <v>18153.77</v>
      </c>
    </row>
    <row r="273" spans="1:6">
      <c r="A273" s="6">
        <v>44074</v>
      </c>
      <c r="B273" s="98"/>
      <c r="C273" s="98" t="s">
        <v>259</v>
      </c>
      <c r="D273" s="98" t="s">
        <v>367</v>
      </c>
      <c r="E273" s="98" t="s">
        <v>258</v>
      </c>
      <c r="F273" s="98">
        <v>16854.400000000001</v>
      </c>
    </row>
    <row r="274" spans="1:6">
      <c r="A274" s="6">
        <v>44074</v>
      </c>
      <c r="B274" s="98"/>
      <c r="C274" s="98" t="s">
        <v>260</v>
      </c>
      <c r="D274" s="98" t="s">
        <v>367</v>
      </c>
      <c r="E274" s="98" t="s">
        <v>258</v>
      </c>
      <c r="F274" s="98">
        <v>4902.8</v>
      </c>
    </row>
    <row r="275" spans="1:6">
      <c r="A275" s="6">
        <v>44074</v>
      </c>
      <c r="B275" s="98"/>
      <c r="C275" s="98" t="s">
        <v>369</v>
      </c>
      <c r="D275" s="98" t="s">
        <v>367</v>
      </c>
      <c r="E275" s="98" t="s">
        <v>244</v>
      </c>
      <c r="F275" s="98">
        <v>36.18</v>
      </c>
    </row>
    <row r="276" spans="1:6">
      <c r="A276" s="6">
        <v>44074</v>
      </c>
      <c r="B276" s="98" t="s">
        <v>370</v>
      </c>
      <c r="C276" s="98" t="s">
        <v>242</v>
      </c>
      <c r="D276" s="98" t="s">
        <v>371</v>
      </c>
      <c r="E276" s="98" t="s">
        <v>244</v>
      </c>
      <c r="F276" s="98">
        <v>198.59</v>
      </c>
    </row>
    <row r="277" spans="1:6">
      <c r="A277" s="6">
        <v>44074</v>
      </c>
      <c r="B277" s="98"/>
      <c r="C277" s="98" t="s">
        <v>254</v>
      </c>
      <c r="D277" s="98" t="s">
        <v>371</v>
      </c>
      <c r="E277" s="98" t="s">
        <v>244</v>
      </c>
      <c r="F277" s="98">
        <v>1236.08</v>
      </c>
    </row>
    <row r="278" spans="1:6">
      <c r="A278" s="6">
        <v>44074</v>
      </c>
      <c r="B278" s="98" t="s">
        <v>372</v>
      </c>
      <c r="C278" s="98" t="s">
        <v>242</v>
      </c>
      <c r="D278" s="98" t="s">
        <v>373</v>
      </c>
      <c r="E278" s="98" t="s">
        <v>244</v>
      </c>
      <c r="F278" s="98">
        <v>668.19</v>
      </c>
    </row>
    <row r="279" spans="1:6">
      <c r="A279" s="6">
        <v>44074</v>
      </c>
      <c r="B279" s="98"/>
      <c r="C279" s="98" t="s">
        <v>251</v>
      </c>
      <c r="D279" s="98" t="s">
        <v>373</v>
      </c>
      <c r="E279" s="98" t="s">
        <v>244</v>
      </c>
      <c r="F279" s="98">
        <v>5.91</v>
      </c>
    </row>
    <row r="280" spans="1:6">
      <c r="A280" s="6">
        <v>44074</v>
      </c>
      <c r="B280" s="98"/>
      <c r="C280" s="98" t="s">
        <v>277</v>
      </c>
      <c r="D280" s="98" t="s">
        <v>373</v>
      </c>
      <c r="E280" s="98" t="s">
        <v>247</v>
      </c>
      <c r="F280" s="98">
        <v>1366.37</v>
      </c>
    </row>
    <row r="281" spans="1:6">
      <c r="A281" s="6">
        <v>44074</v>
      </c>
      <c r="B281" s="98"/>
      <c r="C281" s="98" t="s">
        <v>289</v>
      </c>
      <c r="D281" s="98" t="s">
        <v>373</v>
      </c>
      <c r="E281" s="98" t="s">
        <v>247</v>
      </c>
      <c r="F281" s="98">
        <v>2674.84</v>
      </c>
    </row>
    <row r="282" spans="1:6">
      <c r="A282" s="6">
        <v>44074</v>
      </c>
      <c r="B282" s="98" t="s">
        <v>374</v>
      </c>
      <c r="C282" s="98" t="s">
        <v>242</v>
      </c>
      <c r="D282" s="98" t="s">
        <v>375</v>
      </c>
      <c r="E282" s="98" t="s">
        <v>244</v>
      </c>
      <c r="F282" s="98">
        <v>57.05</v>
      </c>
    </row>
    <row r="283" spans="1:6">
      <c r="A283" s="6">
        <v>44074</v>
      </c>
      <c r="B283" s="98"/>
      <c r="C283" s="98" t="s">
        <v>251</v>
      </c>
      <c r="D283" s="98" t="s">
        <v>375</v>
      </c>
      <c r="E283" s="98" t="s">
        <v>244</v>
      </c>
      <c r="F283" s="98">
        <v>73.75</v>
      </c>
    </row>
    <row r="284" spans="1:6">
      <c r="A284" s="6">
        <v>44074</v>
      </c>
      <c r="B284" s="98"/>
      <c r="C284" s="98" t="s">
        <v>245</v>
      </c>
      <c r="D284" s="98" t="s">
        <v>375</v>
      </c>
      <c r="E284" s="98" t="s">
        <v>244</v>
      </c>
      <c r="F284" s="98">
        <v>1117.1500000000001</v>
      </c>
    </row>
    <row r="285" spans="1:6">
      <c r="A285" s="6">
        <v>44074</v>
      </c>
      <c r="B285" s="98"/>
      <c r="C285" s="98" t="s">
        <v>277</v>
      </c>
      <c r="D285" s="98" t="s">
        <v>375</v>
      </c>
      <c r="E285" s="98" t="s">
        <v>247</v>
      </c>
      <c r="F285" s="98">
        <v>13781.33</v>
      </c>
    </row>
    <row r="286" spans="1:6">
      <c r="A286" s="6">
        <v>44074</v>
      </c>
      <c r="B286" s="98"/>
      <c r="C286" s="98" t="s">
        <v>246</v>
      </c>
      <c r="D286" s="98" t="s">
        <v>375</v>
      </c>
      <c r="E286" s="98" t="s">
        <v>247</v>
      </c>
      <c r="F286" s="98">
        <v>15437.5</v>
      </c>
    </row>
    <row r="287" spans="1:6">
      <c r="A287" s="6">
        <v>44074</v>
      </c>
      <c r="B287" s="98"/>
      <c r="C287" s="98" t="s">
        <v>249</v>
      </c>
      <c r="D287" s="98" t="s">
        <v>375</v>
      </c>
      <c r="E287" s="98" t="s">
        <v>247</v>
      </c>
      <c r="F287" s="98">
        <v>12090.59</v>
      </c>
    </row>
    <row r="288" spans="1:6">
      <c r="A288" s="6">
        <v>44074</v>
      </c>
      <c r="B288" s="98"/>
      <c r="C288" s="98" t="s">
        <v>274</v>
      </c>
      <c r="D288" s="98" t="s">
        <v>375</v>
      </c>
      <c r="E288" s="98" t="s">
        <v>247</v>
      </c>
      <c r="F288" s="98">
        <v>7955.88</v>
      </c>
    </row>
    <row r="289" spans="1:6">
      <c r="A289" s="6">
        <v>44074</v>
      </c>
      <c r="B289" s="98" t="s">
        <v>376</v>
      </c>
      <c r="C289" s="98" t="s">
        <v>242</v>
      </c>
      <c r="D289" s="98" t="s">
        <v>377</v>
      </c>
      <c r="E289" s="98" t="s">
        <v>244</v>
      </c>
      <c r="F289" s="98">
        <v>1154.45</v>
      </c>
    </row>
    <row r="290" spans="1:6">
      <c r="A290" s="6">
        <v>44074</v>
      </c>
      <c r="B290" s="98"/>
      <c r="C290" s="98" t="s">
        <v>262</v>
      </c>
      <c r="D290" s="98" t="s">
        <v>377</v>
      </c>
      <c r="E290" s="98" t="s">
        <v>244</v>
      </c>
      <c r="F290" s="98">
        <v>10085.01</v>
      </c>
    </row>
    <row r="291" spans="1:6">
      <c r="A291" s="6">
        <v>44074</v>
      </c>
      <c r="B291" s="98"/>
      <c r="C291" s="98" t="s">
        <v>251</v>
      </c>
      <c r="D291" s="98" t="s">
        <v>377</v>
      </c>
      <c r="E291" s="98" t="s">
        <v>244</v>
      </c>
      <c r="F291" s="98">
        <v>4.29</v>
      </c>
    </row>
    <row r="292" spans="1:6">
      <c r="A292" s="6">
        <v>44074</v>
      </c>
      <c r="B292" s="98"/>
      <c r="C292" s="98" t="s">
        <v>245</v>
      </c>
      <c r="D292" s="98" t="s">
        <v>377</v>
      </c>
      <c r="E292" s="98" t="s">
        <v>244</v>
      </c>
      <c r="F292" s="98">
        <v>427.06</v>
      </c>
    </row>
    <row r="293" spans="1:6">
      <c r="A293" s="6">
        <v>44074</v>
      </c>
      <c r="B293" s="98"/>
      <c r="C293" s="98" t="s">
        <v>254</v>
      </c>
      <c r="D293" s="98" t="s">
        <v>377</v>
      </c>
      <c r="E293" s="98" t="s">
        <v>244</v>
      </c>
      <c r="F293" s="98">
        <v>346.77</v>
      </c>
    </row>
    <row r="294" spans="1:6">
      <c r="A294" s="6">
        <v>44074</v>
      </c>
      <c r="B294" s="98"/>
      <c r="C294" s="98" t="s">
        <v>255</v>
      </c>
      <c r="D294" s="98" t="s">
        <v>377</v>
      </c>
      <c r="E294" s="98" t="s">
        <v>247</v>
      </c>
      <c r="F294" s="98">
        <v>6270.82</v>
      </c>
    </row>
    <row r="295" spans="1:6">
      <c r="A295" s="6">
        <v>44074</v>
      </c>
      <c r="B295" s="98"/>
      <c r="C295" s="98" t="s">
        <v>272</v>
      </c>
      <c r="D295" s="98" t="s">
        <v>377</v>
      </c>
      <c r="E295" s="98" t="s">
        <v>247</v>
      </c>
      <c r="F295" s="98">
        <v>4663.79</v>
      </c>
    </row>
    <row r="296" spans="1:6">
      <c r="A296" s="6">
        <v>44074</v>
      </c>
      <c r="B296" s="98"/>
      <c r="C296" s="98" t="s">
        <v>246</v>
      </c>
      <c r="D296" s="98" t="s">
        <v>377</v>
      </c>
      <c r="E296" s="98" t="s">
        <v>247</v>
      </c>
      <c r="F296" s="98">
        <v>1159.53</v>
      </c>
    </row>
    <row r="297" spans="1:6">
      <c r="A297" s="6">
        <v>44074</v>
      </c>
      <c r="B297" s="98"/>
      <c r="C297" s="98" t="s">
        <v>248</v>
      </c>
      <c r="D297" s="98" t="s">
        <v>377</v>
      </c>
      <c r="E297" s="98" t="s">
        <v>247</v>
      </c>
      <c r="F297" s="98">
        <v>2822.57</v>
      </c>
    </row>
    <row r="298" spans="1:6">
      <c r="A298" s="6">
        <v>44074</v>
      </c>
      <c r="B298" s="98" t="s">
        <v>378</v>
      </c>
      <c r="C298" s="98" t="s">
        <v>245</v>
      </c>
      <c r="D298" s="98" t="s">
        <v>379</v>
      </c>
      <c r="E298" s="98" t="s">
        <v>244</v>
      </c>
      <c r="F298" s="98">
        <v>109.61</v>
      </c>
    </row>
    <row r="299" spans="1:6">
      <c r="A299" s="6">
        <v>44074</v>
      </c>
      <c r="B299" s="98"/>
      <c r="C299" s="98" t="s">
        <v>355</v>
      </c>
      <c r="D299" s="98" t="s">
        <v>379</v>
      </c>
      <c r="E299" s="98" t="s">
        <v>247</v>
      </c>
      <c r="F299" s="98">
        <v>918.55</v>
      </c>
    </row>
    <row r="300" spans="1:6">
      <c r="A300" s="6">
        <v>44074</v>
      </c>
      <c r="B300" s="98" t="s">
        <v>380</v>
      </c>
      <c r="C300" s="98" t="s">
        <v>254</v>
      </c>
      <c r="D300" s="98" t="s">
        <v>381</v>
      </c>
      <c r="E300" s="98" t="s">
        <v>244</v>
      </c>
      <c r="F300" s="98">
        <v>49.19</v>
      </c>
    </row>
    <row r="301" spans="1:6">
      <c r="A301" s="6">
        <v>44074</v>
      </c>
      <c r="B301" s="98" t="s">
        <v>382</v>
      </c>
      <c r="C301" s="98" t="s">
        <v>242</v>
      </c>
      <c r="D301" s="98" t="s">
        <v>383</v>
      </c>
      <c r="E301" s="98" t="s">
        <v>244</v>
      </c>
      <c r="F301" s="98">
        <v>130.44999999999999</v>
      </c>
    </row>
    <row r="302" spans="1:6">
      <c r="A302" s="6">
        <v>44074</v>
      </c>
      <c r="B302" s="98"/>
      <c r="C302" s="98" t="s">
        <v>262</v>
      </c>
      <c r="D302" s="98" t="s">
        <v>383</v>
      </c>
      <c r="E302" s="98" t="s">
        <v>244</v>
      </c>
      <c r="F302" s="98">
        <v>570.26</v>
      </c>
    </row>
    <row r="303" spans="1:6">
      <c r="A303" s="6">
        <v>44074</v>
      </c>
      <c r="B303" s="98"/>
      <c r="C303" s="98" t="s">
        <v>245</v>
      </c>
      <c r="D303" s="98" t="s">
        <v>383</v>
      </c>
      <c r="E303" s="98" t="s">
        <v>244</v>
      </c>
      <c r="F303" s="98">
        <v>386.28</v>
      </c>
    </row>
    <row r="304" spans="1:6">
      <c r="A304" s="6">
        <v>44074</v>
      </c>
      <c r="B304" s="98"/>
      <c r="C304" s="98" t="s">
        <v>254</v>
      </c>
      <c r="D304" s="98" t="s">
        <v>383</v>
      </c>
      <c r="E304" s="98" t="s">
        <v>244</v>
      </c>
      <c r="F304" s="98">
        <v>62.25</v>
      </c>
    </row>
    <row r="305" spans="1:6">
      <c r="A305" s="6">
        <v>44074</v>
      </c>
      <c r="B305" s="98"/>
      <c r="C305" s="98" t="s">
        <v>248</v>
      </c>
      <c r="D305" s="98" t="s">
        <v>383</v>
      </c>
      <c r="E305" s="98" t="s">
        <v>247</v>
      </c>
      <c r="F305" s="98">
        <v>17526.68</v>
      </c>
    </row>
    <row r="306" spans="1:6">
      <c r="A306" s="6">
        <v>44074</v>
      </c>
      <c r="B306" s="98" t="s">
        <v>384</v>
      </c>
      <c r="C306" s="98" t="s">
        <v>262</v>
      </c>
      <c r="D306" s="98" t="s">
        <v>385</v>
      </c>
      <c r="E306" s="98" t="s">
        <v>244</v>
      </c>
      <c r="F306" s="98">
        <v>41.8</v>
      </c>
    </row>
    <row r="307" spans="1:6">
      <c r="A307" s="6">
        <v>44074</v>
      </c>
      <c r="B307" s="98"/>
      <c r="C307" s="98" t="s">
        <v>253</v>
      </c>
      <c r="D307" s="98" t="s">
        <v>385</v>
      </c>
      <c r="E307" s="98" t="s">
        <v>244</v>
      </c>
      <c r="F307" s="98">
        <v>14.87</v>
      </c>
    </row>
    <row r="308" spans="1:6">
      <c r="A308" s="6">
        <v>44074</v>
      </c>
      <c r="B308" s="98"/>
      <c r="C308" s="98" t="s">
        <v>245</v>
      </c>
      <c r="D308" s="98" t="s">
        <v>385</v>
      </c>
      <c r="E308" s="98" t="s">
        <v>244</v>
      </c>
      <c r="F308" s="98">
        <v>2.58</v>
      </c>
    </row>
    <row r="309" spans="1:6">
      <c r="A309" s="6">
        <v>44074</v>
      </c>
      <c r="B309" s="98"/>
      <c r="C309" s="98" t="s">
        <v>264</v>
      </c>
      <c r="D309" s="98" t="s">
        <v>385</v>
      </c>
      <c r="E309" s="98" t="s">
        <v>244</v>
      </c>
      <c r="F309" s="98">
        <v>119.72</v>
      </c>
    </row>
    <row r="310" spans="1:6">
      <c r="A310" s="6">
        <v>44074</v>
      </c>
      <c r="B310" s="98"/>
      <c r="C310" s="98" t="s">
        <v>271</v>
      </c>
      <c r="D310" s="98" t="s">
        <v>385</v>
      </c>
      <c r="E310" s="98" t="s">
        <v>244</v>
      </c>
      <c r="F310" s="98">
        <v>1.91</v>
      </c>
    </row>
    <row r="311" spans="1:6">
      <c r="A311" s="6">
        <v>44074</v>
      </c>
      <c r="B311" s="98"/>
      <c r="C311" s="98" t="s">
        <v>254</v>
      </c>
      <c r="D311" s="98" t="s">
        <v>385</v>
      </c>
      <c r="E311" s="98" t="s">
        <v>244</v>
      </c>
      <c r="F311" s="98">
        <v>263.64999999999998</v>
      </c>
    </row>
    <row r="312" spans="1:6">
      <c r="A312" s="6">
        <v>44074</v>
      </c>
      <c r="B312" s="98"/>
      <c r="C312" s="98" t="s">
        <v>278</v>
      </c>
      <c r="D312" s="98" t="s">
        <v>385</v>
      </c>
      <c r="E312" s="98" t="s">
        <v>247</v>
      </c>
      <c r="F312" s="98">
        <v>2705.66</v>
      </c>
    </row>
    <row r="313" spans="1:6">
      <c r="A313" s="6">
        <v>44074</v>
      </c>
      <c r="B313" s="98" t="s">
        <v>386</v>
      </c>
      <c r="C313" s="98" t="s">
        <v>262</v>
      </c>
      <c r="D313" s="98" t="s">
        <v>387</v>
      </c>
      <c r="E313" s="98" t="s">
        <v>244</v>
      </c>
      <c r="F313" s="98">
        <v>219.6</v>
      </c>
    </row>
    <row r="314" spans="1:6">
      <c r="A314" s="6">
        <v>44074</v>
      </c>
      <c r="B314" s="98"/>
      <c r="C314" s="98" t="s">
        <v>253</v>
      </c>
      <c r="D314" s="98" t="s">
        <v>387</v>
      </c>
      <c r="E314" s="98" t="s">
        <v>244</v>
      </c>
      <c r="F314" s="98">
        <v>95.39</v>
      </c>
    </row>
    <row r="315" spans="1:6">
      <c r="A315" s="6">
        <v>44074</v>
      </c>
      <c r="B315" s="98"/>
      <c r="C315" s="98" t="s">
        <v>245</v>
      </c>
      <c r="D315" s="98" t="s">
        <v>387</v>
      </c>
      <c r="E315" s="98" t="s">
        <v>244</v>
      </c>
      <c r="F315" s="98">
        <v>136.08000000000001</v>
      </c>
    </row>
    <row r="316" spans="1:6">
      <c r="A316" s="6">
        <v>44074</v>
      </c>
      <c r="B316" s="98"/>
      <c r="C316" s="98" t="s">
        <v>264</v>
      </c>
      <c r="D316" s="98" t="s">
        <v>387</v>
      </c>
      <c r="E316" s="98" t="s">
        <v>244</v>
      </c>
      <c r="F316" s="98">
        <v>363.15</v>
      </c>
    </row>
    <row r="317" spans="1:6">
      <c r="A317" s="6">
        <v>44074</v>
      </c>
      <c r="B317" s="98"/>
      <c r="C317" s="98" t="s">
        <v>271</v>
      </c>
      <c r="D317" s="98" t="s">
        <v>387</v>
      </c>
      <c r="E317" s="98" t="s">
        <v>244</v>
      </c>
      <c r="F317" s="98">
        <v>30.15</v>
      </c>
    </row>
    <row r="318" spans="1:6">
      <c r="A318" s="6">
        <v>44074</v>
      </c>
      <c r="B318" s="98"/>
      <c r="C318" s="98" t="s">
        <v>254</v>
      </c>
      <c r="D318" s="98" t="s">
        <v>387</v>
      </c>
      <c r="E318" s="98" t="s">
        <v>244</v>
      </c>
      <c r="F318" s="98">
        <v>184.4</v>
      </c>
    </row>
    <row r="319" spans="1:6">
      <c r="A319" s="6">
        <v>44074</v>
      </c>
      <c r="B319" s="98"/>
      <c r="C319" s="98" t="s">
        <v>278</v>
      </c>
      <c r="D319" s="98" t="s">
        <v>387</v>
      </c>
      <c r="E319" s="98" t="s">
        <v>247</v>
      </c>
      <c r="F319" s="98">
        <v>2851.23</v>
      </c>
    </row>
    <row r="320" spans="1:6">
      <c r="A320" s="6">
        <v>44074</v>
      </c>
      <c r="B320" s="98" t="s">
        <v>388</v>
      </c>
      <c r="C320" s="98" t="s">
        <v>262</v>
      </c>
      <c r="D320" s="98" t="s">
        <v>389</v>
      </c>
      <c r="E320" s="98" t="s">
        <v>244</v>
      </c>
      <c r="F320" s="98">
        <v>219.29</v>
      </c>
    </row>
    <row r="321" spans="1:6">
      <c r="A321" s="6">
        <v>44074</v>
      </c>
      <c r="B321" s="98"/>
      <c r="C321" s="98" t="s">
        <v>245</v>
      </c>
      <c r="D321" s="98" t="s">
        <v>389</v>
      </c>
      <c r="E321" s="98" t="s">
        <v>244</v>
      </c>
      <c r="F321" s="98">
        <v>319.17</v>
      </c>
    </row>
    <row r="322" spans="1:6">
      <c r="A322" s="6">
        <v>44074</v>
      </c>
      <c r="B322" s="98"/>
      <c r="C322" s="98" t="s">
        <v>254</v>
      </c>
      <c r="D322" s="98" t="s">
        <v>389</v>
      </c>
      <c r="E322" s="98" t="s">
        <v>244</v>
      </c>
      <c r="F322" s="98">
        <v>17.82</v>
      </c>
    </row>
    <row r="323" spans="1:6">
      <c r="A323" s="6">
        <v>44074</v>
      </c>
      <c r="B323" s="98" t="s">
        <v>390</v>
      </c>
      <c r="C323" s="98" t="s">
        <v>264</v>
      </c>
      <c r="D323" s="98" t="s">
        <v>391</v>
      </c>
      <c r="E323" s="98" t="s">
        <v>244</v>
      </c>
      <c r="F323" s="98">
        <v>494.97</v>
      </c>
    </row>
    <row r="324" spans="1:6">
      <c r="A324" s="6">
        <v>44074</v>
      </c>
      <c r="B324" s="98"/>
      <c r="C324" s="98" t="s">
        <v>271</v>
      </c>
      <c r="D324" s="98" t="s">
        <v>391</v>
      </c>
      <c r="E324" s="98" t="s">
        <v>244</v>
      </c>
      <c r="F324" s="98">
        <v>36.46</v>
      </c>
    </row>
    <row r="325" spans="1:6">
      <c r="A325" s="6">
        <v>44074</v>
      </c>
      <c r="B325" s="98"/>
      <c r="C325" s="98" t="s">
        <v>254</v>
      </c>
      <c r="D325" s="98" t="s">
        <v>391</v>
      </c>
      <c r="E325" s="98" t="s">
        <v>244</v>
      </c>
      <c r="F325" s="98">
        <v>196.88</v>
      </c>
    </row>
    <row r="326" spans="1:6">
      <c r="A326" s="6">
        <v>44074</v>
      </c>
      <c r="B326" s="98"/>
      <c r="C326" s="98" t="s">
        <v>278</v>
      </c>
      <c r="D326" s="98" t="s">
        <v>391</v>
      </c>
      <c r="E326" s="98" t="s">
        <v>247</v>
      </c>
      <c r="F326" s="98">
        <v>3422.94</v>
      </c>
    </row>
    <row r="327" spans="1:6">
      <c r="A327" s="6">
        <v>44074</v>
      </c>
      <c r="B327" s="98" t="s">
        <v>392</v>
      </c>
      <c r="C327" s="98" t="s">
        <v>251</v>
      </c>
      <c r="D327" s="98" t="s">
        <v>393</v>
      </c>
      <c r="E327" s="98" t="s">
        <v>244</v>
      </c>
      <c r="F327" s="98">
        <v>11.52</v>
      </c>
    </row>
    <row r="328" spans="1:6">
      <c r="A328" s="6">
        <v>44074</v>
      </c>
      <c r="B328" s="98"/>
      <c r="C328" s="98" t="s">
        <v>291</v>
      </c>
      <c r="D328" s="98" t="s">
        <v>393</v>
      </c>
      <c r="E328" s="98" t="s">
        <v>247</v>
      </c>
      <c r="F328" s="98">
        <v>4488.37</v>
      </c>
    </row>
    <row r="329" spans="1:6">
      <c r="A329" s="6">
        <v>44074</v>
      </c>
      <c r="B329" s="98" t="s">
        <v>394</v>
      </c>
      <c r="C329" s="98" t="s">
        <v>251</v>
      </c>
      <c r="D329" s="98" t="s">
        <v>395</v>
      </c>
      <c r="E329" s="98" t="s">
        <v>244</v>
      </c>
      <c r="F329" s="98">
        <v>16.809999999999999</v>
      </c>
    </row>
    <row r="330" spans="1:6">
      <c r="A330" s="6">
        <v>44074</v>
      </c>
      <c r="B330" s="98"/>
      <c r="C330" s="98" t="s">
        <v>278</v>
      </c>
      <c r="D330" s="98" t="s">
        <v>395</v>
      </c>
      <c r="E330" s="98" t="s">
        <v>247</v>
      </c>
      <c r="F330" s="98">
        <v>715.42</v>
      </c>
    </row>
    <row r="331" spans="1:6">
      <c r="A331" s="6">
        <v>44074</v>
      </c>
      <c r="B331" s="98" t="s">
        <v>396</v>
      </c>
      <c r="C331" s="98" t="s">
        <v>251</v>
      </c>
      <c r="D331" s="98" t="s">
        <v>397</v>
      </c>
      <c r="E331" s="98" t="s">
        <v>244</v>
      </c>
      <c r="F331" s="98">
        <v>6.98</v>
      </c>
    </row>
    <row r="332" spans="1:6">
      <c r="A332" s="6">
        <v>44074</v>
      </c>
      <c r="B332" s="98"/>
      <c r="C332" s="98" t="s">
        <v>248</v>
      </c>
      <c r="D332" s="98" t="s">
        <v>397</v>
      </c>
      <c r="E332" s="98" t="s">
        <v>247</v>
      </c>
      <c r="F332" s="98">
        <v>8747.5499999999993</v>
      </c>
    </row>
    <row r="333" spans="1:6">
      <c r="A333" s="6">
        <v>44074</v>
      </c>
      <c r="B333" s="98" t="s">
        <v>398</v>
      </c>
      <c r="C333" s="98" t="s">
        <v>251</v>
      </c>
      <c r="D333" s="98" t="s">
        <v>399</v>
      </c>
      <c r="E333" s="98" t="s">
        <v>244</v>
      </c>
      <c r="F333" s="98">
        <v>2.57</v>
      </c>
    </row>
    <row r="334" spans="1:6">
      <c r="A334" s="6">
        <v>44074</v>
      </c>
      <c r="B334" s="98"/>
      <c r="C334" s="98" t="s">
        <v>245</v>
      </c>
      <c r="D334" s="98" t="s">
        <v>399</v>
      </c>
      <c r="E334" s="98" t="s">
        <v>244</v>
      </c>
      <c r="F334" s="98">
        <v>17.48</v>
      </c>
    </row>
    <row r="335" spans="1:6">
      <c r="A335" s="6">
        <v>44074</v>
      </c>
      <c r="B335" s="98" t="s">
        <v>400</v>
      </c>
      <c r="C335" s="98" t="s">
        <v>251</v>
      </c>
      <c r="D335" s="98" t="s">
        <v>401</v>
      </c>
      <c r="E335" s="98" t="s">
        <v>244</v>
      </c>
      <c r="F335" s="98">
        <v>0.83</v>
      </c>
    </row>
    <row r="336" spans="1:6">
      <c r="A336" s="6">
        <v>44074</v>
      </c>
      <c r="B336" s="98"/>
      <c r="C336" s="98" t="s">
        <v>368</v>
      </c>
      <c r="D336" s="98" t="s">
        <v>401</v>
      </c>
      <c r="E336" s="98" t="s">
        <v>247</v>
      </c>
      <c r="F336" s="98">
        <v>3259.07</v>
      </c>
    </row>
    <row r="337" spans="1:6">
      <c r="A337" s="6">
        <v>44074</v>
      </c>
      <c r="B337" s="98"/>
      <c r="C337" s="98" t="s">
        <v>402</v>
      </c>
      <c r="D337" s="98" t="s">
        <v>401</v>
      </c>
      <c r="E337" s="98" t="s">
        <v>247</v>
      </c>
      <c r="F337" s="98">
        <v>4888.6000000000004</v>
      </c>
    </row>
    <row r="338" spans="1:6">
      <c r="A338" s="6">
        <v>44074</v>
      </c>
      <c r="B338" s="98" t="s">
        <v>403</v>
      </c>
      <c r="C338" s="98" t="s">
        <v>254</v>
      </c>
      <c r="D338" s="98" t="s">
        <v>404</v>
      </c>
      <c r="E338" s="98" t="s">
        <v>244</v>
      </c>
      <c r="F338" s="98">
        <v>0.28000000000000003</v>
      </c>
    </row>
    <row r="339" spans="1:6">
      <c r="A339" s="6">
        <v>44074</v>
      </c>
      <c r="B339" s="98"/>
      <c r="C339" s="98" t="s">
        <v>405</v>
      </c>
      <c r="D339" s="98" t="s">
        <v>404</v>
      </c>
      <c r="E339" s="98" t="s">
        <v>247</v>
      </c>
      <c r="F339" s="98">
        <v>1458.19</v>
      </c>
    </row>
    <row r="340" spans="1:6">
      <c r="A340" s="6">
        <v>44074</v>
      </c>
      <c r="B340" s="98"/>
      <c r="C340" s="98" t="s">
        <v>406</v>
      </c>
      <c r="D340" s="98" t="s">
        <v>404</v>
      </c>
      <c r="E340" s="98" t="s">
        <v>247</v>
      </c>
      <c r="F340" s="98">
        <v>324.04000000000002</v>
      </c>
    </row>
    <row r="341" spans="1:6">
      <c r="A341" s="6">
        <v>44074</v>
      </c>
      <c r="B341" s="98"/>
      <c r="C341" s="98" t="s">
        <v>407</v>
      </c>
      <c r="D341" s="98" t="s">
        <v>404</v>
      </c>
      <c r="E341" s="98" t="s">
        <v>247</v>
      </c>
      <c r="F341" s="98">
        <v>3240.41</v>
      </c>
    </row>
    <row r="342" spans="1:6">
      <c r="A342" s="6">
        <v>44074</v>
      </c>
      <c r="B342" s="98" t="s">
        <v>408</v>
      </c>
      <c r="C342" s="98" t="s">
        <v>262</v>
      </c>
      <c r="D342" s="98" t="s">
        <v>409</v>
      </c>
      <c r="E342" s="98" t="s">
        <v>244</v>
      </c>
      <c r="F342" s="98">
        <v>55.56</v>
      </c>
    </row>
    <row r="343" spans="1:6">
      <c r="A343" s="6">
        <v>44074</v>
      </c>
      <c r="B343" s="98"/>
      <c r="C343" s="98" t="s">
        <v>251</v>
      </c>
      <c r="D343" s="98" t="s">
        <v>409</v>
      </c>
      <c r="E343" s="98" t="s">
        <v>244</v>
      </c>
      <c r="F343" s="98">
        <v>6.71</v>
      </c>
    </row>
    <row r="344" spans="1:6">
      <c r="A344" s="6">
        <v>44074</v>
      </c>
      <c r="B344" s="98"/>
      <c r="C344" s="98" t="s">
        <v>290</v>
      </c>
      <c r="D344" s="98" t="s">
        <v>409</v>
      </c>
      <c r="E344" s="98" t="s">
        <v>247</v>
      </c>
      <c r="F344" s="98">
        <v>677.31</v>
      </c>
    </row>
    <row r="345" spans="1:6">
      <c r="A345" s="6">
        <v>44074</v>
      </c>
      <c r="B345" s="98"/>
      <c r="C345" s="98" t="s">
        <v>265</v>
      </c>
      <c r="D345" s="98" t="s">
        <v>409</v>
      </c>
      <c r="E345" s="98" t="s">
        <v>247</v>
      </c>
      <c r="F345" s="98">
        <v>65.58</v>
      </c>
    </row>
    <row r="346" spans="1:6">
      <c r="A346" s="6">
        <v>44074</v>
      </c>
      <c r="B346" s="98" t="s">
        <v>410</v>
      </c>
      <c r="C346" s="98" t="s">
        <v>254</v>
      </c>
      <c r="D346" s="98" t="s">
        <v>411</v>
      </c>
      <c r="E346" s="98" t="s">
        <v>244</v>
      </c>
      <c r="F346" s="98">
        <v>41.46</v>
      </c>
    </row>
    <row r="347" spans="1:6">
      <c r="A347" s="6">
        <v>44074</v>
      </c>
      <c r="B347" s="98"/>
      <c r="C347" s="98" t="s">
        <v>248</v>
      </c>
      <c r="D347" s="98" t="s">
        <v>411</v>
      </c>
      <c r="E347" s="98" t="s">
        <v>247</v>
      </c>
      <c r="F347" s="98">
        <v>2792.98</v>
      </c>
    </row>
    <row r="348" spans="1:6">
      <c r="A348" s="6">
        <v>44074</v>
      </c>
      <c r="B348" s="98" t="s">
        <v>412</v>
      </c>
      <c r="C348" s="98" t="s">
        <v>251</v>
      </c>
      <c r="D348" s="98" t="s">
        <v>413</v>
      </c>
      <c r="E348" s="98" t="s">
        <v>244</v>
      </c>
      <c r="F348" s="98">
        <v>3.39</v>
      </c>
    </row>
    <row r="349" spans="1:6">
      <c r="A349" s="6">
        <v>44074</v>
      </c>
      <c r="B349" s="98"/>
      <c r="C349" s="98" t="s">
        <v>254</v>
      </c>
      <c r="D349" s="98" t="s">
        <v>413</v>
      </c>
      <c r="E349" s="98" t="s">
        <v>244</v>
      </c>
      <c r="F349" s="98">
        <v>16.940000000000001</v>
      </c>
    </row>
    <row r="350" spans="1:6">
      <c r="A350" s="6">
        <v>44074</v>
      </c>
      <c r="B350" s="98"/>
      <c r="C350" s="98" t="s">
        <v>255</v>
      </c>
      <c r="D350" s="98" t="s">
        <v>413</v>
      </c>
      <c r="E350" s="98" t="s">
        <v>247</v>
      </c>
      <c r="F350" s="98">
        <v>1377.1</v>
      </c>
    </row>
    <row r="351" spans="1:6">
      <c r="A351" s="6">
        <v>44074</v>
      </c>
      <c r="B351" s="98"/>
      <c r="C351" s="98" t="s">
        <v>278</v>
      </c>
      <c r="D351" s="98" t="s">
        <v>413</v>
      </c>
      <c r="E351" s="98" t="s">
        <v>247</v>
      </c>
      <c r="F351" s="98">
        <v>963.42</v>
      </c>
    </row>
    <row r="352" spans="1:6">
      <c r="A352" s="6">
        <v>44074</v>
      </c>
      <c r="B352" s="98"/>
      <c r="C352" s="98" t="s">
        <v>248</v>
      </c>
      <c r="D352" s="98" t="s">
        <v>413</v>
      </c>
      <c r="E352" s="98" t="s">
        <v>247</v>
      </c>
      <c r="F352" s="98">
        <v>2780.43</v>
      </c>
    </row>
    <row r="353" spans="1:6">
      <c r="A353" s="6">
        <v>44074</v>
      </c>
      <c r="B353" s="98" t="s">
        <v>414</v>
      </c>
      <c r="C353" s="98" t="s">
        <v>245</v>
      </c>
      <c r="D353" s="98" t="s">
        <v>415</v>
      </c>
      <c r="E353" s="98" t="s">
        <v>244</v>
      </c>
      <c r="F353" s="98">
        <v>9.5299999999999994</v>
      </c>
    </row>
    <row r="354" spans="1:6">
      <c r="A354" s="6">
        <v>44074</v>
      </c>
      <c r="B354" s="98"/>
      <c r="C354" s="98" t="s">
        <v>254</v>
      </c>
      <c r="D354" s="98" t="s">
        <v>415</v>
      </c>
      <c r="E354" s="98" t="s">
        <v>244</v>
      </c>
      <c r="F354" s="98">
        <v>2.77</v>
      </c>
    </row>
    <row r="355" spans="1:6">
      <c r="A355" s="6">
        <v>44074</v>
      </c>
      <c r="B355" s="98" t="s">
        <v>416</v>
      </c>
      <c r="C355" s="98" t="s">
        <v>253</v>
      </c>
      <c r="D355" s="98" t="s">
        <v>417</v>
      </c>
      <c r="E355" s="98" t="s">
        <v>244</v>
      </c>
      <c r="F355" s="98">
        <v>6.16</v>
      </c>
    </row>
    <row r="356" spans="1:6">
      <c r="A356" s="6">
        <v>44074</v>
      </c>
      <c r="B356" s="98"/>
      <c r="C356" s="98" t="s">
        <v>245</v>
      </c>
      <c r="D356" s="98" t="s">
        <v>417</v>
      </c>
      <c r="E356" s="98" t="s">
        <v>244</v>
      </c>
      <c r="F356" s="98">
        <v>5.58</v>
      </c>
    </row>
    <row r="357" spans="1:6">
      <c r="A357" s="6">
        <v>44074</v>
      </c>
      <c r="B357" s="98"/>
      <c r="C357" s="98" t="s">
        <v>418</v>
      </c>
      <c r="D357" s="98" t="s">
        <v>417</v>
      </c>
      <c r="E357" s="98" t="s">
        <v>247</v>
      </c>
      <c r="F357" s="98">
        <v>812.45</v>
      </c>
    </row>
    <row r="358" spans="1:6">
      <c r="A358" s="6">
        <v>44074</v>
      </c>
      <c r="B358" s="98"/>
      <c r="C358" s="98" t="s">
        <v>419</v>
      </c>
      <c r="D358" s="98" t="s">
        <v>417</v>
      </c>
      <c r="E358" s="98" t="s">
        <v>247</v>
      </c>
      <c r="F358" s="98">
        <v>1949.89</v>
      </c>
    </row>
    <row r="359" spans="1:6">
      <c r="A359" s="6">
        <v>44074</v>
      </c>
      <c r="B359" s="98"/>
      <c r="C359" s="98" t="s">
        <v>420</v>
      </c>
      <c r="D359" s="98" t="s">
        <v>417</v>
      </c>
      <c r="E359" s="98" t="s">
        <v>247</v>
      </c>
      <c r="F359" s="98">
        <v>1624.91</v>
      </c>
    </row>
    <row r="360" spans="1:6">
      <c r="A360" s="6">
        <v>44074</v>
      </c>
      <c r="B360" s="98" t="s">
        <v>421</v>
      </c>
      <c r="C360" s="98" t="s">
        <v>251</v>
      </c>
      <c r="D360" s="98" t="s">
        <v>422</v>
      </c>
      <c r="E360" s="98" t="s">
        <v>244</v>
      </c>
      <c r="F360" s="98">
        <v>19.09</v>
      </c>
    </row>
    <row r="361" spans="1:6">
      <c r="A361" s="6">
        <v>44074</v>
      </c>
      <c r="B361" s="98"/>
      <c r="C361" s="98" t="s">
        <v>254</v>
      </c>
      <c r="D361" s="98" t="s">
        <v>422</v>
      </c>
      <c r="E361" s="98" t="s">
        <v>244</v>
      </c>
      <c r="F361" s="98">
        <v>41.55</v>
      </c>
    </row>
    <row r="362" spans="1:6">
      <c r="A362" s="6">
        <v>44074</v>
      </c>
      <c r="B362" s="98"/>
      <c r="C362" s="98" t="s">
        <v>368</v>
      </c>
      <c r="D362" s="98" t="s">
        <v>422</v>
      </c>
      <c r="E362" s="98" t="s">
        <v>247</v>
      </c>
      <c r="F362" s="98">
        <v>3110.08</v>
      </c>
    </row>
    <row r="363" spans="1:6">
      <c r="A363" s="6">
        <v>44074</v>
      </c>
      <c r="B363" s="98"/>
      <c r="C363" s="98" t="s">
        <v>423</v>
      </c>
      <c r="D363" s="98" t="s">
        <v>422</v>
      </c>
      <c r="E363" s="98" t="s">
        <v>247</v>
      </c>
      <c r="F363" s="98">
        <v>254.46</v>
      </c>
    </row>
    <row r="364" spans="1:6">
      <c r="A364" s="6">
        <v>44074</v>
      </c>
      <c r="B364" s="98"/>
      <c r="C364" s="98" t="s">
        <v>424</v>
      </c>
      <c r="D364" s="98" t="s">
        <v>422</v>
      </c>
      <c r="E364" s="98" t="s">
        <v>247</v>
      </c>
      <c r="F364" s="98">
        <v>254.46</v>
      </c>
    </row>
    <row r="365" spans="1:6">
      <c r="A365" s="6">
        <v>44074</v>
      </c>
      <c r="B365" s="98" t="s">
        <v>425</v>
      </c>
      <c r="C365" s="98" t="s">
        <v>242</v>
      </c>
      <c r="D365" s="98" t="s">
        <v>426</v>
      </c>
      <c r="E365" s="98" t="s">
        <v>244</v>
      </c>
      <c r="F365" s="98">
        <v>239.33</v>
      </c>
    </row>
    <row r="366" spans="1:6">
      <c r="A366" s="6">
        <v>44074</v>
      </c>
      <c r="B366" s="98"/>
      <c r="C366" s="98" t="s">
        <v>262</v>
      </c>
      <c r="D366" s="98" t="s">
        <v>426</v>
      </c>
      <c r="E366" s="98" t="s">
        <v>244</v>
      </c>
      <c r="F366" s="98">
        <v>216.07</v>
      </c>
    </row>
    <row r="367" spans="1:6">
      <c r="A367" s="6">
        <v>44074</v>
      </c>
      <c r="B367" s="98"/>
      <c r="C367" s="98" t="s">
        <v>251</v>
      </c>
      <c r="D367" s="98" t="s">
        <v>426</v>
      </c>
      <c r="E367" s="98" t="s">
        <v>244</v>
      </c>
      <c r="F367" s="98">
        <v>54</v>
      </c>
    </row>
    <row r="368" spans="1:6">
      <c r="A368" s="6">
        <v>44074</v>
      </c>
      <c r="B368" s="98"/>
      <c r="C368" s="98" t="s">
        <v>253</v>
      </c>
      <c r="D368" s="98" t="s">
        <v>426</v>
      </c>
      <c r="E368" s="98" t="s">
        <v>244</v>
      </c>
      <c r="F368" s="98">
        <v>11.61</v>
      </c>
    </row>
    <row r="369" spans="1:6">
      <c r="A369" s="6">
        <v>44074</v>
      </c>
      <c r="B369" s="98"/>
      <c r="C369" s="98" t="s">
        <v>245</v>
      </c>
      <c r="D369" s="98" t="s">
        <v>426</v>
      </c>
      <c r="E369" s="98" t="s">
        <v>244</v>
      </c>
      <c r="F369" s="98">
        <v>79.599999999999994</v>
      </c>
    </row>
    <row r="370" spans="1:6">
      <c r="A370" s="6">
        <v>44074</v>
      </c>
      <c r="B370" s="98"/>
      <c r="C370" s="98" t="s">
        <v>264</v>
      </c>
      <c r="D370" s="98" t="s">
        <v>426</v>
      </c>
      <c r="E370" s="98" t="s">
        <v>244</v>
      </c>
      <c r="F370" s="98">
        <v>174.36</v>
      </c>
    </row>
    <row r="371" spans="1:6">
      <c r="A371" s="6">
        <v>44074</v>
      </c>
      <c r="B371" s="98"/>
      <c r="C371" s="98" t="s">
        <v>254</v>
      </c>
      <c r="D371" s="98" t="s">
        <v>426</v>
      </c>
      <c r="E371" s="98" t="s">
        <v>244</v>
      </c>
      <c r="F371" s="98">
        <v>2.23</v>
      </c>
    </row>
    <row r="372" spans="1:6">
      <c r="A372" s="6">
        <v>44074</v>
      </c>
      <c r="B372" s="98"/>
      <c r="C372" s="98" t="s">
        <v>289</v>
      </c>
      <c r="D372" s="98" t="s">
        <v>426</v>
      </c>
      <c r="E372" s="98" t="s">
        <v>247</v>
      </c>
      <c r="F372" s="98">
        <v>1793.5</v>
      </c>
    </row>
    <row r="373" spans="1:6">
      <c r="A373" s="6">
        <v>44074</v>
      </c>
      <c r="B373" s="98" t="s">
        <v>427</v>
      </c>
      <c r="C373" s="98" t="s">
        <v>242</v>
      </c>
      <c r="D373" s="98" t="s">
        <v>428</v>
      </c>
      <c r="E373" s="98" t="s">
        <v>244</v>
      </c>
      <c r="F373" s="98">
        <v>297.43</v>
      </c>
    </row>
    <row r="374" spans="1:6">
      <c r="A374" s="6">
        <v>44074</v>
      </c>
      <c r="B374" s="98"/>
      <c r="C374" s="98" t="s">
        <v>262</v>
      </c>
      <c r="D374" s="98" t="s">
        <v>428</v>
      </c>
      <c r="E374" s="98" t="s">
        <v>244</v>
      </c>
      <c r="F374" s="98">
        <v>1342.68</v>
      </c>
    </row>
    <row r="375" spans="1:6">
      <c r="A375" s="6">
        <v>44074</v>
      </c>
      <c r="B375" s="98"/>
      <c r="C375" s="98" t="s">
        <v>251</v>
      </c>
      <c r="D375" s="98" t="s">
        <v>428</v>
      </c>
      <c r="E375" s="98" t="s">
        <v>244</v>
      </c>
      <c r="F375" s="98">
        <v>26.38</v>
      </c>
    </row>
    <row r="376" spans="1:6">
      <c r="A376" s="6">
        <v>44074</v>
      </c>
      <c r="B376" s="98"/>
      <c r="C376" s="98" t="s">
        <v>245</v>
      </c>
      <c r="D376" s="98" t="s">
        <v>428</v>
      </c>
      <c r="E376" s="98" t="s">
        <v>244</v>
      </c>
      <c r="F376" s="98">
        <v>494.62</v>
      </c>
    </row>
    <row r="377" spans="1:6">
      <c r="A377" s="6">
        <v>44074</v>
      </c>
      <c r="B377" s="98" t="s">
        <v>429</v>
      </c>
      <c r="C377" s="98" t="s">
        <v>251</v>
      </c>
      <c r="D377" s="98" t="s">
        <v>430</v>
      </c>
      <c r="E377" s="98" t="s">
        <v>244</v>
      </c>
      <c r="F377" s="98">
        <v>71.59</v>
      </c>
    </row>
    <row r="378" spans="1:6">
      <c r="A378" s="6">
        <v>44074</v>
      </c>
      <c r="B378" s="98"/>
      <c r="C378" s="98" t="s">
        <v>253</v>
      </c>
      <c r="D378" s="98" t="s">
        <v>430</v>
      </c>
      <c r="E378" s="98" t="s">
        <v>244</v>
      </c>
      <c r="F378" s="98">
        <v>21.46</v>
      </c>
    </row>
    <row r="379" spans="1:6">
      <c r="A379" s="6">
        <v>44074</v>
      </c>
      <c r="B379" s="98"/>
      <c r="C379" s="98" t="s">
        <v>245</v>
      </c>
      <c r="D379" s="98" t="s">
        <v>430</v>
      </c>
      <c r="E379" s="98" t="s">
        <v>244</v>
      </c>
      <c r="F379" s="98">
        <v>48.67</v>
      </c>
    </row>
    <row r="380" spans="1:6">
      <c r="A380" s="6">
        <v>44074</v>
      </c>
      <c r="B380" s="98"/>
      <c r="C380" s="98" t="s">
        <v>246</v>
      </c>
      <c r="D380" s="98" t="s">
        <v>430</v>
      </c>
      <c r="E380" s="98" t="s">
        <v>247</v>
      </c>
      <c r="F380" s="98">
        <v>1718.71</v>
      </c>
    </row>
    <row r="381" spans="1:6">
      <c r="A381" s="6">
        <v>44074</v>
      </c>
      <c r="B381" s="98"/>
      <c r="C381" s="98" t="s">
        <v>265</v>
      </c>
      <c r="D381" s="98" t="s">
        <v>430</v>
      </c>
      <c r="E381" s="98" t="s">
        <v>247</v>
      </c>
      <c r="F381" s="98">
        <v>1190.93</v>
      </c>
    </row>
    <row r="382" spans="1:6">
      <c r="A382" s="6">
        <v>44074</v>
      </c>
      <c r="B382" s="98"/>
      <c r="C382" s="98" t="s">
        <v>249</v>
      </c>
      <c r="D382" s="98" t="s">
        <v>430</v>
      </c>
      <c r="E382" s="98" t="s">
        <v>247</v>
      </c>
      <c r="F382" s="98">
        <v>13847.3</v>
      </c>
    </row>
    <row r="383" spans="1:6">
      <c r="A383" s="6">
        <v>44074</v>
      </c>
      <c r="B383" s="98"/>
      <c r="C383" s="98" t="s">
        <v>274</v>
      </c>
      <c r="D383" s="98" t="s">
        <v>430</v>
      </c>
      <c r="E383" s="98" t="s">
        <v>247</v>
      </c>
      <c r="F383" s="98">
        <v>7113.59</v>
      </c>
    </row>
    <row r="384" spans="1:6">
      <c r="A384" s="6">
        <v>44074</v>
      </c>
      <c r="B384" s="98" t="s">
        <v>431</v>
      </c>
      <c r="C384" s="98" t="s">
        <v>242</v>
      </c>
      <c r="D384" s="98" t="s">
        <v>432</v>
      </c>
      <c r="E384" s="98" t="s">
        <v>244</v>
      </c>
      <c r="F384" s="98">
        <v>8.5299999999999994</v>
      </c>
    </row>
    <row r="385" spans="1:6">
      <c r="A385" s="6">
        <v>44074</v>
      </c>
      <c r="B385" s="98"/>
      <c r="C385" s="98" t="s">
        <v>251</v>
      </c>
      <c r="D385" s="98" t="s">
        <v>432</v>
      </c>
      <c r="E385" s="98" t="s">
        <v>244</v>
      </c>
      <c r="F385" s="98">
        <v>39.380000000000003</v>
      </c>
    </row>
    <row r="386" spans="1:6">
      <c r="A386" s="6">
        <v>44074</v>
      </c>
      <c r="B386" s="98"/>
      <c r="C386" s="98" t="s">
        <v>249</v>
      </c>
      <c r="D386" s="98" t="s">
        <v>432</v>
      </c>
      <c r="E386" s="98" t="s">
        <v>247</v>
      </c>
      <c r="F386" s="98">
        <v>4367.28</v>
      </c>
    </row>
    <row r="387" spans="1:6">
      <c r="A387" s="6">
        <v>44074</v>
      </c>
      <c r="B387" s="98" t="s">
        <v>433</v>
      </c>
      <c r="C387" s="98" t="s">
        <v>254</v>
      </c>
      <c r="D387" s="98" t="s">
        <v>434</v>
      </c>
      <c r="E387" s="98" t="s">
        <v>244</v>
      </c>
      <c r="F387" s="98">
        <v>37.14</v>
      </c>
    </row>
    <row r="388" spans="1:6">
      <c r="A388" s="6">
        <v>44074</v>
      </c>
      <c r="B388" s="98" t="s">
        <v>435</v>
      </c>
      <c r="C388" s="98" t="s">
        <v>242</v>
      </c>
      <c r="D388" s="98" t="s">
        <v>436</v>
      </c>
      <c r="E388" s="98" t="s">
        <v>244</v>
      </c>
      <c r="F388" s="98">
        <v>750.64</v>
      </c>
    </row>
    <row r="389" spans="1:6">
      <c r="A389" s="6">
        <v>44074</v>
      </c>
      <c r="B389" s="98"/>
      <c r="C389" s="98" t="s">
        <v>262</v>
      </c>
      <c r="D389" s="98" t="s">
        <v>436</v>
      </c>
      <c r="E389" s="98" t="s">
        <v>244</v>
      </c>
      <c r="F389" s="98">
        <v>4606.42</v>
      </c>
    </row>
    <row r="390" spans="1:6">
      <c r="A390" s="6">
        <v>44074</v>
      </c>
      <c r="B390" s="98"/>
      <c r="C390" s="98" t="s">
        <v>253</v>
      </c>
      <c r="D390" s="98" t="s">
        <v>436</v>
      </c>
      <c r="E390" s="98" t="s">
        <v>244</v>
      </c>
      <c r="F390" s="98">
        <v>250.58</v>
      </c>
    </row>
    <row r="391" spans="1:6">
      <c r="A391" s="6">
        <v>44074</v>
      </c>
      <c r="B391" s="98" t="s">
        <v>437</v>
      </c>
      <c r="C391" s="98" t="s">
        <v>242</v>
      </c>
      <c r="D391" s="98" t="s">
        <v>438</v>
      </c>
      <c r="E391" s="98" t="s">
        <v>244</v>
      </c>
      <c r="F391" s="98">
        <v>365.96</v>
      </c>
    </row>
    <row r="392" spans="1:6">
      <c r="A392" s="6">
        <v>44074</v>
      </c>
      <c r="B392" s="98"/>
      <c r="C392" s="98" t="s">
        <v>262</v>
      </c>
      <c r="D392" s="98" t="s">
        <v>438</v>
      </c>
      <c r="E392" s="98" t="s">
        <v>244</v>
      </c>
      <c r="F392" s="98">
        <v>1089.93</v>
      </c>
    </row>
    <row r="393" spans="1:6">
      <c r="A393" s="6">
        <v>44074</v>
      </c>
      <c r="B393" s="98"/>
      <c r="C393" s="98" t="s">
        <v>253</v>
      </c>
      <c r="D393" s="98" t="s">
        <v>438</v>
      </c>
      <c r="E393" s="98" t="s">
        <v>244</v>
      </c>
      <c r="F393" s="98">
        <v>74.760000000000005</v>
      </c>
    </row>
    <row r="394" spans="1:6">
      <c r="A394" s="6">
        <v>44074</v>
      </c>
      <c r="B394" s="98"/>
      <c r="C394" s="98" t="s">
        <v>254</v>
      </c>
      <c r="D394" s="98" t="s">
        <v>438</v>
      </c>
      <c r="E394" s="98" t="s">
        <v>244</v>
      </c>
      <c r="F394" s="98">
        <v>26.99</v>
      </c>
    </row>
    <row r="395" spans="1:6">
      <c r="A395" s="6">
        <v>44074</v>
      </c>
      <c r="B395" s="98" t="s">
        <v>439</v>
      </c>
      <c r="C395" s="98" t="s">
        <v>242</v>
      </c>
      <c r="D395" s="98" t="s">
        <v>440</v>
      </c>
      <c r="E395" s="98" t="s">
        <v>244</v>
      </c>
      <c r="F395" s="98">
        <v>979.43</v>
      </c>
    </row>
    <row r="396" spans="1:6">
      <c r="A396" s="6">
        <v>44074</v>
      </c>
      <c r="B396" s="98"/>
      <c r="C396" s="98" t="s">
        <v>245</v>
      </c>
      <c r="D396" s="98" t="s">
        <v>440</v>
      </c>
      <c r="E396" s="98" t="s">
        <v>244</v>
      </c>
      <c r="F396" s="98">
        <v>498.87</v>
      </c>
    </row>
    <row r="397" spans="1:6">
      <c r="A397" s="6">
        <v>44074</v>
      </c>
      <c r="B397" s="98"/>
      <c r="C397" s="98" t="s">
        <v>246</v>
      </c>
      <c r="D397" s="98" t="s">
        <v>440</v>
      </c>
      <c r="E397" s="98" t="s">
        <v>247</v>
      </c>
      <c r="F397" s="98">
        <v>3088.32</v>
      </c>
    </row>
    <row r="398" spans="1:6">
      <c r="A398" s="6">
        <v>44074</v>
      </c>
      <c r="B398" s="98" t="s">
        <v>441</v>
      </c>
      <c r="C398" s="98" t="s">
        <v>248</v>
      </c>
      <c r="D398" s="98" t="s">
        <v>442</v>
      </c>
      <c r="E398" s="98" t="s">
        <v>247</v>
      </c>
      <c r="F398" s="98">
        <v>427.55</v>
      </c>
    </row>
    <row r="399" spans="1:6">
      <c r="A399" s="6">
        <v>44074</v>
      </c>
      <c r="B399" s="98" t="s">
        <v>443</v>
      </c>
      <c r="C399" s="98" t="s">
        <v>248</v>
      </c>
      <c r="D399" s="98" t="s">
        <v>444</v>
      </c>
      <c r="E399" s="98" t="s">
        <v>247</v>
      </c>
      <c r="F399" s="98">
        <v>3026.49</v>
      </c>
    </row>
    <row r="400" spans="1:6">
      <c r="A400" s="6">
        <v>44074</v>
      </c>
      <c r="B400" s="98"/>
      <c r="C400" s="98" t="s">
        <v>290</v>
      </c>
      <c r="D400" s="98" t="s">
        <v>444</v>
      </c>
      <c r="E400" s="98" t="s">
        <v>247</v>
      </c>
      <c r="F400" s="98">
        <v>1196.57</v>
      </c>
    </row>
    <row r="401" spans="1:6">
      <c r="A401" s="6">
        <v>44074</v>
      </c>
      <c r="B401" s="98" t="s">
        <v>445</v>
      </c>
      <c r="C401" s="98" t="s">
        <v>290</v>
      </c>
      <c r="D401" s="98" t="s">
        <v>446</v>
      </c>
      <c r="E401" s="98" t="s">
        <v>247</v>
      </c>
      <c r="F401" s="98">
        <v>233.48</v>
      </c>
    </row>
    <row r="402" spans="1:6">
      <c r="A402" s="6">
        <v>44074</v>
      </c>
      <c r="B402" s="98" t="s">
        <v>447</v>
      </c>
      <c r="C402" s="98" t="s">
        <v>448</v>
      </c>
      <c r="D402" s="98" t="s">
        <v>449</v>
      </c>
      <c r="E402" s="98" t="s">
        <v>247</v>
      </c>
      <c r="F402" s="98">
        <v>490.6</v>
      </c>
    </row>
    <row r="403" spans="1:6">
      <c r="A403" s="6">
        <v>44074</v>
      </c>
      <c r="B403" s="98"/>
      <c r="C403" s="98" t="s">
        <v>450</v>
      </c>
      <c r="D403" s="98" t="s">
        <v>449</v>
      </c>
      <c r="E403" s="98" t="s">
        <v>247</v>
      </c>
      <c r="F403" s="98">
        <v>490.6</v>
      </c>
    </row>
    <row r="404" spans="1:6">
      <c r="A404" s="6">
        <v>44074</v>
      </c>
      <c r="B404" s="98" t="s">
        <v>451</v>
      </c>
      <c r="C404" s="98" t="s">
        <v>242</v>
      </c>
      <c r="D404" s="98" t="s">
        <v>452</v>
      </c>
      <c r="E404" s="98" t="s">
        <v>244</v>
      </c>
      <c r="F404" s="98">
        <v>216.87</v>
      </c>
    </row>
    <row r="405" spans="1:6">
      <c r="A405" s="6">
        <v>44074</v>
      </c>
      <c r="B405" s="98"/>
      <c r="C405" s="98" t="s">
        <v>253</v>
      </c>
      <c r="D405" s="98" t="s">
        <v>452</v>
      </c>
      <c r="E405" s="98" t="s">
        <v>244</v>
      </c>
      <c r="F405" s="98">
        <v>30.77</v>
      </c>
    </row>
    <row r="406" spans="1:6">
      <c r="A406" s="6">
        <v>44074</v>
      </c>
      <c r="B406" s="98"/>
      <c r="C406" s="98" t="s">
        <v>254</v>
      </c>
      <c r="D406" s="98" t="s">
        <v>452</v>
      </c>
      <c r="E406" s="98" t="s">
        <v>244</v>
      </c>
      <c r="F406" s="98">
        <v>95.19</v>
      </c>
    </row>
    <row r="407" spans="1:6">
      <c r="A407" s="6">
        <v>44074</v>
      </c>
      <c r="B407" s="98" t="s">
        <v>453</v>
      </c>
      <c r="C407" s="98" t="s">
        <v>262</v>
      </c>
      <c r="D407" s="98" t="s">
        <v>454</v>
      </c>
      <c r="E407" s="98" t="s">
        <v>244</v>
      </c>
      <c r="F407" s="98">
        <v>602.24</v>
      </c>
    </row>
    <row r="408" spans="1:6">
      <c r="A408" s="6">
        <v>44074</v>
      </c>
      <c r="B408" s="98"/>
      <c r="C408" s="98" t="s">
        <v>251</v>
      </c>
      <c r="D408" s="98" t="s">
        <v>454</v>
      </c>
      <c r="E408" s="98" t="s">
        <v>244</v>
      </c>
      <c r="F408" s="98">
        <v>3.63</v>
      </c>
    </row>
    <row r="409" spans="1:6">
      <c r="A409" s="6">
        <v>44074</v>
      </c>
      <c r="B409" s="98" t="s">
        <v>455</v>
      </c>
      <c r="C409" s="98" t="s">
        <v>254</v>
      </c>
      <c r="D409" s="98" t="s">
        <v>456</v>
      </c>
      <c r="E409" s="98" t="s">
        <v>244</v>
      </c>
      <c r="F409" s="98">
        <v>137.31</v>
      </c>
    </row>
    <row r="410" spans="1:6">
      <c r="A410" s="6">
        <v>44104</v>
      </c>
      <c r="B410" s="98" t="s">
        <v>241</v>
      </c>
      <c r="C410" s="98" t="s">
        <v>242</v>
      </c>
      <c r="D410" s="100" t="s">
        <v>243</v>
      </c>
      <c r="E410" s="100" t="s">
        <v>244</v>
      </c>
      <c r="F410" s="100">
        <v>89.11</v>
      </c>
    </row>
    <row r="411" spans="1:6">
      <c r="A411" s="6">
        <v>44104</v>
      </c>
      <c r="B411" s="98"/>
      <c r="C411" s="98" t="s">
        <v>245</v>
      </c>
      <c r="D411" s="100" t="s">
        <v>243</v>
      </c>
      <c r="E411" s="100" t="s">
        <v>244</v>
      </c>
      <c r="F411" s="100">
        <v>364.75</v>
      </c>
    </row>
    <row r="412" spans="1:6">
      <c r="A412" s="6">
        <v>44104</v>
      </c>
      <c r="B412" s="98"/>
      <c r="C412" s="98" t="s">
        <v>246</v>
      </c>
      <c r="D412" s="100" t="s">
        <v>243</v>
      </c>
      <c r="E412" s="100" t="s">
        <v>247</v>
      </c>
      <c r="F412" s="100">
        <v>1252.45</v>
      </c>
    </row>
    <row r="413" spans="1:6">
      <c r="A413" s="6">
        <v>44104</v>
      </c>
      <c r="B413" s="98"/>
      <c r="C413" s="98" t="s">
        <v>248</v>
      </c>
      <c r="D413" s="100" t="s">
        <v>243</v>
      </c>
      <c r="E413" s="100" t="s">
        <v>247</v>
      </c>
      <c r="F413" s="100">
        <v>2683.9</v>
      </c>
    </row>
    <row r="414" spans="1:6">
      <c r="A414" s="6">
        <v>44104</v>
      </c>
      <c r="B414" s="98"/>
      <c r="C414" s="98" t="s">
        <v>249</v>
      </c>
      <c r="D414" s="100" t="s">
        <v>243</v>
      </c>
      <c r="E414" s="100" t="s">
        <v>247</v>
      </c>
      <c r="F414" s="100">
        <v>389.57</v>
      </c>
    </row>
    <row r="415" spans="1:6">
      <c r="A415" s="6">
        <v>44104</v>
      </c>
      <c r="B415" s="98" t="s">
        <v>250</v>
      </c>
      <c r="C415" s="98" t="s">
        <v>251</v>
      </c>
      <c r="D415" s="100" t="s">
        <v>252</v>
      </c>
      <c r="E415" s="100" t="s">
        <v>244</v>
      </c>
      <c r="F415" s="100">
        <v>113.99</v>
      </c>
    </row>
    <row r="416" spans="1:6">
      <c r="A416" s="6">
        <v>44104</v>
      </c>
      <c r="B416" s="98"/>
      <c r="C416" s="98" t="s">
        <v>253</v>
      </c>
      <c r="D416" s="100" t="s">
        <v>252</v>
      </c>
      <c r="E416" s="100" t="s">
        <v>244</v>
      </c>
      <c r="F416" s="100">
        <v>46.08</v>
      </c>
    </row>
    <row r="417" spans="1:6">
      <c r="A417" s="6">
        <v>44104</v>
      </c>
      <c r="B417" s="98"/>
      <c r="C417" s="98" t="s">
        <v>254</v>
      </c>
      <c r="D417" s="100" t="s">
        <v>252</v>
      </c>
      <c r="E417" s="100" t="s">
        <v>244</v>
      </c>
      <c r="F417" s="100">
        <v>215.17</v>
      </c>
    </row>
    <row r="418" spans="1:6">
      <c r="A418" s="6">
        <v>44104</v>
      </c>
      <c r="B418" s="98"/>
      <c r="C418" s="98" t="s">
        <v>255</v>
      </c>
      <c r="D418" s="100" t="s">
        <v>252</v>
      </c>
      <c r="E418" s="100" t="s">
        <v>247</v>
      </c>
      <c r="F418" s="100">
        <v>1159.99</v>
      </c>
    </row>
    <row r="419" spans="1:6">
      <c r="A419" s="6">
        <v>44104</v>
      </c>
      <c r="B419" s="98"/>
      <c r="C419" s="98" t="s">
        <v>246</v>
      </c>
      <c r="D419" s="100" t="s">
        <v>252</v>
      </c>
      <c r="E419" s="100" t="s">
        <v>247</v>
      </c>
      <c r="F419" s="100">
        <v>927.2</v>
      </c>
    </row>
    <row r="420" spans="1:6">
      <c r="A420" s="6">
        <v>44104</v>
      </c>
      <c r="B420" s="98"/>
      <c r="C420" s="98" t="s">
        <v>256</v>
      </c>
      <c r="D420" s="100" t="s">
        <v>252</v>
      </c>
      <c r="E420" s="100" t="s">
        <v>247</v>
      </c>
      <c r="F420" s="100">
        <v>5342.29</v>
      </c>
    </row>
    <row r="421" spans="1:6">
      <c r="A421" s="6">
        <v>44104</v>
      </c>
      <c r="B421" s="98"/>
      <c r="C421" s="98" t="s">
        <v>257</v>
      </c>
      <c r="D421" s="100" t="s">
        <v>252</v>
      </c>
      <c r="E421" s="100" t="s">
        <v>258</v>
      </c>
      <c r="F421" s="100">
        <v>9454.26</v>
      </c>
    </row>
    <row r="422" spans="1:6">
      <c r="A422" s="6">
        <v>44104</v>
      </c>
      <c r="B422" s="98"/>
      <c r="C422" s="98" t="s">
        <v>266</v>
      </c>
      <c r="D422" s="100" t="s">
        <v>252</v>
      </c>
      <c r="E422" s="100" t="s">
        <v>258</v>
      </c>
      <c r="F422" s="100">
        <v>4366.1899999999996</v>
      </c>
    </row>
    <row r="423" spans="1:6">
      <c r="A423" s="6">
        <v>44104</v>
      </c>
      <c r="B423" s="98"/>
      <c r="C423" s="98" t="s">
        <v>259</v>
      </c>
      <c r="D423" s="100" t="s">
        <v>252</v>
      </c>
      <c r="E423" s="100" t="s">
        <v>258</v>
      </c>
      <c r="F423" s="100">
        <v>2926.98</v>
      </c>
    </row>
    <row r="424" spans="1:6">
      <c r="A424" s="6">
        <v>44104</v>
      </c>
      <c r="B424" s="98" t="s">
        <v>261</v>
      </c>
      <c r="C424" s="98" t="s">
        <v>262</v>
      </c>
      <c r="D424" s="100" t="s">
        <v>263</v>
      </c>
      <c r="E424" s="100" t="s">
        <v>244</v>
      </c>
      <c r="F424" s="100">
        <v>124.9</v>
      </c>
    </row>
    <row r="425" spans="1:6">
      <c r="A425" s="6">
        <v>44104</v>
      </c>
      <c r="B425" s="98"/>
      <c r="C425" s="98" t="s">
        <v>253</v>
      </c>
      <c r="D425" s="100" t="s">
        <v>263</v>
      </c>
      <c r="E425" s="100" t="s">
        <v>244</v>
      </c>
      <c r="F425" s="100">
        <v>23.69</v>
      </c>
    </row>
    <row r="426" spans="1:6">
      <c r="A426" s="6">
        <v>44104</v>
      </c>
      <c r="B426" s="98"/>
      <c r="C426" s="98" t="s">
        <v>245</v>
      </c>
      <c r="D426" s="100" t="s">
        <v>263</v>
      </c>
      <c r="E426" s="100" t="s">
        <v>244</v>
      </c>
      <c r="F426" s="100">
        <v>30.51</v>
      </c>
    </row>
    <row r="427" spans="1:6">
      <c r="A427" s="6">
        <v>44104</v>
      </c>
      <c r="B427" s="98"/>
      <c r="C427" s="98" t="s">
        <v>264</v>
      </c>
      <c r="D427" s="100" t="s">
        <v>263</v>
      </c>
      <c r="E427" s="100" t="s">
        <v>244</v>
      </c>
      <c r="F427" s="100">
        <v>321.82</v>
      </c>
    </row>
    <row r="428" spans="1:6">
      <c r="A428" s="6">
        <v>44104</v>
      </c>
      <c r="B428" s="98"/>
      <c r="C428" s="98" t="s">
        <v>254</v>
      </c>
      <c r="D428" s="100" t="s">
        <v>263</v>
      </c>
      <c r="E428" s="100" t="s">
        <v>244</v>
      </c>
      <c r="F428" s="100">
        <v>43.51</v>
      </c>
    </row>
    <row r="429" spans="1:6">
      <c r="A429" s="6">
        <v>44104</v>
      </c>
      <c r="B429" s="98"/>
      <c r="C429" s="98" t="s">
        <v>248</v>
      </c>
      <c r="D429" s="100" t="s">
        <v>263</v>
      </c>
      <c r="E429" s="100" t="s">
        <v>247</v>
      </c>
      <c r="F429" s="100">
        <v>5612.65</v>
      </c>
    </row>
    <row r="430" spans="1:6">
      <c r="A430" s="6">
        <v>44104</v>
      </c>
      <c r="B430" s="98"/>
      <c r="C430" s="98" t="s">
        <v>265</v>
      </c>
      <c r="D430" s="100" t="s">
        <v>263</v>
      </c>
      <c r="E430" s="100" t="s">
        <v>247</v>
      </c>
      <c r="F430" s="100">
        <v>1192.5</v>
      </c>
    </row>
    <row r="431" spans="1:6">
      <c r="A431" s="6">
        <v>44104</v>
      </c>
      <c r="B431" s="98"/>
      <c r="C431" s="98" t="s">
        <v>266</v>
      </c>
      <c r="D431" s="100" t="s">
        <v>263</v>
      </c>
      <c r="E431" s="100" t="s">
        <v>258</v>
      </c>
      <c r="F431" s="100">
        <v>25492.45</v>
      </c>
    </row>
    <row r="432" spans="1:6">
      <c r="A432" s="6">
        <v>44104</v>
      </c>
      <c r="B432" s="98"/>
      <c r="C432" s="98" t="s">
        <v>260</v>
      </c>
      <c r="D432" s="100" t="s">
        <v>263</v>
      </c>
      <c r="E432" s="100" t="s">
        <v>258</v>
      </c>
      <c r="F432" s="100">
        <v>7870.99</v>
      </c>
    </row>
    <row r="433" spans="1:6">
      <c r="A433" s="6">
        <v>44104</v>
      </c>
      <c r="B433" s="98" t="s">
        <v>267</v>
      </c>
      <c r="C433" s="98" t="s">
        <v>242</v>
      </c>
      <c r="D433" s="100" t="s">
        <v>268</v>
      </c>
      <c r="E433" s="100" t="s">
        <v>244</v>
      </c>
      <c r="F433" s="100">
        <v>151.65</v>
      </c>
    </row>
    <row r="434" spans="1:6">
      <c r="A434" s="6">
        <v>44104</v>
      </c>
      <c r="B434" s="98"/>
      <c r="C434" s="98" t="s">
        <v>253</v>
      </c>
      <c r="D434" s="100" t="s">
        <v>268</v>
      </c>
      <c r="E434" s="100" t="s">
        <v>244</v>
      </c>
      <c r="F434" s="100">
        <v>63.76</v>
      </c>
    </row>
    <row r="435" spans="1:6">
      <c r="A435" s="6">
        <v>44104</v>
      </c>
      <c r="B435" s="98"/>
      <c r="C435" s="98" t="s">
        <v>264</v>
      </c>
      <c r="D435" s="100" t="s">
        <v>268</v>
      </c>
      <c r="E435" s="100" t="s">
        <v>244</v>
      </c>
      <c r="F435" s="100">
        <v>200.91</v>
      </c>
    </row>
    <row r="436" spans="1:6">
      <c r="A436" s="6">
        <v>44104</v>
      </c>
      <c r="B436" s="98"/>
      <c r="C436" s="98" t="s">
        <v>254</v>
      </c>
      <c r="D436" s="100" t="s">
        <v>268</v>
      </c>
      <c r="E436" s="100" t="s">
        <v>244</v>
      </c>
      <c r="F436" s="100">
        <v>73.64</v>
      </c>
    </row>
    <row r="437" spans="1:6">
      <c r="A437" s="6">
        <v>44104</v>
      </c>
      <c r="B437" s="98"/>
      <c r="C437" s="98" t="s">
        <v>248</v>
      </c>
      <c r="D437" s="100" t="s">
        <v>268</v>
      </c>
      <c r="E437" s="100" t="s">
        <v>247</v>
      </c>
      <c r="F437" s="100">
        <v>5230.45</v>
      </c>
    </row>
    <row r="438" spans="1:6">
      <c r="A438" s="6">
        <v>44104</v>
      </c>
      <c r="B438" s="98"/>
      <c r="C438" s="98" t="s">
        <v>265</v>
      </c>
      <c r="D438" s="100" t="s">
        <v>268</v>
      </c>
      <c r="E438" s="100" t="s">
        <v>247</v>
      </c>
      <c r="F438" s="100">
        <v>623.46</v>
      </c>
    </row>
    <row r="439" spans="1:6">
      <c r="A439" s="6">
        <v>44104</v>
      </c>
      <c r="B439" s="98"/>
      <c r="C439" s="98" t="s">
        <v>266</v>
      </c>
      <c r="D439" s="100" t="s">
        <v>268</v>
      </c>
      <c r="E439" s="100" t="s">
        <v>258</v>
      </c>
      <c r="F439" s="100">
        <v>24966.5</v>
      </c>
    </row>
    <row r="440" spans="1:6">
      <c r="A440" s="6">
        <v>44104</v>
      </c>
      <c r="B440" s="98"/>
      <c r="C440" s="98" t="s">
        <v>260</v>
      </c>
      <c r="D440" s="100" t="s">
        <v>268</v>
      </c>
      <c r="E440" s="100" t="s">
        <v>258</v>
      </c>
      <c r="F440" s="100">
        <v>7744.63</v>
      </c>
    </row>
    <row r="441" spans="1:6">
      <c r="A441" s="6">
        <v>44104</v>
      </c>
      <c r="B441" s="98" t="s">
        <v>269</v>
      </c>
      <c r="C441" s="98" t="s">
        <v>242</v>
      </c>
      <c r="D441" s="100" t="s">
        <v>270</v>
      </c>
      <c r="E441" s="100" t="s">
        <v>244</v>
      </c>
      <c r="F441" s="100">
        <v>135.09</v>
      </c>
    </row>
    <row r="442" spans="1:6">
      <c r="A442" s="6">
        <v>44104</v>
      </c>
      <c r="B442" s="98"/>
      <c r="C442" s="98" t="s">
        <v>251</v>
      </c>
      <c r="D442" s="100" t="s">
        <v>270</v>
      </c>
      <c r="E442" s="100" t="s">
        <v>244</v>
      </c>
      <c r="F442" s="100">
        <v>22.82</v>
      </c>
    </row>
    <row r="443" spans="1:6">
      <c r="A443" s="6">
        <v>44104</v>
      </c>
      <c r="B443" s="98"/>
      <c r="C443" s="98" t="s">
        <v>245</v>
      </c>
      <c r="D443" s="100" t="s">
        <v>270</v>
      </c>
      <c r="E443" s="100" t="s">
        <v>244</v>
      </c>
      <c r="F443" s="100">
        <v>105</v>
      </c>
    </row>
    <row r="444" spans="1:6">
      <c r="A444" s="6">
        <v>44104</v>
      </c>
      <c r="B444" s="98"/>
      <c r="C444" s="98" t="s">
        <v>264</v>
      </c>
      <c r="D444" s="100" t="s">
        <v>270</v>
      </c>
      <c r="E444" s="100" t="s">
        <v>244</v>
      </c>
      <c r="F444" s="100">
        <v>183.24</v>
      </c>
    </row>
    <row r="445" spans="1:6">
      <c r="A445" s="6">
        <v>44104</v>
      </c>
      <c r="B445" s="98"/>
      <c r="C445" s="98" t="s">
        <v>271</v>
      </c>
      <c r="D445" s="100" t="s">
        <v>270</v>
      </c>
      <c r="E445" s="100" t="s">
        <v>244</v>
      </c>
      <c r="F445" s="100">
        <v>17.190000000000001</v>
      </c>
    </row>
    <row r="446" spans="1:6">
      <c r="A446" s="6">
        <v>44104</v>
      </c>
      <c r="B446" s="98"/>
      <c r="C446" s="98" t="s">
        <v>255</v>
      </c>
      <c r="D446" s="100" t="s">
        <v>270</v>
      </c>
      <c r="E446" s="100" t="s">
        <v>247</v>
      </c>
      <c r="F446" s="100">
        <v>943.9</v>
      </c>
    </row>
    <row r="447" spans="1:6">
      <c r="A447" s="6">
        <v>44104</v>
      </c>
      <c r="B447" s="98"/>
      <c r="C447" s="98" t="s">
        <v>246</v>
      </c>
      <c r="D447" s="100" t="s">
        <v>270</v>
      </c>
      <c r="E447" s="100" t="s">
        <v>247</v>
      </c>
      <c r="F447" s="100">
        <v>2189.39</v>
      </c>
    </row>
    <row r="448" spans="1:6">
      <c r="A448" s="6">
        <v>44104</v>
      </c>
      <c r="B448" s="98"/>
      <c r="C448" s="98" t="s">
        <v>265</v>
      </c>
      <c r="D448" s="100" t="s">
        <v>270</v>
      </c>
      <c r="E448" s="100" t="s">
        <v>247</v>
      </c>
      <c r="F448" s="100">
        <v>1569.43</v>
      </c>
    </row>
    <row r="449" spans="1:6">
      <c r="A449" s="6">
        <v>44104</v>
      </c>
      <c r="B449" s="98"/>
      <c r="C449" s="98" t="s">
        <v>273</v>
      </c>
      <c r="D449" s="100" t="s">
        <v>270</v>
      </c>
      <c r="E449" s="100" t="s">
        <v>247</v>
      </c>
      <c r="F449" s="100">
        <v>2412.09</v>
      </c>
    </row>
    <row r="450" spans="1:6">
      <c r="A450" s="6">
        <v>44104</v>
      </c>
      <c r="B450" s="98"/>
      <c r="C450" s="98" t="s">
        <v>274</v>
      </c>
      <c r="D450" s="100" t="s">
        <v>270</v>
      </c>
      <c r="E450" s="100" t="s">
        <v>247</v>
      </c>
      <c r="F450" s="100">
        <v>7856.72</v>
      </c>
    </row>
    <row r="451" spans="1:6">
      <c r="A451" s="6">
        <v>44104</v>
      </c>
      <c r="B451" s="98" t="s">
        <v>275</v>
      </c>
      <c r="C451" s="98" t="s">
        <v>242</v>
      </c>
      <c r="D451" s="100" t="s">
        <v>276</v>
      </c>
      <c r="E451" s="100" t="s">
        <v>244</v>
      </c>
      <c r="F451" s="100">
        <v>115.66</v>
      </c>
    </row>
    <row r="452" spans="1:6">
      <c r="A452" s="6">
        <v>44104</v>
      </c>
      <c r="B452" s="98"/>
      <c r="C452" s="98" t="s">
        <v>262</v>
      </c>
      <c r="D452" s="100" t="s">
        <v>276</v>
      </c>
      <c r="E452" s="100" t="s">
        <v>244</v>
      </c>
      <c r="F452" s="100">
        <v>1180.33</v>
      </c>
    </row>
    <row r="453" spans="1:6">
      <c r="A453" s="6">
        <v>44104</v>
      </c>
      <c r="B453" s="98"/>
      <c r="C453" s="98" t="s">
        <v>251</v>
      </c>
      <c r="D453" s="100" t="s">
        <v>276</v>
      </c>
      <c r="E453" s="100" t="s">
        <v>244</v>
      </c>
      <c r="F453" s="100">
        <v>47.69</v>
      </c>
    </row>
    <row r="454" spans="1:6">
      <c r="A454" s="6">
        <v>44104</v>
      </c>
      <c r="B454" s="98"/>
      <c r="C454" s="98" t="s">
        <v>253</v>
      </c>
      <c r="D454" s="100" t="s">
        <v>276</v>
      </c>
      <c r="E454" s="100" t="s">
        <v>244</v>
      </c>
      <c r="F454" s="100">
        <v>30.96</v>
      </c>
    </row>
    <row r="455" spans="1:6">
      <c r="A455" s="6">
        <v>44104</v>
      </c>
      <c r="B455" s="98"/>
      <c r="C455" s="98" t="s">
        <v>245</v>
      </c>
      <c r="D455" s="100" t="s">
        <v>276</v>
      </c>
      <c r="E455" s="100" t="s">
        <v>244</v>
      </c>
      <c r="F455" s="100">
        <v>61.76</v>
      </c>
    </row>
    <row r="456" spans="1:6">
      <c r="A456" s="6">
        <v>44104</v>
      </c>
      <c r="B456" s="98"/>
      <c r="C456" s="98" t="s">
        <v>264</v>
      </c>
      <c r="D456" s="100" t="s">
        <v>276</v>
      </c>
      <c r="E456" s="100" t="s">
        <v>244</v>
      </c>
      <c r="F456" s="100">
        <v>385.2</v>
      </c>
    </row>
    <row r="457" spans="1:6">
      <c r="A457" s="6">
        <v>44104</v>
      </c>
      <c r="B457" s="98"/>
      <c r="C457" s="98" t="s">
        <v>271</v>
      </c>
      <c r="D457" s="100" t="s">
        <v>276</v>
      </c>
      <c r="E457" s="100" t="s">
        <v>244</v>
      </c>
      <c r="F457" s="100">
        <v>42.79</v>
      </c>
    </row>
    <row r="458" spans="1:6">
      <c r="A458" s="6">
        <v>44104</v>
      </c>
      <c r="B458" s="98"/>
      <c r="C458" s="98" t="s">
        <v>254</v>
      </c>
      <c r="D458" s="100" t="s">
        <v>276</v>
      </c>
      <c r="E458" s="100" t="s">
        <v>244</v>
      </c>
      <c r="F458" s="100">
        <v>216.22</v>
      </c>
    </row>
    <row r="459" spans="1:6">
      <c r="A459" s="6">
        <v>44104</v>
      </c>
      <c r="B459" s="98"/>
      <c r="C459" s="98" t="s">
        <v>277</v>
      </c>
      <c r="D459" s="100" t="s">
        <v>276</v>
      </c>
      <c r="E459" s="100" t="s">
        <v>247</v>
      </c>
      <c r="F459" s="100">
        <v>5944.54</v>
      </c>
    </row>
    <row r="460" spans="1:6">
      <c r="A460" s="6">
        <v>44104</v>
      </c>
      <c r="B460" s="98"/>
      <c r="C460" s="98" t="s">
        <v>278</v>
      </c>
      <c r="D460" s="100" t="s">
        <v>276</v>
      </c>
      <c r="E460" s="100" t="s">
        <v>247</v>
      </c>
      <c r="F460" s="100">
        <v>2565.46</v>
      </c>
    </row>
    <row r="461" spans="1:6">
      <c r="A461" s="6">
        <v>44104</v>
      </c>
      <c r="B461" s="98"/>
      <c r="C461" s="98" t="s">
        <v>272</v>
      </c>
      <c r="D461" s="100" t="s">
        <v>276</v>
      </c>
      <c r="E461" s="100" t="s">
        <v>247</v>
      </c>
      <c r="F461" s="100">
        <v>1537.25</v>
      </c>
    </row>
    <row r="462" spans="1:6">
      <c r="A462" s="6">
        <v>44104</v>
      </c>
      <c r="B462" s="98"/>
      <c r="C462" s="98" t="s">
        <v>246</v>
      </c>
      <c r="D462" s="100" t="s">
        <v>276</v>
      </c>
      <c r="E462" s="100" t="s">
        <v>247</v>
      </c>
      <c r="F462" s="100">
        <v>3768.82</v>
      </c>
    </row>
    <row r="463" spans="1:6">
      <c r="A463" s="6">
        <v>44104</v>
      </c>
      <c r="B463" s="98"/>
      <c r="C463" s="98" t="s">
        <v>279</v>
      </c>
      <c r="D463" s="100" t="s">
        <v>276</v>
      </c>
      <c r="E463" s="100" t="s">
        <v>247</v>
      </c>
      <c r="F463" s="100">
        <v>12411.23</v>
      </c>
    </row>
    <row r="464" spans="1:6">
      <c r="A464" s="6">
        <v>44104</v>
      </c>
      <c r="B464" s="98"/>
      <c r="C464" s="98" t="s">
        <v>248</v>
      </c>
      <c r="D464" s="100" t="s">
        <v>276</v>
      </c>
      <c r="E464" s="100" t="s">
        <v>247</v>
      </c>
      <c r="F464" s="100">
        <v>11558.96</v>
      </c>
    </row>
    <row r="465" spans="1:6">
      <c r="A465" s="6">
        <v>44104</v>
      </c>
      <c r="B465" s="98"/>
      <c r="C465" s="98" t="s">
        <v>280</v>
      </c>
      <c r="D465" s="100" t="s">
        <v>276</v>
      </c>
      <c r="E465" s="100" t="s">
        <v>247</v>
      </c>
      <c r="F465" s="100">
        <v>8895.48</v>
      </c>
    </row>
    <row r="466" spans="1:6">
      <c r="A466" s="6">
        <v>44104</v>
      </c>
      <c r="B466" s="98"/>
      <c r="C466" s="98" t="s">
        <v>281</v>
      </c>
      <c r="D466" s="100" t="s">
        <v>276</v>
      </c>
      <c r="E466" s="100" t="s">
        <v>247</v>
      </c>
      <c r="F466" s="100">
        <v>13901.03</v>
      </c>
    </row>
    <row r="467" spans="1:6">
      <c r="A467" s="6">
        <v>44104</v>
      </c>
      <c r="B467" s="98"/>
      <c r="C467" s="98" t="s">
        <v>256</v>
      </c>
      <c r="D467" s="100" t="s">
        <v>276</v>
      </c>
      <c r="E467" s="100" t="s">
        <v>247</v>
      </c>
      <c r="F467" s="100">
        <v>2398.11</v>
      </c>
    </row>
    <row r="468" spans="1:6">
      <c r="A468" s="6">
        <v>44104</v>
      </c>
      <c r="B468" s="98"/>
      <c r="C468" s="98" t="s">
        <v>282</v>
      </c>
      <c r="D468" s="100" t="s">
        <v>276</v>
      </c>
      <c r="E468" s="100" t="s">
        <v>247</v>
      </c>
      <c r="F468" s="100">
        <v>3975.84</v>
      </c>
    </row>
    <row r="469" spans="1:6">
      <c r="A469" s="6">
        <v>44104</v>
      </c>
      <c r="B469" s="98"/>
      <c r="C469" s="98" t="s">
        <v>283</v>
      </c>
      <c r="D469" s="100" t="s">
        <v>276</v>
      </c>
      <c r="E469" s="100" t="s">
        <v>247</v>
      </c>
      <c r="F469" s="100">
        <v>2346.1799999999998</v>
      </c>
    </row>
    <row r="470" spans="1:6">
      <c r="A470" s="6">
        <v>44104</v>
      </c>
      <c r="B470" s="98"/>
      <c r="C470" s="98" t="s">
        <v>285</v>
      </c>
      <c r="D470" s="100" t="s">
        <v>276</v>
      </c>
      <c r="E470" s="100" t="s">
        <v>247</v>
      </c>
      <c r="F470" s="100">
        <v>9366.6200000000008</v>
      </c>
    </row>
    <row r="471" spans="1:6">
      <c r="A471" s="6">
        <v>44104</v>
      </c>
      <c r="B471" s="98"/>
      <c r="C471" s="98" t="s">
        <v>286</v>
      </c>
      <c r="D471" s="100" t="s">
        <v>276</v>
      </c>
      <c r="E471" s="100" t="s">
        <v>247</v>
      </c>
      <c r="F471" s="100">
        <v>1876.95</v>
      </c>
    </row>
    <row r="472" spans="1:6">
      <c r="A472" s="6">
        <v>44104</v>
      </c>
      <c r="B472" s="98"/>
      <c r="C472" s="98" t="s">
        <v>257</v>
      </c>
      <c r="D472" s="100" t="s">
        <v>276</v>
      </c>
      <c r="E472" s="100" t="s">
        <v>258</v>
      </c>
      <c r="F472" s="100">
        <v>37943.85</v>
      </c>
    </row>
    <row r="473" spans="1:6">
      <c r="A473" s="6">
        <v>44104</v>
      </c>
      <c r="B473" s="98"/>
      <c r="C473" s="98" t="s">
        <v>259</v>
      </c>
      <c r="D473" s="100" t="s">
        <v>276</v>
      </c>
      <c r="E473" s="100" t="s">
        <v>258</v>
      </c>
      <c r="F473" s="100">
        <v>30951.29</v>
      </c>
    </row>
    <row r="474" spans="1:6">
      <c r="A474" s="6">
        <v>44104</v>
      </c>
      <c r="B474" s="98"/>
      <c r="C474" s="98" t="s">
        <v>249</v>
      </c>
      <c r="D474" s="100" t="s">
        <v>276</v>
      </c>
      <c r="E474" s="100" t="s">
        <v>247</v>
      </c>
      <c r="F474" s="100">
        <v>1161.22</v>
      </c>
    </row>
    <row r="475" spans="1:6">
      <c r="A475" s="6">
        <v>44104</v>
      </c>
      <c r="B475" s="98"/>
      <c r="C475" s="98" t="s">
        <v>260</v>
      </c>
      <c r="D475" s="100" t="s">
        <v>276</v>
      </c>
      <c r="E475" s="100" t="s">
        <v>258</v>
      </c>
      <c r="F475" s="100">
        <v>7683.72</v>
      </c>
    </row>
    <row r="476" spans="1:6">
      <c r="A476" s="6">
        <v>44104</v>
      </c>
      <c r="B476" s="98"/>
      <c r="C476" s="98" t="s">
        <v>465</v>
      </c>
      <c r="D476" s="100" t="s">
        <v>276</v>
      </c>
      <c r="E476" s="100" t="s">
        <v>247</v>
      </c>
      <c r="F476" s="100">
        <v>2346.1799999999998</v>
      </c>
    </row>
    <row r="477" spans="1:6">
      <c r="A477" s="6">
        <v>44104</v>
      </c>
      <c r="B477" s="98" t="s">
        <v>287</v>
      </c>
      <c r="C477" s="98" t="s">
        <v>242</v>
      </c>
      <c r="D477" s="100" t="s">
        <v>288</v>
      </c>
      <c r="E477" s="100" t="s">
        <v>244</v>
      </c>
      <c r="F477" s="100">
        <v>1755.47</v>
      </c>
    </row>
    <row r="478" spans="1:6">
      <c r="A478" s="6">
        <v>44104</v>
      </c>
      <c r="B478" s="98"/>
      <c r="C478" s="98" t="s">
        <v>262</v>
      </c>
      <c r="D478" s="100" t="s">
        <v>288</v>
      </c>
      <c r="E478" s="100" t="s">
        <v>244</v>
      </c>
      <c r="F478" s="100">
        <v>9473.76</v>
      </c>
    </row>
    <row r="479" spans="1:6">
      <c r="A479" s="6">
        <v>44104</v>
      </c>
      <c r="B479" s="98"/>
      <c r="C479" s="98" t="s">
        <v>251</v>
      </c>
      <c r="D479" s="100" t="s">
        <v>288</v>
      </c>
      <c r="E479" s="100" t="s">
        <v>244</v>
      </c>
      <c r="F479" s="100">
        <v>74.75</v>
      </c>
    </row>
    <row r="480" spans="1:6">
      <c r="A480" s="6">
        <v>44104</v>
      </c>
      <c r="B480" s="98"/>
      <c r="C480" s="98" t="s">
        <v>253</v>
      </c>
      <c r="D480" s="100" t="s">
        <v>288</v>
      </c>
      <c r="E480" s="100" t="s">
        <v>244</v>
      </c>
      <c r="F480" s="100">
        <v>33.07</v>
      </c>
    </row>
    <row r="481" spans="1:6">
      <c r="A481" s="6">
        <v>44104</v>
      </c>
      <c r="B481" s="98"/>
      <c r="C481" s="98" t="s">
        <v>245</v>
      </c>
      <c r="D481" s="100" t="s">
        <v>288</v>
      </c>
      <c r="E481" s="100" t="s">
        <v>244</v>
      </c>
      <c r="F481" s="100">
        <v>2618.52</v>
      </c>
    </row>
    <row r="482" spans="1:6">
      <c r="A482" s="6">
        <v>44104</v>
      </c>
      <c r="B482" s="98"/>
      <c r="C482" s="98" t="s">
        <v>264</v>
      </c>
      <c r="D482" s="100" t="s">
        <v>288</v>
      </c>
      <c r="E482" s="100" t="s">
        <v>244</v>
      </c>
      <c r="F482" s="100">
        <v>977.18</v>
      </c>
    </row>
    <row r="483" spans="1:6">
      <c r="A483" s="6">
        <v>44104</v>
      </c>
      <c r="B483" s="98"/>
      <c r="C483" s="98" t="s">
        <v>271</v>
      </c>
      <c r="D483" s="100" t="s">
        <v>288</v>
      </c>
      <c r="E483" s="100" t="s">
        <v>244</v>
      </c>
      <c r="F483" s="100">
        <v>10.78</v>
      </c>
    </row>
    <row r="484" spans="1:6">
      <c r="A484" s="6">
        <v>44104</v>
      </c>
      <c r="B484" s="98"/>
      <c r="C484" s="98" t="s">
        <v>254</v>
      </c>
      <c r="D484" s="100" t="s">
        <v>288</v>
      </c>
      <c r="E484" s="100" t="s">
        <v>244</v>
      </c>
      <c r="F484" s="100">
        <v>522.46</v>
      </c>
    </row>
    <row r="485" spans="1:6">
      <c r="A485" s="6">
        <v>44104</v>
      </c>
      <c r="B485" s="98"/>
      <c r="C485" s="98" t="s">
        <v>277</v>
      </c>
      <c r="D485" s="100" t="s">
        <v>288</v>
      </c>
      <c r="E485" s="100" t="s">
        <v>247</v>
      </c>
      <c r="F485" s="100">
        <v>2390.33</v>
      </c>
    </row>
    <row r="486" spans="1:6">
      <c r="A486" s="6">
        <v>44104</v>
      </c>
      <c r="B486" s="98"/>
      <c r="C486" s="98" t="s">
        <v>255</v>
      </c>
      <c r="D486" s="100" t="s">
        <v>288</v>
      </c>
      <c r="E486" s="100" t="s">
        <v>247</v>
      </c>
      <c r="F486" s="100">
        <v>2576.4699999999998</v>
      </c>
    </row>
    <row r="487" spans="1:6">
      <c r="A487" s="6">
        <v>44104</v>
      </c>
      <c r="B487" s="98"/>
      <c r="C487" s="98" t="s">
        <v>278</v>
      </c>
      <c r="D487" s="100" t="s">
        <v>288</v>
      </c>
      <c r="E487" s="100" t="s">
        <v>247</v>
      </c>
      <c r="F487" s="100">
        <v>6362.73</v>
      </c>
    </row>
    <row r="488" spans="1:6">
      <c r="A488" s="6">
        <v>44104</v>
      </c>
      <c r="B488" s="98"/>
      <c r="C488" s="98" t="s">
        <v>289</v>
      </c>
      <c r="D488" s="100" t="s">
        <v>288</v>
      </c>
      <c r="E488" s="100" t="s">
        <v>247</v>
      </c>
      <c r="F488" s="100">
        <v>299.67</v>
      </c>
    </row>
    <row r="489" spans="1:6">
      <c r="A489" s="6">
        <v>44104</v>
      </c>
      <c r="B489" s="98"/>
      <c r="C489" s="98" t="s">
        <v>272</v>
      </c>
      <c r="D489" s="100" t="s">
        <v>288</v>
      </c>
      <c r="E489" s="100" t="s">
        <v>247</v>
      </c>
      <c r="F489" s="100">
        <v>712.52</v>
      </c>
    </row>
    <row r="490" spans="1:6">
      <c r="A490" s="6">
        <v>44104</v>
      </c>
      <c r="B490" s="98"/>
      <c r="C490" s="98" t="s">
        <v>246</v>
      </c>
      <c r="D490" s="100" t="s">
        <v>288</v>
      </c>
      <c r="E490" s="100" t="s">
        <v>247</v>
      </c>
      <c r="F490" s="100">
        <v>2937.53</v>
      </c>
    </row>
    <row r="491" spans="1:6">
      <c r="A491" s="6">
        <v>44104</v>
      </c>
      <c r="B491" s="98"/>
      <c r="C491" s="98" t="s">
        <v>290</v>
      </c>
      <c r="D491" s="100" t="s">
        <v>288</v>
      </c>
      <c r="E491" s="100" t="s">
        <v>247</v>
      </c>
      <c r="F491" s="100">
        <v>2212.79</v>
      </c>
    </row>
    <row r="492" spans="1:6">
      <c r="A492" s="6">
        <v>44104</v>
      </c>
      <c r="B492" s="98"/>
      <c r="C492" s="98" t="s">
        <v>291</v>
      </c>
      <c r="D492" s="100" t="s">
        <v>288</v>
      </c>
      <c r="E492" s="100" t="s">
        <v>247</v>
      </c>
      <c r="F492" s="100">
        <v>14472.48</v>
      </c>
    </row>
    <row r="493" spans="1:6">
      <c r="A493" s="6">
        <v>44104</v>
      </c>
      <c r="B493" s="98"/>
      <c r="C493" s="98" t="s">
        <v>256</v>
      </c>
      <c r="D493" s="100" t="s">
        <v>288</v>
      </c>
      <c r="E493" s="100" t="s">
        <v>247</v>
      </c>
      <c r="F493" s="100">
        <v>1155.42</v>
      </c>
    </row>
    <row r="494" spans="1:6">
      <c r="A494" s="6">
        <v>44104</v>
      </c>
      <c r="B494" s="98"/>
      <c r="C494" s="98" t="s">
        <v>265</v>
      </c>
      <c r="D494" s="100" t="s">
        <v>288</v>
      </c>
      <c r="E494" s="100" t="s">
        <v>247</v>
      </c>
      <c r="F494" s="100">
        <v>1768.95</v>
      </c>
    </row>
    <row r="495" spans="1:6">
      <c r="A495" s="6">
        <v>44104</v>
      </c>
      <c r="B495" s="98"/>
      <c r="C495" s="98" t="s">
        <v>293</v>
      </c>
      <c r="D495" s="100" t="s">
        <v>288</v>
      </c>
      <c r="E495" s="100" t="s">
        <v>247</v>
      </c>
      <c r="F495" s="100">
        <v>1487.08</v>
      </c>
    </row>
    <row r="496" spans="1:6">
      <c r="A496" s="6">
        <v>44104</v>
      </c>
      <c r="B496" s="98"/>
      <c r="C496" s="98" t="s">
        <v>257</v>
      </c>
      <c r="D496" s="100" t="s">
        <v>288</v>
      </c>
      <c r="E496" s="100" t="s">
        <v>258</v>
      </c>
      <c r="F496" s="100">
        <v>12467.47</v>
      </c>
    </row>
    <row r="497" spans="1:6">
      <c r="A497" s="6">
        <v>44104</v>
      </c>
      <c r="B497" s="98"/>
      <c r="C497" s="98" t="s">
        <v>266</v>
      </c>
      <c r="D497" s="100" t="s">
        <v>288</v>
      </c>
      <c r="E497" s="100" t="s">
        <v>258</v>
      </c>
      <c r="F497" s="100">
        <v>380429.05</v>
      </c>
    </row>
    <row r="498" spans="1:6">
      <c r="A498" s="6">
        <v>44104</v>
      </c>
      <c r="B498" s="98"/>
      <c r="C498" s="98" t="s">
        <v>259</v>
      </c>
      <c r="D498" s="100" t="s">
        <v>288</v>
      </c>
      <c r="E498" s="100" t="s">
        <v>258</v>
      </c>
      <c r="F498" s="100">
        <v>7047.3</v>
      </c>
    </row>
    <row r="499" spans="1:6">
      <c r="A499" s="6">
        <v>44104</v>
      </c>
      <c r="B499" s="98"/>
      <c r="C499" s="98" t="s">
        <v>249</v>
      </c>
      <c r="D499" s="100" t="s">
        <v>288</v>
      </c>
      <c r="E499" s="100" t="s">
        <v>247</v>
      </c>
      <c r="F499" s="100">
        <v>2174.81</v>
      </c>
    </row>
    <row r="500" spans="1:6">
      <c r="A500" s="6">
        <v>44104</v>
      </c>
      <c r="B500" s="98"/>
      <c r="C500" s="98" t="s">
        <v>260</v>
      </c>
      <c r="D500" s="100" t="s">
        <v>288</v>
      </c>
      <c r="E500" s="100" t="s">
        <v>258</v>
      </c>
      <c r="F500" s="100">
        <v>6229.62</v>
      </c>
    </row>
    <row r="501" spans="1:6">
      <c r="A501" s="6">
        <v>44104</v>
      </c>
      <c r="B501" s="98" t="s">
        <v>294</v>
      </c>
      <c r="C501" s="98" t="s">
        <v>242</v>
      </c>
      <c r="D501" s="100" t="s">
        <v>295</v>
      </c>
      <c r="E501" s="100" t="s">
        <v>244</v>
      </c>
      <c r="F501" s="100">
        <v>45.61</v>
      </c>
    </row>
    <row r="502" spans="1:6">
      <c r="A502" s="6">
        <v>44104</v>
      </c>
      <c r="B502" s="98"/>
      <c r="C502" s="98" t="s">
        <v>262</v>
      </c>
      <c r="D502" s="100" t="s">
        <v>295</v>
      </c>
      <c r="E502" s="100" t="s">
        <v>244</v>
      </c>
      <c r="F502" s="100">
        <v>0.84</v>
      </c>
    </row>
    <row r="503" spans="1:6">
      <c r="A503" s="6">
        <v>44104</v>
      </c>
      <c r="B503" s="98"/>
      <c r="C503" s="98" t="s">
        <v>251</v>
      </c>
      <c r="D503" s="100" t="s">
        <v>295</v>
      </c>
      <c r="E503" s="100" t="s">
        <v>244</v>
      </c>
      <c r="F503" s="100">
        <v>0.98</v>
      </c>
    </row>
    <row r="504" spans="1:6">
      <c r="A504" s="6">
        <v>44104</v>
      </c>
      <c r="B504" s="98"/>
      <c r="C504" s="98" t="s">
        <v>245</v>
      </c>
      <c r="D504" s="100" t="s">
        <v>295</v>
      </c>
      <c r="E504" s="100" t="s">
        <v>244</v>
      </c>
      <c r="F504" s="100">
        <v>37.299999999999997</v>
      </c>
    </row>
    <row r="505" spans="1:6">
      <c r="A505" s="6">
        <v>44104</v>
      </c>
      <c r="B505" s="98"/>
      <c r="C505" s="98" t="s">
        <v>264</v>
      </c>
      <c r="D505" s="100" t="s">
        <v>295</v>
      </c>
      <c r="E505" s="100" t="s">
        <v>244</v>
      </c>
      <c r="F505" s="100">
        <v>23.91</v>
      </c>
    </row>
    <row r="506" spans="1:6">
      <c r="A506" s="6">
        <v>44104</v>
      </c>
      <c r="B506" s="98"/>
      <c r="C506" s="98" t="s">
        <v>271</v>
      </c>
      <c r="D506" s="100" t="s">
        <v>295</v>
      </c>
      <c r="E506" s="100" t="s">
        <v>244</v>
      </c>
      <c r="F506" s="100">
        <v>0.92</v>
      </c>
    </row>
    <row r="507" spans="1:6">
      <c r="A507" s="6">
        <v>44104</v>
      </c>
      <c r="B507" s="98"/>
      <c r="C507" s="98" t="s">
        <v>254</v>
      </c>
      <c r="D507" s="100" t="s">
        <v>295</v>
      </c>
      <c r="E507" s="100" t="s">
        <v>244</v>
      </c>
      <c r="F507" s="100">
        <v>16.47</v>
      </c>
    </row>
    <row r="508" spans="1:6">
      <c r="A508" s="6">
        <v>44104</v>
      </c>
      <c r="B508" s="98" t="s">
        <v>296</v>
      </c>
      <c r="C508" s="98" t="s">
        <v>242</v>
      </c>
      <c r="D508" s="100" t="s">
        <v>297</v>
      </c>
      <c r="E508" s="100" t="s">
        <v>244</v>
      </c>
      <c r="F508" s="100">
        <v>481.81</v>
      </c>
    </row>
    <row r="509" spans="1:6">
      <c r="A509" s="6">
        <v>44104</v>
      </c>
      <c r="B509" s="98"/>
      <c r="C509" s="98" t="s">
        <v>262</v>
      </c>
      <c r="D509" s="100" t="s">
        <v>297</v>
      </c>
      <c r="E509" s="100" t="s">
        <v>244</v>
      </c>
      <c r="F509" s="100">
        <v>2029.1</v>
      </c>
    </row>
    <row r="510" spans="1:6">
      <c r="A510" s="6">
        <v>44104</v>
      </c>
      <c r="B510" s="98"/>
      <c r="C510" s="98" t="s">
        <v>251</v>
      </c>
      <c r="D510" s="100" t="s">
        <v>297</v>
      </c>
      <c r="E510" s="100" t="s">
        <v>244</v>
      </c>
      <c r="F510" s="100">
        <v>88.8</v>
      </c>
    </row>
    <row r="511" spans="1:6">
      <c r="A511" s="6">
        <v>44104</v>
      </c>
      <c r="B511" s="98"/>
      <c r="C511" s="98" t="s">
        <v>253</v>
      </c>
      <c r="D511" s="100" t="s">
        <v>297</v>
      </c>
      <c r="E511" s="100" t="s">
        <v>244</v>
      </c>
      <c r="F511" s="100">
        <v>63.83</v>
      </c>
    </row>
    <row r="512" spans="1:6">
      <c r="A512" s="6">
        <v>44104</v>
      </c>
      <c r="B512" s="98"/>
      <c r="C512" s="98" t="s">
        <v>245</v>
      </c>
      <c r="D512" s="100" t="s">
        <v>297</v>
      </c>
      <c r="E512" s="100" t="s">
        <v>244</v>
      </c>
      <c r="F512" s="100">
        <v>1076.54</v>
      </c>
    </row>
    <row r="513" spans="1:6">
      <c r="A513" s="6">
        <v>44104</v>
      </c>
      <c r="B513" s="98"/>
      <c r="C513" s="98" t="s">
        <v>264</v>
      </c>
      <c r="D513" s="100" t="s">
        <v>297</v>
      </c>
      <c r="E513" s="100" t="s">
        <v>244</v>
      </c>
      <c r="F513" s="100">
        <v>559.25</v>
      </c>
    </row>
    <row r="514" spans="1:6">
      <c r="A514" s="6">
        <v>44104</v>
      </c>
      <c r="B514" s="98"/>
      <c r="C514" s="98" t="s">
        <v>271</v>
      </c>
      <c r="D514" s="100" t="s">
        <v>297</v>
      </c>
      <c r="E514" s="100" t="s">
        <v>244</v>
      </c>
      <c r="F514" s="100">
        <v>9.48</v>
      </c>
    </row>
    <row r="515" spans="1:6">
      <c r="A515" s="6">
        <v>44104</v>
      </c>
      <c r="B515" s="98"/>
      <c r="C515" s="98" t="s">
        <v>254</v>
      </c>
      <c r="D515" s="100" t="s">
        <v>297</v>
      </c>
      <c r="E515" s="100" t="s">
        <v>244</v>
      </c>
      <c r="F515" s="100">
        <v>437.76</v>
      </c>
    </row>
    <row r="516" spans="1:6">
      <c r="A516" s="6">
        <v>44104</v>
      </c>
      <c r="B516" s="98"/>
      <c r="C516" s="98" t="s">
        <v>277</v>
      </c>
      <c r="D516" s="100" t="s">
        <v>297</v>
      </c>
      <c r="E516" s="100" t="s">
        <v>247</v>
      </c>
      <c r="F516" s="100">
        <v>1827.49</v>
      </c>
    </row>
    <row r="517" spans="1:6">
      <c r="A517" s="6">
        <v>44104</v>
      </c>
      <c r="B517" s="98"/>
      <c r="C517" s="98" t="s">
        <v>289</v>
      </c>
      <c r="D517" s="100" t="s">
        <v>297</v>
      </c>
      <c r="E517" s="100" t="s">
        <v>247</v>
      </c>
      <c r="F517" s="100">
        <v>4988.32</v>
      </c>
    </row>
    <row r="518" spans="1:6">
      <c r="A518" s="6">
        <v>44104</v>
      </c>
      <c r="B518" s="98"/>
      <c r="C518" s="98" t="s">
        <v>272</v>
      </c>
      <c r="D518" s="100" t="s">
        <v>297</v>
      </c>
      <c r="E518" s="100" t="s">
        <v>247</v>
      </c>
      <c r="F518" s="100">
        <v>560.96</v>
      </c>
    </row>
    <row r="519" spans="1:6">
      <c r="A519" s="6">
        <v>44104</v>
      </c>
      <c r="B519" s="98"/>
      <c r="C519" s="98" t="s">
        <v>246</v>
      </c>
      <c r="D519" s="100" t="s">
        <v>297</v>
      </c>
      <c r="E519" s="100" t="s">
        <v>247</v>
      </c>
      <c r="F519" s="100">
        <v>1726.31</v>
      </c>
    </row>
    <row r="520" spans="1:6">
      <c r="A520" s="6">
        <v>44104</v>
      </c>
      <c r="B520" s="98"/>
      <c r="C520" s="98" t="s">
        <v>248</v>
      </c>
      <c r="D520" s="100" t="s">
        <v>297</v>
      </c>
      <c r="E520" s="100" t="s">
        <v>247</v>
      </c>
      <c r="F520" s="100">
        <v>10968.83</v>
      </c>
    </row>
    <row r="521" spans="1:6">
      <c r="A521" s="6">
        <v>44104</v>
      </c>
      <c r="B521" s="98"/>
      <c r="C521" s="98" t="s">
        <v>280</v>
      </c>
      <c r="D521" s="100" t="s">
        <v>297</v>
      </c>
      <c r="E521" s="100" t="s">
        <v>247</v>
      </c>
      <c r="F521" s="100">
        <v>6235.88</v>
      </c>
    </row>
    <row r="522" spans="1:6">
      <c r="A522" s="6">
        <v>44104</v>
      </c>
      <c r="B522" s="98"/>
      <c r="C522" s="98" t="s">
        <v>290</v>
      </c>
      <c r="D522" s="100" t="s">
        <v>297</v>
      </c>
      <c r="E522" s="100" t="s">
        <v>247</v>
      </c>
      <c r="F522" s="100">
        <v>1010.91</v>
      </c>
    </row>
    <row r="523" spans="1:6">
      <c r="A523" s="6">
        <v>44104</v>
      </c>
      <c r="B523" s="98"/>
      <c r="C523" s="98" t="s">
        <v>298</v>
      </c>
      <c r="D523" s="100" t="s">
        <v>297</v>
      </c>
      <c r="E523" s="100" t="s">
        <v>247</v>
      </c>
      <c r="F523" s="100">
        <v>6258.64</v>
      </c>
    </row>
    <row r="524" spans="1:6">
      <c r="A524" s="6">
        <v>44104</v>
      </c>
      <c r="B524" s="98"/>
      <c r="C524" s="98" t="s">
        <v>291</v>
      </c>
      <c r="D524" s="100" t="s">
        <v>297</v>
      </c>
      <c r="E524" s="100" t="s">
        <v>247</v>
      </c>
      <c r="F524" s="100">
        <v>9386.3799999999992</v>
      </c>
    </row>
    <row r="525" spans="1:6">
      <c r="A525" s="6">
        <v>44104</v>
      </c>
      <c r="B525" s="98"/>
      <c r="C525" s="98" t="s">
        <v>265</v>
      </c>
      <c r="D525" s="100" t="s">
        <v>297</v>
      </c>
      <c r="E525" s="100" t="s">
        <v>247</v>
      </c>
      <c r="F525" s="100">
        <v>1166.46</v>
      </c>
    </row>
    <row r="526" spans="1:6">
      <c r="A526" s="6">
        <v>44104</v>
      </c>
      <c r="B526" s="98"/>
      <c r="C526" s="98" t="s">
        <v>299</v>
      </c>
      <c r="D526" s="100" t="s">
        <v>297</v>
      </c>
      <c r="E526" s="100" t="s">
        <v>247</v>
      </c>
      <c r="F526" s="100">
        <v>2196.83</v>
      </c>
    </row>
    <row r="527" spans="1:6">
      <c r="A527" s="6">
        <v>44104</v>
      </c>
      <c r="B527" s="98"/>
      <c r="C527" s="98" t="s">
        <v>257</v>
      </c>
      <c r="D527" s="100" t="s">
        <v>297</v>
      </c>
      <c r="E527" s="100" t="s">
        <v>258</v>
      </c>
      <c r="F527" s="100">
        <v>11106.64</v>
      </c>
    </row>
    <row r="528" spans="1:6">
      <c r="A528" s="6">
        <v>44104</v>
      </c>
      <c r="B528" s="98"/>
      <c r="C528" s="98" t="s">
        <v>266</v>
      </c>
      <c r="D528" s="100" t="s">
        <v>297</v>
      </c>
      <c r="E528" s="100" t="s">
        <v>258</v>
      </c>
      <c r="F528" s="100">
        <v>4038.55</v>
      </c>
    </row>
    <row r="529" spans="1:6">
      <c r="A529" s="6">
        <v>44104</v>
      </c>
      <c r="B529" s="98"/>
      <c r="C529" s="98" t="s">
        <v>259</v>
      </c>
      <c r="D529" s="100" t="s">
        <v>297</v>
      </c>
      <c r="E529" s="100" t="s">
        <v>258</v>
      </c>
      <c r="F529" s="100">
        <v>9105.33</v>
      </c>
    </row>
    <row r="530" spans="1:6">
      <c r="A530" s="6">
        <v>44104</v>
      </c>
      <c r="B530" s="98"/>
      <c r="C530" s="98" t="s">
        <v>249</v>
      </c>
      <c r="D530" s="100" t="s">
        <v>297</v>
      </c>
      <c r="E530" s="100" t="s">
        <v>247</v>
      </c>
      <c r="F530" s="100">
        <v>1422.37</v>
      </c>
    </row>
    <row r="531" spans="1:6">
      <c r="A531" s="6">
        <v>44104</v>
      </c>
      <c r="B531" s="98"/>
      <c r="C531" s="98" t="s">
        <v>260</v>
      </c>
      <c r="D531" s="100" t="s">
        <v>297</v>
      </c>
      <c r="E531" s="100" t="s">
        <v>258</v>
      </c>
      <c r="F531" s="100">
        <v>3531.88</v>
      </c>
    </row>
    <row r="532" spans="1:6">
      <c r="A532" s="6">
        <v>44104</v>
      </c>
      <c r="B532" s="98"/>
      <c r="C532" s="98" t="s">
        <v>274</v>
      </c>
      <c r="D532" s="100" t="s">
        <v>297</v>
      </c>
      <c r="E532" s="100" t="s">
        <v>247</v>
      </c>
      <c r="F532" s="100">
        <v>4347.1899999999996</v>
      </c>
    </row>
    <row r="533" spans="1:6">
      <c r="A533" s="6">
        <v>44104</v>
      </c>
      <c r="B533" s="98" t="s">
        <v>300</v>
      </c>
      <c r="C533" s="98" t="s">
        <v>301</v>
      </c>
      <c r="D533" s="100" t="s">
        <v>302</v>
      </c>
      <c r="E533" s="100" t="s">
        <v>247</v>
      </c>
      <c r="F533" s="100">
        <v>14981.78</v>
      </c>
    </row>
    <row r="534" spans="1:6">
      <c r="A534" s="6">
        <v>44104</v>
      </c>
      <c r="B534" s="98"/>
      <c r="C534" s="98" t="s">
        <v>303</v>
      </c>
      <c r="D534" s="100" t="s">
        <v>302</v>
      </c>
      <c r="E534" s="100" t="s">
        <v>247</v>
      </c>
      <c r="F534" s="100">
        <v>3995.14</v>
      </c>
    </row>
    <row r="535" spans="1:6">
      <c r="A535" s="6">
        <v>44104</v>
      </c>
      <c r="B535" s="98" t="s">
        <v>304</v>
      </c>
      <c r="C535" s="98" t="s">
        <v>262</v>
      </c>
      <c r="D535" s="100" t="s">
        <v>305</v>
      </c>
      <c r="E535" s="100" t="s">
        <v>244</v>
      </c>
      <c r="F535" s="100">
        <v>333.06</v>
      </c>
    </row>
    <row r="536" spans="1:6">
      <c r="A536" s="6">
        <v>44104</v>
      </c>
      <c r="B536" s="98"/>
      <c r="C536" s="98" t="s">
        <v>245</v>
      </c>
      <c r="D536" s="100" t="s">
        <v>305</v>
      </c>
      <c r="E536" s="100" t="s">
        <v>244</v>
      </c>
      <c r="F536" s="100">
        <v>169.89</v>
      </c>
    </row>
    <row r="537" spans="1:6">
      <c r="A537" s="6">
        <v>44104</v>
      </c>
      <c r="B537" s="98" t="s">
        <v>306</v>
      </c>
      <c r="C537" s="98" t="s">
        <v>242</v>
      </c>
      <c r="D537" s="100" t="s">
        <v>307</v>
      </c>
      <c r="E537" s="100" t="s">
        <v>244</v>
      </c>
      <c r="F537" s="100">
        <v>20.350000000000001</v>
      </c>
    </row>
    <row r="538" spans="1:6">
      <c r="A538" s="6">
        <v>44104</v>
      </c>
      <c r="B538" s="98"/>
      <c r="C538" s="98" t="s">
        <v>262</v>
      </c>
      <c r="D538" s="100" t="s">
        <v>307</v>
      </c>
      <c r="E538" s="100" t="s">
        <v>244</v>
      </c>
      <c r="F538" s="100">
        <v>107.59</v>
      </c>
    </row>
    <row r="539" spans="1:6">
      <c r="A539" s="6">
        <v>44104</v>
      </c>
      <c r="B539" s="98"/>
      <c r="C539" s="98" t="s">
        <v>245</v>
      </c>
      <c r="D539" s="100" t="s">
        <v>307</v>
      </c>
      <c r="E539" s="100" t="s">
        <v>244</v>
      </c>
      <c r="F539" s="100">
        <v>23.77</v>
      </c>
    </row>
    <row r="540" spans="1:6">
      <c r="A540" s="6">
        <v>44104</v>
      </c>
      <c r="B540" s="98"/>
      <c r="C540" s="98" t="s">
        <v>264</v>
      </c>
      <c r="D540" s="100" t="s">
        <v>307</v>
      </c>
      <c r="E540" s="100" t="s">
        <v>244</v>
      </c>
      <c r="F540" s="100">
        <v>9.4499999999999993</v>
      </c>
    </row>
    <row r="541" spans="1:6">
      <c r="A541" s="6">
        <v>44104</v>
      </c>
      <c r="B541" s="98" t="s">
        <v>308</v>
      </c>
      <c r="C541" s="98" t="s">
        <v>262</v>
      </c>
      <c r="D541" s="100" t="s">
        <v>309</v>
      </c>
      <c r="E541" s="100" t="s">
        <v>244</v>
      </c>
      <c r="F541" s="100">
        <v>390.44</v>
      </c>
    </row>
    <row r="542" spans="1:6">
      <c r="A542" s="6">
        <v>44104</v>
      </c>
      <c r="B542" s="98"/>
      <c r="C542" s="98" t="s">
        <v>245</v>
      </c>
      <c r="D542" s="100" t="s">
        <v>309</v>
      </c>
      <c r="E542" s="100" t="s">
        <v>244</v>
      </c>
      <c r="F542" s="100">
        <v>80.569999999999993</v>
      </c>
    </row>
    <row r="543" spans="1:6">
      <c r="A543" s="6">
        <v>44104</v>
      </c>
      <c r="B543" s="98"/>
      <c r="C543" s="98" t="s">
        <v>264</v>
      </c>
      <c r="D543" s="100" t="s">
        <v>309</v>
      </c>
      <c r="E543" s="100" t="s">
        <v>244</v>
      </c>
      <c r="F543" s="100">
        <v>17.600000000000001</v>
      </c>
    </row>
    <row r="544" spans="1:6">
      <c r="A544" s="6">
        <v>44104</v>
      </c>
      <c r="B544" s="98"/>
      <c r="C544" s="98" t="s">
        <v>254</v>
      </c>
      <c r="D544" s="100" t="s">
        <v>309</v>
      </c>
      <c r="E544" s="100" t="s">
        <v>244</v>
      </c>
      <c r="F544" s="100">
        <v>17.3</v>
      </c>
    </row>
    <row r="545" spans="1:6">
      <c r="A545" s="6">
        <v>44104</v>
      </c>
      <c r="B545" s="98"/>
      <c r="C545" s="98" t="s">
        <v>272</v>
      </c>
      <c r="D545" s="100" t="s">
        <v>309</v>
      </c>
      <c r="E545" s="100" t="s">
        <v>247</v>
      </c>
      <c r="F545" s="100">
        <v>158.96</v>
      </c>
    </row>
    <row r="546" spans="1:6">
      <c r="A546" s="6">
        <v>44104</v>
      </c>
      <c r="B546" s="98" t="s">
        <v>310</v>
      </c>
      <c r="C546" s="98" t="s">
        <v>262</v>
      </c>
      <c r="D546" s="100" t="s">
        <v>311</v>
      </c>
      <c r="E546" s="100" t="s">
        <v>244</v>
      </c>
      <c r="F546" s="100">
        <v>71</v>
      </c>
    </row>
    <row r="547" spans="1:6">
      <c r="A547" s="6">
        <v>44104</v>
      </c>
      <c r="B547" s="98"/>
      <c r="C547" s="98" t="s">
        <v>251</v>
      </c>
      <c r="D547" s="100" t="s">
        <v>311</v>
      </c>
      <c r="E547" s="100" t="s">
        <v>244</v>
      </c>
      <c r="F547" s="100">
        <v>4.7300000000000004</v>
      </c>
    </row>
    <row r="548" spans="1:6">
      <c r="A548" s="6">
        <v>44104</v>
      </c>
      <c r="B548" s="98"/>
      <c r="C548" s="98" t="s">
        <v>245</v>
      </c>
      <c r="D548" s="100" t="s">
        <v>311</v>
      </c>
      <c r="E548" s="100" t="s">
        <v>244</v>
      </c>
      <c r="F548" s="100">
        <v>570.4</v>
      </c>
    </row>
    <row r="549" spans="1:6">
      <c r="A549" s="6">
        <v>44104</v>
      </c>
      <c r="B549" s="98"/>
      <c r="C549" s="98" t="s">
        <v>271</v>
      </c>
      <c r="D549" s="100" t="s">
        <v>311</v>
      </c>
      <c r="E549" s="100" t="s">
        <v>244</v>
      </c>
      <c r="F549" s="100">
        <v>9.6300000000000008</v>
      </c>
    </row>
    <row r="550" spans="1:6">
      <c r="A550" s="6">
        <v>44104</v>
      </c>
      <c r="B550" s="98"/>
      <c r="C550" s="98" t="s">
        <v>254</v>
      </c>
      <c r="D550" s="100" t="s">
        <v>311</v>
      </c>
      <c r="E550" s="100" t="s">
        <v>244</v>
      </c>
      <c r="F550" s="100">
        <v>46.66</v>
      </c>
    </row>
    <row r="551" spans="1:6">
      <c r="A551" s="6">
        <v>44104</v>
      </c>
      <c r="B551" s="98"/>
      <c r="C551" s="98" t="s">
        <v>277</v>
      </c>
      <c r="D551" s="100" t="s">
        <v>311</v>
      </c>
      <c r="E551" s="100" t="s">
        <v>247</v>
      </c>
      <c r="F551" s="100">
        <v>4137.72</v>
      </c>
    </row>
    <row r="552" spans="1:6">
      <c r="A552" s="6">
        <v>44104</v>
      </c>
      <c r="B552" s="98"/>
      <c r="C552" s="98" t="s">
        <v>248</v>
      </c>
      <c r="D552" s="100" t="s">
        <v>311</v>
      </c>
      <c r="E552" s="100" t="s">
        <v>247</v>
      </c>
      <c r="F552" s="100">
        <v>3438.03</v>
      </c>
    </row>
    <row r="553" spans="1:6">
      <c r="A553" s="6">
        <v>44104</v>
      </c>
      <c r="B553" s="98"/>
      <c r="C553" s="98" t="s">
        <v>265</v>
      </c>
      <c r="D553" s="100" t="s">
        <v>311</v>
      </c>
      <c r="E553" s="100" t="s">
        <v>247</v>
      </c>
      <c r="F553" s="100">
        <v>399.78</v>
      </c>
    </row>
    <row r="554" spans="1:6">
      <c r="A554" s="6">
        <v>44104</v>
      </c>
      <c r="B554" s="98"/>
      <c r="C554" s="98" t="s">
        <v>266</v>
      </c>
      <c r="D554" s="100" t="s">
        <v>311</v>
      </c>
      <c r="E554" s="100" t="s">
        <v>258</v>
      </c>
      <c r="F554" s="100">
        <v>20085.400000000001</v>
      </c>
    </row>
    <row r="555" spans="1:6">
      <c r="A555" s="6">
        <v>44104</v>
      </c>
      <c r="B555" s="98" t="s">
        <v>312</v>
      </c>
      <c r="C555" s="98" t="s">
        <v>242</v>
      </c>
      <c r="D555" s="100" t="s">
        <v>313</v>
      </c>
      <c r="E555" s="100" t="s">
        <v>244</v>
      </c>
      <c r="F555" s="100">
        <v>194.1</v>
      </c>
    </row>
    <row r="556" spans="1:6">
      <c r="A556" s="6">
        <v>44104</v>
      </c>
      <c r="B556" s="98"/>
      <c r="C556" s="98" t="s">
        <v>262</v>
      </c>
      <c r="D556" s="100" t="s">
        <v>313</v>
      </c>
      <c r="E556" s="100" t="s">
        <v>244</v>
      </c>
      <c r="F556" s="100">
        <v>27051.38</v>
      </c>
    </row>
    <row r="557" spans="1:6">
      <c r="A557" s="6">
        <v>44104</v>
      </c>
      <c r="B557" s="98"/>
      <c r="C557" s="98" t="s">
        <v>253</v>
      </c>
      <c r="D557" s="100" t="s">
        <v>313</v>
      </c>
      <c r="E557" s="100" t="s">
        <v>244</v>
      </c>
      <c r="F557" s="100">
        <v>29.72</v>
      </c>
    </row>
    <row r="558" spans="1:6">
      <c r="A558" s="6">
        <v>44104</v>
      </c>
      <c r="B558" s="98"/>
      <c r="C558" s="98" t="s">
        <v>245</v>
      </c>
      <c r="D558" s="100" t="s">
        <v>313</v>
      </c>
      <c r="E558" s="100" t="s">
        <v>244</v>
      </c>
      <c r="F558" s="100">
        <v>133.85</v>
      </c>
    </row>
    <row r="559" spans="1:6">
      <c r="A559" s="6">
        <v>44104</v>
      </c>
      <c r="B559" s="98"/>
      <c r="C559" s="98" t="s">
        <v>248</v>
      </c>
      <c r="D559" s="100" t="s">
        <v>313</v>
      </c>
      <c r="E559" s="100" t="s">
        <v>247</v>
      </c>
      <c r="F559" s="100">
        <v>3281.81</v>
      </c>
    </row>
    <row r="560" spans="1:6">
      <c r="A560" s="6">
        <v>44104</v>
      </c>
      <c r="B560" s="98" t="s">
        <v>314</v>
      </c>
      <c r="C560" s="98" t="s">
        <v>242</v>
      </c>
      <c r="D560" s="100" t="s">
        <v>315</v>
      </c>
      <c r="E560" s="100" t="s">
        <v>244</v>
      </c>
      <c r="F560" s="100">
        <v>4086.23</v>
      </c>
    </row>
    <row r="561" spans="1:6">
      <c r="A561" s="6">
        <v>44104</v>
      </c>
      <c r="B561" s="98"/>
      <c r="C561" s="98" t="s">
        <v>262</v>
      </c>
      <c r="D561" s="100" t="s">
        <v>315</v>
      </c>
      <c r="E561" s="100" t="s">
        <v>244</v>
      </c>
      <c r="F561" s="100">
        <v>5693.35</v>
      </c>
    </row>
    <row r="562" spans="1:6">
      <c r="A562" s="6">
        <v>44104</v>
      </c>
      <c r="B562" s="98"/>
      <c r="C562" s="98" t="s">
        <v>245</v>
      </c>
      <c r="D562" s="100" t="s">
        <v>315</v>
      </c>
      <c r="E562" s="100" t="s">
        <v>244</v>
      </c>
      <c r="F562" s="100">
        <v>7.92</v>
      </c>
    </row>
    <row r="563" spans="1:6">
      <c r="A563" s="6">
        <v>44104</v>
      </c>
      <c r="B563" s="98"/>
      <c r="C563" s="98" t="s">
        <v>289</v>
      </c>
      <c r="D563" s="100" t="s">
        <v>315</v>
      </c>
      <c r="E563" s="100" t="s">
        <v>247</v>
      </c>
      <c r="F563" s="100">
        <v>3072.96</v>
      </c>
    </row>
    <row r="564" spans="1:6">
      <c r="A564" s="6">
        <v>44104</v>
      </c>
      <c r="B564" s="98"/>
      <c r="C564" s="98" t="s">
        <v>248</v>
      </c>
      <c r="D564" s="100" t="s">
        <v>315</v>
      </c>
      <c r="E564" s="100" t="s">
        <v>247</v>
      </c>
      <c r="F564" s="100">
        <v>3795.12</v>
      </c>
    </row>
    <row r="565" spans="1:6">
      <c r="A565" s="6">
        <v>44104</v>
      </c>
      <c r="B565" s="98" t="s">
        <v>316</v>
      </c>
      <c r="C565" s="98" t="s">
        <v>262</v>
      </c>
      <c r="D565" s="100" t="s">
        <v>317</v>
      </c>
      <c r="E565" s="100" t="s">
        <v>244</v>
      </c>
      <c r="F565" s="100">
        <v>428.16</v>
      </c>
    </row>
    <row r="566" spans="1:6">
      <c r="A566" s="6">
        <v>44104</v>
      </c>
      <c r="B566" s="98"/>
      <c r="C566" s="98" t="s">
        <v>245</v>
      </c>
      <c r="D566" s="100" t="s">
        <v>317</v>
      </c>
      <c r="E566" s="100" t="s">
        <v>244</v>
      </c>
      <c r="F566" s="100">
        <v>151.66</v>
      </c>
    </row>
    <row r="567" spans="1:6">
      <c r="A567" s="6">
        <v>44104</v>
      </c>
      <c r="B567" s="98"/>
      <c r="C567" s="98" t="s">
        <v>254</v>
      </c>
      <c r="D567" s="100" t="s">
        <v>317</v>
      </c>
      <c r="E567" s="100" t="s">
        <v>244</v>
      </c>
      <c r="F567" s="100">
        <v>40.450000000000003</v>
      </c>
    </row>
    <row r="568" spans="1:6">
      <c r="A568" s="6">
        <v>44104</v>
      </c>
      <c r="B568" s="98" t="s">
        <v>318</v>
      </c>
      <c r="C568" s="98" t="s">
        <v>242</v>
      </c>
      <c r="D568" s="100" t="s">
        <v>319</v>
      </c>
      <c r="E568" s="100" t="s">
        <v>244</v>
      </c>
      <c r="F568" s="100">
        <v>435.96</v>
      </c>
    </row>
    <row r="569" spans="1:6">
      <c r="A569" s="6">
        <v>44104</v>
      </c>
      <c r="B569" s="98"/>
      <c r="C569" s="98" t="s">
        <v>262</v>
      </c>
      <c r="D569" s="100" t="s">
        <v>319</v>
      </c>
      <c r="E569" s="100" t="s">
        <v>244</v>
      </c>
      <c r="F569" s="100">
        <v>2661.64</v>
      </c>
    </row>
    <row r="570" spans="1:6">
      <c r="A570" s="6">
        <v>44104</v>
      </c>
      <c r="B570" s="98"/>
      <c r="C570" s="98" t="s">
        <v>253</v>
      </c>
      <c r="D570" s="100" t="s">
        <v>319</v>
      </c>
      <c r="E570" s="100" t="s">
        <v>244</v>
      </c>
      <c r="F570" s="100">
        <v>27.37</v>
      </c>
    </row>
    <row r="571" spans="1:6">
      <c r="A571" s="6">
        <v>44104</v>
      </c>
      <c r="B571" s="98"/>
      <c r="C571" s="98" t="s">
        <v>245</v>
      </c>
      <c r="D571" s="100" t="s">
        <v>319</v>
      </c>
      <c r="E571" s="100" t="s">
        <v>244</v>
      </c>
      <c r="F571" s="100">
        <v>298.01</v>
      </c>
    </row>
    <row r="572" spans="1:6">
      <c r="A572" s="6">
        <v>44104</v>
      </c>
      <c r="B572" s="98"/>
      <c r="C572" s="98" t="s">
        <v>264</v>
      </c>
      <c r="D572" s="100" t="s">
        <v>319</v>
      </c>
      <c r="E572" s="100" t="s">
        <v>244</v>
      </c>
      <c r="F572" s="100">
        <v>733</v>
      </c>
    </row>
    <row r="573" spans="1:6">
      <c r="A573" s="6">
        <v>44104</v>
      </c>
      <c r="B573" s="98"/>
      <c r="C573" s="98" t="s">
        <v>271</v>
      </c>
      <c r="D573" s="100" t="s">
        <v>319</v>
      </c>
      <c r="E573" s="100" t="s">
        <v>244</v>
      </c>
      <c r="F573" s="100">
        <v>17.079999999999998</v>
      </c>
    </row>
    <row r="574" spans="1:6">
      <c r="A574" s="6">
        <v>44104</v>
      </c>
      <c r="B574" s="98"/>
      <c r="C574" s="98" t="s">
        <v>254</v>
      </c>
      <c r="D574" s="100" t="s">
        <v>319</v>
      </c>
      <c r="E574" s="100" t="s">
        <v>244</v>
      </c>
      <c r="F574" s="100">
        <v>424.6</v>
      </c>
    </row>
    <row r="575" spans="1:6">
      <c r="A575" s="6">
        <v>44104</v>
      </c>
      <c r="B575" s="98"/>
      <c r="C575" s="98" t="s">
        <v>255</v>
      </c>
      <c r="D575" s="100" t="s">
        <v>319</v>
      </c>
      <c r="E575" s="100" t="s">
        <v>247</v>
      </c>
      <c r="F575" s="100">
        <v>3306.72</v>
      </c>
    </row>
    <row r="576" spans="1:6">
      <c r="A576" s="6">
        <v>44104</v>
      </c>
      <c r="B576" s="98"/>
      <c r="C576" s="98" t="s">
        <v>278</v>
      </c>
      <c r="D576" s="100" t="s">
        <v>319</v>
      </c>
      <c r="E576" s="100" t="s">
        <v>247</v>
      </c>
      <c r="F576" s="100">
        <v>11414.7</v>
      </c>
    </row>
    <row r="577" spans="1:6">
      <c r="A577" s="6">
        <v>44104</v>
      </c>
      <c r="B577" s="98"/>
      <c r="C577" s="98" t="s">
        <v>272</v>
      </c>
      <c r="D577" s="100" t="s">
        <v>319</v>
      </c>
      <c r="E577" s="100" t="s">
        <v>247</v>
      </c>
      <c r="F577" s="100">
        <v>2734.41</v>
      </c>
    </row>
    <row r="578" spans="1:6">
      <c r="A578" s="6">
        <v>44104</v>
      </c>
      <c r="B578" s="98"/>
      <c r="C578" s="98" t="s">
        <v>246</v>
      </c>
      <c r="D578" s="100" t="s">
        <v>319</v>
      </c>
      <c r="E578" s="100" t="s">
        <v>247</v>
      </c>
      <c r="F578" s="100">
        <v>4752.75</v>
      </c>
    </row>
    <row r="579" spans="1:6">
      <c r="A579" s="6">
        <v>44104</v>
      </c>
      <c r="B579" s="98"/>
      <c r="C579" s="98" t="s">
        <v>249</v>
      </c>
      <c r="D579" s="100" t="s">
        <v>319</v>
      </c>
      <c r="E579" s="100" t="s">
        <v>247</v>
      </c>
      <c r="F579" s="100">
        <v>258.02999999999997</v>
      </c>
    </row>
    <row r="580" spans="1:6">
      <c r="A580" s="6">
        <v>44104</v>
      </c>
      <c r="B580" s="98" t="s">
        <v>320</v>
      </c>
      <c r="C580" s="98" t="s">
        <v>242</v>
      </c>
      <c r="D580" s="100" t="s">
        <v>321</v>
      </c>
      <c r="E580" s="100" t="s">
        <v>244</v>
      </c>
      <c r="F580" s="100">
        <v>2568.92</v>
      </c>
    </row>
    <row r="581" spans="1:6">
      <c r="A581" s="6">
        <v>44104</v>
      </c>
      <c r="B581" s="98"/>
      <c r="C581" s="98" t="s">
        <v>262</v>
      </c>
      <c r="D581" s="100" t="s">
        <v>321</v>
      </c>
      <c r="E581" s="100" t="s">
        <v>244</v>
      </c>
      <c r="F581" s="100">
        <v>5212.33</v>
      </c>
    </row>
    <row r="582" spans="1:6">
      <c r="A582" s="6">
        <v>44104</v>
      </c>
      <c r="B582" s="98"/>
      <c r="C582" s="98" t="s">
        <v>253</v>
      </c>
      <c r="D582" s="100" t="s">
        <v>321</v>
      </c>
      <c r="E582" s="100" t="s">
        <v>244</v>
      </c>
      <c r="F582" s="100">
        <v>58</v>
      </c>
    </row>
    <row r="583" spans="1:6">
      <c r="A583" s="6">
        <v>44104</v>
      </c>
      <c r="B583" s="98"/>
      <c r="C583" s="98" t="s">
        <v>245</v>
      </c>
      <c r="D583" s="100" t="s">
        <v>321</v>
      </c>
      <c r="E583" s="100" t="s">
        <v>244</v>
      </c>
      <c r="F583" s="100">
        <v>132.49</v>
      </c>
    </row>
    <row r="584" spans="1:6">
      <c r="A584" s="6">
        <v>44104</v>
      </c>
      <c r="B584" s="98"/>
      <c r="C584" s="98" t="s">
        <v>264</v>
      </c>
      <c r="D584" s="100" t="s">
        <v>321</v>
      </c>
      <c r="E584" s="100" t="s">
        <v>244</v>
      </c>
      <c r="F584" s="100">
        <v>1982.52</v>
      </c>
    </row>
    <row r="585" spans="1:6">
      <c r="A585" s="6">
        <v>44104</v>
      </c>
      <c r="B585" s="98"/>
      <c r="C585" s="98" t="s">
        <v>271</v>
      </c>
      <c r="D585" s="100" t="s">
        <v>321</v>
      </c>
      <c r="E585" s="100" t="s">
        <v>244</v>
      </c>
      <c r="F585" s="100">
        <v>10.88</v>
      </c>
    </row>
    <row r="586" spans="1:6">
      <c r="A586" s="6">
        <v>44104</v>
      </c>
      <c r="B586" s="98"/>
      <c r="C586" s="98" t="s">
        <v>254</v>
      </c>
      <c r="D586" s="100" t="s">
        <v>321</v>
      </c>
      <c r="E586" s="100" t="s">
        <v>244</v>
      </c>
      <c r="F586" s="100">
        <v>207.22</v>
      </c>
    </row>
    <row r="587" spans="1:6">
      <c r="A587" s="6">
        <v>44104</v>
      </c>
      <c r="B587" s="98"/>
      <c r="C587" s="98" t="s">
        <v>277</v>
      </c>
      <c r="D587" s="100" t="s">
        <v>321</v>
      </c>
      <c r="E587" s="100" t="s">
        <v>247</v>
      </c>
      <c r="F587" s="100">
        <v>15545.57</v>
      </c>
    </row>
    <row r="588" spans="1:6">
      <c r="A588" s="6">
        <v>44104</v>
      </c>
      <c r="B588" s="98"/>
      <c r="C588" s="98" t="s">
        <v>255</v>
      </c>
      <c r="D588" s="100" t="s">
        <v>321</v>
      </c>
      <c r="E588" s="100" t="s">
        <v>247</v>
      </c>
      <c r="F588" s="100">
        <v>637</v>
      </c>
    </row>
    <row r="589" spans="1:6">
      <c r="A589" s="6">
        <v>44104</v>
      </c>
      <c r="B589" s="98"/>
      <c r="C589" s="98" t="s">
        <v>278</v>
      </c>
      <c r="D589" s="100" t="s">
        <v>321</v>
      </c>
      <c r="E589" s="100" t="s">
        <v>247</v>
      </c>
      <c r="F589" s="100">
        <v>2808.77</v>
      </c>
    </row>
    <row r="590" spans="1:6">
      <c r="A590" s="6">
        <v>44104</v>
      </c>
      <c r="B590" s="98"/>
      <c r="C590" s="98" t="s">
        <v>272</v>
      </c>
      <c r="D590" s="100" t="s">
        <v>321</v>
      </c>
      <c r="E590" s="100" t="s">
        <v>247</v>
      </c>
      <c r="F590" s="100">
        <v>2383.35</v>
      </c>
    </row>
    <row r="591" spans="1:6">
      <c r="A591" s="6">
        <v>44104</v>
      </c>
      <c r="B591" s="98"/>
      <c r="C591" s="98" t="s">
        <v>290</v>
      </c>
      <c r="D591" s="100" t="s">
        <v>321</v>
      </c>
      <c r="E591" s="100" t="s">
        <v>247</v>
      </c>
      <c r="F591" s="100">
        <v>374.13</v>
      </c>
    </row>
    <row r="592" spans="1:6">
      <c r="A592" s="6">
        <v>44104</v>
      </c>
      <c r="B592" s="98"/>
      <c r="C592" s="98" t="s">
        <v>256</v>
      </c>
      <c r="D592" s="100" t="s">
        <v>321</v>
      </c>
      <c r="E592" s="100" t="s">
        <v>247</v>
      </c>
      <c r="F592" s="100">
        <v>9210.23</v>
      </c>
    </row>
    <row r="593" spans="1:6">
      <c r="A593" s="6">
        <v>44104</v>
      </c>
      <c r="B593" s="98"/>
      <c r="C593" s="98" t="s">
        <v>265</v>
      </c>
      <c r="D593" s="100" t="s">
        <v>321</v>
      </c>
      <c r="E593" s="100" t="s">
        <v>247</v>
      </c>
      <c r="F593" s="100">
        <v>594.46</v>
      </c>
    </row>
    <row r="594" spans="1:6">
      <c r="A594" s="6">
        <v>44104</v>
      </c>
      <c r="B594" s="98"/>
      <c r="C594" s="98" t="s">
        <v>249</v>
      </c>
      <c r="D594" s="100" t="s">
        <v>321</v>
      </c>
      <c r="E594" s="100" t="s">
        <v>247</v>
      </c>
      <c r="F594" s="100">
        <v>257.95</v>
      </c>
    </row>
    <row r="595" spans="1:6">
      <c r="A595" s="6">
        <v>44104</v>
      </c>
      <c r="B595" s="98"/>
      <c r="C595" s="98" t="s">
        <v>274</v>
      </c>
      <c r="D595" s="100" t="s">
        <v>321</v>
      </c>
      <c r="E595" s="100" t="s">
        <v>247</v>
      </c>
      <c r="F595" s="100">
        <v>21371.88</v>
      </c>
    </row>
    <row r="596" spans="1:6">
      <c r="A596" s="6">
        <v>44104</v>
      </c>
      <c r="B596" s="98" t="s">
        <v>322</v>
      </c>
      <c r="C596" s="98" t="s">
        <v>253</v>
      </c>
      <c r="D596" s="100" t="s">
        <v>323</v>
      </c>
      <c r="E596" s="100" t="s">
        <v>244</v>
      </c>
      <c r="F596" s="100">
        <v>47.81</v>
      </c>
    </row>
    <row r="597" spans="1:6">
      <c r="A597" s="6">
        <v>44104</v>
      </c>
      <c r="B597" s="98"/>
      <c r="C597" s="98" t="s">
        <v>245</v>
      </c>
      <c r="D597" s="100" t="s">
        <v>323</v>
      </c>
      <c r="E597" s="100" t="s">
        <v>244</v>
      </c>
      <c r="F597" s="100">
        <v>3510.74</v>
      </c>
    </row>
    <row r="598" spans="1:6">
      <c r="A598" s="6">
        <v>44104</v>
      </c>
      <c r="B598" s="98"/>
      <c r="C598" s="98" t="s">
        <v>255</v>
      </c>
      <c r="D598" s="100" t="s">
        <v>323</v>
      </c>
      <c r="E598" s="100" t="s">
        <v>247</v>
      </c>
      <c r="F598" s="100">
        <v>7863.84</v>
      </c>
    </row>
    <row r="599" spans="1:6">
      <c r="A599" s="6">
        <v>44104</v>
      </c>
      <c r="B599" s="98"/>
      <c r="C599" s="98" t="s">
        <v>289</v>
      </c>
      <c r="D599" s="100" t="s">
        <v>323</v>
      </c>
      <c r="E599" s="100" t="s">
        <v>247</v>
      </c>
      <c r="F599" s="100">
        <v>11190.14</v>
      </c>
    </row>
    <row r="600" spans="1:6">
      <c r="A600" s="6">
        <v>44104</v>
      </c>
      <c r="B600" s="98"/>
      <c r="C600" s="98" t="s">
        <v>265</v>
      </c>
      <c r="D600" s="100" t="s">
        <v>323</v>
      </c>
      <c r="E600" s="100" t="s">
        <v>247</v>
      </c>
      <c r="F600" s="100">
        <v>565.89</v>
      </c>
    </row>
    <row r="601" spans="1:6">
      <c r="A601" s="6">
        <v>44104</v>
      </c>
      <c r="B601" s="98" t="s">
        <v>324</v>
      </c>
      <c r="C601" s="98" t="s">
        <v>251</v>
      </c>
      <c r="D601" s="100" t="s">
        <v>325</v>
      </c>
      <c r="E601" s="100" t="s">
        <v>244</v>
      </c>
      <c r="F601" s="100">
        <v>335.14</v>
      </c>
    </row>
    <row r="602" spans="1:6">
      <c r="A602" s="6">
        <v>44104</v>
      </c>
      <c r="B602" s="98"/>
      <c r="C602" s="98" t="s">
        <v>257</v>
      </c>
      <c r="D602" s="100" t="s">
        <v>325</v>
      </c>
      <c r="E602" s="100" t="s">
        <v>258</v>
      </c>
      <c r="F602" s="100">
        <v>41027.17</v>
      </c>
    </row>
    <row r="603" spans="1:6">
      <c r="A603" s="6">
        <v>44104</v>
      </c>
      <c r="B603" s="98"/>
      <c r="C603" s="98" t="s">
        <v>266</v>
      </c>
      <c r="D603" s="100" t="s">
        <v>325</v>
      </c>
      <c r="E603" s="100" t="s">
        <v>258</v>
      </c>
      <c r="F603" s="100">
        <v>19103.3</v>
      </c>
    </row>
    <row r="604" spans="1:6">
      <c r="A604" s="6">
        <v>44104</v>
      </c>
      <c r="B604" s="98"/>
      <c r="C604" s="98" t="s">
        <v>259</v>
      </c>
      <c r="D604" s="100" t="s">
        <v>325</v>
      </c>
      <c r="E604" s="100" t="s">
        <v>258</v>
      </c>
      <c r="F604" s="100">
        <v>32816.300000000003</v>
      </c>
    </row>
    <row r="605" spans="1:6">
      <c r="A605" s="6">
        <v>44104</v>
      </c>
      <c r="B605" s="98"/>
      <c r="C605" s="98" t="s">
        <v>260</v>
      </c>
      <c r="D605" s="100" t="s">
        <v>325</v>
      </c>
      <c r="E605" s="100" t="s">
        <v>258</v>
      </c>
      <c r="F605" s="100">
        <v>9472.7900000000009</v>
      </c>
    </row>
    <row r="606" spans="1:6">
      <c r="A606" s="6">
        <v>44104</v>
      </c>
      <c r="B606" s="98" t="s">
        <v>326</v>
      </c>
      <c r="C606" s="98" t="s">
        <v>242</v>
      </c>
      <c r="D606" s="100" t="s">
        <v>327</v>
      </c>
      <c r="E606" s="100" t="s">
        <v>244</v>
      </c>
      <c r="F606" s="100">
        <v>891.92</v>
      </c>
    </row>
    <row r="607" spans="1:6">
      <c r="A607" s="6">
        <v>44104</v>
      </c>
      <c r="B607" s="98"/>
      <c r="C607" s="98" t="s">
        <v>262</v>
      </c>
      <c r="D607" s="100" t="s">
        <v>327</v>
      </c>
      <c r="E607" s="100" t="s">
        <v>244</v>
      </c>
      <c r="F607" s="100">
        <v>4681.51</v>
      </c>
    </row>
    <row r="608" spans="1:6">
      <c r="A608" s="6">
        <v>44104</v>
      </c>
      <c r="B608" s="98"/>
      <c r="C608" s="98" t="s">
        <v>251</v>
      </c>
      <c r="D608" s="100" t="s">
        <v>327</v>
      </c>
      <c r="E608" s="100" t="s">
        <v>244</v>
      </c>
      <c r="F608" s="100">
        <v>2.97</v>
      </c>
    </row>
    <row r="609" spans="1:6">
      <c r="A609" s="6">
        <v>44104</v>
      </c>
      <c r="B609" s="98"/>
      <c r="C609" s="98" t="s">
        <v>245</v>
      </c>
      <c r="D609" s="100" t="s">
        <v>327</v>
      </c>
      <c r="E609" s="100" t="s">
        <v>244</v>
      </c>
      <c r="F609" s="100">
        <v>482.42</v>
      </c>
    </row>
    <row r="610" spans="1:6">
      <c r="A610" s="6">
        <v>44104</v>
      </c>
      <c r="B610" s="98"/>
      <c r="C610" s="98" t="s">
        <v>264</v>
      </c>
      <c r="D610" s="100" t="s">
        <v>327</v>
      </c>
      <c r="E610" s="100" t="s">
        <v>244</v>
      </c>
      <c r="F610" s="100">
        <v>358.49</v>
      </c>
    </row>
    <row r="611" spans="1:6">
      <c r="A611" s="6">
        <v>44104</v>
      </c>
      <c r="B611" s="98"/>
      <c r="C611" s="98" t="s">
        <v>271</v>
      </c>
      <c r="D611" s="100" t="s">
        <v>327</v>
      </c>
      <c r="E611" s="100" t="s">
        <v>244</v>
      </c>
      <c r="F611" s="100">
        <v>16.82</v>
      </c>
    </row>
    <row r="612" spans="1:6">
      <c r="A612" s="6">
        <v>44104</v>
      </c>
      <c r="B612" s="98"/>
      <c r="C612" s="98" t="s">
        <v>278</v>
      </c>
      <c r="D612" s="100" t="s">
        <v>327</v>
      </c>
      <c r="E612" s="100" t="s">
        <v>247</v>
      </c>
      <c r="F612" s="100">
        <v>1611.06</v>
      </c>
    </row>
    <row r="613" spans="1:6">
      <c r="A613" s="6">
        <v>44104</v>
      </c>
      <c r="B613" s="98"/>
      <c r="C613" s="98" t="s">
        <v>289</v>
      </c>
      <c r="D613" s="100" t="s">
        <v>327</v>
      </c>
      <c r="E613" s="100" t="s">
        <v>247</v>
      </c>
      <c r="F613" s="100">
        <v>2422.64</v>
      </c>
    </row>
    <row r="614" spans="1:6">
      <c r="A614" s="6">
        <v>44104</v>
      </c>
      <c r="B614" s="98"/>
      <c r="C614" s="98" t="s">
        <v>248</v>
      </c>
      <c r="D614" s="100" t="s">
        <v>327</v>
      </c>
      <c r="E614" s="100" t="s">
        <v>247</v>
      </c>
      <c r="F614" s="100">
        <v>3872.74</v>
      </c>
    </row>
    <row r="615" spans="1:6">
      <c r="A615" s="6">
        <v>44104</v>
      </c>
      <c r="B615" s="98"/>
      <c r="C615" s="98" t="s">
        <v>368</v>
      </c>
      <c r="D615" s="100" t="s">
        <v>327</v>
      </c>
      <c r="E615" s="100" t="s">
        <v>247</v>
      </c>
      <c r="F615" s="100">
        <v>5910.3</v>
      </c>
    </row>
    <row r="616" spans="1:6">
      <c r="A616" s="6">
        <v>44104</v>
      </c>
      <c r="B616" s="98"/>
      <c r="C616" s="98" t="s">
        <v>339</v>
      </c>
      <c r="D616" s="100" t="s">
        <v>327</v>
      </c>
      <c r="E616" s="100" t="s">
        <v>247</v>
      </c>
      <c r="F616" s="100">
        <v>768.44</v>
      </c>
    </row>
    <row r="617" spans="1:6">
      <c r="A617" s="6">
        <v>44104</v>
      </c>
      <c r="B617" s="98"/>
      <c r="C617" s="98" t="s">
        <v>266</v>
      </c>
      <c r="D617" s="100" t="s">
        <v>327</v>
      </c>
      <c r="E617" s="100" t="s">
        <v>258</v>
      </c>
      <c r="F617" s="100">
        <v>31988.39</v>
      </c>
    </row>
    <row r="618" spans="1:6">
      <c r="A618" s="6">
        <v>44104</v>
      </c>
      <c r="B618" s="98"/>
      <c r="C618" s="98" t="s">
        <v>274</v>
      </c>
      <c r="D618" s="100" t="s">
        <v>327</v>
      </c>
      <c r="E618" s="100" t="s">
        <v>247</v>
      </c>
      <c r="F618" s="100">
        <v>6178.81</v>
      </c>
    </row>
    <row r="619" spans="1:6">
      <c r="A619" s="6">
        <v>44104</v>
      </c>
      <c r="B619" s="98"/>
      <c r="C619" s="98" t="s">
        <v>369</v>
      </c>
      <c r="D619" s="100" t="s">
        <v>327</v>
      </c>
      <c r="E619" s="100" t="s">
        <v>244</v>
      </c>
      <c r="F619" s="100">
        <v>73.459999999999994</v>
      </c>
    </row>
    <row r="620" spans="1:6">
      <c r="A620" s="6">
        <v>44104</v>
      </c>
      <c r="B620" s="98"/>
      <c r="C620" s="98" t="s">
        <v>466</v>
      </c>
      <c r="D620" s="100" t="s">
        <v>327</v>
      </c>
      <c r="E620" s="100" t="s">
        <v>247</v>
      </c>
      <c r="F620" s="100">
        <v>821.98</v>
      </c>
    </row>
    <row r="621" spans="1:6">
      <c r="A621" s="6">
        <v>44104</v>
      </c>
      <c r="B621" s="98" t="s">
        <v>328</v>
      </c>
      <c r="C621" s="98" t="s">
        <v>262</v>
      </c>
      <c r="D621" s="100" t="s">
        <v>329</v>
      </c>
      <c r="E621" s="100" t="s">
        <v>244</v>
      </c>
      <c r="F621" s="100">
        <v>106.31</v>
      </c>
    </row>
    <row r="622" spans="1:6">
      <c r="A622" s="6">
        <v>44104</v>
      </c>
      <c r="B622" s="98"/>
      <c r="C622" s="98" t="s">
        <v>245</v>
      </c>
      <c r="D622" s="100" t="s">
        <v>329</v>
      </c>
      <c r="E622" s="100" t="s">
        <v>244</v>
      </c>
      <c r="F622" s="100">
        <v>527.65</v>
      </c>
    </row>
    <row r="623" spans="1:6">
      <c r="A623" s="6">
        <v>44104</v>
      </c>
      <c r="B623" s="98"/>
      <c r="C623" s="98" t="s">
        <v>264</v>
      </c>
      <c r="D623" s="100" t="s">
        <v>329</v>
      </c>
      <c r="E623" s="100" t="s">
        <v>244</v>
      </c>
      <c r="F623" s="100">
        <v>238.16</v>
      </c>
    </row>
    <row r="624" spans="1:6">
      <c r="A624" s="6">
        <v>44104</v>
      </c>
      <c r="B624" s="98"/>
      <c r="C624" s="98" t="s">
        <v>271</v>
      </c>
      <c r="D624" s="100" t="s">
        <v>329</v>
      </c>
      <c r="E624" s="100" t="s">
        <v>244</v>
      </c>
      <c r="F624" s="100">
        <v>5.73</v>
      </c>
    </row>
    <row r="625" spans="1:6">
      <c r="A625" s="6">
        <v>44104</v>
      </c>
      <c r="B625" s="98"/>
      <c r="C625" s="98" t="s">
        <v>254</v>
      </c>
      <c r="D625" s="100" t="s">
        <v>329</v>
      </c>
      <c r="E625" s="100" t="s">
        <v>244</v>
      </c>
      <c r="F625" s="100">
        <v>256.14</v>
      </c>
    </row>
    <row r="626" spans="1:6">
      <c r="A626" s="6">
        <v>44104</v>
      </c>
      <c r="B626" s="98"/>
      <c r="C626" s="98" t="s">
        <v>255</v>
      </c>
      <c r="D626" s="100" t="s">
        <v>329</v>
      </c>
      <c r="E626" s="100" t="s">
        <v>247</v>
      </c>
      <c r="F626" s="100">
        <v>7029.07</v>
      </c>
    </row>
    <row r="627" spans="1:6">
      <c r="A627" s="6">
        <v>44104</v>
      </c>
      <c r="B627" s="98"/>
      <c r="C627" s="98" t="s">
        <v>289</v>
      </c>
      <c r="D627" s="100" t="s">
        <v>329</v>
      </c>
      <c r="E627" s="100" t="s">
        <v>247</v>
      </c>
      <c r="F627" s="100">
        <v>8580.9699999999993</v>
      </c>
    </row>
    <row r="628" spans="1:6">
      <c r="A628" s="6">
        <v>44104</v>
      </c>
      <c r="B628" s="98"/>
      <c r="C628" s="98" t="s">
        <v>246</v>
      </c>
      <c r="D628" s="100" t="s">
        <v>329</v>
      </c>
      <c r="E628" s="100" t="s">
        <v>247</v>
      </c>
      <c r="F628" s="100">
        <v>12290.83</v>
      </c>
    </row>
    <row r="629" spans="1:6">
      <c r="A629" s="6">
        <v>44104</v>
      </c>
      <c r="B629" s="98"/>
      <c r="C629" s="98" t="s">
        <v>265</v>
      </c>
      <c r="D629" s="100" t="s">
        <v>329</v>
      </c>
      <c r="E629" s="100" t="s">
        <v>247</v>
      </c>
      <c r="F629" s="100">
        <v>1237.48</v>
      </c>
    </row>
    <row r="630" spans="1:6">
      <c r="A630" s="6">
        <v>44104</v>
      </c>
      <c r="B630" s="98"/>
      <c r="C630" s="98" t="s">
        <v>266</v>
      </c>
      <c r="D630" s="100" t="s">
        <v>329</v>
      </c>
      <c r="E630" s="100" t="s">
        <v>258</v>
      </c>
      <c r="F630" s="100">
        <v>17573.86</v>
      </c>
    </row>
    <row r="631" spans="1:6">
      <c r="A631" s="6">
        <v>44104</v>
      </c>
      <c r="B631" s="98"/>
      <c r="C631" s="98" t="s">
        <v>249</v>
      </c>
      <c r="D631" s="100" t="s">
        <v>329</v>
      </c>
      <c r="E631" s="100" t="s">
        <v>247</v>
      </c>
      <c r="F631" s="100">
        <v>233.06</v>
      </c>
    </row>
    <row r="632" spans="1:6">
      <c r="A632" s="6">
        <v>44104</v>
      </c>
      <c r="B632" s="98"/>
      <c r="C632" s="98" t="s">
        <v>274</v>
      </c>
      <c r="D632" s="100" t="s">
        <v>329</v>
      </c>
      <c r="E632" s="100" t="s">
        <v>247</v>
      </c>
      <c r="F632" s="100">
        <v>12113.68</v>
      </c>
    </row>
    <row r="633" spans="1:6">
      <c r="A633" s="6">
        <v>44104</v>
      </c>
      <c r="B633" s="98" t="s">
        <v>330</v>
      </c>
      <c r="C633" s="98" t="s">
        <v>262</v>
      </c>
      <c r="D633" s="100" t="s">
        <v>331</v>
      </c>
      <c r="E633" s="100" t="s">
        <v>244</v>
      </c>
      <c r="F633" s="100">
        <v>112.77</v>
      </c>
    </row>
    <row r="634" spans="1:6">
      <c r="A634" s="6">
        <v>44104</v>
      </c>
      <c r="B634" s="98"/>
      <c r="C634" s="98" t="s">
        <v>253</v>
      </c>
      <c r="D634" s="100" t="s">
        <v>331</v>
      </c>
      <c r="E634" s="100" t="s">
        <v>244</v>
      </c>
      <c r="F634" s="100">
        <v>113.53</v>
      </c>
    </row>
    <row r="635" spans="1:6">
      <c r="A635" s="6">
        <v>44104</v>
      </c>
      <c r="B635" s="98"/>
      <c r="C635" s="98" t="s">
        <v>245</v>
      </c>
      <c r="D635" s="100" t="s">
        <v>331</v>
      </c>
      <c r="E635" s="100" t="s">
        <v>244</v>
      </c>
      <c r="F635" s="100">
        <v>49.06</v>
      </c>
    </row>
    <row r="636" spans="1:6">
      <c r="A636" s="6">
        <v>44104</v>
      </c>
      <c r="B636" s="98" t="s">
        <v>332</v>
      </c>
      <c r="C636" s="98" t="s">
        <v>242</v>
      </c>
      <c r="D636" s="100" t="s">
        <v>333</v>
      </c>
      <c r="E636" s="100" t="s">
        <v>244</v>
      </c>
      <c r="F636" s="100">
        <v>650.41</v>
      </c>
    </row>
    <row r="637" spans="1:6">
      <c r="A637" s="6">
        <v>44104</v>
      </c>
      <c r="B637" s="98"/>
      <c r="C637" s="98" t="s">
        <v>245</v>
      </c>
      <c r="D637" s="100" t="s">
        <v>333</v>
      </c>
      <c r="E637" s="100" t="s">
        <v>244</v>
      </c>
      <c r="F637" s="100">
        <v>5.62</v>
      </c>
    </row>
    <row r="638" spans="1:6">
      <c r="A638" s="6">
        <v>44104</v>
      </c>
      <c r="B638" s="98"/>
      <c r="C638" s="98" t="s">
        <v>248</v>
      </c>
      <c r="D638" s="100" t="s">
        <v>333</v>
      </c>
      <c r="E638" s="100" t="s">
        <v>247</v>
      </c>
      <c r="F638" s="100">
        <v>3266.26</v>
      </c>
    </row>
    <row r="639" spans="1:6">
      <c r="A639" s="6">
        <v>44104</v>
      </c>
      <c r="B639" s="98"/>
      <c r="C639" s="98" t="s">
        <v>274</v>
      </c>
      <c r="D639" s="100" t="s">
        <v>333</v>
      </c>
      <c r="E639" s="100" t="s">
        <v>247</v>
      </c>
      <c r="F639" s="100">
        <v>4208.13</v>
      </c>
    </row>
    <row r="640" spans="1:6">
      <c r="A640" s="6">
        <v>44104</v>
      </c>
      <c r="B640" s="98" t="s">
        <v>334</v>
      </c>
      <c r="C640" s="98" t="s">
        <v>242</v>
      </c>
      <c r="D640" s="100" t="s">
        <v>335</v>
      </c>
      <c r="E640" s="100" t="s">
        <v>244</v>
      </c>
      <c r="F640" s="100">
        <v>1418.93</v>
      </c>
    </row>
    <row r="641" spans="1:6">
      <c r="A641" s="6">
        <v>44104</v>
      </c>
      <c r="B641" s="98"/>
      <c r="C641" s="98" t="s">
        <v>262</v>
      </c>
      <c r="D641" s="100" t="s">
        <v>335</v>
      </c>
      <c r="E641" s="100" t="s">
        <v>244</v>
      </c>
      <c r="F641" s="100">
        <v>1226.96</v>
      </c>
    </row>
    <row r="642" spans="1:6">
      <c r="A642" s="6">
        <v>44104</v>
      </c>
      <c r="B642" s="98"/>
      <c r="C642" s="98" t="s">
        <v>251</v>
      </c>
      <c r="D642" s="100" t="s">
        <v>335</v>
      </c>
      <c r="E642" s="100" t="s">
        <v>244</v>
      </c>
      <c r="F642" s="100">
        <v>31.66</v>
      </c>
    </row>
    <row r="643" spans="1:6">
      <c r="A643" s="6">
        <v>44104</v>
      </c>
      <c r="B643" s="98"/>
      <c r="C643" s="98" t="s">
        <v>253</v>
      </c>
      <c r="D643" s="100" t="s">
        <v>335</v>
      </c>
      <c r="E643" s="100" t="s">
        <v>244</v>
      </c>
      <c r="F643" s="100">
        <v>70.87</v>
      </c>
    </row>
    <row r="644" spans="1:6">
      <c r="A644" s="6">
        <v>44104</v>
      </c>
      <c r="B644" s="98"/>
      <c r="C644" s="98" t="s">
        <v>245</v>
      </c>
      <c r="D644" s="100" t="s">
        <v>335</v>
      </c>
      <c r="E644" s="100" t="s">
        <v>244</v>
      </c>
      <c r="F644" s="100">
        <v>224.34</v>
      </c>
    </row>
    <row r="645" spans="1:6">
      <c r="A645" s="6">
        <v>44104</v>
      </c>
      <c r="B645" s="98"/>
      <c r="C645" s="98" t="s">
        <v>254</v>
      </c>
      <c r="D645" s="100" t="s">
        <v>335</v>
      </c>
      <c r="E645" s="100" t="s">
        <v>244</v>
      </c>
      <c r="F645" s="100">
        <v>70.83</v>
      </c>
    </row>
    <row r="646" spans="1:6">
      <c r="A646" s="6">
        <v>44104</v>
      </c>
      <c r="B646" s="98"/>
      <c r="C646" s="98" t="s">
        <v>255</v>
      </c>
      <c r="D646" s="100" t="s">
        <v>335</v>
      </c>
      <c r="E646" s="100" t="s">
        <v>247</v>
      </c>
      <c r="F646" s="100">
        <v>21312.87</v>
      </c>
    </row>
    <row r="647" spans="1:6">
      <c r="A647" s="6">
        <v>44104</v>
      </c>
      <c r="B647" s="98"/>
      <c r="C647" s="98" t="s">
        <v>289</v>
      </c>
      <c r="D647" s="100" t="s">
        <v>335</v>
      </c>
      <c r="E647" s="100" t="s">
        <v>247</v>
      </c>
      <c r="F647" s="100">
        <v>36418.28</v>
      </c>
    </row>
    <row r="648" spans="1:6">
      <c r="A648" s="6">
        <v>44104</v>
      </c>
      <c r="B648" s="98"/>
      <c r="C648" s="98" t="s">
        <v>248</v>
      </c>
      <c r="D648" s="100" t="s">
        <v>335</v>
      </c>
      <c r="E648" s="100" t="s">
        <v>247</v>
      </c>
      <c r="F648" s="100">
        <v>4771.3100000000004</v>
      </c>
    </row>
    <row r="649" spans="1:6">
      <c r="A649" s="6">
        <v>44104</v>
      </c>
      <c r="B649" s="98"/>
      <c r="C649" s="98" t="s">
        <v>260</v>
      </c>
      <c r="D649" s="100" t="s">
        <v>335</v>
      </c>
      <c r="E649" s="100" t="s">
        <v>258</v>
      </c>
      <c r="F649" s="100">
        <v>11419.63</v>
      </c>
    </row>
    <row r="650" spans="1:6">
      <c r="A650" s="6">
        <v>44104</v>
      </c>
      <c r="B650" s="98" t="s">
        <v>336</v>
      </c>
      <c r="C650" s="98" t="s">
        <v>253</v>
      </c>
      <c r="D650" s="100" t="s">
        <v>337</v>
      </c>
      <c r="E650" s="100" t="s">
        <v>244</v>
      </c>
      <c r="F650" s="100">
        <v>43.52</v>
      </c>
    </row>
    <row r="651" spans="1:6">
      <c r="A651" s="6">
        <v>44104</v>
      </c>
      <c r="B651" s="98"/>
      <c r="C651" s="98" t="s">
        <v>245</v>
      </c>
      <c r="D651" s="100" t="s">
        <v>337</v>
      </c>
      <c r="E651" s="100" t="s">
        <v>244</v>
      </c>
      <c r="F651" s="100">
        <v>25.2</v>
      </c>
    </row>
    <row r="652" spans="1:6">
      <c r="A652" s="6">
        <v>44104</v>
      </c>
      <c r="B652" s="98"/>
      <c r="C652" s="98" t="s">
        <v>255</v>
      </c>
      <c r="D652" s="100" t="s">
        <v>337</v>
      </c>
      <c r="E652" s="100" t="s">
        <v>247</v>
      </c>
      <c r="F652" s="100">
        <v>5277.06</v>
      </c>
    </row>
    <row r="653" spans="1:6">
      <c r="A653" s="6">
        <v>44104</v>
      </c>
      <c r="B653" s="98"/>
      <c r="C653" s="98" t="s">
        <v>256</v>
      </c>
      <c r="D653" s="100" t="s">
        <v>337</v>
      </c>
      <c r="E653" s="100" t="s">
        <v>247</v>
      </c>
      <c r="F653" s="100">
        <v>6703.45</v>
      </c>
    </row>
    <row r="654" spans="1:6">
      <c r="A654" s="6">
        <v>44104</v>
      </c>
      <c r="B654" s="98"/>
      <c r="C654" s="98" t="s">
        <v>339</v>
      </c>
      <c r="D654" s="100" t="s">
        <v>337</v>
      </c>
      <c r="E654" s="100" t="s">
        <v>247</v>
      </c>
      <c r="F654" s="100">
        <v>151.22999999999999</v>
      </c>
    </row>
    <row r="655" spans="1:6">
      <c r="A655" s="6">
        <v>44104</v>
      </c>
      <c r="B655" s="98"/>
      <c r="C655" s="98" t="s">
        <v>265</v>
      </c>
      <c r="D655" s="100" t="s">
        <v>337</v>
      </c>
      <c r="E655" s="100" t="s">
        <v>247</v>
      </c>
      <c r="F655" s="100">
        <v>590.39</v>
      </c>
    </row>
    <row r="656" spans="1:6">
      <c r="A656" s="6">
        <v>44104</v>
      </c>
      <c r="B656" s="98" t="s">
        <v>340</v>
      </c>
      <c r="C656" s="98" t="s">
        <v>245</v>
      </c>
      <c r="D656" s="100" t="s">
        <v>341</v>
      </c>
      <c r="E656" s="100" t="s">
        <v>244</v>
      </c>
      <c r="F656" s="100">
        <v>21.39</v>
      </c>
    </row>
    <row r="657" spans="1:6">
      <c r="A657" s="6">
        <v>44104</v>
      </c>
      <c r="B657" s="98" t="s">
        <v>342</v>
      </c>
      <c r="C657" s="98" t="s">
        <v>251</v>
      </c>
      <c r="D657" s="100" t="s">
        <v>343</v>
      </c>
      <c r="E657" s="100" t="s">
        <v>244</v>
      </c>
      <c r="F657" s="100">
        <v>2.0299999999999998</v>
      </c>
    </row>
    <row r="658" spans="1:6">
      <c r="A658" s="6">
        <v>44104</v>
      </c>
      <c r="B658" s="98"/>
      <c r="C658" s="98" t="s">
        <v>254</v>
      </c>
      <c r="D658" s="100" t="s">
        <v>343</v>
      </c>
      <c r="E658" s="100" t="s">
        <v>244</v>
      </c>
      <c r="F658" s="100">
        <v>249.96</v>
      </c>
    </row>
    <row r="659" spans="1:6">
      <c r="A659" s="6">
        <v>44104</v>
      </c>
      <c r="B659" s="98"/>
      <c r="C659" s="98" t="s">
        <v>266</v>
      </c>
      <c r="D659" s="100" t="s">
        <v>343</v>
      </c>
      <c r="E659" s="100" t="s">
        <v>258</v>
      </c>
      <c r="F659" s="100">
        <v>3027.92</v>
      </c>
    </row>
    <row r="660" spans="1:6">
      <c r="A660" s="6">
        <v>44104</v>
      </c>
      <c r="B660" s="98"/>
      <c r="C660" s="98" t="s">
        <v>274</v>
      </c>
      <c r="D660" s="100" t="s">
        <v>343</v>
      </c>
      <c r="E660" s="100" t="s">
        <v>247</v>
      </c>
      <c r="F660" s="100">
        <v>3596.06</v>
      </c>
    </row>
    <row r="661" spans="1:6">
      <c r="A661" s="6">
        <v>44104</v>
      </c>
      <c r="B661" s="98" t="s">
        <v>344</v>
      </c>
      <c r="C661" s="98" t="s">
        <v>262</v>
      </c>
      <c r="D661" s="100" t="s">
        <v>345</v>
      </c>
      <c r="E661" s="100" t="s">
        <v>244</v>
      </c>
      <c r="F661" s="100">
        <v>238.72</v>
      </c>
    </row>
    <row r="662" spans="1:6">
      <c r="A662" s="6">
        <v>44104</v>
      </c>
      <c r="B662" s="98"/>
      <c r="C662" s="98" t="s">
        <v>245</v>
      </c>
      <c r="D662" s="100" t="s">
        <v>345</v>
      </c>
      <c r="E662" s="100" t="s">
        <v>244</v>
      </c>
      <c r="F662" s="100">
        <v>85.8</v>
      </c>
    </row>
    <row r="663" spans="1:6">
      <c r="A663" s="6">
        <v>44104</v>
      </c>
      <c r="B663" s="98" t="s">
        <v>346</v>
      </c>
      <c r="C663" s="98" t="s">
        <v>245</v>
      </c>
      <c r="D663" s="100" t="s">
        <v>347</v>
      </c>
      <c r="E663" s="100" t="s">
        <v>244</v>
      </c>
      <c r="F663" s="100">
        <v>12.97</v>
      </c>
    </row>
    <row r="664" spans="1:6">
      <c r="A664" s="6">
        <v>44104</v>
      </c>
      <c r="B664" s="98" t="s">
        <v>348</v>
      </c>
      <c r="C664" s="98" t="s">
        <v>242</v>
      </c>
      <c r="D664" s="100" t="s">
        <v>349</v>
      </c>
      <c r="E664" s="100" t="s">
        <v>244</v>
      </c>
      <c r="F664" s="100">
        <v>108.96</v>
      </c>
    </row>
    <row r="665" spans="1:6">
      <c r="A665" s="6">
        <v>44104</v>
      </c>
      <c r="B665" s="98"/>
      <c r="C665" s="98" t="s">
        <v>262</v>
      </c>
      <c r="D665" s="100" t="s">
        <v>349</v>
      </c>
      <c r="E665" s="100" t="s">
        <v>244</v>
      </c>
      <c r="F665" s="100">
        <v>72.09</v>
      </c>
    </row>
    <row r="666" spans="1:6">
      <c r="A666" s="6">
        <v>44104</v>
      </c>
      <c r="B666" s="98"/>
      <c r="C666" s="98" t="s">
        <v>264</v>
      </c>
      <c r="D666" s="100" t="s">
        <v>349</v>
      </c>
      <c r="E666" s="100" t="s">
        <v>244</v>
      </c>
      <c r="F666" s="100">
        <v>48.44</v>
      </c>
    </row>
    <row r="667" spans="1:6">
      <c r="A667" s="6">
        <v>44104</v>
      </c>
      <c r="B667" s="98" t="s">
        <v>350</v>
      </c>
      <c r="C667" s="98" t="s">
        <v>242</v>
      </c>
      <c r="D667" s="100" t="s">
        <v>351</v>
      </c>
      <c r="E667" s="100" t="s">
        <v>244</v>
      </c>
      <c r="F667" s="100">
        <v>95.18</v>
      </c>
    </row>
    <row r="668" spans="1:6">
      <c r="A668" s="6">
        <v>44104</v>
      </c>
      <c r="B668" s="98"/>
      <c r="C668" s="98" t="s">
        <v>245</v>
      </c>
      <c r="D668" s="100" t="s">
        <v>351</v>
      </c>
      <c r="E668" s="100" t="s">
        <v>244</v>
      </c>
      <c r="F668" s="100">
        <v>139.47</v>
      </c>
    </row>
    <row r="669" spans="1:6">
      <c r="A669" s="6">
        <v>44104</v>
      </c>
      <c r="B669" s="98"/>
      <c r="C669" s="98" t="s">
        <v>291</v>
      </c>
      <c r="D669" s="100" t="s">
        <v>351</v>
      </c>
      <c r="E669" s="100" t="s">
        <v>247</v>
      </c>
      <c r="F669" s="100">
        <v>230.15</v>
      </c>
    </row>
    <row r="670" spans="1:6">
      <c r="A670" s="6">
        <v>44104</v>
      </c>
      <c r="B670" s="98" t="s">
        <v>352</v>
      </c>
      <c r="C670" s="98" t="s">
        <v>245</v>
      </c>
      <c r="D670" s="100" t="s">
        <v>353</v>
      </c>
      <c r="E670" s="100" t="s">
        <v>244</v>
      </c>
      <c r="F670" s="100">
        <v>0.05</v>
      </c>
    </row>
    <row r="671" spans="1:6">
      <c r="A671" s="6">
        <v>44104</v>
      </c>
      <c r="B671" s="98" t="s">
        <v>354</v>
      </c>
      <c r="C671" s="98" t="s">
        <v>355</v>
      </c>
      <c r="D671" s="100" t="s">
        <v>356</v>
      </c>
      <c r="E671" s="100" t="s">
        <v>247</v>
      </c>
      <c r="F671" s="100">
        <v>899.15</v>
      </c>
    </row>
    <row r="672" spans="1:6">
      <c r="A672" s="6">
        <v>44104</v>
      </c>
      <c r="B672" s="98" t="s">
        <v>357</v>
      </c>
      <c r="C672" s="98" t="s">
        <v>248</v>
      </c>
      <c r="D672" s="100" t="s">
        <v>358</v>
      </c>
      <c r="E672" s="100" t="s">
        <v>247</v>
      </c>
      <c r="F672" s="100">
        <v>19691.490000000002</v>
      </c>
    </row>
    <row r="673" spans="1:6">
      <c r="A673" s="6">
        <v>44104</v>
      </c>
      <c r="B673" s="98"/>
      <c r="C673" s="98" t="s">
        <v>290</v>
      </c>
      <c r="D673" s="100" t="s">
        <v>358</v>
      </c>
      <c r="E673" s="100" t="s">
        <v>247</v>
      </c>
      <c r="F673" s="100">
        <v>5053.66</v>
      </c>
    </row>
    <row r="674" spans="1:6">
      <c r="A674" s="6">
        <v>44104</v>
      </c>
      <c r="B674" s="98" t="s">
        <v>359</v>
      </c>
      <c r="C674" s="98" t="s">
        <v>242</v>
      </c>
      <c r="D674" s="100" t="s">
        <v>360</v>
      </c>
      <c r="E674" s="100" t="s">
        <v>244</v>
      </c>
      <c r="F674" s="100">
        <v>47.86</v>
      </c>
    </row>
    <row r="675" spans="1:6">
      <c r="A675" s="6">
        <v>44104</v>
      </c>
      <c r="B675" s="98"/>
      <c r="C675" s="98" t="s">
        <v>262</v>
      </c>
      <c r="D675" s="100" t="s">
        <v>360</v>
      </c>
      <c r="E675" s="100" t="s">
        <v>244</v>
      </c>
      <c r="F675" s="100">
        <v>54.42</v>
      </c>
    </row>
    <row r="676" spans="1:6">
      <c r="A676" s="6">
        <v>44104</v>
      </c>
      <c r="B676" s="98"/>
      <c r="C676" s="98" t="s">
        <v>251</v>
      </c>
      <c r="D676" s="100" t="s">
        <v>360</v>
      </c>
      <c r="E676" s="100" t="s">
        <v>244</v>
      </c>
      <c r="F676" s="100">
        <v>14.27</v>
      </c>
    </row>
    <row r="677" spans="1:6">
      <c r="A677" s="6">
        <v>44104</v>
      </c>
      <c r="B677" s="98"/>
      <c r="C677" s="98" t="s">
        <v>245</v>
      </c>
      <c r="D677" s="100" t="s">
        <v>360</v>
      </c>
      <c r="E677" s="100" t="s">
        <v>244</v>
      </c>
      <c r="F677" s="100">
        <v>528.72</v>
      </c>
    </row>
    <row r="678" spans="1:6">
      <c r="A678" s="6">
        <v>44104</v>
      </c>
      <c r="B678" s="98"/>
      <c r="C678" s="98" t="s">
        <v>289</v>
      </c>
      <c r="D678" s="100" t="s">
        <v>360</v>
      </c>
      <c r="E678" s="100" t="s">
        <v>247</v>
      </c>
      <c r="F678" s="100">
        <v>517.85</v>
      </c>
    </row>
    <row r="679" spans="1:6">
      <c r="A679" s="6">
        <v>44104</v>
      </c>
      <c r="B679" s="98" t="s">
        <v>361</v>
      </c>
      <c r="C679" s="98" t="s">
        <v>264</v>
      </c>
      <c r="D679" s="100" t="s">
        <v>362</v>
      </c>
      <c r="E679" s="100" t="s">
        <v>244</v>
      </c>
      <c r="F679" s="100">
        <v>93.24</v>
      </c>
    </row>
    <row r="680" spans="1:6">
      <c r="A680" s="6">
        <v>44104</v>
      </c>
      <c r="B680" s="98"/>
      <c r="C680" s="98" t="s">
        <v>248</v>
      </c>
      <c r="D680" s="100" t="s">
        <v>362</v>
      </c>
      <c r="E680" s="100" t="s">
        <v>247</v>
      </c>
      <c r="F680" s="100">
        <v>9259</v>
      </c>
    </row>
    <row r="681" spans="1:6">
      <c r="A681" s="6">
        <v>44104</v>
      </c>
      <c r="B681" s="98"/>
      <c r="C681" s="98" t="s">
        <v>290</v>
      </c>
      <c r="D681" s="100" t="s">
        <v>362</v>
      </c>
      <c r="E681" s="100" t="s">
        <v>247</v>
      </c>
      <c r="F681" s="100">
        <v>2880.53</v>
      </c>
    </row>
    <row r="682" spans="1:6">
      <c r="A682" s="6">
        <v>44104</v>
      </c>
      <c r="B682" s="98"/>
      <c r="C682" s="98" t="s">
        <v>363</v>
      </c>
      <c r="D682" s="100" t="s">
        <v>362</v>
      </c>
      <c r="E682" s="100" t="s">
        <v>247</v>
      </c>
      <c r="F682" s="100">
        <v>5761.05</v>
      </c>
    </row>
    <row r="683" spans="1:6">
      <c r="A683" s="6">
        <v>44104</v>
      </c>
      <c r="B683" s="98"/>
      <c r="C683" s="98" t="s">
        <v>364</v>
      </c>
      <c r="D683" s="100" t="s">
        <v>362</v>
      </c>
      <c r="E683" s="100" t="s">
        <v>247</v>
      </c>
      <c r="F683" s="100">
        <v>2880.53</v>
      </c>
    </row>
    <row r="684" spans="1:6">
      <c r="A684" s="6">
        <v>44104</v>
      </c>
      <c r="B684" s="98"/>
      <c r="C684" s="98" t="s">
        <v>365</v>
      </c>
      <c r="D684" s="100" t="s">
        <v>362</v>
      </c>
      <c r="E684" s="100" t="s">
        <v>247</v>
      </c>
      <c r="F684" s="100">
        <v>2880.53</v>
      </c>
    </row>
    <row r="685" spans="1:6">
      <c r="A685" s="6">
        <v>44104</v>
      </c>
      <c r="B685" s="98" t="s">
        <v>366</v>
      </c>
      <c r="C685" s="98" t="s">
        <v>251</v>
      </c>
      <c r="D685" s="100" t="s">
        <v>367</v>
      </c>
      <c r="E685" s="100" t="s">
        <v>244</v>
      </c>
      <c r="F685" s="100">
        <v>52.39</v>
      </c>
    </row>
    <row r="686" spans="1:6">
      <c r="A686" s="6">
        <v>44104</v>
      </c>
      <c r="B686" s="98"/>
      <c r="C686" s="98" t="s">
        <v>253</v>
      </c>
      <c r="D686" s="100" t="s">
        <v>367</v>
      </c>
      <c r="E686" s="100" t="s">
        <v>244</v>
      </c>
      <c r="F686" s="100">
        <v>7.37</v>
      </c>
    </row>
    <row r="687" spans="1:6">
      <c r="A687" s="6">
        <v>44104</v>
      </c>
      <c r="B687" s="98"/>
      <c r="C687" s="98" t="s">
        <v>368</v>
      </c>
      <c r="D687" s="100" t="s">
        <v>367</v>
      </c>
      <c r="E687" s="100" t="s">
        <v>247</v>
      </c>
      <c r="F687" s="100">
        <v>1173.75</v>
      </c>
    </row>
    <row r="688" spans="1:6">
      <c r="A688" s="6">
        <v>44104</v>
      </c>
      <c r="B688" s="98"/>
      <c r="C688" s="98" t="s">
        <v>257</v>
      </c>
      <c r="D688" s="100" t="s">
        <v>367</v>
      </c>
      <c r="E688" s="100" t="s">
        <v>258</v>
      </c>
      <c r="F688" s="100">
        <v>14633.23</v>
      </c>
    </row>
    <row r="689" spans="1:6">
      <c r="A689" s="6">
        <v>44104</v>
      </c>
      <c r="B689" s="98"/>
      <c r="C689" s="98" t="s">
        <v>259</v>
      </c>
      <c r="D689" s="100" t="s">
        <v>367</v>
      </c>
      <c r="E689" s="100" t="s">
        <v>258</v>
      </c>
      <c r="F689" s="100">
        <v>13121.96</v>
      </c>
    </row>
    <row r="690" spans="1:6">
      <c r="A690" s="6">
        <v>44104</v>
      </c>
      <c r="B690" s="98"/>
      <c r="C690" s="98" t="s">
        <v>260</v>
      </c>
      <c r="D690" s="100" t="s">
        <v>367</v>
      </c>
      <c r="E690" s="100" t="s">
        <v>258</v>
      </c>
      <c r="F690" s="100">
        <v>4101.51</v>
      </c>
    </row>
    <row r="691" spans="1:6">
      <c r="A691" s="6">
        <v>44104</v>
      </c>
      <c r="B691" s="98"/>
      <c r="C691" s="98" t="s">
        <v>369</v>
      </c>
      <c r="D691" s="100" t="s">
        <v>367</v>
      </c>
      <c r="E691" s="100" t="s">
        <v>244</v>
      </c>
      <c r="F691" s="100">
        <v>30.1</v>
      </c>
    </row>
    <row r="692" spans="1:6">
      <c r="A692" s="6">
        <v>44104</v>
      </c>
      <c r="B692" s="98" t="s">
        <v>370</v>
      </c>
      <c r="C692" s="98" t="s">
        <v>242</v>
      </c>
      <c r="D692" s="100" t="s">
        <v>371</v>
      </c>
      <c r="E692" s="100" t="s">
        <v>244</v>
      </c>
      <c r="F692" s="100">
        <v>203.43</v>
      </c>
    </row>
    <row r="693" spans="1:6">
      <c r="A693" s="6">
        <v>44104</v>
      </c>
      <c r="B693" s="98"/>
      <c r="C693" s="98" t="s">
        <v>253</v>
      </c>
      <c r="D693" s="100" t="s">
        <v>371</v>
      </c>
      <c r="E693" s="100" t="s">
        <v>244</v>
      </c>
      <c r="F693" s="100">
        <v>11.9</v>
      </c>
    </row>
    <row r="694" spans="1:6">
      <c r="A694" s="6">
        <v>44104</v>
      </c>
      <c r="B694" s="98"/>
      <c r="C694" s="98" t="s">
        <v>254</v>
      </c>
      <c r="D694" s="100" t="s">
        <v>371</v>
      </c>
      <c r="E694" s="100" t="s">
        <v>244</v>
      </c>
      <c r="F694" s="100">
        <v>1221.04</v>
      </c>
    </row>
    <row r="695" spans="1:6">
      <c r="A695" s="6">
        <v>44104</v>
      </c>
      <c r="B695" s="98" t="s">
        <v>372</v>
      </c>
      <c r="C695" s="98" t="s">
        <v>242</v>
      </c>
      <c r="D695" s="100" t="s">
        <v>373</v>
      </c>
      <c r="E695" s="100" t="s">
        <v>244</v>
      </c>
      <c r="F695" s="100">
        <v>671.69</v>
      </c>
    </row>
    <row r="696" spans="1:6">
      <c r="A696" s="6">
        <v>44104</v>
      </c>
      <c r="B696" s="98"/>
      <c r="C696" s="98" t="s">
        <v>251</v>
      </c>
      <c r="D696" s="100" t="s">
        <v>373</v>
      </c>
      <c r="E696" s="100" t="s">
        <v>244</v>
      </c>
      <c r="F696" s="100">
        <v>3.74</v>
      </c>
    </row>
    <row r="697" spans="1:6">
      <c r="A697" s="6">
        <v>44104</v>
      </c>
      <c r="B697" s="98"/>
      <c r="C697" s="98" t="s">
        <v>277</v>
      </c>
      <c r="D697" s="100" t="s">
        <v>373</v>
      </c>
      <c r="E697" s="100" t="s">
        <v>247</v>
      </c>
      <c r="F697" s="100">
        <v>1362.19</v>
      </c>
    </row>
    <row r="698" spans="1:6">
      <c r="A698" s="6">
        <v>44104</v>
      </c>
      <c r="B698" s="98"/>
      <c r="C698" s="98" t="s">
        <v>289</v>
      </c>
      <c r="D698" s="100" t="s">
        <v>373</v>
      </c>
      <c r="E698" s="100" t="s">
        <v>247</v>
      </c>
      <c r="F698" s="100">
        <v>2666.64</v>
      </c>
    </row>
    <row r="699" spans="1:6">
      <c r="A699" s="6">
        <v>44104</v>
      </c>
      <c r="B699" s="98" t="s">
        <v>374</v>
      </c>
      <c r="C699" s="98" t="s">
        <v>242</v>
      </c>
      <c r="D699" s="100" t="s">
        <v>375</v>
      </c>
      <c r="E699" s="100" t="s">
        <v>244</v>
      </c>
      <c r="F699" s="100">
        <v>131.5</v>
      </c>
    </row>
    <row r="700" spans="1:6">
      <c r="A700" s="6">
        <v>44104</v>
      </c>
      <c r="B700" s="98"/>
      <c r="C700" s="98" t="s">
        <v>251</v>
      </c>
      <c r="D700" s="100" t="s">
        <v>375</v>
      </c>
      <c r="E700" s="100" t="s">
        <v>244</v>
      </c>
      <c r="F700" s="100">
        <v>76.06</v>
      </c>
    </row>
    <row r="701" spans="1:6">
      <c r="A701" s="6">
        <v>44104</v>
      </c>
      <c r="B701" s="98"/>
      <c r="C701" s="98" t="s">
        <v>245</v>
      </c>
      <c r="D701" s="100" t="s">
        <v>375</v>
      </c>
      <c r="E701" s="100" t="s">
        <v>244</v>
      </c>
      <c r="F701" s="100">
        <v>1154.67</v>
      </c>
    </row>
    <row r="702" spans="1:6">
      <c r="A702" s="6">
        <v>44104</v>
      </c>
      <c r="B702" s="98"/>
      <c r="C702" s="98" t="s">
        <v>277</v>
      </c>
      <c r="D702" s="100" t="s">
        <v>375</v>
      </c>
      <c r="E702" s="100" t="s">
        <v>247</v>
      </c>
      <c r="F702" s="100">
        <v>14361.61</v>
      </c>
    </row>
    <row r="703" spans="1:6">
      <c r="A703" s="6">
        <v>44104</v>
      </c>
      <c r="B703" s="98"/>
      <c r="C703" s="98" t="s">
        <v>246</v>
      </c>
      <c r="D703" s="100" t="s">
        <v>375</v>
      </c>
      <c r="E703" s="100" t="s">
        <v>247</v>
      </c>
      <c r="F703" s="100">
        <v>16087.52</v>
      </c>
    </row>
    <row r="704" spans="1:6">
      <c r="A704" s="6">
        <v>44104</v>
      </c>
      <c r="B704" s="98"/>
      <c r="C704" s="98" t="s">
        <v>249</v>
      </c>
      <c r="D704" s="100" t="s">
        <v>375</v>
      </c>
      <c r="E704" s="100" t="s">
        <v>247</v>
      </c>
      <c r="F704" s="100">
        <v>12599.68</v>
      </c>
    </row>
    <row r="705" spans="1:6">
      <c r="A705" s="6">
        <v>44104</v>
      </c>
      <c r="B705" s="98"/>
      <c r="C705" s="98" t="s">
        <v>274</v>
      </c>
      <c r="D705" s="100" t="s">
        <v>375</v>
      </c>
      <c r="E705" s="100" t="s">
        <v>247</v>
      </c>
      <c r="F705" s="100">
        <v>9509.01</v>
      </c>
    </row>
    <row r="706" spans="1:6">
      <c r="A706" s="6">
        <v>44104</v>
      </c>
      <c r="B706" s="98" t="s">
        <v>376</v>
      </c>
      <c r="C706" s="98" t="s">
        <v>242</v>
      </c>
      <c r="D706" s="100" t="s">
        <v>377</v>
      </c>
      <c r="E706" s="100" t="s">
        <v>244</v>
      </c>
      <c r="F706" s="100">
        <v>1003.14</v>
      </c>
    </row>
    <row r="707" spans="1:6">
      <c r="A707" s="6">
        <v>44104</v>
      </c>
      <c r="B707" s="98"/>
      <c r="C707" s="98" t="s">
        <v>262</v>
      </c>
      <c r="D707" s="100" t="s">
        <v>377</v>
      </c>
      <c r="E707" s="100" t="s">
        <v>244</v>
      </c>
      <c r="F707" s="100">
        <v>8622.74</v>
      </c>
    </row>
    <row r="708" spans="1:6">
      <c r="A708" s="6">
        <v>44104</v>
      </c>
      <c r="B708" s="98"/>
      <c r="C708" s="98" t="s">
        <v>251</v>
      </c>
      <c r="D708" s="100" t="s">
        <v>377</v>
      </c>
      <c r="E708" s="100" t="s">
        <v>244</v>
      </c>
      <c r="F708" s="100">
        <v>3.66</v>
      </c>
    </row>
    <row r="709" spans="1:6">
      <c r="A709" s="6">
        <v>44104</v>
      </c>
      <c r="B709" s="98"/>
      <c r="C709" s="98" t="s">
        <v>245</v>
      </c>
      <c r="D709" s="100" t="s">
        <v>377</v>
      </c>
      <c r="E709" s="100" t="s">
        <v>244</v>
      </c>
      <c r="F709" s="100">
        <v>365.01</v>
      </c>
    </row>
    <row r="710" spans="1:6">
      <c r="A710" s="6">
        <v>44104</v>
      </c>
      <c r="B710" s="98"/>
      <c r="C710" s="98" t="s">
        <v>254</v>
      </c>
      <c r="D710" s="100" t="s">
        <v>377</v>
      </c>
      <c r="E710" s="100" t="s">
        <v>244</v>
      </c>
      <c r="F710" s="100">
        <v>290.58</v>
      </c>
    </row>
    <row r="711" spans="1:6">
      <c r="A711" s="6">
        <v>44104</v>
      </c>
      <c r="B711" s="98"/>
      <c r="C711" s="98" t="s">
        <v>272</v>
      </c>
      <c r="D711" s="100" t="s">
        <v>377</v>
      </c>
      <c r="E711" s="100" t="s">
        <v>247</v>
      </c>
      <c r="F711" s="100">
        <v>4019.08</v>
      </c>
    </row>
    <row r="712" spans="1:6">
      <c r="A712" s="6">
        <v>44104</v>
      </c>
      <c r="B712" s="98"/>
      <c r="C712" s="98" t="s">
        <v>246</v>
      </c>
      <c r="D712" s="100" t="s">
        <v>377</v>
      </c>
      <c r="E712" s="100" t="s">
        <v>247</v>
      </c>
      <c r="F712" s="100">
        <v>999.24</v>
      </c>
    </row>
    <row r="713" spans="1:6">
      <c r="A713" s="6">
        <v>44104</v>
      </c>
      <c r="B713" s="98"/>
      <c r="C713" s="98" t="s">
        <v>248</v>
      </c>
      <c r="D713" s="100" t="s">
        <v>377</v>
      </c>
      <c r="E713" s="100" t="s">
        <v>247</v>
      </c>
      <c r="F713" s="100">
        <v>2432.38</v>
      </c>
    </row>
    <row r="714" spans="1:6">
      <c r="A714" s="6">
        <v>44104</v>
      </c>
      <c r="B714" s="98" t="s">
        <v>378</v>
      </c>
      <c r="C714" s="98" t="s">
        <v>245</v>
      </c>
      <c r="D714" s="100" t="s">
        <v>379</v>
      </c>
      <c r="E714" s="100" t="s">
        <v>244</v>
      </c>
      <c r="F714" s="100">
        <v>105.68</v>
      </c>
    </row>
    <row r="715" spans="1:6">
      <c r="A715" s="6">
        <v>44104</v>
      </c>
      <c r="B715" s="98"/>
      <c r="C715" s="98" t="s">
        <v>355</v>
      </c>
      <c r="D715" s="100" t="s">
        <v>379</v>
      </c>
      <c r="E715" s="100" t="s">
        <v>247</v>
      </c>
      <c r="F715" s="100">
        <v>892.92</v>
      </c>
    </row>
    <row r="716" spans="1:6">
      <c r="A716" s="6">
        <v>44104</v>
      </c>
      <c r="B716" s="98" t="s">
        <v>380</v>
      </c>
      <c r="C716" s="98" t="s">
        <v>254</v>
      </c>
      <c r="D716" s="100" t="s">
        <v>381</v>
      </c>
      <c r="E716" s="100" t="s">
        <v>244</v>
      </c>
      <c r="F716" s="100">
        <v>44.65</v>
      </c>
    </row>
    <row r="717" spans="1:6">
      <c r="A717" s="6">
        <v>44104</v>
      </c>
      <c r="B717" s="98" t="s">
        <v>382</v>
      </c>
      <c r="C717" s="98" t="s">
        <v>242</v>
      </c>
      <c r="D717" s="100" t="s">
        <v>383</v>
      </c>
      <c r="E717" s="100" t="s">
        <v>244</v>
      </c>
      <c r="F717" s="100">
        <v>128.05000000000001</v>
      </c>
    </row>
    <row r="718" spans="1:6">
      <c r="A718" s="6">
        <v>44104</v>
      </c>
      <c r="B718" s="98"/>
      <c r="C718" s="98" t="s">
        <v>262</v>
      </c>
      <c r="D718" s="100" t="s">
        <v>383</v>
      </c>
      <c r="E718" s="100" t="s">
        <v>244</v>
      </c>
      <c r="F718" s="100">
        <v>550.84</v>
      </c>
    </row>
    <row r="719" spans="1:6">
      <c r="A719" s="6">
        <v>44104</v>
      </c>
      <c r="B719" s="98"/>
      <c r="C719" s="98" t="s">
        <v>245</v>
      </c>
      <c r="D719" s="100" t="s">
        <v>383</v>
      </c>
      <c r="E719" s="100" t="s">
        <v>244</v>
      </c>
      <c r="F719" s="100">
        <v>372.99</v>
      </c>
    </row>
    <row r="720" spans="1:6">
      <c r="A720" s="6">
        <v>44104</v>
      </c>
      <c r="B720" s="98"/>
      <c r="C720" s="98" t="s">
        <v>254</v>
      </c>
      <c r="D720" s="100" t="s">
        <v>383</v>
      </c>
      <c r="E720" s="100" t="s">
        <v>244</v>
      </c>
      <c r="F720" s="100">
        <v>58.93</v>
      </c>
    </row>
    <row r="721" spans="1:6">
      <c r="A721" s="6">
        <v>44104</v>
      </c>
      <c r="B721" s="98"/>
      <c r="C721" s="98" t="s">
        <v>248</v>
      </c>
      <c r="D721" s="100" t="s">
        <v>383</v>
      </c>
      <c r="E721" s="100" t="s">
        <v>247</v>
      </c>
      <c r="F721" s="100">
        <v>17063.55</v>
      </c>
    </row>
    <row r="722" spans="1:6">
      <c r="A722" s="6">
        <v>44104</v>
      </c>
      <c r="B722" s="98" t="s">
        <v>467</v>
      </c>
      <c r="C722" s="98" t="s">
        <v>264</v>
      </c>
      <c r="D722" s="100" t="s">
        <v>468</v>
      </c>
      <c r="E722" s="100" t="s">
        <v>244</v>
      </c>
      <c r="F722" s="100">
        <v>23.99</v>
      </c>
    </row>
    <row r="723" spans="1:6">
      <c r="A723" s="6">
        <v>44104</v>
      </c>
      <c r="B723" s="98" t="s">
        <v>384</v>
      </c>
      <c r="C723" s="98" t="s">
        <v>262</v>
      </c>
      <c r="D723" s="100" t="s">
        <v>385</v>
      </c>
      <c r="E723" s="100" t="s">
        <v>244</v>
      </c>
      <c r="F723" s="100">
        <v>37.72</v>
      </c>
    </row>
    <row r="724" spans="1:6">
      <c r="A724" s="6">
        <v>44104</v>
      </c>
      <c r="B724" s="98"/>
      <c r="C724" s="98" t="s">
        <v>253</v>
      </c>
      <c r="D724" s="100" t="s">
        <v>385</v>
      </c>
      <c r="E724" s="100" t="s">
        <v>244</v>
      </c>
      <c r="F724" s="100">
        <v>15.13</v>
      </c>
    </row>
    <row r="725" spans="1:6">
      <c r="A725" s="6">
        <v>44104</v>
      </c>
      <c r="B725" s="98"/>
      <c r="C725" s="98" t="s">
        <v>245</v>
      </c>
      <c r="D725" s="100" t="s">
        <v>385</v>
      </c>
      <c r="E725" s="100" t="s">
        <v>244</v>
      </c>
      <c r="F725" s="100">
        <v>2.33</v>
      </c>
    </row>
    <row r="726" spans="1:6">
      <c r="A726" s="6">
        <v>44104</v>
      </c>
      <c r="B726" s="98"/>
      <c r="C726" s="98" t="s">
        <v>264</v>
      </c>
      <c r="D726" s="100" t="s">
        <v>385</v>
      </c>
      <c r="E726" s="100" t="s">
        <v>244</v>
      </c>
      <c r="F726" s="100">
        <v>111.5</v>
      </c>
    </row>
    <row r="727" spans="1:6">
      <c r="A727" s="6">
        <v>44104</v>
      </c>
      <c r="B727" s="98"/>
      <c r="C727" s="98" t="s">
        <v>271</v>
      </c>
      <c r="D727" s="100" t="s">
        <v>385</v>
      </c>
      <c r="E727" s="100" t="s">
        <v>244</v>
      </c>
      <c r="F727" s="100">
        <v>1.97</v>
      </c>
    </row>
    <row r="728" spans="1:6">
      <c r="A728" s="6">
        <v>44104</v>
      </c>
      <c r="B728" s="98"/>
      <c r="C728" s="98" t="s">
        <v>254</v>
      </c>
      <c r="D728" s="100" t="s">
        <v>385</v>
      </c>
      <c r="E728" s="100" t="s">
        <v>244</v>
      </c>
      <c r="F728" s="100">
        <v>233.19</v>
      </c>
    </row>
    <row r="729" spans="1:6">
      <c r="A729" s="6">
        <v>44104</v>
      </c>
      <c r="B729" s="98"/>
      <c r="C729" s="98" t="s">
        <v>278</v>
      </c>
      <c r="D729" s="100" t="s">
        <v>385</v>
      </c>
      <c r="E729" s="100" t="s">
        <v>247</v>
      </c>
      <c r="F729" s="100">
        <v>2461.0500000000002</v>
      </c>
    </row>
    <row r="730" spans="1:6">
      <c r="A730" s="6">
        <v>44104</v>
      </c>
      <c r="B730" s="98" t="s">
        <v>386</v>
      </c>
      <c r="C730" s="98" t="s">
        <v>262</v>
      </c>
      <c r="D730" s="100" t="s">
        <v>387</v>
      </c>
      <c r="E730" s="100" t="s">
        <v>244</v>
      </c>
      <c r="F730" s="100">
        <v>209.05</v>
      </c>
    </row>
    <row r="731" spans="1:6">
      <c r="A731" s="6">
        <v>44104</v>
      </c>
      <c r="B731" s="98"/>
      <c r="C731" s="98" t="s">
        <v>253</v>
      </c>
      <c r="D731" s="100" t="s">
        <v>387</v>
      </c>
      <c r="E731" s="100" t="s">
        <v>244</v>
      </c>
      <c r="F731" s="100">
        <v>89.33</v>
      </c>
    </row>
    <row r="732" spans="1:6">
      <c r="A732" s="6">
        <v>44104</v>
      </c>
      <c r="B732" s="98"/>
      <c r="C732" s="98" t="s">
        <v>245</v>
      </c>
      <c r="D732" s="100" t="s">
        <v>387</v>
      </c>
      <c r="E732" s="100" t="s">
        <v>244</v>
      </c>
      <c r="F732" s="100">
        <v>129.49</v>
      </c>
    </row>
    <row r="733" spans="1:6">
      <c r="A733" s="6">
        <v>44104</v>
      </c>
      <c r="B733" s="98"/>
      <c r="C733" s="98" t="s">
        <v>264</v>
      </c>
      <c r="D733" s="100" t="s">
        <v>387</v>
      </c>
      <c r="E733" s="100" t="s">
        <v>244</v>
      </c>
      <c r="F733" s="100">
        <v>356.75</v>
      </c>
    </row>
    <row r="734" spans="1:6">
      <c r="A734" s="6">
        <v>44104</v>
      </c>
      <c r="B734" s="98"/>
      <c r="C734" s="98" t="s">
        <v>271</v>
      </c>
      <c r="D734" s="100" t="s">
        <v>387</v>
      </c>
      <c r="E734" s="100" t="s">
        <v>244</v>
      </c>
      <c r="F734" s="100">
        <v>32.840000000000003</v>
      </c>
    </row>
    <row r="735" spans="1:6">
      <c r="A735" s="6">
        <v>44104</v>
      </c>
      <c r="B735" s="98"/>
      <c r="C735" s="98" t="s">
        <v>254</v>
      </c>
      <c r="D735" s="100" t="s">
        <v>387</v>
      </c>
      <c r="E735" s="100" t="s">
        <v>244</v>
      </c>
      <c r="F735" s="100">
        <v>165.81</v>
      </c>
    </row>
    <row r="736" spans="1:6">
      <c r="A736" s="6">
        <v>44104</v>
      </c>
      <c r="B736" s="98"/>
      <c r="C736" s="98" t="s">
        <v>278</v>
      </c>
      <c r="D736" s="100" t="s">
        <v>387</v>
      </c>
      <c r="E736" s="100" t="s">
        <v>247</v>
      </c>
      <c r="F736" s="100">
        <v>2735.58</v>
      </c>
    </row>
    <row r="737" spans="1:6">
      <c r="A737" s="6">
        <v>44104</v>
      </c>
      <c r="B737" s="98" t="s">
        <v>388</v>
      </c>
      <c r="C737" s="98" t="s">
        <v>262</v>
      </c>
      <c r="D737" s="100" t="s">
        <v>389</v>
      </c>
      <c r="E737" s="100" t="s">
        <v>244</v>
      </c>
      <c r="F737" s="100">
        <v>215.73</v>
      </c>
    </row>
    <row r="738" spans="1:6">
      <c r="A738" s="6">
        <v>44104</v>
      </c>
      <c r="B738" s="98"/>
      <c r="C738" s="98" t="s">
        <v>245</v>
      </c>
      <c r="D738" s="100" t="s">
        <v>389</v>
      </c>
      <c r="E738" s="100" t="s">
        <v>244</v>
      </c>
      <c r="F738" s="100">
        <v>313.88</v>
      </c>
    </row>
    <row r="739" spans="1:6">
      <c r="A739" s="6">
        <v>44104</v>
      </c>
      <c r="B739" s="98"/>
      <c r="C739" s="98" t="s">
        <v>254</v>
      </c>
      <c r="D739" s="100" t="s">
        <v>389</v>
      </c>
      <c r="E739" s="100" t="s">
        <v>244</v>
      </c>
      <c r="F739" s="100">
        <v>17.18</v>
      </c>
    </row>
    <row r="740" spans="1:6">
      <c r="A740" s="6">
        <v>44104</v>
      </c>
      <c r="B740" s="98" t="s">
        <v>390</v>
      </c>
      <c r="C740" s="98" t="s">
        <v>264</v>
      </c>
      <c r="D740" s="100" t="s">
        <v>391</v>
      </c>
      <c r="E740" s="100" t="s">
        <v>244</v>
      </c>
      <c r="F740" s="100">
        <v>491.12</v>
      </c>
    </row>
    <row r="741" spans="1:6">
      <c r="A741" s="6">
        <v>44104</v>
      </c>
      <c r="B741" s="98"/>
      <c r="C741" s="98" t="s">
        <v>271</v>
      </c>
      <c r="D741" s="100" t="s">
        <v>391</v>
      </c>
      <c r="E741" s="100" t="s">
        <v>244</v>
      </c>
      <c r="F741" s="100">
        <v>63.71</v>
      </c>
    </row>
    <row r="742" spans="1:6">
      <c r="A742" s="6">
        <v>44104</v>
      </c>
      <c r="B742" s="98"/>
      <c r="C742" s="98" t="s">
        <v>254</v>
      </c>
      <c r="D742" s="100" t="s">
        <v>391</v>
      </c>
      <c r="E742" s="100" t="s">
        <v>244</v>
      </c>
      <c r="F742" s="100">
        <v>179.43</v>
      </c>
    </row>
    <row r="743" spans="1:6">
      <c r="A743" s="6">
        <v>44104</v>
      </c>
      <c r="B743" s="98"/>
      <c r="C743" s="98" t="s">
        <v>278</v>
      </c>
      <c r="D743" s="100" t="s">
        <v>391</v>
      </c>
      <c r="E743" s="100" t="s">
        <v>247</v>
      </c>
      <c r="F743" s="100">
        <v>4831.5</v>
      </c>
    </row>
    <row r="744" spans="1:6">
      <c r="A744" s="6">
        <v>44104</v>
      </c>
      <c r="B744" s="98" t="s">
        <v>392</v>
      </c>
      <c r="C744" s="98" t="s">
        <v>251</v>
      </c>
      <c r="D744" s="100" t="s">
        <v>393</v>
      </c>
      <c r="E744" s="100" t="s">
        <v>244</v>
      </c>
      <c r="F744" s="100">
        <v>11.09</v>
      </c>
    </row>
    <row r="745" spans="1:6">
      <c r="A745" s="6">
        <v>44104</v>
      </c>
      <c r="B745" s="98"/>
      <c r="C745" s="98" t="s">
        <v>291</v>
      </c>
      <c r="D745" s="100" t="s">
        <v>393</v>
      </c>
      <c r="E745" s="100" t="s">
        <v>247</v>
      </c>
      <c r="F745" s="100">
        <v>4365.96</v>
      </c>
    </row>
    <row r="746" spans="1:6">
      <c r="A746" s="6">
        <v>44104</v>
      </c>
      <c r="B746" s="98" t="s">
        <v>394</v>
      </c>
      <c r="C746" s="98" t="s">
        <v>251</v>
      </c>
      <c r="D746" s="100" t="s">
        <v>395</v>
      </c>
      <c r="E746" s="100" t="s">
        <v>244</v>
      </c>
      <c r="F746" s="100">
        <v>16.2</v>
      </c>
    </row>
    <row r="747" spans="1:6">
      <c r="A747" s="6">
        <v>44104</v>
      </c>
      <c r="B747" s="98"/>
      <c r="C747" s="98" t="s">
        <v>278</v>
      </c>
      <c r="D747" s="100" t="s">
        <v>395</v>
      </c>
      <c r="E747" s="100" t="s">
        <v>247</v>
      </c>
      <c r="F747" s="100">
        <v>696.59</v>
      </c>
    </row>
    <row r="748" spans="1:6">
      <c r="A748" s="6">
        <v>44104</v>
      </c>
      <c r="B748" s="98" t="s">
        <v>396</v>
      </c>
      <c r="C748" s="98" t="s">
        <v>251</v>
      </c>
      <c r="D748" s="100" t="s">
        <v>397</v>
      </c>
      <c r="E748" s="100" t="s">
        <v>244</v>
      </c>
      <c r="F748" s="100">
        <v>6.88</v>
      </c>
    </row>
    <row r="749" spans="1:6">
      <c r="A749" s="6">
        <v>44104</v>
      </c>
      <c r="B749" s="98"/>
      <c r="C749" s="98" t="s">
        <v>248</v>
      </c>
      <c r="D749" s="100" t="s">
        <v>397</v>
      </c>
      <c r="E749" s="100" t="s">
        <v>247</v>
      </c>
      <c r="F749" s="100">
        <v>8712.42</v>
      </c>
    </row>
    <row r="750" spans="1:6">
      <c r="A750" s="6">
        <v>44104</v>
      </c>
      <c r="B750" s="98" t="s">
        <v>398</v>
      </c>
      <c r="C750" s="98" t="s">
        <v>251</v>
      </c>
      <c r="D750" s="100" t="s">
        <v>399</v>
      </c>
      <c r="E750" s="100" t="s">
        <v>244</v>
      </c>
      <c r="F750" s="100">
        <v>2.48</v>
      </c>
    </row>
    <row r="751" spans="1:6">
      <c r="A751" s="6">
        <v>44104</v>
      </c>
      <c r="B751" s="98"/>
      <c r="C751" s="98" t="s">
        <v>245</v>
      </c>
      <c r="D751" s="100" t="s">
        <v>399</v>
      </c>
      <c r="E751" s="100" t="s">
        <v>244</v>
      </c>
      <c r="F751" s="100">
        <v>16.87</v>
      </c>
    </row>
    <row r="752" spans="1:6">
      <c r="A752" s="6">
        <v>44104</v>
      </c>
      <c r="B752" s="98" t="s">
        <v>400</v>
      </c>
      <c r="C752" s="98" t="s">
        <v>251</v>
      </c>
      <c r="D752" s="100" t="s">
        <v>401</v>
      </c>
      <c r="E752" s="100" t="s">
        <v>244</v>
      </c>
      <c r="F752" s="100">
        <v>0.8</v>
      </c>
    </row>
    <row r="753" spans="1:6">
      <c r="A753" s="6">
        <v>44104</v>
      </c>
      <c r="B753" s="98"/>
      <c r="C753" s="98" t="s">
        <v>368</v>
      </c>
      <c r="D753" s="100" t="s">
        <v>401</v>
      </c>
      <c r="E753" s="100" t="s">
        <v>247</v>
      </c>
      <c r="F753" s="100">
        <v>3176.2</v>
      </c>
    </row>
    <row r="754" spans="1:6">
      <c r="A754" s="6">
        <v>44104</v>
      </c>
      <c r="B754" s="98"/>
      <c r="C754" s="98" t="s">
        <v>402</v>
      </c>
      <c r="D754" s="100" t="s">
        <v>401</v>
      </c>
      <c r="E754" s="100" t="s">
        <v>247</v>
      </c>
      <c r="F754" s="100">
        <v>4764.3</v>
      </c>
    </row>
    <row r="755" spans="1:6">
      <c r="A755" s="6">
        <v>44104</v>
      </c>
      <c r="B755" s="98" t="s">
        <v>403</v>
      </c>
      <c r="C755" s="98" t="s">
        <v>254</v>
      </c>
      <c r="D755" s="100" t="s">
        <v>404</v>
      </c>
      <c r="E755" s="100" t="s">
        <v>244</v>
      </c>
      <c r="F755" s="100">
        <v>0.26</v>
      </c>
    </row>
    <row r="756" spans="1:6">
      <c r="A756" s="6">
        <v>44104</v>
      </c>
      <c r="B756" s="98"/>
      <c r="C756" s="98" t="s">
        <v>405</v>
      </c>
      <c r="D756" s="100" t="s">
        <v>404</v>
      </c>
      <c r="E756" s="100" t="s">
        <v>247</v>
      </c>
      <c r="F756" s="100">
        <v>1421.25</v>
      </c>
    </row>
    <row r="757" spans="1:6">
      <c r="A757" s="6">
        <v>44104</v>
      </c>
      <c r="B757" s="98"/>
      <c r="C757" s="98" t="s">
        <v>406</v>
      </c>
      <c r="D757" s="100" t="s">
        <v>404</v>
      </c>
      <c r="E757" s="100" t="s">
        <v>247</v>
      </c>
      <c r="F757" s="100">
        <v>315.83</v>
      </c>
    </row>
    <row r="758" spans="1:6">
      <c r="A758" s="6">
        <v>44104</v>
      </c>
      <c r="B758" s="98"/>
      <c r="C758" s="98" t="s">
        <v>407</v>
      </c>
      <c r="D758" s="100" t="s">
        <v>404</v>
      </c>
      <c r="E758" s="100" t="s">
        <v>247</v>
      </c>
      <c r="F758" s="100">
        <v>3158.33</v>
      </c>
    </row>
    <row r="759" spans="1:6">
      <c r="A759" s="6">
        <v>44104</v>
      </c>
      <c r="B759" s="98" t="s">
        <v>408</v>
      </c>
      <c r="C759" s="98" t="s">
        <v>262</v>
      </c>
      <c r="D759" s="100" t="s">
        <v>409</v>
      </c>
      <c r="E759" s="100" t="s">
        <v>244</v>
      </c>
      <c r="F759" s="100">
        <v>53.66</v>
      </c>
    </row>
    <row r="760" spans="1:6">
      <c r="A760" s="6">
        <v>44104</v>
      </c>
      <c r="B760" s="98"/>
      <c r="C760" s="98" t="s">
        <v>251</v>
      </c>
      <c r="D760" s="100" t="s">
        <v>409</v>
      </c>
      <c r="E760" s="100" t="s">
        <v>244</v>
      </c>
      <c r="F760" s="100">
        <v>6.46</v>
      </c>
    </row>
    <row r="761" spans="1:6">
      <c r="A761" s="6">
        <v>44104</v>
      </c>
      <c r="B761" s="98"/>
      <c r="C761" s="98" t="s">
        <v>254</v>
      </c>
      <c r="D761" s="100" t="s">
        <v>409</v>
      </c>
      <c r="E761" s="100" t="s">
        <v>244</v>
      </c>
      <c r="F761" s="100">
        <v>12.83</v>
      </c>
    </row>
    <row r="762" spans="1:6">
      <c r="A762" s="6">
        <v>44104</v>
      </c>
      <c r="B762" s="98"/>
      <c r="C762" s="98" t="s">
        <v>290</v>
      </c>
      <c r="D762" s="100" t="s">
        <v>409</v>
      </c>
      <c r="E762" s="100" t="s">
        <v>247</v>
      </c>
      <c r="F762" s="100">
        <v>659.33</v>
      </c>
    </row>
    <row r="763" spans="1:6">
      <c r="A763" s="6">
        <v>44104</v>
      </c>
      <c r="B763" s="98"/>
      <c r="C763" s="98" t="s">
        <v>265</v>
      </c>
      <c r="D763" s="100" t="s">
        <v>409</v>
      </c>
      <c r="E763" s="100" t="s">
        <v>247</v>
      </c>
      <c r="F763" s="100">
        <v>63.84</v>
      </c>
    </row>
    <row r="764" spans="1:6">
      <c r="A764" s="6">
        <v>44104</v>
      </c>
      <c r="B764" s="98" t="s">
        <v>410</v>
      </c>
      <c r="C764" s="98" t="s">
        <v>254</v>
      </c>
      <c r="D764" s="100" t="s">
        <v>411</v>
      </c>
      <c r="E764" s="100" t="s">
        <v>244</v>
      </c>
      <c r="F764" s="100">
        <v>39.49</v>
      </c>
    </row>
    <row r="765" spans="1:6">
      <c r="A765" s="6">
        <v>44104</v>
      </c>
      <c r="B765" s="98"/>
      <c r="C765" s="98" t="s">
        <v>248</v>
      </c>
      <c r="D765" s="100" t="s">
        <v>411</v>
      </c>
      <c r="E765" s="100" t="s">
        <v>247</v>
      </c>
      <c r="F765" s="100">
        <v>2735.29</v>
      </c>
    </row>
    <row r="766" spans="1:6">
      <c r="A766" s="6">
        <v>44104</v>
      </c>
      <c r="B766" s="98" t="s">
        <v>412</v>
      </c>
      <c r="C766" s="98" t="s">
        <v>251</v>
      </c>
      <c r="D766" s="100" t="s">
        <v>413</v>
      </c>
      <c r="E766" s="100" t="s">
        <v>244</v>
      </c>
      <c r="F766" s="100">
        <v>3.27</v>
      </c>
    </row>
    <row r="767" spans="1:6">
      <c r="A767" s="6">
        <v>44104</v>
      </c>
      <c r="B767" s="98"/>
      <c r="C767" s="98" t="s">
        <v>254</v>
      </c>
      <c r="D767" s="100" t="s">
        <v>413</v>
      </c>
      <c r="E767" s="100" t="s">
        <v>244</v>
      </c>
      <c r="F767" s="100">
        <v>16.03</v>
      </c>
    </row>
    <row r="768" spans="1:6">
      <c r="A768" s="6">
        <v>44104</v>
      </c>
      <c r="B768" s="98"/>
      <c r="C768" s="98" t="s">
        <v>255</v>
      </c>
      <c r="D768" s="100" t="s">
        <v>413</v>
      </c>
      <c r="E768" s="100" t="s">
        <v>247</v>
      </c>
      <c r="F768" s="100">
        <v>1340.08</v>
      </c>
    </row>
    <row r="769" spans="1:6">
      <c r="A769" s="6">
        <v>44104</v>
      </c>
      <c r="B769" s="98"/>
      <c r="C769" s="98" t="s">
        <v>278</v>
      </c>
      <c r="D769" s="100" t="s">
        <v>413</v>
      </c>
      <c r="E769" s="100" t="s">
        <v>247</v>
      </c>
      <c r="F769" s="100">
        <v>937.52</v>
      </c>
    </row>
    <row r="770" spans="1:6">
      <c r="A770" s="6">
        <v>44104</v>
      </c>
      <c r="B770" s="98"/>
      <c r="C770" s="98" t="s">
        <v>248</v>
      </c>
      <c r="D770" s="100" t="s">
        <v>413</v>
      </c>
      <c r="E770" s="100" t="s">
        <v>247</v>
      </c>
      <c r="F770" s="100">
        <v>2705.67</v>
      </c>
    </row>
    <row r="771" spans="1:6">
      <c r="A771" s="6">
        <v>44104</v>
      </c>
      <c r="B771" s="98" t="s">
        <v>414</v>
      </c>
      <c r="C771" s="98" t="s">
        <v>245</v>
      </c>
      <c r="D771" s="100" t="s">
        <v>415</v>
      </c>
      <c r="E771" s="100" t="s">
        <v>244</v>
      </c>
      <c r="F771" s="100">
        <v>9.26</v>
      </c>
    </row>
    <row r="772" spans="1:6">
      <c r="A772" s="6">
        <v>44104</v>
      </c>
      <c r="B772" s="98"/>
      <c r="C772" s="98" t="s">
        <v>254</v>
      </c>
      <c r="D772" s="100" t="s">
        <v>415</v>
      </c>
      <c r="E772" s="100" t="s">
        <v>244</v>
      </c>
      <c r="F772" s="100">
        <v>2.63</v>
      </c>
    </row>
    <row r="773" spans="1:6">
      <c r="A773" s="6">
        <v>44104</v>
      </c>
      <c r="B773" s="98" t="s">
        <v>416</v>
      </c>
      <c r="C773" s="98" t="s">
        <v>253</v>
      </c>
      <c r="D773" s="100" t="s">
        <v>417</v>
      </c>
      <c r="E773" s="100" t="s">
        <v>244</v>
      </c>
      <c r="F773" s="100">
        <v>5.78</v>
      </c>
    </row>
    <row r="774" spans="1:6">
      <c r="A774" s="6">
        <v>44104</v>
      </c>
      <c r="B774" s="98"/>
      <c r="C774" s="98" t="s">
        <v>245</v>
      </c>
      <c r="D774" s="100" t="s">
        <v>417</v>
      </c>
      <c r="E774" s="100" t="s">
        <v>244</v>
      </c>
      <c r="F774" s="100">
        <v>5.3</v>
      </c>
    </row>
    <row r="775" spans="1:6">
      <c r="A775" s="6">
        <v>44104</v>
      </c>
      <c r="B775" s="98"/>
      <c r="C775" s="98" t="s">
        <v>419</v>
      </c>
      <c r="D775" s="100" t="s">
        <v>417</v>
      </c>
      <c r="E775" s="100" t="s">
        <v>247</v>
      </c>
      <c r="F775" s="100">
        <v>1867.41</v>
      </c>
    </row>
    <row r="776" spans="1:6">
      <c r="A776" s="6">
        <v>44104</v>
      </c>
      <c r="B776" s="98"/>
      <c r="C776" s="98" t="s">
        <v>420</v>
      </c>
      <c r="D776" s="100" t="s">
        <v>417</v>
      </c>
      <c r="E776" s="100" t="s">
        <v>247</v>
      </c>
      <c r="F776" s="100">
        <v>1556.17</v>
      </c>
    </row>
    <row r="777" spans="1:6">
      <c r="A777" s="6">
        <v>44104</v>
      </c>
      <c r="B777" s="98"/>
      <c r="C777" s="98" t="s">
        <v>469</v>
      </c>
      <c r="D777" s="100" t="s">
        <v>417</v>
      </c>
      <c r="E777" s="100" t="s">
        <v>247</v>
      </c>
      <c r="F777" s="100">
        <v>778.09</v>
      </c>
    </row>
    <row r="778" spans="1:6">
      <c r="A778" s="6">
        <v>44104</v>
      </c>
      <c r="B778" s="98" t="s">
        <v>421</v>
      </c>
      <c r="C778" s="98" t="s">
        <v>251</v>
      </c>
      <c r="D778" s="100" t="s">
        <v>422</v>
      </c>
      <c r="E778" s="100" t="s">
        <v>244</v>
      </c>
      <c r="F778" s="100">
        <v>18.41</v>
      </c>
    </row>
    <row r="779" spans="1:6">
      <c r="A779" s="6">
        <v>44104</v>
      </c>
      <c r="B779" s="98"/>
      <c r="C779" s="98" t="s">
        <v>254</v>
      </c>
      <c r="D779" s="100" t="s">
        <v>422</v>
      </c>
      <c r="E779" s="100" t="s">
        <v>244</v>
      </c>
      <c r="F779" s="100">
        <v>39.369999999999997</v>
      </c>
    </row>
    <row r="780" spans="1:6">
      <c r="A780" s="6">
        <v>44104</v>
      </c>
      <c r="B780" s="98"/>
      <c r="C780" s="98" t="s">
        <v>368</v>
      </c>
      <c r="D780" s="100" t="s">
        <v>422</v>
      </c>
      <c r="E780" s="100" t="s">
        <v>247</v>
      </c>
      <c r="F780" s="100">
        <v>3030.91</v>
      </c>
    </row>
    <row r="781" spans="1:6">
      <c r="A781" s="6">
        <v>44104</v>
      </c>
      <c r="B781" s="98" t="s">
        <v>425</v>
      </c>
      <c r="C781" s="98" t="s">
        <v>242</v>
      </c>
      <c r="D781" s="100" t="s">
        <v>426</v>
      </c>
      <c r="E781" s="100" t="s">
        <v>244</v>
      </c>
      <c r="F781" s="100">
        <v>234.72</v>
      </c>
    </row>
    <row r="782" spans="1:6">
      <c r="A782" s="6">
        <v>44104</v>
      </c>
      <c r="B782" s="98"/>
      <c r="C782" s="98" t="s">
        <v>262</v>
      </c>
      <c r="D782" s="100" t="s">
        <v>426</v>
      </c>
      <c r="E782" s="100" t="s">
        <v>244</v>
      </c>
      <c r="F782" s="100">
        <v>208.51</v>
      </c>
    </row>
    <row r="783" spans="1:6">
      <c r="A783" s="6">
        <v>44104</v>
      </c>
      <c r="B783" s="98"/>
      <c r="C783" s="98" t="s">
        <v>251</v>
      </c>
      <c r="D783" s="100" t="s">
        <v>426</v>
      </c>
      <c r="E783" s="100" t="s">
        <v>244</v>
      </c>
      <c r="F783" s="100">
        <v>51.98</v>
      </c>
    </row>
    <row r="784" spans="1:6">
      <c r="A784" s="6">
        <v>44104</v>
      </c>
      <c r="B784" s="98"/>
      <c r="C784" s="98" t="s">
        <v>253</v>
      </c>
      <c r="D784" s="100" t="s">
        <v>426</v>
      </c>
      <c r="E784" s="100" t="s">
        <v>244</v>
      </c>
      <c r="F784" s="100">
        <v>11.06</v>
      </c>
    </row>
    <row r="785" spans="1:6">
      <c r="A785" s="6">
        <v>44104</v>
      </c>
      <c r="B785" s="98"/>
      <c r="C785" s="98" t="s">
        <v>245</v>
      </c>
      <c r="D785" s="100" t="s">
        <v>426</v>
      </c>
      <c r="E785" s="100" t="s">
        <v>244</v>
      </c>
      <c r="F785" s="100">
        <v>76.790000000000006</v>
      </c>
    </row>
    <row r="786" spans="1:6">
      <c r="A786" s="6">
        <v>44104</v>
      </c>
      <c r="B786" s="98"/>
      <c r="C786" s="98" t="s">
        <v>264</v>
      </c>
      <c r="D786" s="100" t="s">
        <v>426</v>
      </c>
      <c r="E786" s="100" t="s">
        <v>244</v>
      </c>
      <c r="F786" s="100">
        <v>173.64</v>
      </c>
    </row>
    <row r="787" spans="1:6">
      <c r="A787" s="6">
        <v>44104</v>
      </c>
      <c r="B787" s="98"/>
      <c r="C787" s="98" t="s">
        <v>254</v>
      </c>
      <c r="D787" s="100" t="s">
        <v>426</v>
      </c>
      <c r="E787" s="100" t="s">
        <v>244</v>
      </c>
      <c r="F787" s="100">
        <v>2.11</v>
      </c>
    </row>
    <row r="788" spans="1:6">
      <c r="A788" s="6">
        <v>44104</v>
      </c>
      <c r="B788" s="98"/>
      <c r="C788" s="98" t="s">
        <v>289</v>
      </c>
      <c r="D788" s="100" t="s">
        <v>426</v>
      </c>
      <c r="E788" s="100" t="s">
        <v>247</v>
      </c>
      <c r="F788" s="100">
        <v>1744.43</v>
      </c>
    </row>
    <row r="789" spans="1:6">
      <c r="A789" s="6">
        <v>44104</v>
      </c>
      <c r="B789" s="98" t="s">
        <v>427</v>
      </c>
      <c r="C789" s="98" t="s">
        <v>242</v>
      </c>
      <c r="D789" s="100" t="s">
        <v>428</v>
      </c>
      <c r="E789" s="100" t="s">
        <v>244</v>
      </c>
      <c r="F789" s="100">
        <v>291.68</v>
      </c>
    </row>
    <row r="790" spans="1:6">
      <c r="A790" s="6">
        <v>44104</v>
      </c>
      <c r="B790" s="98"/>
      <c r="C790" s="98" t="s">
        <v>262</v>
      </c>
      <c r="D790" s="100" t="s">
        <v>428</v>
      </c>
      <c r="E790" s="100" t="s">
        <v>244</v>
      </c>
      <c r="F790" s="100">
        <v>1295.6199999999999</v>
      </c>
    </row>
    <row r="791" spans="1:6">
      <c r="A791" s="6">
        <v>44104</v>
      </c>
      <c r="B791" s="98"/>
      <c r="C791" s="98" t="s">
        <v>251</v>
      </c>
      <c r="D791" s="100" t="s">
        <v>428</v>
      </c>
      <c r="E791" s="100" t="s">
        <v>244</v>
      </c>
      <c r="F791" s="100">
        <v>25.39</v>
      </c>
    </row>
    <row r="792" spans="1:6">
      <c r="A792" s="6">
        <v>44104</v>
      </c>
      <c r="B792" s="98"/>
      <c r="C792" s="98" t="s">
        <v>245</v>
      </c>
      <c r="D792" s="100" t="s">
        <v>428</v>
      </c>
      <c r="E792" s="100" t="s">
        <v>244</v>
      </c>
      <c r="F792" s="100">
        <v>477.12</v>
      </c>
    </row>
    <row r="793" spans="1:6">
      <c r="A793" s="6">
        <v>44104</v>
      </c>
      <c r="B793" s="98" t="s">
        <v>429</v>
      </c>
      <c r="C793" s="98" t="s">
        <v>251</v>
      </c>
      <c r="D793" s="100" t="s">
        <v>430</v>
      </c>
      <c r="E793" s="100" t="s">
        <v>244</v>
      </c>
      <c r="F793" s="100">
        <v>82.55</v>
      </c>
    </row>
    <row r="794" spans="1:6">
      <c r="A794" s="6">
        <v>44104</v>
      </c>
      <c r="B794" s="98"/>
      <c r="C794" s="98" t="s">
        <v>253</v>
      </c>
      <c r="D794" s="100" t="s">
        <v>430</v>
      </c>
      <c r="E794" s="100" t="s">
        <v>244</v>
      </c>
      <c r="F794" s="100">
        <v>21.42</v>
      </c>
    </row>
    <row r="795" spans="1:6">
      <c r="A795" s="6">
        <v>44104</v>
      </c>
      <c r="B795" s="98"/>
      <c r="C795" s="98" t="s">
        <v>245</v>
      </c>
      <c r="D795" s="100" t="s">
        <v>430</v>
      </c>
      <c r="E795" s="100" t="s">
        <v>244</v>
      </c>
      <c r="F795" s="100">
        <v>49.19</v>
      </c>
    </row>
    <row r="796" spans="1:6">
      <c r="A796" s="6">
        <v>44104</v>
      </c>
      <c r="B796" s="98"/>
      <c r="C796" s="98" t="s">
        <v>246</v>
      </c>
      <c r="D796" s="100" t="s">
        <v>430</v>
      </c>
      <c r="E796" s="100" t="s">
        <v>247</v>
      </c>
      <c r="F796" s="100">
        <v>1751.65</v>
      </c>
    </row>
    <row r="797" spans="1:6">
      <c r="A797" s="6">
        <v>44104</v>
      </c>
      <c r="B797" s="98"/>
      <c r="C797" s="98" t="s">
        <v>265</v>
      </c>
      <c r="D797" s="100" t="s">
        <v>430</v>
      </c>
      <c r="E797" s="100" t="s">
        <v>247</v>
      </c>
      <c r="F797" s="100">
        <v>1213.75</v>
      </c>
    </row>
    <row r="798" spans="1:6">
      <c r="A798" s="6">
        <v>44104</v>
      </c>
      <c r="B798" s="98"/>
      <c r="C798" s="98" t="s">
        <v>249</v>
      </c>
      <c r="D798" s="100" t="s">
        <v>430</v>
      </c>
      <c r="E798" s="100" t="s">
        <v>247</v>
      </c>
      <c r="F798" s="100">
        <v>15720.57</v>
      </c>
    </row>
    <row r="799" spans="1:6">
      <c r="A799" s="6">
        <v>44104</v>
      </c>
      <c r="B799" s="98"/>
      <c r="C799" s="98" t="s">
        <v>274</v>
      </c>
      <c r="D799" s="100" t="s">
        <v>430</v>
      </c>
      <c r="E799" s="100" t="s">
        <v>247</v>
      </c>
      <c r="F799" s="100">
        <v>7249.92</v>
      </c>
    </row>
    <row r="800" spans="1:6">
      <c r="A800" s="6">
        <v>44104</v>
      </c>
      <c r="B800" s="98" t="s">
        <v>431</v>
      </c>
      <c r="C800" s="98" t="s">
        <v>242</v>
      </c>
      <c r="D800" s="100" t="s">
        <v>432</v>
      </c>
      <c r="E800" s="100" t="s">
        <v>244</v>
      </c>
      <c r="F800" s="100">
        <v>8.6</v>
      </c>
    </row>
    <row r="801" spans="1:6">
      <c r="A801" s="6">
        <v>44104</v>
      </c>
      <c r="B801" s="98"/>
      <c r="C801" s="98" t="s">
        <v>251</v>
      </c>
      <c r="D801" s="100" t="s">
        <v>432</v>
      </c>
      <c r="E801" s="100" t="s">
        <v>244</v>
      </c>
      <c r="F801" s="100">
        <v>40.880000000000003</v>
      </c>
    </row>
    <row r="802" spans="1:6">
      <c r="A802" s="6">
        <v>44104</v>
      </c>
      <c r="B802" s="98"/>
      <c r="C802" s="98" t="s">
        <v>249</v>
      </c>
      <c r="D802" s="100" t="s">
        <v>432</v>
      </c>
      <c r="E802" s="100" t="s">
        <v>247</v>
      </c>
      <c r="F802" s="100">
        <v>4821.8100000000004</v>
      </c>
    </row>
    <row r="803" spans="1:6">
      <c r="A803" s="6">
        <v>44104</v>
      </c>
      <c r="B803" s="98" t="s">
        <v>433</v>
      </c>
      <c r="C803" s="98" t="s">
        <v>254</v>
      </c>
      <c r="D803" s="100" t="s">
        <v>434</v>
      </c>
      <c r="E803" s="100" t="s">
        <v>244</v>
      </c>
      <c r="F803" s="100">
        <v>37.29</v>
      </c>
    </row>
    <row r="804" spans="1:6">
      <c r="A804" s="6">
        <v>44104</v>
      </c>
      <c r="B804" s="98" t="s">
        <v>435</v>
      </c>
      <c r="C804" s="98" t="s">
        <v>242</v>
      </c>
      <c r="D804" s="100" t="s">
        <v>436</v>
      </c>
      <c r="E804" s="100" t="s">
        <v>244</v>
      </c>
      <c r="F804" s="100">
        <v>772.99</v>
      </c>
    </row>
    <row r="805" spans="1:6">
      <c r="A805" s="6">
        <v>44104</v>
      </c>
      <c r="B805" s="98"/>
      <c r="C805" s="98" t="s">
        <v>262</v>
      </c>
      <c r="D805" s="100" t="s">
        <v>436</v>
      </c>
      <c r="E805" s="100" t="s">
        <v>244</v>
      </c>
      <c r="F805" s="100">
        <v>4667.57</v>
      </c>
    </row>
    <row r="806" spans="1:6">
      <c r="A806" s="6">
        <v>44104</v>
      </c>
      <c r="B806" s="98"/>
      <c r="C806" s="98" t="s">
        <v>253</v>
      </c>
      <c r="D806" s="100" t="s">
        <v>436</v>
      </c>
      <c r="E806" s="100" t="s">
        <v>244</v>
      </c>
      <c r="F806" s="100">
        <v>250.66</v>
      </c>
    </row>
    <row r="807" spans="1:6">
      <c r="A807" s="6">
        <v>44104</v>
      </c>
      <c r="B807" s="98" t="s">
        <v>437</v>
      </c>
      <c r="C807" s="98" t="s">
        <v>242</v>
      </c>
      <c r="D807" s="100" t="s">
        <v>438</v>
      </c>
      <c r="E807" s="100" t="s">
        <v>244</v>
      </c>
      <c r="F807" s="100">
        <v>373.38</v>
      </c>
    </row>
    <row r="808" spans="1:6">
      <c r="A808" s="6">
        <v>44104</v>
      </c>
      <c r="B808" s="98"/>
      <c r="C808" s="98" t="s">
        <v>262</v>
      </c>
      <c r="D808" s="100" t="s">
        <v>438</v>
      </c>
      <c r="E808" s="100" t="s">
        <v>244</v>
      </c>
      <c r="F808" s="100">
        <v>1094.18</v>
      </c>
    </row>
    <row r="809" spans="1:6">
      <c r="A809" s="6">
        <v>44104</v>
      </c>
      <c r="B809" s="98"/>
      <c r="C809" s="98" t="s">
        <v>253</v>
      </c>
      <c r="D809" s="100" t="s">
        <v>438</v>
      </c>
      <c r="E809" s="100" t="s">
        <v>244</v>
      </c>
      <c r="F809" s="100">
        <v>74.09</v>
      </c>
    </row>
    <row r="810" spans="1:6">
      <c r="A810" s="6">
        <v>44104</v>
      </c>
      <c r="B810" s="98"/>
      <c r="C810" s="98" t="s">
        <v>254</v>
      </c>
      <c r="D810" s="100" t="s">
        <v>438</v>
      </c>
      <c r="E810" s="100" t="s">
        <v>244</v>
      </c>
      <c r="F810" s="100">
        <v>26.55</v>
      </c>
    </row>
    <row r="811" spans="1:6">
      <c r="A811" s="6">
        <v>44104</v>
      </c>
      <c r="B811" s="98" t="s">
        <v>439</v>
      </c>
      <c r="C811" s="98" t="s">
        <v>242</v>
      </c>
      <c r="D811" s="100" t="s">
        <v>440</v>
      </c>
      <c r="E811" s="100" t="s">
        <v>244</v>
      </c>
      <c r="F811" s="100">
        <v>1057.19</v>
      </c>
    </row>
    <row r="812" spans="1:6">
      <c r="A812" s="6">
        <v>44104</v>
      </c>
      <c r="B812" s="98"/>
      <c r="C812" s="98" t="s">
        <v>245</v>
      </c>
      <c r="D812" s="100" t="s">
        <v>440</v>
      </c>
      <c r="E812" s="100" t="s">
        <v>244</v>
      </c>
      <c r="F812" s="100">
        <v>494</v>
      </c>
    </row>
    <row r="813" spans="1:6">
      <c r="A813" s="6">
        <v>44104</v>
      </c>
      <c r="B813" s="98"/>
      <c r="C813" s="98" t="s">
        <v>246</v>
      </c>
      <c r="D813" s="100" t="s">
        <v>440</v>
      </c>
      <c r="E813" s="100" t="s">
        <v>247</v>
      </c>
      <c r="F813" s="100">
        <v>3083.39</v>
      </c>
    </row>
    <row r="814" spans="1:6">
      <c r="A814" s="6">
        <v>44104</v>
      </c>
      <c r="B814" s="98" t="s">
        <v>441</v>
      </c>
      <c r="C814" s="98" t="s">
        <v>248</v>
      </c>
      <c r="D814" s="100" t="s">
        <v>442</v>
      </c>
      <c r="E814" s="100" t="s">
        <v>247</v>
      </c>
      <c r="F814" s="100">
        <v>416.2</v>
      </c>
    </row>
    <row r="815" spans="1:6">
      <c r="A815" s="6">
        <v>44104</v>
      </c>
      <c r="B815" s="98" t="s">
        <v>443</v>
      </c>
      <c r="C815" s="98" t="s">
        <v>248</v>
      </c>
      <c r="D815" s="100" t="s">
        <v>444</v>
      </c>
      <c r="E815" s="100" t="s">
        <v>247</v>
      </c>
      <c r="F815" s="100">
        <v>2945.88</v>
      </c>
    </row>
    <row r="816" spans="1:6">
      <c r="A816" s="6">
        <v>44104</v>
      </c>
      <c r="B816" s="98"/>
      <c r="C816" s="98" t="s">
        <v>290</v>
      </c>
      <c r="D816" s="100" t="s">
        <v>444</v>
      </c>
      <c r="E816" s="100" t="s">
        <v>247</v>
      </c>
      <c r="F816" s="100">
        <v>1164.7</v>
      </c>
    </row>
    <row r="817" spans="1:6">
      <c r="A817" s="6">
        <v>44104</v>
      </c>
      <c r="B817" s="98" t="s">
        <v>445</v>
      </c>
      <c r="C817" s="98" t="s">
        <v>290</v>
      </c>
      <c r="D817" s="100" t="s">
        <v>446</v>
      </c>
      <c r="E817" s="100" t="s">
        <v>247</v>
      </c>
      <c r="F817" s="100">
        <v>227.05</v>
      </c>
    </row>
    <row r="818" spans="1:6">
      <c r="A818" s="6">
        <v>44104</v>
      </c>
      <c r="B818" s="98" t="s">
        <v>447</v>
      </c>
      <c r="C818" s="98" t="s">
        <v>448</v>
      </c>
      <c r="D818" s="100" t="s">
        <v>449</v>
      </c>
      <c r="E818" s="100" t="s">
        <v>247</v>
      </c>
      <c r="F818" s="100">
        <v>477.24</v>
      </c>
    </row>
    <row r="819" spans="1:6">
      <c r="A819" s="6">
        <v>44104</v>
      </c>
      <c r="B819" s="98"/>
      <c r="C819" s="98" t="s">
        <v>450</v>
      </c>
      <c r="D819" s="100" t="s">
        <v>449</v>
      </c>
      <c r="E819" s="100" t="s">
        <v>247</v>
      </c>
      <c r="F819" s="100">
        <v>477.24</v>
      </c>
    </row>
    <row r="820" spans="1:6">
      <c r="A820" s="6">
        <v>44104</v>
      </c>
      <c r="B820" s="98" t="s">
        <v>451</v>
      </c>
      <c r="C820" s="98" t="s">
        <v>242</v>
      </c>
      <c r="D820" s="100" t="s">
        <v>452</v>
      </c>
      <c r="E820" s="100" t="s">
        <v>244</v>
      </c>
      <c r="F820" s="100">
        <v>164.45</v>
      </c>
    </row>
    <row r="821" spans="1:6">
      <c r="A821" s="6">
        <v>44104</v>
      </c>
      <c r="B821" s="98"/>
      <c r="C821" s="98" t="s">
        <v>253</v>
      </c>
      <c r="D821" s="100" t="s">
        <v>452</v>
      </c>
      <c r="E821" s="100" t="s">
        <v>244</v>
      </c>
      <c r="F821" s="100">
        <v>22.67</v>
      </c>
    </row>
    <row r="822" spans="1:6">
      <c r="A822" s="6">
        <v>44104</v>
      </c>
      <c r="B822" s="98"/>
      <c r="C822" s="98" t="s">
        <v>254</v>
      </c>
      <c r="D822" s="100" t="s">
        <v>452</v>
      </c>
      <c r="E822" s="100" t="s">
        <v>244</v>
      </c>
      <c r="F822" s="100">
        <v>69.61</v>
      </c>
    </row>
    <row r="823" spans="1:6">
      <c r="A823" s="6">
        <v>44104</v>
      </c>
      <c r="B823" s="98" t="s">
        <v>453</v>
      </c>
      <c r="C823" s="98" t="s">
        <v>262</v>
      </c>
      <c r="D823" s="100" t="s">
        <v>454</v>
      </c>
      <c r="E823" s="100" t="s">
        <v>244</v>
      </c>
      <c r="F823" s="100">
        <v>558.55999999999995</v>
      </c>
    </row>
    <row r="824" spans="1:6">
      <c r="A824" s="6">
        <v>44104</v>
      </c>
      <c r="B824" s="98"/>
      <c r="C824" s="98" t="s">
        <v>251</v>
      </c>
      <c r="D824" s="100" t="s">
        <v>454</v>
      </c>
      <c r="E824" s="100" t="s">
        <v>244</v>
      </c>
      <c r="F824" s="100">
        <v>3.36</v>
      </c>
    </row>
    <row r="825" spans="1:6">
      <c r="A825" s="6">
        <v>44104</v>
      </c>
      <c r="B825" s="98" t="s">
        <v>455</v>
      </c>
      <c r="C825" s="98" t="s">
        <v>254</v>
      </c>
      <c r="D825" s="100" t="s">
        <v>456</v>
      </c>
      <c r="E825" s="100" t="s">
        <v>244</v>
      </c>
      <c r="F825" s="100">
        <v>154.84</v>
      </c>
    </row>
    <row r="826" spans="1:6">
      <c r="A826" s="6">
        <v>44104</v>
      </c>
      <c r="B826" s="98" t="s">
        <v>470</v>
      </c>
      <c r="C826" s="98" t="s">
        <v>242</v>
      </c>
      <c r="D826" s="100" t="s">
        <v>471</v>
      </c>
      <c r="E826" s="100" t="s">
        <v>244</v>
      </c>
      <c r="F826" s="100">
        <v>466.52</v>
      </c>
    </row>
    <row r="827" spans="1:6">
      <c r="A827" s="6">
        <v>44104</v>
      </c>
      <c r="B827" s="98"/>
      <c r="C827" s="98" t="s">
        <v>262</v>
      </c>
      <c r="D827" s="100" t="s">
        <v>471</v>
      </c>
      <c r="E827" s="100" t="s">
        <v>244</v>
      </c>
      <c r="F827" s="100">
        <v>1382.76</v>
      </c>
    </row>
    <row r="828" spans="1:6">
      <c r="A828" s="6">
        <v>44104</v>
      </c>
      <c r="B828" s="98"/>
      <c r="C828" s="98" t="s">
        <v>245</v>
      </c>
      <c r="D828" s="100" t="s">
        <v>471</v>
      </c>
      <c r="E828" s="100" t="s">
        <v>244</v>
      </c>
      <c r="F828" s="100">
        <v>416.95</v>
      </c>
    </row>
    <row r="829" spans="1:6">
      <c r="A829" s="6">
        <v>44104</v>
      </c>
      <c r="B829" s="98"/>
      <c r="C829" s="98" t="s">
        <v>264</v>
      </c>
      <c r="D829" s="100" t="s">
        <v>471</v>
      </c>
      <c r="E829" s="100" t="s">
        <v>244</v>
      </c>
      <c r="F829" s="100">
        <v>293.82</v>
      </c>
    </row>
    <row r="830" spans="1:6">
      <c r="A830" s="6">
        <v>44104</v>
      </c>
      <c r="B830" s="98" t="s">
        <v>472</v>
      </c>
      <c r="C830" s="98" t="s">
        <v>253</v>
      </c>
      <c r="D830" s="100" t="s">
        <v>473</v>
      </c>
      <c r="E830" s="100" t="s">
        <v>244</v>
      </c>
      <c r="F830" s="100">
        <v>12.11</v>
      </c>
    </row>
    <row r="831" spans="1:6">
      <c r="A831" s="6">
        <v>44043</v>
      </c>
      <c r="B831" t="s">
        <v>241</v>
      </c>
      <c r="C831" t="s">
        <v>242</v>
      </c>
      <c r="D831" t="s">
        <v>243</v>
      </c>
      <c r="E831" t="s">
        <v>244</v>
      </c>
      <c r="F831">
        <v>40.98</v>
      </c>
    </row>
    <row r="832" spans="1:6">
      <c r="A832" s="6">
        <v>44043</v>
      </c>
      <c r="C832" t="s">
        <v>262</v>
      </c>
      <c r="D832" t="s">
        <v>243</v>
      </c>
      <c r="E832" t="s">
        <v>244</v>
      </c>
      <c r="F832">
        <v>210.02</v>
      </c>
    </row>
    <row r="833" spans="1:6">
      <c r="A833" s="6">
        <v>44043</v>
      </c>
      <c r="C833" t="s">
        <v>245</v>
      </c>
      <c r="D833" t="s">
        <v>243</v>
      </c>
      <c r="E833" t="s">
        <v>244</v>
      </c>
      <c r="F833">
        <v>377.23</v>
      </c>
    </row>
    <row r="834" spans="1:6">
      <c r="A834" s="6">
        <v>44043</v>
      </c>
      <c r="C834" t="s">
        <v>248</v>
      </c>
      <c r="D834" t="s">
        <v>243</v>
      </c>
      <c r="E834" t="s">
        <v>247</v>
      </c>
      <c r="F834">
        <v>2760.63</v>
      </c>
    </row>
    <row r="835" spans="1:6">
      <c r="A835" s="6">
        <v>44043</v>
      </c>
      <c r="C835" t="s">
        <v>249</v>
      </c>
      <c r="D835" t="s">
        <v>243</v>
      </c>
      <c r="E835" t="s">
        <v>247</v>
      </c>
      <c r="F835">
        <v>400.71</v>
      </c>
    </row>
    <row r="836" spans="1:6">
      <c r="A836" s="6">
        <v>44043</v>
      </c>
      <c r="B836" t="s">
        <v>250</v>
      </c>
      <c r="C836" t="s">
        <v>251</v>
      </c>
      <c r="D836" t="s">
        <v>252</v>
      </c>
      <c r="E836" t="s">
        <v>244</v>
      </c>
      <c r="F836">
        <v>162.62</v>
      </c>
    </row>
    <row r="837" spans="1:6">
      <c r="A837" s="6">
        <v>44043</v>
      </c>
      <c r="C837" t="s">
        <v>253</v>
      </c>
      <c r="D837" t="s">
        <v>252</v>
      </c>
      <c r="E837" t="s">
        <v>244</v>
      </c>
      <c r="F837">
        <v>52.91</v>
      </c>
    </row>
    <row r="838" spans="1:6">
      <c r="A838" s="6">
        <v>44043</v>
      </c>
      <c r="C838" t="s">
        <v>254</v>
      </c>
      <c r="D838" t="s">
        <v>252</v>
      </c>
      <c r="E838" t="s">
        <v>244</v>
      </c>
      <c r="F838">
        <v>279.73</v>
      </c>
    </row>
    <row r="839" spans="1:6">
      <c r="A839" s="6">
        <v>44043</v>
      </c>
      <c r="C839" t="s">
        <v>255</v>
      </c>
      <c r="D839" t="s">
        <v>252</v>
      </c>
      <c r="E839" t="s">
        <v>247</v>
      </c>
      <c r="F839">
        <v>1282.52</v>
      </c>
    </row>
    <row r="840" spans="1:6">
      <c r="A840" s="6">
        <v>44043</v>
      </c>
      <c r="C840" t="s">
        <v>246</v>
      </c>
      <c r="D840" t="s">
        <v>252</v>
      </c>
      <c r="E840" t="s">
        <v>247</v>
      </c>
      <c r="F840">
        <v>1025.1500000000001</v>
      </c>
    </row>
    <row r="841" spans="1:6">
      <c r="A841" s="6">
        <v>44043</v>
      </c>
      <c r="C841" t="s">
        <v>256</v>
      </c>
      <c r="D841" t="s">
        <v>252</v>
      </c>
      <c r="E841" t="s">
        <v>247</v>
      </c>
      <c r="F841">
        <v>5906.64</v>
      </c>
    </row>
    <row r="842" spans="1:6">
      <c r="A842" s="6">
        <v>44043</v>
      </c>
      <c r="C842" t="s">
        <v>257</v>
      </c>
      <c r="D842" t="s">
        <v>252</v>
      </c>
      <c r="E842" t="s">
        <v>258</v>
      </c>
      <c r="F842">
        <v>6443.58</v>
      </c>
    </row>
    <row r="843" spans="1:6">
      <c r="A843" s="6">
        <v>44043</v>
      </c>
      <c r="C843" t="s">
        <v>259</v>
      </c>
      <c r="D843" t="s">
        <v>252</v>
      </c>
      <c r="E843" t="s">
        <v>258</v>
      </c>
      <c r="F843">
        <v>449.52</v>
      </c>
    </row>
    <row r="844" spans="1:6">
      <c r="A844" s="6">
        <v>44043</v>
      </c>
      <c r="C844" t="s">
        <v>260</v>
      </c>
      <c r="D844" t="s">
        <v>252</v>
      </c>
      <c r="E844" t="s">
        <v>258</v>
      </c>
      <c r="F844">
        <v>37.47</v>
      </c>
    </row>
    <row r="845" spans="1:6">
      <c r="A845" s="6">
        <v>44043</v>
      </c>
      <c r="B845" t="s">
        <v>261</v>
      </c>
      <c r="C845" t="s">
        <v>262</v>
      </c>
      <c r="D845" t="s">
        <v>263</v>
      </c>
      <c r="E845" t="s">
        <v>244</v>
      </c>
      <c r="F845">
        <v>120.73</v>
      </c>
    </row>
    <row r="846" spans="1:6">
      <c r="A846" s="6">
        <v>44043</v>
      </c>
      <c r="C846" t="s">
        <v>253</v>
      </c>
      <c r="D846" t="s">
        <v>263</v>
      </c>
      <c r="E846" t="s">
        <v>244</v>
      </c>
      <c r="F846">
        <v>24.46</v>
      </c>
    </row>
    <row r="847" spans="1:6">
      <c r="A847" s="6">
        <v>44043</v>
      </c>
      <c r="C847" t="s">
        <v>245</v>
      </c>
      <c r="D847" t="s">
        <v>263</v>
      </c>
      <c r="E847" t="s">
        <v>244</v>
      </c>
      <c r="F847">
        <v>29.65</v>
      </c>
    </row>
    <row r="848" spans="1:6">
      <c r="A848" s="6">
        <v>44043</v>
      </c>
      <c r="C848" t="s">
        <v>264</v>
      </c>
      <c r="D848" t="s">
        <v>263</v>
      </c>
      <c r="E848" t="s">
        <v>244</v>
      </c>
      <c r="F848">
        <v>296.48</v>
      </c>
    </row>
    <row r="849" spans="1:6">
      <c r="A849" s="6">
        <v>44043</v>
      </c>
      <c r="C849" t="s">
        <v>254</v>
      </c>
      <c r="D849" t="s">
        <v>263</v>
      </c>
      <c r="E849" t="s">
        <v>244</v>
      </c>
      <c r="F849">
        <v>26.88</v>
      </c>
    </row>
    <row r="850" spans="1:6">
      <c r="A850" s="6">
        <v>44043</v>
      </c>
      <c r="C850" t="s">
        <v>248</v>
      </c>
      <c r="D850" t="s">
        <v>263</v>
      </c>
      <c r="E850" t="s">
        <v>247</v>
      </c>
      <c r="F850">
        <v>9748.85</v>
      </c>
    </row>
    <row r="851" spans="1:6">
      <c r="A851" s="6">
        <v>44043</v>
      </c>
      <c r="C851" t="s">
        <v>265</v>
      </c>
      <c r="D851" t="s">
        <v>263</v>
      </c>
      <c r="E851" t="s">
        <v>247</v>
      </c>
      <c r="F851">
        <v>355.3</v>
      </c>
    </row>
    <row r="852" spans="1:6">
      <c r="A852" s="6">
        <v>44043</v>
      </c>
      <c r="B852" t="s">
        <v>267</v>
      </c>
      <c r="C852" t="s">
        <v>242</v>
      </c>
      <c r="D852" t="s">
        <v>268</v>
      </c>
      <c r="E852" t="s">
        <v>244</v>
      </c>
      <c r="F852">
        <v>164.93</v>
      </c>
    </row>
    <row r="853" spans="1:6">
      <c r="A853" s="6">
        <v>44043</v>
      </c>
      <c r="C853" t="s">
        <v>264</v>
      </c>
      <c r="D853" t="s">
        <v>268</v>
      </c>
      <c r="E853" t="s">
        <v>244</v>
      </c>
      <c r="F853">
        <v>206.76</v>
      </c>
    </row>
    <row r="854" spans="1:6">
      <c r="A854" s="6">
        <v>44043</v>
      </c>
      <c r="C854" t="s">
        <v>254</v>
      </c>
      <c r="D854" t="s">
        <v>268</v>
      </c>
      <c r="E854" t="s">
        <v>244</v>
      </c>
      <c r="F854">
        <v>83.63</v>
      </c>
    </row>
    <row r="855" spans="1:6">
      <c r="A855" s="6">
        <v>44043</v>
      </c>
      <c r="C855" t="s">
        <v>248</v>
      </c>
      <c r="D855" t="s">
        <v>268</v>
      </c>
      <c r="E855" t="s">
        <v>247</v>
      </c>
      <c r="F855">
        <v>9800.76</v>
      </c>
    </row>
    <row r="856" spans="1:6">
      <c r="A856" s="6">
        <v>44043</v>
      </c>
      <c r="C856" t="s">
        <v>265</v>
      </c>
      <c r="D856" t="s">
        <v>268</v>
      </c>
      <c r="E856" t="s">
        <v>247</v>
      </c>
      <c r="F856">
        <v>343</v>
      </c>
    </row>
    <row r="857" spans="1:6">
      <c r="A857" s="6">
        <v>44043</v>
      </c>
      <c r="B857" t="s">
        <v>269</v>
      </c>
      <c r="C857" t="s">
        <v>251</v>
      </c>
      <c r="D857" t="s">
        <v>270</v>
      </c>
      <c r="E857" t="s">
        <v>244</v>
      </c>
      <c r="F857">
        <v>37.549999999999997</v>
      </c>
    </row>
    <row r="858" spans="1:6">
      <c r="A858" s="6">
        <v>44043</v>
      </c>
      <c r="C858" t="s">
        <v>245</v>
      </c>
      <c r="D858" t="s">
        <v>270</v>
      </c>
      <c r="E858" t="s">
        <v>244</v>
      </c>
      <c r="F858">
        <v>102.17</v>
      </c>
    </row>
    <row r="859" spans="1:6">
      <c r="A859" s="6">
        <v>44043</v>
      </c>
      <c r="C859" t="s">
        <v>264</v>
      </c>
      <c r="D859" t="s">
        <v>270</v>
      </c>
      <c r="E859" t="s">
        <v>244</v>
      </c>
      <c r="F859">
        <v>261.32</v>
      </c>
    </row>
    <row r="860" spans="1:6">
      <c r="A860" s="6">
        <v>44043</v>
      </c>
      <c r="C860" t="s">
        <v>271</v>
      </c>
      <c r="D860" t="s">
        <v>270</v>
      </c>
      <c r="E860" t="s">
        <v>244</v>
      </c>
      <c r="F860">
        <v>12.7</v>
      </c>
    </row>
    <row r="861" spans="1:6">
      <c r="A861" s="6">
        <v>44043</v>
      </c>
      <c r="C861" t="s">
        <v>255</v>
      </c>
      <c r="D861" t="s">
        <v>270</v>
      </c>
      <c r="E861" t="s">
        <v>247</v>
      </c>
      <c r="F861">
        <v>913.44</v>
      </c>
    </row>
    <row r="862" spans="1:6">
      <c r="A862" s="6">
        <v>44043</v>
      </c>
      <c r="C862" t="s">
        <v>272</v>
      </c>
      <c r="D862" t="s">
        <v>270</v>
      </c>
      <c r="E862" t="s">
        <v>247</v>
      </c>
      <c r="F862">
        <v>208.66</v>
      </c>
    </row>
    <row r="863" spans="1:6">
      <c r="A863" s="6">
        <v>44043</v>
      </c>
      <c r="C863" t="s">
        <v>246</v>
      </c>
      <c r="D863" t="s">
        <v>270</v>
      </c>
      <c r="E863" t="s">
        <v>247</v>
      </c>
      <c r="F863">
        <v>2118.7399999999998</v>
      </c>
    </row>
    <row r="864" spans="1:6">
      <c r="A864" s="6">
        <v>44043</v>
      </c>
      <c r="C864" t="s">
        <v>265</v>
      </c>
      <c r="D864" t="s">
        <v>270</v>
      </c>
      <c r="E864" t="s">
        <v>247</v>
      </c>
      <c r="F864">
        <v>1518.78</v>
      </c>
    </row>
    <row r="865" spans="1:6">
      <c r="A865" s="6">
        <v>44043</v>
      </c>
      <c r="C865" t="s">
        <v>273</v>
      </c>
      <c r="D865" t="s">
        <v>270</v>
      </c>
      <c r="E865" t="s">
        <v>247</v>
      </c>
      <c r="F865">
        <v>2334.25</v>
      </c>
    </row>
    <row r="866" spans="1:6">
      <c r="A866" s="6">
        <v>44043</v>
      </c>
      <c r="C866" t="s">
        <v>274</v>
      </c>
      <c r="D866" t="s">
        <v>270</v>
      </c>
      <c r="E866" t="s">
        <v>247</v>
      </c>
      <c r="F866">
        <v>7603.18</v>
      </c>
    </row>
    <row r="867" spans="1:6">
      <c r="A867" s="6">
        <v>44043</v>
      </c>
      <c r="B867" t="s">
        <v>275</v>
      </c>
      <c r="C867" t="s">
        <v>242</v>
      </c>
      <c r="D867" t="s">
        <v>276</v>
      </c>
      <c r="E867" t="s">
        <v>244</v>
      </c>
      <c r="F867">
        <v>119.58</v>
      </c>
    </row>
    <row r="868" spans="1:6">
      <c r="A868" s="6">
        <v>44043</v>
      </c>
      <c r="C868" t="s">
        <v>262</v>
      </c>
      <c r="D868" t="s">
        <v>276</v>
      </c>
      <c r="E868" t="s">
        <v>244</v>
      </c>
      <c r="F868">
        <v>1211.52</v>
      </c>
    </row>
    <row r="869" spans="1:6">
      <c r="A869" s="6">
        <v>44043</v>
      </c>
      <c r="C869" t="s">
        <v>251</v>
      </c>
      <c r="D869" t="s">
        <v>276</v>
      </c>
      <c r="E869" t="s">
        <v>244</v>
      </c>
      <c r="F869">
        <v>45.33</v>
      </c>
    </row>
    <row r="870" spans="1:6">
      <c r="A870" s="6">
        <v>44043</v>
      </c>
      <c r="C870" t="s">
        <v>253</v>
      </c>
      <c r="D870" t="s">
        <v>276</v>
      </c>
      <c r="E870" t="s">
        <v>244</v>
      </c>
      <c r="F870">
        <v>22.77</v>
      </c>
    </row>
    <row r="871" spans="1:6">
      <c r="A871" s="6">
        <v>44043</v>
      </c>
      <c r="C871" t="s">
        <v>245</v>
      </c>
      <c r="D871" t="s">
        <v>276</v>
      </c>
      <c r="E871" t="s">
        <v>244</v>
      </c>
      <c r="F871">
        <v>63.74</v>
      </c>
    </row>
    <row r="872" spans="1:6">
      <c r="A872" s="6">
        <v>44043</v>
      </c>
      <c r="C872" t="s">
        <v>264</v>
      </c>
      <c r="D872" t="s">
        <v>276</v>
      </c>
      <c r="E872" t="s">
        <v>244</v>
      </c>
      <c r="F872">
        <v>376.84</v>
      </c>
    </row>
    <row r="873" spans="1:6">
      <c r="A873" s="6">
        <v>44043</v>
      </c>
      <c r="C873" t="s">
        <v>271</v>
      </c>
      <c r="D873" t="s">
        <v>276</v>
      </c>
      <c r="E873" t="s">
        <v>244</v>
      </c>
      <c r="F873">
        <v>33.520000000000003</v>
      </c>
    </row>
    <row r="874" spans="1:6">
      <c r="A874" s="6">
        <v>44043</v>
      </c>
      <c r="C874" t="s">
        <v>254</v>
      </c>
      <c r="D874" t="s">
        <v>276</v>
      </c>
      <c r="E874" t="s">
        <v>244</v>
      </c>
      <c r="F874">
        <v>177.87</v>
      </c>
    </row>
    <row r="875" spans="1:6">
      <c r="A875" s="6">
        <v>44043</v>
      </c>
      <c r="C875" t="s">
        <v>277</v>
      </c>
      <c r="D875" t="s">
        <v>276</v>
      </c>
      <c r="E875" t="s">
        <v>247</v>
      </c>
      <c r="F875">
        <v>6101.11</v>
      </c>
    </row>
    <row r="876" spans="1:6">
      <c r="A876" s="6">
        <v>44043</v>
      </c>
      <c r="C876" t="s">
        <v>278</v>
      </c>
      <c r="D876" t="s">
        <v>276</v>
      </c>
      <c r="E876" t="s">
        <v>247</v>
      </c>
      <c r="F876">
        <v>2633.03</v>
      </c>
    </row>
    <row r="877" spans="1:6">
      <c r="A877" s="6">
        <v>44043</v>
      </c>
      <c r="C877" t="s">
        <v>272</v>
      </c>
      <c r="D877" t="s">
        <v>276</v>
      </c>
      <c r="E877" t="s">
        <v>247</v>
      </c>
      <c r="F877">
        <v>1577.74</v>
      </c>
    </row>
    <row r="878" spans="1:6">
      <c r="A878" s="6">
        <v>44043</v>
      </c>
      <c r="C878" t="s">
        <v>246</v>
      </c>
      <c r="D878" t="s">
        <v>276</v>
      </c>
      <c r="E878" t="s">
        <v>247</v>
      </c>
      <c r="F878">
        <v>3868.09</v>
      </c>
    </row>
    <row r="879" spans="1:6">
      <c r="A879" s="6">
        <v>44043</v>
      </c>
      <c r="C879" t="s">
        <v>279</v>
      </c>
      <c r="D879" t="s">
        <v>276</v>
      </c>
      <c r="E879" t="s">
        <v>247</v>
      </c>
      <c r="F879">
        <v>12738.12</v>
      </c>
    </row>
    <row r="880" spans="1:6">
      <c r="A880" s="6">
        <v>44043</v>
      </c>
      <c r="C880" t="s">
        <v>248</v>
      </c>
      <c r="D880" t="s">
        <v>276</v>
      </c>
      <c r="E880" t="s">
        <v>247</v>
      </c>
      <c r="F880">
        <v>11863.4</v>
      </c>
    </row>
    <row r="881" spans="1:6">
      <c r="A881" s="6">
        <v>44043</v>
      </c>
      <c r="C881" t="s">
        <v>281</v>
      </c>
      <c r="D881" t="s">
        <v>276</v>
      </c>
      <c r="E881" t="s">
        <v>247</v>
      </c>
      <c r="F881">
        <v>14267.15</v>
      </c>
    </row>
    <row r="882" spans="1:6">
      <c r="A882" s="6">
        <v>44043</v>
      </c>
      <c r="C882" t="s">
        <v>256</v>
      </c>
      <c r="D882" t="s">
        <v>276</v>
      </c>
      <c r="E882" t="s">
        <v>247</v>
      </c>
      <c r="F882">
        <v>2461.27</v>
      </c>
    </row>
    <row r="883" spans="1:6">
      <c r="A883" s="6">
        <v>44043</v>
      </c>
      <c r="C883" t="s">
        <v>282</v>
      </c>
      <c r="D883" t="s">
        <v>276</v>
      </c>
      <c r="E883" t="s">
        <v>247</v>
      </c>
      <c r="F883">
        <v>4080.55</v>
      </c>
    </row>
    <row r="884" spans="1:6">
      <c r="A884" s="6">
        <v>44043</v>
      </c>
      <c r="C884" t="s">
        <v>283</v>
      </c>
      <c r="D884" t="s">
        <v>276</v>
      </c>
      <c r="E884" t="s">
        <v>247</v>
      </c>
      <c r="F884">
        <v>2407.98</v>
      </c>
    </row>
    <row r="885" spans="1:6">
      <c r="A885" s="6">
        <v>44043</v>
      </c>
      <c r="C885" t="s">
        <v>284</v>
      </c>
      <c r="D885" t="s">
        <v>276</v>
      </c>
      <c r="E885" t="s">
        <v>247</v>
      </c>
      <c r="F885">
        <v>2407.98</v>
      </c>
    </row>
    <row r="886" spans="1:6">
      <c r="A886" s="6">
        <v>44043</v>
      </c>
      <c r="C886" t="s">
        <v>285</v>
      </c>
      <c r="D886" t="s">
        <v>276</v>
      </c>
      <c r="E886" t="s">
        <v>247</v>
      </c>
      <c r="F886">
        <v>9613.32</v>
      </c>
    </row>
    <row r="887" spans="1:6">
      <c r="A887" s="6">
        <v>44043</v>
      </c>
      <c r="C887" t="s">
        <v>286</v>
      </c>
      <c r="D887" t="s">
        <v>276</v>
      </c>
      <c r="E887" t="s">
        <v>247</v>
      </c>
      <c r="F887">
        <v>1926.38</v>
      </c>
    </row>
    <row r="888" spans="1:6">
      <c r="A888" s="6">
        <v>44043</v>
      </c>
      <c r="C888" t="s">
        <v>257</v>
      </c>
      <c r="D888" t="s">
        <v>276</v>
      </c>
      <c r="E888" t="s">
        <v>258</v>
      </c>
      <c r="F888">
        <v>33593.379999999997</v>
      </c>
    </row>
    <row r="889" spans="1:6">
      <c r="A889" s="6">
        <v>44043</v>
      </c>
      <c r="C889" t="s">
        <v>259</v>
      </c>
      <c r="D889" t="s">
        <v>276</v>
      </c>
      <c r="E889" t="s">
        <v>258</v>
      </c>
      <c r="F889">
        <v>29150.06</v>
      </c>
    </row>
    <row r="890" spans="1:6">
      <c r="A890" s="6">
        <v>44043</v>
      </c>
      <c r="C890" t="s">
        <v>249</v>
      </c>
      <c r="D890" t="s">
        <v>276</v>
      </c>
      <c r="E890" t="s">
        <v>247</v>
      </c>
      <c r="F890">
        <v>1191.81</v>
      </c>
    </row>
    <row r="891" spans="1:6">
      <c r="A891" s="6">
        <v>44043</v>
      </c>
      <c r="C891" t="s">
        <v>260</v>
      </c>
      <c r="D891" t="s">
        <v>276</v>
      </c>
      <c r="E891" t="s">
        <v>258</v>
      </c>
      <c r="F891">
        <v>9486.61</v>
      </c>
    </row>
    <row r="892" spans="1:6">
      <c r="A892" s="6">
        <v>44043</v>
      </c>
      <c r="B892" t="s">
        <v>287</v>
      </c>
      <c r="C892" t="s">
        <v>242</v>
      </c>
      <c r="D892" t="s">
        <v>288</v>
      </c>
      <c r="E892" t="s">
        <v>244</v>
      </c>
      <c r="F892">
        <v>1810.6</v>
      </c>
    </row>
    <row r="893" spans="1:6">
      <c r="A893" s="6">
        <v>44043</v>
      </c>
      <c r="C893" t="s">
        <v>262</v>
      </c>
      <c r="D893" t="s">
        <v>288</v>
      </c>
      <c r="E893" t="s">
        <v>244</v>
      </c>
      <c r="F893">
        <v>9700.7999999999993</v>
      </c>
    </row>
    <row r="894" spans="1:6">
      <c r="A894" s="6">
        <v>44043</v>
      </c>
      <c r="C894" t="s">
        <v>251</v>
      </c>
      <c r="D894" t="s">
        <v>288</v>
      </c>
      <c r="E894" t="s">
        <v>244</v>
      </c>
      <c r="F894">
        <v>65.87</v>
      </c>
    </row>
    <row r="895" spans="1:6">
      <c r="A895" s="6">
        <v>44043</v>
      </c>
      <c r="C895" t="s">
        <v>253</v>
      </c>
      <c r="D895" t="s">
        <v>288</v>
      </c>
      <c r="E895" t="s">
        <v>244</v>
      </c>
      <c r="F895">
        <v>34</v>
      </c>
    </row>
    <row r="896" spans="1:6">
      <c r="A896" s="6">
        <v>44043</v>
      </c>
      <c r="C896" t="s">
        <v>245</v>
      </c>
      <c r="D896" t="s">
        <v>288</v>
      </c>
      <c r="E896" t="s">
        <v>244</v>
      </c>
      <c r="F896">
        <v>2695.75</v>
      </c>
    </row>
    <row r="897" spans="1:6">
      <c r="A897" s="6">
        <v>44043</v>
      </c>
      <c r="C897" t="s">
        <v>264</v>
      </c>
      <c r="D897" t="s">
        <v>288</v>
      </c>
      <c r="E897" t="s">
        <v>244</v>
      </c>
      <c r="F897">
        <v>953.67</v>
      </c>
    </row>
    <row r="898" spans="1:6">
      <c r="A898" s="6">
        <v>44043</v>
      </c>
      <c r="C898" t="s">
        <v>271</v>
      </c>
      <c r="D898" t="s">
        <v>288</v>
      </c>
      <c r="E898" t="s">
        <v>244</v>
      </c>
      <c r="F898">
        <v>8.43</v>
      </c>
    </row>
    <row r="899" spans="1:6">
      <c r="A899" s="6">
        <v>44043</v>
      </c>
      <c r="C899" t="s">
        <v>254</v>
      </c>
      <c r="D899" t="s">
        <v>288</v>
      </c>
      <c r="E899" t="s">
        <v>244</v>
      </c>
      <c r="F899">
        <v>502.28</v>
      </c>
    </row>
    <row r="900" spans="1:6">
      <c r="A900" s="6">
        <v>44043</v>
      </c>
      <c r="C900" t="s">
        <v>277</v>
      </c>
      <c r="D900" t="s">
        <v>288</v>
      </c>
      <c r="E900" t="s">
        <v>247</v>
      </c>
      <c r="F900">
        <v>2447.41</v>
      </c>
    </row>
    <row r="901" spans="1:6">
      <c r="A901" s="6">
        <v>44043</v>
      </c>
      <c r="C901" t="s">
        <v>255</v>
      </c>
      <c r="D901" t="s">
        <v>288</v>
      </c>
      <c r="E901" t="s">
        <v>247</v>
      </c>
      <c r="F901">
        <v>2637.99</v>
      </c>
    </row>
    <row r="902" spans="1:6">
      <c r="A902" s="6">
        <v>44043</v>
      </c>
      <c r="C902" t="s">
        <v>278</v>
      </c>
      <c r="D902" t="s">
        <v>288</v>
      </c>
      <c r="E902" t="s">
        <v>247</v>
      </c>
      <c r="F902">
        <v>6514.65</v>
      </c>
    </row>
    <row r="903" spans="1:6">
      <c r="A903" s="6">
        <v>44043</v>
      </c>
      <c r="C903" t="s">
        <v>289</v>
      </c>
      <c r="D903" t="s">
        <v>288</v>
      </c>
      <c r="E903" t="s">
        <v>247</v>
      </c>
      <c r="F903">
        <v>306.82</v>
      </c>
    </row>
    <row r="904" spans="1:6">
      <c r="A904" s="6">
        <v>44043</v>
      </c>
      <c r="C904" t="s">
        <v>272</v>
      </c>
      <c r="D904" t="s">
        <v>288</v>
      </c>
      <c r="E904" t="s">
        <v>247</v>
      </c>
      <c r="F904">
        <v>729.54</v>
      </c>
    </row>
    <row r="905" spans="1:6">
      <c r="A905" s="6">
        <v>44043</v>
      </c>
      <c r="C905" t="s">
        <v>246</v>
      </c>
      <c r="D905" t="s">
        <v>288</v>
      </c>
      <c r="E905" t="s">
        <v>247</v>
      </c>
      <c r="F905">
        <v>3007.67</v>
      </c>
    </row>
    <row r="906" spans="1:6">
      <c r="A906" s="6">
        <v>44043</v>
      </c>
      <c r="C906" t="s">
        <v>290</v>
      </c>
      <c r="D906" t="s">
        <v>288</v>
      </c>
      <c r="E906" t="s">
        <v>247</v>
      </c>
      <c r="F906">
        <v>2265.63</v>
      </c>
    </row>
    <row r="907" spans="1:6">
      <c r="A907" s="6">
        <v>44043</v>
      </c>
      <c r="C907" t="s">
        <v>291</v>
      </c>
      <c r="D907" t="s">
        <v>288</v>
      </c>
      <c r="E907" t="s">
        <v>247</v>
      </c>
      <c r="F907">
        <v>14818.04</v>
      </c>
    </row>
    <row r="908" spans="1:6">
      <c r="A908" s="6">
        <v>44043</v>
      </c>
      <c r="C908" t="s">
        <v>256</v>
      </c>
      <c r="D908" t="s">
        <v>288</v>
      </c>
      <c r="E908" t="s">
        <v>247</v>
      </c>
      <c r="F908">
        <v>1183.01</v>
      </c>
    </row>
    <row r="909" spans="1:6">
      <c r="A909" s="6">
        <v>44043</v>
      </c>
      <c r="C909" t="s">
        <v>265</v>
      </c>
      <c r="D909" t="s">
        <v>288</v>
      </c>
      <c r="E909" t="s">
        <v>247</v>
      </c>
      <c r="F909">
        <v>1811.18</v>
      </c>
    </row>
    <row r="910" spans="1:6">
      <c r="A910" s="6">
        <v>44043</v>
      </c>
      <c r="C910" t="s">
        <v>292</v>
      </c>
      <c r="D910" t="s">
        <v>288</v>
      </c>
      <c r="E910" t="s">
        <v>247</v>
      </c>
      <c r="F910">
        <v>185.36</v>
      </c>
    </row>
    <row r="911" spans="1:6">
      <c r="A911" s="6">
        <v>44043</v>
      </c>
      <c r="C911" t="s">
        <v>293</v>
      </c>
      <c r="D911" t="s">
        <v>288</v>
      </c>
      <c r="E911" t="s">
        <v>247</v>
      </c>
      <c r="F911">
        <v>1522.59</v>
      </c>
    </row>
    <row r="912" spans="1:6">
      <c r="A912" s="6">
        <v>44043</v>
      </c>
      <c r="C912" t="s">
        <v>257</v>
      </c>
      <c r="D912" t="s">
        <v>288</v>
      </c>
      <c r="E912" t="s">
        <v>258</v>
      </c>
      <c r="F912">
        <v>9688.33</v>
      </c>
    </row>
    <row r="913" spans="1:6">
      <c r="A913" s="6">
        <v>44043</v>
      </c>
      <c r="C913" t="s">
        <v>266</v>
      </c>
      <c r="D913" t="s">
        <v>288</v>
      </c>
      <c r="E913" t="s">
        <v>258</v>
      </c>
      <c r="F913">
        <v>390124.1</v>
      </c>
    </row>
    <row r="914" spans="1:6">
      <c r="A914" s="6">
        <v>44043</v>
      </c>
      <c r="C914" t="s">
        <v>259</v>
      </c>
      <c r="D914" t="s">
        <v>288</v>
      </c>
      <c r="E914" t="s">
        <v>258</v>
      </c>
      <c r="F914">
        <v>5660.17</v>
      </c>
    </row>
    <row r="915" spans="1:6">
      <c r="A915" s="6">
        <v>44043</v>
      </c>
      <c r="C915" t="s">
        <v>249</v>
      </c>
      <c r="D915" t="s">
        <v>288</v>
      </c>
      <c r="E915" t="s">
        <v>247</v>
      </c>
      <c r="F915">
        <v>2226.7399999999998</v>
      </c>
    </row>
    <row r="916" spans="1:6">
      <c r="A916" s="6">
        <v>44043</v>
      </c>
      <c r="C916" t="s">
        <v>260</v>
      </c>
      <c r="D916" t="s">
        <v>288</v>
      </c>
      <c r="E916" t="s">
        <v>258</v>
      </c>
      <c r="F916">
        <v>4779.97</v>
      </c>
    </row>
    <row r="917" spans="1:6">
      <c r="A917" s="6">
        <v>44043</v>
      </c>
      <c r="B917" t="s">
        <v>294</v>
      </c>
      <c r="C917" t="s">
        <v>242</v>
      </c>
      <c r="D917" t="s">
        <v>295</v>
      </c>
      <c r="E917" t="s">
        <v>244</v>
      </c>
      <c r="F917">
        <v>47</v>
      </c>
    </row>
    <row r="918" spans="1:6">
      <c r="A918" s="6">
        <v>44043</v>
      </c>
      <c r="C918" t="s">
        <v>262</v>
      </c>
      <c r="D918" t="s">
        <v>295</v>
      </c>
      <c r="E918" t="s">
        <v>244</v>
      </c>
      <c r="F918">
        <v>0.86</v>
      </c>
    </row>
    <row r="919" spans="1:6">
      <c r="A919" s="6">
        <v>44043</v>
      </c>
      <c r="C919" t="s">
        <v>251</v>
      </c>
      <c r="D919" t="s">
        <v>295</v>
      </c>
      <c r="E919" t="s">
        <v>244</v>
      </c>
      <c r="F919">
        <v>1.01</v>
      </c>
    </row>
    <row r="920" spans="1:6">
      <c r="A920" s="6">
        <v>44043</v>
      </c>
      <c r="C920" t="s">
        <v>245</v>
      </c>
      <c r="D920" t="s">
        <v>295</v>
      </c>
      <c r="E920" t="s">
        <v>244</v>
      </c>
      <c r="F920">
        <v>38.369999999999997</v>
      </c>
    </row>
    <row r="921" spans="1:6">
      <c r="A921" s="6">
        <v>44043</v>
      </c>
      <c r="C921" t="s">
        <v>264</v>
      </c>
      <c r="D921" t="s">
        <v>295</v>
      </c>
      <c r="E921" t="s">
        <v>244</v>
      </c>
      <c r="F921">
        <v>23.31</v>
      </c>
    </row>
    <row r="922" spans="1:6">
      <c r="A922" s="6">
        <v>44043</v>
      </c>
      <c r="C922" t="s">
        <v>271</v>
      </c>
      <c r="D922" t="s">
        <v>295</v>
      </c>
      <c r="E922" t="s">
        <v>244</v>
      </c>
      <c r="F922">
        <v>0.72</v>
      </c>
    </row>
    <row r="923" spans="1:6">
      <c r="A923" s="6">
        <v>44043</v>
      </c>
      <c r="C923" t="s">
        <v>254</v>
      </c>
      <c r="D923" t="s">
        <v>295</v>
      </c>
      <c r="E923" t="s">
        <v>244</v>
      </c>
      <c r="F923">
        <v>17.72</v>
      </c>
    </row>
    <row r="924" spans="1:6">
      <c r="A924" s="6">
        <v>44043</v>
      </c>
      <c r="B924" t="s">
        <v>296</v>
      </c>
      <c r="C924" t="s">
        <v>242</v>
      </c>
      <c r="D924" t="s">
        <v>297</v>
      </c>
      <c r="E924" t="s">
        <v>244</v>
      </c>
      <c r="F924">
        <v>521.5</v>
      </c>
    </row>
    <row r="925" spans="1:6">
      <c r="A925" s="6">
        <v>44043</v>
      </c>
      <c r="C925" t="s">
        <v>262</v>
      </c>
      <c r="D925" t="s">
        <v>297</v>
      </c>
      <c r="E925" t="s">
        <v>244</v>
      </c>
      <c r="F925">
        <v>3862.3</v>
      </c>
    </row>
    <row r="926" spans="1:6">
      <c r="A926" s="6">
        <v>44043</v>
      </c>
      <c r="C926" t="s">
        <v>251</v>
      </c>
      <c r="D926" t="s">
        <v>297</v>
      </c>
      <c r="E926" t="s">
        <v>244</v>
      </c>
      <c r="F926">
        <v>85.49</v>
      </c>
    </row>
    <row r="927" spans="1:6">
      <c r="A927" s="6">
        <v>44043</v>
      </c>
      <c r="C927" t="s">
        <v>253</v>
      </c>
      <c r="D927" t="s">
        <v>297</v>
      </c>
      <c r="E927" t="s">
        <v>244</v>
      </c>
      <c r="F927">
        <v>61.87</v>
      </c>
    </row>
    <row r="928" spans="1:6">
      <c r="A928" s="6">
        <v>44043</v>
      </c>
      <c r="C928" t="s">
        <v>245</v>
      </c>
      <c r="D928" t="s">
        <v>297</v>
      </c>
      <c r="E928" t="s">
        <v>244</v>
      </c>
      <c r="F928">
        <v>795.59</v>
      </c>
    </row>
    <row r="929" spans="1:6">
      <c r="A929" s="6">
        <v>44043</v>
      </c>
      <c r="C929" t="s">
        <v>264</v>
      </c>
      <c r="D929" t="s">
        <v>297</v>
      </c>
      <c r="E929" t="s">
        <v>244</v>
      </c>
      <c r="F929">
        <v>549.92999999999995</v>
      </c>
    </row>
    <row r="930" spans="1:6">
      <c r="A930" s="6">
        <v>44043</v>
      </c>
      <c r="C930" t="s">
        <v>271</v>
      </c>
      <c r="D930" t="s">
        <v>297</v>
      </c>
      <c r="E930" t="s">
        <v>244</v>
      </c>
      <c r="F930">
        <v>7.13</v>
      </c>
    </row>
    <row r="931" spans="1:6">
      <c r="A931" s="6">
        <v>44043</v>
      </c>
      <c r="C931" t="s">
        <v>254</v>
      </c>
      <c r="D931" t="s">
        <v>297</v>
      </c>
      <c r="E931" t="s">
        <v>244</v>
      </c>
      <c r="F931">
        <v>419.79</v>
      </c>
    </row>
    <row r="932" spans="1:6">
      <c r="A932" s="6">
        <v>44043</v>
      </c>
      <c r="C932" t="s">
        <v>277</v>
      </c>
      <c r="D932" t="s">
        <v>297</v>
      </c>
      <c r="E932" t="s">
        <v>247</v>
      </c>
      <c r="F932">
        <v>1840.91</v>
      </c>
    </row>
    <row r="933" spans="1:6">
      <c r="A933" s="6">
        <v>44043</v>
      </c>
      <c r="C933" t="s">
        <v>289</v>
      </c>
      <c r="D933" t="s">
        <v>297</v>
      </c>
      <c r="E933" t="s">
        <v>247</v>
      </c>
      <c r="F933">
        <v>2458.3200000000002</v>
      </c>
    </row>
    <row r="934" spans="1:6">
      <c r="A934" s="6">
        <v>44043</v>
      </c>
      <c r="C934" t="s">
        <v>272</v>
      </c>
      <c r="D934" t="s">
        <v>297</v>
      </c>
      <c r="E934" t="s">
        <v>247</v>
      </c>
      <c r="F934">
        <v>485.28</v>
      </c>
    </row>
    <row r="935" spans="1:6">
      <c r="A935" s="6">
        <v>44043</v>
      </c>
      <c r="C935" t="s">
        <v>246</v>
      </c>
      <c r="D935" t="s">
        <v>297</v>
      </c>
      <c r="E935" t="s">
        <v>247</v>
      </c>
      <c r="F935">
        <v>1738.98</v>
      </c>
    </row>
    <row r="936" spans="1:6">
      <c r="A936" s="6">
        <v>44043</v>
      </c>
      <c r="C936" t="s">
        <v>248</v>
      </c>
      <c r="D936" t="s">
        <v>297</v>
      </c>
      <c r="E936" t="s">
        <v>247</v>
      </c>
      <c r="F936">
        <v>11168.43</v>
      </c>
    </row>
    <row r="937" spans="1:6">
      <c r="A937" s="6">
        <v>44043</v>
      </c>
      <c r="C937" t="s">
        <v>280</v>
      </c>
      <c r="D937" t="s">
        <v>297</v>
      </c>
      <c r="E937" t="s">
        <v>247</v>
      </c>
      <c r="F937">
        <v>11371.34</v>
      </c>
    </row>
    <row r="938" spans="1:6">
      <c r="A938" s="6">
        <v>44043</v>
      </c>
      <c r="C938" t="s">
        <v>290</v>
      </c>
      <c r="D938" t="s">
        <v>297</v>
      </c>
      <c r="E938" t="s">
        <v>247</v>
      </c>
      <c r="F938">
        <v>1029.3900000000001</v>
      </c>
    </row>
    <row r="939" spans="1:6">
      <c r="A939" s="6">
        <v>44043</v>
      </c>
      <c r="C939" t="s">
        <v>298</v>
      </c>
      <c r="D939" t="s">
        <v>297</v>
      </c>
      <c r="E939" t="s">
        <v>247</v>
      </c>
      <c r="F939">
        <v>701.89</v>
      </c>
    </row>
    <row r="940" spans="1:6">
      <c r="A940" s="6">
        <v>44043</v>
      </c>
      <c r="C940" t="s">
        <v>291</v>
      </c>
      <c r="D940" t="s">
        <v>297</v>
      </c>
      <c r="E940" t="s">
        <v>247</v>
      </c>
      <c r="F940">
        <v>9455.2999999999993</v>
      </c>
    </row>
    <row r="941" spans="1:6">
      <c r="A941" s="6">
        <v>44043</v>
      </c>
      <c r="C941" t="s">
        <v>265</v>
      </c>
      <c r="D941" t="s">
        <v>297</v>
      </c>
      <c r="E941" t="s">
        <v>247</v>
      </c>
      <c r="F941">
        <v>949.59</v>
      </c>
    </row>
    <row r="942" spans="1:6">
      <c r="A942" s="6">
        <v>44043</v>
      </c>
      <c r="C942" t="s">
        <v>299</v>
      </c>
      <c r="D942" t="s">
        <v>297</v>
      </c>
      <c r="E942" t="s">
        <v>247</v>
      </c>
      <c r="F942">
        <v>2212.96</v>
      </c>
    </row>
    <row r="943" spans="1:6">
      <c r="A943" s="6">
        <v>44043</v>
      </c>
      <c r="C943" t="s">
        <v>257</v>
      </c>
      <c r="D943" t="s">
        <v>297</v>
      </c>
      <c r="E943" t="s">
        <v>258</v>
      </c>
      <c r="F943">
        <v>9722.23</v>
      </c>
    </row>
    <row r="944" spans="1:6">
      <c r="A944" s="6">
        <v>44043</v>
      </c>
      <c r="C944" t="s">
        <v>266</v>
      </c>
      <c r="D944" t="s">
        <v>297</v>
      </c>
      <c r="E944" t="s">
        <v>258</v>
      </c>
      <c r="F944">
        <v>3271.99</v>
      </c>
    </row>
    <row r="945" spans="1:6">
      <c r="A945" s="6">
        <v>44043</v>
      </c>
      <c r="C945" t="s">
        <v>259</v>
      </c>
      <c r="D945" t="s">
        <v>297</v>
      </c>
      <c r="E945" t="s">
        <v>258</v>
      </c>
      <c r="F945">
        <v>8429.08</v>
      </c>
    </row>
    <row r="946" spans="1:6">
      <c r="A946" s="6">
        <v>44043</v>
      </c>
      <c r="C946" t="s">
        <v>249</v>
      </c>
      <c r="D946" t="s">
        <v>297</v>
      </c>
      <c r="E946" t="s">
        <v>247</v>
      </c>
      <c r="F946">
        <v>1265.08</v>
      </c>
    </row>
    <row r="947" spans="1:6">
      <c r="A947" s="6">
        <v>44043</v>
      </c>
      <c r="C947" t="s">
        <v>260</v>
      </c>
      <c r="D947" t="s">
        <v>297</v>
      </c>
      <c r="E947" t="s">
        <v>258</v>
      </c>
      <c r="F947">
        <v>2753.42</v>
      </c>
    </row>
    <row r="948" spans="1:6">
      <c r="A948" s="6">
        <v>44043</v>
      </c>
      <c r="C948" t="s">
        <v>274</v>
      </c>
      <c r="D948" t="s">
        <v>297</v>
      </c>
      <c r="E948" t="s">
        <v>247</v>
      </c>
      <c r="F948">
        <v>4379.1099999999997</v>
      </c>
    </row>
    <row r="949" spans="1:6">
      <c r="A949" s="6">
        <v>44043</v>
      </c>
      <c r="B949" t="s">
        <v>300</v>
      </c>
      <c r="C949" t="s">
        <v>301</v>
      </c>
      <c r="D949" t="s">
        <v>302</v>
      </c>
      <c r="E949" t="s">
        <v>247</v>
      </c>
      <c r="F949">
        <v>15886.25</v>
      </c>
    </row>
    <row r="950" spans="1:6">
      <c r="A950" s="6">
        <v>44043</v>
      </c>
      <c r="C950" t="s">
        <v>303</v>
      </c>
      <c r="D950" t="s">
        <v>302</v>
      </c>
      <c r="E950" t="s">
        <v>247</v>
      </c>
      <c r="F950">
        <v>4236.33</v>
      </c>
    </row>
    <row r="951" spans="1:6">
      <c r="A951" s="6">
        <v>44043</v>
      </c>
      <c r="B951" t="s">
        <v>304</v>
      </c>
      <c r="C951" t="s">
        <v>262</v>
      </c>
      <c r="D951" t="s">
        <v>305</v>
      </c>
      <c r="E951" t="s">
        <v>244</v>
      </c>
      <c r="F951">
        <v>341.17</v>
      </c>
    </row>
    <row r="952" spans="1:6">
      <c r="A952" s="6">
        <v>44043</v>
      </c>
      <c r="C952" t="s">
        <v>245</v>
      </c>
      <c r="D952" t="s">
        <v>305</v>
      </c>
      <c r="E952" t="s">
        <v>244</v>
      </c>
      <c r="F952">
        <v>174.96</v>
      </c>
    </row>
    <row r="953" spans="1:6">
      <c r="A953" s="6">
        <v>44043</v>
      </c>
      <c r="B953" t="s">
        <v>306</v>
      </c>
      <c r="C953" t="s">
        <v>242</v>
      </c>
      <c r="D953" t="s">
        <v>307</v>
      </c>
      <c r="E953" t="s">
        <v>244</v>
      </c>
      <c r="F953">
        <v>21</v>
      </c>
    </row>
    <row r="954" spans="1:6">
      <c r="A954" s="6">
        <v>44043</v>
      </c>
      <c r="C954" t="s">
        <v>262</v>
      </c>
      <c r="D954" t="s">
        <v>307</v>
      </c>
      <c r="E954" t="s">
        <v>244</v>
      </c>
      <c r="F954">
        <v>110.22</v>
      </c>
    </row>
    <row r="955" spans="1:6">
      <c r="A955" s="6">
        <v>44043</v>
      </c>
      <c r="C955" t="s">
        <v>245</v>
      </c>
      <c r="D955" t="s">
        <v>307</v>
      </c>
      <c r="E955" t="s">
        <v>244</v>
      </c>
      <c r="F955">
        <v>24.48</v>
      </c>
    </row>
    <row r="956" spans="1:6">
      <c r="A956" s="6">
        <v>44043</v>
      </c>
      <c r="C956" t="s">
        <v>264</v>
      </c>
      <c r="D956" t="s">
        <v>307</v>
      </c>
      <c r="E956" t="s">
        <v>244</v>
      </c>
      <c r="F956">
        <v>9.2200000000000006</v>
      </c>
    </row>
    <row r="957" spans="1:6">
      <c r="A957" s="6">
        <v>44043</v>
      </c>
      <c r="B957" t="s">
        <v>308</v>
      </c>
      <c r="C957" t="s">
        <v>262</v>
      </c>
      <c r="D957" t="s">
        <v>309</v>
      </c>
      <c r="E957" t="s">
        <v>244</v>
      </c>
      <c r="F957">
        <v>399.49</v>
      </c>
    </row>
    <row r="958" spans="1:6">
      <c r="A958" s="6">
        <v>44043</v>
      </c>
      <c r="C958" t="s">
        <v>245</v>
      </c>
      <c r="D958" t="s">
        <v>309</v>
      </c>
      <c r="E958" t="s">
        <v>244</v>
      </c>
      <c r="F958">
        <v>82.88</v>
      </c>
    </row>
    <row r="959" spans="1:6">
      <c r="A959" s="6">
        <v>44043</v>
      </c>
      <c r="C959" t="s">
        <v>264</v>
      </c>
      <c r="D959" t="s">
        <v>309</v>
      </c>
      <c r="E959" t="s">
        <v>244</v>
      </c>
      <c r="F959">
        <v>17.16</v>
      </c>
    </row>
    <row r="960" spans="1:6">
      <c r="A960" s="6">
        <v>44043</v>
      </c>
      <c r="C960" t="s">
        <v>254</v>
      </c>
      <c r="D960" t="s">
        <v>309</v>
      </c>
      <c r="E960" t="s">
        <v>244</v>
      </c>
      <c r="F960">
        <v>18.62</v>
      </c>
    </row>
    <row r="961" spans="1:6">
      <c r="A961" s="6">
        <v>44043</v>
      </c>
      <c r="C961" t="s">
        <v>272</v>
      </c>
      <c r="D961" t="s">
        <v>309</v>
      </c>
      <c r="E961" t="s">
        <v>247</v>
      </c>
      <c r="F961">
        <v>162.63</v>
      </c>
    </row>
    <row r="962" spans="1:6">
      <c r="A962" s="6">
        <v>44043</v>
      </c>
      <c r="B962" t="s">
        <v>310</v>
      </c>
      <c r="C962" t="s">
        <v>262</v>
      </c>
      <c r="D962" t="s">
        <v>311</v>
      </c>
      <c r="E962" t="s">
        <v>244</v>
      </c>
      <c r="F962">
        <v>51.69</v>
      </c>
    </row>
    <row r="963" spans="1:6">
      <c r="A963" s="6">
        <v>44043</v>
      </c>
      <c r="C963" t="s">
        <v>245</v>
      </c>
      <c r="D963" t="s">
        <v>311</v>
      </c>
      <c r="E963" t="s">
        <v>244</v>
      </c>
      <c r="F963">
        <v>417.53</v>
      </c>
    </row>
    <row r="964" spans="1:6">
      <c r="A964" s="6">
        <v>44043</v>
      </c>
      <c r="C964" t="s">
        <v>271</v>
      </c>
      <c r="D964" t="s">
        <v>311</v>
      </c>
      <c r="E964" t="s">
        <v>244</v>
      </c>
      <c r="F964">
        <v>5.35</v>
      </c>
    </row>
    <row r="965" spans="1:6">
      <c r="A965" s="6">
        <v>44043</v>
      </c>
      <c r="C965" t="s">
        <v>254</v>
      </c>
      <c r="D965" t="s">
        <v>311</v>
      </c>
      <c r="E965" t="s">
        <v>244</v>
      </c>
      <c r="F965">
        <v>35.729999999999997</v>
      </c>
    </row>
    <row r="966" spans="1:6">
      <c r="A966" s="6">
        <v>44043</v>
      </c>
      <c r="C966" t="s">
        <v>277</v>
      </c>
      <c r="D966" t="s">
        <v>311</v>
      </c>
      <c r="E966" t="s">
        <v>247</v>
      </c>
      <c r="F966">
        <v>3012.26</v>
      </c>
    </row>
    <row r="967" spans="1:6">
      <c r="A967" s="6">
        <v>44043</v>
      </c>
      <c r="C967" t="s">
        <v>248</v>
      </c>
      <c r="D967" t="s">
        <v>311</v>
      </c>
      <c r="E967" t="s">
        <v>247</v>
      </c>
      <c r="F967">
        <v>7073.64</v>
      </c>
    </row>
    <row r="968" spans="1:6">
      <c r="A968" s="6">
        <v>44043</v>
      </c>
      <c r="B968" t="s">
        <v>312</v>
      </c>
      <c r="C968" t="s">
        <v>242</v>
      </c>
      <c r="D968" t="s">
        <v>313</v>
      </c>
      <c r="E968" t="s">
        <v>244</v>
      </c>
      <c r="F968">
        <v>153.85</v>
      </c>
    </row>
    <row r="969" spans="1:6">
      <c r="A969" s="6">
        <v>44043</v>
      </c>
      <c r="C969" t="s">
        <v>262</v>
      </c>
      <c r="D969" t="s">
        <v>313</v>
      </c>
      <c r="E969" t="s">
        <v>244</v>
      </c>
      <c r="F969">
        <v>23181.29</v>
      </c>
    </row>
    <row r="970" spans="1:6">
      <c r="A970" s="6">
        <v>44043</v>
      </c>
      <c r="C970" t="s">
        <v>245</v>
      </c>
      <c r="D970" t="s">
        <v>313</v>
      </c>
      <c r="E970" t="s">
        <v>244</v>
      </c>
      <c r="F970">
        <v>120.53</v>
      </c>
    </row>
    <row r="971" spans="1:6">
      <c r="A971" s="6">
        <v>44043</v>
      </c>
      <c r="C971" t="s">
        <v>248</v>
      </c>
      <c r="D971" t="s">
        <v>313</v>
      </c>
      <c r="E971" t="s">
        <v>247</v>
      </c>
      <c r="F971">
        <v>1868.31</v>
      </c>
    </row>
    <row r="972" spans="1:6">
      <c r="A972" s="6">
        <v>44043</v>
      </c>
      <c r="B972" t="s">
        <v>314</v>
      </c>
      <c r="C972" t="s">
        <v>242</v>
      </c>
      <c r="D972" t="s">
        <v>315</v>
      </c>
      <c r="E972" t="s">
        <v>244</v>
      </c>
      <c r="F972">
        <v>2897.25</v>
      </c>
    </row>
    <row r="973" spans="1:6">
      <c r="A973" s="6">
        <v>44043</v>
      </c>
      <c r="C973" t="s">
        <v>262</v>
      </c>
      <c r="D973" t="s">
        <v>315</v>
      </c>
      <c r="E973" t="s">
        <v>244</v>
      </c>
      <c r="F973">
        <v>4900.72</v>
      </c>
    </row>
    <row r="974" spans="1:6">
      <c r="A974" s="6">
        <v>44043</v>
      </c>
      <c r="C974" t="s">
        <v>245</v>
      </c>
      <c r="D974" t="s">
        <v>315</v>
      </c>
      <c r="E974" t="s">
        <v>244</v>
      </c>
      <c r="F974">
        <v>6.73</v>
      </c>
    </row>
    <row r="975" spans="1:6">
      <c r="A975" s="6">
        <v>44043</v>
      </c>
      <c r="C975" t="s">
        <v>289</v>
      </c>
      <c r="D975" t="s">
        <v>315</v>
      </c>
      <c r="E975" t="s">
        <v>247</v>
      </c>
      <c r="F975">
        <v>2599.15</v>
      </c>
    </row>
    <row r="976" spans="1:6">
      <c r="A976" s="6">
        <v>44043</v>
      </c>
      <c r="B976" t="s">
        <v>316</v>
      </c>
      <c r="C976" t="s">
        <v>262</v>
      </c>
      <c r="D976" t="s">
        <v>317</v>
      </c>
      <c r="E976" t="s">
        <v>244</v>
      </c>
      <c r="F976">
        <v>439.81</v>
      </c>
    </row>
    <row r="977" spans="1:6">
      <c r="A977" s="6">
        <v>44043</v>
      </c>
      <c r="C977" t="s">
        <v>245</v>
      </c>
      <c r="D977" t="s">
        <v>317</v>
      </c>
      <c r="E977" t="s">
        <v>244</v>
      </c>
      <c r="F977">
        <v>156.63</v>
      </c>
    </row>
    <row r="978" spans="1:6">
      <c r="A978" s="6">
        <v>44043</v>
      </c>
      <c r="C978" t="s">
        <v>254</v>
      </c>
      <c r="D978" t="s">
        <v>317</v>
      </c>
      <c r="E978" t="s">
        <v>244</v>
      </c>
      <c r="F978">
        <v>43.7</v>
      </c>
    </row>
    <row r="979" spans="1:6">
      <c r="A979" s="6">
        <v>44043</v>
      </c>
      <c r="B979" t="s">
        <v>318</v>
      </c>
      <c r="C979" t="s">
        <v>262</v>
      </c>
      <c r="D979" t="s">
        <v>319</v>
      </c>
      <c r="E979" t="s">
        <v>244</v>
      </c>
      <c r="F979">
        <v>1241.07</v>
      </c>
    </row>
    <row r="980" spans="1:6">
      <c r="A980" s="6">
        <v>44043</v>
      </c>
      <c r="C980" t="s">
        <v>253</v>
      </c>
      <c r="D980" t="s">
        <v>319</v>
      </c>
      <c r="E980" t="s">
        <v>244</v>
      </c>
      <c r="F980">
        <v>26.43</v>
      </c>
    </row>
    <row r="981" spans="1:6">
      <c r="A981" s="6">
        <v>44043</v>
      </c>
      <c r="C981" t="s">
        <v>245</v>
      </c>
      <c r="D981" t="s">
        <v>319</v>
      </c>
      <c r="E981" t="s">
        <v>244</v>
      </c>
      <c r="F981">
        <v>36.06</v>
      </c>
    </row>
    <row r="982" spans="1:6">
      <c r="A982" s="6">
        <v>44043</v>
      </c>
      <c r="C982" t="s">
        <v>264</v>
      </c>
      <c r="D982" t="s">
        <v>319</v>
      </c>
      <c r="E982" t="s">
        <v>244</v>
      </c>
      <c r="F982">
        <v>780.96</v>
      </c>
    </row>
    <row r="983" spans="1:6">
      <c r="A983" s="6">
        <v>44043</v>
      </c>
      <c r="C983" t="s">
        <v>271</v>
      </c>
      <c r="D983" t="s">
        <v>319</v>
      </c>
      <c r="E983" t="s">
        <v>244</v>
      </c>
      <c r="F983">
        <v>13.19</v>
      </c>
    </row>
    <row r="984" spans="1:6">
      <c r="A984" s="6">
        <v>44043</v>
      </c>
      <c r="C984" t="s">
        <v>254</v>
      </c>
      <c r="D984" t="s">
        <v>319</v>
      </c>
      <c r="E984" t="s">
        <v>244</v>
      </c>
      <c r="F984">
        <v>459.75</v>
      </c>
    </row>
    <row r="985" spans="1:6">
      <c r="A985" s="6">
        <v>44043</v>
      </c>
      <c r="C985" t="s">
        <v>255</v>
      </c>
      <c r="D985" t="s">
        <v>319</v>
      </c>
      <c r="E985" t="s">
        <v>247</v>
      </c>
      <c r="F985">
        <v>3343.75</v>
      </c>
    </row>
    <row r="986" spans="1:6">
      <c r="A986" s="6">
        <v>44043</v>
      </c>
      <c r="C986" t="s">
        <v>278</v>
      </c>
      <c r="D986" t="s">
        <v>319</v>
      </c>
      <c r="E986" t="s">
        <v>247</v>
      </c>
      <c r="F986">
        <v>11542.53</v>
      </c>
    </row>
    <row r="987" spans="1:6">
      <c r="A987" s="6">
        <v>44043</v>
      </c>
      <c r="C987" t="s">
        <v>272</v>
      </c>
      <c r="D987" t="s">
        <v>319</v>
      </c>
      <c r="E987" t="s">
        <v>247</v>
      </c>
      <c r="F987">
        <v>2056.04</v>
      </c>
    </row>
    <row r="988" spans="1:6">
      <c r="A988" s="6">
        <v>44043</v>
      </c>
      <c r="C988" t="s">
        <v>246</v>
      </c>
      <c r="D988" t="s">
        <v>319</v>
      </c>
      <c r="E988" t="s">
        <v>247</v>
      </c>
      <c r="F988">
        <v>4805.9799999999996</v>
      </c>
    </row>
    <row r="989" spans="1:6">
      <c r="A989" s="6">
        <v>44043</v>
      </c>
      <c r="C989" t="s">
        <v>249</v>
      </c>
      <c r="D989" t="s">
        <v>319</v>
      </c>
      <c r="E989" t="s">
        <v>247</v>
      </c>
      <c r="F989">
        <v>260.92</v>
      </c>
    </row>
    <row r="990" spans="1:6">
      <c r="A990" s="6">
        <v>44043</v>
      </c>
      <c r="B990" t="s">
        <v>320</v>
      </c>
      <c r="C990" t="s">
        <v>242</v>
      </c>
      <c r="D990" t="s">
        <v>321</v>
      </c>
      <c r="E990" t="s">
        <v>244</v>
      </c>
      <c r="F990">
        <v>3830.13</v>
      </c>
    </row>
    <row r="991" spans="1:6">
      <c r="A991" s="6">
        <v>44043</v>
      </c>
      <c r="C991" t="s">
        <v>262</v>
      </c>
      <c r="D991" t="s">
        <v>321</v>
      </c>
      <c r="E991" t="s">
        <v>244</v>
      </c>
      <c r="F991">
        <v>5185.66</v>
      </c>
    </row>
    <row r="992" spans="1:6">
      <c r="A992" s="6">
        <v>44043</v>
      </c>
      <c r="C992" t="s">
        <v>253</v>
      </c>
      <c r="D992" t="s">
        <v>321</v>
      </c>
      <c r="E992" t="s">
        <v>244</v>
      </c>
      <c r="F992">
        <v>61.3</v>
      </c>
    </row>
    <row r="993" spans="1:6">
      <c r="A993" s="6">
        <v>44043</v>
      </c>
      <c r="C993" t="s">
        <v>245</v>
      </c>
      <c r="D993" t="s">
        <v>321</v>
      </c>
      <c r="E993" t="s">
        <v>244</v>
      </c>
      <c r="F993">
        <v>739.11</v>
      </c>
    </row>
    <row r="994" spans="1:6">
      <c r="A994" s="6">
        <v>44043</v>
      </c>
      <c r="C994" t="s">
        <v>264</v>
      </c>
      <c r="D994" t="s">
        <v>321</v>
      </c>
      <c r="E994" t="s">
        <v>244</v>
      </c>
      <c r="F994">
        <v>1899.92</v>
      </c>
    </row>
    <row r="995" spans="1:6">
      <c r="A995" s="6">
        <v>44043</v>
      </c>
      <c r="C995" t="s">
        <v>271</v>
      </c>
      <c r="D995" t="s">
        <v>321</v>
      </c>
      <c r="E995" t="s">
        <v>244</v>
      </c>
      <c r="F995">
        <v>5.99</v>
      </c>
    </row>
    <row r="996" spans="1:6">
      <c r="A996" s="6">
        <v>44043</v>
      </c>
      <c r="C996" t="s">
        <v>254</v>
      </c>
      <c r="D996" t="s">
        <v>321</v>
      </c>
      <c r="E996" t="s">
        <v>244</v>
      </c>
      <c r="F996">
        <v>137.08000000000001</v>
      </c>
    </row>
    <row r="997" spans="1:6">
      <c r="A997" s="6">
        <v>44043</v>
      </c>
      <c r="C997" t="s">
        <v>277</v>
      </c>
      <c r="D997" t="s">
        <v>321</v>
      </c>
      <c r="E997" t="s">
        <v>247</v>
      </c>
      <c r="F997">
        <v>15693.77</v>
      </c>
    </row>
    <row r="998" spans="1:6">
      <c r="A998" s="6">
        <v>44043</v>
      </c>
      <c r="C998" t="s">
        <v>255</v>
      </c>
      <c r="D998" t="s">
        <v>321</v>
      </c>
      <c r="E998" t="s">
        <v>247</v>
      </c>
      <c r="F998">
        <v>640.45000000000005</v>
      </c>
    </row>
    <row r="999" spans="1:6">
      <c r="A999" s="6">
        <v>44043</v>
      </c>
      <c r="C999" t="s">
        <v>278</v>
      </c>
      <c r="D999" t="s">
        <v>321</v>
      </c>
      <c r="E999" t="s">
        <v>247</v>
      </c>
      <c r="F999">
        <v>2898.08</v>
      </c>
    </row>
    <row r="1000" spans="1:6">
      <c r="A1000" s="6">
        <v>44043</v>
      </c>
      <c r="C1000" t="s">
        <v>272</v>
      </c>
      <c r="D1000" t="s">
        <v>321</v>
      </c>
      <c r="E1000" t="s">
        <v>247</v>
      </c>
      <c r="F1000">
        <v>2188.19</v>
      </c>
    </row>
    <row r="1001" spans="1:6">
      <c r="A1001" s="6">
        <v>44043</v>
      </c>
      <c r="C1001" t="s">
        <v>290</v>
      </c>
      <c r="D1001" t="s">
        <v>321</v>
      </c>
      <c r="E1001" t="s">
        <v>247</v>
      </c>
      <c r="F1001">
        <v>376.15</v>
      </c>
    </row>
    <row r="1002" spans="1:6">
      <c r="A1002" s="6">
        <v>44043</v>
      </c>
      <c r="C1002" t="s">
        <v>256</v>
      </c>
      <c r="D1002" t="s">
        <v>321</v>
      </c>
      <c r="E1002" t="s">
        <v>247</v>
      </c>
      <c r="F1002">
        <v>9260.0300000000007</v>
      </c>
    </row>
    <row r="1003" spans="1:6">
      <c r="A1003" s="6">
        <v>44043</v>
      </c>
      <c r="C1003" t="s">
        <v>265</v>
      </c>
      <c r="D1003" t="s">
        <v>321</v>
      </c>
      <c r="E1003" t="s">
        <v>247</v>
      </c>
      <c r="F1003">
        <v>744.59</v>
      </c>
    </row>
    <row r="1004" spans="1:6">
      <c r="A1004" s="6">
        <v>44043</v>
      </c>
      <c r="C1004" t="s">
        <v>249</v>
      </c>
      <c r="D1004" t="s">
        <v>321</v>
      </c>
      <c r="E1004" t="s">
        <v>247</v>
      </c>
      <c r="F1004">
        <v>259.35000000000002</v>
      </c>
    </row>
    <row r="1005" spans="1:6">
      <c r="A1005" s="6">
        <v>44043</v>
      </c>
      <c r="B1005" t="s">
        <v>322</v>
      </c>
      <c r="C1005" t="s">
        <v>253</v>
      </c>
      <c r="D1005" t="s">
        <v>323</v>
      </c>
      <c r="E1005" t="s">
        <v>244</v>
      </c>
      <c r="F1005">
        <v>52.45</v>
      </c>
    </row>
    <row r="1006" spans="1:6">
      <c r="A1006" s="6">
        <v>44043</v>
      </c>
      <c r="C1006" t="s">
        <v>245</v>
      </c>
      <c r="D1006" t="s">
        <v>323</v>
      </c>
      <c r="E1006" t="s">
        <v>244</v>
      </c>
      <c r="F1006">
        <v>1328.83</v>
      </c>
    </row>
    <row r="1007" spans="1:6">
      <c r="A1007" s="6">
        <v>44043</v>
      </c>
      <c r="C1007" t="s">
        <v>255</v>
      </c>
      <c r="D1007" t="s">
        <v>323</v>
      </c>
      <c r="E1007" t="s">
        <v>247</v>
      </c>
      <c r="F1007">
        <v>8307.76</v>
      </c>
    </row>
    <row r="1008" spans="1:6">
      <c r="A1008" s="6">
        <v>44043</v>
      </c>
      <c r="C1008" t="s">
        <v>289</v>
      </c>
      <c r="D1008" t="s">
        <v>323</v>
      </c>
      <c r="E1008" t="s">
        <v>247</v>
      </c>
      <c r="F1008">
        <v>17190.45</v>
      </c>
    </row>
    <row r="1009" spans="1:6">
      <c r="A1009" s="6">
        <v>44043</v>
      </c>
      <c r="C1009" t="s">
        <v>265</v>
      </c>
      <c r="D1009" t="s">
        <v>323</v>
      </c>
      <c r="E1009" t="s">
        <v>247</v>
      </c>
      <c r="F1009">
        <v>744.04</v>
      </c>
    </row>
    <row r="1010" spans="1:6">
      <c r="A1010" s="6">
        <v>44043</v>
      </c>
      <c r="B1010" t="s">
        <v>324</v>
      </c>
      <c r="C1010" t="s">
        <v>251</v>
      </c>
      <c r="D1010" t="s">
        <v>325</v>
      </c>
      <c r="E1010" t="s">
        <v>244</v>
      </c>
      <c r="F1010">
        <v>380.08</v>
      </c>
    </row>
    <row r="1011" spans="1:6">
      <c r="A1011" s="6">
        <v>44043</v>
      </c>
      <c r="C1011" t="s">
        <v>257</v>
      </c>
      <c r="D1011" t="s">
        <v>325</v>
      </c>
      <c r="E1011" t="s">
        <v>258</v>
      </c>
      <c r="F1011">
        <v>34550.17</v>
      </c>
    </row>
    <row r="1012" spans="1:6">
      <c r="A1012" s="6">
        <v>44043</v>
      </c>
      <c r="C1012" t="s">
        <v>266</v>
      </c>
      <c r="D1012" t="s">
        <v>325</v>
      </c>
      <c r="E1012" t="s">
        <v>258</v>
      </c>
      <c r="F1012">
        <v>62.82</v>
      </c>
    </row>
    <row r="1013" spans="1:6">
      <c r="A1013" s="6">
        <v>44043</v>
      </c>
      <c r="C1013" t="s">
        <v>259</v>
      </c>
      <c r="D1013" t="s">
        <v>325</v>
      </c>
      <c r="E1013" t="s">
        <v>258</v>
      </c>
      <c r="F1013">
        <v>27180.28</v>
      </c>
    </row>
    <row r="1014" spans="1:6">
      <c r="A1014" s="6">
        <v>44043</v>
      </c>
      <c r="C1014" t="s">
        <v>260</v>
      </c>
      <c r="D1014" t="s">
        <v>325</v>
      </c>
      <c r="E1014" t="s">
        <v>258</v>
      </c>
      <c r="F1014">
        <v>8593.18</v>
      </c>
    </row>
    <row r="1015" spans="1:6">
      <c r="A1015" s="6">
        <v>44043</v>
      </c>
      <c r="B1015" t="s">
        <v>326</v>
      </c>
      <c r="C1015" t="s">
        <v>242</v>
      </c>
      <c r="D1015" t="s">
        <v>327</v>
      </c>
      <c r="E1015" t="s">
        <v>244</v>
      </c>
      <c r="F1015">
        <v>779.63</v>
      </c>
    </row>
    <row r="1016" spans="1:6">
      <c r="A1016" s="6">
        <v>44043</v>
      </c>
      <c r="C1016" t="s">
        <v>262</v>
      </c>
      <c r="D1016" t="s">
        <v>327</v>
      </c>
      <c r="E1016" t="s">
        <v>244</v>
      </c>
      <c r="F1016">
        <v>3832.43</v>
      </c>
    </row>
    <row r="1017" spans="1:6">
      <c r="A1017" s="6">
        <v>44043</v>
      </c>
      <c r="C1017" t="s">
        <v>251</v>
      </c>
      <c r="D1017" t="s">
        <v>327</v>
      </c>
      <c r="E1017" t="s">
        <v>244</v>
      </c>
      <c r="F1017">
        <v>2.69</v>
      </c>
    </row>
    <row r="1018" spans="1:6">
      <c r="A1018" s="6">
        <v>44043</v>
      </c>
      <c r="C1018" t="s">
        <v>245</v>
      </c>
      <c r="D1018" t="s">
        <v>327</v>
      </c>
      <c r="E1018" t="s">
        <v>244</v>
      </c>
      <c r="F1018">
        <v>435.22</v>
      </c>
    </row>
    <row r="1019" spans="1:6">
      <c r="A1019" s="6">
        <v>44043</v>
      </c>
      <c r="C1019" t="s">
        <v>271</v>
      </c>
      <c r="D1019" t="s">
        <v>327</v>
      </c>
      <c r="E1019" t="s">
        <v>244</v>
      </c>
      <c r="F1019">
        <v>11.52</v>
      </c>
    </row>
    <row r="1020" spans="1:6">
      <c r="A1020" s="6">
        <v>44043</v>
      </c>
      <c r="C1020" t="s">
        <v>278</v>
      </c>
      <c r="D1020" t="s">
        <v>327</v>
      </c>
      <c r="E1020" t="s">
        <v>247</v>
      </c>
      <c r="F1020">
        <v>1445.5</v>
      </c>
    </row>
    <row r="1021" spans="1:6">
      <c r="A1021" s="6">
        <v>44043</v>
      </c>
      <c r="C1021" t="s">
        <v>289</v>
      </c>
      <c r="D1021" t="s">
        <v>327</v>
      </c>
      <c r="E1021" t="s">
        <v>247</v>
      </c>
      <c r="F1021">
        <v>2173.6799999999998</v>
      </c>
    </row>
    <row r="1022" spans="1:6">
      <c r="A1022" s="6">
        <v>44043</v>
      </c>
      <c r="C1022" t="s">
        <v>248</v>
      </c>
      <c r="D1022" t="s">
        <v>327</v>
      </c>
      <c r="E1022" t="s">
        <v>247</v>
      </c>
      <c r="F1022">
        <v>4192.5200000000004</v>
      </c>
    </row>
    <row r="1023" spans="1:6">
      <c r="A1023" s="6">
        <v>44043</v>
      </c>
      <c r="C1023" t="s">
        <v>274</v>
      </c>
      <c r="D1023" t="s">
        <v>327</v>
      </c>
      <c r="E1023" t="s">
        <v>247</v>
      </c>
      <c r="F1023">
        <v>5543.85</v>
      </c>
    </row>
    <row r="1024" spans="1:6">
      <c r="A1024" s="6">
        <v>44043</v>
      </c>
      <c r="B1024" t="s">
        <v>328</v>
      </c>
      <c r="C1024" t="s">
        <v>262</v>
      </c>
      <c r="D1024" t="s">
        <v>329</v>
      </c>
      <c r="E1024" t="s">
        <v>244</v>
      </c>
      <c r="F1024">
        <v>93.02</v>
      </c>
    </row>
    <row r="1025" spans="1:6">
      <c r="A1025" s="6">
        <v>44043</v>
      </c>
      <c r="C1025" t="s">
        <v>253</v>
      </c>
      <c r="D1025" t="s">
        <v>329</v>
      </c>
      <c r="E1025" t="s">
        <v>244</v>
      </c>
      <c r="F1025">
        <v>41.94</v>
      </c>
    </row>
    <row r="1026" spans="1:6">
      <c r="A1026" s="6">
        <v>44043</v>
      </c>
      <c r="C1026" t="s">
        <v>245</v>
      </c>
      <c r="D1026" t="s">
        <v>329</v>
      </c>
      <c r="E1026" t="s">
        <v>244</v>
      </c>
      <c r="F1026">
        <v>465.94</v>
      </c>
    </row>
    <row r="1027" spans="1:6">
      <c r="A1027" s="6">
        <v>44043</v>
      </c>
      <c r="C1027" t="s">
        <v>264</v>
      </c>
      <c r="D1027" t="s">
        <v>329</v>
      </c>
      <c r="E1027" t="s">
        <v>244</v>
      </c>
      <c r="F1027">
        <v>376.74</v>
      </c>
    </row>
    <row r="1028" spans="1:6">
      <c r="A1028" s="6">
        <v>44043</v>
      </c>
      <c r="C1028" t="s">
        <v>271</v>
      </c>
      <c r="D1028" t="s">
        <v>329</v>
      </c>
      <c r="E1028" t="s">
        <v>244</v>
      </c>
      <c r="F1028">
        <v>5.29</v>
      </c>
    </row>
    <row r="1029" spans="1:6">
      <c r="A1029" s="6">
        <v>44043</v>
      </c>
      <c r="C1029" t="s">
        <v>254</v>
      </c>
      <c r="D1029" t="s">
        <v>329</v>
      </c>
      <c r="E1029" t="s">
        <v>244</v>
      </c>
      <c r="F1029">
        <v>272.42</v>
      </c>
    </row>
    <row r="1030" spans="1:6">
      <c r="A1030" s="6">
        <v>44043</v>
      </c>
      <c r="C1030" t="s">
        <v>255</v>
      </c>
      <c r="D1030" t="s">
        <v>329</v>
      </c>
      <c r="E1030" t="s">
        <v>247</v>
      </c>
      <c r="F1030">
        <v>7433.07</v>
      </c>
    </row>
    <row r="1031" spans="1:6">
      <c r="A1031" s="6">
        <v>44043</v>
      </c>
      <c r="C1031" t="s">
        <v>289</v>
      </c>
      <c r="D1031" t="s">
        <v>329</v>
      </c>
      <c r="E1031" t="s">
        <v>247</v>
      </c>
      <c r="F1031">
        <v>9074.16</v>
      </c>
    </row>
    <row r="1032" spans="1:6">
      <c r="A1032" s="6">
        <v>44043</v>
      </c>
      <c r="C1032" t="s">
        <v>246</v>
      </c>
      <c r="D1032" t="s">
        <v>329</v>
      </c>
      <c r="E1032" t="s">
        <v>247</v>
      </c>
      <c r="F1032">
        <v>12997.24</v>
      </c>
    </row>
    <row r="1033" spans="1:6">
      <c r="A1033" s="6">
        <v>44043</v>
      </c>
      <c r="C1033" t="s">
        <v>265</v>
      </c>
      <c r="D1033" t="s">
        <v>329</v>
      </c>
      <c r="E1033" t="s">
        <v>247</v>
      </c>
      <c r="F1033">
        <v>1308.5999999999999</v>
      </c>
    </row>
    <row r="1034" spans="1:6">
      <c r="A1034" s="6">
        <v>44043</v>
      </c>
      <c r="C1034" t="s">
        <v>266</v>
      </c>
      <c r="D1034" t="s">
        <v>329</v>
      </c>
      <c r="E1034" t="s">
        <v>258</v>
      </c>
      <c r="F1034">
        <v>69127.27</v>
      </c>
    </row>
    <row r="1035" spans="1:6">
      <c r="A1035" s="6">
        <v>44043</v>
      </c>
      <c r="C1035" t="s">
        <v>249</v>
      </c>
      <c r="D1035" t="s">
        <v>329</v>
      </c>
      <c r="E1035" t="s">
        <v>247</v>
      </c>
      <c r="F1035">
        <v>246.45</v>
      </c>
    </row>
    <row r="1036" spans="1:6">
      <c r="A1036" s="6">
        <v>44043</v>
      </c>
      <c r="C1036" t="s">
        <v>274</v>
      </c>
      <c r="D1036" t="s">
        <v>329</v>
      </c>
      <c r="E1036" t="s">
        <v>247</v>
      </c>
      <c r="F1036">
        <v>12809.92</v>
      </c>
    </row>
    <row r="1037" spans="1:6">
      <c r="A1037" s="6">
        <v>44043</v>
      </c>
      <c r="B1037" t="s">
        <v>330</v>
      </c>
      <c r="C1037" t="s">
        <v>262</v>
      </c>
      <c r="D1037" t="s">
        <v>331</v>
      </c>
      <c r="E1037" t="s">
        <v>244</v>
      </c>
      <c r="F1037">
        <v>91.37</v>
      </c>
    </row>
    <row r="1038" spans="1:6">
      <c r="A1038" s="6">
        <v>44043</v>
      </c>
      <c r="C1038" t="s">
        <v>253</v>
      </c>
      <c r="D1038" t="s">
        <v>331</v>
      </c>
      <c r="E1038" t="s">
        <v>244</v>
      </c>
      <c r="F1038">
        <v>115.04</v>
      </c>
    </row>
    <row r="1039" spans="1:6">
      <c r="A1039" s="6">
        <v>44043</v>
      </c>
      <c r="C1039" t="s">
        <v>245</v>
      </c>
      <c r="D1039" t="s">
        <v>331</v>
      </c>
      <c r="E1039" t="s">
        <v>244</v>
      </c>
      <c r="F1039">
        <v>39.94</v>
      </c>
    </row>
    <row r="1040" spans="1:6">
      <c r="A1040" s="6">
        <v>44043</v>
      </c>
      <c r="C1040" t="s">
        <v>265</v>
      </c>
      <c r="D1040" t="s">
        <v>331</v>
      </c>
      <c r="E1040" t="s">
        <v>247</v>
      </c>
      <c r="F1040">
        <v>510.04</v>
      </c>
    </row>
    <row r="1041" spans="1:6">
      <c r="A1041" s="6">
        <v>44043</v>
      </c>
      <c r="B1041" t="s">
        <v>332</v>
      </c>
      <c r="C1041" t="s">
        <v>242</v>
      </c>
      <c r="D1041" t="s">
        <v>333</v>
      </c>
      <c r="E1041" t="s">
        <v>244</v>
      </c>
      <c r="F1041">
        <v>660.88</v>
      </c>
    </row>
    <row r="1042" spans="1:6">
      <c r="A1042" s="6">
        <v>44043</v>
      </c>
      <c r="C1042" t="s">
        <v>245</v>
      </c>
      <c r="D1042" t="s">
        <v>333</v>
      </c>
      <c r="E1042" t="s">
        <v>244</v>
      </c>
      <c r="F1042">
        <v>5.7</v>
      </c>
    </row>
    <row r="1043" spans="1:6">
      <c r="A1043" s="6">
        <v>44043</v>
      </c>
      <c r="C1043" t="s">
        <v>248</v>
      </c>
      <c r="D1043" t="s">
        <v>333</v>
      </c>
      <c r="E1043" t="s">
        <v>247</v>
      </c>
      <c r="F1043">
        <v>3294.6</v>
      </c>
    </row>
    <row r="1044" spans="1:6">
      <c r="A1044" s="6">
        <v>44043</v>
      </c>
      <c r="B1044" t="s">
        <v>334</v>
      </c>
      <c r="C1044" t="s">
        <v>242</v>
      </c>
      <c r="D1044" t="s">
        <v>335</v>
      </c>
      <c r="E1044" t="s">
        <v>244</v>
      </c>
      <c r="F1044">
        <v>1257.6500000000001</v>
      </c>
    </row>
    <row r="1045" spans="1:6">
      <c r="A1045" s="6">
        <v>44043</v>
      </c>
      <c r="C1045" t="s">
        <v>262</v>
      </c>
      <c r="D1045" t="s">
        <v>335</v>
      </c>
      <c r="E1045" t="s">
        <v>244</v>
      </c>
      <c r="F1045">
        <v>1261.0999999999999</v>
      </c>
    </row>
    <row r="1046" spans="1:6">
      <c r="A1046" s="6">
        <v>44043</v>
      </c>
      <c r="C1046" t="s">
        <v>251</v>
      </c>
      <c r="D1046" t="s">
        <v>335</v>
      </c>
      <c r="E1046" t="s">
        <v>244</v>
      </c>
      <c r="F1046">
        <v>29.03</v>
      </c>
    </row>
    <row r="1047" spans="1:6">
      <c r="A1047" s="6">
        <v>44043</v>
      </c>
      <c r="C1047" t="s">
        <v>245</v>
      </c>
      <c r="D1047" t="s">
        <v>335</v>
      </c>
      <c r="E1047" t="s">
        <v>244</v>
      </c>
      <c r="F1047">
        <v>204.71</v>
      </c>
    </row>
    <row r="1048" spans="1:6">
      <c r="A1048" s="6">
        <v>44043</v>
      </c>
      <c r="C1048" t="s">
        <v>254</v>
      </c>
      <c r="D1048" t="s">
        <v>335</v>
      </c>
      <c r="E1048" t="s">
        <v>244</v>
      </c>
      <c r="F1048">
        <v>67.61</v>
      </c>
    </row>
    <row r="1049" spans="1:6">
      <c r="A1049" s="6">
        <v>44043</v>
      </c>
      <c r="C1049" t="s">
        <v>255</v>
      </c>
      <c r="D1049" t="s">
        <v>335</v>
      </c>
      <c r="E1049" t="s">
        <v>247</v>
      </c>
      <c r="F1049">
        <v>11199.91</v>
      </c>
    </row>
    <row r="1050" spans="1:6">
      <c r="A1050" s="6">
        <v>44043</v>
      </c>
      <c r="C1050" t="s">
        <v>289</v>
      </c>
      <c r="D1050" t="s">
        <v>335</v>
      </c>
      <c r="E1050" t="s">
        <v>247</v>
      </c>
      <c r="F1050">
        <v>25143.21</v>
      </c>
    </row>
    <row r="1051" spans="1:6">
      <c r="A1051" s="6">
        <v>44043</v>
      </c>
      <c r="C1051" t="s">
        <v>248</v>
      </c>
      <c r="D1051" t="s">
        <v>335</v>
      </c>
      <c r="E1051" t="s">
        <v>247</v>
      </c>
      <c r="F1051">
        <v>3062.4</v>
      </c>
    </row>
    <row r="1052" spans="1:6">
      <c r="A1052" s="6">
        <v>44043</v>
      </c>
      <c r="C1052" t="s">
        <v>260</v>
      </c>
      <c r="D1052" t="s">
        <v>335</v>
      </c>
      <c r="E1052" t="s">
        <v>258</v>
      </c>
      <c r="F1052">
        <v>6490.72</v>
      </c>
    </row>
    <row r="1053" spans="1:6">
      <c r="A1053" s="6">
        <v>44043</v>
      </c>
      <c r="B1053" t="s">
        <v>336</v>
      </c>
      <c r="C1053" t="s">
        <v>253</v>
      </c>
      <c r="D1053" t="s">
        <v>337</v>
      </c>
      <c r="E1053" t="s">
        <v>244</v>
      </c>
      <c r="F1053">
        <v>41.32</v>
      </c>
    </row>
    <row r="1054" spans="1:6">
      <c r="A1054" s="6">
        <v>44043</v>
      </c>
      <c r="C1054" t="s">
        <v>245</v>
      </c>
      <c r="D1054" t="s">
        <v>337</v>
      </c>
      <c r="E1054" t="s">
        <v>244</v>
      </c>
      <c r="F1054">
        <v>25.34</v>
      </c>
    </row>
    <row r="1055" spans="1:6">
      <c r="A1055" s="6">
        <v>44043</v>
      </c>
      <c r="C1055" t="s">
        <v>255</v>
      </c>
      <c r="D1055" t="s">
        <v>337</v>
      </c>
      <c r="E1055" t="s">
        <v>247</v>
      </c>
      <c r="F1055">
        <v>5276.83</v>
      </c>
    </row>
    <row r="1056" spans="1:6">
      <c r="A1056" s="6">
        <v>44043</v>
      </c>
      <c r="C1056" t="s">
        <v>256</v>
      </c>
      <c r="D1056" t="s">
        <v>337</v>
      </c>
      <c r="E1056" t="s">
        <v>247</v>
      </c>
      <c r="F1056">
        <v>6703.16</v>
      </c>
    </row>
    <row r="1057" spans="1:6">
      <c r="A1057" s="6">
        <v>44043</v>
      </c>
      <c r="C1057" t="s">
        <v>338</v>
      </c>
      <c r="D1057" t="s">
        <v>337</v>
      </c>
      <c r="E1057" t="s">
        <v>247</v>
      </c>
      <c r="F1057">
        <v>265.3</v>
      </c>
    </row>
    <row r="1058" spans="1:6">
      <c r="A1058" s="6">
        <v>44043</v>
      </c>
      <c r="C1058" t="s">
        <v>339</v>
      </c>
      <c r="D1058" t="s">
        <v>337</v>
      </c>
      <c r="E1058" t="s">
        <v>247</v>
      </c>
      <c r="F1058">
        <v>151.22</v>
      </c>
    </row>
    <row r="1059" spans="1:6">
      <c r="A1059" s="6">
        <v>44043</v>
      </c>
      <c r="C1059" t="s">
        <v>265</v>
      </c>
      <c r="D1059" t="s">
        <v>337</v>
      </c>
      <c r="E1059" t="s">
        <v>247</v>
      </c>
      <c r="F1059">
        <v>734.62</v>
      </c>
    </row>
    <row r="1060" spans="1:6">
      <c r="A1060" s="6">
        <v>44043</v>
      </c>
      <c r="B1060" t="s">
        <v>340</v>
      </c>
      <c r="C1060" t="s">
        <v>245</v>
      </c>
      <c r="D1060" t="s">
        <v>341</v>
      </c>
      <c r="E1060" t="s">
        <v>244</v>
      </c>
      <c r="F1060">
        <v>71.42</v>
      </c>
    </row>
    <row r="1061" spans="1:6">
      <c r="A1061" s="6">
        <v>44043</v>
      </c>
      <c r="B1061" t="s">
        <v>342</v>
      </c>
      <c r="C1061" t="s">
        <v>251</v>
      </c>
      <c r="D1061" t="s">
        <v>343</v>
      </c>
      <c r="E1061" t="s">
        <v>244</v>
      </c>
      <c r="F1061">
        <v>2.02</v>
      </c>
    </row>
    <row r="1062" spans="1:6">
      <c r="A1062" s="6">
        <v>44043</v>
      </c>
      <c r="C1062" t="s">
        <v>254</v>
      </c>
      <c r="D1062" t="s">
        <v>343</v>
      </c>
      <c r="E1062" t="s">
        <v>244</v>
      </c>
      <c r="F1062">
        <v>208.27</v>
      </c>
    </row>
    <row r="1063" spans="1:6">
      <c r="A1063" s="6">
        <v>44043</v>
      </c>
      <c r="B1063" t="s">
        <v>344</v>
      </c>
      <c r="C1063" t="s">
        <v>262</v>
      </c>
      <c r="D1063" t="s">
        <v>345</v>
      </c>
      <c r="E1063" t="s">
        <v>244</v>
      </c>
      <c r="F1063">
        <v>244.89</v>
      </c>
    </row>
    <row r="1064" spans="1:6">
      <c r="A1064" s="6">
        <v>44043</v>
      </c>
      <c r="C1064" t="s">
        <v>245</v>
      </c>
      <c r="D1064" t="s">
        <v>345</v>
      </c>
      <c r="E1064" t="s">
        <v>244</v>
      </c>
      <c r="F1064">
        <v>88.49</v>
      </c>
    </row>
    <row r="1065" spans="1:6">
      <c r="A1065" s="6">
        <v>44043</v>
      </c>
      <c r="B1065" t="s">
        <v>346</v>
      </c>
      <c r="C1065" t="s">
        <v>245</v>
      </c>
      <c r="D1065" t="s">
        <v>347</v>
      </c>
      <c r="E1065" t="s">
        <v>244</v>
      </c>
      <c r="F1065">
        <v>13.35</v>
      </c>
    </row>
    <row r="1066" spans="1:6">
      <c r="A1066" s="6">
        <v>44043</v>
      </c>
      <c r="B1066" t="s">
        <v>348</v>
      </c>
      <c r="C1066" t="s">
        <v>242</v>
      </c>
      <c r="D1066" t="s">
        <v>349</v>
      </c>
      <c r="E1066" t="s">
        <v>244</v>
      </c>
      <c r="F1066">
        <v>111.42</v>
      </c>
    </row>
    <row r="1067" spans="1:6">
      <c r="A1067" s="6">
        <v>44043</v>
      </c>
      <c r="C1067" t="s">
        <v>262</v>
      </c>
      <c r="D1067" t="s">
        <v>349</v>
      </c>
      <c r="E1067" t="s">
        <v>244</v>
      </c>
      <c r="F1067">
        <v>73.19</v>
      </c>
    </row>
    <row r="1068" spans="1:6">
      <c r="A1068" s="6">
        <v>44043</v>
      </c>
      <c r="C1068" t="s">
        <v>264</v>
      </c>
      <c r="D1068" t="s">
        <v>349</v>
      </c>
      <c r="E1068" t="s">
        <v>244</v>
      </c>
      <c r="F1068">
        <v>46.87</v>
      </c>
    </row>
    <row r="1069" spans="1:6">
      <c r="A1069" s="6">
        <v>44043</v>
      </c>
      <c r="B1069" t="s">
        <v>350</v>
      </c>
      <c r="C1069" t="s">
        <v>242</v>
      </c>
      <c r="D1069" t="s">
        <v>351</v>
      </c>
      <c r="E1069" t="s">
        <v>244</v>
      </c>
      <c r="F1069">
        <v>97</v>
      </c>
    </row>
    <row r="1070" spans="1:6">
      <c r="A1070" s="6">
        <v>44043</v>
      </c>
      <c r="C1070" t="s">
        <v>245</v>
      </c>
      <c r="D1070" t="s">
        <v>351</v>
      </c>
      <c r="E1070" t="s">
        <v>244</v>
      </c>
      <c r="F1070">
        <v>141.87</v>
      </c>
    </row>
    <row r="1071" spans="1:6">
      <c r="A1071" s="6">
        <v>44043</v>
      </c>
      <c r="C1071" t="s">
        <v>291</v>
      </c>
      <c r="D1071" t="s">
        <v>351</v>
      </c>
      <c r="E1071" t="s">
        <v>247</v>
      </c>
      <c r="F1071">
        <v>232.82</v>
      </c>
    </row>
    <row r="1072" spans="1:6">
      <c r="A1072" s="6">
        <v>44043</v>
      </c>
      <c r="B1072" t="s">
        <v>352</v>
      </c>
      <c r="C1072" t="s">
        <v>245</v>
      </c>
      <c r="D1072" t="s">
        <v>353</v>
      </c>
      <c r="E1072" t="s">
        <v>244</v>
      </c>
      <c r="F1072">
        <v>0.05</v>
      </c>
    </row>
    <row r="1073" spans="1:6">
      <c r="A1073" s="6">
        <v>44043</v>
      </c>
      <c r="B1073" t="s">
        <v>354</v>
      </c>
      <c r="C1073" t="s">
        <v>355</v>
      </c>
      <c r="D1073" t="s">
        <v>356</v>
      </c>
      <c r="E1073" t="s">
        <v>247</v>
      </c>
      <c r="F1073">
        <v>916.95</v>
      </c>
    </row>
    <row r="1074" spans="1:6">
      <c r="A1074" s="6">
        <v>44043</v>
      </c>
      <c r="B1074" t="s">
        <v>357</v>
      </c>
      <c r="C1074" t="s">
        <v>248</v>
      </c>
      <c r="D1074" t="s">
        <v>358</v>
      </c>
      <c r="E1074" t="s">
        <v>247</v>
      </c>
      <c r="F1074">
        <v>21129.279999999999</v>
      </c>
    </row>
    <row r="1075" spans="1:6">
      <c r="A1075" s="6">
        <v>44043</v>
      </c>
      <c r="C1075" t="s">
        <v>290</v>
      </c>
      <c r="D1075" t="s">
        <v>358</v>
      </c>
      <c r="E1075" t="s">
        <v>247</v>
      </c>
      <c r="F1075">
        <v>5422.66</v>
      </c>
    </row>
    <row r="1076" spans="1:6">
      <c r="A1076" s="6">
        <v>44043</v>
      </c>
      <c r="B1076" t="s">
        <v>359</v>
      </c>
      <c r="C1076" t="s">
        <v>242</v>
      </c>
      <c r="D1076" t="s">
        <v>360</v>
      </c>
      <c r="E1076" t="s">
        <v>244</v>
      </c>
      <c r="F1076">
        <v>46.93</v>
      </c>
    </row>
    <row r="1077" spans="1:6">
      <c r="A1077" s="6">
        <v>44043</v>
      </c>
      <c r="C1077" t="s">
        <v>262</v>
      </c>
      <c r="D1077" t="s">
        <v>360</v>
      </c>
      <c r="E1077" t="s">
        <v>244</v>
      </c>
      <c r="F1077">
        <v>52.98</v>
      </c>
    </row>
    <row r="1078" spans="1:6">
      <c r="A1078" s="6">
        <v>44043</v>
      </c>
      <c r="C1078" t="s">
        <v>251</v>
      </c>
      <c r="D1078" t="s">
        <v>360</v>
      </c>
      <c r="E1078" t="s">
        <v>244</v>
      </c>
      <c r="F1078">
        <v>14.03</v>
      </c>
    </row>
    <row r="1079" spans="1:6">
      <c r="A1079" s="6">
        <v>44043</v>
      </c>
      <c r="C1079" t="s">
        <v>245</v>
      </c>
      <c r="D1079" t="s">
        <v>360</v>
      </c>
      <c r="E1079" t="s">
        <v>244</v>
      </c>
      <c r="F1079">
        <v>517.44000000000005</v>
      </c>
    </row>
    <row r="1080" spans="1:6">
      <c r="A1080" s="6">
        <v>44043</v>
      </c>
      <c r="C1080" t="s">
        <v>289</v>
      </c>
      <c r="D1080" t="s">
        <v>360</v>
      </c>
      <c r="E1080" t="s">
        <v>247</v>
      </c>
      <c r="F1080">
        <v>504.04</v>
      </c>
    </row>
    <row r="1081" spans="1:6">
      <c r="A1081" s="6">
        <v>44043</v>
      </c>
      <c r="B1081" t="s">
        <v>361</v>
      </c>
      <c r="C1081" t="s">
        <v>264</v>
      </c>
      <c r="D1081" t="s">
        <v>362</v>
      </c>
      <c r="E1081" t="s">
        <v>244</v>
      </c>
      <c r="F1081">
        <v>90.85</v>
      </c>
    </row>
    <row r="1082" spans="1:6">
      <c r="A1082" s="6">
        <v>44043</v>
      </c>
      <c r="C1082" t="s">
        <v>248</v>
      </c>
      <c r="D1082" t="s">
        <v>362</v>
      </c>
      <c r="E1082" t="s">
        <v>247</v>
      </c>
      <c r="F1082">
        <v>9464.7800000000007</v>
      </c>
    </row>
    <row r="1083" spans="1:6">
      <c r="A1083" s="6">
        <v>44043</v>
      </c>
      <c r="C1083" t="s">
        <v>290</v>
      </c>
      <c r="D1083" t="s">
        <v>362</v>
      </c>
      <c r="E1083" t="s">
        <v>247</v>
      </c>
      <c r="F1083">
        <v>2944.55</v>
      </c>
    </row>
    <row r="1084" spans="1:6">
      <c r="A1084" s="6">
        <v>44043</v>
      </c>
      <c r="C1084" t="s">
        <v>363</v>
      </c>
      <c r="D1084" t="s">
        <v>362</v>
      </c>
      <c r="E1084" t="s">
        <v>247</v>
      </c>
      <c r="F1084">
        <v>5889.09</v>
      </c>
    </row>
    <row r="1085" spans="1:6">
      <c r="A1085" s="6">
        <v>44043</v>
      </c>
      <c r="C1085" t="s">
        <v>364</v>
      </c>
      <c r="D1085" t="s">
        <v>362</v>
      </c>
      <c r="E1085" t="s">
        <v>247</v>
      </c>
      <c r="F1085">
        <v>2944.55</v>
      </c>
    </row>
    <row r="1086" spans="1:6">
      <c r="A1086" s="6">
        <v>44043</v>
      </c>
      <c r="C1086" t="s">
        <v>365</v>
      </c>
      <c r="D1086" t="s">
        <v>362</v>
      </c>
      <c r="E1086" t="s">
        <v>247</v>
      </c>
      <c r="F1086">
        <v>2944.55</v>
      </c>
    </row>
    <row r="1087" spans="1:6">
      <c r="A1087" s="6">
        <v>44043</v>
      </c>
      <c r="B1087" t="s">
        <v>366</v>
      </c>
      <c r="C1087" t="s">
        <v>262</v>
      </c>
      <c r="D1087" t="s">
        <v>367</v>
      </c>
      <c r="E1087" t="s">
        <v>244</v>
      </c>
      <c r="F1087">
        <v>214.77</v>
      </c>
    </row>
    <row r="1088" spans="1:6">
      <c r="A1088" s="6">
        <v>44043</v>
      </c>
      <c r="C1088" t="s">
        <v>251</v>
      </c>
      <c r="D1088" t="s">
        <v>367</v>
      </c>
      <c r="E1088" t="s">
        <v>244</v>
      </c>
      <c r="F1088">
        <v>89.44</v>
      </c>
    </row>
    <row r="1089" spans="1:6">
      <c r="A1089" s="6">
        <v>44043</v>
      </c>
      <c r="C1089" t="s">
        <v>253</v>
      </c>
      <c r="D1089" t="s">
        <v>367</v>
      </c>
      <c r="E1089" t="s">
        <v>244</v>
      </c>
      <c r="F1089">
        <v>25.25</v>
      </c>
    </row>
    <row r="1090" spans="1:6">
      <c r="A1090" s="6">
        <v>44043</v>
      </c>
      <c r="C1090" t="s">
        <v>368</v>
      </c>
      <c r="D1090" t="s">
        <v>367</v>
      </c>
      <c r="E1090" t="s">
        <v>247</v>
      </c>
      <c r="F1090">
        <v>3872.33</v>
      </c>
    </row>
    <row r="1091" spans="1:6">
      <c r="A1091" s="6">
        <v>44043</v>
      </c>
      <c r="C1091" t="s">
        <v>257</v>
      </c>
      <c r="D1091" t="s">
        <v>367</v>
      </c>
      <c r="E1091" t="s">
        <v>258</v>
      </c>
      <c r="F1091">
        <v>47156.229999999996</v>
      </c>
    </row>
    <row r="1092" spans="1:6">
      <c r="A1092" s="6">
        <v>44043</v>
      </c>
      <c r="C1092" t="s">
        <v>266</v>
      </c>
      <c r="D1092" t="s">
        <v>367</v>
      </c>
      <c r="E1092" t="s">
        <v>258</v>
      </c>
      <c r="F1092">
        <v>20547.62</v>
      </c>
    </row>
    <row r="1093" spans="1:6">
      <c r="A1093" s="6">
        <v>44043</v>
      </c>
      <c r="C1093" t="s">
        <v>259</v>
      </c>
      <c r="D1093" t="s">
        <v>367</v>
      </c>
      <c r="E1093" t="s">
        <v>258</v>
      </c>
      <c r="F1093">
        <v>45312.63</v>
      </c>
    </row>
    <row r="1094" spans="1:6">
      <c r="A1094" s="6">
        <v>44043</v>
      </c>
      <c r="C1094" t="s">
        <v>260</v>
      </c>
      <c r="D1094" t="s">
        <v>367</v>
      </c>
      <c r="E1094" t="s">
        <v>258</v>
      </c>
      <c r="F1094">
        <v>11638.66</v>
      </c>
    </row>
    <row r="1095" spans="1:6">
      <c r="A1095" s="6">
        <v>44043</v>
      </c>
      <c r="C1095" t="s">
        <v>369</v>
      </c>
      <c r="D1095" t="s">
        <v>367</v>
      </c>
      <c r="E1095" t="s">
        <v>244</v>
      </c>
      <c r="F1095">
        <v>99.29</v>
      </c>
    </row>
    <row r="1096" spans="1:6">
      <c r="A1096" s="6">
        <v>44043</v>
      </c>
      <c r="B1096" t="s">
        <v>370</v>
      </c>
      <c r="C1096" t="s">
        <v>242</v>
      </c>
      <c r="D1096" t="s">
        <v>371</v>
      </c>
      <c r="E1096" t="s">
        <v>244</v>
      </c>
      <c r="F1096">
        <v>164.72</v>
      </c>
    </row>
    <row r="1097" spans="1:6">
      <c r="A1097" s="6">
        <v>44043</v>
      </c>
      <c r="C1097" t="s">
        <v>254</v>
      </c>
      <c r="D1097" t="s">
        <v>371</v>
      </c>
      <c r="E1097" t="s">
        <v>244</v>
      </c>
      <c r="F1097">
        <v>1032.42</v>
      </c>
    </row>
    <row r="1098" spans="1:6">
      <c r="A1098" s="6">
        <v>44043</v>
      </c>
      <c r="B1098" t="s">
        <v>372</v>
      </c>
      <c r="C1098" t="s">
        <v>242</v>
      </c>
      <c r="D1098" t="s">
        <v>373</v>
      </c>
      <c r="E1098" t="s">
        <v>244</v>
      </c>
      <c r="F1098">
        <v>621.11</v>
      </c>
    </row>
    <row r="1099" spans="1:6">
      <c r="A1099" s="6">
        <v>44043</v>
      </c>
      <c r="C1099" t="s">
        <v>251</v>
      </c>
      <c r="D1099" t="s">
        <v>373</v>
      </c>
      <c r="E1099" t="s">
        <v>244</v>
      </c>
      <c r="F1099">
        <v>5.4</v>
      </c>
    </row>
    <row r="1100" spans="1:6">
      <c r="A1100" s="6">
        <v>44043</v>
      </c>
      <c r="C1100" t="s">
        <v>277</v>
      </c>
      <c r="D1100" t="s">
        <v>373</v>
      </c>
      <c r="E1100" t="s">
        <v>247</v>
      </c>
      <c r="F1100">
        <v>1250.42</v>
      </c>
    </row>
    <row r="1101" spans="1:6">
      <c r="A1101" s="6">
        <v>44043</v>
      </c>
      <c r="C1101" t="s">
        <v>289</v>
      </c>
      <c r="D1101" t="s">
        <v>373</v>
      </c>
      <c r="E1101" t="s">
        <v>247</v>
      </c>
      <c r="F1101">
        <v>2447.83</v>
      </c>
    </row>
    <row r="1102" spans="1:6">
      <c r="A1102" s="6">
        <v>44043</v>
      </c>
      <c r="B1102" t="s">
        <v>374</v>
      </c>
      <c r="C1102" t="s">
        <v>242</v>
      </c>
      <c r="D1102" t="s">
        <v>375</v>
      </c>
      <c r="E1102" t="s">
        <v>244</v>
      </c>
      <c r="F1102">
        <v>45.61</v>
      </c>
    </row>
    <row r="1103" spans="1:6">
      <c r="A1103" s="6">
        <v>44043</v>
      </c>
      <c r="C1103" t="s">
        <v>262</v>
      </c>
      <c r="D1103" t="s">
        <v>375</v>
      </c>
      <c r="E1103" t="s">
        <v>244</v>
      </c>
      <c r="F1103">
        <v>227.29</v>
      </c>
    </row>
    <row r="1104" spans="1:6">
      <c r="A1104" s="6">
        <v>44043</v>
      </c>
      <c r="C1104" t="s">
        <v>251</v>
      </c>
      <c r="D1104" t="s">
        <v>375</v>
      </c>
      <c r="E1104" t="s">
        <v>244</v>
      </c>
      <c r="F1104">
        <v>66.09</v>
      </c>
    </row>
    <row r="1105" spans="1:6">
      <c r="A1105" s="6">
        <v>44043</v>
      </c>
      <c r="C1105" t="s">
        <v>245</v>
      </c>
      <c r="D1105" t="s">
        <v>375</v>
      </c>
      <c r="E1105" t="s">
        <v>244</v>
      </c>
      <c r="F1105">
        <v>998.41</v>
      </c>
    </row>
    <row r="1106" spans="1:6">
      <c r="A1106" s="6">
        <v>44043</v>
      </c>
      <c r="C1106" t="s">
        <v>277</v>
      </c>
      <c r="D1106" t="s">
        <v>375</v>
      </c>
      <c r="E1106" t="s">
        <v>247</v>
      </c>
      <c r="F1106">
        <v>12350.27</v>
      </c>
    </row>
    <row r="1107" spans="1:6">
      <c r="A1107" s="6">
        <v>44043</v>
      </c>
      <c r="C1107" t="s">
        <v>246</v>
      </c>
      <c r="D1107" t="s">
        <v>375</v>
      </c>
      <c r="E1107" t="s">
        <v>247</v>
      </c>
      <c r="F1107">
        <v>13834.46</v>
      </c>
    </row>
    <row r="1108" spans="1:6">
      <c r="A1108" s="6">
        <v>44043</v>
      </c>
      <c r="C1108" t="s">
        <v>249</v>
      </c>
      <c r="D1108" t="s">
        <v>375</v>
      </c>
      <c r="E1108" t="s">
        <v>247</v>
      </c>
      <c r="F1108">
        <v>7985.9</v>
      </c>
    </row>
    <row r="1109" spans="1:6">
      <c r="A1109" s="6">
        <v>44043</v>
      </c>
      <c r="B1109" t="s">
        <v>376</v>
      </c>
      <c r="C1109" t="s">
        <v>242</v>
      </c>
      <c r="D1109" t="s">
        <v>377</v>
      </c>
      <c r="E1109" t="s">
        <v>244</v>
      </c>
      <c r="F1109">
        <v>1084.55</v>
      </c>
    </row>
    <row r="1110" spans="1:6">
      <c r="A1110" s="6">
        <v>44043</v>
      </c>
      <c r="C1110" t="s">
        <v>262</v>
      </c>
      <c r="D1110" t="s">
        <v>377</v>
      </c>
      <c r="E1110" t="s">
        <v>244</v>
      </c>
      <c r="F1110">
        <v>9255.32</v>
      </c>
    </row>
    <row r="1111" spans="1:6">
      <c r="A1111" s="6">
        <v>44043</v>
      </c>
      <c r="C1111" t="s">
        <v>251</v>
      </c>
      <c r="D1111" t="s">
        <v>377</v>
      </c>
      <c r="E1111" t="s">
        <v>244</v>
      </c>
      <c r="F1111">
        <v>3.97</v>
      </c>
    </row>
    <row r="1112" spans="1:6">
      <c r="A1112" s="6">
        <v>44043</v>
      </c>
      <c r="C1112" t="s">
        <v>245</v>
      </c>
      <c r="D1112" t="s">
        <v>377</v>
      </c>
      <c r="E1112" t="s">
        <v>244</v>
      </c>
      <c r="F1112">
        <v>393.91</v>
      </c>
    </row>
    <row r="1113" spans="1:6">
      <c r="A1113" s="6">
        <v>44043</v>
      </c>
      <c r="C1113" t="s">
        <v>254</v>
      </c>
      <c r="D1113" t="s">
        <v>377</v>
      </c>
      <c r="E1113" t="s">
        <v>244</v>
      </c>
      <c r="F1113">
        <v>328.05</v>
      </c>
    </row>
    <row r="1114" spans="1:6">
      <c r="A1114" s="6">
        <v>44043</v>
      </c>
      <c r="C1114" t="s">
        <v>255</v>
      </c>
      <c r="D1114" t="s">
        <v>377</v>
      </c>
      <c r="E1114" t="s">
        <v>247</v>
      </c>
      <c r="F1114">
        <v>5799.9</v>
      </c>
    </row>
    <row r="1115" spans="1:6">
      <c r="A1115" s="6">
        <v>44043</v>
      </c>
      <c r="C1115" t="s">
        <v>278</v>
      </c>
      <c r="D1115" t="s">
        <v>377</v>
      </c>
      <c r="E1115" t="s">
        <v>247</v>
      </c>
      <c r="F1115">
        <v>3537.45</v>
      </c>
    </row>
    <row r="1116" spans="1:6">
      <c r="A1116" s="6">
        <v>44043</v>
      </c>
      <c r="C1116" t="s">
        <v>272</v>
      </c>
      <c r="D1116" t="s">
        <v>377</v>
      </c>
      <c r="E1116" t="s">
        <v>247</v>
      </c>
      <c r="F1116">
        <v>4313.5600000000004</v>
      </c>
    </row>
    <row r="1117" spans="1:6">
      <c r="A1117" s="6">
        <v>44043</v>
      </c>
      <c r="C1117" t="s">
        <v>246</v>
      </c>
      <c r="D1117" t="s">
        <v>377</v>
      </c>
      <c r="E1117" t="s">
        <v>247</v>
      </c>
      <c r="F1117">
        <v>1072.46</v>
      </c>
    </row>
    <row r="1118" spans="1:6">
      <c r="A1118" s="6">
        <v>44043</v>
      </c>
      <c r="C1118" t="s">
        <v>248</v>
      </c>
      <c r="D1118" t="s">
        <v>377</v>
      </c>
      <c r="E1118" t="s">
        <v>247</v>
      </c>
      <c r="F1118">
        <v>2610.6</v>
      </c>
    </row>
    <row r="1119" spans="1:6">
      <c r="A1119" s="6">
        <v>44043</v>
      </c>
      <c r="B1119" t="s">
        <v>378</v>
      </c>
      <c r="C1119" t="s">
        <v>245</v>
      </c>
      <c r="D1119" t="s">
        <v>379</v>
      </c>
      <c r="E1119" t="s">
        <v>244</v>
      </c>
      <c r="F1119">
        <v>109.5</v>
      </c>
    </row>
    <row r="1120" spans="1:6">
      <c r="A1120" s="6">
        <v>44043</v>
      </c>
      <c r="C1120" t="s">
        <v>355</v>
      </c>
      <c r="D1120" t="s">
        <v>379</v>
      </c>
      <c r="E1120" t="s">
        <v>247</v>
      </c>
      <c r="F1120">
        <v>920.14</v>
      </c>
    </row>
    <row r="1121" spans="1:6">
      <c r="A1121" s="6">
        <v>44043</v>
      </c>
      <c r="B1121" t="s">
        <v>380</v>
      </c>
      <c r="C1121" t="s">
        <v>254</v>
      </c>
      <c r="D1121" t="s">
        <v>381</v>
      </c>
      <c r="E1121" t="s">
        <v>244</v>
      </c>
      <c r="F1121">
        <v>48.22</v>
      </c>
    </row>
    <row r="1122" spans="1:6">
      <c r="A1122" s="6">
        <v>44043</v>
      </c>
      <c r="B1122" t="s">
        <v>382</v>
      </c>
      <c r="C1122" t="s">
        <v>242</v>
      </c>
      <c r="D1122" t="s">
        <v>383</v>
      </c>
      <c r="E1122" t="s">
        <v>244</v>
      </c>
      <c r="F1122">
        <v>131.88</v>
      </c>
    </row>
    <row r="1123" spans="1:6">
      <c r="A1123" s="6">
        <v>44043</v>
      </c>
      <c r="C1123" t="s">
        <v>262</v>
      </c>
      <c r="D1123" t="s">
        <v>383</v>
      </c>
      <c r="E1123" t="s">
        <v>244</v>
      </c>
      <c r="F1123">
        <v>563.19000000000005</v>
      </c>
    </row>
    <row r="1124" spans="1:6">
      <c r="A1124" s="6">
        <v>44043</v>
      </c>
      <c r="C1124" t="s">
        <v>245</v>
      </c>
      <c r="D1124" t="s">
        <v>383</v>
      </c>
      <c r="E1124" t="s">
        <v>244</v>
      </c>
      <c r="F1124">
        <v>383.41</v>
      </c>
    </row>
    <row r="1125" spans="1:6">
      <c r="A1125" s="6">
        <v>44043</v>
      </c>
      <c r="C1125" t="s">
        <v>254</v>
      </c>
      <c r="D1125" t="s">
        <v>383</v>
      </c>
      <c r="E1125" t="s">
        <v>244</v>
      </c>
      <c r="F1125">
        <v>63.37</v>
      </c>
    </row>
    <row r="1126" spans="1:6">
      <c r="A1126" s="6">
        <v>44043</v>
      </c>
      <c r="C1126" t="s">
        <v>248</v>
      </c>
      <c r="D1126" t="s">
        <v>383</v>
      </c>
      <c r="E1126" t="s">
        <v>247</v>
      </c>
      <c r="F1126">
        <v>17444.490000000002</v>
      </c>
    </row>
    <row r="1127" spans="1:6">
      <c r="A1127" s="6">
        <v>44043</v>
      </c>
      <c r="B1127" t="s">
        <v>384</v>
      </c>
      <c r="C1127" t="s">
        <v>262</v>
      </c>
      <c r="D1127" t="s">
        <v>385</v>
      </c>
      <c r="E1127" t="s">
        <v>244</v>
      </c>
      <c r="F1127">
        <v>40.520000000000003</v>
      </c>
    </row>
    <row r="1128" spans="1:6">
      <c r="A1128" s="6">
        <v>44043</v>
      </c>
      <c r="C1128" t="s">
        <v>253</v>
      </c>
      <c r="D1128" t="s">
        <v>385</v>
      </c>
      <c r="E1128" t="s">
        <v>244</v>
      </c>
      <c r="F1128">
        <v>10.75</v>
      </c>
    </row>
    <row r="1129" spans="1:6">
      <c r="A1129" s="6">
        <v>44043</v>
      </c>
      <c r="C1129" t="s">
        <v>245</v>
      </c>
      <c r="D1129" t="s">
        <v>385</v>
      </c>
      <c r="E1129" t="s">
        <v>244</v>
      </c>
      <c r="F1129">
        <v>2.52</v>
      </c>
    </row>
    <row r="1130" spans="1:6">
      <c r="A1130" s="6">
        <v>44043</v>
      </c>
      <c r="C1130" t="s">
        <v>264</v>
      </c>
      <c r="D1130" t="s">
        <v>385</v>
      </c>
      <c r="E1130" t="s">
        <v>244</v>
      </c>
      <c r="F1130">
        <v>114.15</v>
      </c>
    </row>
    <row r="1131" spans="1:6">
      <c r="A1131" s="6">
        <v>44043</v>
      </c>
      <c r="C1131" t="s">
        <v>271</v>
      </c>
      <c r="D1131" t="s">
        <v>385</v>
      </c>
      <c r="E1131" t="s">
        <v>244</v>
      </c>
      <c r="F1131">
        <v>1.61</v>
      </c>
    </row>
    <row r="1132" spans="1:6">
      <c r="A1132" s="6">
        <v>44043</v>
      </c>
      <c r="C1132" t="s">
        <v>254</v>
      </c>
      <c r="D1132" t="s">
        <v>385</v>
      </c>
      <c r="E1132" t="s">
        <v>244</v>
      </c>
      <c r="F1132">
        <v>263.45</v>
      </c>
    </row>
    <row r="1133" spans="1:6">
      <c r="A1133" s="6">
        <v>44043</v>
      </c>
      <c r="C1133" t="s">
        <v>278</v>
      </c>
      <c r="D1133" t="s">
        <v>385</v>
      </c>
      <c r="E1133" t="s">
        <v>247</v>
      </c>
      <c r="F1133">
        <v>2643.24</v>
      </c>
    </row>
    <row r="1134" spans="1:6">
      <c r="A1134" s="6">
        <v>44043</v>
      </c>
      <c r="B1134" t="s">
        <v>386</v>
      </c>
      <c r="C1134" t="s">
        <v>262</v>
      </c>
      <c r="D1134" t="s">
        <v>387</v>
      </c>
      <c r="E1134" t="s">
        <v>244</v>
      </c>
      <c r="F1134">
        <v>215.24</v>
      </c>
    </row>
    <row r="1135" spans="1:6">
      <c r="A1135" s="6">
        <v>44043</v>
      </c>
      <c r="C1135" t="s">
        <v>253</v>
      </c>
      <c r="D1135" t="s">
        <v>387</v>
      </c>
      <c r="E1135" t="s">
        <v>244</v>
      </c>
      <c r="F1135">
        <v>95.85</v>
      </c>
    </row>
    <row r="1136" spans="1:6">
      <c r="A1136" s="6">
        <v>44043</v>
      </c>
      <c r="C1136" t="s">
        <v>245</v>
      </c>
      <c r="D1136" t="s">
        <v>387</v>
      </c>
      <c r="E1136" t="s">
        <v>244</v>
      </c>
      <c r="F1136">
        <v>134.05000000000001</v>
      </c>
    </row>
    <row r="1137" spans="1:6">
      <c r="A1137" s="6">
        <v>44043</v>
      </c>
      <c r="C1137" t="s">
        <v>264</v>
      </c>
      <c r="D1137" t="s">
        <v>387</v>
      </c>
      <c r="E1137" t="s">
        <v>244</v>
      </c>
      <c r="F1137">
        <v>350.1</v>
      </c>
    </row>
    <row r="1138" spans="1:6">
      <c r="A1138" s="6">
        <v>44043</v>
      </c>
      <c r="C1138" t="s">
        <v>271</v>
      </c>
      <c r="D1138" t="s">
        <v>387</v>
      </c>
      <c r="E1138" t="s">
        <v>244</v>
      </c>
      <c r="F1138">
        <v>25.81</v>
      </c>
    </row>
    <row r="1139" spans="1:6">
      <c r="A1139" s="6">
        <v>44043</v>
      </c>
      <c r="C1139" t="s">
        <v>254</v>
      </c>
      <c r="D1139" t="s">
        <v>387</v>
      </c>
      <c r="E1139" t="s">
        <v>244</v>
      </c>
      <c r="F1139">
        <v>186.31</v>
      </c>
    </row>
    <row r="1140" spans="1:6">
      <c r="A1140" s="6">
        <v>44043</v>
      </c>
      <c r="C1140" t="s">
        <v>278</v>
      </c>
      <c r="D1140" t="s">
        <v>387</v>
      </c>
      <c r="E1140" t="s">
        <v>247</v>
      </c>
      <c r="F1140">
        <v>2816.43</v>
      </c>
    </row>
    <row r="1141" spans="1:6">
      <c r="A1141" s="6">
        <v>44043</v>
      </c>
      <c r="B1141" t="s">
        <v>388</v>
      </c>
      <c r="C1141" t="s">
        <v>262</v>
      </c>
      <c r="D1141" t="s">
        <v>389</v>
      </c>
      <c r="E1141" t="s">
        <v>244</v>
      </c>
      <c r="F1141">
        <v>216.4</v>
      </c>
    </row>
    <row r="1142" spans="1:6">
      <c r="A1142" s="6">
        <v>44043</v>
      </c>
      <c r="C1142" t="s">
        <v>245</v>
      </c>
      <c r="D1142" t="s">
        <v>389</v>
      </c>
      <c r="E1142" t="s">
        <v>244</v>
      </c>
      <c r="F1142">
        <v>316.56</v>
      </c>
    </row>
    <row r="1143" spans="1:6">
      <c r="A1143" s="6">
        <v>44043</v>
      </c>
      <c r="C1143" t="s">
        <v>254</v>
      </c>
      <c r="D1143" t="s">
        <v>389</v>
      </c>
      <c r="E1143" t="s">
        <v>244</v>
      </c>
      <c r="F1143">
        <v>18.12</v>
      </c>
    </row>
    <row r="1144" spans="1:6">
      <c r="A1144" s="6">
        <v>44043</v>
      </c>
      <c r="B1144" t="s">
        <v>482</v>
      </c>
      <c r="C1144" t="s">
        <v>271</v>
      </c>
      <c r="D1144" t="s">
        <v>483</v>
      </c>
      <c r="E1144" t="s">
        <v>244</v>
      </c>
      <c r="F1144">
        <v>2.3199999999999998</v>
      </c>
    </row>
    <row r="1145" spans="1:6">
      <c r="A1145" s="6">
        <v>44043</v>
      </c>
      <c r="C1145" t="s">
        <v>254</v>
      </c>
      <c r="D1145" t="s">
        <v>483</v>
      </c>
      <c r="E1145" t="s">
        <v>244</v>
      </c>
      <c r="F1145">
        <v>74.290000000000006</v>
      </c>
    </row>
    <row r="1146" spans="1:6">
      <c r="A1146" s="6">
        <v>44043</v>
      </c>
      <c r="B1146" t="s">
        <v>390</v>
      </c>
      <c r="C1146" t="s">
        <v>264</v>
      </c>
      <c r="D1146" t="s">
        <v>391</v>
      </c>
      <c r="E1146" t="s">
        <v>244</v>
      </c>
      <c r="F1146">
        <v>481.34</v>
      </c>
    </row>
    <row r="1147" spans="1:6">
      <c r="A1147" s="6">
        <v>44043</v>
      </c>
      <c r="C1147" t="s">
        <v>271</v>
      </c>
      <c r="D1147" t="s">
        <v>391</v>
      </c>
      <c r="E1147" t="s">
        <v>244</v>
      </c>
      <c r="F1147">
        <v>34.090000000000003</v>
      </c>
    </row>
    <row r="1148" spans="1:6">
      <c r="A1148" s="6">
        <v>44043</v>
      </c>
      <c r="C1148" t="s">
        <v>254</v>
      </c>
      <c r="D1148" t="s">
        <v>391</v>
      </c>
      <c r="E1148" t="s">
        <v>244</v>
      </c>
      <c r="F1148">
        <v>219.31</v>
      </c>
    </row>
    <row r="1149" spans="1:6">
      <c r="A1149" s="6">
        <v>44043</v>
      </c>
      <c r="C1149" t="s">
        <v>278</v>
      </c>
      <c r="D1149" t="s">
        <v>391</v>
      </c>
      <c r="E1149" t="s">
        <v>247</v>
      </c>
      <c r="F1149">
        <v>1762.2</v>
      </c>
    </row>
    <row r="1150" spans="1:6">
      <c r="A1150" s="6">
        <v>44043</v>
      </c>
      <c r="B1150" t="s">
        <v>392</v>
      </c>
      <c r="C1150" t="s">
        <v>251</v>
      </c>
      <c r="D1150" t="s">
        <v>393</v>
      </c>
      <c r="E1150" t="s">
        <v>244</v>
      </c>
      <c r="F1150">
        <v>11.47</v>
      </c>
    </row>
    <row r="1151" spans="1:6">
      <c r="A1151" s="6">
        <v>44043</v>
      </c>
      <c r="C1151" t="s">
        <v>291</v>
      </c>
      <c r="D1151" t="s">
        <v>393</v>
      </c>
      <c r="E1151" t="s">
        <v>247</v>
      </c>
      <c r="F1151">
        <v>4470.29</v>
      </c>
    </row>
    <row r="1152" spans="1:6">
      <c r="A1152" s="6">
        <v>44043</v>
      </c>
      <c r="B1152" t="s">
        <v>394</v>
      </c>
      <c r="C1152" t="s">
        <v>251</v>
      </c>
      <c r="D1152" t="s">
        <v>395</v>
      </c>
      <c r="E1152" t="s">
        <v>244</v>
      </c>
      <c r="F1152">
        <v>16.72</v>
      </c>
    </row>
    <row r="1153" spans="1:6">
      <c r="A1153" s="6">
        <v>44043</v>
      </c>
      <c r="C1153" t="s">
        <v>278</v>
      </c>
      <c r="D1153" t="s">
        <v>395</v>
      </c>
      <c r="E1153" t="s">
        <v>247</v>
      </c>
      <c r="F1153">
        <v>711.99</v>
      </c>
    </row>
    <row r="1154" spans="1:6">
      <c r="A1154" s="6">
        <v>44043</v>
      </c>
      <c r="B1154" t="s">
        <v>396</v>
      </c>
      <c r="C1154" t="s">
        <v>251</v>
      </c>
      <c r="D1154" t="s">
        <v>397</v>
      </c>
      <c r="E1154" t="s">
        <v>244</v>
      </c>
      <c r="F1154">
        <v>6.95</v>
      </c>
    </row>
    <row r="1155" spans="1:6">
      <c r="A1155" s="6">
        <v>44043</v>
      </c>
      <c r="C1155" t="s">
        <v>248</v>
      </c>
      <c r="D1155" t="s">
        <v>397</v>
      </c>
      <c r="E1155" t="s">
        <v>247</v>
      </c>
      <c r="F1155">
        <v>8707.7000000000007</v>
      </c>
    </row>
    <row r="1156" spans="1:6">
      <c r="A1156" s="6">
        <v>44043</v>
      </c>
      <c r="B1156" t="s">
        <v>398</v>
      </c>
      <c r="C1156" t="s">
        <v>251</v>
      </c>
      <c r="D1156" t="s">
        <v>399</v>
      </c>
      <c r="E1156" t="s">
        <v>244</v>
      </c>
      <c r="F1156">
        <v>2.56</v>
      </c>
    </row>
    <row r="1157" spans="1:6">
      <c r="A1157" s="6">
        <v>44043</v>
      </c>
      <c r="C1157" t="s">
        <v>245</v>
      </c>
      <c r="D1157" t="s">
        <v>399</v>
      </c>
      <c r="E1157" t="s">
        <v>244</v>
      </c>
      <c r="F1157">
        <v>17.34</v>
      </c>
    </row>
    <row r="1158" spans="1:6">
      <c r="A1158" s="6">
        <v>44043</v>
      </c>
      <c r="B1158" t="s">
        <v>400</v>
      </c>
      <c r="C1158" t="s">
        <v>251</v>
      </c>
      <c r="D1158" t="s">
        <v>401</v>
      </c>
      <c r="E1158" t="s">
        <v>244</v>
      </c>
      <c r="F1158">
        <v>0.82</v>
      </c>
    </row>
    <row r="1159" spans="1:6">
      <c r="A1159" s="6">
        <v>44043</v>
      </c>
      <c r="C1159" t="s">
        <v>368</v>
      </c>
      <c r="D1159" t="s">
        <v>401</v>
      </c>
      <c r="E1159" t="s">
        <v>247</v>
      </c>
      <c r="F1159">
        <v>3241.06</v>
      </c>
    </row>
    <row r="1160" spans="1:6">
      <c r="A1160" s="6">
        <v>44043</v>
      </c>
      <c r="C1160" t="s">
        <v>402</v>
      </c>
      <c r="D1160" t="s">
        <v>401</v>
      </c>
      <c r="E1160" t="s">
        <v>247</v>
      </c>
      <c r="F1160">
        <v>4861.6000000000004</v>
      </c>
    </row>
    <row r="1161" spans="1:6">
      <c r="A1161" s="6">
        <v>44043</v>
      </c>
      <c r="B1161" t="s">
        <v>403</v>
      </c>
      <c r="C1161" t="s">
        <v>254</v>
      </c>
      <c r="D1161" t="s">
        <v>404</v>
      </c>
      <c r="E1161" t="s">
        <v>244</v>
      </c>
      <c r="F1161">
        <v>0.28000000000000003</v>
      </c>
    </row>
    <row r="1162" spans="1:6">
      <c r="A1162" s="6">
        <v>44043</v>
      </c>
      <c r="C1162" t="s">
        <v>405</v>
      </c>
      <c r="D1162" t="s">
        <v>404</v>
      </c>
      <c r="E1162" t="s">
        <v>247</v>
      </c>
      <c r="F1162">
        <v>1450.02</v>
      </c>
    </row>
    <row r="1163" spans="1:6">
      <c r="A1163" s="6">
        <v>44043</v>
      </c>
      <c r="C1163" t="s">
        <v>406</v>
      </c>
      <c r="D1163" t="s">
        <v>404</v>
      </c>
      <c r="E1163" t="s">
        <v>247</v>
      </c>
      <c r="F1163">
        <v>322.23</v>
      </c>
    </row>
    <row r="1164" spans="1:6">
      <c r="A1164" s="6">
        <v>44043</v>
      </c>
      <c r="C1164" t="s">
        <v>407</v>
      </c>
      <c r="D1164" t="s">
        <v>404</v>
      </c>
      <c r="E1164" t="s">
        <v>247</v>
      </c>
      <c r="F1164">
        <v>3222.26</v>
      </c>
    </row>
    <row r="1165" spans="1:6">
      <c r="A1165" s="6">
        <v>44043</v>
      </c>
      <c r="B1165" t="s">
        <v>408</v>
      </c>
      <c r="C1165" t="s">
        <v>262</v>
      </c>
      <c r="D1165" t="s">
        <v>409</v>
      </c>
      <c r="E1165" t="s">
        <v>244</v>
      </c>
      <c r="F1165">
        <v>54.88</v>
      </c>
    </row>
    <row r="1166" spans="1:6">
      <c r="A1166" s="6">
        <v>44043</v>
      </c>
      <c r="C1166" t="s">
        <v>251</v>
      </c>
      <c r="D1166" t="s">
        <v>409</v>
      </c>
      <c r="E1166" t="s">
        <v>244</v>
      </c>
      <c r="F1166">
        <v>6.68</v>
      </c>
    </row>
    <row r="1167" spans="1:6">
      <c r="A1167" s="6">
        <v>44043</v>
      </c>
      <c r="C1167" t="s">
        <v>290</v>
      </c>
      <c r="D1167" t="s">
        <v>409</v>
      </c>
      <c r="E1167" t="s">
        <v>247</v>
      </c>
      <c r="F1167">
        <v>674.2</v>
      </c>
    </row>
    <row r="1168" spans="1:6">
      <c r="A1168" s="6">
        <v>44043</v>
      </c>
      <c r="C1168" t="s">
        <v>265</v>
      </c>
      <c r="D1168" t="s">
        <v>409</v>
      </c>
      <c r="E1168" t="s">
        <v>247</v>
      </c>
      <c r="F1168">
        <v>65.28</v>
      </c>
    </row>
    <row r="1169" spans="1:6">
      <c r="A1169" s="6">
        <v>44043</v>
      </c>
      <c r="B1169" t="s">
        <v>410</v>
      </c>
      <c r="C1169" t="s">
        <v>254</v>
      </c>
      <c r="D1169" t="s">
        <v>411</v>
      </c>
      <c r="E1169" t="s">
        <v>244</v>
      </c>
      <c r="F1169">
        <v>42.22</v>
      </c>
    </row>
    <row r="1170" spans="1:6">
      <c r="A1170" s="6">
        <v>44043</v>
      </c>
      <c r="C1170" t="s">
        <v>248</v>
      </c>
      <c r="D1170" t="s">
        <v>411</v>
      </c>
      <c r="E1170" t="s">
        <v>247</v>
      </c>
      <c r="F1170">
        <v>2780.13</v>
      </c>
    </row>
    <row r="1171" spans="1:6">
      <c r="A1171" s="6">
        <v>44043</v>
      </c>
      <c r="B1171" t="s">
        <v>412</v>
      </c>
      <c r="C1171" t="s">
        <v>251</v>
      </c>
      <c r="D1171" t="s">
        <v>413</v>
      </c>
      <c r="E1171" t="s">
        <v>244</v>
      </c>
      <c r="F1171">
        <v>3.38</v>
      </c>
    </row>
    <row r="1172" spans="1:6">
      <c r="A1172" s="6">
        <v>44043</v>
      </c>
      <c r="C1172" t="s">
        <v>254</v>
      </c>
      <c r="D1172" t="s">
        <v>413</v>
      </c>
      <c r="E1172" t="s">
        <v>244</v>
      </c>
      <c r="F1172">
        <v>17.25</v>
      </c>
    </row>
    <row r="1173" spans="1:6">
      <c r="A1173" s="6">
        <v>44043</v>
      </c>
      <c r="C1173" t="s">
        <v>255</v>
      </c>
      <c r="D1173" t="s">
        <v>413</v>
      </c>
      <c r="E1173" t="s">
        <v>247</v>
      </c>
      <c r="F1173">
        <v>1370.92</v>
      </c>
    </row>
    <row r="1174" spans="1:6">
      <c r="A1174" s="6">
        <v>44043</v>
      </c>
      <c r="C1174" t="s">
        <v>278</v>
      </c>
      <c r="D1174" t="s">
        <v>413</v>
      </c>
      <c r="E1174" t="s">
        <v>247</v>
      </c>
      <c r="F1174">
        <v>959.09</v>
      </c>
    </row>
    <row r="1175" spans="1:6">
      <c r="A1175" s="6">
        <v>44043</v>
      </c>
      <c r="C1175" t="s">
        <v>248</v>
      </c>
      <c r="D1175" t="s">
        <v>413</v>
      </c>
      <c r="E1175" t="s">
        <v>247</v>
      </c>
      <c r="F1175">
        <v>2767.93</v>
      </c>
    </row>
    <row r="1176" spans="1:6">
      <c r="A1176" s="6">
        <v>44043</v>
      </c>
      <c r="B1176" t="s">
        <v>414</v>
      </c>
      <c r="C1176" t="s">
        <v>245</v>
      </c>
      <c r="D1176" t="s">
        <v>415</v>
      </c>
      <c r="E1176" t="s">
        <v>244</v>
      </c>
      <c r="F1176">
        <v>9.48</v>
      </c>
    </row>
    <row r="1177" spans="1:6">
      <c r="A1177" s="6">
        <v>44043</v>
      </c>
      <c r="C1177" t="s">
        <v>254</v>
      </c>
      <c r="D1177" t="s">
        <v>415</v>
      </c>
      <c r="E1177" t="s">
        <v>244</v>
      </c>
      <c r="F1177">
        <v>2.82</v>
      </c>
    </row>
    <row r="1178" spans="1:6">
      <c r="A1178" s="6">
        <v>44043</v>
      </c>
      <c r="B1178" t="s">
        <v>416</v>
      </c>
      <c r="C1178" t="s">
        <v>253</v>
      </c>
      <c r="D1178" t="s">
        <v>417</v>
      </c>
      <c r="E1178" t="s">
        <v>244</v>
      </c>
      <c r="F1178">
        <v>6.21</v>
      </c>
    </row>
    <row r="1179" spans="1:6">
      <c r="A1179" s="6">
        <v>44043</v>
      </c>
      <c r="C1179" t="s">
        <v>245</v>
      </c>
      <c r="D1179" t="s">
        <v>417</v>
      </c>
      <c r="E1179" t="s">
        <v>244</v>
      </c>
      <c r="F1179">
        <v>5.52</v>
      </c>
    </row>
    <row r="1180" spans="1:6">
      <c r="A1180" s="6">
        <v>44043</v>
      </c>
      <c r="C1180" t="s">
        <v>418</v>
      </c>
      <c r="D1180" t="s">
        <v>417</v>
      </c>
      <c r="E1180" t="s">
        <v>247</v>
      </c>
      <c r="F1180">
        <v>806.13</v>
      </c>
    </row>
    <row r="1181" spans="1:6">
      <c r="A1181" s="6">
        <v>44043</v>
      </c>
      <c r="C1181" t="s">
        <v>419</v>
      </c>
      <c r="D1181" t="s">
        <v>417</v>
      </c>
      <c r="E1181" t="s">
        <v>247</v>
      </c>
      <c r="F1181">
        <v>1934.72</v>
      </c>
    </row>
    <row r="1182" spans="1:6">
      <c r="A1182" s="6">
        <v>44043</v>
      </c>
      <c r="C1182" t="s">
        <v>420</v>
      </c>
      <c r="D1182" t="s">
        <v>417</v>
      </c>
      <c r="E1182" t="s">
        <v>247</v>
      </c>
      <c r="F1182">
        <v>1612.26</v>
      </c>
    </row>
    <row r="1183" spans="1:6">
      <c r="A1183" s="6">
        <v>44043</v>
      </c>
      <c r="B1183" t="s">
        <v>421</v>
      </c>
      <c r="C1183" t="s">
        <v>251</v>
      </c>
      <c r="D1183" t="s">
        <v>422</v>
      </c>
      <c r="E1183" t="s">
        <v>244</v>
      </c>
      <c r="F1183">
        <v>18.98</v>
      </c>
    </row>
    <row r="1184" spans="1:6">
      <c r="A1184" s="6">
        <v>44043</v>
      </c>
      <c r="C1184" t="s">
        <v>254</v>
      </c>
      <c r="D1184" t="s">
        <v>422</v>
      </c>
      <c r="E1184" t="s">
        <v>244</v>
      </c>
      <c r="F1184">
        <v>42.27</v>
      </c>
    </row>
    <row r="1185" spans="1:6">
      <c r="A1185" s="6">
        <v>44043</v>
      </c>
      <c r="C1185" t="s">
        <v>368</v>
      </c>
      <c r="D1185" t="s">
        <v>422</v>
      </c>
      <c r="E1185" t="s">
        <v>247</v>
      </c>
      <c r="F1185">
        <v>3092.98</v>
      </c>
    </row>
    <row r="1186" spans="1:6">
      <c r="A1186" s="6">
        <v>44043</v>
      </c>
      <c r="C1186" t="s">
        <v>423</v>
      </c>
      <c r="D1186" t="s">
        <v>422</v>
      </c>
      <c r="E1186" t="s">
        <v>247</v>
      </c>
      <c r="F1186">
        <v>253.06</v>
      </c>
    </row>
    <row r="1187" spans="1:6">
      <c r="A1187" s="6">
        <v>44043</v>
      </c>
      <c r="C1187" t="s">
        <v>424</v>
      </c>
      <c r="D1187" t="s">
        <v>422</v>
      </c>
      <c r="E1187" t="s">
        <v>247</v>
      </c>
      <c r="F1187">
        <v>253.06</v>
      </c>
    </row>
    <row r="1188" spans="1:6">
      <c r="A1188" s="6">
        <v>44043</v>
      </c>
      <c r="B1188" t="s">
        <v>425</v>
      </c>
      <c r="C1188" t="s">
        <v>242</v>
      </c>
      <c r="D1188" t="s">
        <v>426</v>
      </c>
      <c r="E1188" t="s">
        <v>244</v>
      </c>
      <c r="F1188">
        <v>242.13</v>
      </c>
    </row>
    <row r="1189" spans="1:6">
      <c r="A1189" s="6">
        <v>44043</v>
      </c>
      <c r="C1189" t="s">
        <v>262</v>
      </c>
      <c r="D1189" t="s">
        <v>426</v>
      </c>
      <c r="E1189" t="s">
        <v>244</v>
      </c>
      <c r="F1189">
        <v>213.55</v>
      </c>
    </row>
    <row r="1190" spans="1:6">
      <c r="A1190" s="6">
        <v>44043</v>
      </c>
      <c r="C1190" t="s">
        <v>251</v>
      </c>
      <c r="D1190" t="s">
        <v>426</v>
      </c>
      <c r="E1190" t="s">
        <v>244</v>
      </c>
      <c r="F1190">
        <v>53.78</v>
      </c>
    </row>
    <row r="1191" spans="1:6">
      <c r="A1191" s="6">
        <v>44043</v>
      </c>
      <c r="C1191" t="s">
        <v>253</v>
      </c>
      <c r="D1191" t="s">
        <v>426</v>
      </c>
      <c r="E1191" t="s">
        <v>244</v>
      </c>
      <c r="F1191">
        <v>11.76</v>
      </c>
    </row>
    <row r="1192" spans="1:6">
      <c r="A1192" s="6">
        <v>44043</v>
      </c>
      <c r="C1192" t="s">
        <v>245</v>
      </c>
      <c r="D1192" t="s">
        <v>426</v>
      </c>
      <c r="E1192" t="s">
        <v>244</v>
      </c>
      <c r="F1192">
        <v>79.06</v>
      </c>
    </row>
    <row r="1193" spans="1:6">
      <c r="A1193" s="6">
        <v>44043</v>
      </c>
      <c r="C1193" t="s">
        <v>264</v>
      </c>
      <c r="D1193" t="s">
        <v>426</v>
      </c>
      <c r="E1193" t="s">
        <v>244</v>
      </c>
      <c r="F1193">
        <v>169.49</v>
      </c>
    </row>
    <row r="1194" spans="1:6">
      <c r="A1194" s="6">
        <v>44043</v>
      </c>
      <c r="C1194" t="s">
        <v>254</v>
      </c>
      <c r="D1194" t="s">
        <v>426</v>
      </c>
      <c r="E1194" t="s">
        <v>244</v>
      </c>
      <c r="F1194">
        <v>2.27</v>
      </c>
    </row>
    <row r="1195" spans="1:6">
      <c r="A1195" s="6">
        <v>44043</v>
      </c>
      <c r="C1195" t="s">
        <v>289</v>
      </c>
      <c r="D1195" t="s">
        <v>426</v>
      </c>
      <c r="E1195" t="s">
        <v>247</v>
      </c>
      <c r="F1195">
        <v>1786.4</v>
      </c>
    </row>
    <row r="1196" spans="1:6">
      <c r="A1196" s="6">
        <v>44043</v>
      </c>
      <c r="B1196" t="s">
        <v>427</v>
      </c>
      <c r="C1196" t="s">
        <v>242</v>
      </c>
      <c r="D1196" t="s">
        <v>428</v>
      </c>
      <c r="E1196" t="s">
        <v>244</v>
      </c>
      <c r="F1196">
        <v>300.92</v>
      </c>
    </row>
    <row r="1197" spans="1:6">
      <c r="A1197" s="6">
        <v>44043</v>
      </c>
      <c r="C1197" t="s">
        <v>262</v>
      </c>
      <c r="D1197" t="s">
        <v>428</v>
      </c>
      <c r="E1197" t="s">
        <v>244</v>
      </c>
      <c r="F1197">
        <v>1327.05</v>
      </c>
    </row>
    <row r="1198" spans="1:6">
      <c r="A1198" s="6">
        <v>44043</v>
      </c>
      <c r="C1198" t="s">
        <v>251</v>
      </c>
      <c r="D1198" t="s">
        <v>428</v>
      </c>
      <c r="E1198" t="s">
        <v>244</v>
      </c>
      <c r="F1198">
        <v>26.28</v>
      </c>
    </row>
    <row r="1199" spans="1:6">
      <c r="A1199" s="6">
        <v>44043</v>
      </c>
      <c r="C1199" t="s">
        <v>245</v>
      </c>
      <c r="D1199" t="s">
        <v>428</v>
      </c>
      <c r="E1199" t="s">
        <v>244</v>
      </c>
      <c r="F1199">
        <v>491.34</v>
      </c>
    </row>
    <row r="1200" spans="1:6">
      <c r="A1200" s="6">
        <v>44043</v>
      </c>
      <c r="B1200" t="s">
        <v>429</v>
      </c>
      <c r="C1200" t="s">
        <v>251</v>
      </c>
      <c r="D1200" t="s">
        <v>430</v>
      </c>
      <c r="E1200" t="s">
        <v>244</v>
      </c>
      <c r="F1200">
        <v>63.19</v>
      </c>
    </row>
    <row r="1201" spans="1:6">
      <c r="A1201" s="6">
        <v>44043</v>
      </c>
      <c r="C1201" t="s">
        <v>253</v>
      </c>
      <c r="D1201" t="s">
        <v>430</v>
      </c>
      <c r="E1201" t="s">
        <v>244</v>
      </c>
      <c r="F1201">
        <v>20.28</v>
      </c>
    </row>
    <row r="1202" spans="1:6">
      <c r="A1202" s="6">
        <v>44043</v>
      </c>
      <c r="C1202" t="s">
        <v>245</v>
      </c>
      <c r="D1202" t="s">
        <v>430</v>
      </c>
      <c r="E1202" t="s">
        <v>244</v>
      </c>
      <c r="F1202">
        <v>49.52</v>
      </c>
    </row>
    <row r="1203" spans="1:6">
      <c r="A1203" s="6">
        <v>44043</v>
      </c>
      <c r="C1203" t="s">
        <v>246</v>
      </c>
      <c r="D1203" t="s">
        <v>430</v>
      </c>
      <c r="E1203" t="s">
        <v>247</v>
      </c>
      <c r="F1203">
        <v>1753.72</v>
      </c>
    </row>
    <row r="1204" spans="1:6">
      <c r="A1204" s="6">
        <v>44043</v>
      </c>
      <c r="C1204" t="s">
        <v>265</v>
      </c>
      <c r="D1204" t="s">
        <v>430</v>
      </c>
      <c r="E1204" t="s">
        <v>247</v>
      </c>
      <c r="F1204">
        <v>1215.19</v>
      </c>
    </row>
    <row r="1205" spans="1:6">
      <c r="A1205" s="6">
        <v>44043</v>
      </c>
      <c r="C1205" t="s">
        <v>249</v>
      </c>
      <c r="D1205" t="s">
        <v>430</v>
      </c>
      <c r="E1205" t="s">
        <v>247</v>
      </c>
      <c r="F1205">
        <v>12349.39</v>
      </c>
    </row>
    <row r="1206" spans="1:6">
      <c r="A1206" s="6">
        <v>44043</v>
      </c>
      <c r="C1206" t="s">
        <v>274</v>
      </c>
      <c r="D1206" t="s">
        <v>430</v>
      </c>
      <c r="E1206" t="s">
        <v>247</v>
      </c>
      <c r="F1206">
        <v>7258.5</v>
      </c>
    </row>
    <row r="1207" spans="1:6">
      <c r="A1207" s="6">
        <v>44043</v>
      </c>
      <c r="B1207" t="s">
        <v>431</v>
      </c>
      <c r="C1207" t="s">
        <v>242</v>
      </c>
      <c r="D1207" t="s">
        <v>432</v>
      </c>
      <c r="E1207" t="s">
        <v>244</v>
      </c>
      <c r="F1207">
        <v>7.83</v>
      </c>
    </row>
    <row r="1208" spans="1:6">
      <c r="A1208" s="6">
        <v>44043</v>
      </c>
      <c r="C1208" t="s">
        <v>251</v>
      </c>
      <c r="D1208" t="s">
        <v>432</v>
      </c>
      <c r="E1208" t="s">
        <v>244</v>
      </c>
      <c r="F1208">
        <v>33.74</v>
      </c>
    </row>
    <row r="1209" spans="1:6">
      <c r="A1209" s="6">
        <v>44043</v>
      </c>
      <c r="C1209" t="s">
        <v>249</v>
      </c>
      <c r="D1209" t="s">
        <v>432</v>
      </c>
      <c r="E1209" t="s">
        <v>247</v>
      </c>
      <c r="F1209">
        <v>4015.72</v>
      </c>
    </row>
    <row r="1210" spans="1:6">
      <c r="A1210" s="6">
        <v>44043</v>
      </c>
      <c r="B1210" t="s">
        <v>433</v>
      </c>
      <c r="C1210" t="s">
        <v>254</v>
      </c>
      <c r="D1210" t="s">
        <v>434</v>
      </c>
      <c r="E1210" t="s">
        <v>244</v>
      </c>
      <c r="F1210">
        <v>34.049999999999997</v>
      </c>
    </row>
    <row r="1211" spans="1:6">
      <c r="A1211" s="6">
        <v>44043</v>
      </c>
      <c r="B1211" t="s">
        <v>435</v>
      </c>
      <c r="C1211" t="s">
        <v>242</v>
      </c>
      <c r="D1211" t="s">
        <v>436</v>
      </c>
      <c r="E1211" t="s">
        <v>244</v>
      </c>
      <c r="F1211">
        <v>375.85</v>
      </c>
    </row>
    <row r="1212" spans="1:6">
      <c r="A1212" s="6">
        <v>44043</v>
      </c>
      <c r="C1212" t="s">
        <v>262</v>
      </c>
      <c r="D1212" t="s">
        <v>436</v>
      </c>
      <c r="E1212" t="s">
        <v>244</v>
      </c>
      <c r="F1212">
        <v>2253.15</v>
      </c>
    </row>
    <row r="1213" spans="1:6">
      <c r="A1213" s="6">
        <v>44043</v>
      </c>
      <c r="C1213" t="s">
        <v>253</v>
      </c>
      <c r="D1213" t="s">
        <v>436</v>
      </c>
      <c r="E1213" t="s">
        <v>244</v>
      </c>
      <c r="F1213">
        <v>125.65</v>
      </c>
    </row>
    <row r="1214" spans="1:6">
      <c r="A1214" s="6">
        <v>44043</v>
      </c>
      <c r="B1214" t="s">
        <v>437</v>
      </c>
      <c r="C1214" t="s">
        <v>242</v>
      </c>
      <c r="D1214" t="s">
        <v>438</v>
      </c>
      <c r="E1214" t="s">
        <v>244</v>
      </c>
      <c r="F1214">
        <v>193.52</v>
      </c>
    </row>
    <row r="1215" spans="1:6">
      <c r="A1215" s="6">
        <v>44043</v>
      </c>
      <c r="C1215" t="s">
        <v>262</v>
      </c>
      <c r="D1215" t="s">
        <v>438</v>
      </c>
      <c r="E1215" t="s">
        <v>244</v>
      </c>
      <c r="F1215">
        <v>563.03</v>
      </c>
    </row>
    <row r="1216" spans="1:6">
      <c r="A1216" s="6">
        <v>44043</v>
      </c>
      <c r="C1216" t="s">
        <v>254</v>
      </c>
      <c r="D1216" t="s">
        <v>438</v>
      </c>
      <c r="E1216" t="s">
        <v>244</v>
      </c>
      <c r="F1216">
        <v>14.37</v>
      </c>
    </row>
    <row r="1217" spans="1:6">
      <c r="A1217" s="6">
        <v>44043</v>
      </c>
      <c r="B1217" t="s">
        <v>439</v>
      </c>
      <c r="C1217" t="s">
        <v>246</v>
      </c>
      <c r="D1217" t="s">
        <v>440</v>
      </c>
      <c r="E1217" t="s">
        <v>247</v>
      </c>
      <c r="F1217">
        <v>3310.54</v>
      </c>
    </row>
    <row r="1218" spans="1:6">
      <c r="A1218" s="6">
        <v>44043</v>
      </c>
      <c r="B1218" t="s">
        <v>441</v>
      </c>
      <c r="C1218" t="s">
        <v>248</v>
      </c>
      <c r="D1218" t="s">
        <v>442</v>
      </c>
      <c r="E1218" t="s">
        <v>247</v>
      </c>
      <c r="F1218">
        <v>429.28</v>
      </c>
    </row>
    <row r="1219" spans="1:6">
      <c r="A1219" s="6">
        <v>44043</v>
      </c>
      <c r="B1219" t="s">
        <v>443</v>
      </c>
      <c r="C1219" t="s">
        <v>248</v>
      </c>
      <c r="D1219" t="s">
        <v>444</v>
      </c>
      <c r="E1219" t="s">
        <v>247</v>
      </c>
      <c r="F1219">
        <v>3012.72</v>
      </c>
    </row>
    <row r="1220" spans="1:6">
      <c r="A1220" s="6">
        <v>44043</v>
      </c>
      <c r="C1220" t="s">
        <v>290</v>
      </c>
      <c r="D1220" t="s">
        <v>444</v>
      </c>
      <c r="E1220" t="s">
        <v>247</v>
      </c>
      <c r="F1220">
        <v>1191.1300000000001</v>
      </c>
    </row>
    <row r="1221" spans="1:6">
      <c r="A1221" s="6">
        <v>44043</v>
      </c>
      <c r="B1221" t="s">
        <v>445</v>
      </c>
      <c r="C1221" t="s">
        <v>290</v>
      </c>
      <c r="D1221" t="s">
        <v>446</v>
      </c>
      <c r="E1221" t="s">
        <v>247</v>
      </c>
      <c r="F1221">
        <v>232.54</v>
      </c>
    </row>
    <row r="1222" spans="1:6">
      <c r="A1222" s="6">
        <v>44043</v>
      </c>
      <c r="B1222" t="s">
        <v>447</v>
      </c>
      <c r="C1222" t="s">
        <v>448</v>
      </c>
      <c r="D1222" t="s">
        <v>449</v>
      </c>
      <c r="E1222" t="s">
        <v>247</v>
      </c>
      <c r="F1222">
        <v>488.64</v>
      </c>
    </row>
    <row r="1223" spans="1:6">
      <c r="A1223" s="6">
        <v>44043</v>
      </c>
      <c r="C1223" t="s">
        <v>450</v>
      </c>
      <c r="D1223" t="s">
        <v>449</v>
      </c>
      <c r="E1223" t="s">
        <v>247</v>
      </c>
      <c r="F1223">
        <v>488.64</v>
      </c>
    </row>
    <row r="1224" spans="1:6">
      <c r="A1224" s="6">
        <v>44135</v>
      </c>
      <c r="B1224" s="98" t="s">
        <v>241</v>
      </c>
      <c r="C1224" s="98" t="s">
        <v>242</v>
      </c>
      <c r="D1224" s="98" t="s">
        <v>243</v>
      </c>
      <c r="E1224" s="98" t="s">
        <v>244</v>
      </c>
      <c r="F1224" s="98">
        <v>93.32</v>
      </c>
    </row>
    <row r="1225" spans="1:6">
      <c r="A1225" s="6">
        <v>44135</v>
      </c>
      <c r="B1225" s="98"/>
      <c r="C1225" s="98" t="s">
        <v>245</v>
      </c>
      <c r="D1225" s="98" t="s">
        <v>243</v>
      </c>
      <c r="E1225" s="98" t="s">
        <v>244</v>
      </c>
      <c r="F1225" s="98">
        <v>316.27</v>
      </c>
    </row>
    <row r="1226" spans="1:6">
      <c r="A1226" s="6">
        <v>44135</v>
      </c>
      <c r="B1226" s="98"/>
      <c r="C1226" s="98" t="s">
        <v>246</v>
      </c>
      <c r="D1226" s="98" t="s">
        <v>243</v>
      </c>
      <c r="E1226" s="98" t="s">
        <v>247</v>
      </c>
      <c r="F1226" s="98">
        <v>1294.68</v>
      </c>
    </row>
    <row r="1227" spans="1:6">
      <c r="A1227" s="6">
        <v>44135</v>
      </c>
      <c r="B1227" s="98"/>
      <c r="C1227" s="98" t="s">
        <v>248</v>
      </c>
      <c r="D1227" s="98" t="s">
        <v>243</v>
      </c>
      <c r="E1227" s="98" t="s">
        <v>247</v>
      </c>
      <c r="F1227" s="98">
        <v>2774.41</v>
      </c>
    </row>
    <row r="1228" spans="1:6">
      <c r="A1228" s="6">
        <v>44135</v>
      </c>
      <c r="B1228" s="98"/>
      <c r="C1228" s="98" t="s">
        <v>249</v>
      </c>
      <c r="D1228" s="98" t="s">
        <v>243</v>
      </c>
      <c r="E1228" s="98" t="s">
        <v>247</v>
      </c>
      <c r="F1228" s="98">
        <v>402.71</v>
      </c>
    </row>
    <row r="1229" spans="1:6">
      <c r="A1229" s="6">
        <v>44135</v>
      </c>
      <c r="B1229" s="98" t="s">
        <v>250</v>
      </c>
      <c r="C1229" s="98" t="s">
        <v>251</v>
      </c>
      <c r="D1229" s="98" t="s">
        <v>252</v>
      </c>
      <c r="E1229" s="98" t="s">
        <v>244</v>
      </c>
      <c r="F1229" s="98">
        <v>123.79</v>
      </c>
    </row>
    <row r="1230" spans="1:6">
      <c r="A1230" s="6">
        <v>44135</v>
      </c>
      <c r="B1230" s="98"/>
      <c r="C1230" s="98" t="s">
        <v>253</v>
      </c>
      <c r="D1230" s="98" t="s">
        <v>252</v>
      </c>
      <c r="E1230" s="98" t="s">
        <v>244</v>
      </c>
      <c r="F1230" s="98">
        <v>50.16</v>
      </c>
    </row>
    <row r="1231" spans="1:6">
      <c r="A1231" s="6">
        <v>44135</v>
      </c>
      <c r="B1231" s="98"/>
      <c r="C1231" s="98" t="s">
        <v>254</v>
      </c>
      <c r="D1231" s="98" t="s">
        <v>252</v>
      </c>
      <c r="E1231" s="98" t="s">
        <v>244</v>
      </c>
      <c r="F1231" s="98">
        <v>262.76</v>
      </c>
    </row>
    <row r="1232" spans="1:6">
      <c r="A1232" s="6">
        <v>44135</v>
      </c>
      <c r="B1232" s="98"/>
      <c r="C1232" s="98" t="s">
        <v>255</v>
      </c>
      <c r="D1232" s="98" t="s">
        <v>252</v>
      </c>
      <c r="E1232" s="98" t="s">
        <v>247</v>
      </c>
      <c r="F1232" s="98">
        <v>1285.76</v>
      </c>
    </row>
    <row r="1233" spans="1:6">
      <c r="A1233" s="6">
        <v>44135</v>
      </c>
      <c r="B1233" s="98"/>
      <c r="C1233" s="98" t="s">
        <v>246</v>
      </c>
      <c r="D1233" s="98" t="s">
        <v>252</v>
      </c>
      <c r="E1233" s="98" t="s">
        <v>247</v>
      </c>
      <c r="F1233" s="98">
        <v>1027.73</v>
      </c>
    </row>
    <row r="1234" spans="1:6">
      <c r="A1234" s="6">
        <v>44135</v>
      </c>
      <c r="B1234" s="98"/>
      <c r="C1234" s="98" t="s">
        <v>256</v>
      </c>
      <c r="D1234" s="98" t="s">
        <v>252</v>
      </c>
      <c r="E1234" s="98" t="s">
        <v>247</v>
      </c>
      <c r="F1234" s="98">
        <v>5921.55</v>
      </c>
    </row>
    <row r="1235" spans="1:6">
      <c r="A1235" s="6">
        <v>44135</v>
      </c>
      <c r="B1235" s="98"/>
      <c r="C1235" s="98" t="s">
        <v>257</v>
      </c>
      <c r="D1235" s="98" t="s">
        <v>252</v>
      </c>
      <c r="E1235" s="98" t="s">
        <v>258</v>
      </c>
      <c r="F1235" s="98">
        <v>10990.51</v>
      </c>
    </row>
    <row r="1236" spans="1:6">
      <c r="A1236" s="6">
        <v>44135</v>
      </c>
      <c r="B1236" s="98"/>
      <c r="C1236" s="98" t="s">
        <v>266</v>
      </c>
      <c r="D1236" s="98" t="s">
        <v>252</v>
      </c>
      <c r="E1236" s="98" t="s">
        <v>258</v>
      </c>
      <c r="F1236" s="98">
        <v>1136.55</v>
      </c>
    </row>
    <row r="1237" spans="1:6">
      <c r="A1237" s="6">
        <v>44135</v>
      </c>
      <c r="B1237" s="98"/>
      <c r="C1237" s="98" t="s">
        <v>259</v>
      </c>
      <c r="D1237" s="98" t="s">
        <v>252</v>
      </c>
      <c r="E1237" s="98" t="s">
        <v>258</v>
      </c>
      <c r="F1237" s="98">
        <v>12813.57</v>
      </c>
    </row>
    <row r="1238" spans="1:6">
      <c r="A1238" s="6">
        <v>44135</v>
      </c>
      <c r="B1238" s="98"/>
      <c r="C1238" s="98" t="s">
        <v>260</v>
      </c>
      <c r="D1238" s="98" t="s">
        <v>252</v>
      </c>
      <c r="E1238" s="98" t="s">
        <v>258</v>
      </c>
      <c r="F1238" s="98">
        <v>870.47</v>
      </c>
    </row>
    <row r="1239" spans="1:6">
      <c r="A1239" s="6">
        <v>44135</v>
      </c>
      <c r="B1239" s="98" t="s">
        <v>261</v>
      </c>
      <c r="C1239" s="98" t="s">
        <v>262</v>
      </c>
      <c r="D1239" s="98" t="s">
        <v>263</v>
      </c>
      <c r="E1239" s="98" t="s">
        <v>244</v>
      </c>
      <c r="F1239" s="98">
        <v>128.9</v>
      </c>
    </row>
    <row r="1240" spans="1:6">
      <c r="A1240" s="6">
        <v>44135</v>
      </c>
      <c r="B1240" s="98"/>
      <c r="C1240" s="98" t="s">
        <v>253</v>
      </c>
      <c r="D1240" s="98" t="s">
        <v>263</v>
      </c>
      <c r="E1240" s="98" t="s">
        <v>244</v>
      </c>
      <c r="F1240" s="98">
        <v>88.9</v>
      </c>
    </row>
    <row r="1241" spans="1:6">
      <c r="A1241" s="6">
        <v>44135</v>
      </c>
      <c r="B1241" s="98"/>
      <c r="C1241" s="98" t="s">
        <v>245</v>
      </c>
      <c r="D1241" s="98" t="s">
        <v>263</v>
      </c>
      <c r="E1241" s="98" t="s">
        <v>244</v>
      </c>
      <c r="F1241" s="98">
        <v>27.84</v>
      </c>
    </row>
    <row r="1242" spans="1:6">
      <c r="A1242" s="6">
        <v>44135</v>
      </c>
      <c r="B1242" s="98"/>
      <c r="C1242" s="98" t="s">
        <v>264</v>
      </c>
      <c r="D1242" s="98" t="s">
        <v>263</v>
      </c>
      <c r="E1242" s="98" t="s">
        <v>244</v>
      </c>
      <c r="F1242" s="98">
        <v>331.52</v>
      </c>
    </row>
    <row r="1243" spans="1:6">
      <c r="A1243" s="6">
        <v>44135</v>
      </c>
      <c r="B1243" s="98"/>
      <c r="C1243" s="98" t="s">
        <v>248</v>
      </c>
      <c r="D1243" s="98" t="s">
        <v>263</v>
      </c>
      <c r="E1243" s="98" t="s">
        <v>247</v>
      </c>
      <c r="F1243" s="98">
        <v>5857.32</v>
      </c>
    </row>
    <row r="1244" spans="1:6">
      <c r="A1244" s="6">
        <v>44135</v>
      </c>
      <c r="B1244" s="98"/>
      <c r="C1244" s="98" t="s">
        <v>265</v>
      </c>
      <c r="D1244" s="98" t="s">
        <v>263</v>
      </c>
      <c r="E1244" s="98" t="s">
        <v>247</v>
      </c>
      <c r="F1244" s="98">
        <v>1244.49</v>
      </c>
    </row>
    <row r="1245" spans="1:6">
      <c r="A1245" s="6">
        <v>44135</v>
      </c>
      <c r="B1245" s="98"/>
      <c r="C1245" s="98" t="s">
        <v>266</v>
      </c>
      <c r="D1245" s="98" t="s">
        <v>263</v>
      </c>
      <c r="E1245" s="98" t="s">
        <v>258</v>
      </c>
      <c r="F1245" s="98">
        <v>26603.75</v>
      </c>
    </row>
    <row r="1246" spans="1:6">
      <c r="A1246" s="6">
        <v>44135</v>
      </c>
      <c r="B1246" s="98"/>
      <c r="C1246" s="98" t="s">
        <v>260</v>
      </c>
      <c r="D1246" s="98" t="s">
        <v>263</v>
      </c>
      <c r="E1246" s="98" t="s">
        <v>258</v>
      </c>
      <c r="F1246" s="98">
        <v>8214.1200000000008</v>
      </c>
    </row>
    <row r="1247" spans="1:6">
      <c r="A1247" s="6">
        <v>44135</v>
      </c>
      <c r="B1247" s="98" t="s">
        <v>267</v>
      </c>
      <c r="C1247" s="98" t="s">
        <v>242</v>
      </c>
      <c r="D1247" s="98" t="s">
        <v>268</v>
      </c>
      <c r="E1247" s="98" t="s">
        <v>244</v>
      </c>
      <c r="F1247" s="98">
        <v>164.11</v>
      </c>
    </row>
    <row r="1248" spans="1:6">
      <c r="A1248" s="6">
        <v>44135</v>
      </c>
      <c r="B1248" s="98"/>
      <c r="C1248" s="98" t="s">
        <v>253</v>
      </c>
      <c r="D1248" s="98" t="s">
        <v>268</v>
      </c>
      <c r="E1248" s="98" t="s">
        <v>244</v>
      </c>
      <c r="F1248" s="98">
        <v>106.77</v>
      </c>
    </row>
    <row r="1249" spans="1:6">
      <c r="A1249" s="6">
        <v>44135</v>
      </c>
      <c r="B1249" s="98"/>
      <c r="C1249" s="98" t="s">
        <v>264</v>
      </c>
      <c r="D1249" s="98" t="s">
        <v>268</v>
      </c>
      <c r="E1249" s="98" t="s">
        <v>244</v>
      </c>
      <c r="F1249" s="98">
        <v>211.84</v>
      </c>
    </row>
    <row r="1250" spans="1:6">
      <c r="A1250" s="6">
        <v>44135</v>
      </c>
      <c r="B1250" s="98"/>
      <c r="C1250" s="98" t="s">
        <v>254</v>
      </c>
      <c r="D1250" s="98" t="s">
        <v>268</v>
      </c>
      <c r="E1250" s="98" t="s">
        <v>244</v>
      </c>
      <c r="F1250" s="98">
        <v>86.67</v>
      </c>
    </row>
    <row r="1251" spans="1:6">
      <c r="A1251" s="6">
        <v>44135</v>
      </c>
      <c r="B1251" s="98"/>
      <c r="C1251" s="98" t="s">
        <v>248</v>
      </c>
      <c r="D1251" s="98" t="s">
        <v>268</v>
      </c>
      <c r="E1251" s="98" t="s">
        <v>247</v>
      </c>
      <c r="F1251" s="98">
        <v>5587.03</v>
      </c>
    </row>
    <row r="1252" spans="1:6">
      <c r="A1252" s="6">
        <v>44135</v>
      </c>
      <c r="B1252" s="98"/>
      <c r="C1252" s="98" t="s">
        <v>265</v>
      </c>
      <c r="D1252" s="98" t="s">
        <v>268</v>
      </c>
      <c r="E1252" s="98" t="s">
        <v>247</v>
      </c>
      <c r="F1252" s="98">
        <v>665.97</v>
      </c>
    </row>
    <row r="1253" spans="1:6">
      <c r="A1253" s="6">
        <v>44135</v>
      </c>
      <c r="B1253" s="98"/>
      <c r="C1253" s="98" t="s">
        <v>266</v>
      </c>
      <c r="D1253" s="98" t="s">
        <v>268</v>
      </c>
      <c r="E1253" s="98" t="s">
        <v>258</v>
      </c>
      <c r="F1253" s="98">
        <v>26668.55</v>
      </c>
    </row>
    <row r="1254" spans="1:6">
      <c r="A1254" s="6">
        <v>44135</v>
      </c>
      <c r="B1254" s="98"/>
      <c r="C1254" s="98" t="s">
        <v>260</v>
      </c>
      <c r="D1254" s="98" t="s">
        <v>268</v>
      </c>
      <c r="E1254" s="98" t="s">
        <v>258</v>
      </c>
      <c r="F1254" s="98">
        <v>8272.61</v>
      </c>
    </row>
    <row r="1255" spans="1:6">
      <c r="A1255" s="6">
        <v>44135</v>
      </c>
      <c r="B1255" s="98" t="s">
        <v>269</v>
      </c>
      <c r="C1255" s="98" t="s">
        <v>242</v>
      </c>
      <c r="D1255" s="98" t="s">
        <v>270</v>
      </c>
      <c r="E1255" s="98" t="s">
        <v>244</v>
      </c>
      <c r="F1255" s="98">
        <v>151.59</v>
      </c>
    </row>
    <row r="1256" spans="1:6">
      <c r="A1256" s="6">
        <v>44135</v>
      </c>
      <c r="B1256" s="98"/>
      <c r="C1256" s="98" t="s">
        <v>251</v>
      </c>
      <c r="D1256" s="98" t="s">
        <v>270</v>
      </c>
      <c r="E1256" s="98" t="s">
        <v>244</v>
      </c>
      <c r="F1256" s="98">
        <v>21.97</v>
      </c>
    </row>
    <row r="1257" spans="1:6">
      <c r="A1257" s="6">
        <v>44135</v>
      </c>
      <c r="B1257" s="98"/>
      <c r="C1257" s="98" t="s">
        <v>245</v>
      </c>
      <c r="D1257" s="98" t="s">
        <v>270</v>
      </c>
      <c r="E1257" s="98" t="s">
        <v>244</v>
      </c>
      <c r="F1257" s="98">
        <v>93.17</v>
      </c>
    </row>
    <row r="1258" spans="1:6">
      <c r="A1258" s="6">
        <v>44135</v>
      </c>
      <c r="B1258" s="98"/>
      <c r="C1258" s="98" t="s">
        <v>264</v>
      </c>
      <c r="D1258" s="98" t="s">
        <v>270</v>
      </c>
      <c r="E1258" s="98" t="s">
        <v>244</v>
      </c>
      <c r="F1258" s="98">
        <v>166.73</v>
      </c>
    </row>
    <row r="1259" spans="1:6">
      <c r="A1259" s="6">
        <v>44135</v>
      </c>
      <c r="B1259" s="98"/>
      <c r="C1259" s="98" t="s">
        <v>271</v>
      </c>
      <c r="D1259" s="98" t="s">
        <v>270</v>
      </c>
      <c r="E1259" s="98" t="s">
        <v>244</v>
      </c>
      <c r="F1259" s="98">
        <v>18.329999999999998</v>
      </c>
    </row>
    <row r="1260" spans="1:6">
      <c r="A1260" s="6">
        <v>44135</v>
      </c>
      <c r="B1260" s="98"/>
      <c r="C1260" s="98" t="s">
        <v>255</v>
      </c>
      <c r="D1260" s="98" t="s">
        <v>270</v>
      </c>
      <c r="E1260" s="98" t="s">
        <v>247</v>
      </c>
      <c r="F1260" s="98">
        <v>915.86</v>
      </c>
    </row>
    <row r="1261" spans="1:6">
      <c r="A1261" s="6">
        <v>44135</v>
      </c>
      <c r="B1261" s="98"/>
      <c r="C1261" s="98" t="s">
        <v>246</v>
      </c>
      <c r="D1261" s="98" t="s">
        <v>270</v>
      </c>
      <c r="E1261" s="98" t="s">
        <v>247</v>
      </c>
      <c r="F1261" s="98">
        <v>2124.35</v>
      </c>
    </row>
    <row r="1262" spans="1:6">
      <c r="A1262" s="6">
        <v>44135</v>
      </c>
      <c r="B1262" s="98"/>
      <c r="C1262" s="98" t="s">
        <v>265</v>
      </c>
      <c r="D1262" s="98" t="s">
        <v>270</v>
      </c>
      <c r="E1262" s="98" t="s">
        <v>247</v>
      </c>
      <c r="F1262" s="98">
        <v>770.67</v>
      </c>
    </row>
    <row r="1263" spans="1:6">
      <c r="A1263" s="6">
        <v>44135</v>
      </c>
      <c r="B1263" s="98"/>
      <c r="C1263" s="98" t="s">
        <v>273</v>
      </c>
      <c r="D1263" s="98" t="s">
        <v>270</v>
      </c>
      <c r="E1263" s="98" t="s">
        <v>247</v>
      </c>
      <c r="F1263" s="98">
        <v>2340.44</v>
      </c>
    </row>
    <row r="1264" spans="1:6">
      <c r="A1264" s="6">
        <v>44135</v>
      </c>
      <c r="B1264" s="98"/>
      <c r="C1264" s="98" t="s">
        <v>274</v>
      </c>
      <c r="D1264" s="98" t="s">
        <v>270</v>
      </c>
      <c r="E1264" s="98" t="s">
        <v>247</v>
      </c>
      <c r="F1264" s="98">
        <v>7623.33</v>
      </c>
    </row>
    <row r="1265" spans="1:6">
      <c r="A1265" s="6">
        <v>44135</v>
      </c>
      <c r="B1265" s="98" t="s">
        <v>275</v>
      </c>
      <c r="C1265" s="98" t="s">
        <v>242</v>
      </c>
      <c r="D1265" s="98" t="s">
        <v>276</v>
      </c>
      <c r="E1265" s="98" t="s">
        <v>244</v>
      </c>
      <c r="F1265" s="98">
        <v>117.07</v>
      </c>
    </row>
    <row r="1266" spans="1:6">
      <c r="A1266" s="6">
        <v>44135</v>
      </c>
      <c r="B1266" s="98"/>
      <c r="C1266" s="98" t="s">
        <v>262</v>
      </c>
      <c r="D1266" s="98" t="s">
        <v>276</v>
      </c>
      <c r="E1266" s="98" t="s">
        <v>244</v>
      </c>
      <c r="F1266" s="98">
        <v>1348.87</v>
      </c>
    </row>
    <row r="1267" spans="1:6">
      <c r="A1267" s="6">
        <v>44135</v>
      </c>
      <c r="B1267" s="98"/>
      <c r="C1267" s="98" t="s">
        <v>251</v>
      </c>
      <c r="D1267" s="98" t="s">
        <v>276</v>
      </c>
      <c r="E1267" s="98" t="s">
        <v>244</v>
      </c>
      <c r="F1267" s="98">
        <v>50.82</v>
      </c>
    </row>
    <row r="1268" spans="1:6">
      <c r="A1268" s="6">
        <v>44135</v>
      </c>
      <c r="B1268" s="98"/>
      <c r="C1268" s="98" t="s">
        <v>253</v>
      </c>
      <c r="D1268" s="98" t="s">
        <v>276</v>
      </c>
      <c r="E1268" s="98" t="s">
        <v>244</v>
      </c>
      <c r="F1268" s="98">
        <v>30.38</v>
      </c>
    </row>
    <row r="1269" spans="1:6">
      <c r="A1269" s="6">
        <v>44135</v>
      </c>
      <c r="B1269" s="98"/>
      <c r="C1269" s="98" t="s">
        <v>245</v>
      </c>
      <c r="D1269" s="98" t="s">
        <v>276</v>
      </c>
      <c r="E1269" s="98" t="s">
        <v>244</v>
      </c>
      <c r="F1269" s="98">
        <v>51.76</v>
      </c>
    </row>
    <row r="1270" spans="1:6">
      <c r="A1270" s="6">
        <v>44135</v>
      </c>
      <c r="B1270" s="98"/>
      <c r="C1270" s="98" t="s">
        <v>264</v>
      </c>
      <c r="D1270" s="98" t="s">
        <v>276</v>
      </c>
      <c r="E1270" s="98" t="s">
        <v>244</v>
      </c>
      <c r="F1270" s="98">
        <v>440.66</v>
      </c>
    </row>
    <row r="1271" spans="1:6">
      <c r="A1271" s="6">
        <v>44135</v>
      </c>
      <c r="B1271" s="98"/>
      <c r="C1271" s="98" t="s">
        <v>271</v>
      </c>
      <c r="D1271" s="98" t="s">
        <v>276</v>
      </c>
      <c r="E1271" s="98" t="s">
        <v>244</v>
      </c>
      <c r="F1271" s="98">
        <v>47</v>
      </c>
    </row>
    <row r="1272" spans="1:6">
      <c r="A1272" s="6">
        <v>44135</v>
      </c>
      <c r="B1272" s="98"/>
      <c r="C1272" s="98" t="s">
        <v>254</v>
      </c>
      <c r="D1272" s="98" t="s">
        <v>276</v>
      </c>
      <c r="E1272" s="98" t="s">
        <v>244</v>
      </c>
      <c r="F1272" s="98">
        <v>238.01</v>
      </c>
    </row>
    <row r="1273" spans="1:6">
      <c r="A1273" s="6">
        <v>44135</v>
      </c>
      <c r="B1273" s="98"/>
      <c r="C1273" s="98" t="s">
        <v>277</v>
      </c>
      <c r="D1273" s="98" t="s">
        <v>276</v>
      </c>
      <c r="E1273" s="98" t="s">
        <v>247</v>
      </c>
      <c r="F1273" s="98">
        <v>5939.23</v>
      </c>
    </row>
    <row r="1274" spans="1:6">
      <c r="A1274" s="6">
        <v>44135</v>
      </c>
      <c r="B1274" s="98"/>
      <c r="C1274" s="98" t="s">
        <v>278</v>
      </c>
      <c r="D1274" s="98" t="s">
        <v>276</v>
      </c>
      <c r="E1274" s="98" t="s">
        <v>247</v>
      </c>
      <c r="F1274" s="98">
        <v>2563.17</v>
      </c>
    </row>
    <row r="1275" spans="1:6">
      <c r="A1275" s="6">
        <v>44135</v>
      </c>
      <c r="B1275" s="98"/>
      <c r="C1275" s="98" t="s">
        <v>272</v>
      </c>
      <c r="D1275" s="98" t="s">
        <v>276</v>
      </c>
      <c r="E1275" s="98" t="s">
        <v>247</v>
      </c>
      <c r="F1275" s="98">
        <v>1535.88</v>
      </c>
    </row>
    <row r="1276" spans="1:6">
      <c r="A1276" s="6">
        <v>44135</v>
      </c>
      <c r="B1276" s="98"/>
      <c r="C1276" s="98" t="s">
        <v>246</v>
      </c>
      <c r="D1276" s="98" t="s">
        <v>276</v>
      </c>
      <c r="E1276" s="98" t="s">
        <v>247</v>
      </c>
      <c r="F1276" s="98">
        <v>3765.46</v>
      </c>
    </row>
    <row r="1277" spans="1:6">
      <c r="A1277" s="6">
        <v>44135</v>
      </c>
      <c r="B1277" s="98"/>
      <c r="C1277" s="98" t="s">
        <v>279</v>
      </c>
      <c r="D1277" s="98" t="s">
        <v>276</v>
      </c>
      <c r="E1277" s="98" t="s">
        <v>247</v>
      </c>
      <c r="F1277" s="98">
        <v>12400.14</v>
      </c>
    </row>
    <row r="1278" spans="1:6">
      <c r="A1278" s="6">
        <v>44135</v>
      </c>
      <c r="B1278" s="98"/>
      <c r="C1278" s="98" t="s">
        <v>248</v>
      </c>
      <c r="D1278" s="98" t="s">
        <v>276</v>
      </c>
      <c r="E1278" s="98" t="s">
        <v>247</v>
      </c>
      <c r="F1278" s="98">
        <v>11548.63</v>
      </c>
    </row>
    <row r="1279" spans="1:6">
      <c r="A1279" s="6">
        <v>44135</v>
      </c>
      <c r="B1279" s="98"/>
      <c r="C1279" s="98" t="s">
        <v>280</v>
      </c>
      <c r="D1279" s="98" t="s">
        <v>276</v>
      </c>
      <c r="E1279" s="98" t="s">
        <v>247</v>
      </c>
      <c r="F1279" s="98">
        <v>8887.5300000000007</v>
      </c>
    </row>
    <row r="1280" spans="1:6">
      <c r="A1280" s="6">
        <v>44135</v>
      </c>
      <c r="B1280" s="98"/>
      <c r="C1280" s="98" t="s">
        <v>281</v>
      </c>
      <c r="D1280" s="98" t="s">
        <v>276</v>
      </c>
      <c r="E1280" s="98" t="s">
        <v>247</v>
      </c>
      <c r="F1280" s="98">
        <v>13888.61</v>
      </c>
    </row>
    <row r="1281" spans="1:6">
      <c r="A1281" s="6">
        <v>44135</v>
      </c>
      <c r="B1281" s="98"/>
      <c r="C1281" s="98" t="s">
        <v>256</v>
      </c>
      <c r="D1281" s="98" t="s">
        <v>276</v>
      </c>
      <c r="E1281" s="98" t="s">
        <v>247</v>
      </c>
      <c r="F1281" s="98">
        <v>2395.9699999999998</v>
      </c>
    </row>
    <row r="1282" spans="1:6">
      <c r="A1282" s="6">
        <v>44135</v>
      </c>
      <c r="B1282" s="98"/>
      <c r="C1282" s="98" t="s">
        <v>282</v>
      </c>
      <c r="D1282" s="98" t="s">
        <v>276</v>
      </c>
      <c r="E1282" s="98" t="s">
        <v>247</v>
      </c>
      <c r="F1282" s="98">
        <v>3972.28</v>
      </c>
    </row>
    <row r="1283" spans="1:6">
      <c r="A1283" s="6">
        <v>44135</v>
      </c>
      <c r="B1283" s="98"/>
      <c r="C1283" s="98" t="s">
        <v>283</v>
      </c>
      <c r="D1283" s="98" t="s">
        <v>276</v>
      </c>
      <c r="E1283" s="98" t="s">
        <v>247</v>
      </c>
      <c r="F1283" s="98">
        <v>2344.09</v>
      </c>
    </row>
    <row r="1284" spans="1:6">
      <c r="A1284" s="6">
        <v>44135</v>
      </c>
      <c r="B1284" s="98"/>
      <c r="C1284" s="98" t="s">
        <v>285</v>
      </c>
      <c r="D1284" s="98" t="s">
        <v>276</v>
      </c>
      <c r="E1284" s="98" t="s">
        <v>247</v>
      </c>
      <c r="F1284" s="98">
        <v>9358.26</v>
      </c>
    </row>
    <row r="1285" spans="1:6">
      <c r="A1285" s="6">
        <v>44135</v>
      </c>
      <c r="B1285" s="98"/>
      <c r="C1285" s="98" t="s">
        <v>286</v>
      </c>
      <c r="D1285" s="98" t="s">
        <v>276</v>
      </c>
      <c r="E1285" s="98" t="s">
        <v>247</v>
      </c>
      <c r="F1285" s="98">
        <v>1875.27</v>
      </c>
    </row>
    <row r="1286" spans="1:6">
      <c r="A1286" s="6">
        <v>44135</v>
      </c>
      <c r="B1286" s="98"/>
      <c r="C1286" s="98" t="s">
        <v>257</v>
      </c>
      <c r="D1286" s="98" t="s">
        <v>276</v>
      </c>
      <c r="E1286" s="98" t="s">
        <v>258</v>
      </c>
      <c r="F1286" s="98">
        <v>40368.92</v>
      </c>
    </row>
    <row r="1287" spans="1:6">
      <c r="A1287" s="6">
        <v>44135</v>
      </c>
      <c r="B1287" s="98"/>
      <c r="C1287" s="98" t="s">
        <v>259</v>
      </c>
      <c r="D1287" s="98" t="s">
        <v>276</v>
      </c>
      <c r="E1287" s="98" t="s">
        <v>258</v>
      </c>
      <c r="F1287" s="98">
        <v>32171.919999999998</v>
      </c>
    </row>
    <row r="1288" spans="1:6">
      <c r="A1288" s="6">
        <v>44135</v>
      </c>
      <c r="B1288" s="98"/>
      <c r="C1288" s="98" t="s">
        <v>249</v>
      </c>
      <c r="D1288" s="98" t="s">
        <v>276</v>
      </c>
      <c r="E1288" s="98" t="s">
        <v>247</v>
      </c>
      <c r="F1288" s="98">
        <v>1160.19</v>
      </c>
    </row>
    <row r="1289" spans="1:6">
      <c r="A1289" s="6">
        <v>44135</v>
      </c>
      <c r="B1289" s="98"/>
      <c r="C1289" s="98" t="s">
        <v>260</v>
      </c>
      <c r="D1289" s="98" t="s">
        <v>276</v>
      </c>
      <c r="E1289" s="98" t="s">
        <v>258</v>
      </c>
      <c r="F1289" s="98">
        <v>13351.03</v>
      </c>
    </row>
    <row r="1290" spans="1:6">
      <c r="A1290" s="6">
        <v>44135</v>
      </c>
      <c r="B1290" s="98"/>
      <c r="C1290" s="98" t="s">
        <v>465</v>
      </c>
      <c r="D1290" s="98" t="s">
        <v>276</v>
      </c>
      <c r="E1290" s="98" t="s">
        <v>247</v>
      </c>
      <c r="F1290" s="98">
        <v>2344.09</v>
      </c>
    </row>
    <row r="1291" spans="1:6">
      <c r="A1291" s="6">
        <v>44135</v>
      </c>
      <c r="B1291" s="98" t="s">
        <v>287</v>
      </c>
      <c r="C1291" s="98" t="s">
        <v>242</v>
      </c>
      <c r="D1291" s="98" t="s">
        <v>288</v>
      </c>
      <c r="E1291" s="98" t="s">
        <v>244</v>
      </c>
      <c r="F1291" s="98">
        <v>1776.18</v>
      </c>
    </row>
    <row r="1292" spans="1:6">
      <c r="A1292" s="6">
        <v>44135</v>
      </c>
      <c r="B1292" s="98"/>
      <c r="C1292" s="98" t="s">
        <v>262</v>
      </c>
      <c r="D1292" s="98" t="s">
        <v>288</v>
      </c>
      <c r="E1292" s="98" t="s">
        <v>244</v>
      </c>
      <c r="F1292" s="98">
        <v>9465.33</v>
      </c>
    </row>
    <row r="1293" spans="1:6">
      <c r="A1293" s="6">
        <v>44135</v>
      </c>
      <c r="B1293" s="98"/>
      <c r="C1293" s="98" t="s">
        <v>251</v>
      </c>
      <c r="D1293" s="98" t="s">
        <v>288</v>
      </c>
      <c r="E1293" s="98" t="s">
        <v>244</v>
      </c>
      <c r="F1293" s="98">
        <v>80.89</v>
      </c>
    </row>
    <row r="1294" spans="1:6">
      <c r="A1294" s="6">
        <v>44135</v>
      </c>
      <c r="B1294" s="98"/>
      <c r="C1294" s="98" t="s">
        <v>253</v>
      </c>
      <c r="D1294" s="98" t="s">
        <v>288</v>
      </c>
      <c r="E1294" s="98" t="s">
        <v>244</v>
      </c>
      <c r="F1294" s="98">
        <v>32.44</v>
      </c>
    </row>
    <row r="1295" spans="1:6">
      <c r="A1295" s="6">
        <v>44135</v>
      </c>
      <c r="B1295" s="98"/>
      <c r="C1295" s="98" t="s">
        <v>245</v>
      </c>
      <c r="D1295" s="98" t="s">
        <v>288</v>
      </c>
      <c r="E1295" s="98" t="s">
        <v>244</v>
      </c>
      <c r="F1295" s="98">
        <v>2193.64</v>
      </c>
    </row>
    <row r="1296" spans="1:6">
      <c r="A1296" s="6">
        <v>44135</v>
      </c>
      <c r="B1296" s="98"/>
      <c r="C1296" s="98" t="s">
        <v>264</v>
      </c>
      <c r="D1296" s="98" t="s">
        <v>288</v>
      </c>
      <c r="E1296" s="98" t="s">
        <v>244</v>
      </c>
      <c r="F1296" s="98">
        <v>1032.23</v>
      </c>
    </row>
    <row r="1297" spans="1:6">
      <c r="A1297" s="6">
        <v>44135</v>
      </c>
      <c r="B1297" s="98"/>
      <c r="C1297" s="98" t="s">
        <v>271</v>
      </c>
      <c r="D1297" s="98" t="s">
        <v>288</v>
      </c>
      <c r="E1297" s="98" t="s">
        <v>244</v>
      </c>
      <c r="F1297" s="98">
        <v>14.99</v>
      </c>
    </row>
    <row r="1298" spans="1:6">
      <c r="A1298" s="6">
        <v>44135</v>
      </c>
      <c r="B1298" s="98"/>
      <c r="C1298" s="98" t="s">
        <v>254</v>
      </c>
      <c r="D1298" s="98" t="s">
        <v>288</v>
      </c>
      <c r="E1298" s="98" t="s">
        <v>244</v>
      </c>
      <c r="F1298" s="98">
        <v>830.87</v>
      </c>
    </row>
    <row r="1299" spans="1:6">
      <c r="A1299" s="6">
        <v>44135</v>
      </c>
      <c r="B1299" s="98"/>
      <c r="C1299" s="98" t="s">
        <v>277</v>
      </c>
      <c r="D1299" s="98" t="s">
        <v>288</v>
      </c>
      <c r="E1299" s="98" t="s">
        <v>247</v>
      </c>
      <c r="F1299" s="98">
        <v>2387.2800000000002</v>
      </c>
    </row>
    <row r="1300" spans="1:6">
      <c r="A1300" s="6">
        <v>44135</v>
      </c>
      <c r="B1300" s="98"/>
      <c r="C1300" s="98" t="s">
        <v>255</v>
      </c>
      <c r="D1300" s="98" t="s">
        <v>288</v>
      </c>
      <c r="E1300" s="98" t="s">
        <v>247</v>
      </c>
      <c r="F1300" s="98">
        <v>2573.1799999999998</v>
      </c>
    </row>
    <row r="1301" spans="1:6">
      <c r="A1301" s="6">
        <v>44135</v>
      </c>
      <c r="B1301" s="98"/>
      <c r="C1301" s="98" t="s">
        <v>278</v>
      </c>
      <c r="D1301" s="98" t="s">
        <v>288</v>
      </c>
      <c r="E1301" s="98" t="s">
        <v>247</v>
      </c>
      <c r="F1301" s="98">
        <v>6354.61</v>
      </c>
    </row>
    <row r="1302" spans="1:6">
      <c r="A1302" s="6">
        <v>44135</v>
      </c>
      <c r="B1302" s="98"/>
      <c r="C1302" s="98" t="s">
        <v>289</v>
      </c>
      <c r="D1302" s="98" t="s">
        <v>288</v>
      </c>
      <c r="E1302" s="98" t="s">
        <v>247</v>
      </c>
      <c r="F1302" s="98">
        <v>299.29000000000002</v>
      </c>
    </row>
    <row r="1303" spans="1:6">
      <c r="A1303" s="6">
        <v>44135</v>
      </c>
      <c r="B1303" s="98"/>
      <c r="C1303" s="98" t="s">
        <v>272</v>
      </c>
      <c r="D1303" s="98" t="s">
        <v>288</v>
      </c>
      <c r="E1303" s="98" t="s">
        <v>247</v>
      </c>
      <c r="F1303" s="98">
        <v>711.62</v>
      </c>
    </row>
    <row r="1304" spans="1:6">
      <c r="A1304" s="6">
        <v>44135</v>
      </c>
      <c r="B1304" s="98"/>
      <c r="C1304" s="98" t="s">
        <v>246</v>
      </c>
      <c r="D1304" s="98" t="s">
        <v>288</v>
      </c>
      <c r="E1304" s="98" t="s">
        <v>247</v>
      </c>
      <c r="F1304" s="98">
        <v>2933.78</v>
      </c>
    </row>
    <row r="1305" spans="1:6">
      <c r="A1305" s="6">
        <v>44135</v>
      </c>
      <c r="B1305" s="98"/>
      <c r="C1305" s="98" t="s">
        <v>290</v>
      </c>
      <c r="D1305" s="98" t="s">
        <v>288</v>
      </c>
      <c r="E1305" s="98" t="s">
        <v>247</v>
      </c>
      <c r="F1305" s="98">
        <v>2209.9699999999998</v>
      </c>
    </row>
    <row r="1306" spans="1:6">
      <c r="A1306" s="6">
        <v>44135</v>
      </c>
      <c r="B1306" s="98"/>
      <c r="C1306" s="98" t="s">
        <v>291</v>
      </c>
      <c r="D1306" s="98" t="s">
        <v>288</v>
      </c>
      <c r="E1306" s="98" t="s">
        <v>247</v>
      </c>
      <c r="F1306" s="98">
        <v>14454.01</v>
      </c>
    </row>
    <row r="1307" spans="1:6">
      <c r="A1307" s="6">
        <v>44135</v>
      </c>
      <c r="B1307" s="98"/>
      <c r="C1307" s="98" t="s">
        <v>256</v>
      </c>
      <c r="D1307" s="98" t="s">
        <v>288</v>
      </c>
      <c r="E1307" s="98" t="s">
        <v>247</v>
      </c>
      <c r="F1307" s="98">
        <v>1153.95</v>
      </c>
    </row>
    <row r="1308" spans="1:6">
      <c r="A1308" s="6">
        <v>44135</v>
      </c>
      <c r="B1308" s="98"/>
      <c r="C1308" s="98" t="s">
        <v>265</v>
      </c>
      <c r="D1308" s="98" t="s">
        <v>288</v>
      </c>
      <c r="E1308" s="98" t="s">
        <v>247</v>
      </c>
      <c r="F1308" s="98">
        <v>1766.69</v>
      </c>
    </row>
    <row r="1309" spans="1:6">
      <c r="A1309" s="6">
        <v>44135</v>
      </c>
      <c r="B1309" s="98"/>
      <c r="C1309" s="98" t="s">
        <v>293</v>
      </c>
      <c r="D1309" s="98" t="s">
        <v>288</v>
      </c>
      <c r="E1309" s="98" t="s">
        <v>247</v>
      </c>
      <c r="F1309" s="98">
        <v>1485.18</v>
      </c>
    </row>
    <row r="1310" spans="1:6">
      <c r="A1310" s="6">
        <v>44135</v>
      </c>
      <c r="B1310" s="98"/>
      <c r="C1310" s="98" t="s">
        <v>257</v>
      </c>
      <c r="D1310" s="98" t="s">
        <v>288</v>
      </c>
      <c r="E1310" s="98" t="s">
        <v>258</v>
      </c>
      <c r="F1310" s="98">
        <v>13914.31</v>
      </c>
    </row>
    <row r="1311" spans="1:6">
      <c r="A1311" s="6">
        <v>44135</v>
      </c>
      <c r="B1311" s="98"/>
      <c r="C1311" s="98" t="s">
        <v>266</v>
      </c>
      <c r="D1311" s="98" t="s">
        <v>288</v>
      </c>
      <c r="E1311" s="98" t="s">
        <v>258</v>
      </c>
      <c r="F1311" s="98">
        <v>385609.23</v>
      </c>
    </row>
    <row r="1312" spans="1:6">
      <c r="A1312" s="6">
        <v>44135</v>
      </c>
      <c r="B1312" s="98"/>
      <c r="C1312" s="98" t="s">
        <v>259</v>
      </c>
      <c r="D1312" s="98" t="s">
        <v>288</v>
      </c>
      <c r="E1312" s="98" t="s">
        <v>258</v>
      </c>
      <c r="F1312" s="98">
        <v>7717.22</v>
      </c>
    </row>
    <row r="1313" spans="1:6">
      <c r="A1313" s="6">
        <v>44135</v>
      </c>
      <c r="B1313" s="98"/>
      <c r="C1313" s="98" t="s">
        <v>249</v>
      </c>
      <c r="D1313" s="98" t="s">
        <v>288</v>
      </c>
      <c r="E1313" s="98" t="s">
        <v>247</v>
      </c>
      <c r="F1313" s="98">
        <v>2791.58</v>
      </c>
    </row>
    <row r="1314" spans="1:6">
      <c r="A1314" s="6">
        <v>44135</v>
      </c>
      <c r="B1314" s="98"/>
      <c r="C1314" s="98" t="s">
        <v>260</v>
      </c>
      <c r="D1314" s="98" t="s">
        <v>288</v>
      </c>
      <c r="E1314" s="98" t="s">
        <v>258</v>
      </c>
      <c r="F1314" s="98">
        <v>6960.66</v>
      </c>
    </row>
    <row r="1315" spans="1:6">
      <c r="A1315" s="6">
        <v>44135</v>
      </c>
      <c r="B1315" s="98"/>
      <c r="C1315" s="98" t="s">
        <v>274</v>
      </c>
      <c r="D1315" s="98" t="s">
        <v>288</v>
      </c>
      <c r="E1315" s="98" t="s">
        <v>247</v>
      </c>
      <c r="F1315" s="98">
        <v>4896.3500000000004</v>
      </c>
    </row>
    <row r="1316" spans="1:6">
      <c r="A1316" s="6">
        <v>44135</v>
      </c>
      <c r="B1316" s="98" t="s">
        <v>294</v>
      </c>
      <c r="C1316" s="98" t="s">
        <v>242</v>
      </c>
      <c r="D1316" s="98" t="s">
        <v>295</v>
      </c>
      <c r="E1316" s="98" t="s">
        <v>244</v>
      </c>
      <c r="F1316" s="98">
        <v>47.83</v>
      </c>
    </row>
    <row r="1317" spans="1:6">
      <c r="A1317" s="6">
        <v>44135</v>
      </c>
      <c r="B1317" s="98"/>
      <c r="C1317" s="98" t="s">
        <v>262</v>
      </c>
      <c r="D1317" s="98" t="s">
        <v>295</v>
      </c>
      <c r="E1317" s="98" t="s">
        <v>244</v>
      </c>
      <c r="F1317" s="98">
        <v>0.86</v>
      </c>
    </row>
    <row r="1318" spans="1:6">
      <c r="A1318" s="6">
        <v>44135</v>
      </c>
      <c r="B1318" s="98"/>
      <c r="C1318" s="98" t="s">
        <v>251</v>
      </c>
      <c r="D1318" s="98" t="s">
        <v>295</v>
      </c>
      <c r="E1318" s="98" t="s">
        <v>244</v>
      </c>
      <c r="F1318" s="98">
        <v>1</v>
      </c>
    </row>
    <row r="1319" spans="1:6">
      <c r="A1319" s="6">
        <v>44135</v>
      </c>
      <c r="B1319" s="98"/>
      <c r="C1319" s="98" t="s">
        <v>245</v>
      </c>
      <c r="D1319" s="98" t="s">
        <v>295</v>
      </c>
      <c r="E1319" s="98" t="s">
        <v>244</v>
      </c>
      <c r="F1319" s="98">
        <v>32.39</v>
      </c>
    </row>
    <row r="1320" spans="1:6">
      <c r="A1320" s="6">
        <v>44135</v>
      </c>
      <c r="B1320" s="98"/>
      <c r="C1320" s="98" t="s">
        <v>264</v>
      </c>
      <c r="D1320" s="98" t="s">
        <v>295</v>
      </c>
      <c r="E1320" s="98" t="s">
        <v>244</v>
      </c>
      <c r="F1320" s="98">
        <v>24.43</v>
      </c>
    </row>
    <row r="1321" spans="1:6">
      <c r="A1321" s="6">
        <v>44135</v>
      </c>
      <c r="B1321" s="98"/>
      <c r="C1321" s="98" t="s">
        <v>271</v>
      </c>
      <c r="D1321" s="98" t="s">
        <v>295</v>
      </c>
      <c r="E1321" s="98" t="s">
        <v>244</v>
      </c>
      <c r="F1321" s="98">
        <v>1.05</v>
      </c>
    </row>
    <row r="1322" spans="1:6">
      <c r="A1322" s="6">
        <v>44135</v>
      </c>
      <c r="B1322" s="98"/>
      <c r="C1322" s="98" t="s">
        <v>254</v>
      </c>
      <c r="D1322" s="98" t="s">
        <v>295</v>
      </c>
      <c r="E1322" s="98" t="s">
        <v>244</v>
      </c>
      <c r="F1322" s="98">
        <v>18.78</v>
      </c>
    </row>
    <row r="1323" spans="1:6">
      <c r="A1323" s="6">
        <v>44135</v>
      </c>
      <c r="B1323" s="98" t="s">
        <v>296</v>
      </c>
      <c r="C1323" s="98" t="s">
        <v>242</v>
      </c>
      <c r="D1323" s="98" t="s">
        <v>297</v>
      </c>
      <c r="E1323" s="98" t="s">
        <v>244</v>
      </c>
      <c r="F1323" s="98">
        <v>478.51</v>
      </c>
    </row>
    <row r="1324" spans="1:6">
      <c r="A1324" s="6">
        <v>44135</v>
      </c>
      <c r="B1324" s="98"/>
      <c r="C1324" s="98" t="s">
        <v>262</v>
      </c>
      <c r="D1324" s="98" t="s">
        <v>297</v>
      </c>
      <c r="E1324" s="98" t="s">
        <v>244</v>
      </c>
      <c r="F1324" s="98">
        <v>1963.19</v>
      </c>
    </row>
    <row r="1325" spans="1:6">
      <c r="A1325" s="6">
        <v>44135</v>
      </c>
      <c r="B1325" s="98"/>
      <c r="C1325" s="98" t="s">
        <v>251</v>
      </c>
      <c r="D1325" s="98" t="s">
        <v>297</v>
      </c>
      <c r="E1325" s="98" t="s">
        <v>244</v>
      </c>
      <c r="F1325" s="98">
        <v>86.55</v>
      </c>
    </row>
    <row r="1326" spans="1:6">
      <c r="A1326" s="6">
        <v>44135</v>
      </c>
      <c r="B1326" s="98"/>
      <c r="C1326" s="98" t="s">
        <v>253</v>
      </c>
      <c r="D1326" s="98" t="s">
        <v>297</v>
      </c>
      <c r="E1326" s="98" t="s">
        <v>244</v>
      </c>
      <c r="F1326" s="98">
        <v>63.13</v>
      </c>
    </row>
    <row r="1327" spans="1:6">
      <c r="A1327" s="6">
        <v>44135</v>
      </c>
      <c r="B1327" s="98"/>
      <c r="C1327" s="98" t="s">
        <v>245</v>
      </c>
      <c r="D1327" s="98" t="s">
        <v>297</v>
      </c>
      <c r="E1327" s="98" t="s">
        <v>244</v>
      </c>
      <c r="F1327" s="98">
        <v>907.24</v>
      </c>
    </row>
    <row r="1328" spans="1:6">
      <c r="A1328" s="6">
        <v>44135</v>
      </c>
      <c r="B1328" s="98"/>
      <c r="C1328" s="98" t="s">
        <v>264</v>
      </c>
      <c r="D1328" s="98" t="s">
        <v>297</v>
      </c>
      <c r="E1328" s="98" t="s">
        <v>244</v>
      </c>
      <c r="F1328" s="98">
        <v>545.12</v>
      </c>
    </row>
    <row r="1329" spans="1:6">
      <c r="A1329" s="6">
        <v>44135</v>
      </c>
      <c r="B1329" s="98"/>
      <c r="C1329" s="98" t="s">
        <v>271</v>
      </c>
      <c r="D1329" s="98" t="s">
        <v>297</v>
      </c>
      <c r="E1329" s="98" t="s">
        <v>244</v>
      </c>
      <c r="F1329" s="98">
        <v>10.23</v>
      </c>
    </row>
    <row r="1330" spans="1:6">
      <c r="A1330" s="6">
        <v>44135</v>
      </c>
      <c r="B1330" s="98"/>
      <c r="C1330" s="98" t="s">
        <v>254</v>
      </c>
      <c r="D1330" s="98" t="s">
        <v>297</v>
      </c>
      <c r="E1330" s="98" t="s">
        <v>244</v>
      </c>
      <c r="F1330" s="98">
        <v>475.27</v>
      </c>
    </row>
    <row r="1331" spans="1:6">
      <c r="A1331" s="6">
        <v>44135</v>
      </c>
      <c r="B1331" s="98"/>
      <c r="C1331" s="98" t="s">
        <v>277</v>
      </c>
      <c r="D1331" s="98" t="s">
        <v>297</v>
      </c>
      <c r="E1331" s="98" t="s">
        <v>247</v>
      </c>
      <c r="F1331" s="98">
        <v>1793.6</v>
      </c>
    </row>
    <row r="1332" spans="1:6">
      <c r="A1332" s="6">
        <v>44135</v>
      </c>
      <c r="B1332" s="98"/>
      <c r="C1332" s="98" t="s">
        <v>289</v>
      </c>
      <c r="D1332" s="98" t="s">
        <v>297</v>
      </c>
      <c r="E1332" s="98" t="s">
        <v>247</v>
      </c>
      <c r="F1332" s="98">
        <v>4895.8100000000004</v>
      </c>
    </row>
    <row r="1333" spans="1:6">
      <c r="A1333" s="6">
        <v>44135</v>
      </c>
      <c r="B1333" s="98"/>
      <c r="C1333" s="98" t="s">
        <v>272</v>
      </c>
      <c r="D1333" s="98" t="s">
        <v>297</v>
      </c>
      <c r="E1333" s="98" t="s">
        <v>247</v>
      </c>
      <c r="F1333" s="98">
        <v>525.59</v>
      </c>
    </row>
    <row r="1334" spans="1:6">
      <c r="A1334" s="6">
        <v>44135</v>
      </c>
      <c r="B1334" s="98"/>
      <c r="C1334" s="98" t="s">
        <v>246</v>
      </c>
      <c r="D1334" s="98" t="s">
        <v>297</v>
      </c>
      <c r="E1334" s="98" t="s">
        <v>247</v>
      </c>
      <c r="F1334" s="98">
        <v>1694.29</v>
      </c>
    </row>
    <row r="1335" spans="1:6">
      <c r="A1335" s="6">
        <v>44135</v>
      </c>
      <c r="B1335" s="98"/>
      <c r="C1335" s="98" t="s">
        <v>248</v>
      </c>
      <c r="D1335" s="98" t="s">
        <v>297</v>
      </c>
      <c r="E1335" s="98" t="s">
        <v>247</v>
      </c>
      <c r="F1335" s="98">
        <v>10765.41</v>
      </c>
    </row>
    <row r="1336" spans="1:6">
      <c r="A1336" s="6">
        <v>44135</v>
      </c>
      <c r="B1336" s="98"/>
      <c r="C1336" s="98" t="s">
        <v>280</v>
      </c>
      <c r="D1336" s="98" t="s">
        <v>297</v>
      </c>
      <c r="E1336" s="98" t="s">
        <v>247</v>
      </c>
      <c r="F1336" s="98">
        <v>1144.82</v>
      </c>
    </row>
    <row r="1337" spans="1:6">
      <c r="A1337" s="6">
        <v>44135</v>
      </c>
      <c r="B1337" s="98"/>
      <c r="C1337" s="98" t="s">
        <v>290</v>
      </c>
      <c r="D1337" s="98" t="s">
        <v>297</v>
      </c>
      <c r="E1337" s="98" t="s">
        <v>247</v>
      </c>
      <c r="F1337" s="98">
        <v>1092.02</v>
      </c>
    </row>
    <row r="1338" spans="1:6">
      <c r="A1338" s="6">
        <v>44135</v>
      </c>
      <c r="B1338" s="98"/>
      <c r="C1338" s="98" t="s">
        <v>298</v>
      </c>
      <c r="D1338" s="98" t="s">
        <v>297</v>
      </c>
      <c r="E1338" s="98" t="s">
        <v>247</v>
      </c>
      <c r="F1338" s="98">
        <v>6011.97</v>
      </c>
    </row>
    <row r="1339" spans="1:6">
      <c r="A1339" s="6">
        <v>44135</v>
      </c>
      <c r="B1339" s="98"/>
      <c r="C1339" s="98" t="s">
        <v>291</v>
      </c>
      <c r="D1339" s="98" t="s">
        <v>297</v>
      </c>
      <c r="E1339" s="98" t="s">
        <v>247</v>
      </c>
      <c r="F1339" s="98">
        <v>9212.31</v>
      </c>
    </row>
    <row r="1340" spans="1:6">
      <c r="A1340" s="6">
        <v>44135</v>
      </c>
      <c r="B1340" s="98"/>
      <c r="C1340" s="98" t="s">
        <v>265</v>
      </c>
      <c r="D1340" s="98" t="s">
        <v>297</v>
      </c>
      <c r="E1340" s="98" t="s">
        <v>247</v>
      </c>
      <c r="F1340" s="98">
        <v>970.7</v>
      </c>
    </row>
    <row r="1341" spans="1:6">
      <c r="A1341" s="6">
        <v>44135</v>
      </c>
      <c r="B1341" s="98"/>
      <c r="C1341" s="98" t="s">
        <v>299</v>
      </c>
      <c r="D1341" s="98" t="s">
        <v>297</v>
      </c>
      <c r="E1341" s="98" t="s">
        <v>247</v>
      </c>
      <c r="F1341" s="98">
        <v>2156.09</v>
      </c>
    </row>
    <row r="1342" spans="1:6">
      <c r="A1342" s="6">
        <v>44135</v>
      </c>
      <c r="B1342" s="98"/>
      <c r="C1342" s="98" t="s">
        <v>257</v>
      </c>
      <c r="D1342" s="98" t="s">
        <v>297</v>
      </c>
      <c r="E1342" s="98" t="s">
        <v>258</v>
      </c>
      <c r="F1342" s="98">
        <v>11615.57</v>
      </c>
    </row>
    <row r="1343" spans="1:6">
      <c r="A1343" s="6">
        <v>44135</v>
      </c>
      <c r="B1343" s="98"/>
      <c r="C1343" s="98" t="s">
        <v>259</v>
      </c>
      <c r="D1343" s="98" t="s">
        <v>297</v>
      </c>
      <c r="E1343" s="98" t="s">
        <v>258</v>
      </c>
      <c r="F1343" s="98">
        <v>9271.7800000000007</v>
      </c>
    </row>
    <row r="1344" spans="1:6">
      <c r="A1344" s="6">
        <v>44135</v>
      </c>
      <c r="B1344" s="98"/>
      <c r="C1344" s="98" t="s">
        <v>249</v>
      </c>
      <c r="D1344" s="98" t="s">
        <v>297</v>
      </c>
      <c r="E1344" s="98" t="s">
        <v>247</v>
      </c>
      <c r="F1344" s="98">
        <v>1657.76</v>
      </c>
    </row>
    <row r="1345" spans="1:6">
      <c r="A1345" s="6">
        <v>44135</v>
      </c>
      <c r="B1345" s="98"/>
      <c r="C1345" s="98" t="s">
        <v>260</v>
      </c>
      <c r="D1345" s="98" t="s">
        <v>297</v>
      </c>
      <c r="E1345" s="98" t="s">
        <v>258</v>
      </c>
      <c r="F1345" s="98">
        <v>3840.4</v>
      </c>
    </row>
    <row r="1346" spans="1:6">
      <c r="A1346" s="6">
        <v>44135</v>
      </c>
      <c r="B1346" s="98"/>
      <c r="C1346" s="98" t="s">
        <v>274</v>
      </c>
      <c r="D1346" s="98" t="s">
        <v>297</v>
      </c>
      <c r="E1346" s="98" t="s">
        <v>247</v>
      </c>
      <c r="F1346" s="98">
        <v>4266.57</v>
      </c>
    </row>
    <row r="1347" spans="1:6">
      <c r="A1347" s="6">
        <v>44135</v>
      </c>
      <c r="B1347" s="98" t="s">
        <v>300</v>
      </c>
      <c r="C1347" s="98" t="s">
        <v>301</v>
      </c>
      <c r="D1347" s="98" t="s">
        <v>302</v>
      </c>
      <c r="E1347" s="98" t="s">
        <v>247</v>
      </c>
      <c r="F1347" s="98">
        <v>16455.43</v>
      </c>
    </row>
    <row r="1348" spans="1:6">
      <c r="A1348" s="6">
        <v>44135</v>
      </c>
      <c r="B1348" s="98"/>
      <c r="C1348" s="98" t="s">
        <v>303</v>
      </c>
      <c r="D1348" s="98" t="s">
        <v>302</v>
      </c>
      <c r="E1348" s="98" t="s">
        <v>247</v>
      </c>
      <c r="F1348" s="98">
        <v>4388.12</v>
      </c>
    </row>
    <row r="1349" spans="1:6">
      <c r="A1349" s="6">
        <v>44135</v>
      </c>
      <c r="B1349" s="98" t="s">
        <v>304</v>
      </c>
      <c r="C1349" s="98" t="s">
        <v>262</v>
      </c>
      <c r="D1349" s="98" t="s">
        <v>305</v>
      </c>
      <c r="E1349" s="98" t="s">
        <v>244</v>
      </c>
      <c r="F1349" s="98">
        <v>340.86</v>
      </c>
    </row>
    <row r="1350" spans="1:6">
      <c r="A1350" s="6">
        <v>44135</v>
      </c>
      <c r="B1350" s="98"/>
      <c r="C1350" s="98" t="s">
        <v>245</v>
      </c>
      <c r="D1350" s="98" t="s">
        <v>305</v>
      </c>
      <c r="E1350" s="98" t="s">
        <v>244</v>
      </c>
      <c r="F1350" s="98">
        <v>147.47999999999999</v>
      </c>
    </row>
    <row r="1351" spans="1:6">
      <c r="A1351" s="6">
        <v>44135</v>
      </c>
      <c r="B1351" s="98" t="s">
        <v>306</v>
      </c>
      <c r="C1351" s="98" t="s">
        <v>242</v>
      </c>
      <c r="D1351" s="98" t="s">
        <v>307</v>
      </c>
      <c r="E1351" s="98" t="s">
        <v>244</v>
      </c>
      <c r="F1351" s="98">
        <v>21.33</v>
      </c>
    </row>
    <row r="1352" spans="1:6">
      <c r="A1352" s="6">
        <v>44135</v>
      </c>
      <c r="B1352" s="98"/>
      <c r="C1352" s="98" t="s">
        <v>262</v>
      </c>
      <c r="D1352" s="98" t="s">
        <v>307</v>
      </c>
      <c r="E1352" s="98" t="s">
        <v>244</v>
      </c>
      <c r="F1352" s="98">
        <v>110.11</v>
      </c>
    </row>
    <row r="1353" spans="1:6">
      <c r="A1353" s="6">
        <v>44135</v>
      </c>
      <c r="B1353" s="98"/>
      <c r="C1353" s="98" t="s">
        <v>245</v>
      </c>
      <c r="D1353" s="98" t="s">
        <v>307</v>
      </c>
      <c r="E1353" s="98" t="s">
        <v>244</v>
      </c>
      <c r="F1353" s="98">
        <v>20.64</v>
      </c>
    </row>
    <row r="1354" spans="1:6">
      <c r="A1354" s="6">
        <v>44135</v>
      </c>
      <c r="B1354" s="98"/>
      <c r="C1354" s="98" t="s">
        <v>264</v>
      </c>
      <c r="D1354" s="98" t="s">
        <v>307</v>
      </c>
      <c r="E1354" s="98" t="s">
        <v>244</v>
      </c>
      <c r="F1354" s="98">
        <v>9.65</v>
      </c>
    </row>
    <row r="1355" spans="1:6">
      <c r="A1355" s="6">
        <v>44135</v>
      </c>
      <c r="B1355" s="98" t="s">
        <v>308</v>
      </c>
      <c r="C1355" s="98" t="s">
        <v>262</v>
      </c>
      <c r="D1355" s="98" t="s">
        <v>309</v>
      </c>
      <c r="E1355" s="98" t="s">
        <v>244</v>
      </c>
      <c r="F1355" s="98">
        <v>399.09</v>
      </c>
    </row>
    <row r="1356" spans="1:6">
      <c r="A1356" s="6">
        <v>44135</v>
      </c>
      <c r="B1356" s="98"/>
      <c r="C1356" s="98" t="s">
        <v>245</v>
      </c>
      <c r="D1356" s="98" t="s">
        <v>309</v>
      </c>
      <c r="E1356" s="98" t="s">
        <v>244</v>
      </c>
      <c r="F1356" s="98">
        <v>69.849999999999994</v>
      </c>
    </row>
    <row r="1357" spans="1:6">
      <c r="A1357" s="6">
        <v>44135</v>
      </c>
      <c r="B1357" s="98"/>
      <c r="C1357" s="98" t="s">
        <v>264</v>
      </c>
      <c r="D1357" s="98" t="s">
        <v>309</v>
      </c>
      <c r="E1357" s="98" t="s">
        <v>244</v>
      </c>
      <c r="F1357" s="98">
        <v>17.96</v>
      </c>
    </row>
    <row r="1358" spans="1:6">
      <c r="A1358" s="6">
        <v>44135</v>
      </c>
      <c r="B1358" s="98"/>
      <c r="C1358" s="98" t="s">
        <v>254</v>
      </c>
      <c r="D1358" s="98" t="s">
        <v>309</v>
      </c>
      <c r="E1358" s="98" t="s">
        <v>244</v>
      </c>
      <c r="F1358" s="98">
        <v>19.7</v>
      </c>
    </row>
    <row r="1359" spans="1:6">
      <c r="A1359" s="6">
        <v>44135</v>
      </c>
      <c r="B1359" s="98"/>
      <c r="C1359" s="98" t="s">
        <v>272</v>
      </c>
      <c r="D1359" s="98" t="s">
        <v>309</v>
      </c>
      <c r="E1359" s="98" t="s">
        <v>247</v>
      </c>
      <c r="F1359" s="98">
        <v>164.31</v>
      </c>
    </row>
    <row r="1360" spans="1:6">
      <c r="A1360" s="6">
        <v>44135</v>
      </c>
      <c r="B1360" s="98" t="s">
        <v>310</v>
      </c>
      <c r="C1360" s="98" t="s">
        <v>262</v>
      </c>
      <c r="D1360" s="98" t="s">
        <v>311</v>
      </c>
      <c r="E1360" s="98" t="s">
        <v>244</v>
      </c>
      <c r="F1360" s="98">
        <v>61.78</v>
      </c>
    </row>
    <row r="1361" spans="1:6">
      <c r="A1361" s="6">
        <v>44135</v>
      </c>
      <c r="B1361" s="98"/>
      <c r="C1361" s="98" t="s">
        <v>251</v>
      </c>
      <c r="D1361" s="98" t="s">
        <v>311</v>
      </c>
      <c r="E1361" s="98" t="s">
        <v>244</v>
      </c>
      <c r="F1361" s="98">
        <v>4.13</v>
      </c>
    </row>
    <row r="1362" spans="1:6">
      <c r="A1362" s="6">
        <v>44135</v>
      </c>
      <c r="B1362" s="98"/>
      <c r="C1362" s="98" t="s">
        <v>245</v>
      </c>
      <c r="D1362" s="98" t="s">
        <v>311</v>
      </c>
      <c r="E1362" s="98" t="s">
        <v>244</v>
      </c>
      <c r="F1362" s="98">
        <v>421.02</v>
      </c>
    </row>
    <row r="1363" spans="1:6">
      <c r="A1363" s="6">
        <v>44135</v>
      </c>
      <c r="B1363" s="98"/>
      <c r="C1363" s="98" t="s">
        <v>271</v>
      </c>
      <c r="D1363" s="98" t="s">
        <v>311</v>
      </c>
      <c r="E1363" s="98" t="s">
        <v>244</v>
      </c>
      <c r="F1363" s="98">
        <v>9.31</v>
      </c>
    </row>
    <row r="1364" spans="1:6">
      <c r="A1364" s="6">
        <v>44135</v>
      </c>
      <c r="B1364" s="98"/>
      <c r="C1364" s="98" t="s">
        <v>254</v>
      </c>
      <c r="D1364" s="98" t="s">
        <v>311</v>
      </c>
      <c r="E1364" s="98" t="s">
        <v>244</v>
      </c>
      <c r="F1364" s="98">
        <v>45.24</v>
      </c>
    </row>
    <row r="1365" spans="1:6">
      <c r="A1365" s="6">
        <v>44135</v>
      </c>
      <c r="B1365" s="98"/>
      <c r="C1365" s="98" t="s">
        <v>277</v>
      </c>
      <c r="D1365" s="98" t="s">
        <v>311</v>
      </c>
      <c r="E1365" s="98" t="s">
        <v>247</v>
      </c>
      <c r="F1365" s="98">
        <v>3641.03</v>
      </c>
    </row>
    <row r="1366" spans="1:6">
      <c r="A1366" s="6">
        <v>44135</v>
      </c>
      <c r="B1366" s="98"/>
      <c r="C1366" s="98" t="s">
        <v>248</v>
      </c>
      <c r="D1366" s="98" t="s">
        <v>311</v>
      </c>
      <c r="E1366" s="98" t="s">
        <v>247</v>
      </c>
      <c r="F1366" s="98">
        <v>3025.33</v>
      </c>
    </row>
    <row r="1367" spans="1:6">
      <c r="A1367" s="6">
        <v>44135</v>
      </c>
      <c r="B1367" s="98"/>
      <c r="C1367" s="98" t="s">
        <v>265</v>
      </c>
      <c r="D1367" s="98" t="s">
        <v>311</v>
      </c>
      <c r="E1367" s="98" t="s">
        <v>247</v>
      </c>
      <c r="F1367" s="98">
        <v>351.79</v>
      </c>
    </row>
    <row r="1368" spans="1:6">
      <c r="A1368" s="6">
        <v>44135</v>
      </c>
      <c r="B1368" s="98"/>
      <c r="C1368" s="98" t="s">
        <v>266</v>
      </c>
      <c r="D1368" s="98" t="s">
        <v>311</v>
      </c>
      <c r="E1368" s="98" t="s">
        <v>258</v>
      </c>
      <c r="F1368" s="98">
        <v>17674.38</v>
      </c>
    </row>
    <row r="1369" spans="1:6">
      <c r="A1369" s="6">
        <v>44135</v>
      </c>
      <c r="B1369" s="98" t="s">
        <v>312</v>
      </c>
      <c r="C1369" s="98" t="s">
        <v>242</v>
      </c>
      <c r="D1369" s="98" t="s">
        <v>313</v>
      </c>
      <c r="E1369" s="98" t="s">
        <v>244</v>
      </c>
      <c r="F1369" s="98">
        <v>198.22</v>
      </c>
    </row>
    <row r="1370" spans="1:6">
      <c r="A1370" s="6">
        <v>44135</v>
      </c>
      <c r="B1370" s="98"/>
      <c r="C1370" s="98" t="s">
        <v>262</v>
      </c>
      <c r="D1370" s="98" t="s">
        <v>313</v>
      </c>
      <c r="E1370" s="98" t="s">
        <v>244</v>
      </c>
      <c r="F1370" s="98">
        <v>26966.42</v>
      </c>
    </row>
    <row r="1371" spans="1:6">
      <c r="A1371" s="6">
        <v>44135</v>
      </c>
      <c r="B1371" s="98"/>
      <c r="C1371" s="98" t="s">
        <v>253</v>
      </c>
      <c r="D1371" s="98" t="s">
        <v>313</v>
      </c>
      <c r="E1371" s="98" t="s">
        <v>244</v>
      </c>
      <c r="F1371" s="98">
        <v>43.06</v>
      </c>
    </row>
    <row r="1372" spans="1:6">
      <c r="A1372" s="6">
        <v>44135</v>
      </c>
      <c r="B1372" s="98"/>
      <c r="C1372" s="98" t="s">
        <v>245</v>
      </c>
      <c r="D1372" s="98" t="s">
        <v>313</v>
      </c>
      <c r="E1372" s="98" t="s">
        <v>244</v>
      </c>
      <c r="F1372" s="98">
        <v>113.18</v>
      </c>
    </row>
    <row r="1373" spans="1:6">
      <c r="A1373" s="6">
        <v>44135</v>
      </c>
      <c r="B1373" s="98"/>
      <c r="C1373" s="98" t="s">
        <v>248</v>
      </c>
      <c r="D1373" s="98" t="s">
        <v>313</v>
      </c>
      <c r="E1373" s="98" t="s">
        <v>247</v>
      </c>
      <c r="F1373" s="98">
        <v>3308.29</v>
      </c>
    </row>
    <row r="1374" spans="1:6">
      <c r="A1374" s="6">
        <v>44135</v>
      </c>
      <c r="B1374" s="98" t="s">
        <v>314</v>
      </c>
      <c r="C1374" s="98" t="s">
        <v>242</v>
      </c>
      <c r="D1374" s="98" t="s">
        <v>315</v>
      </c>
      <c r="E1374" s="98" t="s">
        <v>244</v>
      </c>
      <c r="F1374" s="98">
        <v>3761.6</v>
      </c>
    </row>
    <row r="1375" spans="1:6">
      <c r="A1375" s="6">
        <v>44135</v>
      </c>
      <c r="B1375" s="98"/>
      <c r="C1375" s="98" t="s">
        <v>262</v>
      </c>
      <c r="D1375" s="98" t="s">
        <v>315</v>
      </c>
      <c r="E1375" s="98" t="s">
        <v>244</v>
      </c>
      <c r="F1375" s="98">
        <v>5115.8100000000004</v>
      </c>
    </row>
    <row r="1376" spans="1:6">
      <c r="A1376" s="6">
        <v>44135</v>
      </c>
      <c r="B1376" s="98"/>
      <c r="C1376" s="98" t="s">
        <v>245</v>
      </c>
      <c r="D1376" s="98" t="s">
        <v>315</v>
      </c>
      <c r="E1376" s="98" t="s">
        <v>244</v>
      </c>
      <c r="F1376" s="98">
        <v>6.03</v>
      </c>
    </row>
    <row r="1377" spans="1:6">
      <c r="A1377" s="6">
        <v>44135</v>
      </c>
      <c r="B1377" s="98"/>
      <c r="C1377" s="98" t="s">
        <v>289</v>
      </c>
      <c r="D1377" s="98" t="s">
        <v>315</v>
      </c>
      <c r="E1377" s="98" t="s">
        <v>247</v>
      </c>
      <c r="F1377" s="98">
        <v>2792.28</v>
      </c>
    </row>
    <row r="1378" spans="1:6">
      <c r="A1378" s="6">
        <v>44135</v>
      </c>
      <c r="B1378" s="98"/>
      <c r="C1378" s="98" t="s">
        <v>248</v>
      </c>
      <c r="D1378" s="98" t="s">
        <v>315</v>
      </c>
      <c r="E1378" s="98" t="s">
        <v>247</v>
      </c>
      <c r="F1378" s="98">
        <v>3448.48</v>
      </c>
    </row>
    <row r="1379" spans="1:6">
      <c r="A1379" s="6">
        <v>44135</v>
      </c>
      <c r="B1379" s="98" t="s">
        <v>316</v>
      </c>
      <c r="C1379" s="98" t="s">
        <v>262</v>
      </c>
      <c r="D1379" s="98" t="s">
        <v>317</v>
      </c>
      <c r="E1379" s="98" t="s">
        <v>244</v>
      </c>
      <c r="F1379" s="98">
        <v>437.86</v>
      </c>
    </row>
    <row r="1380" spans="1:6">
      <c r="A1380" s="6">
        <v>44135</v>
      </c>
      <c r="B1380" s="98"/>
      <c r="C1380" s="98" t="s">
        <v>245</v>
      </c>
      <c r="D1380" s="98" t="s">
        <v>317</v>
      </c>
      <c r="E1380" s="98" t="s">
        <v>244</v>
      </c>
      <c r="F1380" s="98">
        <v>131.56</v>
      </c>
    </row>
    <row r="1381" spans="1:6">
      <c r="A1381" s="6">
        <v>44135</v>
      </c>
      <c r="B1381" s="98"/>
      <c r="C1381" s="98" t="s">
        <v>254</v>
      </c>
      <c r="D1381" s="98" t="s">
        <v>317</v>
      </c>
      <c r="E1381" s="98" t="s">
        <v>244</v>
      </c>
      <c r="F1381" s="98">
        <v>46.09</v>
      </c>
    </row>
    <row r="1382" spans="1:6">
      <c r="A1382" s="6">
        <v>44135</v>
      </c>
      <c r="B1382" s="98" t="s">
        <v>318</v>
      </c>
      <c r="C1382" s="98" t="s">
        <v>262</v>
      </c>
      <c r="D1382" s="98" t="s">
        <v>319</v>
      </c>
      <c r="E1382" s="98" t="s">
        <v>244</v>
      </c>
      <c r="F1382" s="98">
        <v>2687.77</v>
      </c>
    </row>
    <row r="1383" spans="1:6">
      <c r="A1383" s="6">
        <v>44135</v>
      </c>
      <c r="B1383" s="98"/>
      <c r="C1383" s="98" t="s">
        <v>251</v>
      </c>
      <c r="D1383" s="98" t="s">
        <v>319</v>
      </c>
      <c r="E1383" s="98" t="s">
        <v>244</v>
      </c>
      <c r="F1383" s="98">
        <v>4.04</v>
      </c>
    </row>
    <row r="1384" spans="1:6">
      <c r="A1384" s="6">
        <v>44135</v>
      </c>
      <c r="B1384" s="98"/>
      <c r="C1384" s="98" t="s">
        <v>253</v>
      </c>
      <c r="D1384" s="98" t="s">
        <v>319</v>
      </c>
      <c r="E1384" s="98" t="s">
        <v>244</v>
      </c>
      <c r="F1384" s="98">
        <v>32.82</v>
      </c>
    </row>
    <row r="1385" spans="1:6">
      <c r="A1385" s="6">
        <v>44135</v>
      </c>
      <c r="B1385" s="98"/>
      <c r="C1385" s="98" t="s">
        <v>245</v>
      </c>
      <c r="D1385" s="98" t="s">
        <v>319</v>
      </c>
      <c r="E1385" s="98" t="s">
        <v>244</v>
      </c>
      <c r="F1385" s="98">
        <v>259.32</v>
      </c>
    </row>
    <row r="1386" spans="1:6">
      <c r="A1386" s="6">
        <v>44135</v>
      </c>
      <c r="B1386" s="98"/>
      <c r="C1386" s="98" t="s">
        <v>264</v>
      </c>
      <c r="D1386" s="98" t="s">
        <v>319</v>
      </c>
      <c r="E1386" s="98" t="s">
        <v>244</v>
      </c>
      <c r="F1386" s="98">
        <v>753.93</v>
      </c>
    </row>
    <row r="1387" spans="1:6">
      <c r="A1387" s="6">
        <v>44135</v>
      </c>
      <c r="B1387" s="98"/>
      <c r="C1387" s="98" t="s">
        <v>271</v>
      </c>
      <c r="D1387" s="98" t="s">
        <v>319</v>
      </c>
      <c r="E1387" s="98" t="s">
        <v>244</v>
      </c>
      <c r="F1387" s="98">
        <v>20.39</v>
      </c>
    </row>
    <row r="1388" spans="1:6">
      <c r="A1388" s="6">
        <v>44135</v>
      </c>
      <c r="B1388" s="98"/>
      <c r="C1388" s="98" t="s">
        <v>254</v>
      </c>
      <c r="D1388" s="98" t="s">
        <v>319</v>
      </c>
      <c r="E1388" s="98" t="s">
        <v>244</v>
      </c>
      <c r="F1388" s="98">
        <v>611.85</v>
      </c>
    </row>
    <row r="1389" spans="1:6">
      <c r="A1389" s="6">
        <v>44135</v>
      </c>
      <c r="B1389" s="98"/>
      <c r="C1389" s="98" t="s">
        <v>255</v>
      </c>
      <c r="D1389" s="98" t="s">
        <v>319</v>
      </c>
      <c r="E1389" s="98" t="s">
        <v>247</v>
      </c>
      <c r="F1389" s="98">
        <v>3430.32</v>
      </c>
    </row>
    <row r="1390" spans="1:6">
      <c r="A1390" s="6">
        <v>44135</v>
      </c>
      <c r="B1390" s="98"/>
      <c r="C1390" s="98" t="s">
        <v>278</v>
      </c>
      <c r="D1390" s="98" t="s">
        <v>319</v>
      </c>
      <c r="E1390" s="98" t="s">
        <v>247</v>
      </c>
      <c r="F1390" s="98">
        <v>11261.41</v>
      </c>
    </row>
    <row r="1391" spans="1:6">
      <c r="A1391" s="6">
        <v>44135</v>
      </c>
      <c r="B1391" s="98"/>
      <c r="C1391" s="98" t="s">
        <v>272</v>
      </c>
      <c r="D1391" s="98" t="s">
        <v>319</v>
      </c>
      <c r="E1391" s="98" t="s">
        <v>247</v>
      </c>
      <c r="F1391" s="98">
        <v>2824.01</v>
      </c>
    </row>
    <row r="1392" spans="1:6">
      <c r="A1392" s="6">
        <v>44135</v>
      </c>
      <c r="B1392" s="98"/>
      <c r="C1392" s="98" t="s">
        <v>246</v>
      </c>
      <c r="D1392" s="98" t="s">
        <v>319</v>
      </c>
      <c r="E1392" s="98" t="s">
        <v>247</v>
      </c>
      <c r="F1392" s="98">
        <v>4930.41</v>
      </c>
    </row>
    <row r="1393" spans="1:6">
      <c r="A1393" s="6">
        <v>44135</v>
      </c>
      <c r="B1393" s="98"/>
      <c r="C1393" s="98" t="s">
        <v>249</v>
      </c>
      <c r="D1393" s="98" t="s">
        <v>319</v>
      </c>
      <c r="E1393" s="98" t="s">
        <v>247</v>
      </c>
      <c r="F1393" s="98">
        <v>267.68</v>
      </c>
    </row>
    <row r="1394" spans="1:6">
      <c r="A1394" s="6">
        <v>44135</v>
      </c>
      <c r="B1394" s="98" t="s">
        <v>320</v>
      </c>
      <c r="C1394" s="98" t="s">
        <v>242</v>
      </c>
      <c r="D1394" s="98" t="s">
        <v>321</v>
      </c>
      <c r="E1394" s="98" t="s">
        <v>244</v>
      </c>
      <c r="F1394" s="98">
        <v>2609.98</v>
      </c>
    </row>
    <row r="1395" spans="1:6">
      <c r="A1395" s="6">
        <v>44135</v>
      </c>
      <c r="B1395" s="98"/>
      <c r="C1395" s="98" t="s">
        <v>262</v>
      </c>
      <c r="D1395" s="98" t="s">
        <v>321</v>
      </c>
      <c r="E1395" s="98" t="s">
        <v>244</v>
      </c>
      <c r="F1395" s="98">
        <v>5210.55</v>
      </c>
    </row>
    <row r="1396" spans="1:6">
      <c r="A1396" s="6">
        <v>44135</v>
      </c>
      <c r="B1396" s="98"/>
      <c r="C1396" s="98" t="s">
        <v>253</v>
      </c>
      <c r="D1396" s="98" t="s">
        <v>321</v>
      </c>
      <c r="E1396" s="98" t="s">
        <v>244</v>
      </c>
      <c r="F1396" s="98">
        <v>57.59</v>
      </c>
    </row>
    <row r="1397" spans="1:6">
      <c r="A1397" s="6">
        <v>44135</v>
      </c>
      <c r="B1397" s="98"/>
      <c r="C1397" s="98" t="s">
        <v>245</v>
      </c>
      <c r="D1397" s="98" t="s">
        <v>321</v>
      </c>
      <c r="E1397" s="98" t="s">
        <v>244</v>
      </c>
      <c r="F1397" s="98">
        <v>603.15</v>
      </c>
    </row>
    <row r="1398" spans="1:6">
      <c r="A1398" s="6">
        <v>44135</v>
      </c>
      <c r="B1398" s="98"/>
      <c r="C1398" s="98" t="s">
        <v>264</v>
      </c>
      <c r="D1398" s="98" t="s">
        <v>321</v>
      </c>
      <c r="E1398" s="98" t="s">
        <v>244</v>
      </c>
      <c r="F1398" s="98">
        <v>1978.28</v>
      </c>
    </row>
    <row r="1399" spans="1:6">
      <c r="A1399" s="6">
        <v>44135</v>
      </c>
      <c r="B1399" s="98"/>
      <c r="C1399" s="98" t="s">
        <v>271</v>
      </c>
      <c r="D1399" s="98" t="s">
        <v>321</v>
      </c>
      <c r="E1399" s="98" t="s">
        <v>244</v>
      </c>
      <c r="F1399" s="98">
        <v>11.06</v>
      </c>
    </row>
    <row r="1400" spans="1:6">
      <c r="A1400" s="6">
        <v>44135</v>
      </c>
      <c r="B1400" s="98"/>
      <c r="C1400" s="98" t="s">
        <v>254</v>
      </c>
      <c r="D1400" s="98" t="s">
        <v>321</v>
      </c>
      <c r="E1400" s="98" t="s">
        <v>244</v>
      </c>
      <c r="F1400" s="98">
        <v>230.79</v>
      </c>
    </row>
    <row r="1401" spans="1:6">
      <c r="A1401" s="6">
        <v>44135</v>
      </c>
      <c r="B1401" s="98"/>
      <c r="C1401" s="98" t="s">
        <v>277</v>
      </c>
      <c r="D1401" s="98" t="s">
        <v>321</v>
      </c>
      <c r="E1401" s="98" t="s">
        <v>247</v>
      </c>
      <c r="F1401" s="98">
        <v>15714.99</v>
      </c>
    </row>
    <row r="1402" spans="1:6">
      <c r="A1402" s="6">
        <v>44135</v>
      </c>
      <c r="B1402" s="98"/>
      <c r="C1402" s="98" t="s">
        <v>255</v>
      </c>
      <c r="D1402" s="98" t="s">
        <v>321</v>
      </c>
      <c r="E1402" s="98" t="s">
        <v>247</v>
      </c>
      <c r="F1402" s="98">
        <v>3098.01</v>
      </c>
    </row>
    <row r="1403" spans="1:6">
      <c r="A1403" s="6">
        <v>44135</v>
      </c>
      <c r="B1403" s="98"/>
      <c r="C1403" s="98" t="s">
        <v>278</v>
      </c>
      <c r="D1403" s="98" t="s">
        <v>321</v>
      </c>
      <c r="E1403" s="98" t="s">
        <v>247</v>
      </c>
      <c r="F1403" s="98">
        <v>2839.38</v>
      </c>
    </row>
    <row r="1404" spans="1:6">
      <c r="A1404" s="6">
        <v>44135</v>
      </c>
      <c r="B1404" s="98"/>
      <c r="C1404" s="98" t="s">
        <v>272</v>
      </c>
      <c r="D1404" s="98" t="s">
        <v>321</v>
      </c>
      <c r="E1404" s="98" t="s">
        <v>247</v>
      </c>
      <c r="F1404" s="98">
        <v>2409.3200000000002</v>
      </c>
    </row>
    <row r="1405" spans="1:6">
      <c r="A1405" s="6">
        <v>44135</v>
      </c>
      <c r="B1405" s="98"/>
      <c r="C1405" s="98" t="s">
        <v>256</v>
      </c>
      <c r="D1405" s="98" t="s">
        <v>321</v>
      </c>
      <c r="E1405" s="98" t="s">
        <v>247</v>
      </c>
      <c r="F1405" s="98">
        <v>9310.61</v>
      </c>
    </row>
    <row r="1406" spans="1:6">
      <c r="A1406" s="6">
        <v>44135</v>
      </c>
      <c r="B1406" s="98"/>
      <c r="C1406" s="98" t="s">
        <v>265</v>
      </c>
      <c r="D1406" s="98" t="s">
        <v>321</v>
      </c>
      <c r="E1406" s="98" t="s">
        <v>247</v>
      </c>
      <c r="F1406" s="98">
        <v>478.21</v>
      </c>
    </row>
    <row r="1407" spans="1:6">
      <c r="A1407" s="6">
        <v>44135</v>
      </c>
      <c r="B1407" s="98"/>
      <c r="C1407" s="98" t="s">
        <v>249</v>
      </c>
      <c r="D1407" s="98" t="s">
        <v>321</v>
      </c>
      <c r="E1407" s="98" t="s">
        <v>247</v>
      </c>
      <c r="F1407" s="98">
        <v>260.77</v>
      </c>
    </row>
    <row r="1408" spans="1:6">
      <c r="A1408" s="6">
        <v>44135</v>
      </c>
      <c r="B1408" s="98"/>
      <c r="C1408" s="98" t="s">
        <v>274</v>
      </c>
      <c r="D1408" s="98" t="s">
        <v>321</v>
      </c>
      <c r="E1408" s="98" t="s">
        <v>247</v>
      </c>
      <c r="F1408" s="98">
        <v>21604.79</v>
      </c>
    </row>
    <row r="1409" spans="1:6">
      <c r="A1409" s="6">
        <v>44135</v>
      </c>
      <c r="B1409" s="98" t="s">
        <v>322</v>
      </c>
      <c r="C1409" s="98" t="s">
        <v>253</v>
      </c>
      <c r="D1409" s="98" t="s">
        <v>323</v>
      </c>
      <c r="E1409" s="98" t="s">
        <v>244</v>
      </c>
      <c r="F1409" s="98">
        <v>49.95</v>
      </c>
    </row>
    <row r="1410" spans="1:6">
      <c r="A1410" s="6">
        <v>44135</v>
      </c>
      <c r="B1410" s="98"/>
      <c r="C1410" s="98" t="s">
        <v>245</v>
      </c>
      <c r="D1410" s="98" t="s">
        <v>323</v>
      </c>
      <c r="E1410" s="98" t="s">
        <v>244</v>
      </c>
      <c r="F1410" s="98">
        <v>1371.23</v>
      </c>
    </row>
    <row r="1411" spans="1:6">
      <c r="A1411" s="6">
        <v>44135</v>
      </c>
      <c r="B1411" s="98"/>
      <c r="C1411" s="98" t="s">
        <v>255</v>
      </c>
      <c r="D1411" s="98" t="s">
        <v>323</v>
      </c>
      <c r="E1411" s="98" t="s">
        <v>247</v>
      </c>
      <c r="F1411" s="98">
        <v>7381.81</v>
      </c>
    </row>
    <row r="1412" spans="1:6">
      <c r="A1412" s="6">
        <v>44135</v>
      </c>
      <c r="B1412" s="98"/>
      <c r="C1412" s="98" t="s">
        <v>289</v>
      </c>
      <c r="D1412" s="98" t="s">
        <v>323</v>
      </c>
      <c r="E1412" s="98" t="s">
        <v>247</v>
      </c>
      <c r="F1412" s="98">
        <v>4108.8599999999997</v>
      </c>
    </row>
    <row r="1413" spans="1:6">
      <c r="A1413" s="6">
        <v>44135</v>
      </c>
      <c r="B1413" s="98"/>
      <c r="C1413" s="98" t="s">
        <v>265</v>
      </c>
      <c r="D1413" s="98" t="s">
        <v>323</v>
      </c>
      <c r="E1413" s="98" t="s">
        <v>247</v>
      </c>
      <c r="F1413" s="98">
        <v>479.69</v>
      </c>
    </row>
    <row r="1414" spans="1:6">
      <c r="A1414" s="6">
        <v>44135</v>
      </c>
      <c r="B1414" s="98" t="s">
        <v>324</v>
      </c>
      <c r="C1414" s="98" t="s">
        <v>251</v>
      </c>
      <c r="D1414" s="98" t="s">
        <v>325</v>
      </c>
      <c r="E1414" s="98" t="s">
        <v>244</v>
      </c>
      <c r="F1414" s="98">
        <v>332.53</v>
      </c>
    </row>
    <row r="1415" spans="1:6">
      <c r="A1415" s="6">
        <v>44135</v>
      </c>
      <c r="B1415" s="98"/>
      <c r="C1415" s="98" t="s">
        <v>257</v>
      </c>
      <c r="D1415" s="98" t="s">
        <v>325</v>
      </c>
      <c r="E1415" s="98" t="s">
        <v>258</v>
      </c>
      <c r="F1415" s="98">
        <v>48689.440000000002</v>
      </c>
    </row>
    <row r="1416" spans="1:6">
      <c r="A1416" s="6">
        <v>44135</v>
      </c>
      <c r="B1416" s="98"/>
      <c r="C1416" s="98" t="s">
        <v>266</v>
      </c>
      <c r="D1416" s="98" t="s">
        <v>325</v>
      </c>
      <c r="E1416" s="98" t="s">
        <v>258</v>
      </c>
      <c r="F1416" s="98">
        <v>18901.41</v>
      </c>
    </row>
    <row r="1417" spans="1:6">
      <c r="A1417" s="6">
        <v>44135</v>
      </c>
      <c r="B1417" s="98"/>
      <c r="C1417" s="98" t="s">
        <v>259</v>
      </c>
      <c r="D1417" s="98" t="s">
        <v>325</v>
      </c>
      <c r="E1417" s="98" t="s">
        <v>258</v>
      </c>
      <c r="F1417" s="98">
        <v>41095.54</v>
      </c>
    </row>
    <row r="1418" spans="1:6">
      <c r="A1418" s="6">
        <v>44135</v>
      </c>
      <c r="B1418" s="98"/>
      <c r="C1418" s="98" t="s">
        <v>260</v>
      </c>
      <c r="D1418" s="98" t="s">
        <v>325</v>
      </c>
      <c r="E1418" s="98" t="s">
        <v>258</v>
      </c>
      <c r="F1418" s="98">
        <v>18796.509999999998</v>
      </c>
    </row>
    <row r="1419" spans="1:6">
      <c r="A1419" s="6">
        <v>44135</v>
      </c>
      <c r="B1419" s="98" t="s">
        <v>326</v>
      </c>
      <c r="C1419" s="98" t="s">
        <v>242</v>
      </c>
      <c r="D1419" s="98" t="s">
        <v>327</v>
      </c>
      <c r="E1419" s="98" t="s">
        <v>244</v>
      </c>
      <c r="F1419" s="98">
        <v>1306.78</v>
      </c>
    </row>
    <row r="1420" spans="1:6">
      <c r="A1420" s="6">
        <v>44135</v>
      </c>
      <c r="B1420" s="98"/>
      <c r="C1420" s="98" t="s">
        <v>262</v>
      </c>
      <c r="D1420" s="98" t="s">
        <v>327</v>
      </c>
      <c r="E1420" s="98" t="s">
        <v>244</v>
      </c>
      <c r="F1420" s="98">
        <v>5791.96</v>
      </c>
    </row>
    <row r="1421" spans="1:6">
      <c r="A1421" s="6">
        <v>44135</v>
      </c>
      <c r="B1421" s="98"/>
      <c r="C1421" s="98" t="s">
        <v>251</v>
      </c>
      <c r="D1421" s="98" t="s">
        <v>327</v>
      </c>
      <c r="E1421" s="98" t="s">
        <v>244</v>
      </c>
      <c r="F1421" s="98">
        <v>2.78</v>
      </c>
    </row>
    <row r="1422" spans="1:6">
      <c r="A1422" s="6">
        <v>44135</v>
      </c>
      <c r="B1422" s="98"/>
      <c r="C1422" s="98" t="s">
        <v>245</v>
      </c>
      <c r="D1422" s="98" t="s">
        <v>327</v>
      </c>
      <c r="E1422" s="98" t="s">
        <v>244</v>
      </c>
      <c r="F1422" s="98">
        <v>382.31</v>
      </c>
    </row>
    <row r="1423" spans="1:6">
      <c r="A1423" s="6">
        <v>44135</v>
      </c>
      <c r="B1423" s="98"/>
      <c r="C1423" s="98" t="s">
        <v>264</v>
      </c>
      <c r="D1423" s="98" t="s">
        <v>327</v>
      </c>
      <c r="E1423" s="98" t="s">
        <v>244</v>
      </c>
      <c r="F1423" s="98">
        <v>334.33</v>
      </c>
    </row>
    <row r="1424" spans="1:6">
      <c r="A1424" s="6">
        <v>44135</v>
      </c>
      <c r="B1424" s="98"/>
      <c r="C1424" s="98" t="s">
        <v>271</v>
      </c>
      <c r="D1424" s="98" t="s">
        <v>327</v>
      </c>
      <c r="E1424" s="98" t="s">
        <v>244</v>
      </c>
      <c r="F1424" s="98">
        <v>17.47</v>
      </c>
    </row>
    <row r="1425" spans="1:6">
      <c r="A1425" s="6">
        <v>44135</v>
      </c>
      <c r="B1425" s="98"/>
      <c r="C1425" s="98" t="s">
        <v>278</v>
      </c>
      <c r="D1425" s="98" t="s">
        <v>327</v>
      </c>
      <c r="E1425" s="98" t="s">
        <v>247</v>
      </c>
      <c r="F1425" s="98">
        <v>2568.79</v>
      </c>
    </row>
    <row r="1426" spans="1:6">
      <c r="A1426" s="6">
        <v>44135</v>
      </c>
      <c r="B1426" s="98"/>
      <c r="C1426" s="98" t="s">
        <v>289</v>
      </c>
      <c r="D1426" s="98" t="s">
        <v>327</v>
      </c>
      <c r="E1426" s="98" t="s">
        <v>247</v>
      </c>
      <c r="F1426" s="98">
        <v>2288.85</v>
      </c>
    </row>
    <row r="1427" spans="1:6">
      <c r="A1427" s="6">
        <v>44135</v>
      </c>
      <c r="B1427" s="98"/>
      <c r="C1427" s="98" t="s">
        <v>248</v>
      </c>
      <c r="D1427" s="98" t="s">
        <v>327</v>
      </c>
      <c r="E1427" s="98" t="s">
        <v>247</v>
      </c>
      <c r="F1427" s="98">
        <v>3658.86</v>
      </c>
    </row>
    <row r="1428" spans="1:6">
      <c r="A1428" s="6">
        <v>44135</v>
      </c>
      <c r="B1428" s="98"/>
      <c r="C1428" s="98" t="s">
        <v>368</v>
      </c>
      <c r="D1428" s="98" t="s">
        <v>327</v>
      </c>
      <c r="E1428" s="98" t="s">
        <v>247</v>
      </c>
      <c r="F1428" s="98">
        <v>5583.89</v>
      </c>
    </row>
    <row r="1429" spans="1:6">
      <c r="A1429" s="6">
        <v>44135</v>
      </c>
      <c r="B1429" s="98"/>
      <c r="C1429" s="98" t="s">
        <v>339</v>
      </c>
      <c r="D1429" s="98" t="s">
        <v>327</v>
      </c>
      <c r="E1429" s="98" t="s">
        <v>247</v>
      </c>
      <c r="F1429" s="98">
        <v>363</v>
      </c>
    </row>
    <row r="1430" spans="1:6">
      <c r="A1430" s="6">
        <v>44135</v>
      </c>
      <c r="B1430" s="98"/>
      <c r="C1430" s="98" t="s">
        <v>266</v>
      </c>
      <c r="D1430" s="98" t="s">
        <v>327</v>
      </c>
      <c r="E1430" s="98" t="s">
        <v>258</v>
      </c>
      <c r="F1430" s="98">
        <v>30221.74</v>
      </c>
    </row>
    <row r="1431" spans="1:6">
      <c r="A1431" s="6">
        <v>44135</v>
      </c>
      <c r="B1431" s="98"/>
      <c r="C1431" s="98" t="s">
        <v>274</v>
      </c>
      <c r="D1431" s="98" t="s">
        <v>327</v>
      </c>
      <c r="E1431" s="98" t="s">
        <v>247</v>
      </c>
      <c r="F1431" s="98">
        <v>5837.57</v>
      </c>
    </row>
    <row r="1432" spans="1:6">
      <c r="A1432" s="6">
        <v>44135</v>
      </c>
      <c r="B1432" s="98"/>
      <c r="C1432" s="98" t="s">
        <v>369</v>
      </c>
      <c r="D1432" s="98" t="s">
        <v>327</v>
      </c>
      <c r="E1432" s="98" t="s">
        <v>244</v>
      </c>
      <c r="F1432" s="98">
        <v>34.700000000000003</v>
      </c>
    </row>
    <row r="1433" spans="1:6">
      <c r="A1433" s="6">
        <v>44135</v>
      </c>
      <c r="B1433" s="98"/>
      <c r="C1433" s="98" t="s">
        <v>466</v>
      </c>
      <c r="D1433" s="98" t="s">
        <v>327</v>
      </c>
      <c r="E1433" s="98" t="s">
        <v>247</v>
      </c>
      <c r="F1433" s="98">
        <v>776.58</v>
      </c>
    </row>
    <row r="1434" spans="1:6">
      <c r="A1434" s="6">
        <v>44135</v>
      </c>
      <c r="B1434" s="98" t="s">
        <v>328</v>
      </c>
      <c r="C1434" s="98" t="s">
        <v>262</v>
      </c>
      <c r="D1434" s="98" t="s">
        <v>329</v>
      </c>
      <c r="E1434" s="98" t="s">
        <v>244</v>
      </c>
      <c r="F1434" s="98">
        <v>113.74</v>
      </c>
    </row>
    <row r="1435" spans="1:6">
      <c r="A1435" s="6">
        <v>44135</v>
      </c>
      <c r="B1435" s="98"/>
      <c r="C1435" s="98" t="s">
        <v>245</v>
      </c>
      <c r="D1435" s="98" t="s">
        <v>329</v>
      </c>
      <c r="E1435" s="98" t="s">
        <v>244</v>
      </c>
      <c r="F1435" s="98">
        <v>456.31</v>
      </c>
    </row>
    <row r="1436" spans="1:6">
      <c r="A1436" s="6">
        <v>44135</v>
      </c>
      <c r="B1436" s="98"/>
      <c r="C1436" s="98" t="s">
        <v>264</v>
      </c>
      <c r="D1436" s="98" t="s">
        <v>329</v>
      </c>
      <c r="E1436" s="98" t="s">
        <v>244</v>
      </c>
      <c r="F1436" s="98">
        <v>242.54</v>
      </c>
    </row>
    <row r="1437" spans="1:6">
      <c r="A1437" s="6">
        <v>44135</v>
      </c>
      <c r="B1437" s="98"/>
      <c r="C1437" s="98" t="s">
        <v>271</v>
      </c>
      <c r="D1437" s="98" t="s">
        <v>329</v>
      </c>
      <c r="E1437" s="98" t="s">
        <v>244</v>
      </c>
      <c r="F1437" s="98">
        <v>6.5</v>
      </c>
    </row>
    <row r="1438" spans="1:6">
      <c r="A1438" s="6">
        <v>44135</v>
      </c>
      <c r="B1438" s="98"/>
      <c r="C1438" s="98" t="s">
        <v>254</v>
      </c>
      <c r="D1438" s="98" t="s">
        <v>329</v>
      </c>
      <c r="E1438" s="98" t="s">
        <v>244</v>
      </c>
      <c r="F1438" s="98">
        <v>348.28</v>
      </c>
    </row>
    <row r="1439" spans="1:6">
      <c r="A1439" s="6">
        <v>44135</v>
      </c>
      <c r="B1439" s="98"/>
      <c r="C1439" s="98" t="s">
        <v>255</v>
      </c>
      <c r="D1439" s="98" t="s">
        <v>329</v>
      </c>
      <c r="E1439" s="98" t="s">
        <v>247</v>
      </c>
      <c r="F1439" s="98">
        <v>7251.81</v>
      </c>
    </row>
    <row r="1440" spans="1:6">
      <c r="A1440" s="6">
        <v>44135</v>
      </c>
      <c r="B1440" s="98"/>
      <c r="C1440" s="98" t="s">
        <v>289</v>
      </c>
      <c r="D1440" s="98" t="s">
        <v>329</v>
      </c>
      <c r="E1440" s="98" t="s">
        <v>247</v>
      </c>
      <c r="F1440" s="98">
        <v>8852.89</v>
      </c>
    </row>
    <row r="1441" spans="1:6">
      <c r="A1441" s="6">
        <v>44135</v>
      </c>
      <c r="B1441" s="98"/>
      <c r="C1441" s="98" t="s">
        <v>246</v>
      </c>
      <c r="D1441" s="98" t="s">
        <v>329</v>
      </c>
      <c r="E1441" s="98" t="s">
        <v>247</v>
      </c>
      <c r="F1441" s="98">
        <v>12680.31</v>
      </c>
    </row>
    <row r="1442" spans="1:6">
      <c r="A1442" s="6">
        <v>44135</v>
      </c>
      <c r="B1442" s="98"/>
      <c r="C1442" s="98" t="s">
        <v>265</v>
      </c>
      <c r="D1442" s="98" t="s">
        <v>329</v>
      </c>
      <c r="E1442" s="98" t="s">
        <v>247</v>
      </c>
      <c r="F1442" s="98">
        <v>1276.69</v>
      </c>
    </row>
    <row r="1443" spans="1:6">
      <c r="A1443" s="6">
        <v>44135</v>
      </c>
      <c r="B1443" s="98"/>
      <c r="C1443" s="98" t="s">
        <v>266</v>
      </c>
      <c r="D1443" s="98" t="s">
        <v>329</v>
      </c>
      <c r="E1443" s="98" t="s">
        <v>258</v>
      </c>
      <c r="F1443" s="98">
        <v>18130.75</v>
      </c>
    </row>
    <row r="1444" spans="1:6">
      <c r="A1444" s="6">
        <v>44135</v>
      </c>
      <c r="B1444" s="98"/>
      <c r="C1444" s="98" t="s">
        <v>249</v>
      </c>
      <c r="D1444" s="98" t="s">
        <v>329</v>
      </c>
      <c r="E1444" s="98" t="s">
        <v>247</v>
      </c>
      <c r="F1444" s="98">
        <v>240.44</v>
      </c>
    </row>
    <row r="1445" spans="1:6">
      <c r="A1445" s="6">
        <v>44135</v>
      </c>
      <c r="B1445" s="98"/>
      <c r="C1445" s="98" t="s">
        <v>274</v>
      </c>
      <c r="D1445" s="98" t="s">
        <v>329</v>
      </c>
      <c r="E1445" s="98" t="s">
        <v>247</v>
      </c>
      <c r="F1445" s="98">
        <v>12497.55</v>
      </c>
    </row>
    <row r="1446" spans="1:6">
      <c r="A1446" s="6">
        <v>44135</v>
      </c>
      <c r="B1446" s="98" t="s">
        <v>330</v>
      </c>
      <c r="C1446" s="98" t="s">
        <v>262</v>
      </c>
      <c r="D1446" s="98" t="s">
        <v>331</v>
      </c>
      <c r="E1446" s="98" t="s">
        <v>244</v>
      </c>
      <c r="F1446" s="98">
        <v>111.32</v>
      </c>
    </row>
    <row r="1447" spans="1:6">
      <c r="A1447" s="6">
        <v>44135</v>
      </c>
      <c r="B1447" s="98"/>
      <c r="C1447" s="98" t="s">
        <v>253</v>
      </c>
      <c r="D1447" s="98" t="s">
        <v>331</v>
      </c>
      <c r="E1447" s="98" t="s">
        <v>244</v>
      </c>
      <c r="F1447" s="98">
        <v>111.31</v>
      </c>
    </row>
    <row r="1448" spans="1:6">
      <c r="A1448" s="6">
        <v>44135</v>
      </c>
      <c r="B1448" s="98"/>
      <c r="C1448" s="98" t="s">
        <v>245</v>
      </c>
      <c r="D1448" s="98" t="s">
        <v>331</v>
      </c>
      <c r="E1448" s="98" t="s">
        <v>244</v>
      </c>
      <c r="F1448" s="98">
        <v>41.08</v>
      </c>
    </row>
    <row r="1449" spans="1:6">
      <c r="A1449" s="6">
        <v>44135</v>
      </c>
      <c r="B1449" s="98" t="s">
        <v>332</v>
      </c>
      <c r="C1449" s="98" t="s">
        <v>242</v>
      </c>
      <c r="D1449" s="98" t="s">
        <v>333</v>
      </c>
      <c r="E1449" s="98" t="s">
        <v>244</v>
      </c>
      <c r="F1449" s="98">
        <v>665.12</v>
      </c>
    </row>
    <row r="1450" spans="1:6">
      <c r="A1450" s="6">
        <v>44135</v>
      </c>
      <c r="B1450" s="98"/>
      <c r="C1450" s="98" t="s">
        <v>245</v>
      </c>
      <c r="D1450" s="98" t="s">
        <v>333</v>
      </c>
      <c r="E1450" s="98" t="s">
        <v>244</v>
      </c>
      <c r="F1450" s="98">
        <v>4.76</v>
      </c>
    </row>
    <row r="1451" spans="1:6">
      <c r="A1451" s="6">
        <v>44135</v>
      </c>
      <c r="B1451" s="98"/>
      <c r="C1451" s="98" t="s">
        <v>254</v>
      </c>
      <c r="D1451" s="98" t="s">
        <v>333</v>
      </c>
      <c r="E1451" s="98" t="s">
        <v>244</v>
      </c>
      <c r="F1451" s="98">
        <v>212.73</v>
      </c>
    </row>
    <row r="1452" spans="1:6">
      <c r="A1452" s="6">
        <v>44135</v>
      </c>
      <c r="B1452" s="98"/>
      <c r="C1452" s="98" t="s">
        <v>248</v>
      </c>
      <c r="D1452" s="98" t="s">
        <v>333</v>
      </c>
      <c r="E1452" s="98" t="s">
        <v>247</v>
      </c>
      <c r="F1452" s="98">
        <v>3297</v>
      </c>
    </row>
    <row r="1453" spans="1:6">
      <c r="A1453" s="6">
        <v>44135</v>
      </c>
      <c r="B1453" s="98"/>
      <c r="C1453" s="98" t="s">
        <v>274</v>
      </c>
      <c r="D1453" s="98" t="s">
        <v>333</v>
      </c>
      <c r="E1453" s="98" t="s">
        <v>247</v>
      </c>
      <c r="F1453" s="98">
        <v>5301.06</v>
      </c>
    </row>
    <row r="1454" spans="1:6">
      <c r="A1454" s="6">
        <v>44135</v>
      </c>
      <c r="B1454" s="98" t="s">
        <v>334</v>
      </c>
      <c r="C1454" s="98" t="s">
        <v>242</v>
      </c>
      <c r="D1454" s="98" t="s">
        <v>335</v>
      </c>
      <c r="E1454" s="98" t="s">
        <v>244</v>
      </c>
      <c r="F1454" s="98">
        <v>1425.04</v>
      </c>
    </row>
    <row r="1455" spans="1:6">
      <c r="A1455" s="6">
        <v>44135</v>
      </c>
      <c r="B1455" s="98"/>
      <c r="C1455" s="98" t="s">
        <v>262</v>
      </c>
      <c r="D1455" s="98" t="s">
        <v>335</v>
      </c>
      <c r="E1455" s="98" t="s">
        <v>244</v>
      </c>
      <c r="F1455" s="98">
        <v>1202.79</v>
      </c>
    </row>
    <row r="1456" spans="1:6">
      <c r="A1456" s="6">
        <v>44135</v>
      </c>
      <c r="B1456" s="98"/>
      <c r="C1456" s="98" t="s">
        <v>251</v>
      </c>
      <c r="D1456" s="98" t="s">
        <v>335</v>
      </c>
      <c r="E1456" s="98" t="s">
        <v>244</v>
      </c>
      <c r="F1456" s="98">
        <v>31.13</v>
      </c>
    </row>
    <row r="1457" spans="1:6">
      <c r="A1457" s="6">
        <v>44135</v>
      </c>
      <c r="B1457" s="98"/>
      <c r="C1457" s="98" t="s">
        <v>253</v>
      </c>
      <c r="D1457" s="98" t="s">
        <v>335</v>
      </c>
      <c r="E1457" s="98" t="s">
        <v>244</v>
      </c>
      <c r="F1457" s="98">
        <v>76.22</v>
      </c>
    </row>
    <row r="1458" spans="1:6">
      <c r="A1458" s="6">
        <v>44135</v>
      </c>
      <c r="B1458" s="98"/>
      <c r="C1458" s="98" t="s">
        <v>245</v>
      </c>
      <c r="D1458" s="98" t="s">
        <v>335</v>
      </c>
      <c r="E1458" s="98" t="s">
        <v>244</v>
      </c>
      <c r="F1458" s="98">
        <v>186.54</v>
      </c>
    </row>
    <row r="1459" spans="1:6">
      <c r="A1459" s="6">
        <v>44135</v>
      </c>
      <c r="B1459" s="98"/>
      <c r="C1459" s="98" t="s">
        <v>254</v>
      </c>
      <c r="D1459" s="98" t="s">
        <v>335</v>
      </c>
      <c r="E1459" s="98" t="s">
        <v>244</v>
      </c>
      <c r="F1459" s="98">
        <v>77.36</v>
      </c>
    </row>
    <row r="1460" spans="1:6">
      <c r="A1460" s="6">
        <v>44135</v>
      </c>
      <c r="B1460" s="98"/>
      <c r="C1460" s="98" t="s">
        <v>255</v>
      </c>
      <c r="D1460" s="98" t="s">
        <v>335</v>
      </c>
      <c r="E1460" s="98" t="s">
        <v>247</v>
      </c>
      <c r="F1460" s="98">
        <v>21128.06</v>
      </c>
    </row>
    <row r="1461" spans="1:6">
      <c r="A1461" s="6">
        <v>44135</v>
      </c>
      <c r="B1461" s="98"/>
      <c r="C1461" s="98" t="s">
        <v>289</v>
      </c>
      <c r="D1461" s="98" t="s">
        <v>335</v>
      </c>
      <c r="E1461" s="98" t="s">
        <v>247</v>
      </c>
      <c r="F1461" s="98">
        <v>36102.5</v>
      </c>
    </row>
    <row r="1462" spans="1:6">
      <c r="A1462" s="6">
        <v>44135</v>
      </c>
      <c r="B1462" s="98"/>
      <c r="C1462" s="98" t="s">
        <v>248</v>
      </c>
      <c r="D1462" s="98" t="s">
        <v>335</v>
      </c>
      <c r="E1462" s="98" t="s">
        <v>247</v>
      </c>
      <c r="F1462" s="98">
        <v>4729.9399999999996</v>
      </c>
    </row>
    <row r="1463" spans="1:6">
      <c r="A1463" s="6">
        <v>44135</v>
      </c>
      <c r="B1463" s="98"/>
      <c r="C1463" s="98" t="s">
        <v>260</v>
      </c>
      <c r="D1463" s="98" t="s">
        <v>335</v>
      </c>
      <c r="E1463" s="98" t="s">
        <v>258</v>
      </c>
      <c r="F1463" s="98">
        <v>11320.61</v>
      </c>
    </row>
    <row r="1464" spans="1:6">
      <c r="A1464" s="6">
        <v>44135</v>
      </c>
      <c r="B1464" s="98" t="s">
        <v>336</v>
      </c>
      <c r="C1464" s="98" t="s">
        <v>253</v>
      </c>
      <c r="D1464" s="98" t="s">
        <v>337</v>
      </c>
      <c r="E1464" s="98" t="s">
        <v>244</v>
      </c>
      <c r="F1464" s="98">
        <v>41.26</v>
      </c>
    </row>
    <row r="1465" spans="1:6">
      <c r="A1465" s="6">
        <v>44135</v>
      </c>
      <c r="B1465" s="98"/>
      <c r="C1465" s="98" t="s">
        <v>245</v>
      </c>
      <c r="D1465" s="98" t="s">
        <v>337</v>
      </c>
      <c r="E1465" s="98" t="s">
        <v>244</v>
      </c>
      <c r="F1465" s="98">
        <v>240.77</v>
      </c>
    </row>
    <row r="1466" spans="1:6">
      <c r="A1466" s="6">
        <v>44135</v>
      </c>
      <c r="B1466" s="98"/>
      <c r="C1466" s="98" t="s">
        <v>255</v>
      </c>
      <c r="D1466" s="98" t="s">
        <v>337</v>
      </c>
      <c r="E1466" s="98" t="s">
        <v>247</v>
      </c>
      <c r="F1466" s="98">
        <v>5240.51</v>
      </c>
    </row>
    <row r="1467" spans="1:6">
      <c r="A1467" s="6">
        <v>44135</v>
      </c>
      <c r="B1467" s="98"/>
      <c r="C1467" s="98" t="s">
        <v>289</v>
      </c>
      <c r="D1467" s="98" t="s">
        <v>337</v>
      </c>
      <c r="E1467" s="98" t="s">
        <v>247</v>
      </c>
      <c r="F1467" s="98">
        <v>7143.04</v>
      </c>
    </row>
    <row r="1468" spans="1:6">
      <c r="A1468" s="6">
        <v>44135</v>
      </c>
      <c r="B1468" s="98"/>
      <c r="C1468" s="98" t="s">
        <v>256</v>
      </c>
      <c r="D1468" s="98" t="s">
        <v>337</v>
      </c>
      <c r="E1468" s="98" t="s">
        <v>247</v>
      </c>
      <c r="F1468" s="98">
        <v>6657.02</v>
      </c>
    </row>
    <row r="1469" spans="1:6">
      <c r="A1469" s="6">
        <v>44135</v>
      </c>
      <c r="B1469" s="98"/>
      <c r="C1469" s="98" t="s">
        <v>339</v>
      </c>
      <c r="D1469" s="98" t="s">
        <v>337</v>
      </c>
      <c r="E1469" s="98" t="s">
        <v>247</v>
      </c>
      <c r="F1469" s="98">
        <v>75.09</v>
      </c>
    </row>
    <row r="1470" spans="1:6">
      <c r="A1470" s="6">
        <v>44135</v>
      </c>
      <c r="B1470" s="98"/>
      <c r="C1470" s="98" t="s">
        <v>265</v>
      </c>
      <c r="D1470" s="98" t="s">
        <v>337</v>
      </c>
      <c r="E1470" s="98" t="s">
        <v>247</v>
      </c>
      <c r="F1470" s="98">
        <v>467.31</v>
      </c>
    </row>
    <row r="1471" spans="1:6">
      <c r="A1471" s="6">
        <v>44135</v>
      </c>
      <c r="B1471" s="98" t="s">
        <v>342</v>
      </c>
      <c r="C1471" s="98" t="s">
        <v>251</v>
      </c>
      <c r="D1471" s="98" t="s">
        <v>343</v>
      </c>
      <c r="E1471" s="98" t="s">
        <v>244</v>
      </c>
      <c r="F1471" s="98">
        <v>2.0099999999999998</v>
      </c>
    </row>
    <row r="1472" spans="1:6">
      <c r="A1472" s="6">
        <v>44135</v>
      </c>
      <c r="B1472" s="98"/>
      <c r="C1472" s="98" t="s">
        <v>254</v>
      </c>
      <c r="D1472" s="98" t="s">
        <v>343</v>
      </c>
      <c r="E1472" s="98" t="s">
        <v>244</v>
      </c>
      <c r="F1472" s="98">
        <v>274.39999999999998</v>
      </c>
    </row>
    <row r="1473" spans="1:6">
      <c r="A1473" s="6">
        <v>44135</v>
      </c>
      <c r="B1473" s="98"/>
      <c r="C1473" s="98" t="s">
        <v>266</v>
      </c>
      <c r="D1473" s="98" t="s">
        <v>343</v>
      </c>
      <c r="E1473" s="98" t="s">
        <v>258</v>
      </c>
      <c r="F1473" s="98">
        <v>1929.49</v>
      </c>
    </row>
    <row r="1474" spans="1:6">
      <c r="A1474" s="6">
        <v>44135</v>
      </c>
      <c r="B1474" s="98"/>
      <c r="C1474" s="98" t="s">
        <v>274</v>
      </c>
      <c r="D1474" s="98" t="s">
        <v>343</v>
      </c>
      <c r="E1474" s="98" t="s">
        <v>247</v>
      </c>
      <c r="F1474" s="98">
        <v>3583.15</v>
      </c>
    </row>
    <row r="1475" spans="1:6">
      <c r="A1475" s="6">
        <v>44135</v>
      </c>
      <c r="B1475" s="98" t="s">
        <v>344</v>
      </c>
      <c r="C1475" s="98" t="s">
        <v>262</v>
      </c>
      <c r="D1475" s="98" t="s">
        <v>345</v>
      </c>
      <c r="E1475" s="98" t="s">
        <v>244</v>
      </c>
      <c r="F1475" s="98">
        <v>244.29</v>
      </c>
    </row>
    <row r="1476" spans="1:6">
      <c r="A1476" s="6">
        <v>44135</v>
      </c>
      <c r="B1476" s="98"/>
      <c r="C1476" s="98" t="s">
        <v>245</v>
      </c>
      <c r="D1476" s="98" t="s">
        <v>345</v>
      </c>
      <c r="E1476" s="98" t="s">
        <v>244</v>
      </c>
      <c r="F1476" s="98">
        <v>74.48</v>
      </c>
    </row>
    <row r="1477" spans="1:6">
      <c r="A1477" s="6">
        <v>44135</v>
      </c>
      <c r="B1477" s="98" t="s">
        <v>346</v>
      </c>
      <c r="C1477" s="98" t="s">
        <v>245</v>
      </c>
      <c r="D1477" s="98" t="s">
        <v>347</v>
      </c>
      <c r="E1477" s="98" t="s">
        <v>244</v>
      </c>
      <c r="F1477" s="98">
        <v>11.26</v>
      </c>
    </row>
    <row r="1478" spans="1:6">
      <c r="A1478" s="6">
        <v>44135</v>
      </c>
      <c r="B1478" s="98" t="s">
        <v>348</v>
      </c>
      <c r="C1478" s="98" t="s">
        <v>242</v>
      </c>
      <c r="D1478" s="98" t="s">
        <v>349</v>
      </c>
      <c r="E1478" s="98" t="s">
        <v>244</v>
      </c>
      <c r="F1478" s="98">
        <v>113.15</v>
      </c>
    </row>
    <row r="1479" spans="1:6">
      <c r="A1479" s="6">
        <v>44135</v>
      </c>
      <c r="B1479" s="98"/>
      <c r="C1479" s="98" t="s">
        <v>262</v>
      </c>
      <c r="D1479" s="98" t="s">
        <v>349</v>
      </c>
      <c r="E1479" s="98" t="s">
        <v>244</v>
      </c>
      <c r="F1479" s="98">
        <v>73.069999999999993</v>
      </c>
    </row>
    <row r="1480" spans="1:6">
      <c r="A1480" s="6">
        <v>44135</v>
      </c>
      <c r="B1480" s="98"/>
      <c r="C1480" s="98" t="s">
        <v>264</v>
      </c>
      <c r="D1480" s="98" t="s">
        <v>349</v>
      </c>
      <c r="E1480" s="98" t="s">
        <v>244</v>
      </c>
      <c r="F1480" s="98">
        <v>49.01</v>
      </c>
    </row>
    <row r="1481" spans="1:6">
      <c r="A1481" s="6">
        <v>44135</v>
      </c>
      <c r="B1481" s="98" t="s">
        <v>350</v>
      </c>
      <c r="C1481" s="98" t="s">
        <v>242</v>
      </c>
      <c r="D1481" s="98" t="s">
        <v>351</v>
      </c>
      <c r="E1481" s="98" t="s">
        <v>244</v>
      </c>
      <c r="F1481" s="98">
        <v>98.53</v>
      </c>
    </row>
    <row r="1482" spans="1:6">
      <c r="A1482" s="6">
        <v>44135</v>
      </c>
      <c r="B1482" s="98"/>
      <c r="C1482" s="98" t="s">
        <v>245</v>
      </c>
      <c r="D1482" s="98" t="s">
        <v>351</v>
      </c>
      <c r="E1482" s="98" t="s">
        <v>244</v>
      </c>
      <c r="F1482" s="98">
        <v>119.54</v>
      </c>
    </row>
    <row r="1483" spans="1:6">
      <c r="A1483" s="6">
        <v>44135</v>
      </c>
      <c r="B1483" s="98"/>
      <c r="C1483" s="98" t="s">
        <v>291</v>
      </c>
      <c r="D1483" s="98" t="s">
        <v>351</v>
      </c>
      <c r="E1483" s="98" t="s">
        <v>247</v>
      </c>
      <c r="F1483" s="98">
        <v>235.16</v>
      </c>
    </row>
    <row r="1484" spans="1:6">
      <c r="A1484" s="6">
        <v>44135</v>
      </c>
      <c r="B1484" s="98" t="s">
        <v>352</v>
      </c>
      <c r="C1484" s="98" t="s">
        <v>245</v>
      </c>
      <c r="D1484" s="98" t="s">
        <v>353</v>
      </c>
      <c r="E1484" s="98" t="s">
        <v>244</v>
      </c>
      <c r="F1484" s="98">
        <v>0.05</v>
      </c>
    </row>
    <row r="1485" spans="1:6">
      <c r="A1485" s="6">
        <v>44135</v>
      </c>
      <c r="B1485" s="98" t="s">
        <v>354</v>
      </c>
      <c r="C1485" s="98" t="s">
        <v>280</v>
      </c>
      <c r="D1485" s="98" t="s">
        <v>356</v>
      </c>
      <c r="E1485" s="98" t="s">
        <v>247</v>
      </c>
      <c r="F1485" s="98">
        <v>1746.62</v>
      </c>
    </row>
    <row r="1486" spans="1:6">
      <c r="A1486" s="6">
        <v>44135</v>
      </c>
      <c r="B1486" s="98"/>
      <c r="C1486" s="98" t="s">
        <v>355</v>
      </c>
      <c r="D1486" s="98" t="s">
        <v>356</v>
      </c>
      <c r="E1486" s="98" t="s">
        <v>247</v>
      </c>
      <c r="F1486" s="98">
        <v>955.2</v>
      </c>
    </row>
    <row r="1487" spans="1:6">
      <c r="A1487" s="6">
        <v>44135</v>
      </c>
      <c r="B1487" s="98" t="s">
        <v>357</v>
      </c>
      <c r="C1487" s="98" t="s">
        <v>248</v>
      </c>
      <c r="D1487" s="98" t="s">
        <v>358</v>
      </c>
      <c r="E1487" s="98" t="s">
        <v>247</v>
      </c>
      <c r="F1487" s="98">
        <v>21175.08</v>
      </c>
    </row>
    <row r="1488" spans="1:6">
      <c r="A1488" s="6">
        <v>44135</v>
      </c>
      <c r="B1488" s="98"/>
      <c r="C1488" s="98" t="s">
        <v>290</v>
      </c>
      <c r="D1488" s="98" t="s">
        <v>358</v>
      </c>
      <c r="E1488" s="98" t="s">
        <v>247</v>
      </c>
      <c r="F1488" s="98">
        <v>5434.41</v>
      </c>
    </row>
    <row r="1489" spans="1:6">
      <c r="A1489" s="6">
        <v>44135</v>
      </c>
      <c r="B1489" s="98" t="s">
        <v>359</v>
      </c>
      <c r="C1489" s="98" t="s">
        <v>242</v>
      </c>
      <c r="D1489" s="98" t="s">
        <v>360</v>
      </c>
      <c r="E1489" s="98" t="s">
        <v>244</v>
      </c>
      <c r="F1489" s="98">
        <v>39.76</v>
      </c>
    </row>
    <row r="1490" spans="1:6">
      <c r="A1490" s="6">
        <v>44135</v>
      </c>
      <c r="B1490" s="98"/>
      <c r="C1490" s="98" t="s">
        <v>262</v>
      </c>
      <c r="D1490" s="98" t="s">
        <v>360</v>
      </c>
      <c r="E1490" s="98" t="s">
        <v>244</v>
      </c>
      <c r="F1490" s="98">
        <v>553.83000000000004</v>
      </c>
    </row>
    <row r="1491" spans="1:6">
      <c r="A1491" s="6">
        <v>44135</v>
      </c>
      <c r="B1491" s="98"/>
      <c r="C1491" s="98" t="s">
        <v>251</v>
      </c>
      <c r="D1491" s="98" t="s">
        <v>360</v>
      </c>
      <c r="E1491" s="98" t="s">
        <v>244</v>
      </c>
      <c r="F1491" s="98">
        <v>15.68</v>
      </c>
    </row>
    <row r="1492" spans="1:6">
      <c r="A1492" s="6">
        <v>44135</v>
      </c>
      <c r="B1492" s="98"/>
      <c r="C1492" s="98" t="s">
        <v>245</v>
      </c>
      <c r="D1492" s="98" t="s">
        <v>360</v>
      </c>
      <c r="E1492" s="98" t="s">
        <v>244</v>
      </c>
      <c r="F1492" s="98">
        <v>352.6</v>
      </c>
    </row>
    <row r="1493" spans="1:6">
      <c r="A1493" s="6">
        <v>44135</v>
      </c>
      <c r="B1493" s="98"/>
      <c r="C1493" s="98" t="s">
        <v>264</v>
      </c>
      <c r="D1493" s="98" t="s">
        <v>360</v>
      </c>
      <c r="E1493" s="98" t="s">
        <v>244</v>
      </c>
      <c r="F1493" s="98">
        <v>47.07</v>
      </c>
    </row>
    <row r="1494" spans="1:6">
      <c r="A1494" s="6">
        <v>44135</v>
      </c>
      <c r="B1494" s="98"/>
      <c r="C1494" s="98" t="s">
        <v>289</v>
      </c>
      <c r="D1494" s="98" t="s">
        <v>360</v>
      </c>
      <c r="E1494" s="98" t="s">
        <v>247</v>
      </c>
      <c r="F1494" s="98">
        <v>1049.92</v>
      </c>
    </row>
    <row r="1495" spans="1:6">
      <c r="A1495" s="6">
        <v>44135</v>
      </c>
      <c r="B1495" s="98"/>
      <c r="C1495" s="98" t="s">
        <v>266</v>
      </c>
      <c r="D1495" s="98" t="s">
        <v>360</v>
      </c>
      <c r="E1495" s="98" t="s">
        <v>258</v>
      </c>
      <c r="F1495" s="98">
        <v>3042.94</v>
      </c>
    </row>
    <row r="1496" spans="1:6">
      <c r="A1496" s="6">
        <v>44135</v>
      </c>
      <c r="B1496" s="98" t="s">
        <v>361</v>
      </c>
      <c r="C1496" s="98" t="s">
        <v>264</v>
      </c>
      <c r="D1496" s="98" t="s">
        <v>362</v>
      </c>
      <c r="E1496" s="98" t="s">
        <v>244</v>
      </c>
      <c r="F1496" s="98">
        <v>92.86</v>
      </c>
    </row>
    <row r="1497" spans="1:6">
      <c r="A1497" s="6">
        <v>44135</v>
      </c>
      <c r="B1497" s="98"/>
      <c r="C1497" s="98" t="s">
        <v>248</v>
      </c>
      <c r="D1497" s="98" t="s">
        <v>362</v>
      </c>
      <c r="E1497" s="98" t="s">
        <v>247</v>
      </c>
      <c r="F1497" s="98">
        <v>9341.5300000000007</v>
      </c>
    </row>
    <row r="1498" spans="1:6">
      <c r="A1498" s="6">
        <v>44135</v>
      </c>
      <c r="B1498" s="98"/>
      <c r="C1498" s="98" t="s">
        <v>290</v>
      </c>
      <c r="D1498" s="98" t="s">
        <v>362</v>
      </c>
      <c r="E1498" s="98" t="s">
        <v>247</v>
      </c>
      <c r="F1498" s="98">
        <v>2906.2</v>
      </c>
    </row>
    <row r="1499" spans="1:6">
      <c r="A1499" s="6">
        <v>44135</v>
      </c>
      <c r="B1499" s="98"/>
      <c r="C1499" s="98" t="s">
        <v>363</v>
      </c>
      <c r="D1499" s="98" t="s">
        <v>362</v>
      </c>
      <c r="E1499" s="98" t="s">
        <v>247</v>
      </c>
      <c r="F1499" s="98">
        <v>5812.4</v>
      </c>
    </row>
    <row r="1500" spans="1:6">
      <c r="A1500" s="6">
        <v>44135</v>
      </c>
      <c r="B1500" s="98"/>
      <c r="C1500" s="98" t="s">
        <v>364</v>
      </c>
      <c r="D1500" s="98" t="s">
        <v>362</v>
      </c>
      <c r="E1500" s="98" t="s">
        <v>247</v>
      </c>
      <c r="F1500" s="98">
        <v>2906.2</v>
      </c>
    </row>
    <row r="1501" spans="1:6">
      <c r="A1501" s="6">
        <v>44135</v>
      </c>
      <c r="B1501" s="98"/>
      <c r="C1501" s="98" t="s">
        <v>365</v>
      </c>
      <c r="D1501" s="98" t="s">
        <v>362</v>
      </c>
      <c r="E1501" s="98" t="s">
        <v>247</v>
      </c>
      <c r="F1501" s="98">
        <v>2906.2</v>
      </c>
    </row>
    <row r="1502" spans="1:6">
      <c r="A1502" s="6">
        <v>44135</v>
      </c>
      <c r="B1502" s="98" t="s">
        <v>366</v>
      </c>
      <c r="C1502" s="98" t="s">
        <v>251</v>
      </c>
      <c r="D1502" s="98" t="s">
        <v>367</v>
      </c>
      <c r="E1502" s="98" t="s">
        <v>244</v>
      </c>
      <c r="F1502" s="98">
        <v>74.44</v>
      </c>
    </row>
    <row r="1503" spans="1:6">
      <c r="A1503" s="6">
        <v>44135</v>
      </c>
      <c r="B1503" s="98"/>
      <c r="C1503" s="98" t="s">
        <v>253</v>
      </c>
      <c r="D1503" s="98" t="s">
        <v>367</v>
      </c>
      <c r="E1503" s="98" t="s">
        <v>244</v>
      </c>
      <c r="F1503" s="98">
        <v>10.91</v>
      </c>
    </row>
    <row r="1504" spans="1:6">
      <c r="A1504" s="6">
        <v>44135</v>
      </c>
      <c r="B1504" s="98"/>
      <c r="C1504" s="98" t="s">
        <v>368</v>
      </c>
      <c r="D1504" s="98" t="s">
        <v>367</v>
      </c>
      <c r="E1504" s="98" t="s">
        <v>247</v>
      </c>
      <c r="F1504" s="98">
        <v>1768.7</v>
      </c>
    </row>
    <row r="1505" spans="1:6">
      <c r="A1505" s="6">
        <v>44135</v>
      </c>
      <c r="B1505" s="98"/>
      <c r="C1505" s="98" t="s">
        <v>257</v>
      </c>
      <c r="D1505" s="98" t="s">
        <v>367</v>
      </c>
      <c r="E1505" s="98" t="s">
        <v>258</v>
      </c>
      <c r="F1505" s="98">
        <v>22328.18</v>
      </c>
    </row>
    <row r="1506" spans="1:6">
      <c r="A1506" s="6">
        <v>44135</v>
      </c>
      <c r="B1506" s="98"/>
      <c r="C1506" s="98" t="s">
        <v>259</v>
      </c>
      <c r="D1506" s="98" t="s">
        <v>367</v>
      </c>
      <c r="E1506" s="98" t="s">
        <v>258</v>
      </c>
      <c r="F1506" s="98">
        <v>15453.07</v>
      </c>
    </row>
    <row r="1507" spans="1:6">
      <c r="A1507" s="6">
        <v>44135</v>
      </c>
      <c r="B1507" s="98"/>
      <c r="C1507" s="98" t="s">
        <v>260</v>
      </c>
      <c r="D1507" s="98" t="s">
        <v>367</v>
      </c>
      <c r="E1507" s="98" t="s">
        <v>258</v>
      </c>
      <c r="F1507" s="98">
        <v>3877.6</v>
      </c>
    </row>
    <row r="1508" spans="1:6">
      <c r="A1508" s="6">
        <v>44135</v>
      </c>
      <c r="B1508" s="98"/>
      <c r="C1508" s="98" t="s">
        <v>369</v>
      </c>
      <c r="D1508" s="98" t="s">
        <v>367</v>
      </c>
      <c r="E1508" s="98" t="s">
        <v>244</v>
      </c>
      <c r="F1508" s="98">
        <v>22.68</v>
      </c>
    </row>
    <row r="1509" spans="1:6">
      <c r="A1509" s="6">
        <v>44135</v>
      </c>
      <c r="B1509" s="98" t="s">
        <v>370</v>
      </c>
      <c r="C1509" s="98" t="s">
        <v>242</v>
      </c>
      <c r="D1509" s="98" t="s">
        <v>371</v>
      </c>
      <c r="E1509" s="98" t="s">
        <v>244</v>
      </c>
      <c r="F1509" s="98">
        <v>196.92</v>
      </c>
    </row>
    <row r="1510" spans="1:6">
      <c r="A1510" s="6">
        <v>44135</v>
      </c>
      <c r="B1510" s="98"/>
      <c r="C1510" s="98" t="s">
        <v>253</v>
      </c>
      <c r="D1510" s="98" t="s">
        <v>371</v>
      </c>
      <c r="E1510" s="98" t="s">
        <v>244</v>
      </c>
      <c r="F1510" s="98">
        <v>17.37</v>
      </c>
    </row>
    <row r="1511" spans="1:6">
      <c r="A1511" s="6">
        <v>44135</v>
      </c>
      <c r="B1511" s="98"/>
      <c r="C1511" s="98" t="s">
        <v>254</v>
      </c>
      <c r="D1511" s="98" t="s">
        <v>371</v>
      </c>
      <c r="E1511" s="98" t="s">
        <v>244</v>
      </c>
      <c r="F1511" s="98">
        <v>1285.4100000000001</v>
      </c>
    </row>
    <row r="1512" spans="1:6">
      <c r="A1512" s="6">
        <v>44135</v>
      </c>
      <c r="B1512" s="98" t="s">
        <v>372</v>
      </c>
      <c r="C1512" s="98" t="s">
        <v>242</v>
      </c>
      <c r="D1512" s="98" t="s">
        <v>373</v>
      </c>
      <c r="E1512" s="98" t="s">
        <v>244</v>
      </c>
      <c r="F1512" s="98">
        <v>682.7</v>
      </c>
    </row>
    <row r="1513" spans="1:6">
      <c r="A1513" s="6">
        <v>44135</v>
      </c>
      <c r="B1513" s="98"/>
      <c r="C1513" s="98" t="s">
        <v>251</v>
      </c>
      <c r="D1513" s="98" t="s">
        <v>373</v>
      </c>
      <c r="E1513" s="98" t="s">
        <v>244</v>
      </c>
      <c r="F1513" s="98">
        <v>2.66</v>
      </c>
    </row>
    <row r="1514" spans="1:6">
      <c r="A1514" s="6">
        <v>44135</v>
      </c>
      <c r="B1514" s="98"/>
      <c r="C1514" s="98" t="s">
        <v>277</v>
      </c>
      <c r="D1514" s="98" t="s">
        <v>373</v>
      </c>
      <c r="E1514" s="98" t="s">
        <v>247</v>
      </c>
      <c r="F1514" s="98">
        <v>1366.65</v>
      </c>
    </row>
    <row r="1515" spans="1:6">
      <c r="A1515" s="6">
        <v>44135</v>
      </c>
      <c r="B1515" s="98"/>
      <c r="C1515" s="98" t="s">
        <v>289</v>
      </c>
      <c r="D1515" s="98" t="s">
        <v>373</v>
      </c>
      <c r="E1515" s="98" t="s">
        <v>247</v>
      </c>
      <c r="F1515" s="98">
        <v>2675.37</v>
      </c>
    </row>
    <row r="1516" spans="1:6">
      <c r="A1516" s="6">
        <v>44135</v>
      </c>
      <c r="B1516" s="98" t="s">
        <v>374</v>
      </c>
      <c r="C1516" s="98" t="s">
        <v>242</v>
      </c>
      <c r="D1516" s="98" t="s">
        <v>375</v>
      </c>
      <c r="E1516" s="98" t="s">
        <v>244</v>
      </c>
      <c r="F1516" s="98">
        <v>124.81</v>
      </c>
    </row>
    <row r="1517" spans="1:6">
      <c r="A1517" s="6">
        <v>44135</v>
      </c>
      <c r="B1517" s="98"/>
      <c r="C1517" s="98" t="s">
        <v>251</v>
      </c>
      <c r="D1517" s="98" t="s">
        <v>375</v>
      </c>
      <c r="E1517" s="98" t="s">
        <v>244</v>
      </c>
      <c r="F1517" s="98">
        <v>70.680000000000007</v>
      </c>
    </row>
    <row r="1518" spans="1:6">
      <c r="A1518" s="6">
        <v>44135</v>
      </c>
      <c r="B1518" s="98"/>
      <c r="C1518" s="98" t="s">
        <v>245</v>
      </c>
      <c r="D1518" s="98" t="s">
        <v>375</v>
      </c>
      <c r="E1518" s="98" t="s">
        <v>244</v>
      </c>
      <c r="F1518" s="98">
        <v>907.41</v>
      </c>
    </row>
    <row r="1519" spans="1:6">
      <c r="A1519" s="6">
        <v>44135</v>
      </c>
      <c r="B1519" s="98"/>
      <c r="C1519" s="98" t="s">
        <v>277</v>
      </c>
      <c r="D1519" s="98" t="s">
        <v>375</v>
      </c>
      <c r="E1519" s="98" t="s">
        <v>247</v>
      </c>
      <c r="F1519" s="98">
        <v>13454.97</v>
      </c>
    </row>
    <row r="1520" spans="1:6">
      <c r="A1520" s="6">
        <v>44135</v>
      </c>
      <c r="B1520" s="98"/>
      <c r="C1520" s="98" t="s">
        <v>246</v>
      </c>
      <c r="D1520" s="98" t="s">
        <v>375</v>
      </c>
      <c r="E1520" s="98" t="s">
        <v>247</v>
      </c>
      <c r="F1520" s="98">
        <v>15071.93</v>
      </c>
    </row>
    <row r="1521" spans="1:6">
      <c r="A1521" s="6">
        <v>44135</v>
      </c>
      <c r="B1521" s="98"/>
      <c r="C1521" s="98" t="s">
        <v>249</v>
      </c>
      <c r="D1521" s="98" t="s">
        <v>375</v>
      </c>
      <c r="E1521" s="98" t="s">
        <v>247</v>
      </c>
      <c r="F1521" s="98">
        <v>12219.77</v>
      </c>
    </row>
    <row r="1522" spans="1:6">
      <c r="A1522" s="6">
        <v>44135</v>
      </c>
      <c r="B1522" s="98"/>
      <c r="C1522" s="98" t="s">
        <v>274</v>
      </c>
      <c r="D1522" s="98" t="s">
        <v>375</v>
      </c>
      <c r="E1522" s="98" t="s">
        <v>247</v>
      </c>
      <c r="F1522" s="98">
        <v>11146</v>
      </c>
    </row>
    <row r="1523" spans="1:6">
      <c r="A1523" s="6">
        <v>44135</v>
      </c>
      <c r="B1523" s="98" t="s">
        <v>376</v>
      </c>
      <c r="C1523" s="98" t="s">
        <v>242</v>
      </c>
      <c r="D1523" s="98" t="s">
        <v>377</v>
      </c>
      <c r="E1523" s="98" t="s">
        <v>244</v>
      </c>
      <c r="F1523" s="98">
        <v>1073.1600000000001</v>
      </c>
    </row>
    <row r="1524" spans="1:6">
      <c r="A1524" s="6">
        <v>44135</v>
      </c>
      <c r="B1524" s="98"/>
      <c r="C1524" s="98" t="s">
        <v>262</v>
      </c>
      <c r="D1524" s="98" t="s">
        <v>377</v>
      </c>
      <c r="E1524" s="98" t="s">
        <v>244</v>
      </c>
      <c r="F1524" s="98">
        <v>9004.2800000000007</v>
      </c>
    </row>
    <row r="1525" spans="1:6">
      <c r="A1525" s="6">
        <v>44135</v>
      </c>
      <c r="B1525" s="98"/>
      <c r="C1525" s="98" t="s">
        <v>251</v>
      </c>
      <c r="D1525" s="98" t="s">
        <v>377</v>
      </c>
      <c r="E1525" s="98" t="s">
        <v>244</v>
      </c>
      <c r="F1525" s="98">
        <v>3.83</v>
      </c>
    </row>
    <row r="1526" spans="1:6">
      <c r="A1526" s="6">
        <v>44135</v>
      </c>
      <c r="B1526" s="98"/>
      <c r="C1526" s="98" t="s">
        <v>245</v>
      </c>
      <c r="D1526" s="98" t="s">
        <v>377</v>
      </c>
      <c r="E1526" s="98" t="s">
        <v>244</v>
      </c>
      <c r="F1526" s="98">
        <v>323.32</v>
      </c>
    </row>
    <row r="1527" spans="1:6">
      <c r="A1527" s="6">
        <v>44135</v>
      </c>
      <c r="B1527" s="98"/>
      <c r="C1527" s="98" t="s">
        <v>254</v>
      </c>
      <c r="D1527" s="98" t="s">
        <v>377</v>
      </c>
      <c r="E1527" s="98" t="s">
        <v>244</v>
      </c>
      <c r="F1527" s="98">
        <v>338.06</v>
      </c>
    </row>
    <row r="1528" spans="1:6">
      <c r="A1528" s="6">
        <v>44135</v>
      </c>
      <c r="B1528" s="98"/>
      <c r="C1528" s="98" t="s">
        <v>272</v>
      </c>
      <c r="D1528" s="98" t="s">
        <v>377</v>
      </c>
      <c r="E1528" s="98" t="s">
        <v>247</v>
      </c>
      <c r="F1528" s="98">
        <v>4244.1099999999997</v>
      </c>
    </row>
    <row r="1529" spans="1:6">
      <c r="A1529" s="6">
        <v>44135</v>
      </c>
      <c r="B1529" s="98"/>
      <c r="C1529" s="98" t="s">
        <v>246</v>
      </c>
      <c r="D1529" s="98" t="s">
        <v>377</v>
      </c>
      <c r="E1529" s="98" t="s">
        <v>247</v>
      </c>
      <c r="F1529" s="98">
        <v>1055.19</v>
      </c>
    </row>
    <row r="1530" spans="1:6">
      <c r="A1530" s="6">
        <v>44135</v>
      </c>
      <c r="B1530" s="98"/>
      <c r="C1530" s="98" t="s">
        <v>248</v>
      </c>
      <c r="D1530" s="98" t="s">
        <v>377</v>
      </c>
      <c r="E1530" s="98" t="s">
        <v>247</v>
      </c>
      <c r="F1530" s="98">
        <v>2568.5700000000002</v>
      </c>
    </row>
    <row r="1531" spans="1:6">
      <c r="A1531" s="6">
        <v>44135</v>
      </c>
      <c r="B1531" s="98" t="s">
        <v>378</v>
      </c>
      <c r="C1531" s="98" t="s">
        <v>245</v>
      </c>
      <c r="D1531" s="98" t="s">
        <v>379</v>
      </c>
      <c r="E1531" s="98" t="s">
        <v>244</v>
      </c>
      <c r="F1531" s="98">
        <v>91.85</v>
      </c>
    </row>
    <row r="1532" spans="1:6">
      <c r="A1532" s="6">
        <v>44135</v>
      </c>
      <c r="B1532" s="98"/>
      <c r="C1532" s="98" t="s">
        <v>355</v>
      </c>
      <c r="D1532" s="98" t="s">
        <v>379</v>
      </c>
      <c r="E1532" s="98" t="s">
        <v>247</v>
      </c>
      <c r="F1532" s="98">
        <v>925.18</v>
      </c>
    </row>
    <row r="1533" spans="1:6">
      <c r="A1533" s="6">
        <v>44135</v>
      </c>
      <c r="B1533" s="98" t="s">
        <v>380</v>
      </c>
      <c r="C1533" s="98" t="s">
        <v>254</v>
      </c>
      <c r="D1533" s="98" t="s">
        <v>381</v>
      </c>
      <c r="E1533" s="98" t="s">
        <v>244</v>
      </c>
      <c r="F1533" s="98">
        <v>51.24</v>
      </c>
    </row>
    <row r="1534" spans="1:6">
      <c r="A1534" s="6">
        <v>44135</v>
      </c>
      <c r="B1534" s="98" t="s">
        <v>382</v>
      </c>
      <c r="C1534" s="98" t="s">
        <v>242</v>
      </c>
      <c r="D1534" s="98" t="s">
        <v>383</v>
      </c>
      <c r="E1534" s="98" t="s">
        <v>244</v>
      </c>
      <c r="F1534" s="98">
        <v>134.31</v>
      </c>
    </row>
    <row r="1535" spans="1:6">
      <c r="A1535" s="6">
        <v>44135</v>
      </c>
      <c r="B1535" s="98"/>
      <c r="C1535" s="98" t="s">
        <v>262</v>
      </c>
      <c r="D1535" s="98" t="s">
        <v>383</v>
      </c>
      <c r="E1535" s="98" t="s">
        <v>244</v>
      </c>
      <c r="F1535" s="98">
        <v>563.92999999999995</v>
      </c>
    </row>
    <row r="1536" spans="1:6">
      <c r="A1536" s="6">
        <v>44135</v>
      </c>
      <c r="B1536" s="98"/>
      <c r="C1536" s="98" t="s">
        <v>245</v>
      </c>
      <c r="D1536" s="98" t="s">
        <v>383</v>
      </c>
      <c r="E1536" s="98" t="s">
        <v>244</v>
      </c>
      <c r="F1536" s="98">
        <v>323.89999999999998</v>
      </c>
    </row>
    <row r="1537" spans="1:6">
      <c r="A1537" s="6">
        <v>44135</v>
      </c>
      <c r="B1537" s="98"/>
      <c r="C1537" s="98" t="s">
        <v>254</v>
      </c>
      <c r="D1537" s="98" t="s">
        <v>383</v>
      </c>
      <c r="E1537" s="98" t="s">
        <v>244</v>
      </c>
      <c r="F1537" s="98">
        <v>67.209999999999994</v>
      </c>
    </row>
    <row r="1538" spans="1:6">
      <c r="A1538" s="6">
        <v>44135</v>
      </c>
      <c r="B1538" s="98"/>
      <c r="C1538" s="98" t="s">
        <v>248</v>
      </c>
      <c r="D1538" s="98" t="s">
        <v>383</v>
      </c>
      <c r="E1538" s="98" t="s">
        <v>247</v>
      </c>
      <c r="F1538" s="98">
        <v>17665.259999999998</v>
      </c>
    </row>
    <row r="1539" spans="1:6">
      <c r="A1539" s="6">
        <v>44135</v>
      </c>
      <c r="B1539" s="98" t="s">
        <v>467</v>
      </c>
      <c r="C1539" s="98" t="s">
        <v>264</v>
      </c>
      <c r="D1539" s="98" t="s">
        <v>468</v>
      </c>
      <c r="E1539" s="98" t="s">
        <v>244</v>
      </c>
      <c r="F1539" s="98">
        <v>125.62</v>
      </c>
    </row>
    <row r="1540" spans="1:6">
      <c r="A1540" s="6">
        <v>44135</v>
      </c>
      <c r="B1540" s="98" t="s">
        <v>384</v>
      </c>
      <c r="C1540" s="98" t="s">
        <v>262</v>
      </c>
      <c r="D1540" s="98" t="s">
        <v>385</v>
      </c>
      <c r="E1540" s="98" t="s">
        <v>244</v>
      </c>
      <c r="F1540" s="98">
        <v>40.17</v>
      </c>
    </row>
    <row r="1541" spans="1:6">
      <c r="A1541" s="6">
        <v>44135</v>
      </c>
      <c r="B1541" s="98"/>
      <c r="C1541" s="98" t="s">
        <v>253</v>
      </c>
      <c r="D1541" s="98" t="s">
        <v>385</v>
      </c>
      <c r="E1541" s="98" t="s">
        <v>244</v>
      </c>
      <c r="F1541" s="98">
        <v>16</v>
      </c>
    </row>
    <row r="1542" spans="1:6">
      <c r="A1542" s="6">
        <v>44135</v>
      </c>
      <c r="B1542" s="98"/>
      <c r="C1542" s="98" t="s">
        <v>245</v>
      </c>
      <c r="D1542" s="98" t="s">
        <v>385</v>
      </c>
      <c r="E1542" s="98" t="s">
        <v>244</v>
      </c>
      <c r="F1542" s="98">
        <v>2.11</v>
      </c>
    </row>
    <row r="1543" spans="1:6">
      <c r="A1543" s="6">
        <v>44135</v>
      </c>
      <c r="B1543" s="98"/>
      <c r="C1543" s="98" t="s">
        <v>264</v>
      </c>
      <c r="D1543" s="98" t="s">
        <v>385</v>
      </c>
      <c r="E1543" s="98" t="s">
        <v>244</v>
      </c>
      <c r="F1543" s="98">
        <v>140.86000000000001</v>
      </c>
    </row>
    <row r="1544" spans="1:6">
      <c r="A1544" s="6">
        <v>44135</v>
      </c>
      <c r="B1544" s="98"/>
      <c r="C1544" s="98" t="s">
        <v>271</v>
      </c>
      <c r="D1544" s="98" t="s">
        <v>385</v>
      </c>
      <c r="E1544" s="98" t="s">
        <v>244</v>
      </c>
      <c r="F1544" s="98">
        <v>2.33</v>
      </c>
    </row>
    <row r="1545" spans="1:6">
      <c r="A1545" s="6">
        <v>44135</v>
      </c>
      <c r="B1545" s="98"/>
      <c r="C1545" s="98" t="s">
        <v>254</v>
      </c>
      <c r="D1545" s="98" t="s">
        <v>385</v>
      </c>
      <c r="E1545" s="98" t="s">
        <v>244</v>
      </c>
      <c r="F1545" s="98">
        <v>276.64</v>
      </c>
    </row>
    <row r="1546" spans="1:6">
      <c r="A1546" s="6">
        <v>44135</v>
      </c>
      <c r="B1546" s="98"/>
      <c r="C1546" s="98" t="s">
        <v>278</v>
      </c>
      <c r="D1546" s="98" t="s">
        <v>385</v>
      </c>
      <c r="E1546" s="98" t="s">
        <v>247</v>
      </c>
      <c r="F1546" s="98">
        <v>2650.05</v>
      </c>
    </row>
    <row r="1547" spans="1:6">
      <c r="A1547" s="6">
        <v>44135</v>
      </c>
      <c r="B1547" s="98" t="s">
        <v>386</v>
      </c>
      <c r="C1547" s="98" t="s">
        <v>262</v>
      </c>
      <c r="D1547" s="98" t="s">
        <v>387</v>
      </c>
      <c r="E1547" s="98" t="s">
        <v>244</v>
      </c>
      <c r="F1547" s="98">
        <v>217.33</v>
      </c>
    </row>
    <row r="1548" spans="1:6">
      <c r="A1548" s="6">
        <v>44135</v>
      </c>
      <c r="B1548" s="98"/>
      <c r="C1548" s="98" t="s">
        <v>253</v>
      </c>
      <c r="D1548" s="98" t="s">
        <v>387</v>
      </c>
      <c r="E1548" s="98" t="s">
        <v>244</v>
      </c>
      <c r="F1548" s="98">
        <v>92.23</v>
      </c>
    </row>
    <row r="1549" spans="1:6">
      <c r="A1549" s="6">
        <v>44135</v>
      </c>
      <c r="B1549" s="98"/>
      <c r="C1549" s="98" t="s">
        <v>245</v>
      </c>
      <c r="D1549" s="98" t="s">
        <v>387</v>
      </c>
      <c r="E1549" s="98" t="s">
        <v>244</v>
      </c>
      <c r="F1549" s="98">
        <v>114.19</v>
      </c>
    </row>
    <row r="1550" spans="1:6">
      <c r="A1550" s="6">
        <v>44135</v>
      </c>
      <c r="B1550" s="98"/>
      <c r="C1550" s="98" t="s">
        <v>264</v>
      </c>
      <c r="D1550" s="98" t="s">
        <v>387</v>
      </c>
      <c r="E1550" s="98" t="s">
        <v>244</v>
      </c>
      <c r="F1550" s="98">
        <v>370.21</v>
      </c>
    </row>
    <row r="1551" spans="1:6">
      <c r="A1551" s="6">
        <v>44135</v>
      </c>
      <c r="B1551" s="98"/>
      <c r="C1551" s="98" t="s">
        <v>271</v>
      </c>
      <c r="D1551" s="98" t="s">
        <v>387</v>
      </c>
      <c r="E1551" s="98" t="s">
        <v>244</v>
      </c>
      <c r="F1551" s="98">
        <v>37.950000000000003</v>
      </c>
    </row>
    <row r="1552" spans="1:6">
      <c r="A1552" s="6">
        <v>44135</v>
      </c>
      <c r="B1552" s="98"/>
      <c r="C1552" s="98" t="s">
        <v>254</v>
      </c>
      <c r="D1552" s="98" t="s">
        <v>387</v>
      </c>
      <c r="E1552" s="98" t="s">
        <v>244</v>
      </c>
      <c r="F1552" s="98">
        <v>192.05</v>
      </c>
    </row>
    <row r="1553" spans="1:6">
      <c r="A1553" s="6">
        <v>44135</v>
      </c>
      <c r="B1553" s="98"/>
      <c r="C1553" s="98" t="s">
        <v>278</v>
      </c>
      <c r="D1553" s="98" t="s">
        <v>387</v>
      </c>
      <c r="E1553" s="98" t="s">
        <v>247</v>
      </c>
      <c r="F1553" s="98">
        <v>2875.91</v>
      </c>
    </row>
    <row r="1554" spans="1:6">
      <c r="A1554" s="6">
        <v>44135</v>
      </c>
      <c r="B1554" s="98" t="s">
        <v>388</v>
      </c>
      <c r="C1554" s="98" t="s">
        <v>262</v>
      </c>
      <c r="D1554" s="98" t="s">
        <v>389</v>
      </c>
      <c r="E1554" s="98" t="s">
        <v>244</v>
      </c>
      <c r="F1554" s="98">
        <v>216.95</v>
      </c>
    </row>
    <row r="1555" spans="1:6">
      <c r="A1555" s="6">
        <v>44135</v>
      </c>
      <c r="B1555" s="98"/>
      <c r="C1555" s="98" t="s">
        <v>245</v>
      </c>
      <c r="D1555" s="98" t="s">
        <v>389</v>
      </c>
      <c r="E1555" s="98" t="s">
        <v>244</v>
      </c>
      <c r="F1555" s="98">
        <v>267.76</v>
      </c>
    </row>
    <row r="1556" spans="1:6">
      <c r="A1556" s="6">
        <v>44135</v>
      </c>
      <c r="B1556" s="98"/>
      <c r="C1556" s="98" t="s">
        <v>254</v>
      </c>
      <c r="D1556" s="98" t="s">
        <v>389</v>
      </c>
      <c r="E1556" s="98" t="s">
        <v>244</v>
      </c>
      <c r="F1556" s="98">
        <v>19.25</v>
      </c>
    </row>
    <row r="1557" spans="1:6">
      <c r="A1557" s="6">
        <v>44135</v>
      </c>
      <c r="B1557" s="98" t="s">
        <v>390</v>
      </c>
      <c r="C1557" s="98" t="s">
        <v>264</v>
      </c>
      <c r="D1557" s="98" t="s">
        <v>391</v>
      </c>
      <c r="E1557" s="98" t="s">
        <v>244</v>
      </c>
      <c r="F1557" s="98">
        <v>527.49</v>
      </c>
    </row>
    <row r="1558" spans="1:6">
      <c r="A1558" s="6">
        <v>44135</v>
      </c>
      <c r="B1558" s="98"/>
      <c r="C1558" s="98" t="s">
        <v>271</v>
      </c>
      <c r="D1558" s="98" t="s">
        <v>391</v>
      </c>
      <c r="E1558" s="98" t="s">
        <v>244</v>
      </c>
      <c r="F1558" s="98">
        <v>75.73</v>
      </c>
    </row>
    <row r="1559" spans="1:6">
      <c r="A1559" s="6">
        <v>44135</v>
      </c>
      <c r="B1559" s="98"/>
      <c r="C1559" s="98" t="s">
        <v>254</v>
      </c>
      <c r="D1559" s="98" t="s">
        <v>391</v>
      </c>
      <c r="E1559" s="98" t="s">
        <v>244</v>
      </c>
      <c r="F1559" s="98">
        <v>213.78</v>
      </c>
    </row>
    <row r="1560" spans="1:6">
      <c r="A1560" s="6">
        <v>44135</v>
      </c>
      <c r="B1560" s="98"/>
      <c r="C1560" s="98" t="s">
        <v>278</v>
      </c>
      <c r="D1560" s="98" t="s">
        <v>391</v>
      </c>
      <c r="E1560" s="98" t="s">
        <v>247</v>
      </c>
      <c r="F1560" s="98">
        <v>5224.8500000000004</v>
      </c>
    </row>
    <row r="1561" spans="1:6">
      <c r="A1561" s="6">
        <v>44135</v>
      </c>
      <c r="B1561" s="98" t="s">
        <v>392</v>
      </c>
      <c r="C1561" s="98" t="s">
        <v>251</v>
      </c>
      <c r="D1561" s="98" t="s">
        <v>393</v>
      </c>
      <c r="E1561" s="98" t="s">
        <v>244</v>
      </c>
      <c r="F1561" s="98">
        <v>11.38</v>
      </c>
    </row>
    <row r="1562" spans="1:6">
      <c r="A1562" s="6">
        <v>44135</v>
      </c>
      <c r="B1562" s="98"/>
      <c r="C1562" s="98" t="s">
        <v>291</v>
      </c>
      <c r="D1562" s="98" t="s">
        <v>393</v>
      </c>
      <c r="E1562" s="98" t="s">
        <v>247</v>
      </c>
      <c r="F1562" s="98">
        <v>4518.8599999999997</v>
      </c>
    </row>
    <row r="1563" spans="1:6">
      <c r="A1563" s="6">
        <v>44135</v>
      </c>
      <c r="B1563" s="98" t="s">
        <v>394</v>
      </c>
      <c r="C1563" s="98" t="s">
        <v>251</v>
      </c>
      <c r="D1563" s="98" t="s">
        <v>395</v>
      </c>
      <c r="E1563" s="98" t="s">
        <v>244</v>
      </c>
      <c r="F1563" s="98">
        <v>16.63</v>
      </c>
    </row>
    <row r="1564" spans="1:6">
      <c r="A1564" s="6">
        <v>44135</v>
      </c>
      <c r="B1564" s="98"/>
      <c r="C1564" s="98" t="s">
        <v>278</v>
      </c>
      <c r="D1564" s="98" t="s">
        <v>395</v>
      </c>
      <c r="E1564" s="98" t="s">
        <v>247</v>
      </c>
      <c r="F1564" s="98">
        <v>721.22</v>
      </c>
    </row>
    <row r="1565" spans="1:6">
      <c r="A1565" s="6">
        <v>44135</v>
      </c>
      <c r="B1565" s="98" t="s">
        <v>396</v>
      </c>
      <c r="C1565" s="98" t="s">
        <v>251</v>
      </c>
      <c r="D1565" s="98" t="s">
        <v>397</v>
      </c>
      <c r="E1565" s="98" t="s">
        <v>244</v>
      </c>
      <c r="F1565" s="98">
        <v>6.91</v>
      </c>
    </row>
    <row r="1566" spans="1:6">
      <c r="A1566" s="6">
        <v>44135</v>
      </c>
      <c r="B1566" s="98"/>
      <c r="C1566" s="98" t="s">
        <v>248</v>
      </c>
      <c r="D1566" s="98" t="s">
        <v>397</v>
      </c>
      <c r="E1566" s="98" t="s">
        <v>247</v>
      </c>
      <c r="F1566" s="98">
        <v>8826.42</v>
      </c>
    </row>
    <row r="1567" spans="1:6">
      <c r="A1567" s="6">
        <v>44135</v>
      </c>
      <c r="B1567" s="98" t="s">
        <v>398</v>
      </c>
      <c r="C1567" s="98" t="s">
        <v>251</v>
      </c>
      <c r="D1567" s="98" t="s">
        <v>399</v>
      </c>
      <c r="E1567" s="98" t="s">
        <v>244</v>
      </c>
      <c r="F1567" s="98">
        <v>2.54</v>
      </c>
    </row>
    <row r="1568" spans="1:6">
      <c r="A1568" s="6">
        <v>44135</v>
      </c>
      <c r="B1568" s="98"/>
      <c r="C1568" s="98" t="s">
        <v>245</v>
      </c>
      <c r="D1568" s="98" t="s">
        <v>399</v>
      </c>
      <c r="E1568" s="98" t="s">
        <v>244</v>
      </c>
      <c r="F1568" s="98">
        <v>14.66</v>
      </c>
    </row>
    <row r="1569" spans="1:6">
      <c r="A1569" s="6">
        <v>44135</v>
      </c>
      <c r="B1569" s="98" t="s">
        <v>400</v>
      </c>
      <c r="C1569" s="98" t="s">
        <v>251</v>
      </c>
      <c r="D1569" s="98" t="s">
        <v>401</v>
      </c>
      <c r="E1569" s="98" t="s">
        <v>244</v>
      </c>
      <c r="F1569" s="98">
        <v>0.82</v>
      </c>
    </row>
    <row r="1570" spans="1:6">
      <c r="A1570" s="6">
        <v>44135</v>
      </c>
      <c r="B1570" s="98"/>
      <c r="C1570" s="98" t="s">
        <v>368</v>
      </c>
      <c r="D1570" s="98" t="s">
        <v>401</v>
      </c>
      <c r="E1570" s="98" t="s">
        <v>247</v>
      </c>
      <c r="F1570" s="98">
        <v>3292.56</v>
      </c>
    </row>
    <row r="1571" spans="1:6">
      <c r="A1571" s="6">
        <v>44135</v>
      </c>
      <c r="B1571" s="98"/>
      <c r="C1571" s="98" t="s">
        <v>402</v>
      </c>
      <c r="D1571" s="98" t="s">
        <v>401</v>
      </c>
      <c r="E1571" s="98" t="s">
        <v>247</v>
      </c>
      <c r="F1571" s="98">
        <v>4938.83</v>
      </c>
    </row>
    <row r="1572" spans="1:6">
      <c r="A1572" s="6">
        <v>44135</v>
      </c>
      <c r="B1572" s="98" t="s">
        <v>403</v>
      </c>
      <c r="C1572" s="98" t="s">
        <v>254</v>
      </c>
      <c r="D1572" s="98" t="s">
        <v>404</v>
      </c>
      <c r="E1572" s="98" t="s">
        <v>244</v>
      </c>
      <c r="F1572" s="98">
        <v>0.3</v>
      </c>
    </row>
    <row r="1573" spans="1:6">
      <c r="A1573" s="6">
        <v>44135</v>
      </c>
      <c r="B1573" s="98"/>
      <c r="C1573" s="98" t="s">
        <v>405</v>
      </c>
      <c r="D1573" s="98" t="s">
        <v>404</v>
      </c>
      <c r="E1573" s="98" t="s">
        <v>247</v>
      </c>
      <c r="F1573" s="98">
        <v>1471.96</v>
      </c>
    </row>
    <row r="1574" spans="1:6">
      <c r="A1574" s="6">
        <v>44135</v>
      </c>
      <c r="B1574" s="98"/>
      <c r="C1574" s="98" t="s">
        <v>406</v>
      </c>
      <c r="D1574" s="98" t="s">
        <v>404</v>
      </c>
      <c r="E1574" s="98" t="s">
        <v>247</v>
      </c>
      <c r="F1574" s="98">
        <v>327.10000000000002</v>
      </c>
    </row>
    <row r="1575" spans="1:6">
      <c r="A1575" s="6">
        <v>44135</v>
      </c>
      <c r="B1575" s="98"/>
      <c r="C1575" s="98" t="s">
        <v>407</v>
      </c>
      <c r="D1575" s="98" t="s">
        <v>404</v>
      </c>
      <c r="E1575" s="98" t="s">
        <v>247</v>
      </c>
      <c r="F1575" s="98">
        <v>3271.03</v>
      </c>
    </row>
    <row r="1576" spans="1:6">
      <c r="A1576" s="6">
        <v>44135</v>
      </c>
      <c r="B1576" s="98" t="s">
        <v>408</v>
      </c>
      <c r="C1576" s="98" t="s">
        <v>262</v>
      </c>
      <c r="D1576" s="98" t="s">
        <v>409</v>
      </c>
      <c r="E1576" s="98" t="s">
        <v>244</v>
      </c>
      <c r="F1576" s="98">
        <v>54.91</v>
      </c>
    </row>
    <row r="1577" spans="1:6">
      <c r="A1577" s="6">
        <v>44135</v>
      </c>
      <c r="B1577" s="98"/>
      <c r="C1577" s="98" t="s">
        <v>251</v>
      </c>
      <c r="D1577" s="98" t="s">
        <v>409</v>
      </c>
      <c r="E1577" s="98" t="s">
        <v>244</v>
      </c>
      <c r="F1577" s="98">
        <v>6.63</v>
      </c>
    </row>
    <row r="1578" spans="1:6">
      <c r="A1578" s="6">
        <v>44135</v>
      </c>
      <c r="B1578" s="98"/>
      <c r="C1578" s="98" t="s">
        <v>254</v>
      </c>
      <c r="D1578" s="98" t="s">
        <v>409</v>
      </c>
      <c r="E1578" s="98" t="s">
        <v>244</v>
      </c>
      <c r="F1578" s="98">
        <v>14.63</v>
      </c>
    </row>
    <row r="1579" spans="1:6">
      <c r="A1579" s="6">
        <v>44135</v>
      </c>
      <c r="B1579" s="98"/>
      <c r="C1579" s="98" t="s">
        <v>290</v>
      </c>
      <c r="D1579" s="98" t="s">
        <v>409</v>
      </c>
      <c r="E1579" s="98" t="s">
        <v>247</v>
      </c>
      <c r="F1579" s="98">
        <v>682.26</v>
      </c>
    </row>
    <row r="1580" spans="1:6">
      <c r="A1580" s="6">
        <v>44135</v>
      </c>
      <c r="B1580" s="98"/>
      <c r="C1580" s="98" t="s">
        <v>265</v>
      </c>
      <c r="D1580" s="98" t="s">
        <v>409</v>
      </c>
      <c r="E1580" s="98" t="s">
        <v>247</v>
      </c>
      <c r="F1580" s="98">
        <v>66.06</v>
      </c>
    </row>
    <row r="1581" spans="1:6">
      <c r="A1581" s="6">
        <v>44135</v>
      </c>
      <c r="B1581" s="98" t="s">
        <v>410</v>
      </c>
      <c r="C1581" s="98" t="s">
        <v>254</v>
      </c>
      <c r="D1581" s="98" t="s">
        <v>411</v>
      </c>
      <c r="E1581" s="98" t="s">
        <v>244</v>
      </c>
      <c r="F1581" s="98">
        <v>44.78</v>
      </c>
    </row>
    <row r="1582" spans="1:6">
      <c r="A1582" s="6">
        <v>44135</v>
      </c>
      <c r="B1582" s="98"/>
      <c r="C1582" s="98" t="s">
        <v>248</v>
      </c>
      <c r="D1582" s="98" t="s">
        <v>411</v>
      </c>
      <c r="E1582" s="98" t="s">
        <v>247</v>
      </c>
      <c r="F1582" s="98">
        <v>2815.43</v>
      </c>
    </row>
    <row r="1583" spans="1:6">
      <c r="A1583" s="6">
        <v>44135</v>
      </c>
      <c r="B1583" s="98" t="s">
        <v>412</v>
      </c>
      <c r="C1583" s="98" t="s">
        <v>251</v>
      </c>
      <c r="D1583" s="98" t="s">
        <v>413</v>
      </c>
      <c r="E1583" s="98" t="s">
        <v>244</v>
      </c>
      <c r="F1583" s="98">
        <v>3.36</v>
      </c>
    </row>
    <row r="1584" spans="1:6">
      <c r="A1584" s="6">
        <v>44135</v>
      </c>
      <c r="B1584" s="98"/>
      <c r="C1584" s="98" t="s">
        <v>254</v>
      </c>
      <c r="D1584" s="98" t="s">
        <v>413</v>
      </c>
      <c r="E1584" s="98" t="s">
        <v>244</v>
      </c>
      <c r="F1584" s="98">
        <v>18.29</v>
      </c>
    </row>
    <row r="1585" spans="1:6">
      <c r="A1585" s="6">
        <v>44135</v>
      </c>
      <c r="B1585" s="98"/>
      <c r="C1585" s="98" t="s">
        <v>255</v>
      </c>
      <c r="D1585" s="98" t="s">
        <v>413</v>
      </c>
      <c r="E1585" s="98" t="s">
        <v>247</v>
      </c>
      <c r="F1585" s="98">
        <v>1387.72</v>
      </c>
    </row>
    <row r="1586" spans="1:6">
      <c r="A1586" s="6">
        <v>44135</v>
      </c>
      <c r="B1586" s="98"/>
      <c r="C1586" s="98" t="s">
        <v>278</v>
      </c>
      <c r="D1586" s="98" t="s">
        <v>413</v>
      </c>
      <c r="E1586" s="98" t="s">
        <v>247</v>
      </c>
      <c r="F1586" s="98">
        <v>970.85</v>
      </c>
    </row>
    <row r="1587" spans="1:6">
      <c r="A1587" s="6">
        <v>44135</v>
      </c>
      <c r="B1587" s="98"/>
      <c r="C1587" s="98" t="s">
        <v>248</v>
      </c>
      <c r="D1587" s="98" t="s">
        <v>413</v>
      </c>
      <c r="E1587" s="98" t="s">
        <v>247</v>
      </c>
      <c r="F1587" s="98">
        <v>2801.86</v>
      </c>
    </row>
    <row r="1588" spans="1:6">
      <c r="A1588" s="6">
        <v>44135</v>
      </c>
      <c r="B1588" s="98" t="s">
        <v>414</v>
      </c>
      <c r="C1588" s="98" t="s">
        <v>245</v>
      </c>
      <c r="D1588" s="98" t="s">
        <v>415</v>
      </c>
      <c r="E1588" s="98" t="s">
        <v>244</v>
      </c>
      <c r="F1588" s="98">
        <v>8.83</v>
      </c>
    </row>
    <row r="1589" spans="1:6">
      <c r="A1589" s="6">
        <v>44135</v>
      </c>
      <c r="B1589" s="98"/>
      <c r="C1589" s="98" t="s">
        <v>254</v>
      </c>
      <c r="D1589" s="98" t="s">
        <v>415</v>
      </c>
      <c r="E1589" s="98" t="s">
        <v>244</v>
      </c>
      <c r="F1589" s="98">
        <v>3.3</v>
      </c>
    </row>
    <row r="1590" spans="1:6">
      <c r="A1590" s="6">
        <v>44135</v>
      </c>
      <c r="B1590" s="98" t="s">
        <v>416</v>
      </c>
      <c r="C1590" s="98" t="s">
        <v>253</v>
      </c>
      <c r="D1590" s="98" t="s">
        <v>417</v>
      </c>
      <c r="E1590" s="98" t="s">
        <v>244</v>
      </c>
      <c r="F1590" s="98">
        <v>5.88</v>
      </c>
    </row>
    <row r="1591" spans="1:6">
      <c r="A1591" s="6">
        <v>44135</v>
      </c>
      <c r="B1591" s="98"/>
      <c r="C1591" s="98" t="s">
        <v>245</v>
      </c>
      <c r="D1591" s="98" t="s">
        <v>417</v>
      </c>
      <c r="E1591" s="98" t="s">
        <v>244</v>
      </c>
      <c r="F1591" s="98">
        <v>4.6100000000000003</v>
      </c>
    </row>
    <row r="1592" spans="1:6">
      <c r="A1592" s="6">
        <v>44135</v>
      </c>
      <c r="B1592" s="98"/>
      <c r="C1592" s="98" t="s">
        <v>419</v>
      </c>
      <c r="D1592" s="98" t="s">
        <v>417</v>
      </c>
      <c r="E1592" s="98" t="s">
        <v>247</v>
      </c>
      <c r="F1592" s="98">
        <v>1935.01</v>
      </c>
    </row>
    <row r="1593" spans="1:6">
      <c r="A1593" s="6">
        <v>44135</v>
      </c>
      <c r="B1593" s="98"/>
      <c r="C1593" s="98" t="s">
        <v>420</v>
      </c>
      <c r="D1593" s="98" t="s">
        <v>417</v>
      </c>
      <c r="E1593" s="98" t="s">
        <v>247</v>
      </c>
      <c r="F1593" s="98">
        <v>1612.51</v>
      </c>
    </row>
    <row r="1594" spans="1:6">
      <c r="A1594" s="6">
        <v>44135</v>
      </c>
      <c r="B1594" s="98"/>
      <c r="C1594" s="98" t="s">
        <v>469</v>
      </c>
      <c r="D1594" s="98" t="s">
        <v>417</v>
      </c>
      <c r="E1594" s="98" t="s">
        <v>247</v>
      </c>
      <c r="F1594" s="98">
        <v>806.25</v>
      </c>
    </row>
    <row r="1595" spans="1:6">
      <c r="A1595" s="6">
        <v>44135</v>
      </c>
      <c r="B1595" s="98" t="s">
        <v>421</v>
      </c>
      <c r="C1595" s="98" t="s">
        <v>251</v>
      </c>
      <c r="D1595" s="98" t="s">
        <v>422</v>
      </c>
      <c r="E1595" s="98" t="s">
        <v>244</v>
      </c>
      <c r="F1595" s="98">
        <v>18.91</v>
      </c>
    </row>
    <row r="1596" spans="1:6">
      <c r="A1596" s="6">
        <v>44135</v>
      </c>
      <c r="B1596" s="98"/>
      <c r="C1596" s="98" t="s">
        <v>254</v>
      </c>
      <c r="D1596" s="98" t="s">
        <v>422</v>
      </c>
      <c r="E1596" s="98" t="s">
        <v>244</v>
      </c>
      <c r="F1596" s="98">
        <v>44.93</v>
      </c>
    </row>
    <row r="1597" spans="1:6">
      <c r="A1597" s="6">
        <v>44135</v>
      </c>
      <c r="B1597" s="98"/>
      <c r="C1597" s="98" t="s">
        <v>368</v>
      </c>
      <c r="D1597" s="98" t="s">
        <v>422</v>
      </c>
      <c r="E1597" s="98" t="s">
        <v>247</v>
      </c>
      <c r="F1597" s="98">
        <v>3139.04</v>
      </c>
    </row>
    <row r="1598" spans="1:6">
      <c r="A1598" s="6">
        <v>44135</v>
      </c>
      <c r="B1598" s="98" t="s">
        <v>425</v>
      </c>
      <c r="C1598" s="98" t="s">
        <v>242</v>
      </c>
      <c r="D1598" s="98" t="s">
        <v>426</v>
      </c>
      <c r="E1598" s="98" t="s">
        <v>244</v>
      </c>
      <c r="F1598" s="98">
        <v>246.11</v>
      </c>
    </row>
    <row r="1599" spans="1:6">
      <c r="A1599" s="6">
        <v>44135</v>
      </c>
      <c r="B1599" s="98"/>
      <c r="C1599" s="98" t="s">
        <v>262</v>
      </c>
      <c r="D1599" s="98" t="s">
        <v>426</v>
      </c>
      <c r="E1599" s="98" t="s">
        <v>244</v>
      </c>
      <c r="F1599" s="98">
        <v>213.41</v>
      </c>
    </row>
    <row r="1600" spans="1:6">
      <c r="A1600" s="6">
        <v>44135</v>
      </c>
      <c r="B1600" s="98"/>
      <c r="C1600" s="98" t="s">
        <v>251</v>
      </c>
      <c r="D1600" s="98" t="s">
        <v>426</v>
      </c>
      <c r="E1600" s="98" t="s">
        <v>244</v>
      </c>
      <c r="F1600" s="98">
        <v>53.36</v>
      </c>
    </row>
    <row r="1601" spans="1:6">
      <c r="A1601" s="6">
        <v>44135</v>
      </c>
      <c r="B1601" s="98"/>
      <c r="C1601" s="98" t="s">
        <v>253</v>
      </c>
      <c r="D1601" s="98" t="s">
        <v>426</v>
      </c>
      <c r="E1601" s="98" t="s">
        <v>244</v>
      </c>
      <c r="F1601" s="98">
        <v>11.24</v>
      </c>
    </row>
    <row r="1602" spans="1:6">
      <c r="A1602" s="6">
        <v>44135</v>
      </c>
      <c r="B1602" s="98"/>
      <c r="C1602" s="98" t="s">
        <v>245</v>
      </c>
      <c r="D1602" s="98" t="s">
        <v>426</v>
      </c>
      <c r="E1602" s="98" t="s">
        <v>244</v>
      </c>
      <c r="F1602" s="98">
        <v>66.66</v>
      </c>
    </row>
    <row r="1603" spans="1:6">
      <c r="A1603" s="6">
        <v>44135</v>
      </c>
      <c r="B1603" s="98"/>
      <c r="C1603" s="98" t="s">
        <v>264</v>
      </c>
      <c r="D1603" s="98" t="s">
        <v>426</v>
      </c>
      <c r="E1603" s="98" t="s">
        <v>244</v>
      </c>
      <c r="F1603" s="98">
        <v>177.4</v>
      </c>
    </row>
    <row r="1604" spans="1:6">
      <c r="A1604" s="6">
        <v>44135</v>
      </c>
      <c r="B1604" s="98"/>
      <c r="C1604" s="98" t="s">
        <v>254</v>
      </c>
      <c r="D1604" s="98" t="s">
        <v>426</v>
      </c>
      <c r="E1604" s="98" t="s">
        <v>244</v>
      </c>
      <c r="F1604" s="98">
        <v>2.41</v>
      </c>
    </row>
    <row r="1605" spans="1:6">
      <c r="A1605" s="6">
        <v>44135</v>
      </c>
      <c r="B1605" s="98"/>
      <c r="C1605" s="98" t="s">
        <v>289</v>
      </c>
      <c r="D1605" s="98" t="s">
        <v>426</v>
      </c>
      <c r="E1605" s="98" t="s">
        <v>247</v>
      </c>
      <c r="F1605" s="98">
        <v>1805.46</v>
      </c>
    </row>
    <row r="1606" spans="1:6">
      <c r="A1606" s="6">
        <v>44135</v>
      </c>
      <c r="B1606" s="98" t="s">
        <v>427</v>
      </c>
      <c r="C1606" s="98" t="s">
        <v>242</v>
      </c>
      <c r="D1606" s="98" t="s">
        <v>428</v>
      </c>
      <c r="E1606" s="98" t="s">
        <v>244</v>
      </c>
      <c r="F1606" s="98">
        <v>305.81</v>
      </c>
    </row>
    <row r="1607" spans="1:6">
      <c r="A1607" s="6">
        <v>44135</v>
      </c>
      <c r="B1607" s="98"/>
      <c r="C1607" s="98" t="s">
        <v>262</v>
      </c>
      <c r="D1607" s="98" t="s">
        <v>428</v>
      </c>
      <c r="E1607" s="98" t="s">
        <v>244</v>
      </c>
      <c r="F1607" s="98">
        <v>1325.93</v>
      </c>
    </row>
    <row r="1608" spans="1:6">
      <c r="A1608" s="6">
        <v>44135</v>
      </c>
      <c r="B1608" s="98"/>
      <c r="C1608" s="98" t="s">
        <v>251</v>
      </c>
      <c r="D1608" s="98" t="s">
        <v>428</v>
      </c>
      <c r="E1608" s="98" t="s">
        <v>244</v>
      </c>
      <c r="F1608" s="98">
        <v>26.07</v>
      </c>
    </row>
    <row r="1609" spans="1:6">
      <c r="A1609" s="6">
        <v>44135</v>
      </c>
      <c r="B1609" s="98"/>
      <c r="C1609" s="98" t="s">
        <v>245</v>
      </c>
      <c r="D1609" s="98" t="s">
        <v>428</v>
      </c>
      <c r="E1609" s="98" t="s">
        <v>244</v>
      </c>
      <c r="F1609" s="98">
        <v>414.18</v>
      </c>
    </row>
    <row r="1610" spans="1:6">
      <c r="A1610" s="6">
        <v>44135</v>
      </c>
      <c r="B1610" s="98" t="s">
        <v>429</v>
      </c>
      <c r="C1610" s="98" t="s">
        <v>251</v>
      </c>
      <c r="D1610" s="98" t="s">
        <v>430</v>
      </c>
      <c r="E1610" s="98" t="s">
        <v>244</v>
      </c>
      <c r="F1610" s="98">
        <v>77.53</v>
      </c>
    </row>
    <row r="1611" spans="1:6">
      <c r="A1611" s="6">
        <v>44135</v>
      </c>
      <c r="B1611" s="98"/>
      <c r="C1611" s="98" t="s">
        <v>253</v>
      </c>
      <c r="D1611" s="98" t="s">
        <v>430</v>
      </c>
      <c r="E1611" s="98" t="s">
        <v>244</v>
      </c>
      <c r="F1611" s="98">
        <v>26.84</v>
      </c>
    </row>
    <row r="1612" spans="1:6">
      <c r="A1612" s="6">
        <v>44135</v>
      </c>
      <c r="B1612" s="98"/>
      <c r="C1612" s="98" t="s">
        <v>245</v>
      </c>
      <c r="D1612" s="98" t="s">
        <v>430</v>
      </c>
      <c r="E1612" s="98" t="s">
        <v>244</v>
      </c>
      <c r="F1612" s="98">
        <v>171.08</v>
      </c>
    </row>
    <row r="1613" spans="1:6">
      <c r="A1613" s="6">
        <v>44135</v>
      </c>
      <c r="B1613" s="98"/>
      <c r="C1613" s="98" t="s">
        <v>246</v>
      </c>
      <c r="D1613" s="98" t="s">
        <v>430</v>
      </c>
      <c r="E1613" s="98" t="s">
        <v>247</v>
      </c>
      <c r="F1613" s="98">
        <v>1762.96</v>
      </c>
    </row>
    <row r="1614" spans="1:6">
      <c r="A1614" s="6">
        <v>44135</v>
      </c>
      <c r="B1614" s="98"/>
      <c r="C1614" s="98" t="s">
        <v>265</v>
      </c>
      <c r="D1614" s="98" t="s">
        <v>430</v>
      </c>
      <c r="E1614" s="98" t="s">
        <v>247</v>
      </c>
      <c r="F1614" s="98">
        <v>1221.5899999999999</v>
      </c>
    </row>
    <row r="1615" spans="1:6">
      <c r="A1615" s="6">
        <v>44135</v>
      </c>
      <c r="B1615" s="98"/>
      <c r="C1615" s="98" t="s">
        <v>249</v>
      </c>
      <c r="D1615" s="98" t="s">
        <v>430</v>
      </c>
      <c r="E1615" s="98" t="s">
        <v>247</v>
      </c>
      <c r="F1615" s="98">
        <v>15822.07</v>
      </c>
    </row>
    <row r="1616" spans="1:6">
      <c r="A1616" s="6">
        <v>44135</v>
      </c>
      <c r="B1616" s="98"/>
      <c r="C1616" s="98" t="s">
        <v>274</v>
      </c>
      <c r="D1616" s="98" t="s">
        <v>430</v>
      </c>
      <c r="E1616" s="98" t="s">
        <v>247</v>
      </c>
      <c r="F1616" s="98">
        <v>7296.73</v>
      </c>
    </row>
    <row r="1617" spans="1:6">
      <c r="A1617" s="6">
        <v>44135</v>
      </c>
      <c r="B1617" s="98" t="s">
        <v>431</v>
      </c>
      <c r="C1617" s="98" t="s">
        <v>251</v>
      </c>
      <c r="D1617" s="98" t="s">
        <v>432</v>
      </c>
      <c r="E1617" s="98" t="s">
        <v>244</v>
      </c>
      <c r="F1617" s="98">
        <v>42.59</v>
      </c>
    </row>
    <row r="1618" spans="1:6">
      <c r="A1618" s="6">
        <v>44135</v>
      </c>
      <c r="B1618" s="98"/>
      <c r="C1618" s="98" t="s">
        <v>249</v>
      </c>
      <c r="D1618" s="98" t="s">
        <v>432</v>
      </c>
      <c r="E1618" s="98" t="s">
        <v>247</v>
      </c>
      <c r="F1618" s="98">
        <v>4675.68</v>
      </c>
    </row>
    <row r="1619" spans="1:6">
      <c r="A1619" s="6">
        <v>44135</v>
      </c>
      <c r="B1619" s="98" t="s">
        <v>433</v>
      </c>
      <c r="C1619" s="98" t="s">
        <v>254</v>
      </c>
      <c r="D1619" s="98" t="s">
        <v>434</v>
      </c>
      <c r="E1619" s="98" t="s">
        <v>244</v>
      </c>
      <c r="F1619" s="98">
        <v>38.090000000000003</v>
      </c>
    </row>
    <row r="1620" spans="1:6">
      <c r="A1620" s="6">
        <v>44135</v>
      </c>
      <c r="B1620" s="98" t="s">
        <v>435</v>
      </c>
      <c r="C1620" s="98" t="s">
        <v>242</v>
      </c>
      <c r="D1620" s="98" t="s">
        <v>436</v>
      </c>
      <c r="E1620" s="98" t="s">
        <v>244</v>
      </c>
      <c r="F1620" s="98">
        <v>196.56</v>
      </c>
    </row>
    <row r="1621" spans="1:6">
      <c r="A1621" s="6">
        <v>44135</v>
      </c>
      <c r="B1621" s="98"/>
      <c r="C1621" s="98" t="s">
        <v>262</v>
      </c>
      <c r="D1621" s="98" t="s">
        <v>436</v>
      </c>
      <c r="E1621" s="98" t="s">
        <v>244</v>
      </c>
      <c r="F1621" s="98">
        <v>812.08</v>
      </c>
    </row>
    <row r="1622" spans="1:6">
      <c r="A1622" s="6">
        <v>44135</v>
      </c>
      <c r="B1622" s="98"/>
      <c r="C1622" s="98" t="s">
        <v>253</v>
      </c>
      <c r="D1622" s="98" t="s">
        <v>436</v>
      </c>
      <c r="E1622" s="98" t="s">
        <v>244</v>
      </c>
      <c r="F1622" s="98">
        <v>44.67</v>
      </c>
    </row>
    <row r="1623" spans="1:6">
      <c r="A1623" s="6">
        <v>44135</v>
      </c>
      <c r="B1623" s="98"/>
      <c r="C1623" s="98" t="s">
        <v>245</v>
      </c>
      <c r="D1623" s="98" t="s">
        <v>436</v>
      </c>
      <c r="E1623" s="98" t="s">
        <v>244</v>
      </c>
      <c r="F1623" s="98">
        <v>114.34</v>
      </c>
    </row>
    <row r="1624" spans="1:6">
      <c r="A1624" s="6">
        <v>44135</v>
      </c>
      <c r="B1624" s="98"/>
      <c r="C1624" s="98" t="s">
        <v>255</v>
      </c>
      <c r="D1624" s="98" t="s">
        <v>436</v>
      </c>
      <c r="E1624" s="98" t="s">
        <v>247</v>
      </c>
      <c r="F1624" s="98">
        <v>642.44000000000005</v>
      </c>
    </row>
    <row r="1625" spans="1:6">
      <c r="A1625" s="6">
        <v>44135</v>
      </c>
      <c r="B1625" s="98"/>
      <c r="C1625" s="98" t="s">
        <v>289</v>
      </c>
      <c r="D1625" s="98" t="s">
        <v>436</v>
      </c>
      <c r="E1625" s="98" t="s">
        <v>247</v>
      </c>
      <c r="F1625" s="98">
        <v>1204.58</v>
      </c>
    </row>
    <row r="1626" spans="1:6">
      <c r="A1626" s="6">
        <v>44135</v>
      </c>
      <c r="B1626" s="98" t="s">
        <v>437</v>
      </c>
      <c r="C1626" s="98" t="s">
        <v>242</v>
      </c>
      <c r="D1626" s="98" t="s">
        <v>438</v>
      </c>
      <c r="E1626" s="98" t="s">
        <v>244</v>
      </c>
      <c r="F1626" s="98">
        <v>457.53</v>
      </c>
    </row>
    <row r="1627" spans="1:6">
      <c r="A1627" s="6">
        <v>44135</v>
      </c>
      <c r="B1627" s="98"/>
      <c r="C1627" s="98" t="s">
        <v>262</v>
      </c>
      <c r="D1627" s="98" t="s">
        <v>438</v>
      </c>
      <c r="E1627" s="98" t="s">
        <v>244</v>
      </c>
      <c r="F1627" s="98">
        <v>1012.68</v>
      </c>
    </row>
    <row r="1628" spans="1:6">
      <c r="A1628" s="6">
        <v>44135</v>
      </c>
      <c r="B1628" s="98"/>
      <c r="C1628" s="98" t="s">
        <v>253</v>
      </c>
      <c r="D1628" s="98" t="s">
        <v>438</v>
      </c>
      <c r="E1628" s="98" t="s">
        <v>244</v>
      </c>
      <c r="F1628" s="98">
        <v>57.24</v>
      </c>
    </row>
    <row r="1629" spans="1:6">
      <c r="A1629" s="6">
        <v>44135</v>
      </c>
      <c r="B1629" s="98"/>
      <c r="C1629" s="98" t="s">
        <v>245</v>
      </c>
      <c r="D1629" s="98" t="s">
        <v>438</v>
      </c>
      <c r="E1629" s="98" t="s">
        <v>244</v>
      </c>
      <c r="F1629" s="98">
        <v>148.31</v>
      </c>
    </row>
    <row r="1630" spans="1:6">
      <c r="A1630" s="6">
        <v>44135</v>
      </c>
      <c r="B1630" s="98"/>
      <c r="C1630" s="98" t="s">
        <v>254</v>
      </c>
      <c r="D1630" s="98" t="s">
        <v>438</v>
      </c>
      <c r="E1630" s="98" t="s">
        <v>244</v>
      </c>
      <c r="F1630" s="98">
        <v>23.01</v>
      </c>
    </row>
    <row r="1631" spans="1:6">
      <c r="A1631" s="6">
        <v>44135</v>
      </c>
      <c r="B1631" s="98" t="s">
        <v>439</v>
      </c>
      <c r="C1631" s="98" t="s">
        <v>242</v>
      </c>
      <c r="D1631" s="98" t="s">
        <v>440</v>
      </c>
      <c r="E1631" s="98" t="s">
        <v>244</v>
      </c>
      <c r="F1631" s="98">
        <v>1191.8499999999999</v>
      </c>
    </row>
    <row r="1632" spans="1:6">
      <c r="A1632" s="6">
        <v>44135</v>
      </c>
      <c r="B1632" s="98"/>
      <c r="C1632" s="98" t="s">
        <v>245</v>
      </c>
      <c r="D1632" s="98" t="s">
        <v>440</v>
      </c>
      <c r="E1632" s="98" t="s">
        <v>244</v>
      </c>
      <c r="F1632" s="98">
        <v>461.12</v>
      </c>
    </row>
    <row r="1633" spans="1:6">
      <c r="A1633" s="6">
        <v>44135</v>
      </c>
      <c r="B1633" s="98"/>
      <c r="C1633" s="98" t="s">
        <v>246</v>
      </c>
      <c r="D1633" s="98" t="s">
        <v>440</v>
      </c>
      <c r="E1633" s="98" t="s">
        <v>247</v>
      </c>
      <c r="F1633" s="98">
        <v>3306.45</v>
      </c>
    </row>
    <row r="1634" spans="1:6">
      <c r="A1634" s="6">
        <v>44135</v>
      </c>
      <c r="B1634" s="98" t="s">
        <v>441</v>
      </c>
      <c r="C1634" s="98" t="s">
        <v>248</v>
      </c>
      <c r="D1634" s="98" t="s">
        <v>442</v>
      </c>
      <c r="E1634" s="98" t="s">
        <v>247</v>
      </c>
      <c r="F1634" s="98">
        <v>431.03</v>
      </c>
    </row>
    <row r="1635" spans="1:6">
      <c r="A1635" s="6">
        <v>44135</v>
      </c>
      <c r="B1635" s="98" t="s">
        <v>443</v>
      </c>
      <c r="C1635" s="98" t="s">
        <v>248</v>
      </c>
      <c r="D1635" s="98" t="s">
        <v>444</v>
      </c>
      <c r="E1635" s="98" t="s">
        <v>247</v>
      </c>
      <c r="F1635" s="98">
        <v>3049.82</v>
      </c>
    </row>
    <row r="1636" spans="1:6">
      <c r="A1636" s="6">
        <v>44135</v>
      </c>
      <c r="B1636" s="98"/>
      <c r="C1636" s="98" t="s">
        <v>290</v>
      </c>
      <c r="D1636" s="98" t="s">
        <v>444</v>
      </c>
      <c r="E1636" s="98" t="s">
        <v>247</v>
      </c>
      <c r="F1636" s="98">
        <v>1205.8</v>
      </c>
    </row>
    <row r="1637" spans="1:6">
      <c r="A1637" s="6">
        <v>44135</v>
      </c>
      <c r="B1637" s="98" t="s">
        <v>445</v>
      </c>
      <c r="C1637" s="98" t="s">
        <v>290</v>
      </c>
      <c r="D1637" s="98" t="s">
        <v>446</v>
      </c>
      <c r="E1637" s="98" t="s">
        <v>247</v>
      </c>
      <c r="F1637" s="98">
        <v>234.96</v>
      </c>
    </row>
    <row r="1638" spans="1:6">
      <c r="A1638" s="6">
        <v>44135</v>
      </c>
      <c r="B1638" s="98" t="s">
        <v>447</v>
      </c>
      <c r="C1638" s="98" t="s">
        <v>448</v>
      </c>
      <c r="D1638" s="98" t="s">
        <v>449</v>
      </c>
      <c r="E1638" s="98" t="s">
        <v>247</v>
      </c>
      <c r="F1638" s="98">
        <v>493.96</v>
      </c>
    </row>
    <row r="1639" spans="1:6">
      <c r="A1639" s="6">
        <v>44135</v>
      </c>
      <c r="B1639" s="98"/>
      <c r="C1639" s="98" t="s">
        <v>450</v>
      </c>
      <c r="D1639" s="98" t="s">
        <v>449</v>
      </c>
      <c r="E1639" s="98" t="s">
        <v>247</v>
      </c>
      <c r="F1639" s="98">
        <v>493.96</v>
      </c>
    </row>
    <row r="1640" spans="1:6">
      <c r="A1640" s="6">
        <v>44135</v>
      </c>
      <c r="B1640" s="98" t="s">
        <v>451</v>
      </c>
      <c r="C1640" s="98" t="s">
        <v>242</v>
      </c>
      <c r="D1640" s="98" t="s">
        <v>452</v>
      </c>
      <c r="E1640" s="98" t="s">
        <v>244</v>
      </c>
      <c r="F1640" s="98">
        <v>139.22</v>
      </c>
    </row>
    <row r="1641" spans="1:6">
      <c r="A1641" s="6">
        <v>44135</v>
      </c>
      <c r="B1641" s="98"/>
      <c r="C1641" s="98" t="s">
        <v>253</v>
      </c>
      <c r="D1641" s="98" t="s">
        <v>452</v>
      </c>
      <c r="E1641" s="98" t="s">
        <v>244</v>
      </c>
      <c r="F1641" s="98">
        <v>18.600000000000001</v>
      </c>
    </row>
    <row r="1642" spans="1:6">
      <c r="A1642" s="6">
        <v>44135</v>
      </c>
      <c r="B1642" s="98"/>
      <c r="C1642" s="98" t="s">
        <v>254</v>
      </c>
      <c r="D1642" s="98" t="s">
        <v>452</v>
      </c>
      <c r="E1642" s="98" t="s">
        <v>244</v>
      </c>
      <c r="F1642" s="98">
        <v>66.19</v>
      </c>
    </row>
    <row r="1643" spans="1:6">
      <c r="A1643" s="6">
        <v>44135</v>
      </c>
      <c r="B1643" s="98" t="s">
        <v>453</v>
      </c>
      <c r="C1643" s="98" t="s">
        <v>262</v>
      </c>
      <c r="D1643" s="98" t="s">
        <v>454</v>
      </c>
      <c r="E1643" s="98" t="s">
        <v>244</v>
      </c>
      <c r="F1643" s="98">
        <v>561.91</v>
      </c>
    </row>
    <row r="1644" spans="1:6">
      <c r="A1644" s="6">
        <v>44135</v>
      </c>
      <c r="B1644" s="98"/>
      <c r="C1644" s="98" t="s">
        <v>251</v>
      </c>
      <c r="D1644" s="98" t="s">
        <v>454</v>
      </c>
      <c r="E1644" s="98" t="s">
        <v>244</v>
      </c>
      <c r="F1644" s="98">
        <v>3.39</v>
      </c>
    </row>
    <row r="1645" spans="1:6">
      <c r="A1645" s="6">
        <v>44135</v>
      </c>
      <c r="B1645" s="98" t="s">
        <v>455</v>
      </c>
      <c r="C1645" s="98" t="s">
        <v>254</v>
      </c>
      <c r="D1645" s="98" t="s">
        <v>456</v>
      </c>
      <c r="E1645" s="98" t="s">
        <v>244</v>
      </c>
      <c r="F1645" s="98">
        <v>167.52</v>
      </c>
    </row>
    <row r="1646" spans="1:6">
      <c r="A1646" s="6">
        <v>44135</v>
      </c>
      <c r="B1646" s="98" t="s">
        <v>470</v>
      </c>
      <c r="C1646" s="98" t="s">
        <v>242</v>
      </c>
      <c r="D1646" s="98" t="s">
        <v>471</v>
      </c>
      <c r="E1646" s="98" t="s">
        <v>244</v>
      </c>
      <c r="F1646" s="98">
        <v>481.67</v>
      </c>
    </row>
    <row r="1647" spans="1:6">
      <c r="A1647" s="6">
        <v>44135</v>
      </c>
      <c r="B1647" s="98"/>
      <c r="C1647" s="98" t="s">
        <v>262</v>
      </c>
      <c r="D1647" s="98" t="s">
        <v>471</v>
      </c>
      <c r="E1647" s="98" t="s">
        <v>244</v>
      </c>
      <c r="F1647" s="98">
        <v>1393.56</v>
      </c>
    </row>
    <row r="1648" spans="1:6">
      <c r="A1648" s="6">
        <v>44135</v>
      </c>
      <c r="B1648" s="98"/>
      <c r="C1648" s="98" t="s">
        <v>245</v>
      </c>
      <c r="D1648" s="98" t="s">
        <v>471</v>
      </c>
      <c r="E1648" s="98" t="s">
        <v>244</v>
      </c>
      <c r="F1648" s="98">
        <v>356.44</v>
      </c>
    </row>
    <row r="1649" spans="1:6">
      <c r="A1649" s="6">
        <v>44135</v>
      </c>
      <c r="B1649" s="98"/>
      <c r="C1649" s="98" t="s">
        <v>264</v>
      </c>
      <c r="D1649" s="98" t="s">
        <v>471</v>
      </c>
      <c r="E1649" s="98" t="s">
        <v>244</v>
      </c>
      <c r="F1649" s="98">
        <v>295.58</v>
      </c>
    </row>
    <row r="1650" spans="1:6">
      <c r="A1650" s="6">
        <v>44135</v>
      </c>
      <c r="B1650" s="98" t="s">
        <v>472</v>
      </c>
      <c r="C1650" s="98" t="s">
        <v>253</v>
      </c>
      <c r="D1650" s="98" t="s">
        <v>473</v>
      </c>
      <c r="E1650" s="98" t="s">
        <v>244</v>
      </c>
      <c r="F1650" s="98">
        <v>17.059999999999999</v>
      </c>
    </row>
    <row r="1651" spans="1:6">
      <c r="A1651" s="6">
        <v>44135</v>
      </c>
      <c r="B1651" s="98" t="s">
        <v>484</v>
      </c>
      <c r="C1651" s="98" t="s">
        <v>245</v>
      </c>
      <c r="D1651" s="98" t="s">
        <v>485</v>
      </c>
      <c r="E1651" s="98" t="s">
        <v>244</v>
      </c>
      <c r="F1651" s="98">
        <v>9.4499999999999993</v>
      </c>
    </row>
    <row r="1652" spans="1:6">
      <c r="A1652" s="6">
        <v>44165</v>
      </c>
      <c r="B1652" s="98" t="s">
        <v>241</v>
      </c>
      <c r="C1652" s="98" t="s">
        <v>242</v>
      </c>
      <c r="D1652" s="98" t="s">
        <v>243</v>
      </c>
      <c r="E1652" s="98" t="s">
        <v>244</v>
      </c>
      <c r="F1652" s="98">
        <v>93.62</v>
      </c>
    </row>
    <row r="1653" spans="1:6">
      <c r="A1653" s="6">
        <v>44165</v>
      </c>
      <c r="B1653" s="98"/>
      <c r="C1653" s="98" t="s">
        <v>245</v>
      </c>
      <c r="D1653" s="98" t="s">
        <v>243</v>
      </c>
      <c r="E1653" s="98" t="s">
        <v>244</v>
      </c>
      <c r="F1653" s="98">
        <v>317.27999999999997</v>
      </c>
    </row>
    <row r="1654" spans="1:6">
      <c r="A1654" s="6">
        <v>44165</v>
      </c>
      <c r="B1654" s="98"/>
      <c r="C1654" s="98" t="s">
        <v>246</v>
      </c>
      <c r="D1654" s="98" t="s">
        <v>243</v>
      </c>
      <c r="E1654" s="98" t="s">
        <v>247</v>
      </c>
      <c r="F1654" s="98">
        <v>1298.83</v>
      </c>
    </row>
    <row r="1655" spans="1:6">
      <c r="A1655" s="6">
        <v>44165</v>
      </c>
      <c r="B1655" s="98"/>
      <c r="C1655" s="98" t="s">
        <v>248</v>
      </c>
      <c r="D1655" s="98" t="s">
        <v>243</v>
      </c>
      <c r="E1655" s="98" t="s">
        <v>247</v>
      </c>
      <c r="F1655" s="98">
        <v>2783.3</v>
      </c>
    </row>
    <row r="1656" spans="1:6">
      <c r="A1656" s="6">
        <v>44165</v>
      </c>
      <c r="B1656" s="98"/>
      <c r="C1656" s="98" t="s">
        <v>249</v>
      </c>
      <c r="D1656" s="98" t="s">
        <v>243</v>
      </c>
      <c r="E1656" s="98" t="s">
        <v>247</v>
      </c>
      <c r="F1656" s="98">
        <v>404</v>
      </c>
    </row>
    <row r="1657" spans="1:6">
      <c r="A1657" s="6">
        <v>44165</v>
      </c>
      <c r="B1657" s="98" t="s">
        <v>250</v>
      </c>
      <c r="C1657" s="98" t="s">
        <v>251</v>
      </c>
      <c r="D1657" s="98" t="s">
        <v>252</v>
      </c>
      <c r="E1657" s="98" t="s">
        <v>244</v>
      </c>
      <c r="F1657" s="98">
        <v>118.23</v>
      </c>
    </row>
    <row r="1658" spans="1:6">
      <c r="A1658" s="6">
        <v>44165</v>
      </c>
      <c r="B1658" s="98"/>
      <c r="C1658" s="98" t="s">
        <v>253</v>
      </c>
      <c r="D1658" s="98" t="s">
        <v>252</v>
      </c>
      <c r="E1658" s="98" t="s">
        <v>244</v>
      </c>
      <c r="F1658" s="98">
        <v>47.91</v>
      </c>
    </row>
    <row r="1659" spans="1:6">
      <c r="A1659" s="6">
        <v>44165</v>
      </c>
      <c r="B1659" s="98"/>
      <c r="C1659" s="98" t="s">
        <v>254</v>
      </c>
      <c r="D1659" s="98" t="s">
        <v>252</v>
      </c>
      <c r="E1659" s="98" t="s">
        <v>244</v>
      </c>
      <c r="F1659" s="98">
        <v>250.96</v>
      </c>
    </row>
    <row r="1660" spans="1:6">
      <c r="A1660" s="6">
        <v>44165</v>
      </c>
      <c r="B1660" s="98"/>
      <c r="C1660" s="98" t="s">
        <v>255</v>
      </c>
      <c r="D1660" s="98" t="s">
        <v>252</v>
      </c>
      <c r="E1660" s="98" t="s">
        <v>247</v>
      </c>
      <c r="F1660" s="98">
        <v>1228.02</v>
      </c>
    </row>
    <row r="1661" spans="1:6">
      <c r="A1661" s="6">
        <v>44165</v>
      </c>
      <c r="B1661" s="98"/>
      <c r="C1661" s="98" t="s">
        <v>246</v>
      </c>
      <c r="D1661" s="98" t="s">
        <v>252</v>
      </c>
      <c r="E1661" s="98" t="s">
        <v>247</v>
      </c>
      <c r="F1661" s="98">
        <v>981.58</v>
      </c>
    </row>
    <row r="1662" spans="1:6">
      <c r="A1662" s="6">
        <v>44165</v>
      </c>
      <c r="B1662" s="98"/>
      <c r="C1662" s="98" t="s">
        <v>256</v>
      </c>
      <c r="D1662" s="98" t="s">
        <v>252</v>
      </c>
      <c r="E1662" s="98" t="s">
        <v>247</v>
      </c>
      <c r="F1662" s="98">
        <v>5655.6</v>
      </c>
    </row>
    <row r="1663" spans="1:6">
      <c r="A1663" s="6">
        <v>44165</v>
      </c>
      <c r="B1663" s="98"/>
      <c r="C1663" s="98" t="s">
        <v>257</v>
      </c>
      <c r="D1663" s="98" t="s">
        <v>252</v>
      </c>
      <c r="E1663" s="98" t="s">
        <v>258</v>
      </c>
      <c r="F1663" s="98">
        <v>10496.91</v>
      </c>
    </row>
    <row r="1664" spans="1:6">
      <c r="A1664" s="6">
        <v>44165</v>
      </c>
      <c r="B1664" s="98"/>
      <c r="C1664" s="98" t="s">
        <v>266</v>
      </c>
      <c r="D1664" s="98" t="s">
        <v>252</v>
      </c>
      <c r="E1664" s="98" t="s">
        <v>258</v>
      </c>
      <c r="F1664" s="98">
        <v>1085.51</v>
      </c>
    </row>
    <row r="1665" spans="1:6">
      <c r="A1665" s="6">
        <v>44165</v>
      </c>
      <c r="B1665" s="98"/>
      <c r="C1665" s="98" t="s">
        <v>259</v>
      </c>
      <c r="D1665" s="98" t="s">
        <v>252</v>
      </c>
      <c r="E1665" s="98" t="s">
        <v>258</v>
      </c>
      <c r="F1665" s="98">
        <v>12238.09</v>
      </c>
    </row>
    <row r="1666" spans="1:6">
      <c r="A1666" s="6">
        <v>44165</v>
      </c>
      <c r="B1666" s="98"/>
      <c r="C1666" s="98" t="s">
        <v>260</v>
      </c>
      <c r="D1666" s="98" t="s">
        <v>252</v>
      </c>
      <c r="E1666" s="98" t="s">
        <v>258</v>
      </c>
      <c r="F1666" s="98">
        <v>831.37</v>
      </c>
    </row>
    <row r="1667" spans="1:6">
      <c r="A1667" s="6">
        <v>44165</v>
      </c>
      <c r="B1667" s="98" t="s">
        <v>261</v>
      </c>
      <c r="C1667" s="98" t="s">
        <v>262</v>
      </c>
      <c r="D1667" s="98" t="s">
        <v>263</v>
      </c>
      <c r="E1667" s="98" t="s">
        <v>244</v>
      </c>
      <c r="F1667" s="98">
        <v>122.7</v>
      </c>
    </row>
    <row r="1668" spans="1:6">
      <c r="A1668" s="6">
        <v>44165</v>
      </c>
      <c r="B1668" s="98"/>
      <c r="C1668" s="98" t="s">
        <v>253</v>
      </c>
      <c r="D1668" s="98" t="s">
        <v>263</v>
      </c>
      <c r="E1668" s="98" t="s">
        <v>244</v>
      </c>
      <c r="F1668" s="98">
        <v>84.63</v>
      </c>
    </row>
    <row r="1669" spans="1:6">
      <c r="A1669" s="6">
        <v>44165</v>
      </c>
      <c r="B1669" s="98"/>
      <c r="C1669" s="98" t="s">
        <v>245</v>
      </c>
      <c r="D1669" s="98" t="s">
        <v>263</v>
      </c>
      <c r="E1669" s="98" t="s">
        <v>244</v>
      </c>
      <c r="F1669" s="98">
        <v>26.5</v>
      </c>
    </row>
    <row r="1670" spans="1:6">
      <c r="A1670" s="6">
        <v>44165</v>
      </c>
      <c r="B1670" s="98"/>
      <c r="C1670" s="98" t="s">
        <v>264</v>
      </c>
      <c r="D1670" s="98" t="s">
        <v>263</v>
      </c>
      <c r="E1670" s="98" t="s">
        <v>244</v>
      </c>
      <c r="F1670" s="98">
        <v>315.58</v>
      </c>
    </row>
    <row r="1671" spans="1:6">
      <c r="A1671" s="6">
        <v>44165</v>
      </c>
      <c r="B1671" s="98"/>
      <c r="C1671" s="98" t="s">
        <v>248</v>
      </c>
      <c r="D1671" s="98" t="s">
        <v>263</v>
      </c>
      <c r="E1671" s="98" t="s">
        <v>247</v>
      </c>
      <c r="F1671" s="98">
        <v>5575.69</v>
      </c>
    </row>
    <row r="1672" spans="1:6">
      <c r="A1672" s="6">
        <v>44165</v>
      </c>
      <c r="B1672" s="98"/>
      <c r="C1672" s="98" t="s">
        <v>265</v>
      </c>
      <c r="D1672" s="98" t="s">
        <v>263</v>
      </c>
      <c r="E1672" s="98" t="s">
        <v>247</v>
      </c>
      <c r="F1672" s="98">
        <v>1184.6500000000001</v>
      </c>
    </row>
    <row r="1673" spans="1:6">
      <c r="A1673" s="6">
        <v>44165</v>
      </c>
      <c r="B1673" s="98"/>
      <c r="C1673" s="98" t="s">
        <v>266</v>
      </c>
      <c r="D1673" s="98" t="s">
        <v>263</v>
      </c>
      <c r="E1673" s="98" t="s">
        <v>258</v>
      </c>
      <c r="F1673" s="98">
        <v>25324.6</v>
      </c>
    </row>
    <row r="1674" spans="1:6">
      <c r="A1674" s="6">
        <v>44165</v>
      </c>
      <c r="B1674" s="98"/>
      <c r="C1674" s="98" t="s">
        <v>260</v>
      </c>
      <c r="D1674" s="98" t="s">
        <v>263</v>
      </c>
      <c r="E1674" s="98" t="s">
        <v>258</v>
      </c>
      <c r="F1674" s="98">
        <v>7819.17</v>
      </c>
    </row>
    <row r="1675" spans="1:6">
      <c r="A1675" s="6">
        <v>44165</v>
      </c>
      <c r="B1675" s="98" t="s">
        <v>267</v>
      </c>
      <c r="C1675" s="98" t="s">
        <v>242</v>
      </c>
      <c r="D1675" s="98" t="s">
        <v>268</v>
      </c>
      <c r="E1675" s="98" t="s">
        <v>244</v>
      </c>
      <c r="F1675" s="98">
        <v>151.69</v>
      </c>
    </row>
    <row r="1676" spans="1:6">
      <c r="A1676" s="6">
        <v>44165</v>
      </c>
      <c r="B1676" s="98"/>
      <c r="C1676" s="98" t="s">
        <v>253</v>
      </c>
      <c r="D1676" s="98" t="s">
        <v>268</v>
      </c>
      <c r="E1676" s="98" t="s">
        <v>244</v>
      </c>
      <c r="F1676" s="98">
        <v>98.69</v>
      </c>
    </row>
    <row r="1677" spans="1:6">
      <c r="A1677" s="6">
        <v>44165</v>
      </c>
      <c r="B1677" s="98"/>
      <c r="C1677" s="98" t="s">
        <v>264</v>
      </c>
      <c r="D1677" s="98" t="s">
        <v>268</v>
      </c>
      <c r="E1677" s="98" t="s">
        <v>244</v>
      </c>
      <c r="F1677" s="98">
        <v>195.81</v>
      </c>
    </row>
    <row r="1678" spans="1:6">
      <c r="A1678" s="6">
        <v>44165</v>
      </c>
      <c r="B1678" s="98"/>
      <c r="C1678" s="98" t="s">
        <v>254</v>
      </c>
      <c r="D1678" s="98" t="s">
        <v>268</v>
      </c>
      <c r="E1678" s="98" t="s">
        <v>244</v>
      </c>
      <c r="F1678" s="98">
        <v>80.11</v>
      </c>
    </row>
    <row r="1679" spans="1:6">
      <c r="A1679" s="6">
        <v>44165</v>
      </c>
      <c r="B1679" s="98"/>
      <c r="C1679" s="98" t="s">
        <v>248</v>
      </c>
      <c r="D1679" s="98" t="s">
        <v>268</v>
      </c>
      <c r="E1679" s="98" t="s">
        <v>247</v>
      </c>
      <c r="F1679" s="98">
        <v>5164.41</v>
      </c>
    </row>
    <row r="1680" spans="1:6">
      <c r="A1680" s="6">
        <v>44165</v>
      </c>
      <c r="B1680" s="98"/>
      <c r="C1680" s="98" t="s">
        <v>265</v>
      </c>
      <c r="D1680" s="98" t="s">
        <v>268</v>
      </c>
      <c r="E1680" s="98" t="s">
        <v>247</v>
      </c>
      <c r="F1680" s="98">
        <v>615.59</v>
      </c>
    </row>
    <row r="1681" spans="1:6">
      <c r="A1681" s="6">
        <v>44165</v>
      </c>
      <c r="B1681" s="98"/>
      <c r="C1681" s="98" t="s">
        <v>266</v>
      </c>
      <c r="D1681" s="98" t="s">
        <v>268</v>
      </c>
      <c r="E1681" s="98" t="s">
        <v>258</v>
      </c>
      <c r="F1681" s="98">
        <v>24651.279999999999</v>
      </c>
    </row>
    <row r="1682" spans="1:6">
      <c r="A1682" s="6">
        <v>44165</v>
      </c>
      <c r="B1682" s="98"/>
      <c r="C1682" s="98" t="s">
        <v>260</v>
      </c>
      <c r="D1682" s="98" t="s">
        <v>268</v>
      </c>
      <c r="E1682" s="98" t="s">
        <v>258</v>
      </c>
      <c r="F1682" s="98">
        <v>7646.85</v>
      </c>
    </row>
    <row r="1683" spans="1:6">
      <c r="A1683" s="6">
        <v>44165</v>
      </c>
      <c r="B1683" s="98" t="s">
        <v>269</v>
      </c>
      <c r="C1683" s="98" t="s">
        <v>242</v>
      </c>
      <c r="D1683" s="98" t="s">
        <v>270</v>
      </c>
      <c r="E1683" s="98" t="s">
        <v>244</v>
      </c>
      <c r="F1683" s="98">
        <v>70.33</v>
      </c>
    </row>
    <row r="1684" spans="1:6">
      <c r="A1684" s="6">
        <v>44165</v>
      </c>
      <c r="B1684" s="98"/>
      <c r="C1684" s="98" t="s">
        <v>251</v>
      </c>
      <c r="D1684" s="98" t="s">
        <v>270</v>
      </c>
      <c r="E1684" s="98" t="s">
        <v>244</v>
      </c>
      <c r="F1684" s="98">
        <v>10.19</v>
      </c>
    </row>
    <row r="1685" spans="1:6">
      <c r="A1685" s="6">
        <v>44165</v>
      </c>
      <c r="B1685" s="98"/>
      <c r="C1685" s="98" t="s">
        <v>245</v>
      </c>
      <c r="D1685" s="98" t="s">
        <v>270</v>
      </c>
      <c r="E1685" s="98" t="s">
        <v>244</v>
      </c>
      <c r="F1685" s="98">
        <v>43.23</v>
      </c>
    </row>
    <row r="1686" spans="1:6">
      <c r="A1686" s="6">
        <v>44165</v>
      </c>
      <c r="B1686" s="98"/>
      <c r="C1686" s="98" t="s">
        <v>264</v>
      </c>
      <c r="D1686" s="98" t="s">
        <v>270</v>
      </c>
      <c r="E1686" s="98" t="s">
        <v>244</v>
      </c>
      <c r="F1686" s="98">
        <v>77.349999999999994</v>
      </c>
    </row>
    <row r="1687" spans="1:6">
      <c r="A1687" s="6">
        <v>44165</v>
      </c>
      <c r="B1687" s="98"/>
      <c r="C1687" s="98" t="s">
        <v>271</v>
      </c>
      <c r="D1687" s="98" t="s">
        <v>270</v>
      </c>
      <c r="E1687" s="98" t="s">
        <v>244</v>
      </c>
      <c r="F1687" s="98">
        <v>8.5</v>
      </c>
    </row>
    <row r="1688" spans="1:6">
      <c r="A1688" s="6">
        <v>44165</v>
      </c>
      <c r="B1688" s="98"/>
      <c r="C1688" s="98" t="s">
        <v>255</v>
      </c>
      <c r="D1688" s="98" t="s">
        <v>270</v>
      </c>
      <c r="E1688" s="98" t="s">
        <v>247</v>
      </c>
      <c r="F1688" s="98">
        <v>424.9</v>
      </c>
    </row>
    <row r="1689" spans="1:6">
      <c r="A1689" s="6">
        <v>44165</v>
      </c>
      <c r="B1689" s="98"/>
      <c r="C1689" s="98" t="s">
        <v>246</v>
      </c>
      <c r="D1689" s="98" t="s">
        <v>270</v>
      </c>
      <c r="E1689" s="98" t="s">
        <v>247</v>
      </c>
      <c r="F1689" s="98">
        <v>985.56</v>
      </c>
    </row>
    <row r="1690" spans="1:6">
      <c r="A1690" s="6">
        <v>44165</v>
      </c>
      <c r="B1690" s="98"/>
      <c r="C1690" s="98" t="s">
        <v>265</v>
      </c>
      <c r="D1690" s="98" t="s">
        <v>270</v>
      </c>
      <c r="E1690" s="98" t="s">
        <v>247</v>
      </c>
      <c r="F1690" s="98">
        <v>357.54</v>
      </c>
    </row>
    <row r="1691" spans="1:6">
      <c r="A1691" s="6">
        <v>44165</v>
      </c>
      <c r="B1691" s="98"/>
      <c r="C1691" s="98" t="s">
        <v>273</v>
      </c>
      <c r="D1691" s="98" t="s">
        <v>270</v>
      </c>
      <c r="E1691" s="98" t="s">
        <v>247</v>
      </c>
      <c r="F1691" s="98">
        <v>1085.81</v>
      </c>
    </row>
    <row r="1692" spans="1:6">
      <c r="A1692" s="6">
        <v>44165</v>
      </c>
      <c r="B1692" s="98"/>
      <c r="C1692" s="98" t="s">
        <v>274</v>
      </c>
      <c r="D1692" s="98" t="s">
        <v>270</v>
      </c>
      <c r="E1692" s="98" t="s">
        <v>247</v>
      </c>
      <c r="F1692" s="98">
        <v>3536.71</v>
      </c>
    </row>
    <row r="1693" spans="1:6">
      <c r="A1693" s="6">
        <v>44165</v>
      </c>
      <c r="B1693" s="98" t="s">
        <v>275</v>
      </c>
      <c r="C1693" s="98" t="s">
        <v>242</v>
      </c>
      <c r="D1693" s="98" t="s">
        <v>276</v>
      </c>
      <c r="E1693" s="98" t="s">
        <v>244</v>
      </c>
      <c r="F1693" s="98">
        <v>124.02</v>
      </c>
    </row>
    <row r="1694" spans="1:6">
      <c r="A1694" s="6">
        <v>44165</v>
      </c>
      <c r="B1694" s="98"/>
      <c r="C1694" s="98" t="s">
        <v>262</v>
      </c>
      <c r="D1694" s="98" t="s">
        <v>276</v>
      </c>
      <c r="E1694" s="98" t="s">
        <v>244</v>
      </c>
      <c r="F1694" s="98">
        <v>1428.98</v>
      </c>
    </row>
    <row r="1695" spans="1:6">
      <c r="A1695" s="6">
        <v>44165</v>
      </c>
      <c r="B1695" s="98"/>
      <c r="C1695" s="98" t="s">
        <v>251</v>
      </c>
      <c r="D1695" s="98" t="s">
        <v>276</v>
      </c>
      <c r="E1695" s="98" t="s">
        <v>244</v>
      </c>
      <c r="F1695" s="98">
        <v>53.84</v>
      </c>
    </row>
    <row r="1696" spans="1:6">
      <c r="A1696" s="6">
        <v>44165</v>
      </c>
      <c r="B1696" s="98"/>
      <c r="C1696" s="98" t="s">
        <v>253</v>
      </c>
      <c r="D1696" s="98" t="s">
        <v>276</v>
      </c>
      <c r="E1696" s="98" t="s">
        <v>244</v>
      </c>
      <c r="F1696" s="98">
        <v>32.18</v>
      </c>
    </row>
    <row r="1697" spans="1:6">
      <c r="A1697" s="6">
        <v>44165</v>
      </c>
      <c r="B1697" s="98"/>
      <c r="C1697" s="98" t="s">
        <v>245</v>
      </c>
      <c r="D1697" s="98" t="s">
        <v>276</v>
      </c>
      <c r="E1697" s="98" t="s">
        <v>244</v>
      </c>
      <c r="F1697" s="98">
        <v>54.84</v>
      </c>
    </row>
    <row r="1698" spans="1:6">
      <c r="A1698" s="6">
        <v>44165</v>
      </c>
      <c r="B1698" s="98"/>
      <c r="C1698" s="98" t="s">
        <v>264</v>
      </c>
      <c r="D1698" s="98" t="s">
        <v>276</v>
      </c>
      <c r="E1698" s="98" t="s">
        <v>244</v>
      </c>
      <c r="F1698" s="98">
        <v>466.83</v>
      </c>
    </row>
    <row r="1699" spans="1:6">
      <c r="A1699" s="6">
        <v>44165</v>
      </c>
      <c r="B1699" s="98"/>
      <c r="C1699" s="98" t="s">
        <v>271</v>
      </c>
      <c r="D1699" s="98" t="s">
        <v>276</v>
      </c>
      <c r="E1699" s="98" t="s">
        <v>244</v>
      </c>
      <c r="F1699" s="98">
        <v>49.79</v>
      </c>
    </row>
    <row r="1700" spans="1:6">
      <c r="A1700" s="6">
        <v>44165</v>
      </c>
      <c r="B1700" s="98"/>
      <c r="C1700" s="98" t="s">
        <v>254</v>
      </c>
      <c r="D1700" s="98" t="s">
        <v>276</v>
      </c>
      <c r="E1700" s="98" t="s">
        <v>244</v>
      </c>
      <c r="F1700" s="98">
        <v>252.14</v>
      </c>
    </row>
    <row r="1701" spans="1:6">
      <c r="A1701" s="6">
        <v>44165</v>
      </c>
      <c r="B1701" s="98"/>
      <c r="C1701" s="98" t="s">
        <v>277</v>
      </c>
      <c r="D1701" s="98" t="s">
        <v>276</v>
      </c>
      <c r="E1701" s="98" t="s">
        <v>247</v>
      </c>
      <c r="F1701" s="98">
        <v>6291.98</v>
      </c>
    </row>
    <row r="1702" spans="1:6">
      <c r="A1702" s="6">
        <v>44165</v>
      </c>
      <c r="B1702" s="98"/>
      <c r="C1702" s="98" t="s">
        <v>278</v>
      </c>
      <c r="D1702" s="98" t="s">
        <v>276</v>
      </c>
      <c r="E1702" s="98" t="s">
        <v>247</v>
      </c>
      <c r="F1702" s="98">
        <v>2715.41</v>
      </c>
    </row>
    <row r="1703" spans="1:6">
      <c r="A1703" s="6">
        <v>44165</v>
      </c>
      <c r="B1703" s="98"/>
      <c r="C1703" s="98" t="s">
        <v>272</v>
      </c>
      <c r="D1703" s="98" t="s">
        <v>276</v>
      </c>
      <c r="E1703" s="98" t="s">
        <v>247</v>
      </c>
      <c r="F1703" s="98">
        <v>1627.1</v>
      </c>
    </row>
    <row r="1704" spans="1:6">
      <c r="A1704" s="6">
        <v>44165</v>
      </c>
      <c r="B1704" s="98"/>
      <c r="C1704" s="98" t="s">
        <v>246</v>
      </c>
      <c r="D1704" s="98" t="s">
        <v>276</v>
      </c>
      <c r="E1704" s="98" t="s">
        <v>247</v>
      </c>
      <c r="F1704" s="98">
        <v>3989.1</v>
      </c>
    </row>
    <row r="1705" spans="1:6">
      <c r="A1705" s="6">
        <v>44165</v>
      </c>
      <c r="B1705" s="98"/>
      <c r="C1705" s="98" t="s">
        <v>279</v>
      </c>
      <c r="D1705" s="98" t="s">
        <v>276</v>
      </c>
      <c r="E1705" s="98" t="s">
        <v>247</v>
      </c>
      <c r="F1705" s="98">
        <v>13136.63</v>
      </c>
    </row>
    <row r="1706" spans="1:6">
      <c r="A1706" s="6">
        <v>44165</v>
      </c>
      <c r="B1706" s="98"/>
      <c r="C1706" s="98" t="s">
        <v>248</v>
      </c>
      <c r="D1706" s="98" t="s">
        <v>276</v>
      </c>
      <c r="E1706" s="98" t="s">
        <v>247</v>
      </c>
      <c r="F1706" s="98">
        <v>12234.54</v>
      </c>
    </row>
    <row r="1707" spans="1:6">
      <c r="A1707" s="6">
        <v>44165</v>
      </c>
      <c r="B1707" s="98"/>
      <c r="C1707" s="98" t="s">
        <v>280</v>
      </c>
      <c r="D1707" s="98" t="s">
        <v>276</v>
      </c>
      <c r="E1707" s="98" t="s">
        <v>247</v>
      </c>
      <c r="F1707" s="98">
        <v>9415.39</v>
      </c>
    </row>
    <row r="1708" spans="1:6">
      <c r="A1708" s="6">
        <v>44165</v>
      </c>
      <c r="B1708" s="98"/>
      <c r="C1708" s="98" t="s">
        <v>281</v>
      </c>
      <c r="D1708" s="98" t="s">
        <v>276</v>
      </c>
      <c r="E1708" s="98" t="s">
        <v>247</v>
      </c>
      <c r="F1708" s="98">
        <v>14713.5</v>
      </c>
    </row>
    <row r="1709" spans="1:6">
      <c r="A1709" s="6">
        <v>44165</v>
      </c>
      <c r="B1709" s="98"/>
      <c r="C1709" s="98" t="s">
        <v>256</v>
      </c>
      <c r="D1709" s="98" t="s">
        <v>276</v>
      </c>
      <c r="E1709" s="98" t="s">
        <v>247</v>
      </c>
      <c r="F1709" s="98">
        <v>2538.2800000000002</v>
      </c>
    </row>
    <row r="1710" spans="1:6">
      <c r="A1710" s="6">
        <v>44165</v>
      </c>
      <c r="B1710" s="98"/>
      <c r="C1710" s="98" t="s">
        <v>282</v>
      </c>
      <c r="D1710" s="98" t="s">
        <v>276</v>
      </c>
      <c r="E1710" s="98" t="s">
        <v>247</v>
      </c>
      <c r="F1710" s="98">
        <v>4208.21</v>
      </c>
    </row>
    <row r="1711" spans="1:6">
      <c r="A1711" s="6">
        <v>44165</v>
      </c>
      <c r="B1711" s="98"/>
      <c r="C1711" s="98" t="s">
        <v>283</v>
      </c>
      <c r="D1711" s="98" t="s">
        <v>276</v>
      </c>
      <c r="E1711" s="98" t="s">
        <v>247</v>
      </c>
      <c r="F1711" s="98">
        <v>2483.31</v>
      </c>
    </row>
    <row r="1712" spans="1:6">
      <c r="A1712" s="6">
        <v>44165</v>
      </c>
      <c r="B1712" s="98"/>
      <c r="C1712" s="98" t="s">
        <v>285</v>
      </c>
      <c r="D1712" s="98" t="s">
        <v>276</v>
      </c>
      <c r="E1712" s="98" t="s">
        <v>247</v>
      </c>
      <c r="F1712" s="98">
        <v>9914.07</v>
      </c>
    </row>
    <row r="1713" spans="1:6">
      <c r="A1713" s="6">
        <v>44165</v>
      </c>
      <c r="B1713" s="98"/>
      <c r="C1713" s="98" t="s">
        <v>286</v>
      </c>
      <c r="D1713" s="98" t="s">
        <v>276</v>
      </c>
      <c r="E1713" s="98" t="s">
        <v>247</v>
      </c>
      <c r="F1713" s="98">
        <v>1986.65</v>
      </c>
    </row>
    <row r="1714" spans="1:6">
      <c r="A1714" s="6">
        <v>44165</v>
      </c>
      <c r="B1714" s="98"/>
      <c r="C1714" s="98" t="s">
        <v>257</v>
      </c>
      <c r="D1714" s="98" t="s">
        <v>276</v>
      </c>
      <c r="E1714" s="98" t="s">
        <v>258</v>
      </c>
      <c r="F1714" s="98">
        <v>42766.559999999998</v>
      </c>
    </row>
    <row r="1715" spans="1:6">
      <c r="A1715" s="6">
        <v>44165</v>
      </c>
      <c r="B1715" s="98"/>
      <c r="C1715" s="98" t="s">
        <v>259</v>
      </c>
      <c r="D1715" s="98" t="s">
        <v>276</v>
      </c>
      <c r="E1715" s="98" t="s">
        <v>258</v>
      </c>
      <c r="F1715" s="98">
        <v>34082.720000000001</v>
      </c>
    </row>
    <row r="1716" spans="1:6">
      <c r="A1716" s="6">
        <v>44165</v>
      </c>
      <c r="B1716" s="98"/>
      <c r="C1716" s="98" t="s">
        <v>249</v>
      </c>
      <c r="D1716" s="98" t="s">
        <v>276</v>
      </c>
      <c r="E1716" s="98" t="s">
        <v>247</v>
      </c>
      <c r="F1716" s="98">
        <v>1229.0899999999999</v>
      </c>
    </row>
    <row r="1717" spans="1:6">
      <c r="A1717" s="6">
        <v>44165</v>
      </c>
      <c r="B1717" s="98"/>
      <c r="C1717" s="98" t="s">
        <v>260</v>
      </c>
      <c r="D1717" s="98" t="s">
        <v>276</v>
      </c>
      <c r="E1717" s="98" t="s">
        <v>258</v>
      </c>
      <c r="F1717" s="98">
        <v>14144</v>
      </c>
    </row>
    <row r="1718" spans="1:6">
      <c r="A1718" s="6">
        <v>44165</v>
      </c>
      <c r="B1718" s="98"/>
      <c r="C1718" s="98" t="s">
        <v>465</v>
      </c>
      <c r="D1718" s="98" t="s">
        <v>276</v>
      </c>
      <c r="E1718" s="98" t="s">
        <v>247</v>
      </c>
      <c r="F1718" s="98">
        <v>2483.31</v>
      </c>
    </row>
    <row r="1719" spans="1:6">
      <c r="A1719" s="6">
        <v>44165</v>
      </c>
      <c r="B1719" s="98" t="s">
        <v>287</v>
      </c>
      <c r="C1719" s="98" t="s">
        <v>242</v>
      </c>
      <c r="D1719" s="98" t="s">
        <v>288</v>
      </c>
      <c r="E1719" s="98" t="s">
        <v>244</v>
      </c>
      <c r="F1719" s="98">
        <v>1540.62</v>
      </c>
    </row>
    <row r="1720" spans="1:6">
      <c r="A1720" s="6">
        <v>44165</v>
      </c>
      <c r="B1720" s="98"/>
      <c r="C1720" s="98" t="s">
        <v>262</v>
      </c>
      <c r="D1720" s="98" t="s">
        <v>288</v>
      </c>
      <c r="E1720" s="98" t="s">
        <v>244</v>
      </c>
      <c r="F1720" s="98">
        <v>8210.0400000000009</v>
      </c>
    </row>
    <row r="1721" spans="1:6">
      <c r="A1721" s="6">
        <v>44165</v>
      </c>
      <c r="B1721" s="98"/>
      <c r="C1721" s="98" t="s">
        <v>251</v>
      </c>
      <c r="D1721" s="98" t="s">
        <v>288</v>
      </c>
      <c r="E1721" s="98" t="s">
        <v>244</v>
      </c>
      <c r="F1721" s="98">
        <v>70.17</v>
      </c>
    </row>
    <row r="1722" spans="1:6">
      <c r="A1722" s="6">
        <v>44165</v>
      </c>
      <c r="B1722" s="98"/>
      <c r="C1722" s="98" t="s">
        <v>253</v>
      </c>
      <c r="D1722" s="98" t="s">
        <v>288</v>
      </c>
      <c r="E1722" s="98" t="s">
        <v>244</v>
      </c>
      <c r="F1722" s="98">
        <v>28.13</v>
      </c>
    </row>
    <row r="1723" spans="1:6">
      <c r="A1723" s="6">
        <v>44165</v>
      </c>
      <c r="B1723" s="98"/>
      <c r="C1723" s="98" t="s">
        <v>245</v>
      </c>
      <c r="D1723" s="98" t="s">
        <v>288</v>
      </c>
      <c r="E1723" s="98" t="s">
        <v>244</v>
      </c>
      <c r="F1723" s="98">
        <v>1902.72</v>
      </c>
    </row>
    <row r="1724" spans="1:6">
      <c r="A1724" s="6">
        <v>44165</v>
      </c>
      <c r="B1724" s="98"/>
      <c r="C1724" s="98" t="s">
        <v>264</v>
      </c>
      <c r="D1724" s="98" t="s">
        <v>288</v>
      </c>
      <c r="E1724" s="98" t="s">
        <v>244</v>
      </c>
      <c r="F1724" s="98">
        <v>895.34</v>
      </c>
    </row>
    <row r="1725" spans="1:6">
      <c r="A1725" s="6">
        <v>44165</v>
      </c>
      <c r="B1725" s="98"/>
      <c r="C1725" s="98" t="s">
        <v>271</v>
      </c>
      <c r="D1725" s="98" t="s">
        <v>288</v>
      </c>
      <c r="E1725" s="98" t="s">
        <v>244</v>
      </c>
      <c r="F1725" s="98">
        <v>13.01</v>
      </c>
    </row>
    <row r="1726" spans="1:6">
      <c r="A1726" s="6">
        <v>44165</v>
      </c>
      <c r="B1726" s="98"/>
      <c r="C1726" s="98" t="s">
        <v>254</v>
      </c>
      <c r="D1726" s="98" t="s">
        <v>288</v>
      </c>
      <c r="E1726" s="98" t="s">
        <v>244</v>
      </c>
      <c r="F1726" s="98">
        <v>720.68</v>
      </c>
    </row>
    <row r="1727" spans="1:6">
      <c r="A1727" s="6">
        <v>44165</v>
      </c>
      <c r="B1727" s="98"/>
      <c r="C1727" s="98" t="s">
        <v>277</v>
      </c>
      <c r="D1727" s="98" t="s">
        <v>288</v>
      </c>
      <c r="E1727" s="98" t="s">
        <v>247</v>
      </c>
      <c r="F1727" s="98">
        <v>2070.6799999999998</v>
      </c>
    </row>
    <row r="1728" spans="1:6">
      <c r="A1728" s="6">
        <v>44165</v>
      </c>
      <c r="B1728" s="98"/>
      <c r="C1728" s="98" t="s">
        <v>255</v>
      </c>
      <c r="D1728" s="98" t="s">
        <v>288</v>
      </c>
      <c r="E1728" s="98" t="s">
        <v>247</v>
      </c>
      <c r="F1728" s="98">
        <v>2231.9299999999998</v>
      </c>
    </row>
    <row r="1729" spans="1:6">
      <c r="A1729" s="6">
        <v>44165</v>
      </c>
      <c r="B1729" s="98"/>
      <c r="C1729" s="98" t="s">
        <v>278</v>
      </c>
      <c r="D1729" s="98" t="s">
        <v>288</v>
      </c>
      <c r="E1729" s="98" t="s">
        <v>247</v>
      </c>
      <c r="F1729" s="98">
        <v>5511.86</v>
      </c>
    </row>
    <row r="1730" spans="1:6">
      <c r="A1730" s="6">
        <v>44165</v>
      </c>
      <c r="B1730" s="98"/>
      <c r="C1730" s="98" t="s">
        <v>289</v>
      </c>
      <c r="D1730" s="98" t="s">
        <v>288</v>
      </c>
      <c r="E1730" s="98" t="s">
        <v>247</v>
      </c>
      <c r="F1730" s="98">
        <v>259.58999999999997</v>
      </c>
    </row>
    <row r="1731" spans="1:6">
      <c r="A1731" s="6">
        <v>44165</v>
      </c>
      <c r="B1731" s="98"/>
      <c r="C1731" s="98" t="s">
        <v>272</v>
      </c>
      <c r="D1731" s="98" t="s">
        <v>288</v>
      </c>
      <c r="E1731" s="98" t="s">
        <v>247</v>
      </c>
      <c r="F1731" s="98">
        <v>617.24</v>
      </c>
    </row>
    <row r="1732" spans="1:6">
      <c r="A1732" s="6">
        <v>44165</v>
      </c>
      <c r="B1732" s="98"/>
      <c r="C1732" s="98" t="s">
        <v>246</v>
      </c>
      <c r="D1732" s="98" t="s">
        <v>288</v>
      </c>
      <c r="E1732" s="98" t="s">
        <v>247</v>
      </c>
      <c r="F1732" s="98">
        <v>2544.6999999999998</v>
      </c>
    </row>
    <row r="1733" spans="1:6">
      <c r="A1733" s="6">
        <v>44165</v>
      </c>
      <c r="B1733" s="98"/>
      <c r="C1733" s="98" t="s">
        <v>290</v>
      </c>
      <c r="D1733" s="98" t="s">
        <v>288</v>
      </c>
      <c r="E1733" s="98" t="s">
        <v>247</v>
      </c>
      <c r="F1733" s="98">
        <v>1916.88</v>
      </c>
    </row>
    <row r="1734" spans="1:6">
      <c r="A1734" s="6">
        <v>44165</v>
      </c>
      <c r="B1734" s="98"/>
      <c r="C1734" s="98" t="s">
        <v>291</v>
      </c>
      <c r="D1734" s="98" t="s">
        <v>288</v>
      </c>
      <c r="E1734" s="98" t="s">
        <v>247</v>
      </c>
      <c r="F1734" s="98">
        <v>12537.12</v>
      </c>
    </row>
    <row r="1735" spans="1:6">
      <c r="A1735" s="6">
        <v>44165</v>
      </c>
      <c r="B1735" s="98"/>
      <c r="C1735" s="98" t="s">
        <v>256</v>
      </c>
      <c r="D1735" s="98" t="s">
        <v>288</v>
      </c>
      <c r="E1735" s="98" t="s">
        <v>247</v>
      </c>
      <c r="F1735" s="98">
        <v>1000.91</v>
      </c>
    </row>
    <row r="1736" spans="1:6">
      <c r="A1736" s="6">
        <v>44165</v>
      </c>
      <c r="B1736" s="98"/>
      <c r="C1736" s="98" t="s">
        <v>265</v>
      </c>
      <c r="D1736" s="98" t="s">
        <v>288</v>
      </c>
      <c r="E1736" s="98" t="s">
        <v>247</v>
      </c>
      <c r="F1736" s="98">
        <v>1532.39</v>
      </c>
    </row>
    <row r="1737" spans="1:6">
      <c r="A1737" s="6">
        <v>44165</v>
      </c>
      <c r="B1737" s="98"/>
      <c r="C1737" s="98" t="s">
        <v>293</v>
      </c>
      <c r="D1737" s="98" t="s">
        <v>288</v>
      </c>
      <c r="E1737" s="98" t="s">
        <v>247</v>
      </c>
      <c r="F1737" s="98">
        <v>1288.22</v>
      </c>
    </row>
    <row r="1738" spans="1:6">
      <c r="A1738" s="6">
        <v>44165</v>
      </c>
      <c r="B1738" s="98"/>
      <c r="C1738" s="98" t="s">
        <v>257</v>
      </c>
      <c r="D1738" s="98" t="s">
        <v>288</v>
      </c>
      <c r="E1738" s="98" t="s">
        <v>258</v>
      </c>
      <c r="F1738" s="98">
        <v>12068.99</v>
      </c>
    </row>
    <row r="1739" spans="1:6">
      <c r="A1739" s="6">
        <v>44165</v>
      </c>
      <c r="B1739" s="98"/>
      <c r="C1739" s="98" t="s">
        <v>266</v>
      </c>
      <c r="D1739" s="98" t="s">
        <v>288</v>
      </c>
      <c r="E1739" s="98" t="s">
        <v>258</v>
      </c>
      <c r="F1739" s="98">
        <v>334469.56</v>
      </c>
    </row>
    <row r="1740" spans="1:6">
      <c r="A1740" s="6">
        <v>44165</v>
      </c>
      <c r="B1740" s="98"/>
      <c r="C1740" s="98" t="s">
        <v>259</v>
      </c>
      <c r="D1740" s="98" t="s">
        <v>288</v>
      </c>
      <c r="E1740" s="98" t="s">
        <v>258</v>
      </c>
      <c r="F1740" s="98">
        <v>6693.76</v>
      </c>
    </row>
    <row r="1741" spans="1:6">
      <c r="A1741" s="6">
        <v>44165</v>
      </c>
      <c r="B1741" s="98"/>
      <c r="C1741" s="98" t="s">
        <v>249</v>
      </c>
      <c r="D1741" s="98" t="s">
        <v>288</v>
      </c>
      <c r="E1741" s="98" t="s">
        <v>247</v>
      </c>
      <c r="F1741" s="98">
        <v>2421.36</v>
      </c>
    </row>
    <row r="1742" spans="1:6">
      <c r="A1742" s="6">
        <v>44165</v>
      </c>
      <c r="B1742" s="98"/>
      <c r="C1742" s="98" t="s">
        <v>260</v>
      </c>
      <c r="D1742" s="98" t="s">
        <v>288</v>
      </c>
      <c r="E1742" s="98" t="s">
        <v>258</v>
      </c>
      <c r="F1742" s="98">
        <v>6037.53</v>
      </c>
    </row>
    <row r="1743" spans="1:6">
      <c r="A1743" s="6">
        <v>44165</v>
      </c>
      <c r="B1743" s="98"/>
      <c r="C1743" s="98" t="s">
        <v>274</v>
      </c>
      <c r="D1743" s="98" t="s">
        <v>288</v>
      </c>
      <c r="E1743" s="98" t="s">
        <v>247</v>
      </c>
      <c r="F1743" s="98">
        <v>4246.99</v>
      </c>
    </row>
    <row r="1744" spans="1:6">
      <c r="A1744" s="6">
        <v>44165</v>
      </c>
      <c r="B1744" s="98" t="s">
        <v>294</v>
      </c>
      <c r="C1744" s="98" t="s">
        <v>242</v>
      </c>
      <c r="D1744" s="98" t="s">
        <v>295</v>
      </c>
      <c r="E1744" s="98" t="s">
        <v>244</v>
      </c>
      <c r="F1744" s="98">
        <v>46.63</v>
      </c>
    </row>
    <row r="1745" spans="1:6">
      <c r="A1745" s="6">
        <v>44165</v>
      </c>
      <c r="B1745" s="98"/>
      <c r="C1745" s="98" t="s">
        <v>262</v>
      </c>
      <c r="D1745" s="98" t="s">
        <v>295</v>
      </c>
      <c r="E1745" s="98" t="s">
        <v>244</v>
      </c>
      <c r="F1745" s="98">
        <v>0.84</v>
      </c>
    </row>
    <row r="1746" spans="1:6">
      <c r="A1746" s="6">
        <v>44165</v>
      </c>
      <c r="B1746" s="98"/>
      <c r="C1746" s="98" t="s">
        <v>251</v>
      </c>
      <c r="D1746" s="98" t="s">
        <v>295</v>
      </c>
      <c r="E1746" s="98" t="s">
        <v>244</v>
      </c>
      <c r="F1746" s="98">
        <v>0.98</v>
      </c>
    </row>
    <row r="1747" spans="1:6">
      <c r="A1747" s="6">
        <v>44165</v>
      </c>
      <c r="B1747" s="98"/>
      <c r="C1747" s="98" t="s">
        <v>245</v>
      </c>
      <c r="D1747" s="98" t="s">
        <v>295</v>
      </c>
      <c r="E1747" s="98" t="s">
        <v>244</v>
      </c>
      <c r="F1747" s="98">
        <v>31.58</v>
      </c>
    </row>
    <row r="1748" spans="1:6">
      <c r="A1748" s="6">
        <v>44165</v>
      </c>
      <c r="B1748" s="98"/>
      <c r="C1748" s="98" t="s">
        <v>264</v>
      </c>
      <c r="D1748" s="98" t="s">
        <v>295</v>
      </c>
      <c r="E1748" s="98" t="s">
        <v>244</v>
      </c>
      <c r="F1748" s="98">
        <v>23.82</v>
      </c>
    </row>
    <row r="1749" spans="1:6">
      <c r="A1749" s="6">
        <v>44165</v>
      </c>
      <c r="B1749" s="98"/>
      <c r="C1749" s="98" t="s">
        <v>271</v>
      </c>
      <c r="D1749" s="98" t="s">
        <v>295</v>
      </c>
      <c r="E1749" s="98" t="s">
        <v>244</v>
      </c>
      <c r="F1749" s="98">
        <v>1.02</v>
      </c>
    </row>
    <row r="1750" spans="1:6">
      <c r="A1750" s="6">
        <v>44165</v>
      </c>
      <c r="B1750" s="98"/>
      <c r="C1750" s="98" t="s">
        <v>254</v>
      </c>
      <c r="D1750" s="98" t="s">
        <v>295</v>
      </c>
      <c r="E1750" s="98" t="s">
        <v>244</v>
      </c>
      <c r="F1750" s="98">
        <v>18.309999999999999</v>
      </c>
    </row>
    <row r="1751" spans="1:6">
      <c r="A1751" s="6">
        <v>44165</v>
      </c>
      <c r="B1751" s="98" t="s">
        <v>296</v>
      </c>
      <c r="C1751" s="98" t="s">
        <v>242</v>
      </c>
      <c r="D1751" s="98" t="s">
        <v>297</v>
      </c>
      <c r="E1751" s="98" t="s">
        <v>244</v>
      </c>
      <c r="F1751" s="98">
        <v>499.84</v>
      </c>
    </row>
    <row r="1752" spans="1:6">
      <c r="A1752" s="6">
        <v>44165</v>
      </c>
      <c r="B1752" s="98"/>
      <c r="C1752" s="98" t="s">
        <v>262</v>
      </c>
      <c r="D1752" s="98" t="s">
        <v>297</v>
      </c>
      <c r="E1752" s="98" t="s">
        <v>244</v>
      </c>
      <c r="F1752" s="98">
        <v>2050.6999999999998</v>
      </c>
    </row>
    <row r="1753" spans="1:6">
      <c r="A1753" s="6">
        <v>44165</v>
      </c>
      <c r="B1753" s="98"/>
      <c r="C1753" s="98" t="s">
        <v>251</v>
      </c>
      <c r="D1753" s="98" t="s">
        <v>297</v>
      </c>
      <c r="E1753" s="98" t="s">
        <v>244</v>
      </c>
      <c r="F1753" s="98">
        <v>90.41</v>
      </c>
    </row>
    <row r="1754" spans="1:6">
      <c r="A1754" s="6">
        <v>44165</v>
      </c>
      <c r="B1754" s="98"/>
      <c r="C1754" s="98" t="s">
        <v>253</v>
      </c>
      <c r="D1754" s="98" t="s">
        <v>297</v>
      </c>
      <c r="E1754" s="98" t="s">
        <v>244</v>
      </c>
      <c r="F1754" s="98">
        <v>65.95</v>
      </c>
    </row>
    <row r="1755" spans="1:6">
      <c r="A1755" s="6">
        <v>44165</v>
      </c>
      <c r="B1755" s="98"/>
      <c r="C1755" s="98" t="s">
        <v>245</v>
      </c>
      <c r="D1755" s="98" t="s">
        <v>297</v>
      </c>
      <c r="E1755" s="98" t="s">
        <v>244</v>
      </c>
      <c r="F1755" s="98">
        <v>947.68</v>
      </c>
    </row>
    <row r="1756" spans="1:6">
      <c r="A1756" s="6">
        <v>44165</v>
      </c>
      <c r="B1756" s="98"/>
      <c r="C1756" s="98" t="s">
        <v>264</v>
      </c>
      <c r="D1756" s="98" t="s">
        <v>297</v>
      </c>
      <c r="E1756" s="98" t="s">
        <v>244</v>
      </c>
      <c r="F1756" s="98">
        <v>569.41999999999996</v>
      </c>
    </row>
    <row r="1757" spans="1:6">
      <c r="A1757" s="6">
        <v>44165</v>
      </c>
      <c r="B1757" s="98"/>
      <c r="C1757" s="98" t="s">
        <v>271</v>
      </c>
      <c r="D1757" s="98" t="s">
        <v>297</v>
      </c>
      <c r="E1757" s="98" t="s">
        <v>244</v>
      </c>
      <c r="F1757" s="98">
        <v>10.69</v>
      </c>
    </row>
    <row r="1758" spans="1:6">
      <c r="A1758" s="6">
        <v>44165</v>
      </c>
      <c r="B1758" s="98"/>
      <c r="C1758" s="98" t="s">
        <v>254</v>
      </c>
      <c r="D1758" s="98" t="s">
        <v>297</v>
      </c>
      <c r="E1758" s="98" t="s">
        <v>244</v>
      </c>
      <c r="F1758" s="98">
        <v>496.45</v>
      </c>
    </row>
    <row r="1759" spans="1:6">
      <c r="A1759" s="6">
        <v>44165</v>
      </c>
      <c r="B1759" s="98"/>
      <c r="C1759" s="98" t="s">
        <v>277</v>
      </c>
      <c r="D1759" s="98" t="s">
        <v>297</v>
      </c>
      <c r="E1759" s="98" t="s">
        <v>247</v>
      </c>
      <c r="F1759" s="98">
        <v>1873.55</v>
      </c>
    </row>
    <row r="1760" spans="1:6">
      <c r="A1760" s="6">
        <v>44165</v>
      </c>
      <c r="B1760" s="98"/>
      <c r="C1760" s="98" t="s">
        <v>289</v>
      </c>
      <c r="D1760" s="98" t="s">
        <v>297</v>
      </c>
      <c r="E1760" s="98" t="s">
        <v>247</v>
      </c>
      <c r="F1760" s="98">
        <v>5114.04</v>
      </c>
    </row>
    <row r="1761" spans="1:6">
      <c r="A1761" s="6">
        <v>44165</v>
      </c>
      <c r="B1761" s="98"/>
      <c r="C1761" s="98" t="s">
        <v>272</v>
      </c>
      <c r="D1761" s="98" t="s">
        <v>297</v>
      </c>
      <c r="E1761" s="98" t="s">
        <v>247</v>
      </c>
      <c r="F1761" s="98">
        <v>549.02</v>
      </c>
    </row>
    <row r="1762" spans="1:6">
      <c r="A1762" s="6">
        <v>44165</v>
      </c>
      <c r="B1762" s="98"/>
      <c r="C1762" s="98" t="s">
        <v>246</v>
      </c>
      <c r="D1762" s="98" t="s">
        <v>297</v>
      </c>
      <c r="E1762" s="98" t="s">
        <v>247</v>
      </c>
      <c r="F1762" s="98">
        <v>1769.81</v>
      </c>
    </row>
    <row r="1763" spans="1:6">
      <c r="A1763" s="6">
        <v>44165</v>
      </c>
      <c r="B1763" s="98"/>
      <c r="C1763" s="98" t="s">
        <v>248</v>
      </c>
      <c r="D1763" s="98" t="s">
        <v>297</v>
      </c>
      <c r="E1763" s="98" t="s">
        <v>247</v>
      </c>
      <c r="F1763" s="98">
        <v>11245.27</v>
      </c>
    </row>
    <row r="1764" spans="1:6">
      <c r="A1764" s="6">
        <v>44165</v>
      </c>
      <c r="B1764" s="98"/>
      <c r="C1764" s="98" t="s">
        <v>280</v>
      </c>
      <c r="D1764" s="98" t="s">
        <v>297</v>
      </c>
      <c r="E1764" s="98" t="s">
        <v>247</v>
      </c>
      <c r="F1764" s="98">
        <v>1195.8399999999999</v>
      </c>
    </row>
    <row r="1765" spans="1:6">
      <c r="A1765" s="6">
        <v>44165</v>
      </c>
      <c r="B1765" s="98"/>
      <c r="C1765" s="98" t="s">
        <v>290</v>
      </c>
      <c r="D1765" s="98" t="s">
        <v>297</v>
      </c>
      <c r="E1765" s="98" t="s">
        <v>247</v>
      </c>
      <c r="F1765" s="98">
        <v>1140.7</v>
      </c>
    </row>
    <row r="1766" spans="1:6">
      <c r="A1766" s="6">
        <v>44165</v>
      </c>
      <c r="B1766" s="98"/>
      <c r="C1766" s="98" t="s">
        <v>298</v>
      </c>
      <c r="D1766" s="98" t="s">
        <v>297</v>
      </c>
      <c r="E1766" s="98" t="s">
        <v>247</v>
      </c>
      <c r="F1766" s="98">
        <v>6279.94</v>
      </c>
    </row>
    <row r="1767" spans="1:6">
      <c r="A1767" s="6">
        <v>44165</v>
      </c>
      <c r="B1767" s="98"/>
      <c r="C1767" s="98" t="s">
        <v>291</v>
      </c>
      <c r="D1767" s="98" t="s">
        <v>297</v>
      </c>
      <c r="E1767" s="98" t="s">
        <v>247</v>
      </c>
      <c r="F1767" s="98">
        <v>9622.94</v>
      </c>
    </row>
    <row r="1768" spans="1:6">
      <c r="A1768" s="6">
        <v>44165</v>
      </c>
      <c r="B1768" s="98"/>
      <c r="C1768" s="98" t="s">
        <v>265</v>
      </c>
      <c r="D1768" s="98" t="s">
        <v>297</v>
      </c>
      <c r="E1768" s="98" t="s">
        <v>247</v>
      </c>
      <c r="F1768" s="98">
        <v>1013.96</v>
      </c>
    </row>
    <row r="1769" spans="1:6">
      <c r="A1769" s="6">
        <v>44165</v>
      </c>
      <c r="B1769" s="98"/>
      <c r="C1769" s="98" t="s">
        <v>299</v>
      </c>
      <c r="D1769" s="98" t="s">
        <v>297</v>
      </c>
      <c r="E1769" s="98" t="s">
        <v>247</v>
      </c>
      <c r="F1769" s="98">
        <v>2252.19</v>
      </c>
    </row>
    <row r="1770" spans="1:6">
      <c r="A1770" s="6">
        <v>44165</v>
      </c>
      <c r="B1770" s="98"/>
      <c r="C1770" s="98" t="s">
        <v>257</v>
      </c>
      <c r="D1770" s="98" t="s">
        <v>297</v>
      </c>
      <c r="E1770" s="98" t="s">
        <v>258</v>
      </c>
      <c r="F1770" s="98">
        <v>12133.32</v>
      </c>
    </row>
    <row r="1771" spans="1:6">
      <c r="A1771" s="6">
        <v>44165</v>
      </c>
      <c r="B1771" s="98"/>
      <c r="C1771" s="98" t="s">
        <v>259</v>
      </c>
      <c r="D1771" s="98" t="s">
        <v>297</v>
      </c>
      <c r="E1771" s="98" t="s">
        <v>258</v>
      </c>
      <c r="F1771" s="98">
        <v>9685.06</v>
      </c>
    </row>
    <row r="1772" spans="1:6">
      <c r="A1772" s="6">
        <v>44165</v>
      </c>
      <c r="B1772" s="98"/>
      <c r="C1772" s="98" t="s">
        <v>249</v>
      </c>
      <c r="D1772" s="98" t="s">
        <v>297</v>
      </c>
      <c r="E1772" s="98" t="s">
        <v>247</v>
      </c>
      <c r="F1772" s="98">
        <v>1731.65</v>
      </c>
    </row>
    <row r="1773" spans="1:6">
      <c r="A1773" s="6">
        <v>44165</v>
      </c>
      <c r="B1773" s="98"/>
      <c r="C1773" s="98" t="s">
        <v>260</v>
      </c>
      <c r="D1773" s="98" t="s">
        <v>297</v>
      </c>
      <c r="E1773" s="98" t="s">
        <v>258</v>
      </c>
      <c r="F1773" s="98">
        <v>4011.58</v>
      </c>
    </row>
    <row r="1774" spans="1:6">
      <c r="A1774" s="6">
        <v>44165</v>
      </c>
      <c r="B1774" s="98"/>
      <c r="C1774" s="98" t="s">
        <v>274</v>
      </c>
      <c r="D1774" s="98" t="s">
        <v>297</v>
      </c>
      <c r="E1774" s="98" t="s">
        <v>247</v>
      </c>
      <c r="F1774" s="98">
        <v>4456.75</v>
      </c>
    </row>
    <row r="1775" spans="1:6">
      <c r="A1775" s="6">
        <v>44165</v>
      </c>
      <c r="B1775" s="98" t="s">
        <v>300</v>
      </c>
      <c r="C1775" s="98" t="s">
        <v>301</v>
      </c>
      <c r="D1775" s="98" t="s">
        <v>302</v>
      </c>
      <c r="E1775" s="98" t="s">
        <v>247</v>
      </c>
      <c r="F1775" s="98">
        <v>15694.03</v>
      </c>
    </row>
    <row r="1776" spans="1:6">
      <c r="A1776" s="6">
        <v>44165</v>
      </c>
      <c r="B1776" s="98"/>
      <c r="C1776" s="98" t="s">
        <v>303</v>
      </c>
      <c r="D1776" s="98" t="s">
        <v>302</v>
      </c>
      <c r="E1776" s="98" t="s">
        <v>247</v>
      </c>
      <c r="F1776" s="98">
        <v>4185.08</v>
      </c>
    </row>
    <row r="1777" spans="1:6">
      <c r="A1777" s="6">
        <v>44165</v>
      </c>
      <c r="B1777" s="98" t="s">
        <v>304</v>
      </c>
      <c r="C1777" s="98" t="s">
        <v>262</v>
      </c>
      <c r="D1777" s="98" t="s">
        <v>305</v>
      </c>
      <c r="E1777" s="98" t="s">
        <v>244</v>
      </c>
      <c r="F1777" s="98">
        <v>306.22000000000003</v>
      </c>
    </row>
    <row r="1778" spans="1:6">
      <c r="A1778" s="6">
        <v>44165</v>
      </c>
      <c r="B1778" s="98"/>
      <c r="C1778" s="98" t="s">
        <v>245</v>
      </c>
      <c r="D1778" s="98" t="s">
        <v>305</v>
      </c>
      <c r="E1778" s="98" t="s">
        <v>244</v>
      </c>
      <c r="F1778" s="98">
        <v>132.49</v>
      </c>
    </row>
    <row r="1779" spans="1:6">
      <c r="A1779" s="6">
        <v>44165</v>
      </c>
      <c r="B1779" s="98" t="s">
        <v>306</v>
      </c>
      <c r="C1779" s="98" t="s">
        <v>242</v>
      </c>
      <c r="D1779" s="98" t="s">
        <v>307</v>
      </c>
      <c r="E1779" s="98" t="s">
        <v>244</v>
      </c>
      <c r="F1779" s="98">
        <v>20.82</v>
      </c>
    </row>
    <row r="1780" spans="1:6">
      <c r="A1780" s="6">
        <v>44165</v>
      </c>
      <c r="B1780" s="98"/>
      <c r="C1780" s="98" t="s">
        <v>262</v>
      </c>
      <c r="D1780" s="98" t="s">
        <v>307</v>
      </c>
      <c r="E1780" s="98" t="s">
        <v>244</v>
      </c>
      <c r="F1780" s="98">
        <v>107.43</v>
      </c>
    </row>
    <row r="1781" spans="1:6">
      <c r="A1781" s="6">
        <v>44165</v>
      </c>
      <c r="B1781" s="98"/>
      <c r="C1781" s="98" t="s">
        <v>245</v>
      </c>
      <c r="D1781" s="98" t="s">
        <v>307</v>
      </c>
      <c r="E1781" s="98" t="s">
        <v>244</v>
      </c>
      <c r="F1781" s="98">
        <v>20.14</v>
      </c>
    </row>
    <row r="1782" spans="1:6">
      <c r="A1782" s="6">
        <v>44165</v>
      </c>
      <c r="B1782" s="98"/>
      <c r="C1782" s="98" t="s">
        <v>264</v>
      </c>
      <c r="D1782" s="98" t="s">
        <v>307</v>
      </c>
      <c r="E1782" s="98" t="s">
        <v>244</v>
      </c>
      <c r="F1782" s="98">
        <v>9.42</v>
      </c>
    </row>
    <row r="1783" spans="1:6">
      <c r="A1783" s="6">
        <v>44165</v>
      </c>
      <c r="B1783" s="98" t="s">
        <v>308</v>
      </c>
      <c r="C1783" s="98" t="s">
        <v>262</v>
      </c>
      <c r="D1783" s="98" t="s">
        <v>309</v>
      </c>
      <c r="E1783" s="98" t="s">
        <v>244</v>
      </c>
      <c r="F1783" s="98">
        <v>-74.89</v>
      </c>
    </row>
    <row r="1784" spans="1:6">
      <c r="A1784" s="6">
        <v>44165</v>
      </c>
      <c r="B1784" s="98"/>
      <c r="C1784" s="98" t="s">
        <v>245</v>
      </c>
      <c r="D1784" s="98" t="s">
        <v>309</v>
      </c>
      <c r="E1784" s="98" t="s">
        <v>244</v>
      </c>
      <c r="F1784" s="98">
        <v>-13.11</v>
      </c>
    </row>
    <row r="1785" spans="1:6">
      <c r="A1785" s="6">
        <v>44165</v>
      </c>
      <c r="B1785" s="98"/>
      <c r="C1785" s="98" t="s">
        <v>264</v>
      </c>
      <c r="D1785" s="98" t="s">
        <v>309</v>
      </c>
      <c r="E1785" s="98" t="s">
        <v>244</v>
      </c>
      <c r="F1785" s="98">
        <v>-3.37</v>
      </c>
    </row>
    <row r="1786" spans="1:6">
      <c r="A1786" s="6">
        <v>44165</v>
      </c>
      <c r="B1786" s="98"/>
      <c r="C1786" s="98" t="s">
        <v>254</v>
      </c>
      <c r="D1786" s="98" t="s">
        <v>309</v>
      </c>
      <c r="E1786" s="98" t="s">
        <v>244</v>
      </c>
      <c r="F1786" s="98">
        <v>-3.7</v>
      </c>
    </row>
    <row r="1787" spans="1:6">
      <c r="A1787" s="6">
        <v>44165</v>
      </c>
      <c r="B1787" s="98"/>
      <c r="C1787" s="98" t="s">
        <v>272</v>
      </c>
      <c r="D1787" s="98" t="s">
        <v>309</v>
      </c>
      <c r="E1787" s="98" t="s">
        <v>247</v>
      </c>
      <c r="F1787" s="98">
        <v>-30.83</v>
      </c>
    </row>
    <row r="1788" spans="1:6">
      <c r="A1788" s="6">
        <v>44165</v>
      </c>
      <c r="B1788" s="98" t="s">
        <v>310</v>
      </c>
      <c r="C1788" s="98" t="s">
        <v>262</v>
      </c>
      <c r="D1788" s="98" t="s">
        <v>311</v>
      </c>
      <c r="E1788" s="98" t="s">
        <v>244</v>
      </c>
      <c r="F1788" s="98">
        <v>73.37</v>
      </c>
    </row>
    <row r="1789" spans="1:6">
      <c r="A1789" s="6">
        <v>44165</v>
      </c>
      <c r="B1789" s="98"/>
      <c r="C1789" s="98" t="s">
        <v>251</v>
      </c>
      <c r="D1789" s="98" t="s">
        <v>311</v>
      </c>
      <c r="E1789" s="98" t="s">
        <v>244</v>
      </c>
      <c r="F1789" s="98">
        <v>4.91</v>
      </c>
    </row>
    <row r="1790" spans="1:6">
      <c r="A1790" s="6">
        <v>44165</v>
      </c>
      <c r="B1790" s="98"/>
      <c r="C1790" s="98" t="s">
        <v>245</v>
      </c>
      <c r="D1790" s="98" t="s">
        <v>311</v>
      </c>
      <c r="E1790" s="98" t="s">
        <v>244</v>
      </c>
      <c r="F1790" s="98">
        <v>500.03</v>
      </c>
    </row>
    <row r="1791" spans="1:6">
      <c r="A1791" s="6">
        <v>44165</v>
      </c>
      <c r="B1791" s="98"/>
      <c r="C1791" s="98" t="s">
        <v>271</v>
      </c>
      <c r="D1791" s="98" t="s">
        <v>311</v>
      </c>
      <c r="E1791" s="98" t="s">
        <v>244</v>
      </c>
      <c r="F1791" s="98">
        <v>11.06</v>
      </c>
    </row>
    <row r="1792" spans="1:6">
      <c r="A1792" s="6">
        <v>44165</v>
      </c>
      <c r="B1792" s="98"/>
      <c r="C1792" s="98" t="s">
        <v>254</v>
      </c>
      <c r="D1792" s="98" t="s">
        <v>311</v>
      </c>
      <c r="E1792" s="98" t="s">
        <v>244</v>
      </c>
      <c r="F1792" s="98">
        <v>53.73</v>
      </c>
    </row>
    <row r="1793" spans="1:6">
      <c r="A1793" s="6">
        <v>44165</v>
      </c>
      <c r="B1793" s="98"/>
      <c r="C1793" s="98" t="s">
        <v>277</v>
      </c>
      <c r="D1793" s="98" t="s">
        <v>311</v>
      </c>
      <c r="E1793" s="98" t="s">
        <v>247</v>
      </c>
      <c r="F1793" s="98">
        <v>4324.3100000000004</v>
      </c>
    </row>
    <row r="1794" spans="1:6">
      <c r="A1794" s="6">
        <v>44165</v>
      </c>
      <c r="B1794" s="98"/>
      <c r="C1794" s="98" t="s">
        <v>248</v>
      </c>
      <c r="D1794" s="98" t="s">
        <v>311</v>
      </c>
      <c r="E1794" s="98" t="s">
        <v>247</v>
      </c>
      <c r="F1794" s="98">
        <v>3593.07</v>
      </c>
    </row>
    <row r="1795" spans="1:6">
      <c r="A1795" s="6">
        <v>44165</v>
      </c>
      <c r="B1795" s="98"/>
      <c r="C1795" s="98" t="s">
        <v>265</v>
      </c>
      <c r="D1795" s="98" t="s">
        <v>311</v>
      </c>
      <c r="E1795" s="98" t="s">
        <v>247</v>
      </c>
      <c r="F1795" s="98">
        <v>417.81</v>
      </c>
    </row>
    <row r="1796" spans="1:6">
      <c r="A1796" s="6">
        <v>44165</v>
      </c>
      <c r="B1796" s="98"/>
      <c r="C1796" s="98" t="s">
        <v>266</v>
      </c>
      <c r="D1796" s="98" t="s">
        <v>311</v>
      </c>
      <c r="E1796" s="98" t="s">
        <v>258</v>
      </c>
      <c r="F1796" s="98">
        <v>20991.16</v>
      </c>
    </row>
    <row r="1797" spans="1:6">
      <c r="A1797" s="6">
        <v>44165</v>
      </c>
      <c r="B1797" s="98" t="s">
        <v>312</v>
      </c>
      <c r="C1797" s="98" t="s">
        <v>242</v>
      </c>
      <c r="D1797" s="98" t="s">
        <v>313</v>
      </c>
      <c r="E1797" s="98" t="s">
        <v>244</v>
      </c>
      <c r="F1797" s="98">
        <v>229.86</v>
      </c>
    </row>
    <row r="1798" spans="1:6">
      <c r="A1798" s="6">
        <v>44165</v>
      </c>
      <c r="B1798" s="98"/>
      <c r="C1798" s="98" t="s">
        <v>262</v>
      </c>
      <c r="D1798" s="98" t="s">
        <v>313</v>
      </c>
      <c r="E1798" s="98" t="s">
        <v>244</v>
      </c>
      <c r="F1798" s="98">
        <v>31269.83</v>
      </c>
    </row>
    <row r="1799" spans="1:6">
      <c r="A1799" s="6">
        <v>44165</v>
      </c>
      <c r="B1799" s="98"/>
      <c r="C1799" s="98" t="s">
        <v>253</v>
      </c>
      <c r="D1799" s="98" t="s">
        <v>313</v>
      </c>
      <c r="E1799" s="98" t="s">
        <v>244</v>
      </c>
      <c r="F1799" s="98">
        <v>49.93</v>
      </c>
    </row>
    <row r="1800" spans="1:6">
      <c r="A1800" s="6">
        <v>44165</v>
      </c>
      <c r="B1800" s="98"/>
      <c r="C1800" s="98" t="s">
        <v>245</v>
      </c>
      <c r="D1800" s="98" t="s">
        <v>313</v>
      </c>
      <c r="E1800" s="98" t="s">
        <v>244</v>
      </c>
      <c r="F1800" s="98">
        <v>131.24</v>
      </c>
    </row>
    <row r="1801" spans="1:6">
      <c r="A1801" s="6">
        <v>44165</v>
      </c>
      <c r="B1801" s="98"/>
      <c r="C1801" s="98" t="s">
        <v>248</v>
      </c>
      <c r="D1801" s="98" t="s">
        <v>313</v>
      </c>
      <c r="E1801" s="98" t="s">
        <v>247</v>
      </c>
      <c r="F1801" s="98">
        <v>3836.24</v>
      </c>
    </row>
    <row r="1802" spans="1:6">
      <c r="A1802" s="6">
        <v>44165</v>
      </c>
      <c r="B1802" s="98" t="s">
        <v>314</v>
      </c>
      <c r="C1802" s="98" t="s">
        <v>242</v>
      </c>
      <c r="D1802" s="98" t="s">
        <v>315</v>
      </c>
      <c r="E1802" s="98" t="s">
        <v>244</v>
      </c>
      <c r="F1802" s="98">
        <v>4137.93</v>
      </c>
    </row>
    <row r="1803" spans="1:6">
      <c r="A1803" s="6">
        <v>44165</v>
      </c>
      <c r="B1803" s="98"/>
      <c r="C1803" s="98" t="s">
        <v>262</v>
      </c>
      <c r="D1803" s="98" t="s">
        <v>315</v>
      </c>
      <c r="E1803" s="98" t="s">
        <v>244</v>
      </c>
      <c r="F1803" s="98">
        <v>5627.62</v>
      </c>
    </row>
    <row r="1804" spans="1:6">
      <c r="A1804" s="6">
        <v>44165</v>
      </c>
      <c r="B1804" s="98"/>
      <c r="C1804" s="98" t="s">
        <v>245</v>
      </c>
      <c r="D1804" s="98" t="s">
        <v>315</v>
      </c>
      <c r="E1804" s="98" t="s">
        <v>244</v>
      </c>
      <c r="F1804" s="98">
        <v>6.64</v>
      </c>
    </row>
    <row r="1805" spans="1:6">
      <c r="A1805" s="6">
        <v>44165</v>
      </c>
      <c r="B1805" s="98"/>
      <c r="C1805" s="98" t="s">
        <v>289</v>
      </c>
      <c r="D1805" s="98" t="s">
        <v>315</v>
      </c>
      <c r="E1805" s="98" t="s">
        <v>247</v>
      </c>
      <c r="F1805" s="98">
        <v>3071.64</v>
      </c>
    </row>
    <row r="1806" spans="1:6">
      <c r="A1806" s="6">
        <v>44165</v>
      </c>
      <c r="B1806" s="98"/>
      <c r="C1806" s="98" t="s">
        <v>248</v>
      </c>
      <c r="D1806" s="98" t="s">
        <v>315</v>
      </c>
      <c r="E1806" s="98" t="s">
        <v>247</v>
      </c>
      <c r="F1806" s="98">
        <v>3793.49</v>
      </c>
    </row>
    <row r="1807" spans="1:6">
      <c r="A1807" s="6">
        <v>44165</v>
      </c>
      <c r="B1807" s="98" t="s">
        <v>316</v>
      </c>
      <c r="C1807" s="98" t="s">
        <v>262</v>
      </c>
      <c r="D1807" s="98" t="s">
        <v>317</v>
      </c>
      <c r="E1807" s="98" t="s">
        <v>244</v>
      </c>
      <c r="F1807" s="98">
        <v>406.72</v>
      </c>
    </row>
    <row r="1808" spans="1:6">
      <c r="A1808" s="6">
        <v>44165</v>
      </c>
      <c r="B1808" s="98"/>
      <c r="C1808" s="98" t="s">
        <v>245</v>
      </c>
      <c r="D1808" s="98" t="s">
        <v>317</v>
      </c>
      <c r="E1808" s="98" t="s">
        <v>244</v>
      </c>
      <c r="F1808" s="98">
        <v>122.21</v>
      </c>
    </row>
    <row r="1809" spans="1:6">
      <c r="A1809" s="6">
        <v>44165</v>
      </c>
      <c r="B1809" s="98"/>
      <c r="C1809" s="98" t="s">
        <v>254</v>
      </c>
      <c r="D1809" s="98" t="s">
        <v>317</v>
      </c>
      <c r="E1809" s="98" t="s">
        <v>244</v>
      </c>
      <c r="F1809" s="98">
        <v>42.81</v>
      </c>
    </row>
    <row r="1810" spans="1:6">
      <c r="A1810" s="6">
        <v>44165</v>
      </c>
      <c r="B1810" s="98" t="s">
        <v>318</v>
      </c>
      <c r="C1810" s="98" t="s">
        <v>262</v>
      </c>
      <c r="D1810" s="98" t="s">
        <v>319</v>
      </c>
      <c r="E1810" s="98" t="s">
        <v>244</v>
      </c>
      <c r="F1810" s="98">
        <v>2589.8000000000002</v>
      </c>
    </row>
    <row r="1811" spans="1:6">
      <c r="A1811" s="6">
        <v>44165</v>
      </c>
      <c r="B1811" s="98"/>
      <c r="C1811" s="98" t="s">
        <v>251</v>
      </c>
      <c r="D1811" s="98" t="s">
        <v>319</v>
      </c>
      <c r="E1811" s="98" t="s">
        <v>244</v>
      </c>
      <c r="F1811" s="98">
        <v>3.9</v>
      </c>
    </row>
    <row r="1812" spans="1:6">
      <c r="A1812" s="6">
        <v>44165</v>
      </c>
      <c r="B1812" s="98"/>
      <c r="C1812" s="98" t="s">
        <v>253</v>
      </c>
      <c r="D1812" s="98" t="s">
        <v>319</v>
      </c>
      <c r="E1812" s="98" t="s">
        <v>244</v>
      </c>
      <c r="F1812" s="98">
        <v>31.63</v>
      </c>
    </row>
    <row r="1813" spans="1:6">
      <c r="A1813" s="6">
        <v>44165</v>
      </c>
      <c r="B1813" s="98"/>
      <c r="C1813" s="98" t="s">
        <v>245</v>
      </c>
      <c r="D1813" s="98" t="s">
        <v>319</v>
      </c>
      <c r="E1813" s="98" t="s">
        <v>244</v>
      </c>
      <c r="F1813" s="98">
        <v>249.87</v>
      </c>
    </row>
    <row r="1814" spans="1:6">
      <c r="A1814" s="6">
        <v>44165</v>
      </c>
      <c r="B1814" s="98"/>
      <c r="C1814" s="98" t="s">
        <v>264</v>
      </c>
      <c r="D1814" s="98" t="s">
        <v>319</v>
      </c>
      <c r="E1814" s="98" t="s">
        <v>244</v>
      </c>
      <c r="F1814" s="98">
        <v>726.45</v>
      </c>
    </row>
    <row r="1815" spans="1:6">
      <c r="A1815" s="6">
        <v>44165</v>
      </c>
      <c r="B1815" s="98"/>
      <c r="C1815" s="98" t="s">
        <v>271</v>
      </c>
      <c r="D1815" s="98" t="s">
        <v>319</v>
      </c>
      <c r="E1815" s="98" t="s">
        <v>244</v>
      </c>
      <c r="F1815" s="98">
        <v>19.649999999999999</v>
      </c>
    </row>
    <row r="1816" spans="1:6">
      <c r="A1816" s="6">
        <v>44165</v>
      </c>
      <c r="B1816" s="98"/>
      <c r="C1816" s="98" t="s">
        <v>254</v>
      </c>
      <c r="D1816" s="98" t="s">
        <v>319</v>
      </c>
      <c r="E1816" s="98" t="s">
        <v>244</v>
      </c>
      <c r="F1816" s="98">
        <v>589.54999999999995</v>
      </c>
    </row>
    <row r="1817" spans="1:6">
      <c r="A1817" s="6">
        <v>44165</v>
      </c>
      <c r="B1817" s="98"/>
      <c r="C1817" s="98" t="s">
        <v>255</v>
      </c>
      <c r="D1817" s="98" t="s">
        <v>319</v>
      </c>
      <c r="E1817" s="98" t="s">
        <v>247</v>
      </c>
      <c r="F1817" s="98">
        <v>3305.29</v>
      </c>
    </row>
    <row r="1818" spans="1:6">
      <c r="A1818" s="6">
        <v>44165</v>
      </c>
      <c r="B1818" s="98"/>
      <c r="C1818" s="98" t="s">
        <v>278</v>
      </c>
      <c r="D1818" s="98" t="s">
        <v>319</v>
      </c>
      <c r="E1818" s="98" t="s">
        <v>247</v>
      </c>
      <c r="F1818" s="98">
        <v>10850.94</v>
      </c>
    </row>
    <row r="1819" spans="1:6">
      <c r="A1819" s="6">
        <v>44165</v>
      </c>
      <c r="B1819" s="98"/>
      <c r="C1819" s="98" t="s">
        <v>272</v>
      </c>
      <c r="D1819" s="98" t="s">
        <v>319</v>
      </c>
      <c r="E1819" s="98" t="s">
        <v>247</v>
      </c>
      <c r="F1819" s="98">
        <v>2721.08</v>
      </c>
    </row>
    <row r="1820" spans="1:6">
      <c r="A1820" s="6">
        <v>44165</v>
      </c>
      <c r="B1820" s="98"/>
      <c r="C1820" s="98" t="s">
        <v>246</v>
      </c>
      <c r="D1820" s="98" t="s">
        <v>319</v>
      </c>
      <c r="E1820" s="98" t="s">
        <v>247</v>
      </c>
      <c r="F1820" s="98">
        <v>4750.7</v>
      </c>
    </row>
    <row r="1821" spans="1:6">
      <c r="A1821" s="6">
        <v>44165</v>
      </c>
      <c r="B1821" s="98"/>
      <c r="C1821" s="98" t="s">
        <v>249</v>
      </c>
      <c r="D1821" s="98" t="s">
        <v>319</v>
      </c>
      <c r="E1821" s="98" t="s">
        <v>247</v>
      </c>
      <c r="F1821" s="98">
        <v>257.92</v>
      </c>
    </row>
    <row r="1822" spans="1:6">
      <c r="A1822" s="6">
        <v>44165</v>
      </c>
      <c r="B1822" s="98" t="s">
        <v>320</v>
      </c>
      <c r="C1822" s="98" t="s">
        <v>242</v>
      </c>
      <c r="D1822" s="98" t="s">
        <v>321</v>
      </c>
      <c r="E1822" s="98" t="s">
        <v>244</v>
      </c>
      <c r="F1822" s="98">
        <v>2552.75</v>
      </c>
    </row>
    <row r="1823" spans="1:6">
      <c r="A1823" s="6">
        <v>44165</v>
      </c>
      <c r="B1823" s="98"/>
      <c r="C1823" s="98" t="s">
        <v>262</v>
      </c>
      <c r="D1823" s="98" t="s">
        <v>321</v>
      </c>
      <c r="E1823" s="98" t="s">
        <v>244</v>
      </c>
      <c r="F1823" s="98">
        <v>5096.3100000000004</v>
      </c>
    </row>
    <row r="1824" spans="1:6">
      <c r="A1824" s="6">
        <v>44165</v>
      </c>
      <c r="B1824" s="98"/>
      <c r="C1824" s="98" t="s">
        <v>253</v>
      </c>
      <c r="D1824" s="98" t="s">
        <v>321</v>
      </c>
      <c r="E1824" s="98" t="s">
        <v>244</v>
      </c>
      <c r="F1824" s="98">
        <v>56.33</v>
      </c>
    </row>
    <row r="1825" spans="1:6">
      <c r="A1825" s="6">
        <v>44165</v>
      </c>
      <c r="B1825" s="98"/>
      <c r="C1825" s="98" t="s">
        <v>245</v>
      </c>
      <c r="D1825" s="98" t="s">
        <v>321</v>
      </c>
      <c r="E1825" s="98" t="s">
        <v>244</v>
      </c>
      <c r="F1825" s="98">
        <v>589.92999999999995</v>
      </c>
    </row>
    <row r="1826" spans="1:6">
      <c r="A1826" s="6">
        <v>44165</v>
      </c>
      <c r="B1826" s="98"/>
      <c r="C1826" s="98" t="s">
        <v>264</v>
      </c>
      <c r="D1826" s="98" t="s">
        <v>321</v>
      </c>
      <c r="E1826" s="98" t="s">
        <v>244</v>
      </c>
      <c r="F1826" s="98">
        <v>1934.91</v>
      </c>
    </row>
    <row r="1827" spans="1:6">
      <c r="A1827" s="6">
        <v>44165</v>
      </c>
      <c r="B1827" s="98"/>
      <c r="C1827" s="98" t="s">
        <v>271</v>
      </c>
      <c r="D1827" s="98" t="s">
        <v>321</v>
      </c>
      <c r="E1827" s="98" t="s">
        <v>244</v>
      </c>
      <c r="F1827" s="98">
        <v>10.81</v>
      </c>
    </row>
    <row r="1828" spans="1:6">
      <c r="A1828" s="6">
        <v>44165</v>
      </c>
      <c r="B1828" s="98"/>
      <c r="C1828" s="98" t="s">
        <v>254</v>
      </c>
      <c r="D1828" s="98" t="s">
        <v>321</v>
      </c>
      <c r="E1828" s="98" t="s">
        <v>244</v>
      </c>
      <c r="F1828" s="98">
        <v>225.73</v>
      </c>
    </row>
    <row r="1829" spans="1:6">
      <c r="A1829" s="6">
        <v>44165</v>
      </c>
      <c r="B1829" s="98"/>
      <c r="C1829" s="98" t="s">
        <v>277</v>
      </c>
      <c r="D1829" s="98" t="s">
        <v>321</v>
      </c>
      <c r="E1829" s="98" t="s">
        <v>247</v>
      </c>
      <c r="F1829" s="98">
        <v>15370.45</v>
      </c>
    </row>
    <row r="1830" spans="1:6">
      <c r="A1830" s="6">
        <v>44165</v>
      </c>
      <c r="B1830" s="98"/>
      <c r="C1830" s="98" t="s">
        <v>255</v>
      </c>
      <c r="D1830" s="98" t="s">
        <v>321</v>
      </c>
      <c r="E1830" s="98" t="s">
        <v>247</v>
      </c>
      <c r="F1830" s="98">
        <v>3030.09</v>
      </c>
    </row>
    <row r="1831" spans="1:6">
      <c r="A1831" s="6">
        <v>44165</v>
      </c>
      <c r="B1831" s="98"/>
      <c r="C1831" s="98" t="s">
        <v>278</v>
      </c>
      <c r="D1831" s="98" t="s">
        <v>321</v>
      </c>
      <c r="E1831" s="98" t="s">
        <v>247</v>
      </c>
      <c r="F1831" s="98">
        <v>2777.13</v>
      </c>
    </row>
    <row r="1832" spans="1:6">
      <c r="A1832" s="6">
        <v>44165</v>
      </c>
      <c r="B1832" s="98"/>
      <c r="C1832" s="98" t="s">
        <v>272</v>
      </c>
      <c r="D1832" s="98" t="s">
        <v>321</v>
      </c>
      <c r="E1832" s="98" t="s">
        <v>247</v>
      </c>
      <c r="F1832" s="98">
        <v>2356.5</v>
      </c>
    </row>
    <row r="1833" spans="1:6">
      <c r="A1833" s="6">
        <v>44165</v>
      </c>
      <c r="B1833" s="98"/>
      <c r="C1833" s="98" t="s">
        <v>256</v>
      </c>
      <c r="D1833" s="98" t="s">
        <v>321</v>
      </c>
      <c r="E1833" s="98" t="s">
        <v>247</v>
      </c>
      <c r="F1833" s="98">
        <v>9106.48</v>
      </c>
    </row>
    <row r="1834" spans="1:6">
      <c r="A1834" s="6">
        <v>44165</v>
      </c>
      <c r="B1834" s="98"/>
      <c r="C1834" s="98" t="s">
        <v>265</v>
      </c>
      <c r="D1834" s="98" t="s">
        <v>321</v>
      </c>
      <c r="E1834" s="98" t="s">
        <v>247</v>
      </c>
      <c r="F1834" s="98">
        <v>467.73</v>
      </c>
    </row>
    <row r="1835" spans="1:6">
      <c r="A1835" s="6">
        <v>44165</v>
      </c>
      <c r="B1835" s="98"/>
      <c r="C1835" s="98" t="s">
        <v>249</v>
      </c>
      <c r="D1835" s="98" t="s">
        <v>321</v>
      </c>
      <c r="E1835" s="98" t="s">
        <v>247</v>
      </c>
      <c r="F1835" s="98">
        <v>255.05</v>
      </c>
    </row>
    <row r="1836" spans="1:6">
      <c r="A1836" s="6">
        <v>44165</v>
      </c>
      <c r="B1836" s="98"/>
      <c r="C1836" s="98" t="s">
        <v>274</v>
      </c>
      <c r="D1836" s="98" t="s">
        <v>321</v>
      </c>
      <c r="E1836" s="98" t="s">
        <v>247</v>
      </c>
      <c r="F1836" s="98">
        <v>21131.13</v>
      </c>
    </row>
    <row r="1837" spans="1:6">
      <c r="A1837" s="6">
        <v>44165</v>
      </c>
      <c r="B1837" s="98" t="s">
        <v>322</v>
      </c>
      <c r="C1837" s="98" t="s">
        <v>253</v>
      </c>
      <c r="D1837" s="98" t="s">
        <v>323</v>
      </c>
      <c r="E1837" s="98" t="s">
        <v>244</v>
      </c>
      <c r="F1837" s="98">
        <v>41.12</v>
      </c>
    </row>
    <row r="1838" spans="1:6">
      <c r="A1838" s="6">
        <v>44165</v>
      </c>
      <c r="B1838" s="98"/>
      <c r="C1838" s="98" t="s">
        <v>245</v>
      </c>
      <c r="D1838" s="98" t="s">
        <v>323</v>
      </c>
      <c r="E1838" s="98" t="s">
        <v>244</v>
      </c>
      <c r="F1838" s="98">
        <v>1128.9000000000001</v>
      </c>
    </row>
    <row r="1839" spans="1:6">
      <c r="A1839" s="6">
        <v>44165</v>
      </c>
      <c r="B1839" s="98"/>
      <c r="C1839" s="98" t="s">
        <v>255</v>
      </c>
      <c r="D1839" s="98" t="s">
        <v>323</v>
      </c>
      <c r="E1839" s="98" t="s">
        <v>247</v>
      </c>
      <c r="F1839" s="98">
        <v>6077.31</v>
      </c>
    </row>
    <row r="1840" spans="1:6">
      <c r="A1840" s="6">
        <v>44165</v>
      </c>
      <c r="B1840" s="98"/>
      <c r="C1840" s="98" t="s">
        <v>289</v>
      </c>
      <c r="D1840" s="98" t="s">
        <v>323</v>
      </c>
      <c r="E1840" s="98" t="s">
        <v>247</v>
      </c>
      <c r="F1840" s="98">
        <v>3382.75</v>
      </c>
    </row>
    <row r="1841" spans="1:6">
      <c r="A1841" s="6">
        <v>44165</v>
      </c>
      <c r="B1841" s="98"/>
      <c r="C1841" s="98" t="s">
        <v>265</v>
      </c>
      <c r="D1841" s="98" t="s">
        <v>323</v>
      </c>
      <c r="E1841" s="98" t="s">
        <v>247</v>
      </c>
      <c r="F1841" s="98">
        <v>394.92</v>
      </c>
    </row>
    <row r="1842" spans="1:6">
      <c r="A1842" s="6">
        <v>44165</v>
      </c>
      <c r="B1842" s="98" t="s">
        <v>324</v>
      </c>
      <c r="C1842" s="98" t="s">
        <v>251</v>
      </c>
      <c r="D1842" s="98" t="s">
        <v>325</v>
      </c>
      <c r="E1842" s="98" t="s">
        <v>244</v>
      </c>
      <c r="F1842" s="98">
        <v>357</v>
      </c>
    </row>
    <row r="1843" spans="1:6">
      <c r="A1843" s="6">
        <v>44165</v>
      </c>
      <c r="B1843" s="98"/>
      <c r="C1843" s="98" t="s">
        <v>257</v>
      </c>
      <c r="D1843" s="98" t="s">
        <v>325</v>
      </c>
      <c r="E1843" s="98" t="s">
        <v>258</v>
      </c>
      <c r="F1843" s="98">
        <v>52271.56</v>
      </c>
    </row>
    <row r="1844" spans="1:6">
      <c r="A1844" s="6">
        <v>44165</v>
      </c>
      <c r="B1844" s="98"/>
      <c r="C1844" s="98" t="s">
        <v>266</v>
      </c>
      <c r="D1844" s="98" t="s">
        <v>325</v>
      </c>
      <c r="E1844" s="98" t="s">
        <v>258</v>
      </c>
      <c r="F1844" s="98">
        <v>20292</v>
      </c>
    </row>
    <row r="1845" spans="1:6">
      <c r="A1845" s="6">
        <v>44165</v>
      </c>
      <c r="B1845" s="98"/>
      <c r="C1845" s="98" t="s">
        <v>259</v>
      </c>
      <c r="D1845" s="98" t="s">
        <v>325</v>
      </c>
      <c r="E1845" s="98" t="s">
        <v>258</v>
      </c>
      <c r="F1845" s="98">
        <v>44118.97</v>
      </c>
    </row>
    <row r="1846" spans="1:6">
      <c r="A1846" s="6">
        <v>44165</v>
      </c>
      <c r="B1846" s="98"/>
      <c r="C1846" s="98" t="s">
        <v>260</v>
      </c>
      <c r="D1846" s="98" t="s">
        <v>325</v>
      </c>
      <c r="E1846" s="98" t="s">
        <v>258</v>
      </c>
      <c r="F1846" s="98">
        <v>20179.39</v>
      </c>
    </row>
    <row r="1847" spans="1:6">
      <c r="A1847" s="6">
        <v>44165</v>
      </c>
      <c r="B1847" s="98" t="s">
        <v>326</v>
      </c>
      <c r="C1847" s="98" t="s">
        <v>242</v>
      </c>
      <c r="D1847" s="98" t="s">
        <v>327</v>
      </c>
      <c r="E1847" s="98" t="s">
        <v>244</v>
      </c>
      <c r="F1847" s="98">
        <v>1290.99</v>
      </c>
    </row>
    <row r="1848" spans="1:6">
      <c r="A1848" s="6">
        <v>44165</v>
      </c>
      <c r="B1848" s="98"/>
      <c r="C1848" s="98" t="s">
        <v>262</v>
      </c>
      <c r="D1848" s="98" t="s">
        <v>327</v>
      </c>
      <c r="E1848" s="98" t="s">
        <v>244</v>
      </c>
      <c r="F1848" s="98">
        <v>5721.96</v>
      </c>
    </row>
    <row r="1849" spans="1:6">
      <c r="A1849" s="6">
        <v>44165</v>
      </c>
      <c r="B1849" s="98"/>
      <c r="C1849" s="98" t="s">
        <v>251</v>
      </c>
      <c r="D1849" s="98" t="s">
        <v>327</v>
      </c>
      <c r="E1849" s="98" t="s">
        <v>244</v>
      </c>
      <c r="F1849" s="98">
        <v>2.75</v>
      </c>
    </row>
    <row r="1850" spans="1:6">
      <c r="A1850" s="6">
        <v>44165</v>
      </c>
      <c r="B1850" s="98"/>
      <c r="C1850" s="98" t="s">
        <v>245</v>
      </c>
      <c r="D1850" s="98" t="s">
        <v>327</v>
      </c>
      <c r="E1850" s="98" t="s">
        <v>244</v>
      </c>
      <c r="F1850" s="98">
        <v>377.69</v>
      </c>
    </row>
    <row r="1851" spans="1:6">
      <c r="A1851" s="6">
        <v>44165</v>
      </c>
      <c r="B1851" s="98"/>
      <c r="C1851" s="98" t="s">
        <v>264</v>
      </c>
      <c r="D1851" s="98" t="s">
        <v>327</v>
      </c>
      <c r="E1851" s="98" t="s">
        <v>244</v>
      </c>
      <c r="F1851" s="98">
        <v>330.28</v>
      </c>
    </row>
    <row r="1852" spans="1:6">
      <c r="A1852" s="6">
        <v>44165</v>
      </c>
      <c r="B1852" s="98"/>
      <c r="C1852" s="98" t="s">
        <v>271</v>
      </c>
      <c r="D1852" s="98" t="s">
        <v>327</v>
      </c>
      <c r="E1852" s="98" t="s">
        <v>244</v>
      </c>
      <c r="F1852" s="98">
        <v>17.260000000000002</v>
      </c>
    </row>
    <row r="1853" spans="1:6">
      <c r="A1853" s="6">
        <v>44165</v>
      </c>
      <c r="B1853" s="98"/>
      <c r="C1853" s="98" t="s">
        <v>278</v>
      </c>
      <c r="D1853" s="98" t="s">
        <v>327</v>
      </c>
      <c r="E1853" s="98" t="s">
        <v>247</v>
      </c>
      <c r="F1853" s="98">
        <v>2537.75</v>
      </c>
    </row>
    <row r="1854" spans="1:6">
      <c r="A1854" s="6">
        <v>44165</v>
      </c>
      <c r="B1854" s="98"/>
      <c r="C1854" s="98" t="s">
        <v>289</v>
      </c>
      <c r="D1854" s="98" t="s">
        <v>327</v>
      </c>
      <c r="E1854" s="98" t="s">
        <v>247</v>
      </c>
      <c r="F1854" s="98">
        <v>2261.19</v>
      </c>
    </row>
    <row r="1855" spans="1:6">
      <c r="A1855" s="6">
        <v>44165</v>
      </c>
      <c r="B1855" s="98"/>
      <c r="C1855" s="98" t="s">
        <v>248</v>
      </c>
      <c r="D1855" s="98" t="s">
        <v>327</v>
      </c>
      <c r="E1855" s="98" t="s">
        <v>247</v>
      </c>
      <c r="F1855" s="98">
        <v>3614.64</v>
      </c>
    </row>
    <row r="1856" spans="1:6">
      <c r="A1856" s="6">
        <v>44165</v>
      </c>
      <c r="B1856" s="98"/>
      <c r="C1856" s="98" t="s">
        <v>368</v>
      </c>
      <c r="D1856" s="98" t="s">
        <v>327</v>
      </c>
      <c r="E1856" s="98" t="s">
        <v>247</v>
      </c>
      <c r="F1856" s="98">
        <v>5516.41</v>
      </c>
    </row>
    <row r="1857" spans="1:6">
      <c r="A1857" s="6">
        <v>44165</v>
      </c>
      <c r="B1857" s="98"/>
      <c r="C1857" s="98" t="s">
        <v>339</v>
      </c>
      <c r="D1857" s="98" t="s">
        <v>327</v>
      </c>
      <c r="E1857" s="98" t="s">
        <v>247</v>
      </c>
      <c r="F1857" s="98">
        <v>358.61</v>
      </c>
    </row>
    <row r="1858" spans="1:6">
      <c r="A1858" s="6">
        <v>44165</v>
      </c>
      <c r="B1858" s="98"/>
      <c r="C1858" s="98" t="s">
        <v>266</v>
      </c>
      <c r="D1858" s="98" t="s">
        <v>327</v>
      </c>
      <c r="E1858" s="98" t="s">
        <v>258</v>
      </c>
      <c r="F1858" s="98">
        <v>29856.53</v>
      </c>
    </row>
    <row r="1859" spans="1:6">
      <c r="A1859" s="6">
        <v>44165</v>
      </c>
      <c r="B1859" s="98"/>
      <c r="C1859" s="98" t="s">
        <v>274</v>
      </c>
      <c r="D1859" s="98" t="s">
        <v>327</v>
      </c>
      <c r="E1859" s="98" t="s">
        <v>247</v>
      </c>
      <c r="F1859" s="98">
        <v>5767.02</v>
      </c>
    </row>
    <row r="1860" spans="1:6">
      <c r="A1860" s="6">
        <v>44165</v>
      </c>
      <c r="B1860" s="98"/>
      <c r="C1860" s="98" t="s">
        <v>369</v>
      </c>
      <c r="D1860" s="98" t="s">
        <v>327</v>
      </c>
      <c r="E1860" s="98" t="s">
        <v>244</v>
      </c>
      <c r="F1860" s="98">
        <v>34.28</v>
      </c>
    </row>
    <row r="1861" spans="1:6">
      <c r="A1861" s="6">
        <v>44165</v>
      </c>
      <c r="B1861" s="98"/>
      <c r="C1861" s="98" t="s">
        <v>466</v>
      </c>
      <c r="D1861" s="98" t="s">
        <v>327</v>
      </c>
      <c r="E1861" s="98" t="s">
        <v>247</v>
      </c>
      <c r="F1861" s="98">
        <v>767.2</v>
      </c>
    </row>
    <row r="1862" spans="1:6">
      <c r="A1862" s="6">
        <v>44165</v>
      </c>
      <c r="B1862" s="98" t="s">
        <v>328</v>
      </c>
      <c r="C1862" s="98" t="s">
        <v>262</v>
      </c>
      <c r="D1862" s="98" t="s">
        <v>329</v>
      </c>
      <c r="E1862" s="98" t="s">
        <v>244</v>
      </c>
      <c r="F1862" s="98">
        <v>71.05</v>
      </c>
    </row>
    <row r="1863" spans="1:6">
      <c r="A1863" s="6">
        <v>44165</v>
      </c>
      <c r="B1863" s="98"/>
      <c r="C1863" s="98" t="s">
        <v>245</v>
      </c>
      <c r="D1863" s="98" t="s">
        <v>329</v>
      </c>
      <c r="E1863" s="98" t="s">
        <v>244</v>
      </c>
      <c r="F1863" s="98">
        <v>285.02</v>
      </c>
    </row>
    <row r="1864" spans="1:6">
      <c r="A1864" s="6">
        <v>44165</v>
      </c>
      <c r="B1864" s="98"/>
      <c r="C1864" s="98" t="s">
        <v>264</v>
      </c>
      <c r="D1864" s="98" t="s">
        <v>329</v>
      </c>
      <c r="E1864" s="98" t="s">
        <v>244</v>
      </c>
      <c r="F1864" s="98">
        <v>151.5</v>
      </c>
    </row>
    <row r="1865" spans="1:6">
      <c r="A1865" s="6">
        <v>44165</v>
      </c>
      <c r="B1865" s="98"/>
      <c r="C1865" s="98" t="s">
        <v>271</v>
      </c>
      <c r="D1865" s="98" t="s">
        <v>329</v>
      </c>
      <c r="E1865" s="98" t="s">
        <v>244</v>
      </c>
      <c r="F1865" s="98">
        <v>4.0599999999999996</v>
      </c>
    </row>
    <row r="1866" spans="1:6">
      <c r="A1866" s="6">
        <v>44165</v>
      </c>
      <c r="B1866" s="98"/>
      <c r="C1866" s="98" t="s">
        <v>254</v>
      </c>
      <c r="D1866" s="98" t="s">
        <v>329</v>
      </c>
      <c r="E1866" s="98" t="s">
        <v>244</v>
      </c>
      <c r="F1866" s="98">
        <v>217.54</v>
      </c>
    </row>
    <row r="1867" spans="1:6">
      <c r="A1867" s="6">
        <v>44165</v>
      </c>
      <c r="B1867" s="98"/>
      <c r="C1867" s="98" t="s">
        <v>255</v>
      </c>
      <c r="D1867" s="98" t="s">
        <v>329</v>
      </c>
      <c r="E1867" s="98" t="s">
        <v>247</v>
      </c>
      <c r="F1867" s="98">
        <v>4529.6400000000003</v>
      </c>
    </row>
    <row r="1868" spans="1:6">
      <c r="A1868" s="6">
        <v>44165</v>
      </c>
      <c r="B1868" s="98"/>
      <c r="C1868" s="98" t="s">
        <v>289</v>
      </c>
      <c r="D1868" s="98" t="s">
        <v>329</v>
      </c>
      <c r="E1868" s="98" t="s">
        <v>247</v>
      </c>
      <c r="F1868" s="98">
        <v>5529.71</v>
      </c>
    </row>
    <row r="1869" spans="1:6">
      <c r="A1869" s="6">
        <v>44165</v>
      </c>
      <c r="B1869" s="98"/>
      <c r="C1869" s="98" t="s">
        <v>246</v>
      </c>
      <c r="D1869" s="98" t="s">
        <v>329</v>
      </c>
      <c r="E1869" s="98" t="s">
        <v>247</v>
      </c>
      <c r="F1869" s="98">
        <v>7920.4</v>
      </c>
    </row>
    <row r="1870" spans="1:6">
      <c r="A1870" s="6">
        <v>44165</v>
      </c>
      <c r="B1870" s="98"/>
      <c r="C1870" s="98" t="s">
        <v>265</v>
      </c>
      <c r="D1870" s="98" t="s">
        <v>329</v>
      </c>
      <c r="E1870" s="98" t="s">
        <v>247</v>
      </c>
      <c r="F1870" s="98">
        <v>797.45</v>
      </c>
    </row>
    <row r="1871" spans="1:6">
      <c r="A1871" s="6">
        <v>44165</v>
      </c>
      <c r="B1871" s="98"/>
      <c r="C1871" s="98" t="s">
        <v>266</v>
      </c>
      <c r="D1871" s="98" t="s">
        <v>329</v>
      </c>
      <c r="E1871" s="98" t="s">
        <v>258</v>
      </c>
      <c r="F1871" s="98">
        <v>11324.86</v>
      </c>
    </row>
    <row r="1872" spans="1:6">
      <c r="A1872" s="6">
        <v>44165</v>
      </c>
      <c r="B1872" s="98"/>
      <c r="C1872" s="98" t="s">
        <v>249</v>
      </c>
      <c r="D1872" s="98" t="s">
        <v>329</v>
      </c>
      <c r="E1872" s="98" t="s">
        <v>247</v>
      </c>
      <c r="F1872" s="98">
        <v>150.19</v>
      </c>
    </row>
    <row r="1873" spans="1:6">
      <c r="A1873" s="6">
        <v>44165</v>
      </c>
      <c r="B1873" s="98"/>
      <c r="C1873" s="98" t="s">
        <v>274</v>
      </c>
      <c r="D1873" s="98" t="s">
        <v>329</v>
      </c>
      <c r="E1873" s="98" t="s">
        <v>247</v>
      </c>
      <c r="F1873" s="98">
        <v>7806.24</v>
      </c>
    </row>
    <row r="1874" spans="1:6">
      <c r="A1874" s="6">
        <v>44165</v>
      </c>
      <c r="B1874" s="98" t="s">
        <v>330</v>
      </c>
      <c r="C1874" s="98" t="s">
        <v>262</v>
      </c>
      <c r="D1874" s="98" t="s">
        <v>331</v>
      </c>
      <c r="E1874" s="98" t="s">
        <v>244</v>
      </c>
      <c r="F1874" s="98">
        <v>115.67</v>
      </c>
    </row>
    <row r="1875" spans="1:6">
      <c r="A1875" s="6">
        <v>44165</v>
      </c>
      <c r="B1875" s="98"/>
      <c r="C1875" s="98" t="s">
        <v>253</v>
      </c>
      <c r="D1875" s="98" t="s">
        <v>331</v>
      </c>
      <c r="E1875" s="98" t="s">
        <v>244</v>
      </c>
      <c r="F1875" s="98">
        <v>115.66</v>
      </c>
    </row>
    <row r="1876" spans="1:6">
      <c r="A1876" s="6">
        <v>44165</v>
      </c>
      <c r="B1876" s="98"/>
      <c r="C1876" s="98" t="s">
        <v>245</v>
      </c>
      <c r="D1876" s="98" t="s">
        <v>331</v>
      </c>
      <c r="E1876" s="98" t="s">
        <v>244</v>
      </c>
      <c r="F1876" s="98">
        <v>42.68</v>
      </c>
    </row>
    <row r="1877" spans="1:6">
      <c r="A1877" s="6">
        <v>44165</v>
      </c>
      <c r="B1877" s="98" t="s">
        <v>332</v>
      </c>
      <c r="C1877" s="98" t="s">
        <v>242</v>
      </c>
      <c r="D1877" s="98" t="s">
        <v>333</v>
      </c>
      <c r="E1877" s="98" t="s">
        <v>244</v>
      </c>
      <c r="F1877" s="98">
        <v>1295.44</v>
      </c>
    </row>
    <row r="1878" spans="1:6">
      <c r="A1878" s="6">
        <v>44165</v>
      </c>
      <c r="B1878" s="98"/>
      <c r="C1878" s="98" t="s">
        <v>245</v>
      </c>
      <c r="D1878" s="98" t="s">
        <v>333</v>
      </c>
      <c r="E1878" s="98" t="s">
        <v>244</v>
      </c>
      <c r="F1878" s="98">
        <v>9.2799999999999994</v>
      </c>
    </row>
    <row r="1879" spans="1:6">
      <c r="A1879" s="6">
        <v>44165</v>
      </c>
      <c r="B1879" s="98"/>
      <c r="C1879" s="98" t="s">
        <v>254</v>
      </c>
      <c r="D1879" s="98" t="s">
        <v>333</v>
      </c>
      <c r="E1879" s="98" t="s">
        <v>244</v>
      </c>
      <c r="F1879" s="98">
        <v>414.33</v>
      </c>
    </row>
    <row r="1880" spans="1:6">
      <c r="A1880" s="6">
        <v>44165</v>
      </c>
      <c r="B1880" s="98"/>
      <c r="C1880" s="98" t="s">
        <v>248</v>
      </c>
      <c r="D1880" s="98" t="s">
        <v>333</v>
      </c>
      <c r="E1880" s="98" t="s">
        <v>247</v>
      </c>
      <c r="F1880" s="98">
        <v>6421.48</v>
      </c>
    </row>
    <row r="1881" spans="1:6">
      <c r="A1881" s="6">
        <v>44165</v>
      </c>
      <c r="B1881" s="98"/>
      <c r="C1881" s="98" t="s">
        <v>274</v>
      </c>
      <c r="D1881" s="98" t="s">
        <v>333</v>
      </c>
      <c r="E1881" s="98" t="s">
        <v>247</v>
      </c>
      <c r="F1881" s="98">
        <v>10324.75</v>
      </c>
    </row>
    <row r="1882" spans="1:6">
      <c r="A1882" s="6">
        <v>44165</v>
      </c>
      <c r="B1882" s="98" t="s">
        <v>334</v>
      </c>
      <c r="C1882" s="98" t="s">
        <v>242</v>
      </c>
      <c r="D1882" s="98" t="s">
        <v>335</v>
      </c>
      <c r="E1882" s="98" t="s">
        <v>244</v>
      </c>
      <c r="F1882" s="98">
        <v>1269.53</v>
      </c>
    </row>
    <row r="1883" spans="1:6">
      <c r="A1883" s="6">
        <v>44165</v>
      </c>
      <c r="B1883" s="98"/>
      <c r="C1883" s="98" t="s">
        <v>262</v>
      </c>
      <c r="D1883" s="98" t="s">
        <v>335</v>
      </c>
      <c r="E1883" s="98" t="s">
        <v>244</v>
      </c>
      <c r="F1883" s="98">
        <v>1071.54</v>
      </c>
    </row>
    <row r="1884" spans="1:6">
      <c r="A1884" s="6">
        <v>44165</v>
      </c>
      <c r="B1884" s="98"/>
      <c r="C1884" s="98" t="s">
        <v>251</v>
      </c>
      <c r="D1884" s="98" t="s">
        <v>335</v>
      </c>
      <c r="E1884" s="98" t="s">
        <v>244</v>
      </c>
      <c r="F1884" s="98">
        <v>27.73</v>
      </c>
    </row>
    <row r="1885" spans="1:6">
      <c r="A1885" s="6">
        <v>44165</v>
      </c>
      <c r="B1885" s="98"/>
      <c r="C1885" s="98" t="s">
        <v>253</v>
      </c>
      <c r="D1885" s="98" t="s">
        <v>335</v>
      </c>
      <c r="E1885" s="98" t="s">
        <v>244</v>
      </c>
      <c r="F1885" s="98">
        <v>67.900000000000006</v>
      </c>
    </row>
    <row r="1886" spans="1:6">
      <c r="A1886" s="6">
        <v>44165</v>
      </c>
      <c r="B1886" s="98"/>
      <c r="C1886" s="98" t="s">
        <v>245</v>
      </c>
      <c r="D1886" s="98" t="s">
        <v>335</v>
      </c>
      <c r="E1886" s="98" t="s">
        <v>244</v>
      </c>
      <c r="F1886" s="98">
        <v>166.19</v>
      </c>
    </row>
    <row r="1887" spans="1:6">
      <c r="A1887" s="6">
        <v>44165</v>
      </c>
      <c r="B1887" s="98"/>
      <c r="C1887" s="98" t="s">
        <v>254</v>
      </c>
      <c r="D1887" s="98" t="s">
        <v>335</v>
      </c>
      <c r="E1887" s="98" t="s">
        <v>244</v>
      </c>
      <c r="F1887" s="98">
        <v>68.92</v>
      </c>
    </row>
    <row r="1888" spans="1:6">
      <c r="A1888" s="6">
        <v>44165</v>
      </c>
      <c r="B1888" s="98"/>
      <c r="C1888" s="98" t="s">
        <v>255</v>
      </c>
      <c r="D1888" s="98" t="s">
        <v>335</v>
      </c>
      <c r="E1888" s="98" t="s">
        <v>247</v>
      </c>
      <c r="F1888" s="98">
        <v>18822.46</v>
      </c>
    </row>
    <row r="1889" spans="1:6">
      <c r="A1889" s="6">
        <v>44165</v>
      </c>
      <c r="B1889" s="98"/>
      <c r="C1889" s="98" t="s">
        <v>289</v>
      </c>
      <c r="D1889" s="98" t="s">
        <v>335</v>
      </c>
      <c r="E1889" s="98" t="s">
        <v>247</v>
      </c>
      <c r="F1889" s="98">
        <v>32162.799999999999</v>
      </c>
    </row>
    <row r="1890" spans="1:6">
      <c r="A1890" s="6">
        <v>44165</v>
      </c>
      <c r="B1890" s="98"/>
      <c r="C1890" s="98" t="s">
        <v>248</v>
      </c>
      <c r="D1890" s="98" t="s">
        <v>335</v>
      </c>
      <c r="E1890" s="98" t="s">
        <v>247</v>
      </c>
      <c r="F1890" s="98">
        <v>4213.79</v>
      </c>
    </row>
    <row r="1891" spans="1:6">
      <c r="A1891" s="6">
        <v>44165</v>
      </c>
      <c r="B1891" s="98"/>
      <c r="C1891" s="98" t="s">
        <v>260</v>
      </c>
      <c r="D1891" s="98" t="s">
        <v>335</v>
      </c>
      <c r="E1891" s="98" t="s">
        <v>258</v>
      </c>
      <c r="F1891" s="98">
        <v>10085.25</v>
      </c>
    </row>
    <row r="1892" spans="1:6">
      <c r="A1892" s="6">
        <v>44165</v>
      </c>
      <c r="B1892" s="98" t="s">
        <v>336</v>
      </c>
      <c r="C1892" s="98" t="s">
        <v>253</v>
      </c>
      <c r="D1892" s="98" t="s">
        <v>337</v>
      </c>
      <c r="E1892" s="98" t="s">
        <v>244</v>
      </c>
      <c r="F1892" s="98">
        <v>42.02</v>
      </c>
    </row>
    <row r="1893" spans="1:6">
      <c r="A1893" s="6">
        <v>44165</v>
      </c>
      <c r="B1893" s="98"/>
      <c r="C1893" s="98" t="s">
        <v>245</v>
      </c>
      <c r="D1893" s="98" t="s">
        <v>337</v>
      </c>
      <c r="E1893" s="98" t="s">
        <v>244</v>
      </c>
      <c r="F1893" s="98">
        <v>245.19</v>
      </c>
    </row>
    <row r="1894" spans="1:6">
      <c r="A1894" s="6">
        <v>44165</v>
      </c>
      <c r="B1894" s="98"/>
      <c r="C1894" s="98" t="s">
        <v>255</v>
      </c>
      <c r="D1894" s="98" t="s">
        <v>337</v>
      </c>
      <c r="E1894" s="98" t="s">
        <v>247</v>
      </c>
      <c r="F1894" s="98">
        <v>5336.69</v>
      </c>
    </row>
    <row r="1895" spans="1:6">
      <c r="A1895" s="6">
        <v>44165</v>
      </c>
      <c r="B1895" s="98"/>
      <c r="C1895" s="98" t="s">
        <v>289</v>
      </c>
      <c r="D1895" s="98" t="s">
        <v>337</v>
      </c>
      <c r="E1895" s="98" t="s">
        <v>247</v>
      </c>
      <c r="F1895" s="98">
        <v>7274.15</v>
      </c>
    </row>
    <row r="1896" spans="1:6">
      <c r="A1896" s="6">
        <v>44165</v>
      </c>
      <c r="B1896" s="98"/>
      <c r="C1896" s="98" t="s">
        <v>256</v>
      </c>
      <c r="D1896" s="98" t="s">
        <v>337</v>
      </c>
      <c r="E1896" s="98" t="s">
        <v>247</v>
      </c>
      <c r="F1896" s="98">
        <v>6779.21</v>
      </c>
    </row>
    <row r="1897" spans="1:6">
      <c r="A1897" s="6">
        <v>44165</v>
      </c>
      <c r="B1897" s="98"/>
      <c r="C1897" s="98" t="s">
        <v>339</v>
      </c>
      <c r="D1897" s="98" t="s">
        <v>337</v>
      </c>
      <c r="E1897" s="98" t="s">
        <v>247</v>
      </c>
      <c r="F1897" s="98">
        <v>76.47</v>
      </c>
    </row>
    <row r="1898" spans="1:6">
      <c r="A1898" s="6">
        <v>44165</v>
      </c>
      <c r="B1898" s="98"/>
      <c r="C1898" s="98" t="s">
        <v>265</v>
      </c>
      <c r="D1898" s="98" t="s">
        <v>337</v>
      </c>
      <c r="E1898" s="98" t="s">
        <v>247</v>
      </c>
      <c r="F1898" s="98">
        <v>475.89</v>
      </c>
    </row>
    <row r="1899" spans="1:6">
      <c r="A1899" s="6">
        <v>44165</v>
      </c>
      <c r="B1899" s="98" t="s">
        <v>342</v>
      </c>
      <c r="C1899" s="98" t="s">
        <v>251</v>
      </c>
      <c r="D1899" s="98" t="s">
        <v>343</v>
      </c>
      <c r="E1899" s="98" t="s">
        <v>244</v>
      </c>
      <c r="F1899" s="98">
        <v>1.37</v>
      </c>
    </row>
    <row r="1900" spans="1:6">
      <c r="A1900" s="6">
        <v>44165</v>
      </c>
      <c r="B1900" s="98"/>
      <c r="C1900" s="98" t="s">
        <v>254</v>
      </c>
      <c r="D1900" s="98" t="s">
        <v>343</v>
      </c>
      <c r="E1900" s="98" t="s">
        <v>244</v>
      </c>
      <c r="F1900" s="98">
        <v>186.64</v>
      </c>
    </row>
    <row r="1901" spans="1:6">
      <c r="A1901" s="6">
        <v>44165</v>
      </c>
      <c r="B1901" s="98"/>
      <c r="C1901" s="98" t="s">
        <v>266</v>
      </c>
      <c r="D1901" s="98" t="s">
        <v>343</v>
      </c>
      <c r="E1901" s="98" t="s">
        <v>258</v>
      </c>
      <c r="F1901" s="98">
        <v>1312.41</v>
      </c>
    </row>
    <row r="1902" spans="1:6">
      <c r="A1902" s="6">
        <v>44165</v>
      </c>
      <c r="B1902" s="98"/>
      <c r="C1902" s="98" t="s">
        <v>274</v>
      </c>
      <c r="D1902" s="98" t="s">
        <v>343</v>
      </c>
      <c r="E1902" s="98" t="s">
        <v>247</v>
      </c>
      <c r="F1902" s="98">
        <v>2437.1999999999998</v>
      </c>
    </row>
    <row r="1903" spans="1:6">
      <c r="A1903" s="6">
        <v>44165</v>
      </c>
      <c r="B1903" s="98" t="s">
        <v>344</v>
      </c>
      <c r="C1903" s="98" t="s">
        <v>262</v>
      </c>
      <c r="D1903" s="98" t="s">
        <v>345</v>
      </c>
      <c r="E1903" s="98" t="s">
        <v>244</v>
      </c>
      <c r="F1903" s="98">
        <v>232.07</v>
      </c>
    </row>
    <row r="1904" spans="1:6">
      <c r="A1904" s="6">
        <v>44165</v>
      </c>
      <c r="B1904" s="98"/>
      <c r="C1904" s="98" t="s">
        <v>245</v>
      </c>
      <c r="D1904" s="98" t="s">
        <v>345</v>
      </c>
      <c r="E1904" s="98" t="s">
        <v>244</v>
      </c>
      <c r="F1904" s="98">
        <v>70.75</v>
      </c>
    </row>
    <row r="1905" spans="1:6">
      <c r="A1905" s="6">
        <v>44165</v>
      </c>
      <c r="B1905" s="98" t="s">
        <v>346</v>
      </c>
      <c r="C1905" s="98" t="s">
        <v>245</v>
      </c>
      <c r="D1905" s="98" t="s">
        <v>347</v>
      </c>
      <c r="E1905" s="98" t="s">
        <v>244</v>
      </c>
      <c r="F1905" s="98">
        <v>10.89</v>
      </c>
    </row>
    <row r="1906" spans="1:6">
      <c r="A1906" s="6">
        <v>44165</v>
      </c>
      <c r="B1906" s="98" t="s">
        <v>348</v>
      </c>
      <c r="C1906" s="98" t="s">
        <v>242</v>
      </c>
      <c r="D1906" s="98" t="s">
        <v>349</v>
      </c>
      <c r="E1906" s="98" t="s">
        <v>244</v>
      </c>
      <c r="F1906" s="98">
        <v>109.75</v>
      </c>
    </row>
    <row r="1907" spans="1:6">
      <c r="A1907" s="6">
        <v>44165</v>
      </c>
      <c r="B1907" s="98"/>
      <c r="C1907" s="98" t="s">
        <v>262</v>
      </c>
      <c r="D1907" s="98" t="s">
        <v>349</v>
      </c>
      <c r="E1907" s="98" t="s">
        <v>244</v>
      </c>
      <c r="F1907" s="98">
        <v>70.88</v>
      </c>
    </row>
    <row r="1908" spans="1:6">
      <c r="A1908" s="6">
        <v>44165</v>
      </c>
      <c r="B1908" s="98"/>
      <c r="C1908" s="98" t="s">
        <v>264</v>
      </c>
      <c r="D1908" s="98" t="s">
        <v>349</v>
      </c>
      <c r="E1908" s="98" t="s">
        <v>244</v>
      </c>
      <c r="F1908" s="98">
        <v>47.54</v>
      </c>
    </row>
    <row r="1909" spans="1:6">
      <c r="A1909" s="6">
        <v>44165</v>
      </c>
      <c r="B1909" s="98" t="s">
        <v>350</v>
      </c>
      <c r="C1909" s="98" t="s">
        <v>242</v>
      </c>
      <c r="D1909" s="98" t="s">
        <v>351</v>
      </c>
      <c r="E1909" s="98" t="s">
        <v>244</v>
      </c>
      <c r="F1909" s="98">
        <v>96</v>
      </c>
    </row>
    <row r="1910" spans="1:6">
      <c r="A1910" s="6">
        <v>44165</v>
      </c>
      <c r="B1910" s="98"/>
      <c r="C1910" s="98" t="s">
        <v>245</v>
      </c>
      <c r="D1910" s="98" t="s">
        <v>351</v>
      </c>
      <c r="E1910" s="98" t="s">
        <v>244</v>
      </c>
      <c r="F1910" s="98">
        <v>116.47</v>
      </c>
    </row>
    <row r="1911" spans="1:6">
      <c r="A1911" s="6">
        <v>44165</v>
      </c>
      <c r="B1911" s="98"/>
      <c r="C1911" s="98" t="s">
        <v>291</v>
      </c>
      <c r="D1911" s="98" t="s">
        <v>351</v>
      </c>
      <c r="E1911" s="98" t="s">
        <v>247</v>
      </c>
      <c r="F1911" s="98">
        <v>229.13</v>
      </c>
    </row>
    <row r="1912" spans="1:6">
      <c r="A1912" s="6">
        <v>44165</v>
      </c>
      <c r="B1912" s="98" t="s">
        <v>352</v>
      </c>
      <c r="C1912" s="98" t="s">
        <v>245</v>
      </c>
      <c r="D1912" s="98" t="s">
        <v>353</v>
      </c>
      <c r="E1912" s="98" t="s">
        <v>244</v>
      </c>
      <c r="F1912" s="98">
        <v>0.04</v>
      </c>
    </row>
    <row r="1913" spans="1:6">
      <c r="A1913" s="6">
        <v>44165</v>
      </c>
      <c r="B1913" s="98" t="s">
        <v>354</v>
      </c>
      <c r="C1913" s="98" t="s">
        <v>280</v>
      </c>
      <c r="D1913" s="98" t="s">
        <v>356</v>
      </c>
      <c r="E1913" s="98" t="s">
        <v>247</v>
      </c>
      <c r="F1913" s="98">
        <v>1635.27</v>
      </c>
    </row>
    <row r="1914" spans="1:6">
      <c r="A1914" s="6">
        <v>44165</v>
      </c>
      <c r="B1914" s="98"/>
      <c r="C1914" s="98" t="s">
        <v>355</v>
      </c>
      <c r="D1914" s="98" t="s">
        <v>356</v>
      </c>
      <c r="E1914" s="98" t="s">
        <v>247</v>
      </c>
      <c r="F1914" s="98">
        <v>894.31</v>
      </c>
    </row>
    <row r="1915" spans="1:6">
      <c r="A1915" s="6">
        <v>44165</v>
      </c>
      <c r="B1915" s="98" t="s">
        <v>357</v>
      </c>
      <c r="C1915" s="98" t="s">
        <v>248</v>
      </c>
      <c r="D1915" s="98" t="s">
        <v>358</v>
      </c>
      <c r="E1915" s="98" t="s">
        <v>247</v>
      </c>
      <c r="F1915" s="98">
        <v>21127.77</v>
      </c>
    </row>
    <row r="1916" spans="1:6">
      <c r="A1916" s="6">
        <v>44165</v>
      </c>
      <c r="B1916" s="98"/>
      <c r="C1916" s="98" t="s">
        <v>290</v>
      </c>
      <c r="D1916" s="98" t="s">
        <v>358</v>
      </c>
      <c r="E1916" s="98" t="s">
        <v>247</v>
      </c>
      <c r="F1916" s="98">
        <v>5422.27</v>
      </c>
    </row>
    <row r="1917" spans="1:6">
      <c r="A1917" s="6">
        <v>44165</v>
      </c>
      <c r="B1917" s="98" t="s">
        <v>359</v>
      </c>
      <c r="C1917" s="98" t="s">
        <v>242</v>
      </c>
      <c r="D1917" s="98" t="s">
        <v>360</v>
      </c>
      <c r="E1917" s="98" t="s">
        <v>244</v>
      </c>
      <c r="F1917" s="98">
        <v>47.79</v>
      </c>
    </row>
    <row r="1918" spans="1:6">
      <c r="A1918" s="6">
        <v>44165</v>
      </c>
      <c r="B1918" s="98"/>
      <c r="C1918" s="98" t="s">
        <v>262</v>
      </c>
      <c r="D1918" s="98" t="s">
        <v>360</v>
      </c>
      <c r="E1918" s="98" t="s">
        <v>244</v>
      </c>
      <c r="F1918" s="98">
        <v>665.67</v>
      </c>
    </row>
    <row r="1919" spans="1:6">
      <c r="A1919" s="6">
        <v>44165</v>
      </c>
      <c r="B1919" s="98"/>
      <c r="C1919" s="98" t="s">
        <v>251</v>
      </c>
      <c r="D1919" s="98" t="s">
        <v>360</v>
      </c>
      <c r="E1919" s="98" t="s">
        <v>244</v>
      </c>
      <c r="F1919" s="98">
        <v>18.84</v>
      </c>
    </row>
    <row r="1920" spans="1:6">
      <c r="A1920" s="6">
        <v>44165</v>
      </c>
      <c r="B1920" s="98"/>
      <c r="C1920" s="98" t="s">
        <v>245</v>
      </c>
      <c r="D1920" s="98" t="s">
        <v>360</v>
      </c>
      <c r="E1920" s="98" t="s">
        <v>244</v>
      </c>
      <c r="F1920" s="98">
        <v>423.8</v>
      </c>
    </row>
    <row r="1921" spans="1:6">
      <c r="A1921" s="6">
        <v>44165</v>
      </c>
      <c r="B1921" s="98"/>
      <c r="C1921" s="98" t="s">
        <v>264</v>
      </c>
      <c r="D1921" s="98" t="s">
        <v>360</v>
      </c>
      <c r="E1921" s="98" t="s">
        <v>244</v>
      </c>
      <c r="F1921" s="98">
        <v>56.58</v>
      </c>
    </row>
    <row r="1922" spans="1:6">
      <c r="A1922" s="6">
        <v>44165</v>
      </c>
      <c r="B1922" s="98"/>
      <c r="C1922" s="98" t="s">
        <v>289</v>
      </c>
      <c r="D1922" s="98" t="s">
        <v>360</v>
      </c>
      <c r="E1922" s="98" t="s">
        <v>247</v>
      </c>
      <c r="F1922" s="98">
        <v>1261.95</v>
      </c>
    </row>
    <row r="1923" spans="1:6">
      <c r="A1923" s="6">
        <v>44165</v>
      </c>
      <c r="B1923" s="98"/>
      <c r="C1923" s="98" t="s">
        <v>266</v>
      </c>
      <c r="D1923" s="98" t="s">
        <v>360</v>
      </c>
      <c r="E1923" s="98" t="s">
        <v>258</v>
      </c>
      <c r="F1923" s="98">
        <v>3657.44</v>
      </c>
    </row>
    <row r="1924" spans="1:6">
      <c r="A1924" s="6">
        <v>44165</v>
      </c>
      <c r="B1924" s="98" t="s">
        <v>361</v>
      </c>
      <c r="C1924" s="98" t="s">
        <v>264</v>
      </c>
      <c r="D1924" s="98" t="s">
        <v>362</v>
      </c>
      <c r="E1924" s="98" t="s">
        <v>244</v>
      </c>
      <c r="F1924" s="98">
        <v>90.7</v>
      </c>
    </row>
    <row r="1925" spans="1:6">
      <c r="A1925" s="6">
        <v>44165</v>
      </c>
      <c r="B1925" s="98"/>
      <c r="C1925" s="98" t="s">
        <v>248</v>
      </c>
      <c r="D1925" s="98" t="s">
        <v>362</v>
      </c>
      <c r="E1925" s="98" t="s">
        <v>247</v>
      </c>
      <c r="F1925" s="98">
        <v>9124.4699999999993</v>
      </c>
    </row>
    <row r="1926" spans="1:6">
      <c r="A1926" s="6">
        <v>44165</v>
      </c>
      <c r="B1926" s="98"/>
      <c r="C1926" s="98" t="s">
        <v>290</v>
      </c>
      <c r="D1926" s="98" t="s">
        <v>362</v>
      </c>
      <c r="E1926" s="98" t="s">
        <v>247</v>
      </c>
      <c r="F1926" s="98">
        <v>2838.67</v>
      </c>
    </row>
    <row r="1927" spans="1:6">
      <c r="A1927" s="6">
        <v>44165</v>
      </c>
      <c r="B1927" s="98"/>
      <c r="C1927" s="98" t="s">
        <v>363</v>
      </c>
      <c r="D1927" s="98" t="s">
        <v>362</v>
      </c>
      <c r="E1927" s="98" t="s">
        <v>247</v>
      </c>
      <c r="F1927" s="98">
        <v>5677.35</v>
      </c>
    </row>
    <row r="1928" spans="1:6">
      <c r="A1928" s="6">
        <v>44165</v>
      </c>
      <c r="B1928" s="98"/>
      <c r="C1928" s="98" t="s">
        <v>364</v>
      </c>
      <c r="D1928" s="98" t="s">
        <v>362</v>
      </c>
      <c r="E1928" s="98" t="s">
        <v>247</v>
      </c>
      <c r="F1928" s="98">
        <v>2838.67</v>
      </c>
    </row>
    <row r="1929" spans="1:6">
      <c r="A1929" s="6">
        <v>44165</v>
      </c>
      <c r="B1929" s="98"/>
      <c r="C1929" s="98" t="s">
        <v>365</v>
      </c>
      <c r="D1929" s="98" t="s">
        <v>362</v>
      </c>
      <c r="E1929" s="98" t="s">
        <v>247</v>
      </c>
      <c r="F1929" s="98">
        <v>2838.67</v>
      </c>
    </row>
    <row r="1930" spans="1:6">
      <c r="A1930" s="6">
        <v>44165</v>
      </c>
      <c r="B1930" s="98" t="s">
        <v>366</v>
      </c>
      <c r="C1930" s="98" t="s">
        <v>251</v>
      </c>
      <c r="D1930" s="98" t="s">
        <v>367</v>
      </c>
      <c r="E1930" s="98" t="s">
        <v>244</v>
      </c>
      <c r="F1930" s="98">
        <v>61.23</v>
      </c>
    </row>
    <row r="1931" spans="1:6">
      <c r="A1931" s="6">
        <v>44165</v>
      </c>
      <c r="B1931" s="98"/>
      <c r="C1931" s="98" t="s">
        <v>253</v>
      </c>
      <c r="D1931" s="98" t="s">
        <v>367</v>
      </c>
      <c r="E1931" s="98" t="s">
        <v>244</v>
      </c>
      <c r="F1931" s="98">
        <v>8.9700000000000006</v>
      </c>
    </row>
    <row r="1932" spans="1:6">
      <c r="A1932" s="6">
        <v>44165</v>
      </c>
      <c r="B1932" s="98"/>
      <c r="C1932" s="98" t="s">
        <v>368</v>
      </c>
      <c r="D1932" s="98" t="s">
        <v>367</v>
      </c>
      <c r="E1932" s="98" t="s">
        <v>247</v>
      </c>
      <c r="F1932" s="98">
        <v>1454.91</v>
      </c>
    </row>
    <row r="1933" spans="1:6">
      <c r="A1933" s="6">
        <v>44165</v>
      </c>
      <c r="B1933" s="98"/>
      <c r="C1933" s="98" t="s">
        <v>257</v>
      </c>
      <c r="D1933" s="98" t="s">
        <v>367</v>
      </c>
      <c r="E1933" s="98" t="s">
        <v>258</v>
      </c>
      <c r="F1933" s="98">
        <v>18366.82</v>
      </c>
    </row>
    <row r="1934" spans="1:6">
      <c r="A1934" s="6">
        <v>44165</v>
      </c>
      <c r="B1934" s="98"/>
      <c r="C1934" s="98" t="s">
        <v>259</v>
      </c>
      <c r="D1934" s="98" t="s">
        <v>367</v>
      </c>
      <c r="E1934" s="98" t="s">
        <v>258</v>
      </c>
      <c r="F1934" s="98">
        <v>12711.46</v>
      </c>
    </row>
    <row r="1935" spans="1:6">
      <c r="A1935" s="6">
        <v>44165</v>
      </c>
      <c r="B1935" s="98"/>
      <c r="C1935" s="98" t="s">
        <v>260</v>
      </c>
      <c r="D1935" s="98" t="s">
        <v>367</v>
      </c>
      <c r="E1935" s="98" t="s">
        <v>258</v>
      </c>
      <c r="F1935" s="98">
        <v>3189.66</v>
      </c>
    </row>
    <row r="1936" spans="1:6">
      <c r="A1936" s="6">
        <v>44165</v>
      </c>
      <c r="B1936" s="98"/>
      <c r="C1936" s="98" t="s">
        <v>369</v>
      </c>
      <c r="D1936" s="98" t="s">
        <v>367</v>
      </c>
      <c r="E1936" s="98" t="s">
        <v>244</v>
      </c>
      <c r="F1936" s="98">
        <v>18.649999999999999</v>
      </c>
    </row>
    <row r="1937" spans="1:6">
      <c r="A1937" s="6">
        <v>44165</v>
      </c>
      <c r="B1937" s="98" t="s">
        <v>370</v>
      </c>
      <c r="C1937" s="98" t="s">
        <v>242</v>
      </c>
      <c r="D1937" s="98" t="s">
        <v>371</v>
      </c>
      <c r="E1937" s="98" t="s">
        <v>244</v>
      </c>
      <c r="F1937" s="98">
        <v>186.66</v>
      </c>
    </row>
    <row r="1938" spans="1:6">
      <c r="A1938" s="6">
        <v>44165</v>
      </c>
      <c r="B1938" s="98"/>
      <c r="C1938" s="98" t="s">
        <v>253</v>
      </c>
      <c r="D1938" s="98" t="s">
        <v>371</v>
      </c>
      <c r="E1938" s="98" t="s">
        <v>244</v>
      </c>
      <c r="F1938" s="98">
        <v>16.46</v>
      </c>
    </row>
    <row r="1939" spans="1:6">
      <c r="A1939" s="6">
        <v>44165</v>
      </c>
      <c r="B1939" s="98"/>
      <c r="C1939" s="98" t="s">
        <v>254</v>
      </c>
      <c r="D1939" s="98" t="s">
        <v>371</v>
      </c>
      <c r="E1939" s="98" t="s">
        <v>244</v>
      </c>
      <c r="F1939" s="98">
        <v>1218.44</v>
      </c>
    </row>
    <row r="1940" spans="1:6">
      <c r="A1940" s="6">
        <v>44165</v>
      </c>
      <c r="B1940" s="98" t="s">
        <v>372</v>
      </c>
      <c r="C1940" s="98" t="s">
        <v>242</v>
      </c>
      <c r="D1940" s="98" t="s">
        <v>373</v>
      </c>
      <c r="E1940" s="98" t="s">
        <v>244</v>
      </c>
      <c r="F1940" s="98">
        <v>695.4</v>
      </c>
    </row>
    <row r="1941" spans="1:6">
      <c r="A1941" s="6">
        <v>44165</v>
      </c>
      <c r="B1941" s="98"/>
      <c r="C1941" s="98" t="s">
        <v>251</v>
      </c>
      <c r="D1941" s="98" t="s">
        <v>373</v>
      </c>
      <c r="E1941" s="98" t="s">
        <v>244</v>
      </c>
      <c r="F1941" s="98">
        <v>2.71</v>
      </c>
    </row>
    <row r="1942" spans="1:6">
      <c r="A1942" s="6">
        <v>44165</v>
      </c>
      <c r="B1942" s="98"/>
      <c r="C1942" s="98" t="s">
        <v>277</v>
      </c>
      <c r="D1942" s="98" t="s">
        <v>373</v>
      </c>
      <c r="E1942" s="98" t="s">
        <v>247</v>
      </c>
      <c r="F1942" s="98">
        <v>1392.05</v>
      </c>
    </row>
    <row r="1943" spans="1:6">
      <c r="A1943" s="6">
        <v>44165</v>
      </c>
      <c r="B1943" s="98"/>
      <c r="C1943" s="98" t="s">
        <v>289</v>
      </c>
      <c r="D1943" s="98" t="s">
        <v>373</v>
      </c>
      <c r="E1943" s="98" t="s">
        <v>247</v>
      </c>
      <c r="F1943" s="98">
        <v>2725.11</v>
      </c>
    </row>
    <row r="1944" spans="1:6">
      <c r="A1944" s="6">
        <v>44165</v>
      </c>
      <c r="B1944" s="98" t="s">
        <v>374</v>
      </c>
      <c r="C1944" s="98" t="s">
        <v>242</v>
      </c>
      <c r="D1944" s="98" t="s">
        <v>375</v>
      </c>
      <c r="E1944" s="98" t="s">
        <v>244</v>
      </c>
      <c r="F1944" s="98">
        <v>158.71</v>
      </c>
    </row>
    <row r="1945" spans="1:6">
      <c r="A1945" s="6">
        <v>44165</v>
      </c>
      <c r="B1945" s="98"/>
      <c r="C1945" s="98" t="s">
        <v>251</v>
      </c>
      <c r="D1945" s="98" t="s">
        <v>375</v>
      </c>
      <c r="E1945" s="98" t="s">
        <v>244</v>
      </c>
      <c r="F1945" s="98">
        <v>89.88</v>
      </c>
    </row>
    <row r="1946" spans="1:6">
      <c r="A1946" s="6">
        <v>44165</v>
      </c>
      <c r="B1946" s="98"/>
      <c r="C1946" s="98" t="s">
        <v>245</v>
      </c>
      <c r="D1946" s="98" t="s">
        <v>375</v>
      </c>
      <c r="E1946" s="98" t="s">
        <v>244</v>
      </c>
      <c r="F1946" s="98">
        <v>1153.8399999999999</v>
      </c>
    </row>
    <row r="1947" spans="1:6">
      <c r="A1947" s="6">
        <v>44165</v>
      </c>
      <c r="B1947" s="98"/>
      <c r="C1947" s="98" t="s">
        <v>277</v>
      </c>
      <c r="D1947" s="98" t="s">
        <v>375</v>
      </c>
      <c r="E1947" s="98" t="s">
        <v>247</v>
      </c>
      <c r="F1947" s="98">
        <v>17108.990000000002</v>
      </c>
    </row>
    <row r="1948" spans="1:6">
      <c r="A1948" s="6">
        <v>44165</v>
      </c>
      <c r="B1948" s="98"/>
      <c r="C1948" s="98" t="s">
        <v>246</v>
      </c>
      <c r="D1948" s="98" t="s">
        <v>375</v>
      </c>
      <c r="E1948" s="98" t="s">
        <v>247</v>
      </c>
      <c r="F1948" s="98">
        <v>19165.060000000001</v>
      </c>
    </row>
    <row r="1949" spans="1:6">
      <c r="A1949" s="6">
        <v>44165</v>
      </c>
      <c r="B1949" s="98"/>
      <c r="C1949" s="98" t="s">
        <v>249</v>
      </c>
      <c r="D1949" s="98" t="s">
        <v>375</v>
      </c>
      <c r="E1949" s="98" t="s">
        <v>247</v>
      </c>
      <c r="F1949" s="98">
        <v>15538.34</v>
      </c>
    </row>
    <row r="1950" spans="1:6">
      <c r="A1950" s="6">
        <v>44165</v>
      </c>
      <c r="B1950" s="98"/>
      <c r="C1950" s="98" t="s">
        <v>274</v>
      </c>
      <c r="D1950" s="98" t="s">
        <v>375</v>
      </c>
      <c r="E1950" s="98" t="s">
        <v>247</v>
      </c>
      <c r="F1950" s="98">
        <v>14172.96</v>
      </c>
    </row>
    <row r="1951" spans="1:6">
      <c r="A1951" s="6">
        <v>44165</v>
      </c>
      <c r="B1951" s="98" t="s">
        <v>376</v>
      </c>
      <c r="C1951" s="98" t="s">
        <v>242</v>
      </c>
      <c r="D1951" s="98" t="s">
        <v>377</v>
      </c>
      <c r="E1951" s="98" t="s">
        <v>244</v>
      </c>
      <c r="F1951" s="98">
        <v>795.21</v>
      </c>
    </row>
    <row r="1952" spans="1:6">
      <c r="A1952" s="6">
        <v>44165</v>
      </c>
      <c r="B1952" s="98"/>
      <c r="C1952" s="98" t="s">
        <v>262</v>
      </c>
      <c r="D1952" s="98" t="s">
        <v>377</v>
      </c>
      <c r="E1952" s="98" t="s">
        <v>244</v>
      </c>
      <c r="F1952" s="98">
        <v>6672.13</v>
      </c>
    </row>
    <row r="1953" spans="1:6">
      <c r="A1953" s="6">
        <v>44165</v>
      </c>
      <c r="B1953" s="98"/>
      <c r="C1953" s="98" t="s">
        <v>251</v>
      </c>
      <c r="D1953" s="98" t="s">
        <v>377</v>
      </c>
      <c r="E1953" s="98" t="s">
        <v>244</v>
      </c>
      <c r="F1953" s="98">
        <v>2.84</v>
      </c>
    </row>
    <row r="1954" spans="1:6">
      <c r="A1954" s="6">
        <v>44165</v>
      </c>
      <c r="B1954" s="98"/>
      <c r="C1954" s="98" t="s">
        <v>245</v>
      </c>
      <c r="D1954" s="98" t="s">
        <v>377</v>
      </c>
      <c r="E1954" s="98" t="s">
        <v>244</v>
      </c>
      <c r="F1954" s="98">
        <v>239.58</v>
      </c>
    </row>
    <row r="1955" spans="1:6">
      <c r="A1955" s="6">
        <v>44165</v>
      </c>
      <c r="B1955" s="98"/>
      <c r="C1955" s="98" t="s">
        <v>254</v>
      </c>
      <c r="D1955" s="98" t="s">
        <v>377</v>
      </c>
      <c r="E1955" s="98" t="s">
        <v>244</v>
      </c>
      <c r="F1955" s="98">
        <v>250.5</v>
      </c>
    </row>
    <row r="1956" spans="1:6">
      <c r="A1956" s="6">
        <v>44165</v>
      </c>
      <c r="B1956" s="98"/>
      <c r="C1956" s="98" t="s">
        <v>272</v>
      </c>
      <c r="D1956" s="98" t="s">
        <v>377</v>
      </c>
      <c r="E1956" s="98" t="s">
        <v>247</v>
      </c>
      <c r="F1956" s="98">
        <v>3144.86</v>
      </c>
    </row>
    <row r="1957" spans="1:6">
      <c r="A1957" s="6">
        <v>44165</v>
      </c>
      <c r="B1957" s="98"/>
      <c r="C1957" s="98" t="s">
        <v>246</v>
      </c>
      <c r="D1957" s="98" t="s">
        <v>377</v>
      </c>
      <c r="E1957" s="98" t="s">
        <v>247</v>
      </c>
      <c r="F1957" s="98">
        <v>781.89</v>
      </c>
    </row>
    <row r="1958" spans="1:6">
      <c r="A1958" s="6">
        <v>44165</v>
      </c>
      <c r="B1958" s="98"/>
      <c r="C1958" s="98" t="s">
        <v>248</v>
      </c>
      <c r="D1958" s="98" t="s">
        <v>377</v>
      </c>
      <c r="E1958" s="98" t="s">
        <v>247</v>
      </c>
      <c r="F1958" s="98">
        <v>1903.3</v>
      </c>
    </row>
    <row r="1959" spans="1:6">
      <c r="A1959" s="6">
        <v>44165</v>
      </c>
      <c r="B1959" s="98" t="s">
        <v>378</v>
      </c>
      <c r="C1959" s="98" t="s">
        <v>245</v>
      </c>
      <c r="D1959" s="98" t="s">
        <v>379</v>
      </c>
      <c r="E1959" s="98" t="s">
        <v>244</v>
      </c>
      <c r="F1959" s="98">
        <v>89.49</v>
      </c>
    </row>
    <row r="1960" spans="1:6">
      <c r="A1960" s="6">
        <v>44165</v>
      </c>
      <c r="B1960" s="98"/>
      <c r="C1960" s="98" t="s">
        <v>355</v>
      </c>
      <c r="D1960" s="98" t="s">
        <v>379</v>
      </c>
      <c r="E1960" s="98" t="s">
        <v>247</v>
      </c>
      <c r="F1960" s="98">
        <v>901.45</v>
      </c>
    </row>
    <row r="1961" spans="1:6">
      <c r="A1961" s="6">
        <v>44165</v>
      </c>
      <c r="B1961" s="98" t="s">
        <v>380</v>
      </c>
      <c r="C1961" s="98" t="s">
        <v>254</v>
      </c>
      <c r="D1961" s="98" t="s">
        <v>381</v>
      </c>
      <c r="E1961" s="98" t="s">
        <v>244</v>
      </c>
      <c r="F1961" s="98">
        <v>48.47</v>
      </c>
    </row>
    <row r="1962" spans="1:6">
      <c r="A1962" s="6">
        <v>44165</v>
      </c>
      <c r="B1962" s="98" t="s">
        <v>382</v>
      </c>
      <c r="C1962" s="98" t="s">
        <v>242</v>
      </c>
      <c r="D1962" s="98" t="s">
        <v>383</v>
      </c>
      <c r="E1962" s="98" t="s">
        <v>244</v>
      </c>
      <c r="F1962" s="98">
        <v>125.11</v>
      </c>
    </row>
    <row r="1963" spans="1:6">
      <c r="A1963" s="6">
        <v>44165</v>
      </c>
      <c r="B1963" s="98"/>
      <c r="C1963" s="98" t="s">
        <v>262</v>
      </c>
      <c r="D1963" s="98" t="s">
        <v>383</v>
      </c>
      <c r="E1963" s="98" t="s">
        <v>244</v>
      </c>
      <c r="F1963" s="98">
        <v>525.30999999999995</v>
      </c>
    </row>
    <row r="1964" spans="1:6">
      <c r="A1964" s="6">
        <v>44165</v>
      </c>
      <c r="B1964" s="98"/>
      <c r="C1964" s="98" t="s">
        <v>245</v>
      </c>
      <c r="D1964" s="98" t="s">
        <v>383</v>
      </c>
      <c r="E1964" s="98" t="s">
        <v>244</v>
      </c>
      <c r="F1964" s="98">
        <v>301.72000000000003</v>
      </c>
    </row>
    <row r="1965" spans="1:6">
      <c r="A1965" s="6">
        <v>44165</v>
      </c>
      <c r="B1965" s="98"/>
      <c r="C1965" s="98" t="s">
        <v>254</v>
      </c>
      <c r="D1965" s="98" t="s">
        <v>383</v>
      </c>
      <c r="E1965" s="98" t="s">
        <v>244</v>
      </c>
      <c r="F1965" s="98">
        <v>62.61</v>
      </c>
    </row>
    <row r="1966" spans="1:6">
      <c r="A1966" s="6">
        <v>44165</v>
      </c>
      <c r="B1966" s="98"/>
      <c r="C1966" s="98" t="s">
        <v>248</v>
      </c>
      <c r="D1966" s="98" t="s">
        <v>383</v>
      </c>
      <c r="E1966" s="98" t="s">
        <v>247</v>
      </c>
      <c r="F1966" s="98">
        <v>16455.509999999998</v>
      </c>
    </row>
    <row r="1967" spans="1:6">
      <c r="A1967" s="6">
        <v>44165</v>
      </c>
      <c r="B1967" s="98" t="s">
        <v>467</v>
      </c>
      <c r="C1967" s="98" t="s">
        <v>264</v>
      </c>
      <c r="D1967" s="98" t="s">
        <v>468</v>
      </c>
      <c r="E1967" s="98" t="s">
        <v>244</v>
      </c>
      <c r="F1967" s="98">
        <v>342.79</v>
      </c>
    </row>
    <row r="1968" spans="1:6">
      <c r="A1968" s="6">
        <v>44165</v>
      </c>
      <c r="B1968" s="98" t="s">
        <v>384</v>
      </c>
      <c r="C1968" s="98" t="s">
        <v>262</v>
      </c>
      <c r="D1968" s="98" t="s">
        <v>385</v>
      </c>
      <c r="E1968" s="98" t="s">
        <v>244</v>
      </c>
      <c r="F1968" s="98">
        <v>40.31</v>
      </c>
    </row>
    <row r="1969" spans="1:6">
      <c r="A1969" s="6">
        <v>44165</v>
      </c>
      <c r="B1969" s="98"/>
      <c r="C1969" s="98" t="s">
        <v>253</v>
      </c>
      <c r="D1969" s="98" t="s">
        <v>385</v>
      </c>
      <c r="E1969" s="98" t="s">
        <v>244</v>
      </c>
      <c r="F1969" s="98">
        <v>16.059999999999999</v>
      </c>
    </row>
    <row r="1970" spans="1:6">
      <c r="A1970" s="6">
        <v>44165</v>
      </c>
      <c r="B1970" s="98"/>
      <c r="C1970" s="98" t="s">
        <v>245</v>
      </c>
      <c r="D1970" s="98" t="s">
        <v>385</v>
      </c>
      <c r="E1970" s="98" t="s">
        <v>244</v>
      </c>
      <c r="F1970" s="98">
        <v>2.11</v>
      </c>
    </row>
    <row r="1971" spans="1:6">
      <c r="A1971" s="6">
        <v>44165</v>
      </c>
      <c r="B1971" s="98"/>
      <c r="C1971" s="98" t="s">
        <v>264</v>
      </c>
      <c r="D1971" s="98" t="s">
        <v>385</v>
      </c>
      <c r="E1971" s="98" t="s">
        <v>244</v>
      </c>
      <c r="F1971" s="98">
        <v>141.36000000000001</v>
      </c>
    </row>
    <row r="1972" spans="1:6">
      <c r="A1972" s="6">
        <v>44165</v>
      </c>
      <c r="B1972" s="98"/>
      <c r="C1972" s="98" t="s">
        <v>271</v>
      </c>
      <c r="D1972" s="98" t="s">
        <v>385</v>
      </c>
      <c r="E1972" s="98" t="s">
        <v>244</v>
      </c>
      <c r="F1972" s="98">
        <v>2.34</v>
      </c>
    </row>
    <row r="1973" spans="1:6">
      <c r="A1973" s="6">
        <v>44165</v>
      </c>
      <c r="B1973" s="98"/>
      <c r="C1973" s="98" t="s">
        <v>254</v>
      </c>
      <c r="D1973" s="98" t="s">
        <v>385</v>
      </c>
      <c r="E1973" s="98" t="s">
        <v>244</v>
      </c>
      <c r="F1973" s="98">
        <v>277.64</v>
      </c>
    </row>
    <row r="1974" spans="1:6">
      <c r="A1974" s="6">
        <v>44165</v>
      </c>
      <c r="B1974" s="98"/>
      <c r="C1974" s="98" t="s">
        <v>278</v>
      </c>
      <c r="D1974" s="98" t="s">
        <v>385</v>
      </c>
      <c r="E1974" s="98" t="s">
        <v>247</v>
      </c>
      <c r="F1974" s="98">
        <v>2659.57</v>
      </c>
    </row>
    <row r="1975" spans="1:6">
      <c r="A1975" s="6">
        <v>44165</v>
      </c>
      <c r="B1975" s="98" t="s">
        <v>386</v>
      </c>
      <c r="C1975" s="98" t="s">
        <v>262</v>
      </c>
      <c r="D1975" s="98" t="s">
        <v>387</v>
      </c>
      <c r="E1975" s="98" t="s">
        <v>244</v>
      </c>
      <c r="F1975" s="98">
        <v>209.17</v>
      </c>
    </row>
    <row r="1976" spans="1:6">
      <c r="A1976" s="6">
        <v>44165</v>
      </c>
      <c r="B1976" s="98"/>
      <c r="C1976" s="98" t="s">
        <v>253</v>
      </c>
      <c r="D1976" s="98" t="s">
        <v>387</v>
      </c>
      <c r="E1976" s="98" t="s">
        <v>244</v>
      </c>
      <c r="F1976" s="98">
        <v>88.77</v>
      </c>
    </row>
    <row r="1977" spans="1:6">
      <c r="A1977" s="6">
        <v>44165</v>
      </c>
      <c r="B1977" s="98"/>
      <c r="C1977" s="98" t="s">
        <v>245</v>
      </c>
      <c r="D1977" s="98" t="s">
        <v>387</v>
      </c>
      <c r="E1977" s="98" t="s">
        <v>244</v>
      </c>
      <c r="F1977" s="98">
        <v>109.91</v>
      </c>
    </row>
    <row r="1978" spans="1:6">
      <c r="A1978" s="6">
        <v>44165</v>
      </c>
      <c r="B1978" s="98"/>
      <c r="C1978" s="98" t="s">
        <v>264</v>
      </c>
      <c r="D1978" s="98" t="s">
        <v>387</v>
      </c>
      <c r="E1978" s="98" t="s">
        <v>244</v>
      </c>
      <c r="F1978" s="98">
        <v>356.32</v>
      </c>
    </row>
    <row r="1979" spans="1:6">
      <c r="A1979" s="6">
        <v>44165</v>
      </c>
      <c r="B1979" s="98"/>
      <c r="C1979" s="98" t="s">
        <v>271</v>
      </c>
      <c r="D1979" s="98" t="s">
        <v>387</v>
      </c>
      <c r="E1979" s="98" t="s">
        <v>244</v>
      </c>
      <c r="F1979" s="98">
        <v>36.53</v>
      </c>
    </row>
    <row r="1980" spans="1:6">
      <c r="A1980" s="6">
        <v>44165</v>
      </c>
      <c r="B1980" s="98"/>
      <c r="C1980" s="98" t="s">
        <v>254</v>
      </c>
      <c r="D1980" s="98" t="s">
        <v>387</v>
      </c>
      <c r="E1980" s="98" t="s">
        <v>244</v>
      </c>
      <c r="F1980" s="98">
        <v>184.84</v>
      </c>
    </row>
    <row r="1981" spans="1:6">
      <c r="A1981" s="6">
        <v>44165</v>
      </c>
      <c r="B1981" s="98"/>
      <c r="C1981" s="98" t="s">
        <v>278</v>
      </c>
      <c r="D1981" s="98" t="s">
        <v>387</v>
      </c>
      <c r="E1981" s="98" t="s">
        <v>247</v>
      </c>
      <c r="F1981" s="98">
        <v>2768</v>
      </c>
    </row>
    <row r="1982" spans="1:6">
      <c r="A1982" s="6">
        <v>44165</v>
      </c>
      <c r="B1982" s="98" t="s">
        <v>388</v>
      </c>
      <c r="C1982" s="98" t="s">
        <v>262</v>
      </c>
      <c r="D1982" s="98" t="s">
        <v>389</v>
      </c>
      <c r="E1982" s="98" t="s">
        <v>244</v>
      </c>
      <c r="F1982" s="98">
        <v>207.16</v>
      </c>
    </row>
    <row r="1983" spans="1:6">
      <c r="A1983" s="6">
        <v>44165</v>
      </c>
      <c r="B1983" s="98"/>
      <c r="C1983" s="98" t="s">
        <v>245</v>
      </c>
      <c r="D1983" s="98" t="s">
        <v>389</v>
      </c>
      <c r="E1983" s="98" t="s">
        <v>244</v>
      </c>
      <c r="F1983" s="98">
        <v>255.68</v>
      </c>
    </row>
    <row r="1984" spans="1:6">
      <c r="A1984" s="6">
        <v>44165</v>
      </c>
      <c r="B1984" s="98"/>
      <c r="C1984" s="98" t="s">
        <v>254</v>
      </c>
      <c r="D1984" s="98" t="s">
        <v>389</v>
      </c>
      <c r="E1984" s="98" t="s">
        <v>244</v>
      </c>
      <c r="F1984" s="98">
        <v>18.38</v>
      </c>
    </row>
    <row r="1985" spans="1:6">
      <c r="A1985" s="6">
        <v>44165</v>
      </c>
      <c r="B1985" s="98" t="s">
        <v>390</v>
      </c>
      <c r="C1985" s="98" t="s">
        <v>264</v>
      </c>
      <c r="D1985" s="98" t="s">
        <v>391</v>
      </c>
      <c r="E1985" s="98" t="s">
        <v>244</v>
      </c>
      <c r="F1985" s="98">
        <v>526.27</v>
      </c>
    </row>
    <row r="1986" spans="1:6">
      <c r="A1986" s="6">
        <v>44165</v>
      </c>
      <c r="B1986" s="98"/>
      <c r="C1986" s="98" t="s">
        <v>271</v>
      </c>
      <c r="D1986" s="98" t="s">
        <v>391</v>
      </c>
      <c r="E1986" s="98" t="s">
        <v>244</v>
      </c>
      <c r="F1986" s="98">
        <v>75.56</v>
      </c>
    </row>
    <row r="1987" spans="1:6">
      <c r="A1987" s="6">
        <v>44165</v>
      </c>
      <c r="B1987" s="98"/>
      <c r="C1987" s="98" t="s">
        <v>254</v>
      </c>
      <c r="D1987" s="98" t="s">
        <v>391</v>
      </c>
      <c r="E1987" s="98" t="s">
        <v>244</v>
      </c>
      <c r="F1987" s="98">
        <v>213.28</v>
      </c>
    </row>
    <row r="1988" spans="1:6">
      <c r="A1988" s="6">
        <v>44165</v>
      </c>
      <c r="B1988" s="98"/>
      <c r="C1988" s="98" t="s">
        <v>278</v>
      </c>
      <c r="D1988" s="98" t="s">
        <v>391</v>
      </c>
      <c r="E1988" s="98" t="s">
        <v>247</v>
      </c>
      <c r="F1988" s="98">
        <v>5212.83</v>
      </c>
    </row>
    <row r="1989" spans="1:6">
      <c r="A1989" s="6">
        <v>44165</v>
      </c>
      <c r="B1989" s="98" t="s">
        <v>392</v>
      </c>
      <c r="C1989" s="98" t="s">
        <v>251</v>
      </c>
      <c r="D1989" s="98" t="s">
        <v>393</v>
      </c>
      <c r="E1989" s="98" t="s">
        <v>244</v>
      </c>
      <c r="F1989" s="98">
        <v>11.08</v>
      </c>
    </row>
    <row r="1990" spans="1:6">
      <c r="A1990" s="6">
        <v>44165</v>
      </c>
      <c r="B1990" s="98"/>
      <c r="C1990" s="98" t="s">
        <v>291</v>
      </c>
      <c r="D1990" s="98" t="s">
        <v>393</v>
      </c>
      <c r="E1990" s="98" t="s">
        <v>247</v>
      </c>
      <c r="F1990" s="98">
        <v>4398.67</v>
      </c>
    </row>
    <row r="1991" spans="1:6">
      <c r="A1991" s="6">
        <v>44165</v>
      </c>
      <c r="B1991" s="98" t="s">
        <v>394</v>
      </c>
      <c r="C1991" s="98" t="s">
        <v>251</v>
      </c>
      <c r="D1991" s="98" t="s">
        <v>395</v>
      </c>
      <c r="E1991" s="98" t="s">
        <v>244</v>
      </c>
      <c r="F1991" s="98">
        <v>15.62</v>
      </c>
    </row>
    <row r="1992" spans="1:6">
      <c r="A1992" s="6">
        <v>44165</v>
      </c>
      <c r="B1992" s="98"/>
      <c r="C1992" s="98" t="s">
        <v>278</v>
      </c>
      <c r="D1992" s="98" t="s">
        <v>395</v>
      </c>
      <c r="E1992" s="98" t="s">
        <v>247</v>
      </c>
      <c r="F1992" s="98">
        <v>677.32</v>
      </c>
    </row>
    <row r="1993" spans="1:6">
      <c r="A1993" s="6">
        <v>44165</v>
      </c>
      <c r="B1993" s="98" t="s">
        <v>396</v>
      </c>
      <c r="C1993" s="98" t="s">
        <v>251</v>
      </c>
      <c r="D1993" s="98" t="s">
        <v>397</v>
      </c>
      <c r="E1993" s="98" t="s">
        <v>244</v>
      </c>
      <c r="F1993" s="98">
        <v>6.56</v>
      </c>
    </row>
    <row r="1994" spans="1:6">
      <c r="A1994" s="6">
        <v>44165</v>
      </c>
      <c r="B1994" s="98"/>
      <c r="C1994" s="98" t="s">
        <v>248</v>
      </c>
      <c r="D1994" s="98" t="s">
        <v>397</v>
      </c>
      <c r="E1994" s="98" t="s">
        <v>247</v>
      </c>
      <c r="F1994" s="98">
        <v>8378.44</v>
      </c>
    </row>
    <row r="1995" spans="1:6">
      <c r="A1995" s="6">
        <v>44165</v>
      </c>
      <c r="B1995" s="98" t="s">
        <v>398</v>
      </c>
      <c r="C1995" s="98" t="s">
        <v>251</v>
      </c>
      <c r="D1995" s="98" t="s">
        <v>399</v>
      </c>
      <c r="E1995" s="98" t="s">
        <v>244</v>
      </c>
      <c r="F1995" s="98">
        <v>2.44</v>
      </c>
    </row>
    <row r="1996" spans="1:6">
      <c r="A1996" s="6">
        <v>44165</v>
      </c>
      <c r="B1996" s="98"/>
      <c r="C1996" s="98" t="s">
        <v>245</v>
      </c>
      <c r="D1996" s="98" t="s">
        <v>399</v>
      </c>
      <c r="E1996" s="98" t="s">
        <v>244</v>
      </c>
      <c r="F1996" s="98">
        <v>14.06</v>
      </c>
    </row>
    <row r="1997" spans="1:6">
      <c r="A1997" s="6">
        <v>44165</v>
      </c>
      <c r="B1997" s="98" t="s">
        <v>400</v>
      </c>
      <c r="C1997" s="98" t="s">
        <v>251</v>
      </c>
      <c r="D1997" s="98" t="s">
        <v>401</v>
      </c>
      <c r="E1997" s="98" t="s">
        <v>244</v>
      </c>
      <c r="F1997" s="98">
        <v>0.8</v>
      </c>
    </row>
    <row r="1998" spans="1:6">
      <c r="A1998" s="6">
        <v>44165</v>
      </c>
      <c r="B1998" s="98"/>
      <c r="C1998" s="98" t="s">
        <v>368</v>
      </c>
      <c r="D1998" s="98" t="s">
        <v>401</v>
      </c>
      <c r="E1998" s="98" t="s">
        <v>247</v>
      </c>
      <c r="F1998" s="98">
        <v>3206.19</v>
      </c>
    </row>
    <row r="1999" spans="1:6">
      <c r="A1999" s="6">
        <v>44165</v>
      </c>
      <c r="B1999" s="98"/>
      <c r="C1999" s="98" t="s">
        <v>402</v>
      </c>
      <c r="D1999" s="98" t="s">
        <v>401</v>
      </c>
      <c r="E1999" s="98" t="s">
        <v>247</v>
      </c>
      <c r="F1999" s="98">
        <v>4809.28</v>
      </c>
    </row>
    <row r="2000" spans="1:6">
      <c r="A2000" s="6">
        <v>44165</v>
      </c>
      <c r="B2000" s="98" t="s">
        <v>403</v>
      </c>
      <c r="C2000" s="98" t="s">
        <v>254</v>
      </c>
      <c r="D2000" s="98" t="s">
        <v>404</v>
      </c>
      <c r="E2000" s="98" t="s">
        <v>244</v>
      </c>
      <c r="F2000" s="98">
        <v>0.1</v>
      </c>
    </row>
    <row r="2001" spans="1:6">
      <c r="A2001" s="6">
        <v>44165</v>
      </c>
      <c r="B2001" s="98"/>
      <c r="C2001" s="98" t="s">
        <v>405</v>
      </c>
      <c r="D2001" s="98" t="s">
        <v>404</v>
      </c>
      <c r="E2001" s="98" t="s">
        <v>247</v>
      </c>
      <c r="F2001" s="98">
        <v>511.1</v>
      </c>
    </row>
    <row r="2002" spans="1:6">
      <c r="A2002" s="6">
        <v>44165</v>
      </c>
      <c r="B2002" s="98"/>
      <c r="C2002" s="98" t="s">
        <v>406</v>
      </c>
      <c r="D2002" s="98" t="s">
        <v>404</v>
      </c>
      <c r="E2002" s="98" t="s">
        <v>247</v>
      </c>
      <c r="F2002" s="98">
        <v>113.58</v>
      </c>
    </row>
    <row r="2003" spans="1:6">
      <c r="A2003" s="6">
        <v>44165</v>
      </c>
      <c r="B2003" s="98"/>
      <c r="C2003" s="98" t="s">
        <v>407</v>
      </c>
      <c r="D2003" s="98" t="s">
        <v>404</v>
      </c>
      <c r="E2003" s="98" t="s">
        <v>247</v>
      </c>
      <c r="F2003" s="98">
        <v>1135.78</v>
      </c>
    </row>
    <row r="2004" spans="1:6">
      <c r="A2004" s="6">
        <v>44165</v>
      </c>
      <c r="B2004" s="98" t="s">
        <v>408</v>
      </c>
      <c r="C2004" s="98" t="s">
        <v>262</v>
      </c>
      <c r="D2004" s="98" t="s">
        <v>409</v>
      </c>
      <c r="E2004" s="98" t="s">
        <v>244</v>
      </c>
      <c r="F2004" s="98">
        <v>51.87</v>
      </c>
    </row>
    <row r="2005" spans="1:6">
      <c r="A2005" s="6">
        <v>44165</v>
      </c>
      <c r="B2005" s="98"/>
      <c r="C2005" s="98" t="s">
        <v>251</v>
      </c>
      <c r="D2005" s="98" t="s">
        <v>409</v>
      </c>
      <c r="E2005" s="98" t="s">
        <v>244</v>
      </c>
      <c r="F2005" s="98">
        <v>6.27</v>
      </c>
    </row>
    <row r="2006" spans="1:6">
      <c r="A2006" s="6">
        <v>44165</v>
      </c>
      <c r="B2006" s="98"/>
      <c r="C2006" s="98" t="s">
        <v>254</v>
      </c>
      <c r="D2006" s="98" t="s">
        <v>409</v>
      </c>
      <c r="E2006" s="98" t="s">
        <v>244</v>
      </c>
      <c r="F2006" s="98">
        <v>13.82</v>
      </c>
    </row>
    <row r="2007" spans="1:6">
      <c r="A2007" s="6">
        <v>44165</v>
      </c>
      <c r="B2007" s="98"/>
      <c r="C2007" s="98" t="s">
        <v>290</v>
      </c>
      <c r="D2007" s="98" t="s">
        <v>409</v>
      </c>
      <c r="E2007" s="98" t="s">
        <v>247</v>
      </c>
      <c r="F2007" s="98">
        <v>644.52</v>
      </c>
    </row>
    <row r="2008" spans="1:6">
      <c r="A2008" s="6">
        <v>44165</v>
      </c>
      <c r="B2008" s="98"/>
      <c r="C2008" s="98" t="s">
        <v>265</v>
      </c>
      <c r="D2008" s="98" t="s">
        <v>409</v>
      </c>
      <c r="E2008" s="98" t="s">
        <v>247</v>
      </c>
      <c r="F2008" s="98">
        <v>62.4</v>
      </c>
    </row>
    <row r="2009" spans="1:6">
      <c r="A2009" s="6">
        <v>44165</v>
      </c>
      <c r="B2009" s="98" t="s">
        <v>410</v>
      </c>
      <c r="C2009" s="98" t="s">
        <v>254</v>
      </c>
      <c r="D2009" s="98" t="s">
        <v>411</v>
      </c>
      <c r="E2009" s="98" t="s">
        <v>244</v>
      </c>
      <c r="F2009" s="98">
        <v>42.5</v>
      </c>
    </row>
    <row r="2010" spans="1:6">
      <c r="A2010" s="6">
        <v>44165</v>
      </c>
      <c r="B2010" s="98"/>
      <c r="C2010" s="98" t="s">
        <v>248</v>
      </c>
      <c r="D2010" s="98" t="s">
        <v>411</v>
      </c>
      <c r="E2010" s="98" t="s">
        <v>247</v>
      </c>
      <c r="F2010" s="98">
        <v>2671.98</v>
      </c>
    </row>
    <row r="2011" spans="1:6">
      <c r="A2011" s="6">
        <v>44165</v>
      </c>
      <c r="B2011" s="98" t="s">
        <v>412</v>
      </c>
      <c r="C2011" s="98" t="s">
        <v>251</v>
      </c>
      <c r="D2011" s="98" t="s">
        <v>413</v>
      </c>
      <c r="E2011" s="98" t="s">
        <v>244</v>
      </c>
      <c r="F2011" s="98">
        <v>3.19</v>
      </c>
    </row>
    <row r="2012" spans="1:6">
      <c r="A2012" s="6">
        <v>44165</v>
      </c>
      <c r="B2012" s="98"/>
      <c r="C2012" s="98" t="s">
        <v>254</v>
      </c>
      <c r="D2012" s="98" t="s">
        <v>413</v>
      </c>
      <c r="E2012" s="98" t="s">
        <v>244</v>
      </c>
      <c r="F2012" s="98">
        <v>17.37</v>
      </c>
    </row>
    <row r="2013" spans="1:6">
      <c r="A2013" s="6">
        <v>44165</v>
      </c>
      <c r="B2013" s="98"/>
      <c r="C2013" s="98" t="s">
        <v>255</v>
      </c>
      <c r="D2013" s="98" t="s">
        <v>413</v>
      </c>
      <c r="E2013" s="98" t="s">
        <v>247</v>
      </c>
      <c r="F2013" s="98">
        <v>1318.21</v>
      </c>
    </row>
    <row r="2014" spans="1:6">
      <c r="A2014" s="6">
        <v>44165</v>
      </c>
      <c r="B2014" s="98"/>
      <c r="C2014" s="98" t="s">
        <v>278</v>
      </c>
      <c r="D2014" s="98" t="s">
        <v>413</v>
      </c>
      <c r="E2014" s="98" t="s">
        <v>247</v>
      </c>
      <c r="F2014" s="98">
        <v>922.23</v>
      </c>
    </row>
    <row r="2015" spans="1:6">
      <c r="A2015" s="6">
        <v>44165</v>
      </c>
      <c r="B2015" s="98"/>
      <c r="C2015" s="98" t="s">
        <v>248</v>
      </c>
      <c r="D2015" s="98" t="s">
        <v>413</v>
      </c>
      <c r="E2015" s="98" t="s">
        <v>247</v>
      </c>
      <c r="F2015" s="98">
        <v>2661.53</v>
      </c>
    </row>
    <row r="2016" spans="1:6">
      <c r="A2016" s="6">
        <v>44165</v>
      </c>
      <c r="B2016" s="98" t="s">
        <v>414</v>
      </c>
      <c r="C2016" s="98" t="s">
        <v>245</v>
      </c>
      <c r="D2016" s="98" t="s">
        <v>415</v>
      </c>
      <c r="E2016" s="98" t="s">
        <v>244</v>
      </c>
      <c r="F2016" s="98">
        <v>7.01</v>
      </c>
    </row>
    <row r="2017" spans="1:6">
      <c r="A2017" s="6">
        <v>44165</v>
      </c>
      <c r="B2017" s="98"/>
      <c r="C2017" s="98" t="s">
        <v>254</v>
      </c>
      <c r="D2017" s="98" t="s">
        <v>415</v>
      </c>
      <c r="E2017" s="98" t="s">
        <v>244</v>
      </c>
      <c r="F2017" s="98">
        <v>2.62</v>
      </c>
    </row>
    <row r="2018" spans="1:6">
      <c r="A2018" s="6">
        <v>44165</v>
      </c>
      <c r="B2018" s="98" t="s">
        <v>416</v>
      </c>
      <c r="C2018" s="98" t="s">
        <v>253</v>
      </c>
      <c r="D2018" s="98" t="s">
        <v>417</v>
      </c>
      <c r="E2018" s="98" t="s">
        <v>244</v>
      </c>
      <c r="F2018" s="98">
        <v>5.73</v>
      </c>
    </row>
    <row r="2019" spans="1:6">
      <c r="A2019" s="6">
        <v>44165</v>
      </c>
      <c r="B2019" s="98"/>
      <c r="C2019" s="98" t="s">
        <v>245</v>
      </c>
      <c r="D2019" s="98" t="s">
        <v>417</v>
      </c>
      <c r="E2019" s="98" t="s">
        <v>244</v>
      </c>
      <c r="F2019" s="98">
        <v>4.49</v>
      </c>
    </row>
    <row r="2020" spans="1:6">
      <c r="A2020" s="6">
        <v>44165</v>
      </c>
      <c r="B2020" s="98"/>
      <c r="C2020" s="98" t="s">
        <v>419</v>
      </c>
      <c r="D2020" s="98" t="s">
        <v>417</v>
      </c>
      <c r="E2020" s="98" t="s">
        <v>247</v>
      </c>
      <c r="F2020" s="98">
        <v>1885.96</v>
      </c>
    </row>
    <row r="2021" spans="1:6">
      <c r="A2021" s="6">
        <v>44165</v>
      </c>
      <c r="B2021" s="98"/>
      <c r="C2021" s="98" t="s">
        <v>420</v>
      </c>
      <c r="D2021" s="98" t="s">
        <v>417</v>
      </c>
      <c r="E2021" s="98" t="s">
        <v>247</v>
      </c>
      <c r="F2021" s="98">
        <v>1571.64</v>
      </c>
    </row>
    <row r="2022" spans="1:6">
      <c r="A2022" s="6">
        <v>44165</v>
      </c>
      <c r="B2022" s="98"/>
      <c r="C2022" s="98" t="s">
        <v>469</v>
      </c>
      <c r="D2022" s="98" t="s">
        <v>417</v>
      </c>
      <c r="E2022" s="98" t="s">
        <v>247</v>
      </c>
      <c r="F2022" s="98">
        <v>785.82</v>
      </c>
    </row>
    <row r="2023" spans="1:6">
      <c r="A2023" s="6">
        <v>44165</v>
      </c>
      <c r="B2023" s="98" t="s">
        <v>421</v>
      </c>
      <c r="C2023" s="98" t="s">
        <v>251</v>
      </c>
      <c r="D2023" s="98" t="s">
        <v>422</v>
      </c>
      <c r="E2023" s="98" t="s">
        <v>244</v>
      </c>
      <c r="F2023" s="98">
        <v>18.440000000000001</v>
      </c>
    </row>
    <row r="2024" spans="1:6">
      <c r="A2024" s="6">
        <v>44165</v>
      </c>
      <c r="B2024" s="98"/>
      <c r="C2024" s="98" t="s">
        <v>254</v>
      </c>
      <c r="D2024" s="98" t="s">
        <v>422</v>
      </c>
      <c r="E2024" s="98" t="s">
        <v>244</v>
      </c>
      <c r="F2024" s="98">
        <v>43.81</v>
      </c>
    </row>
    <row r="2025" spans="1:6">
      <c r="A2025" s="6">
        <v>44165</v>
      </c>
      <c r="B2025" s="98"/>
      <c r="C2025" s="98" t="s">
        <v>368</v>
      </c>
      <c r="D2025" s="98" t="s">
        <v>422</v>
      </c>
      <c r="E2025" s="98" t="s">
        <v>247</v>
      </c>
      <c r="F2025" s="98">
        <v>3060.76</v>
      </c>
    </row>
    <row r="2026" spans="1:6">
      <c r="A2026" s="6">
        <v>44165</v>
      </c>
      <c r="B2026" s="98" t="s">
        <v>425</v>
      </c>
      <c r="C2026" s="98" t="s">
        <v>242</v>
      </c>
      <c r="D2026" s="98" t="s">
        <v>426</v>
      </c>
      <c r="E2026" s="98" t="s">
        <v>244</v>
      </c>
      <c r="F2026" s="98">
        <v>235.12</v>
      </c>
    </row>
    <row r="2027" spans="1:6">
      <c r="A2027" s="6">
        <v>44165</v>
      </c>
      <c r="B2027" s="98"/>
      <c r="C2027" s="98" t="s">
        <v>262</v>
      </c>
      <c r="D2027" s="98" t="s">
        <v>426</v>
      </c>
      <c r="E2027" s="98" t="s">
        <v>244</v>
      </c>
      <c r="F2027" s="98">
        <v>203.88</v>
      </c>
    </row>
    <row r="2028" spans="1:6">
      <c r="A2028" s="6">
        <v>44165</v>
      </c>
      <c r="B2028" s="98"/>
      <c r="C2028" s="98" t="s">
        <v>251</v>
      </c>
      <c r="D2028" s="98" t="s">
        <v>426</v>
      </c>
      <c r="E2028" s="98" t="s">
        <v>244</v>
      </c>
      <c r="F2028" s="98">
        <v>50.98</v>
      </c>
    </row>
    <row r="2029" spans="1:6">
      <c r="A2029" s="6">
        <v>44165</v>
      </c>
      <c r="B2029" s="98"/>
      <c r="C2029" s="98" t="s">
        <v>253</v>
      </c>
      <c r="D2029" s="98" t="s">
        <v>426</v>
      </c>
      <c r="E2029" s="98" t="s">
        <v>244</v>
      </c>
      <c r="F2029" s="98">
        <v>10.74</v>
      </c>
    </row>
    <row r="2030" spans="1:6">
      <c r="A2030" s="6">
        <v>44165</v>
      </c>
      <c r="B2030" s="98"/>
      <c r="C2030" s="98" t="s">
        <v>245</v>
      </c>
      <c r="D2030" s="98" t="s">
        <v>426</v>
      </c>
      <c r="E2030" s="98" t="s">
        <v>244</v>
      </c>
      <c r="F2030" s="98">
        <v>63.69</v>
      </c>
    </row>
    <row r="2031" spans="1:6">
      <c r="A2031" s="6">
        <v>44165</v>
      </c>
      <c r="B2031" s="98"/>
      <c r="C2031" s="98" t="s">
        <v>264</v>
      </c>
      <c r="D2031" s="98" t="s">
        <v>426</v>
      </c>
      <c r="E2031" s="98" t="s">
        <v>244</v>
      </c>
      <c r="F2031" s="98">
        <v>169.48</v>
      </c>
    </row>
    <row r="2032" spans="1:6">
      <c r="A2032" s="6">
        <v>44165</v>
      </c>
      <c r="B2032" s="98"/>
      <c r="C2032" s="98" t="s">
        <v>254</v>
      </c>
      <c r="D2032" s="98" t="s">
        <v>426</v>
      </c>
      <c r="E2032" s="98" t="s">
        <v>244</v>
      </c>
      <c r="F2032" s="98">
        <v>2.2999999999999998</v>
      </c>
    </row>
    <row r="2033" spans="1:6">
      <c r="A2033" s="6">
        <v>44165</v>
      </c>
      <c r="B2033" s="98"/>
      <c r="C2033" s="98" t="s">
        <v>289</v>
      </c>
      <c r="D2033" s="98" t="s">
        <v>426</v>
      </c>
      <c r="E2033" s="98" t="s">
        <v>247</v>
      </c>
      <c r="F2033" s="98">
        <v>1724.87</v>
      </c>
    </row>
    <row r="2034" spans="1:6">
      <c r="A2034" s="6">
        <v>44165</v>
      </c>
      <c r="B2034" s="98" t="s">
        <v>427</v>
      </c>
      <c r="C2034" s="98" t="s">
        <v>242</v>
      </c>
      <c r="D2034" s="98" t="s">
        <v>428</v>
      </c>
      <c r="E2034" s="98" t="s">
        <v>244</v>
      </c>
      <c r="F2034" s="98">
        <v>293.43</v>
      </c>
    </row>
    <row r="2035" spans="1:6">
      <c r="A2035" s="6">
        <v>44165</v>
      </c>
      <c r="B2035" s="98"/>
      <c r="C2035" s="98" t="s">
        <v>262</v>
      </c>
      <c r="D2035" s="98" t="s">
        <v>428</v>
      </c>
      <c r="E2035" s="98" t="s">
        <v>244</v>
      </c>
      <c r="F2035" s="98">
        <v>1272.28</v>
      </c>
    </row>
    <row r="2036" spans="1:6">
      <c r="A2036" s="6">
        <v>44165</v>
      </c>
      <c r="B2036" s="98"/>
      <c r="C2036" s="98" t="s">
        <v>251</v>
      </c>
      <c r="D2036" s="98" t="s">
        <v>428</v>
      </c>
      <c r="E2036" s="98" t="s">
        <v>244</v>
      </c>
      <c r="F2036" s="98">
        <v>25.01</v>
      </c>
    </row>
    <row r="2037" spans="1:6">
      <c r="A2037" s="6">
        <v>44165</v>
      </c>
      <c r="B2037" s="98"/>
      <c r="C2037" s="98" t="s">
        <v>245</v>
      </c>
      <c r="D2037" s="98" t="s">
        <v>428</v>
      </c>
      <c r="E2037" s="98" t="s">
        <v>244</v>
      </c>
      <c r="F2037" s="98">
        <v>397.43</v>
      </c>
    </row>
    <row r="2038" spans="1:6">
      <c r="A2038" s="6">
        <v>44165</v>
      </c>
      <c r="B2038" s="98" t="s">
        <v>429</v>
      </c>
      <c r="C2038" s="98" t="s">
        <v>251</v>
      </c>
      <c r="D2038" s="98" t="s">
        <v>430</v>
      </c>
      <c r="E2038" s="98" t="s">
        <v>244</v>
      </c>
      <c r="F2038" s="98">
        <v>84.63</v>
      </c>
    </row>
    <row r="2039" spans="1:6">
      <c r="A2039" s="6">
        <v>44165</v>
      </c>
      <c r="B2039" s="98"/>
      <c r="C2039" s="98" t="s">
        <v>253</v>
      </c>
      <c r="D2039" s="98" t="s">
        <v>430</v>
      </c>
      <c r="E2039" s="98" t="s">
        <v>244</v>
      </c>
      <c r="F2039" s="98">
        <v>29.3</v>
      </c>
    </row>
    <row r="2040" spans="1:6">
      <c r="A2040" s="6">
        <v>44165</v>
      </c>
      <c r="B2040" s="98"/>
      <c r="C2040" s="98" t="s">
        <v>245</v>
      </c>
      <c r="D2040" s="98" t="s">
        <v>430</v>
      </c>
      <c r="E2040" s="98" t="s">
        <v>244</v>
      </c>
      <c r="F2040" s="98">
        <v>186.74</v>
      </c>
    </row>
    <row r="2041" spans="1:6">
      <c r="A2041" s="6">
        <v>44165</v>
      </c>
      <c r="B2041" s="98"/>
      <c r="C2041" s="98" t="s">
        <v>246</v>
      </c>
      <c r="D2041" s="98" t="s">
        <v>430</v>
      </c>
      <c r="E2041" s="98" t="s">
        <v>247</v>
      </c>
      <c r="F2041" s="98">
        <v>1924.34</v>
      </c>
    </row>
    <row r="2042" spans="1:6">
      <c r="A2042" s="6">
        <v>44165</v>
      </c>
      <c r="B2042" s="98"/>
      <c r="C2042" s="98" t="s">
        <v>265</v>
      </c>
      <c r="D2042" s="98" t="s">
        <v>430</v>
      </c>
      <c r="E2042" s="98" t="s">
        <v>247</v>
      </c>
      <c r="F2042" s="98">
        <v>1333.41</v>
      </c>
    </row>
    <row r="2043" spans="1:6">
      <c r="A2043" s="6">
        <v>44165</v>
      </c>
      <c r="B2043" s="98"/>
      <c r="C2043" s="98" t="s">
        <v>249</v>
      </c>
      <c r="D2043" s="98" t="s">
        <v>430</v>
      </c>
      <c r="E2043" s="98" t="s">
        <v>247</v>
      </c>
      <c r="F2043" s="98">
        <v>17270.46</v>
      </c>
    </row>
    <row r="2044" spans="1:6">
      <c r="A2044" s="6">
        <v>44165</v>
      </c>
      <c r="B2044" s="98"/>
      <c r="C2044" s="98" t="s">
        <v>274</v>
      </c>
      <c r="D2044" s="98" t="s">
        <v>430</v>
      </c>
      <c r="E2044" s="98" t="s">
        <v>247</v>
      </c>
      <c r="F2044" s="98">
        <v>7964.69</v>
      </c>
    </row>
    <row r="2045" spans="1:6">
      <c r="A2045" s="6">
        <v>44165</v>
      </c>
      <c r="B2045" s="98" t="s">
        <v>431</v>
      </c>
      <c r="C2045" s="98" t="s">
        <v>251</v>
      </c>
      <c r="D2045" s="98" t="s">
        <v>432</v>
      </c>
      <c r="E2045" s="98" t="s">
        <v>244</v>
      </c>
      <c r="F2045" s="98">
        <v>43.35</v>
      </c>
    </row>
    <row r="2046" spans="1:6">
      <c r="A2046" s="6">
        <v>44165</v>
      </c>
      <c r="B2046" s="98"/>
      <c r="C2046" s="98" t="s">
        <v>249</v>
      </c>
      <c r="D2046" s="98" t="s">
        <v>432</v>
      </c>
      <c r="E2046" s="98" t="s">
        <v>247</v>
      </c>
      <c r="F2046" s="98">
        <v>4759.12</v>
      </c>
    </row>
    <row r="2047" spans="1:6">
      <c r="A2047" s="6">
        <v>44165</v>
      </c>
      <c r="B2047" s="98" t="s">
        <v>433</v>
      </c>
      <c r="C2047" s="98" t="s">
        <v>254</v>
      </c>
      <c r="D2047" s="98" t="s">
        <v>434</v>
      </c>
      <c r="E2047" s="98" t="s">
        <v>244</v>
      </c>
      <c r="F2047" s="98">
        <v>32.24</v>
      </c>
    </row>
    <row r="2048" spans="1:6">
      <c r="A2048" s="6">
        <v>44165</v>
      </c>
      <c r="B2048" s="98" t="s">
        <v>435</v>
      </c>
      <c r="C2048" s="98" t="s">
        <v>242</v>
      </c>
      <c r="D2048" s="98" t="s">
        <v>436</v>
      </c>
      <c r="E2048" s="98" t="s">
        <v>244</v>
      </c>
      <c r="F2048" s="98">
        <v>111.48</v>
      </c>
    </row>
    <row r="2049" spans="1:6">
      <c r="A2049" s="6">
        <v>44165</v>
      </c>
      <c r="B2049" s="98"/>
      <c r="C2049" s="98" t="s">
        <v>262</v>
      </c>
      <c r="D2049" s="98" t="s">
        <v>436</v>
      </c>
      <c r="E2049" s="98" t="s">
        <v>244</v>
      </c>
      <c r="F2049" s="98">
        <v>460.59</v>
      </c>
    </row>
    <row r="2050" spans="1:6">
      <c r="A2050" s="6">
        <v>44165</v>
      </c>
      <c r="B2050" s="98"/>
      <c r="C2050" s="98" t="s">
        <v>253</v>
      </c>
      <c r="D2050" s="98" t="s">
        <v>436</v>
      </c>
      <c r="E2050" s="98" t="s">
        <v>244</v>
      </c>
      <c r="F2050" s="98">
        <v>25.33</v>
      </c>
    </row>
    <row r="2051" spans="1:6">
      <c r="A2051" s="6">
        <v>44165</v>
      </c>
      <c r="B2051" s="98"/>
      <c r="C2051" s="98" t="s">
        <v>245</v>
      </c>
      <c r="D2051" s="98" t="s">
        <v>436</v>
      </c>
      <c r="E2051" s="98" t="s">
        <v>244</v>
      </c>
      <c r="F2051" s="98">
        <v>64.849999999999994</v>
      </c>
    </row>
    <row r="2052" spans="1:6">
      <c r="A2052" s="6">
        <v>44165</v>
      </c>
      <c r="B2052" s="98"/>
      <c r="C2052" s="98" t="s">
        <v>255</v>
      </c>
      <c r="D2052" s="98" t="s">
        <v>436</v>
      </c>
      <c r="E2052" s="98" t="s">
        <v>247</v>
      </c>
      <c r="F2052" s="98">
        <v>364.37</v>
      </c>
    </row>
    <row r="2053" spans="1:6">
      <c r="A2053" s="6">
        <v>44165</v>
      </c>
      <c r="B2053" s="98"/>
      <c r="C2053" s="98" t="s">
        <v>289</v>
      </c>
      <c r="D2053" s="98" t="s">
        <v>436</v>
      </c>
      <c r="E2053" s="98" t="s">
        <v>247</v>
      </c>
      <c r="F2053" s="98">
        <v>683.2</v>
      </c>
    </row>
    <row r="2054" spans="1:6">
      <c r="A2054" s="6">
        <v>44165</v>
      </c>
      <c r="B2054" s="98" t="s">
        <v>437</v>
      </c>
      <c r="C2054" s="98" t="s">
        <v>242</v>
      </c>
      <c r="D2054" s="98" t="s">
        <v>438</v>
      </c>
      <c r="E2054" s="98" t="s">
        <v>244</v>
      </c>
      <c r="F2054" s="98">
        <v>802.29</v>
      </c>
    </row>
    <row r="2055" spans="1:6">
      <c r="A2055" s="6">
        <v>44165</v>
      </c>
      <c r="B2055" s="98"/>
      <c r="C2055" s="98" t="s">
        <v>262</v>
      </c>
      <c r="D2055" s="98" t="s">
        <v>438</v>
      </c>
      <c r="E2055" s="98" t="s">
        <v>244</v>
      </c>
      <c r="F2055" s="98">
        <v>1775.73</v>
      </c>
    </row>
    <row r="2056" spans="1:6">
      <c r="A2056" s="6">
        <v>44165</v>
      </c>
      <c r="B2056" s="98"/>
      <c r="C2056" s="98" t="s">
        <v>253</v>
      </c>
      <c r="D2056" s="98" t="s">
        <v>438</v>
      </c>
      <c r="E2056" s="98" t="s">
        <v>244</v>
      </c>
      <c r="F2056" s="98">
        <v>100.36</v>
      </c>
    </row>
    <row r="2057" spans="1:6">
      <c r="A2057" s="6">
        <v>44165</v>
      </c>
      <c r="B2057" s="98"/>
      <c r="C2057" s="98" t="s">
        <v>245</v>
      </c>
      <c r="D2057" s="98" t="s">
        <v>438</v>
      </c>
      <c r="E2057" s="98" t="s">
        <v>244</v>
      </c>
      <c r="F2057" s="98">
        <v>260.06</v>
      </c>
    </row>
    <row r="2058" spans="1:6">
      <c r="A2058" s="6">
        <v>44165</v>
      </c>
      <c r="B2058" s="98"/>
      <c r="C2058" s="98" t="s">
        <v>254</v>
      </c>
      <c r="D2058" s="98" t="s">
        <v>438</v>
      </c>
      <c r="E2058" s="98" t="s">
        <v>244</v>
      </c>
      <c r="F2058" s="98">
        <v>40.35</v>
      </c>
    </row>
    <row r="2059" spans="1:6">
      <c r="A2059" s="6">
        <v>44165</v>
      </c>
      <c r="B2059" s="98" t="s">
        <v>439</v>
      </c>
      <c r="C2059" s="98" t="s">
        <v>242</v>
      </c>
      <c r="D2059" s="98" t="s">
        <v>440</v>
      </c>
      <c r="E2059" s="98" t="s">
        <v>244</v>
      </c>
      <c r="F2059" s="98">
        <v>1199.9100000000001</v>
      </c>
    </row>
    <row r="2060" spans="1:6">
      <c r="A2060" s="6">
        <v>44165</v>
      </c>
      <c r="B2060" s="98"/>
      <c r="C2060" s="98" t="s">
        <v>245</v>
      </c>
      <c r="D2060" s="98" t="s">
        <v>440</v>
      </c>
      <c r="E2060" s="98" t="s">
        <v>244</v>
      </c>
      <c r="F2060" s="98">
        <v>464.24</v>
      </c>
    </row>
    <row r="2061" spans="1:6">
      <c r="A2061" s="6">
        <v>44165</v>
      </c>
      <c r="B2061" s="98"/>
      <c r="C2061" s="98" t="s">
        <v>246</v>
      </c>
      <c r="D2061" s="98" t="s">
        <v>440</v>
      </c>
      <c r="E2061" s="98" t="s">
        <v>247</v>
      </c>
      <c r="F2061" s="98">
        <v>3328.81</v>
      </c>
    </row>
    <row r="2062" spans="1:6">
      <c r="A2062" s="6">
        <v>44165</v>
      </c>
      <c r="B2062" s="98" t="s">
        <v>441</v>
      </c>
      <c r="C2062" s="98" t="s">
        <v>248</v>
      </c>
      <c r="D2062" s="98" t="s">
        <v>442</v>
      </c>
      <c r="E2062" s="98" t="s">
        <v>247</v>
      </c>
      <c r="F2062" s="98">
        <v>419.86</v>
      </c>
    </row>
    <row r="2063" spans="1:6">
      <c r="A2063" s="6">
        <v>44165</v>
      </c>
      <c r="B2063" s="98" t="s">
        <v>443</v>
      </c>
      <c r="C2063" s="98" t="s">
        <v>248</v>
      </c>
      <c r="D2063" s="98" t="s">
        <v>444</v>
      </c>
      <c r="E2063" s="98" t="s">
        <v>247</v>
      </c>
      <c r="F2063" s="98">
        <v>2877.03</v>
      </c>
    </row>
    <row r="2064" spans="1:6">
      <c r="A2064" s="6">
        <v>44165</v>
      </c>
      <c r="B2064" s="98"/>
      <c r="C2064" s="98" t="s">
        <v>290</v>
      </c>
      <c r="D2064" s="98" t="s">
        <v>444</v>
      </c>
      <c r="E2064" s="98" t="s">
        <v>247</v>
      </c>
      <c r="F2064" s="98">
        <v>1137.48</v>
      </c>
    </row>
    <row r="2065" spans="1:6">
      <c r="A2065" s="6">
        <v>44165</v>
      </c>
      <c r="B2065" s="98" t="s">
        <v>445</v>
      </c>
      <c r="C2065" s="98" t="s">
        <v>290</v>
      </c>
      <c r="D2065" s="98" t="s">
        <v>446</v>
      </c>
      <c r="E2065" s="98" t="s">
        <v>247</v>
      </c>
      <c r="F2065" s="98">
        <v>232.64</v>
      </c>
    </row>
    <row r="2066" spans="1:6">
      <c r="A2066" s="6">
        <v>44165</v>
      </c>
      <c r="B2066" s="98" t="s">
        <v>447</v>
      </c>
      <c r="C2066" s="98" t="s">
        <v>448</v>
      </c>
      <c r="D2066" s="98" t="s">
        <v>449</v>
      </c>
      <c r="E2066" s="98" t="s">
        <v>247</v>
      </c>
      <c r="F2066" s="98">
        <v>480.81</v>
      </c>
    </row>
    <row r="2067" spans="1:6">
      <c r="A2067" s="6">
        <v>44165</v>
      </c>
      <c r="B2067" s="98"/>
      <c r="C2067" s="98" t="s">
        <v>450</v>
      </c>
      <c r="D2067" s="98" t="s">
        <v>449</v>
      </c>
      <c r="E2067" s="98" t="s">
        <v>247</v>
      </c>
      <c r="F2067" s="98">
        <v>480.81</v>
      </c>
    </row>
    <row r="2068" spans="1:6">
      <c r="A2068" s="6">
        <v>44165</v>
      </c>
      <c r="B2068" s="98" t="s">
        <v>451</v>
      </c>
      <c r="C2068" s="98" t="s">
        <v>242</v>
      </c>
      <c r="D2068" s="98" t="s">
        <v>452</v>
      </c>
      <c r="E2068" s="98" t="s">
        <v>244</v>
      </c>
      <c r="F2068" s="98">
        <v>158.1</v>
      </c>
    </row>
    <row r="2069" spans="1:6">
      <c r="A2069" s="6">
        <v>44165</v>
      </c>
      <c r="B2069" s="98"/>
      <c r="C2069" s="98" t="s">
        <v>253</v>
      </c>
      <c r="D2069" s="98" t="s">
        <v>452</v>
      </c>
      <c r="E2069" s="98" t="s">
        <v>244</v>
      </c>
      <c r="F2069" s="98">
        <v>21.12</v>
      </c>
    </row>
    <row r="2070" spans="1:6">
      <c r="A2070" s="6">
        <v>44165</v>
      </c>
      <c r="B2070" s="98"/>
      <c r="C2070" s="98" t="s">
        <v>254</v>
      </c>
      <c r="D2070" s="98" t="s">
        <v>452</v>
      </c>
      <c r="E2070" s="98" t="s">
        <v>244</v>
      </c>
      <c r="F2070" s="98">
        <v>75.17</v>
      </c>
    </row>
    <row r="2071" spans="1:6">
      <c r="A2071" s="6">
        <v>44165</v>
      </c>
      <c r="B2071" s="98" t="s">
        <v>453</v>
      </c>
      <c r="C2071" s="98" t="s">
        <v>262</v>
      </c>
      <c r="D2071" s="98" t="s">
        <v>454</v>
      </c>
      <c r="E2071" s="98" t="s">
        <v>244</v>
      </c>
      <c r="F2071" s="98">
        <v>550.39</v>
      </c>
    </row>
    <row r="2072" spans="1:6">
      <c r="A2072" s="6">
        <v>44165</v>
      </c>
      <c r="B2072" s="98"/>
      <c r="C2072" s="98" t="s">
        <v>251</v>
      </c>
      <c r="D2072" s="98" t="s">
        <v>454</v>
      </c>
      <c r="E2072" s="98" t="s">
        <v>244</v>
      </c>
      <c r="F2072" s="98">
        <v>3.32</v>
      </c>
    </row>
    <row r="2073" spans="1:6">
      <c r="A2073" s="6">
        <v>44165</v>
      </c>
      <c r="B2073" s="98" t="s">
        <v>455</v>
      </c>
      <c r="C2073" s="98" t="s">
        <v>254</v>
      </c>
      <c r="D2073" s="98" t="s">
        <v>456</v>
      </c>
      <c r="E2073" s="98" t="s">
        <v>244</v>
      </c>
      <c r="F2073" s="98">
        <v>107</v>
      </c>
    </row>
    <row r="2074" spans="1:6">
      <c r="A2074" s="6">
        <v>44165</v>
      </c>
      <c r="B2074" s="98" t="s">
        <v>470</v>
      </c>
      <c r="C2074" s="98" t="s">
        <v>242</v>
      </c>
      <c r="D2074" s="98" t="s">
        <v>471</v>
      </c>
      <c r="E2074" s="98" t="s">
        <v>244</v>
      </c>
      <c r="F2074" s="98">
        <v>466.56</v>
      </c>
    </row>
    <row r="2075" spans="1:6">
      <c r="A2075" s="6">
        <v>44165</v>
      </c>
      <c r="B2075" s="98"/>
      <c r="C2075" s="98" t="s">
        <v>262</v>
      </c>
      <c r="D2075" s="98" t="s">
        <v>471</v>
      </c>
      <c r="E2075" s="98" t="s">
        <v>244</v>
      </c>
      <c r="F2075" s="98">
        <v>1349.84</v>
      </c>
    </row>
    <row r="2076" spans="1:6">
      <c r="A2076" s="6">
        <v>44165</v>
      </c>
      <c r="B2076" s="98"/>
      <c r="C2076" s="98" t="s">
        <v>245</v>
      </c>
      <c r="D2076" s="98" t="s">
        <v>471</v>
      </c>
      <c r="E2076" s="98" t="s">
        <v>244</v>
      </c>
      <c r="F2076" s="98">
        <v>345.26</v>
      </c>
    </row>
    <row r="2077" spans="1:6">
      <c r="A2077" s="6">
        <v>44165</v>
      </c>
      <c r="B2077" s="98"/>
      <c r="C2077" s="98" t="s">
        <v>264</v>
      </c>
      <c r="D2077" s="98" t="s">
        <v>471</v>
      </c>
      <c r="E2077" s="98" t="s">
        <v>244</v>
      </c>
      <c r="F2077" s="98">
        <v>286.31</v>
      </c>
    </row>
    <row r="2078" spans="1:6">
      <c r="A2078" s="6">
        <v>44165</v>
      </c>
      <c r="B2078" s="98" t="s">
        <v>472</v>
      </c>
      <c r="C2078" s="98" t="s">
        <v>253</v>
      </c>
      <c r="D2078" s="98" t="s">
        <v>473</v>
      </c>
      <c r="E2078" s="98" t="s">
        <v>244</v>
      </c>
      <c r="F2078" s="98">
        <v>16.37</v>
      </c>
    </row>
    <row r="2079" spans="1:6">
      <c r="A2079" s="6">
        <v>44165</v>
      </c>
      <c r="B2079" s="98" t="s">
        <v>484</v>
      </c>
      <c r="C2079" s="98" t="s">
        <v>245</v>
      </c>
      <c r="D2079" s="98" t="s">
        <v>485</v>
      </c>
      <c r="E2079" s="98" t="s">
        <v>244</v>
      </c>
      <c r="F2079" s="98">
        <v>8.77</v>
      </c>
    </row>
    <row r="2080" spans="1:6">
      <c r="A2080" s="6">
        <v>44196</v>
      </c>
      <c r="B2080" s="98" t="s">
        <v>241</v>
      </c>
      <c r="C2080" s="98" t="s">
        <v>242</v>
      </c>
      <c r="D2080" s="98" t="s">
        <v>243</v>
      </c>
      <c r="E2080" s="98" t="s">
        <v>244</v>
      </c>
      <c r="F2080" s="98">
        <v>104.73</v>
      </c>
    </row>
    <row r="2081" spans="1:6">
      <c r="A2081" s="6">
        <v>44196</v>
      </c>
      <c r="B2081" s="98"/>
      <c r="C2081" s="98" t="s">
        <v>245</v>
      </c>
      <c r="D2081" s="98" t="s">
        <v>243</v>
      </c>
      <c r="E2081" s="98" t="s">
        <v>244</v>
      </c>
      <c r="F2081" s="98">
        <v>389.31</v>
      </c>
    </row>
    <row r="2082" spans="1:6">
      <c r="A2082" s="6">
        <v>44196</v>
      </c>
      <c r="B2082" s="98"/>
      <c r="C2082" s="98" t="s">
        <v>248</v>
      </c>
      <c r="D2082" s="98" t="s">
        <v>243</v>
      </c>
      <c r="E2082" s="98" t="s">
        <v>247</v>
      </c>
      <c r="F2082" s="98">
        <v>1596.27</v>
      </c>
    </row>
    <row r="2083" spans="1:6">
      <c r="A2083" s="6">
        <v>44196</v>
      </c>
      <c r="B2083" s="98" t="s">
        <v>250</v>
      </c>
      <c r="C2083" s="98" t="s">
        <v>251</v>
      </c>
      <c r="D2083" s="98" t="s">
        <v>252</v>
      </c>
      <c r="E2083" s="98" t="s">
        <v>244</v>
      </c>
      <c r="F2083" s="98">
        <v>110.24</v>
      </c>
    </row>
    <row r="2084" spans="1:6">
      <c r="A2084" s="6">
        <v>44196</v>
      </c>
      <c r="B2084" s="98"/>
      <c r="C2084" s="98" t="s">
        <v>253</v>
      </c>
      <c r="D2084" s="98" t="s">
        <v>252</v>
      </c>
      <c r="E2084" s="98" t="s">
        <v>244</v>
      </c>
      <c r="F2084" s="98">
        <v>46.02</v>
      </c>
    </row>
    <row r="2085" spans="1:6">
      <c r="A2085" s="6">
        <v>44196</v>
      </c>
      <c r="B2085" s="98"/>
      <c r="C2085" s="98" t="s">
        <v>254</v>
      </c>
      <c r="D2085" s="98" t="s">
        <v>252</v>
      </c>
      <c r="E2085" s="98" t="s">
        <v>244</v>
      </c>
      <c r="F2085" s="98">
        <v>241.06</v>
      </c>
    </row>
    <row r="2086" spans="1:6">
      <c r="A2086" s="6">
        <v>44196</v>
      </c>
      <c r="B2086" s="98"/>
      <c r="C2086" s="98" t="s">
        <v>255</v>
      </c>
      <c r="D2086" s="98" t="s">
        <v>252</v>
      </c>
      <c r="E2086" s="98" t="s">
        <v>247</v>
      </c>
      <c r="F2086" s="98">
        <v>1235.7</v>
      </c>
    </row>
    <row r="2087" spans="1:6">
      <c r="A2087" s="6">
        <v>44196</v>
      </c>
      <c r="B2087" s="98"/>
      <c r="C2087" s="98" t="s">
        <v>246</v>
      </c>
      <c r="D2087" s="98" t="s">
        <v>252</v>
      </c>
      <c r="E2087" s="98" t="s">
        <v>247</v>
      </c>
      <c r="F2087" s="98">
        <v>987.72</v>
      </c>
    </row>
    <row r="2088" spans="1:6">
      <c r="A2088" s="6">
        <v>44196</v>
      </c>
      <c r="B2088" s="98"/>
      <c r="C2088" s="98" t="s">
        <v>256</v>
      </c>
      <c r="D2088" s="98" t="s">
        <v>252</v>
      </c>
      <c r="E2088" s="98" t="s">
        <v>247</v>
      </c>
      <c r="F2088" s="98">
        <v>5691.01</v>
      </c>
    </row>
    <row r="2089" spans="1:6">
      <c r="A2089" s="6">
        <v>44196</v>
      </c>
      <c r="B2089" s="98"/>
      <c r="C2089" s="98" t="s">
        <v>257</v>
      </c>
      <c r="D2089" s="98" t="s">
        <v>252</v>
      </c>
      <c r="E2089" s="98" t="s">
        <v>258</v>
      </c>
      <c r="F2089" s="98">
        <v>13567.14</v>
      </c>
    </row>
    <row r="2090" spans="1:6">
      <c r="A2090" s="6">
        <v>44196</v>
      </c>
      <c r="B2090" s="98"/>
      <c r="C2090" s="98" t="s">
        <v>266</v>
      </c>
      <c r="D2090" s="98" t="s">
        <v>252</v>
      </c>
      <c r="E2090" s="98" t="s">
        <v>258</v>
      </c>
      <c r="F2090" s="98">
        <v>86.9</v>
      </c>
    </row>
    <row r="2091" spans="1:6">
      <c r="A2091" s="6">
        <v>44196</v>
      </c>
      <c r="B2091" s="98"/>
      <c r="C2091" s="98" t="s">
        <v>259</v>
      </c>
      <c r="D2091" s="98" t="s">
        <v>252</v>
      </c>
      <c r="E2091" s="98" t="s">
        <v>258</v>
      </c>
      <c r="F2091" s="98">
        <v>17304.080000000002</v>
      </c>
    </row>
    <row r="2092" spans="1:6">
      <c r="A2092" s="6">
        <v>44196</v>
      </c>
      <c r="B2092" s="98"/>
      <c r="C2092" s="98" t="s">
        <v>260</v>
      </c>
      <c r="D2092" s="98" t="s">
        <v>252</v>
      </c>
      <c r="E2092" s="98" t="s">
        <v>258</v>
      </c>
      <c r="F2092" s="98">
        <v>1392.17</v>
      </c>
    </row>
    <row r="2093" spans="1:6">
      <c r="A2093" s="6">
        <v>44196</v>
      </c>
      <c r="B2093" s="98" t="s">
        <v>261</v>
      </c>
      <c r="C2093" s="98" t="s">
        <v>262</v>
      </c>
      <c r="D2093" s="98" t="s">
        <v>263</v>
      </c>
      <c r="E2093" s="98" t="s">
        <v>244</v>
      </c>
      <c r="F2093" s="98">
        <v>125.42</v>
      </c>
    </row>
    <row r="2094" spans="1:6">
      <c r="A2094" s="6">
        <v>44196</v>
      </c>
      <c r="B2094" s="98"/>
      <c r="C2094" s="98" t="s">
        <v>253</v>
      </c>
      <c r="D2094" s="98" t="s">
        <v>263</v>
      </c>
      <c r="E2094" s="98" t="s">
        <v>244</v>
      </c>
      <c r="F2094" s="98">
        <v>83.1</v>
      </c>
    </row>
    <row r="2095" spans="1:6">
      <c r="A2095" s="6">
        <v>44196</v>
      </c>
      <c r="B2095" s="98"/>
      <c r="C2095" s="98" t="s">
        <v>245</v>
      </c>
      <c r="D2095" s="98" t="s">
        <v>263</v>
      </c>
      <c r="E2095" s="98" t="s">
        <v>244</v>
      </c>
      <c r="F2095" s="98">
        <v>30.46</v>
      </c>
    </row>
    <row r="2096" spans="1:6">
      <c r="A2096" s="6">
        <v>44196</v>
      </c>
      <c r="B2096" s="98"/>
      <c r="C2096" s="98" t="s">
        <v>264</v>
      </c>
      <c r="D2096" s="98" t="s">
        <v>263</v>
      </c>
      <c r="E2096" s="98" t="s">
        <v>244</v>
      </c>
      <c r="F2096" s="98">
        <v>325.10000000000002</v>
      </c>
    </row>
    <row r="2097" spans="1:6">
      <c r="A2097" s="6">
        <v>44196</v>
      </c>
      <c r="B2097" s="98"/>
      <c r="C2097" s="98" t="s">
        <v>272</v>
      </c>
      <c r="D2097" s="98" t="s">
        <v>263</v>
      </c>
      <c r="E2097" s="98" t="s">
        <v>247</v>
      </c>
      <c r="F2097" s="98">
        <v>5720.11</v>
      </c>
    </row>
    <row r="2098" spans="1:6">
      <c r="A2098" s="6">
        <v>44196</v>
      </c>
      <c r="B2098" s="98"/>
      <c r="C2098" s="98" t="s">
        <v>248</v>
      </c>
      <c r="D2098" s="98" t="s">
        <v>263</v>
      </c>
      <c r="E2098" s="98" t="s">
        <v>247</v>
      </c>
      <c r="F2098" s="98">
        <v>6929.84</v>
      </c>
    </row>
    <row r="2099" spans="1:6">
      <c r="A2099" s="6">
        <v>44196</v>
      </c>
      <c r="B2099" s="98"/>
      <c r="C2099" s="98" t="s">
        <v>265</v>
      </c>
      <c r="D2099" s="98" t="s">
        <v>263</v>
      </c>
      <c r="E2099" s="98" t="s">
        <v>247</v>
      </c>
      <c r="F2099" s="98">
        <v>2209.33</v>
      </c>
    </row>
    <row r="2100" spans="1:6">
      <c r="A2100" s="6">
        <v>44196</v>
      </c>
      <c r="B2100" s="98"/>
      <c r="C2100" s="98" t="s">
        <v>266</v>
      </c>
      <c r="D2100" s="98" t="s">
        <v>263</v>
      </c>
      <c r="E2100" s="98" t="s">
        <v>258</v>
      </c>
      <c r="F2100" s="98">
        <v>23230.13</v>
      </c>
    </row>
    <row r="2101" spans="1:6">
      <c r="A2101" s="6">
        <v>44196</v>
      </c>
      <c r="B2101" s="98"/>
      <c r="C2101" s="98" t="s">
        <v>260</v>
      </c>
      <c r="D2101" s="98" t="s">
        <v>263</v>
      </c>
      <c r="E2101" s="98" t="s">
        <v>258</v>
      </c>
      <c r="F2101" s="98">
        <v>8043.87</v>
      </c>
    </row>
    <row r="2102" spans="1:6">
      <c r="A2102" s="6">
        <v>44196</v>
      </c>
      <c r="B2102" s="98" t="s">
        <v>267</v>
      </c>
      <c r="C2102" s="98" t="s">
        <v>242</v>
      </c>
      <c r="D2102" s="98" t="s">
        <v>268</v>
      </c>
      <c r="E2102" s="98" t="s">
        <v>244</v>
      </c>
      <c r="F2102" s="98">
        <v>160.1</v>
      </c>
    </row>
    <row r="2103" spans="1:6">
      <c r="A2103" s="6">
        <v>44196</v>
      </c>
      <c r="B2103" s="98"/>
      <c r="C2103" s="98" t="s">
        <v>253</v>
      </c>
      <c r="D2103" s="98" t="s">
        <v>268</v>
      </c>
      <c r="E2103" s="98" t="s">
        <v>244</v>
      </c>
      <c r="F2103" s="98">
        <v>102.42</v>
      </c>
    </row>
    <row r="2104" spans="1:6">
      <c r="A2104" s="6">
        <v>44196</v>
      </c>
      <c r="B2104" s="98"/>
      <c r="C2104" s="98" t="s">
        <v>264</v>
      </c>
      <c r="D2104" s="98" t="s">
        <v>268</v>
      </c>
      <c r="E2104" s="98" t="s">
        <v>244</v>
      </c>
      <c r="F2104" s="98">
        <v>213.21</v>
      </c>
    </row>
    <row r="2105" spans="1:6">
      <c r="A2105" s="6">
        <v>44196</v>
      </c>
      <c r="B2105" s="98"/>
      <c r="C2105" s="98" t="s">
        <v>254</v>
      </c>
      <c r="D2105" s="98" t="s">
        <v>268</v>
      </c>
      <c r="E2105" s="98" t="s">
        <v>244</v>
      </c>
      <c r="F2105" s="98">
        <v>83.15</v>
      </c>
    </row>
    <row r="2106" spans="1:6">
      <c r="A2106" s="6">
        <v>44196</v>
      </c>
      <c r="B2106" s="98"/>
      <c r="C2106" s="98" t="s">
        <v>248</v>
      </c>
      <c r="D2106" s="98" t="s">
        <v>268</v>
      </c>
      <c r="E2106" s="98" t="s">
        <v>247</v>
      </c>
      <c r="F2106" s="98">
        <v>6422.97</v>
      </c>
    </row>
    <row r="2107" spans="1:6">
      <c r="A2107" s="6">
        <v>44196</v>
      </c>
      <c r="B2107" s="98"/>
      <c r="C2107" s="98" t="s">
        <v>265</v>
      </c>
      <c r="D2107" s="98" t="s">
        <v>268</v>
      </c>
      <c r="E2107" s="98" t="s">
        <v>247</v>
      </c>
      <c r="F2107" s="98">
        <v>2192.83</v>
      </c>
    </row>
    <row r="2108" spans="1:6">
      <c r="A2108" s="6">
        <v>44196</v>
      </c>
      <c r="B2108" s="98"/>
      <c r="C2108" s="98" t="s">
        <v>266</v>
      </c>
      <c r="D2108" s="98" t="s">
        <v>268</v>
      </c>
      <c r="E2108" s="98" t="s">
        <v>258</v>
      </c>
      <c r="F2108" s="98">
        <v>21220.81</v>
      </c>
    </row>
    <row r="2109" spans="1:6">
      <c r="A2109" s="6">
        <v>44196</v>
      </c>
      <c r="B2109" s="98"/>
      <c r="C2109" s="98" t="s">
        <v>260</v>
      </c>
      <c r="D2109" s="98" t="s">
        <v>268</v>
      </c>
      <c r="E2109" s="98" t="s">
        <v>258</v>
      </c>
      <c r="F2109" s="98">
        <v>8400.19</v>
      </c>
    </row>
    <row r="2110" spans="1:6">
      <c r="A2110" s="6">
        <v>44196</v>
      </c>
      <c r="B2110" s="98" t="s">
        <v>269</v>
      </c>
      <c r="C2110" s="98" t="s">
        <v>242</v>
      </c>
      <c r="D2110" s="98" t="s">
        <v>270</v>
      </c>
      <c r="E2110" s="98" t="s">
        <v>244</v>
      </c>
      <c r="F2110" s="98">
        <v>251.97</v>
      </c>
    </row>
    <row r="2111" spans="1:6">
      <c r="A2111" s="6">
        <v>44196</v>
      </c>
      <c r="B2111" s="98"/>
      <c r="C2111" s="98" t="s">
        <v>251</v>
      </c>
      <c r="D2111" s="98" t="s">
        <v>270</v>
      </c>
      <c r="E2111" s="98" t="s">
        <v>244</v>
      </c>
      <c r="F2111" s="98">
        <v>10.64</v>
      </c>
    </row>
    <row r="2112" spans="1:6">
      <c r="A2112" s="6">
        <v>44196</v>
      </c>
      <c r="B2112" s="98"/>
      <c r="C2112" s="98" t="s">
        <v>245</v>
      </c>
      <c r="D2112" s="98" t="s">
        <v>270</v>
      </c>
      <c r="E2112" s="98" t="s">
        <v>244</v>
      </c>
      <c r="F2112" s="98">
        <v>262.39</v>
      </c>
    </row>
    <row r="2113" spans="1:6">
      <c r="A2113" s="6">
        <v>44196</v>
      </c>
      <c r="B2113" s="98"/>
      <c r="C2113" s="98" t="s">
        <v>264</v>
      </c>
      <c r="D2113" s="98" t="s">
        <v>270</v>
      </c>
      <c r="E2113" s="98" t="s">
        <v>244</v>
      </c>
      <c r="F2113" s="98">
        <v>166.88</v>
      </c>
    </row>
    <row r="2114" spans="1:6">
      <c r="A2114" s="6">
        <v>44196</v>
      </c>
      <c r="B2114" s="98"/>
      <c r="C2114" s="98" t="s">
        <v>271</v>
      </c>
      <c r="D2114" s="98" t="s">
        <v>270</v>
      </c>
      <c r="E2114" s="98" t="s">
        <v>244</v>
      </c>
      <c r="F2114" s="98">
        <v>21.57</v>
      </c>
    </row>
    <row r="2115" spans="1:6">
      <c r="A2115" s="6">
        <v>44196</v>
      </c>
      <c r="B2115" s="98"/>
      <c r="C2115" s="98" t="s">
        <v>255</v>
      </c>
      <c r="D2115" s="98" t="s">
        <v>270</v>
      </c>
      <c r="E2115" s="98" t="s">
        <v>247</v>
      </c>
      <c r="F2115" s="98">
        <v>915.36</v>
      </c>
    </row>
    <row r="2116" spans="1:6">
      <c r="A2116" s="6">
        <v>44196</v>
      </c>
      <c r="B2116" s="98"/>
      <c r="C2116" s="98" t="s">
        <v>246</v>
      </c>
      <c r="D2116" s="98" t="s">
        <v>270</v>
      </c>
      <c r="E2116" s="98" t="s">
        <v>247</v>
      </c>
      <c r="F2116" s="98">
        <v>2123.19</v>
      </c>
    </row>
    <row r="2117" spans="1:6">
      <c r="A2117" s="6">
        <v>44196</v>
      </c>
      <c r="B2117" s="98"/>
      <c r="C2117" s="98" t="s">
        <v>265</v>
      </c>
      <c r="D2117" s="98" t="s">
        <v>270</v>
      </c>
      <c r="E2117" s="98" t="s">
        <v>247</v>
      </c>
      <c r="F2117" s="98">
        <v>770.25</v>
      </c>
    </row>
    <row r="2118" spans="1:6">
      <c r="A2118" s="6">
        <v>44196</v>
      </c>
      <c r="B2118" s="98"/>
      <c r="C2118" s="98" t="s">
        <v>273</v>
      </c>
      <c r="D2118" s="98" t="s">
        <v>270</v>
      </c>
      <c r="E2118" s="98" t="s">
        <v>247</v>
      </c>
      <c r="F2118" s="98">
        <v>2339.16</v>
      </c>
    </row>
    <row r="2119" spans="1:6">
      <c r="A2119" s="6">
        <v>44196</v>
      </c>
      <c r="B2119" s="98" t="s">
        <v>275</v>
      </c>
      <c r="C2119" s="98" t="s">
        <v>242</v>
      </c>
      <c r="D2119" s="98" t="s">
        <v>276</v>
      </c>
      <c r="E2119" s="98" t="s">
        <v>244</v>
      </c>
      <c r="F2119" s="98">
        <v>115.31</v>
      </c>
    </row>
    <row r="2120" spans="1:6">
      <c r="A2120" s="6">
        <v>44196</v>
      </c>
      <c r="B2120" s="98"/>
      <c r="C2120" s="98" t="s">
        <v>262</v>
      </c>
      <c r="D2120" s="98" t="s">
        <v>276</v>
      </c>
      <c r="E2120" s="98" t="s">
        <v>244</v>
      </c>
      <c r="F2120" s="98">
        <v>2096.4899999999998</v>
      </c>
    </row>
    <row r="2121" spans="1:6">
      <c r="A2121" s="6">
        <v>44196</v>
      </c>
      <c r="B2121" s="98"/>
      <c r="C2121" s="98" t="s">
        <v>251</v>
      </c>
      <c r="D2121" s="98" t="s">
        <v>276</v>
      </c>
      <c r="E2121" s="98" t="s">
        <v>244</v>
      </c>
      <c r="F2121" s="98">
        <v>53.98</v>
      </c>
    </row>
    <row r="2122" spans="1:6">
      <c r="A2122" s="6">
        <v>44196</v>
      </c>
      <c r="B2122" s="98"/>
      <c r="C2122" s="98" t="s">
        <v>253</v>
      </c>
      <c r="D2122" s="98" t="s">
        <v>276</v>
      </c>
      <c r="E2122" s="98" t="s">
        <v>244</v>
      </c>
      <c r="F2122" s="98">
        <v>28.1</v>
      </c>
    </row>
    <row r="2123" spans="1:6">
      <c r="A2123" s="6">
        <v>44196</v>
      </c>
      <c r="B2123" s="98"/>
      <c r="C2123" s="98" t="s">
        <v>245</v>
      </c>
      <c r="D2123" s="98" t="s">
        <v>276</v>
      </c>
      <c r="E2123" s="98" t="s">
        <v>244</v>
      </c>
      <c r="F2123" s="98">
        <v>58.68</v>
      </c>
    </row>
    <row r="2124" spans="1:6">
      <c r="A2124" s="6">
        <v>44196</v>
      </c>
      <c r="B2124" s="98"/>
      <c r="C2124" s="98" t="s">
        <v>264</v>
      </c>
      <c r="D2124" s="98" t="s">
        <v>276</v>
      </c>
      <c r="E2124" s="98" t="s">
        <v>244</v>
      </c>
      <c r="F2124" s="98">
        <v>447.78</v>
      </c>
    </row>
    <row r="2125" spans="1:6">
      <c r="A2125" s="6">
        <v>44196</v>
      </c>
      <c r="B2125" s="98"/>
      <c r="C2125" s="98" t="s">
        <v>271</v>
      </c>
      <c r="D2125" s="98" t="s">
        <v>276</v>
      </c>
      <c r="E2125" s="98" t="s">
        <v>244</v>
      </c>
      <c r="F2125" s="98">
        <v>56.13</v>
      </c>
    </row>
    <row r="2126" spans="1:6">
      <c r="A2126" s="6">
        <v>44196</v>
      </c>
      <c r="B2126" s="98"/>
      <c r="C2126" s="98" t="s">
        <v>254</v>
      </c>
      <c r="D2126" s="98" t="s">
        <v>276</v>
      </c>
      <c r="E2126" s="98" t="s">
        <v>244</v>
      </c>
      <c r="F2126" s="98">
        <v>230.54</v>
      </c>
    </row>
    <row r="2127" spans="1:6">
      <c r="A2127" s="6">
        <v>44196</v>
      </c>
      <c r="B2127" s="98"/>
      <c r="C2127" s="98" t="s">
        <v>277</v>
      </c>
      <c r="D2127" s="98" t="s">
        <v>276</v>
      </c>
      <c r="E2127" s="98" t="s">
        <v>247</v>
      </c>
      <c r="F2127" s="98">
        <v>6026.75</v>
      </c>
    </row>
    <row r="2128" spans="1:6">
      <c r="A2128" s="6">
        <v>44196</v>
      </c>
      <c r="B2128" s="98"/>
      <c r="C2128" s="98" t="s">
        <v>278</v>
      </c>
      <c r="D2128" s="98" t="s">
        <v>276</v>
      </c>
      <c r="E2128" s="98" t="s">
        <v>247</v>
      </c>
      <c r="F2128" s="98">
        <v>2600.94</v>
      </c>
    </row>
    <row r="2129" spans="1:6">
      <c r="A2129" s="6">
        <v>44196</v>
      </c>
      <c r="B2129" s="98"/>
      <c r="C2129" s="98" t="s">
        <v>272</v>
      </c>
      <c r="D2129" s="98" t="s">
        <v>276</v>
      </c>
      <c r="E2129" s="98" t="s">
        <v>247</v>
      </c>
      <c r="F2129" s="98">
        <v>1558.51</v>
      </c>
    </row>
    <row r="2130" spans="1:6">
      <c r="A2130" s="6">
        <v>44196</v>
      </c>
      <c r="B2130" s="98"/>
      <c r="C2130" s="98" t="s">
        <v>246</v>
      </c>
      <c r="D2130" s="98" t="s">
        <v>276</v>
      </c>
      <c r="E2130" s="98" t="s">
        <v>247</v>
      </c>
      <c r="F2130" s="98">
        <v>3820.94</v>
      </c>
    </row>
    <row r="2131" spans="1:6">
      <c r="A2131" s="6">
        <v>44196</v>
      </c>
      <c r="B2131" s="98"/>
      <c r="C2131" s="98" t="s">
        <v>279</v>
      </c>
      <c r="D2131" s="98" t="s">
        <v>276</v>
      </c>
      <c r="E2131" s="98" t="s">
        <v>247</v>
      </c>
      <c r="F2131" s="98">
        <v>12582.87</v>
      </c>
    </row>
    <row r="2132" spans="1:6">
      <c r="A2132" s="6">
        <v>44196</v>
      </c>
      <c r="B2132" s="98"/>
      <c r="C2132" s="98" t="s">
        <v>248</v>
      </c>
      <c r="D2132" s="98" t="s">
        <v>276</v>
      </c>
      <c r="E2132" s="98" t="s">
        <v>247</v>
      </c>
      <c r="F2132" s="98">
        <v>11718.81</v>
      </c>
    </row>
    <row r="2133" spans="1:6">
      <c r="A2133" s="6">
        <v>44196</v>
      </c>
      <c r="B2133" s="98"/>
      <c r="C2133" s="98" t="s">
        <v>280</v>
      </c>
      <c r="D2133" s="98" t="s">
        <v>276</v>
      </c>
      <c r="E2133" s="98" t="s">
        <v>247</v>
      </c>
      <c r="F2133" s="98">
        <v>9018.5</v>
      </c>
    </row>
    <row r="2134" spans="1:6">
      <c r="A2134" s="6">
        <v>44196</v>
      </c>
      <c r="B2134" s="98"/>
      <c r="C2134" s="98" t="s">
        <v>281</v>
      </c>
      <c r="D2134" s="98" t="s">
        <v>276</v>
      </c>
      <c r="E2134" s="98" t="s">
        <v>247</v>
      </c>
      <c r="F2134" s="98">
        <v>14093.27</v>
      </c>
    </row>
    <row r="2135" spans="1:6">
      <c r="A2135" s="6">
        <v>44196</v>
      </c>
      <c r="B2135" s="98"/>
      <c r="C2135" s="98" t="s">
        <v>256</v>
      </c>
      <c r="D2135" s="98" t="s">
        <v>276</v>
      </c>
      <c r="E2135" s="98" t="s">
        <v>247</v>
      </c>
      <c r="F2135" s="98">
        <v>2431.2800000000002</v>
      </c>
    </row>
    <row r="2136" spans="1:6">
      <c r="A2136" s="6">
        <v>44196</v>
      </c>
      <c r="B2136" s="98"/>
      <c r="C2136" s="98" t="s">
        <v>282</v>
      </c>
      <c r="D2136" s="98" t="s">
        <v>276</v>
      </c>
      <c r="E2136" s="98" t="s">
        <v>247</v>
      </c>
      <c r="F2136" s="98">
        <v>4030.82</v>
      </c>
    </row>
    <row r="2137" spans="1:6">
      <c r="A2137" s="6">
        <v>44196</v>
      </c>
      <c r="B2137" s="98"/>
      <c r="C2137" s="98" t="s">
        <v>283</v>
      </c>
      <c r="D2137" s="98" t="s">
        <v>276</v>
      </c>
      <c r="E2137" s="98" t="s">
        <v>247</v>
      </c>
      <c r="F2137" s="98">
        <v>2378.63</v>
      </c>
    </row>
    <row r="2138" spans="1:6">
      <c r="A2138" s="6">
        <v>44196</v>
      </c>
      <c r="B2138" s="98"/>
      <c r="C2138" s="98" t="s">
        <v>285</v>
      </c>
      <c r="D2138" s="98" t="s">
        <v>276</v>
      </c>
      <c r="E2138" s="98" t="s">
        <v>247</v>
      </c>
      <c r="F2138" s="98">
        <v>9496.16</v>
      </c>
    </row>
    <row r="2139" spans="1:6">
      <c r="A2139" s="6">
        <v>44196</v>
      </c>
      <c r="B2139" s="98"/>
      <c r="C2139" s="98" t="s">
        <v>286</v>
      </c>
      <c r="D2139" s="98" t="s">
        <v>276</v>
      </c>
      <c r="E2139" s="98" t="s">
        <v>247</v>
      </c>
      <c r="F2139" s="98">
        <v>1902.9</v>
      </c>
    </row>
    <row r="2140" spans="1:6">
      <c r="A2140" s="6">
        <v>44196</v>
      </c>
      <c r="B2140" s="98"/>
      <c r="C2140" s="98" t="s">
        <v>257</v>
      </c>
      <c r="D2140" s="98" t="s">
        <v>276</v>
      </c>
      <c r="E2140" s="98" t="s">
        <v>258</v>
      </c>
      <c r="F2140" s="98">
        <v>46118.89</v>
      </c>
    </row>
    <row r="2141" spans="1:6">
      <c r="A2141" s="6">
        <v>44196</v>
      </c>
      <c r="B2141" s="98"/>
      <c r="C2141" s="98" t="s">
        <v>259</v>
      </c>
      <c r="D2141" s="98" t="s">
        <v>276</v>
      </c>
      <c r="E2141" s="98" t="s">
        <v>258</v>
      </c>
      <c r="F2141" s="98">
        <v>34958.75</v>
      </c>
    </row>
    <row r="2142" spans="1:6">
      <c r="A2142" s="6">
        <v>44196</v>
      </c>
      <c r="B2142" s="98"/>
      <c r="C2142" s="98" t="s">
        <v>249</v>
      </c>
      <c r="D2142" s="98" t="s">
        <v>276</v>
      </c>
      <c r="E2142" s="98" t="s">
        <v>247</v>
      </c>
      <c r="F2142" s="98">
        <v>1177.28</v>
      </c>
    </row>
    <row r="2143" spans="1:6">
      <c r="A2143" s="6">
        <v>44196</v>
      </c>
      <c r="B2143" s="98"/>
      <c r="C2143" s="98" t="s">
        <v>260</v>
      </c>
      <c r="D2143" s="98" t="s">
        <v>276</v>
      </c>
      <c r="E2143" s="98" t="s">
        <v>258</v>
      </c>
      <c r="F2143" s="98">
        <v>16807.41</v>
      </c>
    </row>
    <row r="2144" spans="1:6">
      <c r="A2144" s="6">
        <v>44196</v>
      </c>
      <c r="B2144" s="98"/>
      <c r="C2144" s="98" t="s">
        <v>465</v>
      </c>
      <c r="D2144" s="98" t="s">
        <v>276</v>
      </c>
      <c r="E2144" s="98" t="s">
        <v>247</v>
      </c>
      <c r="F2144" s="98">
        <v>2378.63</v>
      </c>
    </row>
    <row r="2145" spans="1:6">
      <c r="A2145" s="6">
        <v>44196</v>
      </c>
      <c r="B2145" s="98" t="s">
        <v>287</v>
      </c>
      <c r="C2145" s="98" t="s">
        <v>242</v>
      </c>
      <c r="D2145" s="98" t="s">
        <v>288</v>
      </c>
      <c r="E2145" s="98" t="s">
        <v>244</v>
      </c>
      <c r="F2145" s="98">
        <v>1738.17</v>
      </c>
    </row>
    <row r="2146" spans="1:6">
      <c r="A2146" s="6">
        <v>44196</v>
      </c>
      <c r="B2146" s="98"/>
      <c r="C2146" s="98" t="s">
        <v>262</v>
      </c>
      <c r="D2146" s="98" t="s">
        <v>288</v>
      </c>
      <c r="E2146" s="98" t="s">
        <v>244</v>
      </c>
      <c r="F2146" s="98">
        <v>10896.84</v>
      </c>
    </row>
    <row r="2147" spans="1:6">
      <c r="A2147" s="6">
        <v>44196</v>
      </c>
      <c r="B2147" s="98"/>
      <c r="C2147" s="98" t="s">
        <v>251</v>
      </c>
      <c r="D2147" s="98" t="s">
        <v>288</v>
      </c>
      <c r="E2147" s="98" t="s">
        <v>244</v>
      </c>
      <c r="F2147" s="98">
        <v>81.02</v>
      </c>
    </row>
    <row r="2148" spans="1:6">
      <c r="A2148" s="6">
        <v>44196</v>
      </c>
      <c r="B2148" s="98"/>
      <c r="C2148" s="98" t="s">
        <v>253</v>
      </c>
      <c r="D2148" s="98" t="s">
        <v>288</v>
      </c>
      <c r="E2148" s="98" t="s">
        <v>244</v>
      </c>
      <c r="F2148" s="98">
        <v>31.21</v>
      </c>
    </row>
    <row r="2149" spans="1:6">
      <c r="A2149" s="6">
        <v>44196</v>
      </c>
      <c r="B2149" s="98"/>
      <c r="C2149" s="98" t="s">
        <v>245</v>
      </c>
      <c r="D2149" s="98" t="s">
        <v>288</v>
      </c>
      <c r="E2149" s="98" t="s">
        <v>244</v>
      </c>
      <c r="F2149" s="98">
        <v>2687.81</v>
      </c>
    </row>
    <row r="2150" spans="1:6">
      <c r="A2150" s="6">
        <v>44196</v>
      </c>
      <c r="B2150" s="98"/>
      <c r="C2150" s="98" t="s">
        <v>264</v>
      </c>
      <c r="D2150" s="98" t="s">
        <v>288</v>
      </c>
      <c r="E2150" s="98" t="s">
        <v>244</v>
      </c>
      <c r="F2150" s="98">
        <v>1042.1500000000001</v>
      </c>
    </row>
    <row r="2151" spans="1:6">
      <c r="A2151" s="6">
        <v>44196</v>
      </c>
      <c r="B2151" s="98"/>
      <c r="C2151" s="98" t="s">
        <v>271</v>
      </c>
      <c r="D2151" s="98" t="s">
        <v>288</v>
      </c>
      <c r="E2151" s="98" t="s">
        <v>244</v>
      </c>
      <c r="F2151" s="98">
        <v>17.8</v>
      </c>
    </row>
    <row r="2152" spans="1:6">
      <c r="A2152" s="6">
        <v>44196</v>
      </c>
      <c r="B2152" s="98"/>
      <c r="C2152" s="98" t="s">
        <v>254</v>
      </c>
      <c r="D2152" s="98" t="s">
        <v>288</v>
      </c>
      <c r="E2152" s="98" t="s">
        <v>244</v>
      </c>
      <c r="F2152" s="98">
        <v>809.16</v>
      </c>
    </row>
    <row r="2153" spans="1:6">
      <c r="A2153" s="6">
        <v>44196</v>
      </c>
      <c r="B2153" s="98"/>
      <c r="C2153" s="98" t="s">
        <v>277</v>
      </c>
      <c r="D2153" s="98" t="s">
        <v>288</v>
      </c>
      <c r="E2153" s="98" t="s">
        <v>247</v>
      </c>
      <c r="F2153" s="98">
        <v>2406.84</v>
      </c>
    </row>
    <row r="2154" spans="1:6">
      <c r="A2154" s="6">
        <v>44196</v>
      </c>
      <c r="B2154" s="98"/>
      <c r="C2154" s="98" t="s">
        <v>255</v>
      </c>
      <c r="D2154" s="98" t="s">
        <v>288</v>
      </c>
      <c r="E2154" s="98" t="s">
        <v>247</v>
      </c>
      <c r="F2154" s="98">
        <v>2594.2600000000002</v>
      </c>
    </row>
    <row r="2155" spans="1:6">
      <c r="A2155" s="6">
        <v>44196</v>
      </c>
      <c r="B2155" s="98"/>
      <c r="C2155" s="98" t="s">
        <v>278</v>
      </c>
      <c r="D2155" s="98" t="s">
        <v>288</v>
      </c>
      <c r="E2155" s="98" t="s">
        <v>247</v>
      </c>
      <c r="F2155" s="98">
        <v>6406.65</v>
      </c>
    </row>
    <row r="2156" spans="1:6">
      <c r="A2156" s="6">
        <v>44196</v>
      </c>
      <c r="B2156" s="98"/>
      <c r="C2156" s="98" t="s">
        <v>289</v>
      </c>
      <c r="D2156" s="98" t="s">
        <v>288</v>
      </c>
      <c r="E2156" s="98" t="s">
        <v>247</v>
      </c>
      <c r="F2156" s="98">
        <v>301.74</v>
      </c>
    </row>
    <row r="2157" spans="1:6">
      <c r="A2157" s="6">
        <v>44196</v>
      </c>
      <c r="B2157" s="98"/>
      <c r="C2157" s="98" t="s">
        <v>272</v>
      </c>
      <c r="D2157" s="98" t="s">
        <v>288</v>
      </c>
      <c r="E2157" s="98" t="s">
        <v>247</v>
      </c>
      <c r="F2157" s="98">
        <v>717.44</v>
      </c>
    </row>
    <row r="2158" spans="1:6">
      <c r="A2158" s="6">
        <v>44196</v>
      </c>
      <c r="B2158" s="98"/>
      <c r="C2158" s="98" t="s">
        <v>246</v>
      </c>
      <c r="D2158" s="98" t="s">
        <v>288</v>
      </c>
      <c r="E2158" s="98" t="s">
        <v>247</v>
      </c>
      <c r="F2158" s="98">
        <v>2957.81</v>
      </c>
    </row>
    <row r="2159" spans="1:6">
      <c r="A2159" s="6">
        <v>44196</v>
      </c>
      <c r="B2159" s="98"/>
      <c r="C2159" s="98" t="s">
        <v>290</v>
      </c>
      <c r="D2159" s="98" t="s">
        <v>288</v>
      </c>
      <c r="E2159" s="98" t="s">
        <v>247</v>
      </c>
      <c r="F2159" s="98">
        <v>2228.0700000000002</v>
      </c>
    </row>
    <row r="2160" spans="1:6">
      <c r="A2160" s="6">
        <v>44196</v>
      </c>
      <c r="B2160" s="98"/>
      <c r="C2160" s="98" t="s">
        <v>291</v>
      </c>
      <c r="D2160" s="98" t="s">
        <v>288</v>
      </c>
      <c r="E2160" s="98" t="s">
        <v>247</v>
      </c>
      <c r="F2160" s="98">
        <v>14572.39</v>
      </c>
    </row>
    <row r="2161" spans="1:6">
      <c r="A2161" s="6">
        <v>44196</v>
      </c>
      <c r="B2161" s="98"/>
      <c r="C2161" s="98" t="s">
        <v>256</v>
      </c>
      <c r="D2161" s="98" t="s">
        <v>288</v>
      </c>
      <c r="E2161" s="98" t="s">
        <v>247</v>
      </c>
      <c r="F2161" s="98">
        <v>1163.4000000000001</v>
      </c>
    </row>
    <row r="2162" spans="1:6">
      <c r="A2162" s="6">
        <v>44196</v>
      </c>
      <c r="B2162" s="98"/>
      <c r="C2162" s="98" t="s">
        <v>265</v>
      </c>
      <c r="D2162" s="98" t="s">
        <v>288</v>
      </c>
      <c r="E2162" s="98" t="s">
        <v>247</v>
      </c>
      <c r="F2162" s="98">
        <v>1781.16</v>
      </c>
    </row>
    <row r="2163" spans="1:6">
      <c r="A2163" s="6">
        <v>44196</v>
      </c>
      <c r="B2163" s="98"/>
      <c r="C2163" s="98" t="s">
        <v>293</v>
      </c>
      <c r="D2163" s="98" t="s">
        <v>288</v>
      </c>
      <c r="E2163" s="98" t="s">
        <v>247</v>
      </c>
      <c r="F2163" s="98">
        <v>1497.35</v>
      </c>
    </row>
    <row r="2164" spans="1:6">
      <c r="A2164" s="6">
        <v>44196</v>
      </c>
      <c r="B2164" s="98"/>
      <c r="C2164" s="98" t="s">
        <v>257</v>
      </c>
      <c r="D2164" s="98" t="s">
        <v>288</v>
      </c>
      <c r="E2164" s="98" t="s">
        <v>258</v>
      </c>
      <c r="F2164" s="98">
        <v>25700.58</v>
      </c>
    </row>
    <row r="2165" spans="1:6">
      <c r="A2165" s="6">
        <v>44196</v>
      </c>
      <c r="B2165" s="98"/>
      <c r="C2165" s="98" t="s">
        <v>266</v>
      </c>
      <c r="D2165" s="98" t="s">
        <v>288</v>
      </c>
      <c r="E2165" s="98" t="s">
        <v>258</v>
      </c>
      <c r="F2165" s="98">
        <v>280469.95</v>
      </c>
    </row>
    <row r="2166" spans="1:6">
      <c r="A2166" s="6">
        <v>44196</v>
      </c>
      <c r="B2166" s="98"/>
      <c r="C2166" s="98" t="s">
        <v>259</v>
      </c>
      <c r="D2166" s="98" t="s">
        <v>288</v>
      </c>
      <c r="E2166" s="98" t="s">
        <v>258</v>
      </c>
      <c r="F2166" s="98">
        <v>9229.74</v>
      </c>
    </row>
    <row r="2167" spans="1:6">
      <c r="A2167" s="6">
        <v>44196</v>
      </c>
      <c r="B2167" s="98"/>
      <c r="C2167" s="98" t="s">
        <v>249</v>
      </c>
      <c r="D2167" s="98" t="s">
        <v>288</v>
      </c>
      <c r="E2167" s="98" t="s">
        <v>247</v>
      </c>
      <c r="F2167" s="98">
        <v>2814.44</v>
      </c>
    </row>
    <row r="2168" spans="1:6">
      <c r="A2168" s="6">
        <v>44196</v>
      </c>
      <c r="B2168" s="98"/>
      <c r="C2168" s="98" t="s">
        <v>260</v>
      </c>
      <c r="D2168" s="98" t="s">
        <v>288</v>
      </c>
      <c r="E2168" s="98" t="s">
        <v>258</v>
      </c>
      <c r="F2168" s="98">
        <v>8873.89</v>
      </c>
    </row>
    <row r="2169" spans="1:6">
      <c r="A2169" s="6">
        <v>44196</v>
      </c>
      <c r="B2169" s="98"/>
      <c r="C2169" s="98" t="s">
        <v>274</v>
      </c>
      <c r="D2169" s="98" t="s">
        <v>288</v>
      </c>
      <c r="E2169" s="98" t="s">
        <v>247</v>
      </c>
      <c r="F2169" s="98">
        <v>4936.45</v>
      </c>
    </row>
    <row r="2170" spans="1:6">
      <c r="A2170" s="6">
        <v>44196</v>
      </c>
      <c r="B2170" s="98" t="s">
        <v>294</v>
      </c>
      <c r="C2170" s="98" t="s">
        <v>242</v>
      </c>
      <c r="D2170" s="98" t="s">
        <v>295</v>
      </c>
      <c r="E2170" s="98" t="s">
        <v>244</v>
      </c>
      <c r="F2170" s="98">
        <v>3.43</v>
      </c>
    </row>
    <row r="2171" spans="1:6">
      <c r="A2171" s="6">
        <v>44196</v>
      </c>
      <c r="B2171" s="98"/>
      <c r="C2171" s="98" t="s">
        <v>262</v>
      </c>
      <c r="D2171" s="98" t="s">
        <v>295</v>
      </c>
      <c r="E2171" s="98" t="s">
        <v>244</v>
      </c>
      <c r="F2171" s="98">
        <v>0.06</v>
      </c>
    </row>
    <row r="2172" spans="1:6">
      <c r="A2172" s="6">
        <v>44196</v>
      </c>
      <c r="B2172" s="98"/>
      <c r="C2172" s="98" t="s">
        <v>251</v>
      </c>
      <c r="D2172" s="98" t="s">
        <v>295</v>
      </c>
      <c r="E2172" s="98" t="s">
        <v>244</v>
      </c>
      <c r="F2172" s="98">
        <v>7.0000000000000007E-2</v>
      </c>
    </row>
    <row r="2173" spans="1:6">
      <c r="A2173" s="6">
        <v>44196</v>
      </c>
      <c r="B2173" s="98"/>
      <c r="C2173" s="98" t="s">
        <v>245</v>
      </c>
      <c r="D2173" s="98" t="s">
        <v>295</v>
      </c>
      <c r="E2173" s="98" t="s">
        <v>244</v>
      </c>
      <c r="F2173" s="98">
        <v>2.39</v>
      </c>
    </row>
    <row r="2174" spans="1:6">
      <c r="A2174" s="6">
        <v>44196</v>
      </c>
      <c r="B2174" s="98"/>
      <c r="C2174" s="98" t="s">
        <v>264</v>
      </c>
      <c r="D2174" s="98" t="s">
        <v>295</v>
      </c>
      <c r="E2174" s="98" t="s">
        <v>244</v>
      </c>
      <c r="F2174" s="98">
        <v>1.79</v>
      </c>
    </row>
    <row r="2175" spans="1:6">
      <c r="A2175" s="6">
        <v>44196</v>
      </c>
      <c r="B2175" s="98"/>
      <c r="C2175" s="98" t="s">
        <v>271</v>
      </c>
      <c r="D2175" s="98" t="s">
        <v>295</v>
      </c>
      <c r="E2175" s="98" t="s">
        <v>244</v>
      </c>
      <c r="F2175" s="98">
        <v>0.09</v>
      </c>
    </row>
    <row r="2176" spans="1:6">
      <c r="A2176" s="6">
        <v>44196</v>
      </c>
      <c r="B2176" s="98"/>
      <c r="C2176" s="98" t="s">
        <v>254</v>
      </c>
      <c r="D2176" s="98" t="s">
        <v>295</v>
      </c>
      <c r="E2176" s="98" t="s">
        <v>244</v>
      </c>
      <c r="F2176" s="98">
        <v>1.32</v>
      </c>
    </row>
    <row r="2177" spans="1:6">
      <c r="A2177" s="6">
        <v>44196</v>
      </c>
      <c r="B2177" s="98" t="s">
        <v>296</v>
      </c>
      <c r="C2177" s="98" t="s">
        <v>242</v>
      </c>
      <c r="D2177" s="98" t="s">
        <v>297</v>
      </c>
      <c r="E2177" s="98" t="s">
        <v>244</v>
      </c>
      <c r="F2177" s="98">
        <v>364.02</v>
      </c>
    </row>
    <row r="2178" spans="1:6">
      <c r="A2178" s="6">
        <v>44196</v>
      </c>
      <c r="B2178" s="98"/>
      <c r="C2178" s="98" t="s">
        <v>262</v>
      </c>
      <c r="D2178" s="98" t="s">
        <v>297</v>
      </c>
      <c r="E2178" s="98" t="s">
        <v>244</v>
      </c>
      <c r="F2178" s="98">
        <v>522.97</v>
      </c>
    </row>
    <row r="2179" spans="1:6">
      <c r="A2179" s="6">
        <v>44196</v>
      </c>
      <c r="B2179" s="98"/>
      <c r="C2179" s="98" t="s">
        <v>251</v>
      </c>
      <c r="D2179" s="98" t="s">
        <v>297</v>
      </c>
      <c r="E2179" s="98" t="s">
        <v>244</v>
      </c>
      <c r="F2179" s="98">
        <v>91.75</v>
      </c>
    </row>
    <row r="2180" spans="1:6">
      <c r="A2180" s="6">
        <v>44196</v>
      </c>
      <c r="B2180" s="98"/>
      <c r="C2180" s="98" t="s">
        <v>253</v>
      </c>
      <c r="D2180" s="98" t="s">
        <v>297</v>
      </c>
      <c r="E2180" s="98" t="s">
        <v>244</v>
      </c>
      <c r="F2180" s="98">
        <v>63.59</v>
      </c>
    </row>
    <row r="2181" spans="1:6">
      <c r="A2181" s="6">
        <v>44196</v>
      </c>
      <c r="B2181" s="98"/>
      <c r="C2181" s="98" t="s">
        <v>245</v>
      </c>
      <c r="D2181" s="98" t="s">
        <v>297</v>
      </c>
      <c r="E2181" s="98" t="s">
        <v>244</v>
      </c>
      <c r="F2181" s="98">
        <v>1115.99</v>
      </c>
    </row>
    <row r="2182" spans="1:6">
      <c r="A2182" s="6">
        <v>44196</v>
      </c>
      <c r="B2182" s="98"/>
      <c r="C2182" s="98" t="s">
        <v>264</v>
      </c>
      <c r="D2182" s="98" t="s">
        <v>297</v>
      </c>
      <c r="E2182" s="98" t="s">
        <v>244</v>
      </c>
      <c r="F2182" s="98">
        <v>577.64</v>
      </c>
    </row>
    <row r="2183" spans="1:6">
      <c r="A2183" s="6">
        <v>44196</v>
      </c>
      <c r="B2183" s="98"/>
      <c r="C2183" s="98" t="s">
        <v>271</v>
      </c>
      <c r="D2183" s="98" t="s">
        <v>297</v>
      </c>
      <c r="E2183" s="98" t="s">
        <v>244</v>
      </c>
      <c r="F2183" s="98">
        <v>13.36</v>
      </c>
    </row>
    <row r="2184" spans="1:6">
      <c r="A2184" s="6">
        <v>44196</v>
      </c>
      <c r="B2184" s="98"/>
      <c r="C2184" s="98" t="s">
        <v>254</v>
      </c>
      <c r="D2184" s="98" t="s">
        <v>297</v>
      </c>
      <c r="E2184" s="98" t="s">
        <v>244</v>
      </c>
      <c r="F2184" s="98">
        <v>515.89</v>
      </c>
    </row>
    <row r="2185" spans="1:6">
      <c r="A2185" s="6">
        <v>44196</v>
      </c>
      <c r="B2185" s="98"/>
      <c r="C2185" s="98" t="s">
        <v>277</v>
      </c>
      <c r="D2185" s="98" t="s">
        <v>297</v>
      </c>
      <c r="E2185" s="98" t="s">
        <v>247</v>
      </c>
      <c r="F2185" s="98">
        <v>1897.93</v>
      </c>
    </row>
    <row r="2186" spans="1:6">
      <c r="A2186" s="6">
        <v>44196</v>
      </c>
      <c r="B2186" s="98"/>
      <c r="C2186" s="98" t="s">
        <v>255</v>
      </c>
      <c r="D2186" s="98" t="s">
        <v>297</v>
      </c>
      <c r="E2186" s="98" t="s">
        <v>247</v>
      </c>
      <c r="F2186" s="98">
        <v>165.53</v>
      </c>
    </row>
    <row r="2187" spans="1:6">
      <c r="A2187" s="6">
        <v>44196</v>
      </c>
      <c r="B2187" s="98"/>
      <c r="C2187" s="98" t="s">
        <v>289</v>
      </c>
      <c r="D2187" s="98" t="s">
        <v>297</v>
      </c>
      <c r="E2187" s="98" t="s">
        <v>247</v>
      </c>
      <c r="F2187" s="98">
        <v>5180.57</v>
      </c>
    </row>
    <row r="2188" spans="1:6">
      <c r="A2188" s="6">
        <v>44196</v>
      </c>
      <c r="B2188" s="98"/>
      <c r="C2188" s="98" t="s">
        <v>272</v>
      </c>
      <c r="D2188" s="98" t="s">
        <v>297</v>
      </c>
      <c r="E2188" s="98" t="s">
        <v>247</v>
      </c>
      <c r="F2188" s="98">
        <v>570.66</v>
      </c>
    </row>
    <row r="2189" spans="1:6">
      <c r="A2189" s="6">
        <v>44196</v>
      </c>
      <c r="B2189" s="98"/>
      <c r="C2189" s="98" t="s">
        <v>246</v>
      </c>
      <c r="D2189" s="98" t="s">
        <v>297</v>
      </c>
      <c r="E2189" s="98" t="s">
        <v>247</v>
      </c>
      <c r="F2189" s="98">
        <v>1792.84</v>
      </c>
    </row>
    <row r="2190" spans="1:6">
      <c r="A2190" s="6">
        <v>44196</v>
      </c>
      <c r="B2190" s="98"/>
      <c r="C2190" s="98" t="s">
        <v>248</v>
      </c>
      <c r="D2190" s="98" t="s">
        <v>297</v>
      </c>
      <c r="E2190" s="98" t="s">
        <v>247</v>
      </c>
      <c r="F2190" s="98">
        <v>12113.07</v>
      </c>
    </row>
    <row r="2191" spans="1:6">
      <c r="A2191" s="6">
        <v>44196</v>
      </c>
      <c r="B2191" s="98"/>
      <c r="C2191" s="98" t="s">
        <v>280</v>
      </c>
      <c r="D2191" s="98" t="s">
        <v>297</v>
      </c>
      <c r="E2191" s="98" t="s">
        <v>247</v>
      </c>
      <c r="F2191" s="98">
        <v>1474.11</v>
      </c>
    </row>
    <row r="2192" spans="1:6">
      <c r="A2192" s="6">
        <v>44196</v>
      </c>
      <c r="B2192" s="98"/>
      <c r="C2192" s="98" t="s">
        <v>290</v>
      </c>
      <c r="D2192" s="98" t="s">
        <v>297</v>
      </c>
      <c r="E2192" s="98" t="s">
        <v>247</v>
      </c>
      <c r="F2192" s="98">
        <v>1155.54</v>
      </c>
    </row>
    <row r="2193" spans="1:6">
      <c r="A2193" s="6">
        <v>44196</v>
      </c>
      <c r="B2193" s="98"/>
      <c r="C2193" s="98" t="s">
        <v>298</v>
      </c>
      <c r="D2193" s="98" t="s">
        <v>297</v>
      </c>
      <c r="E2193" s="98" t="s">
        <v>247</v>
      </c>
      <c r="F2193" s="98">
        <v>6135.27</v>
      </c>
    </row>
    <row r="2194" spans="1:6">
      <c r="A2194" s="6">
        <v>44196</v>
      </c>
      <c r="B2194" s="98"/>
      <c r="C2194" s="98" t="s">
        <v>291</v>
      </c>
      <c r="D2194" s="98" t="s">
        <v>297</v>
      </c>
      <c r="E2194" s="98" t="s">
        <v>247</v>
      </c>
      <c r="F2194" s="98">
        <v>9748.14</v>
      </c>
    </row>
    <row r="2195" spans="1:6">
      <c r="A2195" s="6">
        <v>44196</v>
      </c>
      <c r="B2195" s="98"/>
      <c r="C2195" s="98" t="s">
        <v>265</v>
      </c>
      <c r="D2195" s="98" t="s">
        <v>297</v>
      </c>
      <c r="E2195" s="98" t="s">
        <v>247</v>
      </c>
      <c r="F2195" s="98">
        <v>1027.1600000000001</v>
      </c>
    </row>
    <row r="2196" spans="1:6">
      <c r="A2196" s="6">
        <v>44196</v>
      </c>
      <c r="B2196" s="98"/>
      <c r="C2196" s="98" t="s">
        <v>299</v>
      </c>
      <c r="D2196" s="98" t="s">
        <v>297</v>
      </c>
      <c r="E2196" s="98" t="s">
        <v>247</v>
      </c>
      <c r="F2196" s="98">
        <v>2281.5</v>
      </c>
    </row>
    <row r="2197" spans="1:6">
      <c r="A2197" s="6">
        <v>44196</v>
      </c>
      <c r="B2197" s="98"/>
      <c r="C2197" s="98" t="s">
        <v>257</v>
      </c>
      <c r="D2197" s="98" t="s">
        <v>297</v>
      </c>
      <c r="E2197" s="98" t="s">
        <v>258</v>
      </c>
      <c r="F2197" s="98">
        <v>13922.8</v>
      </c>
    </row>
    <row r="2198" spans="1:6">
      <c r="A2198" s="6">
        <v>44196</v>
      </c>
      <c r="B2198" s="98"/>
      <c r="C2198" s="98" t="s">
        <v>259</v>
      </c>
      <c r="D2198" s="98" t="s">
        <v>297</v>
      </c>
      <c r="E2198" s="98" t="s">
        <v>258</v>
      </c>
      <c r="F2198" s="98">
        <v>10540.71</v>
      </c>
    </row>
    <row r="2199" spans="1:6">
      <c r="A2199" s="6">
        <v>44196</v>
      </c>
      <c r="B2199" s="98"/>
      <c r="C2199" s="98" t="s">
        <v>249</v>
      </c>
      <c r="D2199" s="98" t="s">
        <v>297</v>
      </c>
      <c r="E2199" s="98" t="s">
        <v>247</v>
      </c>
      <c r="F2199" s="98">
        <v>1754.18</v>
      </c>
    </row>
    <row r="2200" spans="1:6">
      <c r="A2200" s="6">
        <v>44196</v>
      </c>
      <c r="B2200" s="98"/>
      <c r="C2200" s="98" t="s">
        <v>260</v>
      </c>
      <c r="D2200" s="98" t="s">
        <v>297</v>
      </c>
      <c r="E2200" s="98" t="s">
        <v>258</v>
      </c>
      <c r="F2200" s="98">
        <v>5063.76</v>
      </c>
    </row>
    <row r="2201" spans="1:6">
      <c r="A2201" s="6">
        <v>44196</v>
      </c>
      <c r="B2201" s="98"/>
      <c r="C2201" s="98" t="s">
        <v>274</v>
      </c>
      <c r="D2201" s="98" t="s">
        <v>297</v>
      </c>
      <c r="E2201" s="98" t="s">
        <v>247</v>
      </c>
      <c r="F2201" s="98">
        <v>4514.7299999999996</v>
      </c>
    </row>
    <row r="2202" spans="1:6">
      <c r="A2202" s="6">
        <v>44196</v>
      </c>
      <c r="B2202" s="98" t="s">
        <v>300</v>
      </c>
      <c r="C2202" s="98" t="s">
        <v>301</v>
      </c>
      <c r="D2202" s="98" t="s">
        <v>302</v>
      </c>
      <c r="E2202" s="98" t="s">
        <v>247</v>
      </c>
      <c r="F2202" s="98">
        <v>16824.27</v>
      </c>
    </row>
    <row r="2203" spans="1:6">
      <c r="A2203" s="6">
        <v>44196</v>
      </c>
      <c r="B2203" s="98"/>
      <c r="C2203" s="98" t="s">
        <v>303</v>
      </c>
      <c r="D2203" s="98" t="s">
        <v>302</v>
      </c>
      <c r="E2203" s="98" t="s">
        <v>247</v>
      </c>
      <c r="F2203" s="98">
        <v>4486.47</v>
      </c>
    </row>
    <row r="2204" spans="1:6">
      <c r="A2204" s="6">
        <v>44196</v>
      </c>
      <c r="B2204" s="98" t="s">
        <v>304</v>
      </c>
      <c r="C2204" s="98" t="s">
        <v>262</v>
      </c>
      <c r="D2204" s="98" t="s">
        <v>305</v>
      </c>
      <c r="E2204" s="98" t="s">
        <v>244</v>
      </c>
      <c r="F2204" s="98">
        <v>255.39</v>
      </c>
    </row>
    <row r="2205" spans="1:6">
      <c r="A2205" s="6">
        <v>44196</v>
      </c>
      <c r="B2205" s="98"/>
      <c r="C2205" s="98" t="s">
        <v>245</v>
      </c>
      <c r="D2205" s="98" t="s">
        <v>305</v>
      </c>
      <c r="E2205" s="98" t="s">
        <v>244</v>
      </c>
      <c r="F2205" s="98">
        <v>124.24</v>
      </c>
    </row>
    <row r="2206" spans="1:6">
      <c r="A2206" s="6">
        <v>44196</v>
      </c>
      <c r="B2206" s="98" t="s">
        <v>306</v>
      </c>
      <c r="C2206" s="98" t="s">
        <v>242</v>
      </c>
      <c r="D2206" s="98" t="s">
        <v>307</v>
      </c>
      <c r="E2206" s="98" t="s">
        <v>244</v>
      </c>
      <c r="F2206" s="98">
        <v>20.85</v>
      </c>
    </row>
    <row r="2207" spans="1:6">
      <c r="A2207" s="6">
        <v>44196</v>
      </c>
      <c r="B2207" s="98"/>
      <c r="C2207" s="98" t="s">
        <v>262</v>
      </c>
      <c r="D2207" s="98" t="s">
        <v>307</v>
      </c>
      <c r="E2207" s="98" t="s">
        <v>244</v>
      </c>
      <c r="F2207" s="98">
        <v>110.13</v>
      </c>
    </row>
    <row r="2208" spans="1:6">
      <c r="A2208" s="6">
        <v>44196</v>
      </c>
      <c r="B2208" s="98"/>
      <c r="C2208" s="98" t="s">
        <v>245</v>
      </c>
      <c r="D2208" s="98" t="s">
        <v>307</v>
      </c>
      <c r="E2208" s="98" t="s">
        <v>244</v>
      </c>
      <c r="F2208" s="98">
        <v>23.21</v>
      </c>
    </row>
    <row r="2209" spans="1:6">
      <c r="A2209" s="6">
        <v>44196</v>
      </c>
      <c r="B2209" s="98"/>
      <c r="C2209" s="98" t="s">
        <v>264</v>
      </c>
      <c r="D2209" s="98" t="s">
        <v>307</v>
      </c>
      <c r="E2209" s="98" t="s">
        <v>244</v>
      </c>
      <c r="F2209" s="98">
        <v>9.73</v>
      </c>
    </row>
    <row r="2210" spans="1:6">
      <c r="A2210" s="6">
        <v>44196</v>
      </c>
      <c r="B2210" s="98" t="s">
        <v>310</v>
      </c>
      <c r="C2210" s="98" t="s">
        <v>262</v>
      </c>
      <c r="D2210" s="98" t="s">
        <v>311</v>
      </c>
      <c r="E2210" s="98" t="s">
        <v>244</v>
      </c>
      <c r="F2210" s="98">
        <v>71.81</v>
      </c>
    </row>
    <row r="2211" spans="1:6">
      <c r="A2211" s="6">
        <v>44196</v>
      </c>
      <c r="B2211" s="98"/>
      <c r="C2211" s="98" t="s">
        <v>251</v>
      </c>
      <c r="D2211" s="98" t="s">
        <v>311</v>
      </c>
      <c r="E2211" s="98" t="s">
        <v>244</v>
      </c>
      <c r="F2211" s="98">
        <v>4.84</v>
      </c>
    </row>
    <row r="2212" spans="1:6">
      <c r="A2212" s="6">
        <v>44196</v>
      </c>
      <c r="B2212" s="98"/>
      <c r="C2212" s="98" t="s">
        <v>245</v>
      </c>
      <c r="D2212" s="98" t="s">
        <v>311</v>
      </c>
      <c r="E2212" s="98" t="s">
        <v>244</v>
      </c>
      <c r="F2212" s="98">
        <v>548.86</v>
      </c>
    </row>
    <row r="2213" spans="1:6">
      <c r="A2213" s="6">
        <v>44196</v>
      </c>
      <c r="B2213" s="98"/>
      <c r="C2213" s="98" t="s">
        <v>271</v>
      </c>
      <c r="D2213" s="98" t="s">
        <v>311</v>
      </c>
      <c r="E2213" s="98" t="s">
        <v>244</v>
      </c>
      <c r="F2213" s="98">
        <v>12.82</v>
      </c>
    </row>
    <row r="2214" spans="1:6">
      <c r="A2214" s="6">
        <v>44196</v>
      </c>
      <c r="B2214" s="98"/>
      <c r="C2214" s="98" t="s">
        <v>254</v>
      </c>
      <c r="D2214" s="98" t="s">
        <v>311</v>
      </c>
      <c r="E2214" s="98" t="s">
        <v>244</v>
      </c>
      <c r="F2214" s="98">
        <v>57.23</v>
      </c>
    </row>
    <row r="2215" spans="1:6">
      <c r="A2215" s="6">
        <v>44196</v>
      </c>
      <c r="B2215" s="98"/>
      <c r="C2215" s="98" t="s">
        <v>277</v>
      </c>
      <c r="D2215" s="98" t="s">
        <v>311</v>
      </c>
      <c r="E2215" s="98" t="s">
        <v>247</v>
      </c>
      <c r="F2215" s="98">
        <v>4259.29</v>
      </c>
    </row>
    <row r="2216" spans="1:6">
      <c r="A2216" s="6">
        <v>44196</v>
      </c>
      <c r="B2216" s="98"/>
      <c r="C2216" s="98" t="s">
        <v>272</v>
      </c>
      <c r="D2216" s="98" t="s">
        <v>311</v>
      </c>
      <c r="E2216" s="98" t="s">
        <v>247</v>
      </c>
      <c r="F2216" s="98">
        <v>4562.25</v>
      </c>
    </row>
    <row r="2217" spans="1:6">
      <c r="A2217" s="6">
        <v>44196</v>
      </c>
      <c r="B2217" s="98"/>
      <c r="C2217" s="98" t="s">
        <v>248</v>
      </c>
      <c r="D2217" s="98" t="s">
        <v>311</v>
      </c>
      <c r="E2217" s="98" t="s">
        <v>247</v>
      </c>
      <c r="F2217" s="98">
        <v>4755.79</v>
      </c>
    </row>
    <row r="2218" spans="1:6">
      <c r="A2218" s="6">
        <v>44196</v>
      </c>
      <c r="B2218" s="98"/>
      <c r="C2218" s="98" t="s">
        <v>265</v>
      </c>
      <c r="D2218" s="98" t="s">
        <v>311</v>
      </c>
      <c r="E2218" s="98" t="s">
        <v>247</v>
      </c>
      <c r="F2218" s="98">
        <v>1495.21</v>
      </c>
    </row>
    <row r="2219" spans="1:6">
      <c r="A2219" s="6">
        <v>44196</v>
      </c>
      <c r="B2219" s="98"/>
      <c r="C2219" s="98" t="s">
        <v>266</v>
      </c>
      <c r="D2219" s="98" t="s">
        <v>311</v>
      </c>
      <c r="E2219" s="98" t="s">
        <v>258</v>
      </c>
      <c r="F2219" s="98">
        <v>18021.62</v>
      </c>
    </row>
    <row r="2220" spans="1:6">
      <c r="A2220" s="6">
        <v>44196</v>
      </c>
      <c r="B2220" s="98" t="s">
        <v>312</v>
      </c>
      <c r="C2220" s="98" t="s">
        <v>242</v>
      </c>
      <c r="D2220" s="98" t="s">
        <v>313</v>
      </c>
      <c r="E2220" s="98" t="s">
        <v>244</v>
      </c>
      <c r="F2220" s="98">
        <v>205.53</v>
      </c>
    </row>
    <row r="2221" spans="1:6">
      <c r="A2221" s="6">
        <v>44196</v>
      </c>
      <c r="B2221" s="98"/>
      <c r="C2221" s="98" t="s">
        <v>262</v>
      </c>
      <c r="D2221" s="98" t="s">
        <v>313</v>
      </c>
      <c r="E2221" s="98" t="s">
        <v>244</v>
      </c>
      <c r="F2221" s="98">
        <v>28001.11</v>
      </c>
    </row>
    <row r="2222" spans="1:6">
      <c r="A2222" s="6">
        <v>44196</v>
      </c>
      <c r="B2222" s="98"/>
      <c r="C2222" s="98" t="s">
        <v>253</v>
      </c>
      <c r="D2222" s="98" t="s">
        <v>313</v>
      </c>
      <c r="E2222" s="98" t="s">
        <v>244</v>
      </c>
      <c r="F2222" s="98">
        <v>39.64</v>
      </c>
    </row>
    <row r="2223" spans="1:6">
      <c r="A2223" s="6">
        <v>44196</v>
      </c>
      <c r="B2223" s="98"/>
      <c r="C2223" s="98" t="s">
        <v>245</v>
      </c>
      <c r="D2223" s="98" t="s">
        <v>313</v>
      </c>
      <c r="E2223" s="98" t="s">
        <v>244</v>
      </c>
      <c r="F2223" s="98">
        <v>47.51</v>
      </c>
    </row>
    <row r="2224" spans="1:6">
      <c r="A2224" s="6">
        <v>44196</v>
      </c>
      <c r="B2224" s="98"/>
      <c r="C2224" s="98" t="s">
        <v>272</v>
      </c>
      <c r="D2224" s="98" t="s">
        <v>313</v>
      </c>
      <c r="E2224" s="98" t="s">
        <v>247</v>
      </c>
      <c r="F2224" s="98">
        <v>1297.54</v>
      </c>
    </row>
    <row r="2225" spans="1:6">
      <c r="A2225" s="6">
        <v>44196</v>
      </c>
      <c r="B2225" s="98"/>
      <c r="C2225" s="98" t="s">
        <v>248</v>
      </c>
      <c r="D2225" s="98" t="s">
        <v>313</v>
      </c>
      <c r="E2225" s="98" t="s">
        <v>247</v>
      </c>
      <c r="F2225" s="98">
        <v>4173.53</v>
      </c>
    </row>
    <row r="2226" spans="1:6">
      <c r="A2226" s="6">
        <v>44196</v>
      </c>
      <c r="B2226" s="98" t="s">
        <v>314</v>
      </c>
      <c r="C2226" s="98" t="s">
        <v>242</v>
      </c>
      <c r="D2226" s="98" t="s">
        <v>315</v>
      </c>
      <c r="E2226" s="98" t="s">
        <v>244</v>
      </c>
      <c r="F2226" s="98">
        <v>4060.39</v>
      </c>
    </row>
    <row r="2227" spans="1:6">
      <c r="A2227" s="6">
        <v>44196</v>
      </c>
      <c r="B2227" s="98"/>
      <c r="C2227" s="98" t="s">
        <v>262</v>
      </c>
      <c r="D2227" s="98" t="s">
        <v>315</v>
      </c>
      <c r="E2227" s="98" t="s">
        <v>244</v>
      </c>
      <c r="F2227" s="98">
        <v>5627.75</v>
      </c>
    </row>
    <row r="2228" spans="1:6">
      <c r="A2228" s="6">
        <v>44196</v>
      </c>
      <c r="B2228" s="98"/>
      <c r="C2228" s="98" t="s">
        <v>245</v>
      </c>
      <c r="D2228" s="98" t="s">
        <v>315</v>
      </c>
      <c r="E2228" s="98" t="s">
        <v>244</v>
      </c>
      <c r="F2228" s="98">
        <v>37.840000000000003</v>
      </c>
    </row>
    <row r="2229" spans="1:6">
      <c r="A2229" s="6">
        <v>44196</v>
      </c>
      <c r="B2229" s="98"/>
      <c r="C2229" s="98" t="s">
        <v>289</v>
      </c>
      <c r="D2229" s="98" t="s">
        <v>315</v>
      </c>
      <c r="E2229" s="98" t="s">
        <v>247</v>
      </c>
      <c r="F2229" s="98">
        <v>3091.49</v>
      </c>
    </row>
    <row r="2230" spans="1:6">
      <c r="A2230" s="6">
        <v>44196</v>
      </c>
      <c r="B2230" s="98"/>
      <c r="C2230" s="98" t="s">
        <v>272</v>
      </c>
      <c r="D2230" s="98" t="s">
        <v>315</v>
      </c>
      <c r="E2230" s="98" t="s">
        <v>247</v>
      </c>
      <c r="F2230" s="98">
        <v>1247.49</v>
      </c>
    </row>
    <row r="2231" spans="1:6">
      <c r="A2231" s="6">
        <v>44196</v>
      </c>
      <c r="B2231" s="98"/>
      <c r="C2231" s="98" t="s">
        <v>248</v>
      </c>
      <c r="D2231" s="98" t="s">
        <v>315</v>
      </c>
      <c r="E2231" s="98" t="s">
        <v>247</v>
      </c>
      <c r="F2231" s="98">
        <v>4512.78</v>
      </c>
    </row>
    <row r="2232" spans="1:6">
      <c r="A2232" s="6">
        <v>44196</v>
      </c>
      <c r="B2232" s="98"/>
      <c r="C2232" s="98" t="s">
        <v>265</v>
      </c>
      <c r="D2232" s="98" t="s">
        <v>315</v>
      </c>
      <c r="E2232" s="98" t="s">
        <v>247</v>
      </c>
      <c r="F2232" s="98">
        <v>66.709999999999994</v>
      </c>
    </row>
    <row r="2233" spans="1:6">
      <c r="A2233" s="6">
        <v>44196</v>
      </c>
      <c r="B2233" s="98" t="s">
        <v>316</v>
      </c>
      <c r="C2233" s="98" t="s">
        <v>262</v>
      </c>
      <c r="D2233" s="98" t="s">
        <v>317</v>
      </c>
      <c r="E2233" s="98" t="s">
        <v>244</v>
      </c>
      <c r="F2233" s="98">
        <v>375.14</v>
      </c>
    </row>
    <row r="2234" spans="1:6">
      <c r="A2234" s="6">
        <v>44196</v>
      </c>
      <c r="B2234" s="98"/>
      <c r="C2234" s="98" t="s">
        <v>245</v>
      </c>
      <c r="D2234" s="98" t="s">
        <v>317</v>
      </c>
      <c r="E2234" s="98" t="s">
        <v>244</v>
      </c>
      <c r="F2234" s="98">
        <v>126.74</v>
      </c>
    </row>
    <row r="2235" spans="1:6">
      <c r="A2235" s="6">
        <v>44196</v>
      </c>
      <c r="B2235" s="98"/>
      <c r="C2235" s="98" t="s">
        <v>254</v>
      </c>
      <c r="D2235" s="98" t="s">
        <v>317</v>
      </c>
      <c r="E2235" s="98" t="s">
        <v>244</v>
      </c>
      <c r="F2235" s="98">
        <v>37.93</v>
      </c>
    </row>
    <row r="2236" spans="1:6">
      <c r="A2236" s="6">
        <v>44196</v>
      </c>
      <c r="B2236" s="98" t="s">
        <v>318</v>
      </c>
      <c r="C2236" s="98" t="s">
        <v>262</v>
      </c>
      <c r="D2236" s="98" t="s">
        <v>319</v>
      </c>
      <c r="E2236" s="98" t="s">
        <v>244</v>
      </c>
      <c r="F2236" s="98">
        <v>2562.2199999999998</v>
      </c>
    </row>
    <row r="2237" spans="1:6">
      <c r="A2237" s="6">
        <v>44196</v>
      </c>
      <c r="B2237" s="98"/>
      <c r="C2237" s="98" t="s">
        <v>251</v>
      </c>
      <c r="D2237" s="98" t="s">
        <v>319</v>
      </c>
      <c r="E2237" s="98" t="s">
        <v>244</v>
      </c>
      <c r="F2237" s="98">
        <v>3.96</v>
      </c>
    </row>
    <row r="2238" spans="1:6">
      <c r="A2238" s="6">
        <v>44196</v>
      </c>
      <c r="B2238" s="98"/>
      <c r="C2238" s="98" t="s">
        <v>253</v>
      </c>
      <c r="D2238" s="98" t="s">
        <v>319</v>
      </c>
      <c r="E2238" s="98" t="s">
        <v>244</v>
      </c>
      <c r="F2238" s="98">
        <v>32.21</v>
      </c>
    </row>
    <row r="2239" spans="1:6">
      <c r="A2239" s="6">
        <v>44196</v>
      </c>
      <c r="B2239" s="98"/>
      <c r="C2239" s="98" t="s">
        <v>245</v>
      </c>
      <c r="D2239" s="98" t="s">
        <v>319</v>
      </c>
      <c r="E2239" s="98" t="s">
        <v>244</v>
      </c>
      <c r="F2239" s="98">
        <v>367.68</v>
      </c>
    </row>
    <row r="2240" spans="1:6">
      <c r="A2240" s="6">
        <v>44196</v>
      </c>
      <c r="B2240" s="98"/>
      <c r="C2240" s="98" t="s">
        <v>264</v>
      </c>
      <c r="D2240" s="98" t="s">
        <v>319</v>
      </c>
      <c r="E2240" s="98" t="s">
        <v>244</v>
      </c>
      <c r="F2240" s="98">
        <v>886.9</v>
      </c>
    </row>
    <row r="2241" spans="1:6">
      <c r="A2241" s="6">
        <v>44196</v>
      </c>
      <c r="B2241" s="98"/>
      <c r="C2241" s="98" t="s">
        <v>271</v>
      </c>
      <c r="D2241" s="98" t="s">
        <v>319</v>
      </c>
      <c r="E2241" s="98" t="s">
        <v>244</v>
      </c>
      <c r="F2241" s="98">
        <v>47.59</v>
      </c>
    </row>
    <row r="2242" spans="1:6">
      <c r="A2242" s="6">
        <v>44196</v>
      </c>
      <c r="B2242" s="98"/>
      <c r="C2242" s="98" t="s">
        <v>254</v>
      </c>
      <c r="D2242" s="98" t="s">
        <v>319</v>
      </c>
      <c r="E2242" s="98" t="s">
        <v>244</v>
      </c>
      <c r="F2242" s="98">
        <v>641.29999999999995</v>
      </c>
    </row>
    <row r="2243" spans="1:6">
      <c r="A2243" s="6">
        <v>44196</v>
      </c>
      <c r="B2243" s="98"/>
      <c r="C2243" s="98" t="s">
        <v>255</v>
      </c>
      <c r="D2243" s="98" t="s">
        <v>319</v>
      </c>
      <c r="E2243" s="98" t="s">
        <v>247</v>
      </c>
      <c r="F2243" s="98">
        <v>3357.18</v>
      </c>
    </row>
    <row r="2244" spans="1:6">
      <c r="A2244" s="6">
        <v>44196</v>
      </c>
      <c r="B2244" s="98"/>
      <c r="C2244" s="98" t="s">
        <v>278</v>
      </c>
      <c r="D2244" s="98" t="s">
        <v>319</v>
      </c>
      <c r="E2244" s="98" t="s">
        <v>247</v>
      </c>
      <c r="F2244" s="98">
        <v>13498.87</v>
      </c>
    </row>
    <row r="2245" spans="1:6">
      <c r="A2245" s="6">
        <v>44196</v>
      </c>
      <c r="B2245" s="98"/>
      <c r="C2245" s="98" t="s">
        <v>246</v>
      </c>
      <c r="D2245" s="98" t="s">
        <v>319</v>
      </c>
      <c r="E2245" s="98" t="s">
        <v>247</v>
      </c>
      <c r="F2245" s="98">
        <v>4825.28</v>
      </c>
    </row>
    <row r="2246" spans="1:6">
      <c r="A2246" s="6">
        <v>44196</v>
      </c>
      <c r="B2246" s="98"/>
      <c r="C2246" s="98" t="s">
        <v>248</v>
      </c>
      <c r="D2246" s="98" t="s">
        <v>319</v>
      </c>
      <c r="E2246" s="98" t="s">
        <v>247</v>
      </c>
      <c r="F2246" s="98">
        <v>1219.6199999999999</v>
      </c>
    </row>
    <row r="2247" spans="1:6">
      <c r="A2247" s="6">
        <v>44196</v>
      </c>
      <c r="B2247" s="98"/>
      <c r="C2247" s="98" t="s">
        <v>290</v>
      </c>
      <c r="D2247" s="98" t="s">
        <v>319</v>
      </c>
      <c r="E2247" s="98" t="s">
        <v>247</v>
      </c>
      <c r="F2247" s="98">
        <v>109.95</v>
      </c>
    </row>
    <row r="2248" spans="1:6">
      <c r="A2248" s="6">
        <v>44196</v>
      </c>
      <c r="B2248" s="98" t="s">
        <v>320</v>
      </c>
      <c r="C2248" s="98" t="s">
        <v>242</v>
      </c>
      <c r="D2248" s="98" t="s">
        <v>321</v>
      </c>
      <c r="E2248" s="98" t="s">
        <v>244</v>
      </c>
      <c r="F2248" s="98">
        <v>2623.02</v>
      </c>
    </row>
    <row r="2249" spans="1:6">
      <c r="A2249" s="6">
        <v>44196</v>
      </c>
      <c r="B2249" s="98"/>
      <c r="C2249" s="98" t="s">
        <v>262</v>
      </c>
      <c r="D2249" s="98" t="s">
        <v>321</v>
      </c>
      <c r="E2249" s="98" t="s">
        <v>244</v>
      </c>
      <c r="F2249" s="98">
        <v>5314.5</v>
      </c>
    </row>
    <row r="2250" spans="1:6">
      <c r="A2250" s="6">
        <v>44196</v>
      </c>
      <c r="B2250" s="98"/>
      <c r="C2250" s="98" t="s">
        <v>253</v>
      </c>
      <c r="D2250" s="98" t="s">
        <v>321</v>
      </c>
      <c r="E2250" s="98" t="s">
        <v>244</v>
      </c>
      <c r="F2250" s="98">
        <v>58.42</v>
      </c>
    </row>
    <row r="2251" spans="1:6">
      <c r="A2251" s="6">
        <v>44196</v>
      </c>
      <c r="B2251" s="98"/>
      <c r="C2251" s="98" t="s">
        <v>245</v>
      </c>
      <c r="D2251" s="98" t="s">
        <v>321</v>
      </c>
      <c r="E2251" s="98" t="s">
        <v>244</v>
      </c>
      <c r="F2251" s="98">
        <v>562.86</v>
      </c>
    </row>
    <row r="2252" spans="1:6">
      <c r="A2252" s="6">
        <v>44196</v>
      </c>
      <c r="B2252" s="98"/>
      <c r="C2252" s="98" t="s">
        <v>264</v>
      </c>
      <c r="D2252" s="98" t="s">
        <v>321</v>
      </c>
      <c r="E2252" s="98" t="s">
        <v>244</v>
      </c>
      <c r="F2252" s="98">
        <v>1792.3</v>
      </c>
    </row>
    <row r="2253" spans="1:6">
      <c r="A2253" s="6">
        <v>44196</v>
      </c>
      <c r="B2253" s="98"/>
      <c r="C2253" s="98" t="s">
        <v>271</v>
      </c>
      <c r="D2253" s="98" t="s">
        <v>321</v>
      </c>
      <c r="E2253" s="98" t="s">
        <v>244</v>
      </c>
      <c r="F2253" s="98">
        <v>13.36</v>
      </c>
    </row>
    <row r="2254" spans="1:6">
      <c r="A2254" s="6">
        <v>44196</v>
      </c>
      <c r="B2254" s="98"/>
      <c r="C2254" s="98" t="s">
        <v>254</v>
      </c>
      <c r="D2254" s="98" t="s">
        <v>321</v>
      </c>
      <c r="E2254" s="98" t="s">
        <v>244</v>
      </c>
      <c r="F2254" s="98">
        <v>244.91</v>
      </c>
    </row>
    <row r="2255" spans="1:6">
      <c r="A2255" s="6">
        <v>44196</v>
      </c>
      <c r="B2255" s="98"/>
      <c r="C2255" s="98" t="s">
        <v>277</v>
      </c>
      <c r="D2255" s="98" t="s">
        <v>321</v>
      </c>
      <c r="E2255" s="98" t="s">
        <v>247</v>
      </c>
      <c r="F2255" s="98">
        <v>16131.75</v>
      </c>
    </row>
    <row r="2256" spans="1:6">
      <c r="A2256" s="6">
        <v>44196</v>
      </c>
      <c r="B2256" s="98"/>
      <c r="C2256" s="98" t="s">
        <v>255</v>
      </c>
      <c r="D2256" s="98" t="s">
        <v>321</v>
      </c>
      <c r="E2256" s="98" t="s">
        <v>247</v>
      </c>
      <c r="F2256" s="98">
        <v>3180.17</v>
      </c>
    </row>
    <row r="2257" spans="1:6">
      <c r="A2257" s="6">
        <v>44196</v>
      </c>
      <c r="B2257" s="98"/>
      <c r="C2257" s="98" t="s">
        <v>278</v>
      </c>
      <c r="D2257" s="98" t="s">
        <v>321</v>
      </c>
      <c r="E2257" s="98" t="s">
        <v>247</v>
      </c>
      <c r="F2257" s="98">
        <v>2694.03</v>
      </c>
    </row>
    <row r="2258" spans="1:6">
      <c r="A2258" s="6">
        <v>44196</v>
      </c>
      <c r="B2258" s="98"/>
      <c r="C2258" s="98" t="s">
        <v>248</v>
      </c>
      <c r="D2258" s="98" t="s">
        <v>321</v>
      </c>
      <c r="E2258" s="98" t="s">
        <v>247</v>
      </c>
      <c r="F2258" s="98">
        <v>1257.46</v>
      </c>
    </row>
    <row r="2259" spans="1:6">
      <c r="A2259" s="6">
        <v>44196</v>
      </c>
      <c r="B2259" s="98"/>
      <c r="C2259" s="98" t="s">
        <v>256</v>
      </c>
      <c r="D2259" s="98" t="s">
        <v>321</v>
      </c>
      <c r="E2259" s="98" t="s">
        <v>247</v>
      </c>
      <c r="F2259" s="98">
        <v>9557.52</v>
      </c>
    </row>
    <row r="2260" spans="1:6">
      <c r="A2260" s="6">
        <v>44196</v>
      </c>
      <c r="B2260" s="98"/>
      <c r="C2260" s="98" t="s">
        <v>265</v>
      </c>
      <c r="D2260" s="98" t="s">
        <v>321</v>
      </c>
      <c r="E2260" s="98" t="s">
        <v>247</v>
      </c>
      <c r="F2260" s="98">
        <v>490.89</v>
      </c>
    </row>
    <row r="2261" spans="1:6">
      <c r="A2261" s="6">
        <v>44196</v>
      </c>
      <c r="B2261" s="98"/>
      <c r="C2261" s="98" t="s">
        <v>274</v>
      </c>
      <c r="D2261" s="98" t="s">
        <v>321</v>
      </c>
      <c r="E2261" s="98" t="s">
        <v>247</v>
      </c>
      <c r="F2261" s="98">
        <v>21520.35</v>
      </c>
    </row>
    <row r="2262" spans="1:6">
      <c r="A2262" s="6">
        <v>44196</v>
      </c>
      <c r="B2262" s="98" t="s">
        <v>322</v>
      </c>
      <c r="C2262" s="98" t="s">
        <v>253</v>
      </c>
      <c r="D2262" s="98" t="s">
        <v>323</v>
      </c>
      <c r="E2262" s="98" t="s">
        <v>244</v>
      </c>
      <c r="F2262" s="98">
        <v>47.14</v>
      </c>
    </row>
    <row r="2263" spans="1:6">
      <c r="A2263" s="6">
        <v>44196</v>
      </c>
      <c r="B2263" s="98"/>
      <c r="C2263" s="98" t="s">
        <v>245</v>
      </c>
      <c r="D2263" s="98" t="s">
        <v>323</v>
      </c>
      <c r="E2263" s="98" t="s">
        <v>244</v>
      </c>
      <c r="F2263" s="98">
        <v>1509.3</v>
      </c>
    </row>
    <row r="2264" spans="1:6">
      <c r="A2264" s="6">
        <v>44196</v>
      </c>
      <c r="B2264" s="98"/>
      <c r="C2264" s="98" t="s">
        <v>255</v>
      </c>
      <c r="D2264" s="98" t="s">
        <v>323</v>
      </c>
      <c r="E2264" s="98" t="s">
        <v>247</v>
      </c>
      <c r="F2264" s="98">
        <v>5933.13</v>
      </c>
    </row>
    <row r="2265" spans="1:6">
      <c r="A2265" s="6">
        <v>44196</v>
      </c>
      <c r="B2265" s="98"/>
      <c r="C2265" s="98" t="s">
        <v>289</v>
      </c>
      <c r="D2265" s="98" t="s">
        <v>323</v>
      </c>
      <c r="E2265" s="98" t="s">
        <v>247</v>
      </c>
      <c r="F2265" s="98">
        <v>2848.5</v>
      </c>
    </row>
    <row r="2266" spans="1:6">
      <c r="A2266" s="6">
        <v>44196</v>
      </c>
      <c r="B2266" s="98"/>
      <c r="C2266" s="98" t="s">
        <v>248</v>
      </c>
      <c r="D2266" s="98" t="s">
        <v>323</v>
      </c>
      <c r="E2266" s="98" t="s">
        <v>247</v>
      </c>
      <c r="F2266" s="98">
        <v>1204.23</v>
      </c>
    </row>
    <row r="2267" spans="1:6">
      <c r="A2267" s="6">
        <v>44196</v>
      </c>
      <c r="B2267" s="98"/>
      <c r="C2267" s="98" t="s">
        <v>265</v>
      </c>
      <c r="D2267" s="98" t="s">
        <v>323</v>
      </c>
      <c r="E2267" s="98" t="s">
        <v>247</v>
      </c>
      <c r="F2267" s="98">
        <v>474.34</v>
      </c>
    </row>
    <row r="2268" spans="1:6">
      <c r="A2268" s="6">
        <v>44196</v>
      </c>
      <c r="B2268" s="98" t="s">
        <v>324</v>
      </c>
      <c r="C2268" s="98" t="s">
        <v>251</v>
      </c>
      <c r="D2268" s="98" t="s">
        <v>325</v>
      </c>
      <c r="E2268" s="98" t="s">
        <v>244</v>
      </c>
      <c r="F2268" s="98">
        <v>332.43</v>
      </c>
    </row>
    <row r="2269" spans="1:6">
      <c r="A2269" s="6">
        <v>44196</v>
      </c>
      <c r="B2269" s="98"/>
      <c r="C2269" s="98" t="s">
        <v>257</v>
      </c>
      <c r="D2269" s="98" t="s">
        <v>325</v>
      </c>
      <c r="E2269" s="98" t="s">
        <v>258</v>
      </c>
      <c r="F2269" s="98">
        <v>64565.17</v>
      </c>
    </row>
    <row r="2270" spans="1:6">
      <c r="A2270" s="6">
        <v>44196</v>
      </c>
      <c r="B2270" s="98"/>
      <c r="C2270" s="98" t="s">
        <v>259</v>
      </c>
      <c r="D2270" s="98" t="s">
        <v>325</v>
      </c>
      <c r="E2270" s="98" t="s">
        <v>258</v>
      </c>
      <c r="F2270" s="98">
        <v>41013.579999999994</v>
      </c>
    </row>
    <row r="2271" spans="1:6">
      <c r="A2271" s="6">
        <v>44196</v>
      </c>
      <c r="B2271" s="98"/>
      <c r="C2271" s="98" t="s">
        <v>260</v>
      </c>
      <c r="D2271" s="98" t="s">
        <v>325</v>
      </c>
      <c r="E2271" s="98" t="s">
        <v>258</v>
      </c>
      <c r="F2271" s="98">
        <v>47994.799999999996</v>
      </c>
    </row>
    <row r="2272" spans="1:6">
      <c r="A2272" s="6">
        <v>44196</v>
      </c>
      <c r="B2272" s="98" t="s">
        <v>326</v>
      </c>
      <c r="C2272" s="98" t="s">
        <v>242</v>
      </c>
      <c r="D2272" s="98" t="s">
        <v>327</v>
      </c>
      <c r="E2272" s="98" t="s">
        <v>244</v>
      </c>
      <c r="F2272" s="98">
        <v>985.53</v>
      </c>
    </row>
    <row r="2273" spans="1:6">
      <c r="A2273" s="6">
        <v>44196</v>
      </c>
      <c r="B2273" s="98"/>
      <c r="C2273" s="98" t="s">
        <v>262</v>
      </c>
      <c r="D2273" s="98" t="s">
        <v>327</v>
      </c>
      <c r="E2273" s="98" t="s">
        <v>244</v>
      </c>
      <c r="F2273" s="98">
        <v>4866.16</v>
      </c>
    </row>
    <row r="2274" spans="1:6">
      <c r="A2274" s="6">
        <v>44196</v>
      </c>
      <c r="B2274" s="98"/>
      <c r="C2274" s="98" t="s">
        <v>245</v>
      </c>
      <c r="D2274" s="98" t="s">
        <v>327</v>
      </c>
      <c r="E2274" s="98" t="s">
        <v>244</v>
      </c>
      <c r="F2274" s="98">
        <v>524.23</v>
      </c>
    </row>
    <row r="2275" spans="1:6">
      <c r="A2275" s="6">
        <v>44196</v>
      </c>
      <c r="B2275" s="98"/>
      <c r="C2275" s="98" t="s">
        <v>264</v>
      </c>
      <c r="D2275" s="98" t="s">
        <v>327</v>
      </c>
      <c r="E2275" s="98" t="s">
        <v>244</v>
      </c>
      <c r="F2275" s="98">
        <v>426.64</v>
      </c>
    </row>
    <row r="2276" spans="1:6">
      <c r="A2276" s="6">
        <v>44196</v>
      </c>
      <c r="B2276" s="98"/>
      <c r="C2276" s="98" t="s">
        <v>271</v>
      </c>
      <c r="D2276" s="98" t="s">
        <v>327</v>
      </c>
      <c r="E2276" s="98" t="s">
        <v>244</v>
      </c>
      <c r="F2276" s="98">
        <v>26.2</v>
      </c>
    </row>
    <row r="2277" spans="1:6">
      <c r="A2277" s="6">
        <v>44196</v>
      </c>
      <c r="B2277" s="98"/>
      <c r="C2277" s="98" t="s">
        <v>278</v>
      </c>
      <c r="D2277" s="98" t="s">
        <v>327</v>
      </c>
      <c r="E2277" s="98" t="s">
        <v>247</v>
      </c>
      <c r="F2277" s="98">
        <v>3273.47</v>
      </c>
    </row>
    <row r="2278" spans="1:6">
      <c r="A2278" s="6">
        <v>44196</v>
      </c>
      <c r="B2278" s="98"/>
      <c r="C2278" s="98" t="s">
        <v>289</v>
      </c>
      <c r="D2278" s="98" t="s">
        <v>327</v>
      </c>
      <c r="E2278" s="98" t="s">
        <v>247</v>
      </c>
      <c r="F2278" s="98">
        <v>2916.74</v>
      </c>
    </row>
    <row r="2279" spans="1:6">
      <c r="A2279" s="6">
        <v>44196</v>
      </c>
      <c r="B2279" s="98"/>
      <c r="C2279" s="98" t="s">
        <v>248</v>
      </c>
      <c r="D2279" s="98" t="s">
        <v>327</v>
      </c>
      <c r="E2279" s="98" t="s">
        <v>247</v>
      </c>
      <c r="F2279" s="98">
        <v>5136.03</v>
      </c>
    </row>
    <row r="2280" spans="1:6">
      <c r="A2280" s="6">
        <v>44196</v>
      </c>
      <c r="B2280" s="98"/>
      <c r="C2280" s="98" t="s">
        <v>368</v>
      </c>
      <c r="D2280" s="98" t="s">
        <v>327</v>
      </c>
      <c r="E2280" s="98" t="s">
        <v>247</v>
      </c>
      <c r="F2280" s="98">
        <v>3557.84</v>
      </c>
    </row>
    <row r="2281" spans="1:6">
      <c r="A2281" s="6">
        <v>44196</v>
      </c>
      <c r="B2281" s="98"/>
      <c r="C2281" s="98" t="s">
        <v>339</v>
      </c>
      <c r="D2281" s="98" t="s">
        <v>327</v>
      </c>
      <c r="E2281" s="98" t="s">
        <v>247</v>
      </c>
      <c r="F2281" s="98">
        <v>398.95</v>
      </c>
    </row>
    <row r="2282" spans="1:6">
      <c r="A2282" s="6">
        <v>44196</v>
      </c>
      <c r="B2282" s="98"/>
      <c r="C2282" s="98" t="s">
        <v>266</v>
      </c>
      <c r="D2282" s="98" t="s">
        <v>327</v>
      </c>
      <c r="E2282" s="98" t="s">
        <v>258</v>
      </c>
      <c r="F2282" s="98">
        <v>33766.759999999995</v>
      </c>
    </row>
    <row r="2283" spans="1:6">
      <c r="A2283" s="6">
        <v>44196</v>
      </c>
      <c r="B2283" s="98"/>
      <c r="C2283" s="98" t="s">
        <v>274</v>
      </c>
      <c r="D2283" s="98" t="s">
        <v>327</v>
      </c>
      <c r="E2283" s="98" t="s">
        <v>247</v>
      </c>
      <c r="F2283" s="98">
        <v>3211.59</v>
      </c>
    </row>
    <row r="2284" spans="1:6">
      <c r="A2284" s="6">
        <v>44196</v>
      </c>
      <c r="B2284" s="98"/>
      <c r="C2284" s="98" t="s">
        <v>369</v>
      </c>
      <c r="D2284" s="98" t="s">
        <v>327</v>
      </c>
      <c r="E2284" s="98" t="s">
        <v>244</v>
      </c>
      <c r="F2284" s="98">
        <v>21.85</v>
      </c>
    </row>
    <row r="2285" spans="1:6">
      <c r="A2285" s="6">
        <v>44196</v>
      </c>
      <c r="B2285" s="98"/>
      <c r="C2285" s="98" t="s">
        <v>466</v>
      </c>
      <c r="D2285" s="98" t="s">
        <v>327</v>
      </c>
      <c r="E2285" s="98" t="s">
        <v>247</v>
      </c>
      <c r="F2285" s="98">
        <v>494.81</v>
      </c>
    </row>
    <row r="2286" spans="1:6">
      <c r="A2286" s="6">
        <v>44196</v>
      </c>
      <c r="B2286" s="98" t="s">
        <v>328</v>
      </c>
      <c r="C2286" s="98" t="s">
        <v>262</v>
      </c>
      <c r="D2286" s="98" t="s">
        <v>329</v>
      </c>
      <c r="E2286" s="98" t="s">
        <v>244</v>
      </c>
      <c r="F2286" s="98">
        <v>116.21</v>
      </c>
    </row>
    <row r="2287" spans="1:6">
      <c r="A2287" s="6">
        <v>44196</v>
      </c>
      <c r="B2287" s="98"/>
      <c r="C2287" s="98" t="s">
        <v>245</v>
      </c>
      <c r="D2287" s="98" t="s">
        <v>329</v>
      </c>
      <c r="E2287" s="98" t="s">
        <v>244</v>
      </c>
      <c r="F2287" s="98">
        <v>135.12</v>
      </c>
    </row>
    <row r="2288" spans="1:6">
      <c r="A2288" s="6">
        <v>44196</v>
      </c>
      <c r="B2288" s="98"/>
      <c r="C2288" s="98" t="s">
        <v>264</v>
      </c>
      <c r="D2288" s="98" t="s">
        <v>329</v>
      </c>
      <c r="E2288" s="98" t="s">
        <v>244</v>
      </c>
      <c r="F2288" s="98">
        <v>251.95</v>
      </c>
    </row>
    <row r="2289" spans="1:6">
      <c r="A2289" s="6">
        <v>44196</v>
      </c>
      <c r="B2289" s="98"/>
      <c r="C2289" s="98" t="s">
        <v>271</v>
      </c>
      <c r="D2289" s="98" t="s">
        <v>329</v>
      </c>
      <c r="E2289" s="98" t="s">
        <v>244</v>
      </c>
      <c r="F2289" s="98">
        <v>7.93</v>
      </c>
    </row>
    <row r="2290" spans="1:6">
      <c r="A2290" s="6">
        <v>44196</v>
      </c>
      <c r="B2290" s="98"/>
      <c r="C2290" s="98" t="s">
        <v>254</v>
      </c>
      <c r="D2290" s="98" t="s">
        <v>329</v>
      </c>
      <c r="E2290" s="98" t="s">
        <v>244</v>
      </c>
      <c r="F2290" s="98">
        <v>378.48</v>
      </c>
    </row>
    <row r="2291" spans="1:6">
      <c r="A2291" s="6">
        <v>44196</v>
      </c>
      <c r="B2291" s="98"/>
      <c r="C2291" s="98" t="s">
        <v>255</v>
      </c>
      <c r="D2291" s="98" t="s">
        <v>329</v>
      </c>
      <c r="E2291" s="98" t="s">
        <v>247</v>
      </c>
      <c r="F2291" s="98">
        <v>7522.6</v>
      </c>
    </row>
    <row r="2292" spans="1:6">
      <c r="A2292" s="6">
        <v>44196</v>
      </c>
      <c r="B2292" s="98"/>
      <c r="C2292" s="98" t="s">
        <v>289</v>
      </c>
      <c r="D2292" s="98" t="s">
        <v>329</v>
      </c>
      <c r="E2292" s="98" t="s">
        <v>247</v>
      </c>
      <c r="F2292" s="98">
        <v>4466.5600000000004</v>
      </c>
    </row>
    <row r="2293" spans="1:6">
      <c r="A2293" s="6">
        <v>44196</v>
      </c>
      <c r="B2293" s="98"/>
      <c r="C2293" s="98" t="s">
        <v>246</v>
      </c>
      <c r="D2293" s="98" t="s">
        <v>329</v>
      </c>
      <c r="E2293" s="98" t="s">
        <v>247</v>
      </c>
      <c r="F2293" s="98">
        <v>13153.8</v>
      </c>
    </row>
    <row r="2294" spans="1:6">
      <c r="A2294" s="6">
        <v>44196</v>
      </c>
      <c r="B2294" s="98"/>
      <c r="C2294" s="98" t="s">
        <v>265</v>
      </c>
      <c r="D2294" s="98" t="s">
        <v>329</v>
      </c>
      <c r="E2294" s="98" t="s">
        <v>247</v>
      </c>
      <c r="F2294" s="98">
        <v>1324.36</v>
      </c>
    </row>
    <row r="2295" spans="1:6">
      <c r="A2295" s="6">
        <v>44196</v>
      </c>
      <c r="B2295" s="98"/>
      <c r="C2295" s="98" t="s">
        <v>249</v>
      </c>
      <c r="D2295" s="98" t="s">
        <v>329</v>
      </c>
      <c r="E2295" s="98" t="s">
        <v>247</v>
      </c>
      <c r="F2295" s="98">
        <v>249.42</v>
      </c>
    </row>
    <row r="2296" spans="1:6">
      <c r="A2296" s="6">
        <v>44196</v>
      </c>
      <c r="B2296" s="98"/>
      <c r="C2296" s="98" t="s">
        <v>274</v>
      </c>
      <c r="D2296" s="98" t="s">
        <v>329</v>
      </c>
      <c r="E2296" s="98" t="s">
        <v>247</v>
      </c>
      <c r="F2296" s="98">
        <v>12964.22</v>
      </c>
    </row>
    <row r="2297" spans="1:6">
      <c r="A2297" s="6">
        <v>44196</v>
      </c>
      <c r="B2297" s="98" t="s">
        <v>330</v>
      </c>
      <c r="C2297" s="98" t="s">
        <v>262</v>
      </c>
      <c r="D2297" s="98" t="s">
        <v>331</v>
      </c>
      <c r="E2297" s="98" t="s">
        <v>244</v>
      </c>
      <c r="F2297" s="98">
        <v>75.040000000000006</v>
      </c>
    </row>
    <row r="2298" spans="1:6">
      <c r="A2298" s="6">
        <v>44196</v>
      </c>
      <c r="B2298" s="98"/>
      <c r="C2298" s="98" t="s">
        <v>253</v>
      </c>
      <c r="D2298" s="98" t="s">
        <v>331</v>
      </c>
      <c r="E2298" s="98" t="s">
        <v>244</v>
      </c>
      <c r="F2298" s="98">
        <v>115.69</v>
      </c>
    </row>
    <row r="2299" spans="1:6">
      <c r="A2299" s="6">
        <v>44196</v>
      </c>
      <c r="B2299" s="98"/>
      <c r="C2299" s="98" t="s">
        <v>245</v>
      </c>
      <c r="D2299" s="98" t="s">
        <v>331</v>
      </c>
      <c r="E2299" s="98" t="s">
        <v>244</v>
      </c>
      <c r="F2299" s="98">
        <v>35.159999999999997</v>
      </c>
    </row>
    <row r="2300" spans="1:6">
      <c r="A2300" s="6">
        <v>44196</v>
      </c>
      <c r="B2300" s="98" t="s">
        <v>332</v>
      </c>
      <c r="C2300" s="98" t="s">
        <v>242</v>
      </c>
      <c r="D2300" s="98" t="s">
        <v>333</v>
      </c>
      <c r="E2300" s="98" t="s">
        <v>244</v>
      </c>
      <c r="F2300" s="98">
        <v>745.15</v>
      </c>
    </row>
    <row r="2301" spans="1:6">
      <c r="A2301" s="6">
        <v>44196</v>
      </c>
      <c r="B2301" s="98"/>
      <c r="C2301" s="98" t="s">
        <v>254</v>
      </c>
      <c r="D2301" s="98" t="s">
        <v>333</v>
      </c>
      <c r="E2301" s="98" t="s">
        <v>244</v>
      </c>
      <c r="F2301" s="98">
        <v>228.69</v>
      </c>
    </row>
    <row r="2302" spans="1:6">
      <c r="A2302" s="6">
        <v>44196</v>
      </c>
      <c r="B2302" s="98"/>
      <c r="C2302" s="98" t="s">
        <v>277</v>
      </c>
      <c r="D2302" s="98" t="s">
        <v>333</v>
      </c>
      <c r="E2302" s="98" t="s">
        <v>247</v>
      </c>
      <c r="F2302" s="98">
        <v>218.93</v>
      </c>
    </row>
    <row r="2303" spans="1:6">
      <c r="A2303" s="6">
        <v>44196</v>
      </c>
      <c r="B2303" s="98"/>
      <c r="C2303" s="98" t="s">
        <v>246</v>
      </c>
      <c r="D2303" s="98" t="s">
        <v>333</v>
      </c>
      <c r="E2303" s="98" t="s">
        <v>247</v>
      </c>
      <c r="F2303" s="98">
        <v>2409.29</v>
      </c>
    </row>
    <row r="2304" spans="1:6">
      <c r="A2304" s="6">
        <v>44196</v>
      </c>
      <c r="B2304" s="98"/>
      <c r="C2304" s="98" t="s">
        <v>248</v>
      </c>
      <c r="D2304" s="98" t="s">
        <v>333</v>
      </c>
      <c r="E2304" s="98" t="s">
        <v>247</v>
      </c>
      <c r="F2304" s="98">
        <v>3713.09</v>
      </c>
    </row>
    <row r="2305" spans="1:6">
      <c r="A2305" s="6">
        <v>44196</v>
      </c>
      <c r="B2305" s="98"/>
      <c r="C2305" s="98" t="s">
        <v>249</v>
      </c>
      <c r="D2305" s="98" t="s">
        <v>333</v>
      </c>
      <c r="E2305" s="98" t="s">
        <v>247</v>
      </c>
      <c r="F2305" s="98">
        <v>2304.94</v>
      </c>
    </row>
    <row r="2306" spans="1:6">
      <c r="A2306" s="6">
        <v>44196</v>
      </c>
      <c r="B2306" s="98"/>
      <c r="C2306" s="98" t="s">
        <v>274</v>
      </c>
      <c r="D2306" s="98" t="s">
        <v>333</v>
      </c>
      <c r="E2306" s="98" t="s">
        <v>247</v>
      </c>
      <c r="F2306" s="98">
        <v>14335.33</v>
      </c>
    </row>
    <row r="2307" spans="1:6">
      <c r="A2307" s="6">
        <v>44196</v>
      </c>
      <c r="B2307" s="98" t="s">
        <v>334</v>
      </c>
      <c r="C2307" s="98" t="s">
        <v>242</v>
      </c>
      <c r="D2307" s="98" t="s">
        <v>335</v>
      </c>
      <c r="E2307" s="98" t="s">
        <v>244</v>
      </c>
      <c r="F2307" s="98">
        <v>1500.52</v>
      </c>
    </row>
    <row r="2308" spans="1:6">
      <c r="A2308" s="6">
        <v>44196</v>
      </c>
      <c r="B2308" s="98"/>
      <c r="C2308" s="98" t="s">
        <v>262</v>
      </c>
      <c r="D2308" s="98" t="s">
        <v>335</v>
      </c>
      <c r="E2308" s="98" t="s">
        <v>244</v>
      </c>
      <c r="F2308" s="98">
        <v>1205.6400000000001</v>
      </c>
    </row>
    <row r="2309" spans="1:6">
      <c r="A2309" s="6">
        <v>44196</v>
      </c>
      <c r="B2309" s="98"/>
      <c r="C2309" s="98" t="s">
        <v>251</v>
      </c>
      <c r="D2309" s="98" t="s">
        <v>335</v>
      </c>
      <c r="E2309" s="98" t="s">
        <v>244</v>
      </c>
      <c r="F2309" s="98">
        <v>33.57</v>
      </c>
    </row>
    <row r="2310" spans="1:6">
      <c r="A2310" s="6">
        <v>44196</v>
      </c>
      <c r="B2310" s="98"/>
      <c r="C2310" s="98" t="s">
        <v>253</v>
      </c>
      <c r="D2310" s="98" t="s">
        <v>335</v>
      </c>
      <c r="E2310" s="98" t="s">
        <v>244</v>
      </c>
      <c r="F2310" s="98">
        <v>88.57</v>
      </c>
    </row>
    <row r="2311" spans="1:6">
      <c r="A2311" s="6">
        <v>44196</v>
      </c>
      <c r="B2311" s="98"/>
      <c r="C2311" s="98" t="s">
        <v>245</v>
      </c>
      <c r="D2311" s="98" t="s">
        <v>335</v>
      </c>
      <c r="E2311" s="98" t="s">
        <v>244</v>
      </c>
      <c r="F2311" s="98">
        <v>210.54</v>
      </c>
    </row>
    <row r="2312" spans="1:6">
      <c r="A2312" s="6">
        <v>44196</v>
      </c>
      <c r="B2312" s="98"/>
      <c r="C2312" s="98" t="s">
        <v>254</v>
      </c>
      <c r="D2312" s="98" t="s">
        <v>335</v>
      </c>
      <c r="E2312" s="98" t="s">
        <v>244</v>
      </c>
      <c r="F2312" s="98">
        <v>79.47</v>
      </c>
    </row>
    <row r="2313" spans="1:6">
      <c r="A2313" s="6">
        <v>44196</v>
      </c>
      <c r="B2313" s="98"/>
      <c r="C2313" s="98" t="s">
        <v>255</v>
      </c>
      <c r="D2313" s="98" t="s">
        <v>335</v>
      </c>
      <c r="E2313" s="98" t="s">
        <v>247</v>
      </c>
      <c r="F2313" s="98">
        <v>19960.939999999999</v>
      </c>
    </row>
    <row r="2314" spans="1:6">
      <c r="A2314" s="6">
        <v>44196</v>
      </c>
      <c r="B2314" s="98"/>
      <c r="C2314" s="98" t="s">
        <v>289</v>
      </c>
      <c r="D2314" s="98" t="s">
        <v>335</v>
      </c>
      <c r="E2314" s="98" t="s">
        <v>247</v>
      </c>
      <c r="F2314" s="98">
        <v>32113.02</v>
      </c>
    </row>
    <row r="2315" spans="1:6">
      <c r="A2315" s="6">
        <v>44196</v>
      </c>
      <c r="B2315" s="98"/>
      <c r="C2315" s="98" t="s">
        <v>248</v>
      </c>
      <c r="D2315" s="98" t="s">
        <v>335</v>
      </c>
      <c r="E2315" s="98" t="s">
        <v>247</v>
      </c>
      <c r="F2315" s="98">
        <v>5090.46</v>
      </c>
    </row>
    <row r="2316" spans="1:6">
      <c r="A2316" s="6">
        <v>44196</v>
      </c>
      <c r="B2316" s="98"/>
      <c r="C2316" s="98" t="s">
        <v>265</v>
      </c>
      <c r="D2316" s="98" t="s">
        <v>335</v>
      </c>
      <c r="E2316" s="98" t="s">
        <v>247</v>
      </c>
      <c r="F2316" s="98">
        <v>69.989999999999995</v>
      </c>
    </row>
    <row r="2317" spans="1:6">
      <c r="A2317" s="6">
        <v>44196</v>
      </c>
      <c r="B2317" s="98"/>
      <c r="C2317" s="98" t="s">
        <v>260</v>
      </c>
      <c r="D2317" s="98" t="s">
        <v>335</v>
      </c>
      <c r="E2317" s="98" t="s">
        <v>258</v>
      </c>
      <c r="F2317" s="98">
        <v>13333.81</v>
      </c>
    </row>
    <row r="2318" spans="1:6">
      <c r="A2318" s="6">
        <v>44196</v>
      </c>
      <c r="B2318" s="98" t="s">
        <v>336</v>
      </c>
      <c r="C2318" s="98" t="s">
        <v>242</v>
      </c>
      <c r="D2318" s="98" t="s">
        <v>337</v>
      </c>
      <c r="E2318" s="98" t="s">
        <v>244</v>
      </c>
      <c r="F2318" s="98">
        <v>23.32</v>
      </c>
    </row>
    <row r="2319" spans="1:6">
      <c r="A2319" s="6">
        <v>44196</v>
      </c>
      <c r="B2319" s="98"/>
      <c r="C2319" s="98" t="s">
        <v>253</v>
      </c>
      <c r="D2319" s="98" t="s">
        <v>337</v>
      </c>
      <c r="E2319" s="98" t="s">
        <v>244</v>
      </c>
      <c r="F2319" s="98">
        <v>39.909999999999997</v>
      </c>
    </row>
    <row r="2320" spans="1:6">
      <c r="A2320" s="6">
        <v>44196</v>
      </c>
      <c r="B2320" s="98"/>
      <c r="C2320" s="98" t="s">
        <v>245</v>
      </c>
      <c r="D2320" s="98" t="s">
        <v>337</v>
      </c>
      <c r="E2320" s="98" t="s">
        <v>244</v>
      </c>
      <c r="F2320" s="98">
        <v>243.33</v>
      </c>
    </row>
    <row r="2321" spans="1:6">
      <c r="A2321" s="6">
        <v>44196</v>
      </c>
      <c r="B2321" s="98"/>
      <c r="C2321" s="98" t="s">
        <v>255</v>
      </c>
      <c r="D2321" s="98" t="s">
        <v>337</v>
      </c>
      <c r="E2321" s="98" t="s">
        <v>247</v>
      </c>
      <c r="F2321" s="98">
        <v>5193.41</v>
      </c>
    </row>
    <row r="2322" spans="1:6">
      <c r="A2322" s="6">
        <v>44196</v>
      </c>
      <c r="B2322" s="98"/>
      <c r="C2322" s="98" t="s">
        <v>289</v>
      </c>
      <c r="D2322" s="98" t="s">
        <v>337</v>
      </c>
      <c r="E2322" s="98" t="s">
        <v>247</v>
      </c>
      <c r="F2322" s="98">
        <v>7078.84</v>
      </c>
    </row>
    <row r="2323" spans="1:6">
      <c r="A2323" s="6">
        <v>44196</v>
      </c>
      <c r="B2323" s="98"/>
      <c r="C2323" s="98" t="s">
        <v>248</v>
      </c>
      <c r="D2323" s="98" t="s">
        <v>337</v>
      </c>
      <c r="E2323" s="98" t="s">
        <v>247</v>
      </c>
      <c r="F2323" s="98">
        <v>1174.5899999999999</v>
      </c>
    </row>
    <row r="2324" spans="1:6">
      <c r="A2324" s="6">
        <v>44196</v>
      </c>
      <c r="B2324" s="98"/>
      <c r="C2324" s="98" t="s">
        <v>290</v>
      </c>
      <c r="D2324" s="98" t="s">
        <v>337</v>
      </c>
      <c r="E2324" s="98" t="s">
        <v>247</v>
      </c>
      <c r="F2324" s="98">
        <v>141.07</v>
      </c>
    </row>
    <row r="2325" spans="1:6">
      <c r="A2325" s="6">
        <v>44196</v>
      </c>
      <c r="B2325" s="98"/>
      <c r="C2325" s="98" t="s">
        <v>256</v>
      </c>
      <c r="D2325" s="98" t="s">
        <v>337</v>
      </c>
      <c r="E2325" s="98" t="s">
        <v>247</v>
      </c>
      <c r="F2325" s="98">
        <v>6597.19</v>
      </c>
    </row>
    <row r="2326" spans="1:6">
      <c r="A2326" s="6">
        <v>44196</v>
      </c>
      <c r="B2326" s="98"/>
      <c r="C2326" s="98" t="s">
        <v>339</v>
      </c>
      <c r="D2326" s="98" t="s">
        <v>337</v>
      </c>
      <c r="E2326" s="98" t="s">
        <v>247</v>
      </c>
      <c r="F2326" s="98">
        <v>74.42</v>
      </c>
    </row>
    <row r="2327" spans="1:6">
      <c r="A2327" s="6">
        <v>44196</v>
      </c>
      <c r="B2327" s="98"/>
      <c r="C2327" s="98" t="s">
        <v>265</v>
      </c>
      <c r="D2327" s="98" t="s">
        <v>337</v>
      </c>
      <c r="E2327" s="98" t="s">
        <v>247</v>
      </c>
      <c r="F2327" s="98">
        <v>463.11</v>
      </c>
    </row>
    <row r="2328" spans="1:6">
      <c r="A2328" s="6">
        <v>44196</v>
      </c>
      <c r="B2328" s="98" t="s">
        <v>342</v>
      </c>
      <c r="C2328" s="98" t="s">
        <v>254</v>
      </c>
      <c r="D2328" s="98" t="s">
        <v>343</v>
      </c>
      <c r="E2328" s="98" t="s">
        <v>244</v>
      </c>
      <c r="F2328" s="98">
        <v>417.63</v>
      </c>
    </row>
    <row r="2329" spans="1:6">
      <c r="A2329" s="6">
        <v>44196</v>
      </c>
      <c r="B2329" s="98"/>
      <c r="C2329" s="98" t="s">
        <v>274</v>
      </c>
      <c r="D2329" s="98" t="s">
        <v>343</v>
      </c>
      <c r="E2329" s="98" t="s">
        <v>247</v>
      </c>
      <c r="F2329" s="98">
        <v>3409.18</v>
      </c>
    </row>
    <row r="2330" spans="1:6">
      <c r="A2330" s="6">
        <v>44196</v>
      </c>
      <c r="B2330" s="98" t="s">
        <v>344</v>
      </c>
      <c r="C2330" s="98" t="s">
        <v>262</v>
      </c>
      <c r="D2330" s="98" t="s">
        <v>345</v>
      </c>
      <c r="E2330" s="98" t="s">
        <v>244</v>
      </c>
      <c r="F2330" s="98">
        <v>223.37</v>
      </c>
    </row>
    <row r="2331" spans="1:6">
      <c r="A2331" s="6">
        <v>44196</v>
      </c>
      <c r="B2331" s="98"/>
      <c r="C2331" s="98" t="s">
        <v>245</v>
      </c>
      <c r="D2331" s="98" t="s">
        <v>345</v>
      </c>
      <c r="E2331" s="98" t="s">
        <v>244</v>
      </c>
      <c r="F2331" s="98">
        <v>76.569999999999993</v>
      </c>
    </row>
    <row r="2332" spans="1:6">
      <c r="A2332" s="6">
        <v>44196</v>
      </c>
      <c r="B2332" s="98" t="s">
        <v>346</v>
      </c>
      <c r="C2332" s="98" t="s">
        <v>245</v>
      </c>
      <c r="D2332" s="98" t="s">
        <v>347</v>
      </c>
      <c r="E2332" s="98" t="s">
        <v>244</v>
      </c>
      <c r="F2332" s="98">
        <v>11.68</v>
      </c>
    </row>
    <row r="2333" spans="1:6">
      <c r="A2333" s="6">
        <v>44196</v>
      </c>
      <c r="B2333" s="98" t="s">
        <v>348</v>
      </c>
      <c r="C2333" s="98" t="s">
        <v>242</v>
      </c>
      <c r="D2333" s="98" t="s">
        <v>349</v>
      </c>
      <c r="E2333" s="98" t="s">
        <v>244</v>
      </c>
      <c r="F2333" s="98">
        <v>110.51</v>
      </c>
    </row>
    <row r="2334" spans="1:6">
      <c r="A2334" s="6">
        <v>44196</v>
      </c>
      <c r="B2334" s="98"/>
      <c r="C2334" s="98" t="s">
        <v>262</v>
      </c>
      <c r="D2334" s="98" t="s">
        <v>349</v>
      </c>
      <c r="E2334" s="98" t="s">
        <v>244</v>
      </c>
      <c r="F2334" s="98">
        <v>73.05</v>
      </c>
    </row>
    <row r="2335" spans="1:6">
      <c r="A2335" s="6">
        <v>44196</v>
      </c>
      <c r="B2335" s="98"/>
      <c r="C2335" s="98" t="s">
        <v>264</v>
      </c>
      <c r="D2335" s="98" t="s">
        <v>349</v>
      </c>
      <c r="E2335" s="98" t="s">
        <v>244</v>
      </c>
      <c r="F2335" s="98">
        <v>49.39</v>
      </c>
    </row>
    <row r="2336" spans="1:6">
      <c r="A2336" s="6">
        <v>44196</v>
      </c>
      <c r="B2336" s="98" t="s">
        <v>350</v>
      </c>
      <c r="C2336" s="98" t="s">
        <v>242</v>
      </c>
      <c r="D2336" s="98" t="s">
        <v>351</v>
      </c>
      <c r="E2336" s="98" t="s">
        <v>244</v>
      </c>
      <c r="F2336" s="98">
        <v>96.25</v>
      </c>
    </row>
    <row r="2337" spans="1:6">
      <c r="A2337" s="6">
        <v>44196</v>
      </c>
      <c r="B2337" s="98"/>
      <c r="C2337" s="98" t="s">
        <v>245</v>
      </c>
      <c r="D2337" s="98" t="s">
        <v>351</v>
      </c>
      <c r="E2337" s="98" t="s">
        <v>244</v>
      </c>
      <c r="F2337" s="98">
        <v>134.4</v>
      </c>
    </row>
    <row r="2338" spans="1:6">
      <c r="A2338" s="6">
        <v>44196</v>
      </c>
      <c r="B2338" s="98"/>
      <c r="C2338" s="98" t="s">
        <v>291</v>
      </c>
      <c r="D2338" s="98" t="s">
        <v>351</v>
      </c>
      <c r="E2338" s="98" t="s">
        <v>247</v>
      </c>
      <c r="F2338" s="98">
        <v>236.66</v>
      </c>
    </row>
    <row r="2339" spans="1:6">
      <c r="A2339" s="6">
        <v>44196</v>
      </c>
      <c r="B2339" s="98" t="s">
        <v>352</v>
      </c>
      <c r="C2339" s="98" t="s">
        <v>245</v>
      </c>
      <c r="D2339" s="98" t="s">
        <v>353</v>
      </c>
      <c r="E2339" s="98" t="s">
        <v>244</v>
      </c>
      <c r="F2339" s="98">
        <v>0.05</v>
      </c>
    </row>
    <row r="2340" spans="1:6">
      <c r="A2340" s="6">
        <v>44196</v>
      </c>
      <c r="B2340" s="98" t="s">
        <v>354</v>
      </c>
      <c r="C2340" s="98" t="s">
        <v>280</v>
      </c>
      <c r="D2340" s="98" t="s">
        <v>356</v>
      </c>
      <c r="E2340" s="98" t="s">
        <v>247</v>
      </c>
      <c r="F2340" s="98">
        <v>1707.5</v>
      </c>
    </row>
    <row r="2341" spans="1:6">
      <c r="A2341" s="6">
        <v>44196</v>
      </c>
      <c r="B2341" s="98"/>
      <c r="C2341" s="98" t="s">
        <v>355</v>
      </c>
      <c r="D2341" s="98" t="s">
        <v>356</v>
      </c>
      <c r="E2341" s="98" t="s">
        <v>247</v>
      </c>
      <c r="F2341" s="98">
        <v>933.81</v>
      </c>
    </row>
    <row r="2342" spans="1:6">
      <c r="A2342" s="6">
        <v>44196</v>
      </c>
      <c r="B2342" s="98" t="s">
        <v>357</v>
      </c>
      <c r="C2342" s="98" t="s">
        <v>248</v>
      </c>
      <c r="D2342" s="98" t="s">
        <v>358</v>
      </c>
      <c r="E2342" s="98" t="s">
        <v>247</v>
      </c>
      <c r="F2342" s="98">
        <v>22336.09</v>
      </c>
    </row>
    <row r="2343" spans="1:6">
      <c r="A2343" s="6">
        <v>44196</v>
      </c>
      <c r="B2343" s="98"/>
      <c r="C2343" s="98" t="s">
        <v>290</v>
      </c>
      <c r="D2343" s="98" t="s">
        <v>358</v>
      </c>
      <c r="E2343" s="98" t="s">
        <v>247</v>
      </c>
      <c r="F2343" s="98">
        <v>5410.45</v>
      </c>
    </row>
    <row r="2344" spans="1:6">
      <c r="A2344" s="6">
        <v>44196</v>
      </c>
      <c r="B2344" s="98" t="s">
        <v>359</v>
      </c>
      <c r="C2344" s="98" t="s">
        <v>242</v>
      </c>
      <c r="D2344" s="98" t="s">
        <v>360</v>
      </c>
      <c r="E2344" s="98" t="s">
        <v>244</v>
      </c>
      <c r="F2344" s="98">
        <v>46.61</v>
      </c>
    </row>
    <row r="2345" spans="1:6">
      <c r="A2345" s="6">
        <v>44196</v>
      </c>
      <c r="B2345" s="98"/>
      <c r="C2345" s="98" t="s">
        <v>262</v>
      </c>
      <c r="D2345" s="98" t="s">
        <v>360</v>
      </c>
      <c r="E2345" s="98" t="s">
        <v>244</v>
      </c>
      <c r="F2345" s="98">
        <v>664.67</v>
      </c>
    </row>
    <row r="2346" spans="1:6">
      <c r="A2346" s="6">
        <v>44196</v>
      </c>
      <c r="B2346" s="98"/>
      <c r="C2346" s="98" t="s">
        <v>251</v>
      </c>
      <c r="D2346" s="98" t="s">
        <v>360</v>
      </c>
      <c r="E2346" s="98" t="s">
        <v>244</v>
      </c>
      <c r="F2346" s="98">
        <v>18.97</v>
      </c>
    </row>
    <row r="2347" spans="1:6">
      <c r="A2347" s="6">
        <v>44196</v>
      </c>
      <c r="B2347" s="98"/>
      <c r="C2347" s="98" t="s">
        <v>245</v>
      </c>
      <c r="D2347" s="98" t="s">
        <v>360</v>
      </c>
      <c r="E2347" s="98" t="s">
        <v>244</v>
      </c>
      <c r="F2347" s="98">
        <v>475.8</v>
      </c>
    </row>
    <row r="2348" spans="1:6">
      <c r="A2348" s="6">
        <v>44196</v>
      </c>
      <c r="B2348" s="98"/>
      <c r="C2348" s="98" t="s">
        <v>264</v>
      </c>
      <c r="D2348" s="98" t="s">
        <v>360</v>
      </c>
      <c r="E2348" s="98" t="s">
        <v>244</v>
      </c>
      <c r="F2348" s="98">
        <v>56.94</v>
      </c>
    </row>
    <row r="2349" spans="1:6">
      <c r="A2349" s="6">
        <v>44196</v>
      </c>
      <c r="B2349" s="98"/>
      <c r="C2349" s="98" t="s">
        <v>289</v>
      </c>
      <c r="D2349" s="98" t="s">
        <v>360</v>
      </c>
      <c r="E2349" s="98" t="s">
        <v>247</v>
      </c>
      <c r="F2349" s="98">
        <v>1268.17</v>
      </c>
    </row>
    <row r="2350" spans="1:6">
      <c r="A2350" s="6">
        <v>44196</v>
      </c>
      <c r="B2350" s="98"/>
      <c r="C2350" s="98" t="s">
        <v>266</v>
      </c>
      <c r="D2350" s="98" t="s">
        <v>360</v>
      </c>
      <c r="E2350" s="98" t="s">
        <v>258</v>
      </c>
      <c r="F2350" s="98">
        <v>3675.47</v>
      </c>
    </row>
    <row r="2351" spans="1:6">
      <c r="A2351" s="6">
        <v>44196</v>
      </c>
      <c r="B2351" s="98" t="s">
        <v>361</v>
      </c>
      <c r="C2351" s="98" t="s">
        <v>264</v>
      </c>
      <c r="D2351" s="98" t="s">
        <v>362</v>
      </c>
      <c r="E2351" s="98" t="s">
        <v>244</v>
      </c>
      <c r="F2351" s="98">
        <v>93.12</v>
      </c>
    </row>
    <row r="2352" spans="1:6">
      <c r="A2352" s="6">
        <v>44196</v>
      </c>
      <c r="B2352" s="98"/>
      <c r="C2352" s="98" t="s">
        <v>248</v>
      </c>
      <c r="D2352" s="98" t="s">
        <v>362</v>
      </c>
      <c r="E2352" s="98" t="s">
        <v>247</v>
      </c>
      <c r="F2352" s="98">
        <v>9354.68</v>
      </c>
    </row>
    <row r="2353" spans="1:6">
      <c r="A2353" s="6">
        <v>44196</v>
      </c>
      <c r="B2353" s="98"/>
      <c r="C2353" s="98" t="s">
        <v>290</v>
      </c>
      <c r="D2353" s="98" t="s">
        <v>362</v>
      </c>
      <c r="E2353" s="98" t="s">
        <v>247</v>
      </c>
      <c r="F2353" s="98">
        <v>2910.29</v>
      </c>
    </row>
    <row r="2354" spans="1:6">
      <c r="A2354" s="6">
        <v>44196</v>
      </c>
      <c r="B2354" s="98"/>
      <c r="C2354" s="98" t="s">
        <v>363</v>
      </c>
      <c r="D2354" s="98" t="s">
        <v>362</v>
      </c>
      <c r="E2354" s="98" t="s">
        <v>247</v>
      </c>
      <c r="F2354" s="98">
        <v>5820.58</v>
      </c>
    </row>
    <row r="2355" spans="1:6">
      <c r="A2355" s="6">
        <v>44196</v>
      </c>
      <c r="B2355" s="98"/>
      <c r="C2355" s="98" t="s">
        <v>364</v>
      </c>
      <c r="D2355" s="98" t="s">
        <v>362</v>
      </c>
      <c r="E2355" s="98" t="s">
        <v>247</v>
      </c>
      <c r="F2355" s="98">
        <v>2910.29</v>
      </c>
    </row>
    <row r="2356" spans="1:6">
      <c r="A2356" s="6">
        <v>44196</v>
      </c>
      <c r="B2356" s="98"/>
      <c r="C2356" s="98" t="s">
        <v>365</v>
      </c>
      <c r="D2356" s="98" t="s">
        <v>362</v>
      </c>
      <c r="E2356" s="98" t="s">
        <v>247</v>
      </c>
      <c r="F2356" s="98">
        <v>2910.29</v>
      </c>
    </row>
    <row r="2357" spans="1:6">
      <c r="A2357" s="6">
        <v>44196</v>
      </c>
      <c r="B2357" s="98"/>
      <c r="C2357" s="98" t="s">
        <v>501</v>
      </c>
      <c r="D2357" s="98" t="s">
        <v>362</v>
      </c>
      <c r="E2357" s="98" t="s">
        <v>247</v>
      </c>
      <c r="F2357" s="98">
        <v>4116.29</v>
      </c>
    </row>
    <row r="2358" spans="1:6">
      <c r="A2358" s="6">
        <v>44196</v>
      </c>
      <c r="B2358" s="98" t="s">
        <v>366</v>
      </c>
      <c r="C2358" s="98" t="s">
        <v>251</v>
      </c>
      <c r="D2358" s="98" t="s">
        <v>367</v>
      </c>
      <c r="E2358" s="98" t="s">
        <v>244</v>
      </c>
      <c r="F2358" s="98">
        <v>89.81</v>
      </c>
    </row>
    <row r="2359" spans="1:6">
      <c r="A2359" s="6">
        <v>44196</v>
      </c>
      <c r="B2359" s="98"/>
      <c r="C2359" s="98" t="s">
        <v>253</v>
      </c>
      <c r="D2359" s="98" t="s">
        <v>367</v>
      </c>
      <c r="E2359" s="98" t="s">
        <v>244</v>
      </c>
      <c r="F2359" s="98">
        <v>10.62</v>
      </c>
    </row>
    <row r="2360" spans="1:6">
      <c r="A2360" s="6">
        <v>44196</v>
      </c>
      <c r="B2360" s="98"/>
      <c r="C2360" s="98" t="s">
        <v>368</v>
      </c>
      <c r="D2360" s="98" t="s">
        <v>367</v>
      </c>
      <c r="E2360" s="98" t="s">
        <v>247</v>
      </c>
      <c r="F2360" s="98">
        <v>902.18</v>
      </c>
    </row>
    <row r="2361" spans="1:6">
      <c r="A2361" s="6">
        <v>44196</v>
      </c>
      <c r="B2361" s="98"/>
      <c r="C2361" s="98" t="s">
        <v>257</v>
      </c>
      <c r="D2361" s="98" t="s">
        <v>367</v>
      </c>
      <c r="E2361" s="98" t="s">
        <v>258</v>
      </c>
      <c r="F2361" s="98">
        <v>24026.730000000003</v>
      </c>
    </row>
    <row r="2362" spans="1:6">
      <c r="A2362" s="6">
        <v>44196</v>
      </c>
      <c r="B2362" s="98"/>
      <c r="C2362" s="98" t="s">
        <v>259</v>
      </c>
      <c r="D2362" s="98" t="s">
        <v>367</v>
      </c>
      <c r="E2362" s="98" t="s">
        <v>258</v>
      </c>
      <c r="F2362" s="98">
        <v>17633.63</v>
      </c>
    </row>
    <row r="2363" spans="1:6">
      <c r="A2363" s="6">
        <v>44196</v>
      </c>
      <c r="B2363" s="98"/>
      <c r="C2363" s="98" t="s">
        <v>260</v>
      </c>
      <c r="D2363" s="98" t="s">
        <v>367</v>
      </c>
      <c r="E2363" s="98" t="s">
        <v>258</v>
      </c>
      <c r="F2363" s="98">
        <v>923.34</v>
      </c>
    </row>
    <row r="2364" spans="1:6">
      <c r="A2364" s="6">
        <v>44196</v>
      </c>
      <c r="B2364" s="98"/>
      <c r="C2364" s="98" t="s">
        <v>369</v>
      </c>
      <c r="D2364" s="98" t="s">
        <v>367</v>
      </c>
      <c r="E2364" s="98" t="s">
        <v>244</v>
      </c>
      <c r="F2364" s="98">
        <v>23.13</v>
      </c>
    </row>
    <row r="2365" spans="1:6">
      <c r="A2365" s="6">
        <v>44196</v>
      </c>
      <c r="B2365" s="98" t="s">
        <v>370</v>
      </c>
      <c r="C2365" s="98" t="s">
        <v>242</v>
      </c>
      <c r="D2365" s="98" t="s">
        <v>371</v>
      </c>
      <c r="E2365" s="98" t="s">
        <v>244</v>
      </c>
      <c r="F2365" s="98">
        <v>208.04</v>
      </c>
    </row>
    <row r="2366" spans="1:6">
      <c r="A2366" s="6">
        <v>44196</v>
      </c>
      <c r="B2366" s="98"/>
      <c r="C2366" s="98" t="s">
        <v>253</v>
      </c>
      <c r="D2366" s="98" t="s">
        <v>371</v>
      </c>
      <c r="E2366" s="98" t="s">
        <v>244</v>
      </c>
      <c r="F2366" s="98">
        <v>18.04</v>
      </c>
    </row>
    <row r="2367" spans="1:6">
      <c r="A2367" s="6">
        <v>44196</v>
      </c>
      <c r="B2367" s="98"/>
      <c r="C2367" s="98" t="s">
        <v>254</v>
      </c>
      <c r="D2367" s="98" t="s">
        <v>371</v>
      </c>
      <c r="E2367" s="98" t="s">
        <v>244</v>
      </c>
      <c r="F2367" s="98">
        <v>1335.49</v>
      </c>
    </row>
    <row r="2368" spans="1:6">
      <c r="A2368" s="6">
        <v>44196</v>
      </c>
      <c r="B2368" s="98" t="s">
        <v>372</v>
      </c>
      <c r="C2368" s="98" t="s">
        <v>242</v>
      </c>
      <c r="D2368" s="98" t="s">
        <v>373</v>
      </c>
      <c r="E2368" s="98" t="s">
        <v>244</v>
      </c>
      <c r="F2368" s="98">
        <v>679.92</v>
      </c>
    </row>
    <row r="2369" spans="1:6">
      <c r="A2369" s="6">
        <v>44196</v>
      </c>
      <c r="B2369" s="98"/>
      <c r="C2369" s="98" t="s">
        <v>277</v>
      </c>
      <c r="D2369" s="98" t="s">
        <v>373</v>
      </c>
      <c r="E2369" s="98" t="s">
        <v>247</v>
      </c>
      <c r="F2369" s="98">
        <v>1402.22</v>
      </c>
    </row>
    <row r="2370" spans="1:6">
      <c r="A2370" s="6">
        <v>44196</v>
      </c>
      <c r="B2370" s="98"/>
      <c r="C2370" s="98" t="s">
        <v>289</v>
      </c>
      <c r="D2370" s="98" t="s">
        <v>373</v>
      </c>
      <c r="E2370" s="98" t="s">
        <v>247</v>
      </c>
      <c r="F2370" s="98">
        <v>2745</v>
      </c>
    </row>
    <row r="2371" spans="1:6">
      <c r="A2371" s="6">
        <v>44196</v>
      </c>
      <c r="B2371" s="98" t="s">
        <v>374</v>
      </c>
      <c r="C2371" s="98" t="s">
        <v>242</v>
      </c>
      <c r="D2371" s="98" t="s">
        <v>375</v>
      </c>
      <c r="E2371" s="98" t="s">
        <v>244</v>
      </c>
      <c r="F2371" s="98">
        <v>136.18</v>
      </c>
    </row>
    <row r="2372" spans="1:6">
      <c r="A2372" s="6">
        <v>44196</v>
      </c>
      <c r="B2372" s="98"/>
      <c r="C2372" s="98" t="s">
        <v>251</v>
      </c>
      <c r="D2372" s="98" t="s">
        <v>375</v>
      </c>
      <c r="E2372" s="98" t="s">
        <v>244</v>
      </c>
      <c r="F2372" s="98">
        <v>76.88</v>
      </c>
    </row>
    <row r="2373" spans="1:6">
      <c r="A2373" s="6">
        <v>44196</v>
      </c>
      <c r="B2373" s="98"/>
      <c r="C2373" s="98" t="s">
        <v>245</v>
      </c>
      <c r="D2373" s="98" t="s">
        <v>375</v>
      </c>
      <c r="E2373" s="98" t="s">
        <v>244</v>
      </c>
      <c r="F2373" s="98">
        <v>1100.71</v>
      </c>
    </row>
    <row r="2374" spans="1:6">
      <c r="A2374" s="6">
        <v>44196</v>
      </c>
      <c r="B2374" s="98"/>
      <c r="C2374" s="98" t="s">
        <v>277</v>
      </c>
      <c r="D2374" s="98" t="s">
        <v>375</v>
      </c>
      <c r="E2374" s="98" t="s">
        <v>247</v>
      </c>
      <c r="F2374" s="98">
        <v>15306.91</v>
      </c>
    </row>
    <row r="2375" spans="1:6">
      <c r="A2375" s="6">
        <v>44196</v>
      </c>
      <c r="B2375" s="98"/>
      <c r="C2375" s="98" t="s">
        <v>246</v>
      </c>
      <c r="D2375" s="98" t="s">
        <v>375</v>
      </c>
      <c r="E2375" s="98" t="s">
        <v>247</v>
      </c>
      <c r="F2375" s="98">
        <v>15779.23</v>
      </c>
    </row>
    <row r="2376" spans="1:6">
      <c r="A2376" s="6">
        <v>44196</v>
      </c>
      <c r="B2376" s="98"/>
      <c r="C2376" s="98" t="s">
        <v>249</v>
      </c>
      <c r="D2376" s="98" t="s">
        <v>375</v>
      </c>
      <c r="E2376" s="98" t="s">
        <v>247</v>
      </c>
      <c r="F2376" s="98">
        <v>14207.97</v>
      </c>
    </row>
    <row r="2377" spans="1:6">
      <c r="A2377" s="6">
        <v>44196</v>
      </c>
      <c r="B2377" s="98"/>
      <c r="C2377" s="98" t="s">
        <v>274</v>
      </c>
      <c r="D2377" s="98" t="s">
        <v>375</v>
      </c>
      <c r="E2377" s="98" t="s">
        <v>247</v>
      </c>
      <c r="F2377" s="98">
        <v>20497.84</v>
      </c>
    </row>
    <row r="2378" spans="1:6">
      <c r="A2378" s="6">
        <v>44196</v>
      </c>
      <c r="B2378" s="98" t="s">
        <v>376</v>
      </c>
      <c r="C2378" s="98" t="s">
        <v>242</v>
      </c>
      <c r="D2378" s="98" t="s">
        <v>377</v>
      </c>
      <c r="E2378" s="98" t="s">
        <v>244</v>
      </c>
      <c r="F2378" s="98">
        <v>1100.45</v>
      </c>
    </row>
    <row r="2379" spans="1:6">
      <c r="A2379" s="6">
        <v>44196</v>
      </c>
      <c r="B2379" s="98"/>
      <c r="C2379" s="98" t="s">
        <v>262</v>
      </c>
      <c r="D2379" s="98" t="s">
        <v>377</v>
      </c>
      <c r="E2379" s="98" t="s">
        <v>244</v>
      </c>
      <c r="F2379" s="98">
        <v>9451.51</v>
      </c>
    </row>
    <row r="2380" spans="1:6">
      <c r="A2380" s="6">
        <v>44196</v>
      </c>
      <c r="B2380" s="98"/>
      <c r="C2380" s="98" t="s">
        <v>251</v>
      </c>
      <c r="D2380" s="98" t="s">
        <v>377</v>
      </c>
      <c r="E2380" s="98" t="s">
        <v>244</v>
      </c>
      <c r="F2380" s="98">
        <v>4.05</v>
      </c>
    </row>
    <row r="2381" spans="1:6">
      <c r="A2381" s="6">
        <v>44196</v>
      </c>
      <c r="B2381" s="98"/>
      <c r="C2381" s="98" t="s">
        <v>245</v>
      </c>
      <c r="D2381" s="98" t="s">
        <v>377</v>
      </c>
      <c r="E2381" s="98" t="s">
        <v>244</v>
      </c>
      <c r="F2381" s="98">
        <v>369.1</v>
      </c>
    </row>
    <row r="2382" spans="1:6">
      <c r="A2382" s="6">
        <v>44196</v>
      </c>
      <c r="B2382" s="98"/>
      <c r="C2382" s="98" t="s">
        <v>254</v>
      </c>
      <c r="D2382" s="98" t="s">
        <v>377</v>
      </c>
      <c r="E2382" s="98" t="s">
        <v>244</v>
      </c>
      <c r="F2382" s="98">
        <v>340.92</v>
      </c>
    </row>
    <row r="2383" spans="1:6">
      <c r="A2383" s="6">
        <v>44196</v>
      </c>
      <c r="B2383" s="98"/>
      <c r="C2383" s="98" t="s">
        <v>246</v>
      </c>
      <c r="D2383" s="98" t="s">
        <v>377</v>
      </c>
      <c r="E2383" s="98" t="s">
        <v>247</v>
      </c>
      <c r="F2383" s="98">
        <v>1114.73</v>
      </c>
    </row>
    <row r="2384" spans="1:6">
      <c r="A2384" s="6">
        <v>44196</v>
      </c>
      <c r="B2384" s="98"/>
      <c r="C2384" s="98" t="s">
        <v>248</v>
      </c>
      <c r="D2384" s="98" t="s">
        <v>377</v>
      </c>
      <c r="E2384" s="98" t="s">
        <v>247</v>
      </c>
      <c r="F2384" s="98">
        <v>2713.52</v>
      </c>
    </row>
    <row r="2385" spans="1:6">
      <c r="A2385" s="6">
        <v>44196</v>
      </c>
      <c r="B2385" s="98" t="s">
        <v>378</v>
      </c>
      <c r="C2385" s="98" t="s">
        <v>245</v>
      </c>
      <c r="D2385" s="98" t="s">
        <v>379</v>
      </c>
      <c r="E2385" s="98" t="s">
        <v>244</v>
      </c>
      <c r="F2385" s="98">
        <v>103.23</v>
      </c>
    </row>
    <row r="2386" spans="1:6">
      <c r="A2386" s="6">
        <v>44196</v>
      </c>
      <c r="B2386" s="98"/>
      <c r="C2386" s="98" t="s">
        <v>355</v>
      </c>
      <c r="D2386" s="98" t="s">
        <v>379</v>
      </c>
      <c r="E2386" s="98" t="s">
        <v>247</v>
      </c>
      <c r="F2386" s="98">
        <v>930.78</v>
      </c>
    </row>
    <row r="2387" spans="1:6">
      <c r="A2387" s="6">
        <v>44196</v>
      </c>
      <c r="B2387" s="98" t="s">
        <v>380</v>
      </c>
      <c r="C2387" s="98" t="s">
        <v>254</v>
      </c>
      <c r="D2387" s="98" t="s">
        <v>381</v>
      </c>
      <c r="E2387" s="98" t="s">
        <v>244</v>
      </c>
      <c r="F2387" s="98">
        <v>49.39</v>
      </c>
    </row>
    <row r="2388" spans="1:6">
      <c r="A2388" s="6">
        <v>44196</v>
      </c>
      <c r="B2388" s="98" t="s">
        <v>382</v>
      </c>
      <c r="C2388" s="98" t="s">
        <v>242</v>
      </c>
      <c r="D2388" s="98" t="s">
        <v>383</v>
      </c>
      <c r="E2388" s="98" t="s">
        <v>244</v>
      </c>
      <c r="F2388" s="98">
        <v>113.79</v>
      </c>
    </row>
    <row r="2389" spans="1:6">
      <c r="A2389" s="6">
        <v>44196</v>
      </c>
      <c r="B2389" s="98"/>
      <c r="C2389" s="98" t="s">
        <v>262</v>
      </c>
      <c r="D2389" s="98" t="s">
        <v>383</v>
      </c>
      <c r="E2389" s="98" t="s">
        <v>244</v>
      </c>
      <c r="F2389" s="98">
        <v>489.08</v>
      </c>
    </row>
    <row r="2390" spans="1:6">
      <c r="A2390" s="6">
        <v>44196</v>
      </c>
      <c r="B2390" s="98"/>
      <c r="C2390" s="98" t="s">
        <v>245</v>
      </c>
      <c r="D2390" s="98" t="s">
        <v>383</v>
      </c>
      <c r="E2390" s="98" t="s">
        <v>244</v>
      </c>
      <c r="F2390" s="98">
        <v>315.85000000000002</v>
      </c>
    </row>
    <row r="2391" spans="1:6">
      <c r="A2391" s="6">
        <v>44196</v>
      </c>
      <c r="B2391" s="98"/>
      <c r="C2391" s="98" t="s">
        <v>254</v>
      </c>
      <c r="D2391" s="98" t="s">
        <v>383</v>
      </c>
      <c r="E2391" s="98" t="s">
        <v>244</v>
      </c>
      <c r="F2391" s="98">
        <v>56</v>
      </c>
    </row>
    <row r="2392" spans="1:6">
      <c r="A2392" s="6">
        <v>44196</v>
      </c>
      <c r="B2392" s="98"/>
      <c r="C2392" s="98" t="s">
        <v>248</v>
      </c>
      <c r="D2392" s="98" t="s">
        <v>383</v>
      </c>
      <c r="E2392" s="98" t="s">
        <v>247</v>
      </c>
      <c r="F2392" s="98">
        <v>15419.35</v>
      </c>
    </row>
    <row r="2393" spans="1:6">
      <c r="A2393" s="6">
        <v>44196</v>
      </c>
      <c r="B2393" s="98" t="s">
        <v>467</v>
      </c>
      <c r="C2393" s="98" t="s">
        <v>264</v>
      </c>
      <c r="D2393" s="98" t="s">
        <v>468</v>
      </c>
      <c r="E2393" s="98" t="s">
        <v>244</v>
      </c>
      <c r="F2393" s="98">
        <v>552.15</v>
      </c>
    </row>
    <row r="2394" spans="1:6">
      <c r="A2394" s="6">
        <v>44196</v>
      </c>
      <c r="B2394" s="98" t="s">
        <v>384</v>
      </c>
      <c r="C2394" s="98" t="s">
        <v>262</v>
      </c>
      <c r="D2394" s="98" t="s">
        <v>385</v>
      </c>
      <c r="E2394" s="98" t="s">
        <v>244</v>
      </c>
      <c r="F2394" s="98">
        <v>52.36</v>
      </c>
    </row>
    <row r="2395" spans="1:6">
      <c r="A2395" s="6">
        <v>44196</v>
      </c>
      <c r="B2395" s="98"/>
      <c r="C2395" s="98" t="s">
        <v>253</v>
      </c>
      <c r="D2395" s="98" t="s">
        <v>385</v>
      </c>
      <c r="E2395" s="98" t="s">
        <v>244</v>
      </c>
      <c r="F2395" s="98">
        <v>23.85</v>
      </c>
    </row>
    <row r="2396" spans="1:6">
      <c r="A2396" s="6">
        <v>44196</v>
      </c>
      <c r="B2396" s="98"/>
      <c r="C2396" s="98" t="s">
        <v>245</v>
      </c>
      <c r="D2396" s="98" t="s">
        <v>385</v>
      </c>
      <c r="E2396" s="98" t="s">
        <v>244</v>
      </c>
      <c r="F2396" s="98">
        <v>33.03</v>
      </c>
    </row>
    <row r="2397" spans="1:6">
      <c r="A2397" s="6">
        <v>44196</v>
      </c>
      <c r="B2397" s="98"/>
      <c r="C2397" s="98" t="s">
        <v>264</v>
      </c>
      <c r="D2397" s="98" t="s">
        <v>385</v>
      </c>
      <c r="E2397" s="98" t="s">
        <v>244</v>
      </c>
      <c r="F2397" s="98">
        <v>123.79</v>
      </c>
    </row>
    <row r="2398" spans="1:6">
      <c r="A2398" s="6">
        <v>44196</v>
      </c>
      <c r="B2398" s="98"/>
      <c r="C2398" s="98" t="s">
        <v>271</v>
      </c>
      <c r="D2398" s="98" t="s">
        <v>385</v>
      </c>
      <c r="E2398" s="98" t="s">
        <v>244</v>
      </c>
      <c r="F2398" s="98">
        <v>2.9</v>
      </c>
    </row>
    <row r="2399" spans="1:6">
      <c r="A2399" s="6">
        <v>44196</v>
      </c>
      <c r="B2399" s="98"/>
      <c r="C2399" s="98" t="s">
        <v>254</v>
      </c>
      <c r="D2399" s="98" t="s">
        <v>385</v>
      </c>
      <c r="E2399" s="98" t="s">
        <v>244</v>
      </c>
      <c r="F2399" s="98">
        <v>217.56</v>
      </c>
    </row>
    <row r="2400" spans="1:6">
      <c r="A2400" s="6">
        <v>44196</v>
      </c>
      <c r="B2400" s="98"/>
      <c r="C2400" s="98" t="s">
        <v>278</v>
      </c>
      <c r="D2400" s="98" t="s">
        <v>385</v>
      </c>
      <c r="E2400" s="98" t="s">
        <v>247</v>
      </c>
      <c r="F2400" s="98">
        <v>2183.21</v>
      </c>
    </row>
    <row r="2401" spans="1:6">
      <c r="A2401" s="6">
        <v>44196</v>
      </c>
      <c r="B2401" s="98" t="s">
        <v>386</v>
      </c>
      <c r="C2401" s="98" t="s">
        <v>262</v>
      </c>
      <c r="D2401" s="98" t="s">
        <v>387</v>
      </c>
      <c r="E2401" s="98" t="s">
        <v>244</v>
      </c>
      <c r="F2401" s="98">
        <v>205.46</v>
      </c>
    </row>
    <row r="2402" spans="1:6">
      <c r="A2402" s="6">
        <v>44196</v>
      </c>
      <c r="B2402" s="98"/>
      <c r="C2402" s="98" t="s">
        <v>253</v>
      </c>
      <c r="D2402" s="98" t="s">
        <v>387</v>
      </c>
      <c r="E2402" s="98" t="s">
        <v>244</v>
      </c>
      <c r="F2402" s="98">
        <v>83.76</v>
      </c>
    </row>
    <row r="2403" spans="1:6">
      <c r="A2403" s="6">
        <v>44196</v>
      </c>
      <c r="B2403" s="98"/>
      <c r="C2403" s="98" t="s">
        <v>245</v>
      </c>
      <c r="D2403" s="98" t="s">
        <v>387</v>
      </c>
      <c r="E2403" s="98" t="s">
        <v>244</v>
      </c>
      <c r="F2403" s="98">
        <v>121.38</v>
      </c>
    </row>
    <row r="2404" spans="1:6">
      <c r="A2404" s="6">
        <v>44196</v>
      </c>
      <c r="B2404" s="98"/>
      <c r="C2404" s="98" t="s">
        <v>264</v>
      </c>
      <c r="D2404" s="98" t="s">
        <v>387</v>
      </c>
      <c r="E2404" s="98" t="s">
        <v>244</v>
      </c>
      <c r="F2404" s="98">
        <v>352.75</v>
      </c>
    </row>
    <row r="2405" spans="1:6">
      <c r="A2405" s="6">
        <v>44196</v>
      </c>
      <c r="B2405" s="98"/>
      <c r="C2405" s="98" t="s">
        <v>271</v>
      </c>
      <c r="D2405" s="98" t="s">
        <v>387</v>
      </c>
      <c r="E2405" s="98" t="s">
        <v>244</v>
      </c>
      <c r="F2405" s="98">
        <v>42.51</v>
      </c>
    </row>
    <row r="2406" spans="1:6">
      <c r="A2406" s="6">
        <v>44196</v>
      </c>
      <c r="B2406" s="98"/>
      <c r="C2406" s="98" t="s">
        <v>254</v>
      </c>
      <c r="D2406" s="98" t="s">
        <v>387</v>
      </c>
      <c r="E2406" s="98" t="s">
        <v>244</v>
      </c>
      <c r="F2406" s="98">
        <v>174.43</v>
      </c>
    </row>
    <row r="2407" spans="1:6">
      <c r="A2407" s="6">
        <v>44196</v>
      </c>
      <c r="B2407" s="98"/>
      <c r="C2407" s="98" t="s">
        <v>278</v>
      </c>
      <c r="D2407" s="98" t="s">
        <v>387</v>
      </c>
      <c r="E2407" s="98" t="s">
        <v>247</v>
      </c>
      <c r="F2407" s="98">
        <v>2736.38</v>
      </c>
    </row>
    <row r="2408" spans="1:6">
      <c r="A2408" s="6">
        <v>44196</v>
      </c>
      <c r="B2408" s="98" t="s">
        <v>388</v>
      </c>
      <c r="C2408" s="98" t="s">
        <v>262</v>
      </c>
      <c r="D2408" s="98" t="s">
        <v>389</v>
      </c>
      <c r="E2408" s="98" t="s">
        <v>244</v>
      </c>
      <c r="F2408" s="98">
        <v>199.85</v>
      </c>
    </row>
    <row r="2409" spans="1:6">
      <c r="A2409" s="6">
        <v>44196</v>
      </c>
      <c r="B2409" s="98"/>
      <c r="C2409" s="98" t="s">
        <v>245</v>
      </c>
      <c r="D2409" s="98" t="s">
        <v>389</v>
      </c>
      <c r="E2409" s="98" t="s">
        <v>244</v>
      </c>
      <c r="F2409" s="98">
        <v>277.33</v>
      </c>
    </row>
    <row r="2410" spans="1:6">
      <c r="A2410" s="6">
        <v>44196</v>
      </c>
      <c r="B2410" s="98"/>
      <c r="C2410" s="98" t="s">
        <v>254</v>
      </c>
      <c r="D2410" s="98" t="s">
        <v>389</v>
      </c>
      <c r="E2410" s="98" t="s">
        <v>244</v>
      </c>
      <c r="F2410" s="98">
        <v>17.03</v>
      </c>
    </row>
    <row r="2411" spans="1:6">
      <c r="A2411" s="6">
        <v>44196</v>
      </c>
      <c r="B2411" s="98" t="s">
        <v>390</v>
      </c>
      <c r="C2411" s="98" t="s">
        <v>264</v>
      </c>
      <c r="D2411" s="98" t="s">
        <v>391</v>
      </c>
      <c r="E2411" s="98" t="s">
        <v>244</v>
      </c>
      <c r="F2411" s="98">
        <v>418.5</v>
      </c>
    </row>
    <row r="2412" spans="1:6">
      <c r="A2412" s="6">
        <v>44196</v>
      </c>
      <c r="B2412" s="98"/>
      <c r="C2412" s="98" t="s">
        <v>271</v>
      </c>
      <c r="D2412" s="98" t="s">
        <v>391</v>
      </c>
      <c r="E2412" s="98" t="s">
        <v>244</v>
      </c>
      <c r="F2412" s="98">
        <v>91.3</v>
      </c>
    </row>
    <row r="2413" spans="1:6">
      <c r="A2413" s="6">
        <v>44196</v>
      </c>
      <c r="B2413" s="98"/>
      <c r="C2413" s="98" t="s">
        <v>254</v>
      </c>
      <c r="D2413" s="98" t="s">
        <v>391</v>
      </c>
      <c r="E2413" s="98" t="s">
        <v>244</v>
      </c>
      <c r="F2413" s="98">
        <v>209.2</v>
      </c>
    </row>
    <row r="2414" spans="1:6">
      <c r="A2414" s="6">
        <v>44196</v>
      </c>
      <c r="B2414" s="98"/>
      <c r="C2414" s="98" t="s">
        <v>278</v>
      </c>
      <c r="D2414" s="98" t="s">
        <v>391</v>
      </c>
      <c r="E2414" s="98" t="s">
        <v>247</v>
      </c>
      <c r="F2414" s="98">
        <v>5524.2</v>
      </c>
    </row>
    <row r="2415" spans="1:6">
      <c r="A2415" s="6">
        <v>44196</v>
      </c>
      <c r="B2415" s="98"/>
      <c r="C2415" s="98" t="s">
        <v>248</v>
      </c>
      <c r="D2415" s="98" t="s">
        <v>391</v>
      </c>
      <c r="E2415" s="98" t="s">
        <v>247</v>
      </c>
      <c r="F2415" s="98">
        <v>1201</v>
      </c>
    </row>
    <row r="2416" spans="1:6">
      <c r="A2416" s="6">
        <v>44196</v>
      </c>
      <c r="B2416" s="98"/>
      <c r="C2416" s="98" t="s">
        <v>290</v>
      </c>
      <c r="D2416" s="98" t="s">
        <v>391</v>
      </c>
      <c r="E2416" s="98" t="s">
        <v>247</v>
      </c>
      <c r="F2416" s="98">
        <v>108.21</v>
      </c>
    </row>
    <row r="2417" spans="1:6">
      <c r="A2417" s="6">
        <v>44196</v>
      </c>
      <c r="B2417" s="98" t="s">
        <v>392</v>
      </c>
      <c r="C2417" s="98" t="s">
        <v>251</v>
      </c>
      <c r="D2417" s="98" t="s">
        <v>393</v>
      </c>
      <c r="E2417" s="98" t="s">
        <v>244</v>
      </c>
      <c r="F2417" s="98">
        <v>11.48</v>
      </c>
    </row>
    <row r="2418" spans="1:6">
      <c r="A2418" s="6">
        <v>44196</v>
      </c>
      <c r="B2418" s="98"/>
      <c r="C2418" s="98" t="s">
        <v>291</v>
      </c>
      <c r="D2418" s="98" t="s">
        <v>393</v>
      </c>
      <c r="E2418" s="98" t="s">
        <v>247</v>
      </c>
      <c r="F2418" s="98">
        <v>4549.93</v>
      </c>
    </row>
    <row r="2419" spans="1:6">
      <c r="A2419" s="6">
        <v>44196</v>
      </c>
      <c r="B2419" s="98" t="s">
        <v>394</v>
      </c>
      <c r="C2419" s="98" t="s">
        <v>251</v>
      </c>
      <c r="D2419" s="98" t="s">
        <v>395</v>
      </c>
      <c r="E2419" s="98" t="s">
        <v>244</v>
      </c>
      <c r="F2419" s="98">
        <v>14.95</v>
      </c>
    </row>
    <row r="2420" spans="1:6">
      <c r="A2420" s="6">
        <v>44196</v>
      </c>
      <c r="B2420" s="98"/>
      <c r="C2420" s="98" t="s">
        <v>278</v>
      </c>
      <c r="D2420" s="98" t="s">
        <v>395</v>
      </c>
      <c r="E2420" s="98" t="s">
        <v>247</v>
      </c>
      <c r="F2420" s="98">
        <v>647.04</v>
      </c>
    </row>
    <row r="2421" spans="1:6">
      <c r="A2421" s="6">
        <v>44196</v>
      </c>
      <c r="B2421" s="98" t="s">
        <v>396</v>
      </c>
      <c r="C2421" s="98" t="s">
        <v>251</v>
      </c>
      <c r="D2421" s="98" t="s">
        <v>397</v>
      </c>
      <c r="E2421" s="98" t="s">
        <v>244</v>
      </c>
      <c r="F2421" s="98">
        <v>6.51</v>
      </c>
    </row>
    <row r="2422" spans="1:6">
      <c r="A2422" s="6">
        <v>44196</v>
      </c>
      <c r="B2422" s="98"/>
      <c r="C2422" s="98" t="s">
        <v>248</v>
      </c>
      <c r="D2422" s="98" t="s">
        <v>397</v>
      </c>
      <c r="E2422" s="98" t="s">
        <v>247</v>
      </c>
      <c r="F2422" s="98">
        <v>8302.14</v>
      </c>
    </row>
    <row r="2423" spans="1:6">
      <c r="A2423" s="6">
        <v>44196</v>
      </c>
      <c r="B2423" s="98" t="s">
        <v>398</v>
      </c>
      <c r="C2423" s="98" t="s">
        <v>251</v>
      </c>
      <c r="D2423" s="98" t="s">
        <v>399</v>
      </c>
      <c r="E2423" s="98" t="s">
        <v>244</v>
      </c>
      <c r="F2423" s="98">
        <v>2.3199999999999998</v>
      </c>
    </row>
    <row r="2424" spans="1:6">
      <c r="A2424" s="6">
        <v>44196</v>
      </c>
      <c r="B2424" s="98"/>
      <c r="C2424" s="98" t="s">
        <v>245</v>
      </c>
      <c r="D2424" s="98" t="s">
        <v>399</v>
      </c>
      <c r="E2424" s="98" t="s">
        <v>244</v>
      </c>
      <c r="F2424" s="98">
        <v>14.93</v>
      </c>
    </row>
    <row r="2425" spans="1:6">
      <c r="A2425" s="6">
        <v>44196</v>
      </c>
      <c r="B2425" s="98" t="s">
        <v>400</v>
      </c>
      <c r="C2425" s="98" t="s">
        <v>251</v>
      </c>
      <c r="D2425" s="98" t="s">
        <v>401</v>
      </c>
      <c r="E2425" s="98" t="s">
        <v>244</v>
      </c>
      <c r="F2425" s="98">
        <v>0.83</v>
      </c>
    </row>
    <row r="2426" spans="1:6">
      <c r="A2426" s="6">
        <v>44196</v>
      </c>
      <c r="B2426" s="98"/>
      <c r="C2426" s="98" t="s">
        <v>368</v>
      </c>
      <c r="D2426" s="98" t="s">
        <v>401</v>
      </c>
      <c r="E2426" s="98" t="s">
        <v>247</v>
      </c>
      <c r="F2426" s="98">
        <v>1657.25</v>
      </c>
    </row>
    <row r="2427" spans="1:6">
      <c r="A2427" s="6">
        <v>44196</v>
      </c>
      <c r="B2427" s="98"/>
      <c r="C2427" s="98" t="s">
        <v>402</v>
      </c>
      <c r="D2427" s="98" t="s">
        <v>401</v>
      </c>
      <c r="E2427" s="98" t="s">
        <v>247</v>
      </c>
      <c r="F2427" s="98">
        <v>4971.74</v>
      </c>
    </row>
    <row r="2428" spans="1:6">
      <c r="A2428" s="6">
        <v>44196</v>
      </c>
      <c r="B2428" s="98" t="s">
        <v>403</v>
      </c>
      <c r="C2428" s="98" t="s">
        <v>254</v>
      </c>
      <c r="D2428" s="98" t="s">
        <v>404</v>
      </c>
      <c r="E2428" s="98" t="s">
        <v>244</v>
      </c>
      <c r="F2428" s="98">
        <v>-0.09</v>
      </c>
    </row>
    <row r="2429" spans="1:6">
      <c r="A2429" s="6">
        <v>44196</v>
      </c>
      <c r="B2429" s="98"/>
      <c r="C2429" s="98" t="s">
        <v>407</v>
      </c>
      <c r="D2429" s="98" t="s">
        <v>404</v>
      </c>
      <c r="E2429" s="98" t="s">
        <v>247</v>
      </c>
      <c r="F2429" s="98">
        <v>-521.89</v>
      </c>
    </row>
    <row r="2430" spans="1:6">
      <c r="A2430" s="6">
        <v>44196</v>
      </c>
      <c r="B2430" s="98" t="s">
        <v>408</v>
      </c>
      <c r="C2430" s="98" t="s">
        <v>262</v>
      </c>
      <c r="D2430" s="98" t="s">
        <v>409</v>
      </c>
      <c r="E2430" s="98" t="s">
        <v>244</v>
      </c>
      <c r="F2430" s="98">
        <v>49.96</v>
      </c>
    </row>
    <row r="2431" spans="1:6">
      <c r="A2431" s="6">
        <v>44196</v>
      </c>
      <c r="B2431" s="98"/>
      <c r="C2431" s="98" t="s">
        <v>251</v>
      </c>
      <c r="D2431" s="98" t="s">
        <v>409</v>
      </c>
      <c r="E2431" s="98" t="s">
        <v>244</v>
      </c>
      <c r="F2431" s="98">
        <v>6.09</v>
      </c>
    </row>
    <row r="2432" spans="1:6">
      <c r="A2432" s="6">
        <v>44196</v>
      </c>
      <c r="B2432" s="98"/>
      <c r="C2432" s="98" t="s">
        <v>254</v>
      </c>
      <c r="D2432" s="98" t="s">
        <v>409</v>
      </c>
      <c r="E2432" s="98" t="s">
        <v>244</v>
      </c>
      <c r="F2432" s="98">
        <v>12.79</v>
      </c>
    </row>
    <row r="2433" spans="1:6">
      <c r="A2433" s="6">
        <v>44196</v>
      </c>
      <c r="B2433" s="98"/>
      <c r="C2433" s="98" t="s">
        <v>290</v>
      </c>
      <c r="D2433" s="98" t="s">
        <v>409</v>
      </c>
      <c r="E2433" s="98" t="s">
        <v>247</v>
      </c>
      <c r="F2433" s="98">
        <v>624.75</v>
      </c>
    </row>
    <row r="2434" spans="1:6">
      <c r="A2434" s="6">
        <v>44196</v>
      </c>
      <c r="B2434" s="98"/>
      <c r="C2434" s="98" t="s">
        <v>265</v>
      </c>
      <c r="D2434" s="98" t="s">
        <v>409</v>
      </c>
      <c r="E2434" s="98" t="s">
        <v>247</v>
      </c>
      <c r="F2434" s="98">
        <v>60.49</v>
      </c>
    </row>
    <row r="2435" spans="1:6">
      <c r="A2435" s="6">
        <v>44196</v>
      </c>
      <c r="B2435" s="98" t="s">
        <v>410</v>
      </c>
      <c r="C2435" s="98" t="s">
        <v>254</v>
      </c>
      <c r="D2435" s="98" t="s">
        <v>411</v>
      </c>
      <c r="E2435" s="98" t="s">
        <v>244</v>
      </c>
      <c r="F2435" s="98">
        <v>39.89</v>
      </c>
    </row>
    <row r="2436" spans="1:6">
      <c r="A2436" s="6">
        <v>44196</v>
      </c>
      <c r="B2436" s="98"/>
      <c r="C2436" s="98" t="s">
        <v>248</v>
      </c>
      <c r="D2436" s="98" t="s">
        <v>411</v>
      </c>
      <c r="E2436" s="98" t="s">
        <v>247</v>
      </c>
      <c r="F2436" s="98">
        <v>2627.37</v>
      </c>
    </row>
    <row r="2437" spans="1:6">
      <c r="A2437" s="6">
        <v>44196</v>
      </c>
      <c r="B2437" s="98" t="s">
        <v>412</v>
      </c>
      <c r="C2437" s="98" t="s">
        <v>251</v>
      </c>
      <c r="D2437" s="98" t="s">
        <v>413</v>
      </c>
      <c r="E2437" s="98" t="s">
        <v>244</v>
      </c>
      <c r="F2437" s="98">
        <v>3.14</v>
      </c>
    </row>
    <row r="2438" spans="1:6">
      <c r="A2438" s="6">
        <v>44196</v>
      </c>
      <c r="B2438" s="98"/>
      <c r="C2438" s="98" t="s">
        <v>254</v>
      </c>
      <c r="D2438" s="98" t="s">
        <v>413</v>
      </c>
      <c r="E2438" s="98" t="s">
        <v>244</v>
      </c>
      <c r="F2438" s="98">
        <v>16.29</v>
      </c>
    </row>
    <row r="2439" spans="1:6">
      <c r="A2439" s="6">
        <v>44196</v>
      </c>
      <c r="B2439" s="98"/>
      <c r="C2439" s="98" t="s">
        <v>255</v>
      </c>
      <c r="D2439" s="98" t="s">
        <v>413</v>
      </c>
      <c r="E2439" s="98" t="s">
        <v>247</v>
      </c>
      <c r="F2439" s="98">
        <v>1294.78</v>
      </c>
    </row>
    <row r="2440" spans="1:6">
      <c r="A2440" s="6">
        <v>44196</v>
      </c>
      <c r="B2440" s="98"/>
      <c r="C2440" s="98" t="s">
        <v>278</v>
      </c>
      <c r="D2440" s="98" t="s">
        <v>413</v>
      </c>
      <c r="E2440" s="98" t="s">
        <v>247</v>
      </c>
      <c r="F2440" s="98">
        <v>905.83</v>
      </c>
    </row>
    <row r="2441" spans="1:6">
      <c r="A2441" s="6">
        <v>44196</v>
      </c>
      <c r="B2441" s="98"/>
      <c r="C2441" s="98" t="s">
        <v>248</v>
      </c>
      <c r="D2441" s="98" t="s">
        <v>413</v>
      </c>
      <c r="E2441" s="98" t="s">
        <v>247</v>
      </c>
      <c r="F2441" s="98">
        <v>2614.21</v>
      </c>
    </row>
    <row r="2442" spans="1:6">
      <c r="A2442" s="6">
        <v>44196</v>
      </c>
      <c r="B2442" s="98" t="s">
        <v>414</v>
      </c>
      <c r="C2442" s="98" t="s">
        <v>245</v>
      </c>
      <c r="D2442" s="98" t="s">
        <v>415</v>
      </c>
      <c r="E2442" s="98" t="s">
        <v>244</v>
      </c>
      <c r="F2442" s="98">
        <v>3.65</v>
      </c>
    </row>
    <row r="2443" spans="1:6">
      <c r="A2443" s="6">
        <v>44196</v>
      </c>
      <c r="B2443" s="98"/>
      <c r="C2443" s="98" t="s">
        <v>254</v>
      </c>
      <c r="D2443" s="98" t="s">
        <v>415</v>
      </c>
      <c r="E2443" s="98" t="s">
        <v>244</v>
      </c>
      <c r="F2443" s="98">
        <v>1.1599999999999999</v>
      </c>
    </row>
    <row r="2444" spans="1:6">
      <c r="A2444" s="6">
        <v>44196</v>
      </c>
      <c r="B2444" s="98" t="s">
        <v>416</v>
      </c>
      <c r="C2444" s="98" t="s">
        <v>253</v>
      </c>
      <c r="D2444" s="98" t="s">
        <v>417</v>
      </c>
      <c r="E2444" s="98" t="s">
        <v>244</v>
      </c>
      <c r="F2444" s="98">
        <v>6.23</v>
      </c>
    </row>
    <row r="2445" spans="1:6">
      <c r="A2445" s="6">
        <v>44196</v>
      </c>
      <c r="B2445" s="98"/>
      <c r="C2445" s="98" t="s">
        <v>245</v>
      </c>
      <c r="D2445" s="98" t="s">
        <v>417</v>
      </c>
      <c r="E2445" s="98" t="s">
        <v>244</v>
      </c>
      <c r="F2445" s="98">
        <v>5.72</v>
      </c>
    </row>
    <row r="2446" spans="1:6">
      <c r="A2446" s="6">
        <v>44196</v>
      </c>
      <c r="B2446" s="98"/>
      <c r="C2446" s="98" t="s">
        <v>419</v>
      </c>
      <c r="D2446" s="98" t="s">
        <v>417</v>
      </c>
      <c r="E2446" s="98" t="s">
        <v>247</v>
      </c>
      <c r="F2446" s="98">
        <v>2149.14</v>
      </c>
    </row>
    <row r="2447" spans="1:6">
      <c r="A2447" s="6">
        <v>44196</v>
      </c>
      <c r="B2447" s="98"/>
      <c r="C2447" s="98" t="s">
        <v>420</v>
      </c>
      <c r="D2447" s="98" t="s">
        <v>417</v>
      </c>
      <c r="E2447" s="98" t="s">
        <v>247</v>
      </c>
      <c r="F2447" s="98">
        <v>1790.95</v>
      </c>
    </row>
    <row r="2448" spans="1:6">
      <c r="A2448" s="6">
        <v>44196</v>
      </c>
      <c r="B2448" s="98"/>
      <c r="C2448" s="98" t="s">
        <v>469</v>
      </c>
      <c r="D2448" s="98" t="s">
        <v>417</v>
      </c>
      <c r="E2448" s="98" t="s">
        <v>247</v>
      </c>
      <c r="F2448" s="98">
        <v>895.47</v>
      </c>
    </row>
    <row r="2449" spans="1:6">
      <c r="A2449" s="6">
        <v>44196</v>
      </c>
      <c r="B2449" s="98" t="s">
        <v>421</v>
      </c>
      <c r="C2449" s="98" t="s">
        <v>251</v>
      </c>
      <c r="D2449" s="98" t="s">
        <v>422</v>
      </c>
      <c r="E2449" s="98" t="s">
        <v>244</v>
      </c>
      <c r="F2449" s="98">
        <v>19.12</v>
      </c>
    </row>
    <row r="2450" spans="1:6">
      <c r="A2450" s="6">
        <v>44196</v>
      </c>
      <c r="B2450" s="98"/>
      <c r="C2450" s="98" t="s">
        <v>254</v>
      </c>
      <c r="D2450" s="98" t="s">
        <v>422</v>
      </c>
      <c r="E2450" s="98" t="s">
        <v>244</v>
      </c>
      <c r="F2450" s="98">
        <v>43.29</v>
      </c>
    </row>
    <row r="2451" spans="1:6">
      <c r="A2451" s="6">
        <v>44196</v>
      </c>
      <c r="B2451" s="98"/>
      <c r="C2451" s="98" t="s">
        <v>368</v>
      </c>
      <c r="D2451" s="98" t="s">
        <v>422</v>
      </c>
      <c r="E2451" s="98" t="s">
        <v>247</v>
      </c>
      <c r="F2451" s="98">
        <v>1584.18</v>
      </c>
    </row>
    <row r="2452" spans="1:6">
      <c r="A2452" s="6">
        <v>44196</v>
      </c>
      <c r="B2452" s="98" t="s">
        <v>425</v>
      </c>
      <c r="C2452" s="98" t="s">
        <v>242</v>
      </c>
      <c r="D2452" s="98" t="s">
        <v>426</v>
      </c>
      <c r="E2452" s="98" t="s">
        <v>244</v>
      </c>
      <c r="F2452" s="98">
        <v>226.75</v>
      </c>
    </row>
    <row r="2453" spans="1:6">
      <c r="A2453" s="6">
        <v>44196</v>
      </c>
      <c r="B2453" s="98"/>
      <c r="C2453" s="98" t="s">
        <v>262</v>
      </c>
      <c r="D2453" s="98" t="s">
        <v>426</v>
      </c>
      <c r="E2453" s="98" t="s">
        <v>244</v>
      </c>
      <c r="F2453" s="98">
        <v>201.27</v>
      </c>
    </row>
    <row r="2454" spans="1:6">
      <c r="A2454" s="6">
        <v>44196</v>
      </c>
      <c r="B2454" s="98"/>
      <c r="C2454" s="98" t="s">
        <v>251</v>
      </c>
      <c r="D2454" s="98" t="s">
        <v>426</v>
      </c>
      <c r="E2454" s="98" t="s">
        <v>244</v>
      </c>
      <c r="F2454" s="98">
        <v>50.74</v>
      </c>
    </row>
    <row r="2455" spans="1:6">
      <c r="A2455" s="6">
        <v>44196</v>
      </c>
      <c r="B2455" s="98"/>
      <c r="C2455" s="98" t="s">
        <v>253</v>
      </c>
      <c r="D2455" s="98" t="s">
        <v>426</v>
      </c>
      <c r="E2455" s="98" t="s">
        <v>244</v>
      </c>
      <c r="F2455" s="98">
        <v>10.19</v>
      </c>
    </row>
    <row r="2456" spans="1:6">
      <c r="A2456" s="6">
        <v>44196</v>
      </c>
      <c r="B2456" s="98"/>
      <c r="C2456" s="98" t="s">
        <v>245</v>
      </c>
      <c r="D2456" s="98" t="s">
        <v>426</v>
      </c>
      <c r="E2456" s="98" t="s">
        <v>244</v>
      </c>
      <c r="F2456" s="98">
        <v>70.69</v>
      </c>
    </row>
    <row r="2457" spans="1:6">
      <c r="A2457" s="6">
        <v>44196</v>
      </c>
      <c r="B2457" s="98"/>
      <c r="C2457" s="98" t="s">
        <v>264</v>
      </c>
      <c r="D2457" s="98" t="s">
        <v>426</v>
      </c>
      <c r="E2457" s="98" t="s">
        <v>244</v>
      </c>
      <c r="F2457" s="98">
        <v>168.62</v>
      </c>
    </row>
    <row r="2458" spans="1:6">
      <c r="A2458" s="6">
        <v>44196</v>
      </c>
      <c r="B2458" s="98"/>
      <c r="C2458" s="98" t="s">
        <v>254</v>
      </c>
      <c r="D2458" s="98" t="s">
        <v>426</v>
      </c>
      <c r="E2458" s="98" t="s">
        <v>244</v>
      </c>
      <c r="F2458" s="98">
        <v>2.1800000000000002</v>
      </c>
    </row>
    <row r="2459" spans="1:6">
      <c r="A2459" s="6">
        <v>44196</v>
      </c>
      <c r="B2459" s="98"/>
      <c r="C2459" s="98" t="s">
        <v>289</v>
      </c>
      <c r="D2459" s="98" t="s">
        <v>426</v>
      </c>
      <c r="E2459" s="98" t="s">
        <v>247</v>
      </c>
      <c r="F2459" s="98">
        <v>1713.73</v>
      </c>
    </row>
    <row r="2460" spans="1:6">
      <c r="A2460" s="6">
        <v>44196</v>
      </c>
      <c r="B2460" s="98" t="s">
        <v>427</v>
      </c>
      <c r="C2460" s="98" t="s">
        <v>242</v>
      </c>
      <c r="D2460" s="98" t="s">
        <v>428</v>
      </c>
      <c r="E2460" s="98" t="s">
        <v>244</v>
      </c>
      <c r="F2460" s="98">
        <v>283.36</v>
      </c>
    </row>
    <row r="2461" spans="1:6">
      <c r="A2461" s="6">
        <v>44196</v>
      </c>
      <c r="B2461" s="98"/>
      <c r="C2461" s="98" t="s">
        <v>262</v>
      </c>
      <c r="D2461" s="98" t="s">
        <v>428</v>
      </c>
      <c r="E2461" s="98" t="s">
        <v>244</v>
      </c>
      <c r="F2461" s="98">
        <v>1257.6400000000001</v>
      </c>
    </row>
    <row r="2462" spans="1:6">
      <c r="A2462" s="6">
        <v>44196</v>
      </c>
      <c r="B2462" s="98"/>
      <c r="C2462" s="98" t="s">
        <v>251</v>
      </c>
      <c r="D2462" s="98" t="s">
        <v>428</v>
      </c>
      <c r="E2462" s="98" t="s">
        <v>244</v>
      </c>
      <c r="F2462" s="98">
        <v>24.93</v>
      </c>
    </row>
    <row r="2463" spans="1:6">
      <c r="A2463" s="6">
        <v>44196</v>
      </c>
      <c r="B2463" s="98"/>
      <c r="C2463" s="98" t="s">
        <v>245</v>
      </c>
      <c r="D2463" s="98" t="s">
        <v>428</v>
      </c>
      <c r="E2463" s="98" t="s">
        <v>244</v>
      </c>
      <c r="F2463" s="98">
        <v>441.71</v>
      </c>
    </row>
    <row r="2464" spans="1:6">
      <c r="A2464" s="6">
        <v>44196</v>
      </c>
      <c r="B2464" s="98" t="s">
        <v>429</v>
      </c>
      <c r="C2464" s="98" t="s">
        <v>251</v>
      </c>
      <c r="D2464" s="98" t="s">
        <v>430</v>
      </c>
      <c r="E2464" s="98" t="s">
        <v>244</v>
      </c>
      <c r="F2464" s="98">
        <v>104.14</v>
      </c>
    </row>
    <row r="2465" spans="1:6">
      <c r="A2465" s="6">
        <v>44196</v>
      </c>
      <c r="B2465" s="98"/>
      <c r="C2465" s="98" t="s">
        <v>253</v>
      </c>
      <c r="D2465" s="98" t="s">
        <v>430</v>
      </c>
      <c r="E2465" s="98" t="s">
        <v>244</v>
      </c>
      <c r="F2465" s="98">
        <v>34.06</v>
      </c>
    </row>
    <row r="2466" spans="1:6">
      <c r="A2466" s="6">
        <v>44196</v>
      </c>
      <c r="B2466" s="98"/>
      <c r="C2466" s="98" t="s">
        <v>245</v>
      </c>
      <c r="D2466" s="98" t="s">
        <v>430</v>
      </c>
      <c r="E2466" s="98" t="s">
        <v>244</v>
      </c>
      <c r="F2466" s="98">
        <v>188.01</v>
      </c>
    </row>
    <row r="2467" spans="1:6">
      <c r="A2467" s="6">
        <v>44196</v>
      </c>
      <c r="B2467" s="98"/>
      <c r="C2467" s="98" t="s">
        <v>246</v>
      </c>
      <c r="D2467" s="98" t="s">
        <v>430</v>
      </c>
      <c r="E2467" s="98" t="s">
        <v>247</v>
      </c>
      <c r="F2467" s="98">
        <v>1734.16</v>
      </c>
    </row>
    <row r="2468" spans="1:6">
      <c r="A2468" s="6">
        <v>44196</v>
      </c>
      <c r="B2468" s="98"/>
      <c r="C2468" s="98" t="s">
        <v>265</v>
      </c>
      <c r="D2468" s="98" t="s">
        <v>430</v>
      </c>
      <c r="E2468" s="98" t="s">
        <v>247</v>
      </c>
      <c r="F2468" s="98">
        <v>1201.6300000000001</v>
      </c>
    </row>
    <row r="2469" spans="1:6">
      <c r="A2469" s="6">
        <v>44196</v>
      </c>
      <c r="B2469" s="98"/>
      <c r="C2469" s="98" t="s">
        <v>249</v>
      </c>
      <c r="D2469" s="98" t="s">
        <v>430</v>
      </c>
      <c r="E2469" s="98" t="s">
        <v>247</v>
      </c>
      <c r="F2469" s="98">
        <v>19318.330000000002</v>
      </c>
    </row>
    <row r="2470" spans="1:6">
      <c r="A2470" s="6">
        <v>44196</v>
      </c>
      <c r="B2470" s="98"/>
      <c r="C2470" s="98" t="s">
        <v>274</v>
      </c>
      <c r="D2470" s="98" t="s">
        <v>430</v>
      </c>
      <c r="E2470" s="98" t="s">
        <v>247</v>
      </c>
      <c r="F2470" s="98">
        <v>7177.53</v>
      </c>
    </row>
    <row r="2471" spans="1:6">
      <c r="A2471" s="6">
        <v>44196</v>
      </c>
      <c r="B2471" s="98" t="s">
        <v>431</v>
      </c>
      <c r="C2471" s="98" t="s">
        <v>251</v>
      </c>
      <c r="D2471" s="98" t="s">
        <v>432</v>
      </c>
      <c r="E2471" s="98" t="s">
        <v>244</v>
      </c>
      <c r="F2471" s="98">
        <v>47.19</v>
      </c>
    </row>
    <row r="2472" spans="1:6">
      <c r="A2472" s="6">
        <v>44196</v>
      </c>
      <c r="B2472" s="98"/>
      <c r="C2472" s="98" t="s">
        <v>249</v>
      </c>
      <c r="D2472" s="98" t="s">
        <v>432</v>
      </c>
      <c r="E2472" s="98" t="s">
        <v>247</v>
      </c>
      <c r="F2472" s="98">
        <v>4784.07</v>
      </c>
    </row>
    <row r="2473" spans="1:6">
      <c r="A2473" s="6">
        <v>44196</v>
      </c>
      <c r="B2473" s="98" t="s">
        <v>433</v>
      </c>
      <c r="C2473" s="98" t="s">
        <v>254</v>
      </c>
      <c r="D2473" s="98" t="s">
        <v>434</v>
      </c>
      <c r="E2473" s="98" t="s">
        <v>244</v>
      </c>
      <c r="F2473" s="98">
        <v>39.82</v>
      </c>
    </row>
    <row r="2474" spans="1:6">
      <c r="A2474" s="6">
        <v>44196</v>
      </c>
      <c r="B2474" s="98" t="s">
        <v>435</v>
      </c>
      <c r="C2474" s="98" t="s">
        <v>242</v>
      </c>
      <c r="D2474" s="98" t="s">
        <v>436</v>
      </c>
      <c r="E2474" s="98" t="s">
        <v>244</v>
      </c>
      <c r="F2474" s="98">
        <v>101.21</v>
      </c>
    </row>
    <row r="2475" spans="1:6">
      <c r="A2475" s="6">
        <v>44196</v>
      </c>
      <c r="B2475" s="98"/>
      <c r="C2475" s="98" t="s">
        <v>262</v>
      </c>
      <c r="D2475" s="98" t="s">
        <v>436</v>
      </c>
      <c r="E2475" s="98" t="s">
        <v>244</v>
      </c>
      <c r="F2475" s="98">
        <v>604.45000000000005</v>
      </c>
    </row>
    <row r="2476" spans="1:6">
      <c r="A2476" s="6">
        <v>44196</v>
      </c>
      <c r="B2476" s="98"/>
      <c r="C2476" s="98" t="s">
        <v>253</v>
      </c>
      <c r="D2476" s="98" t="s">
        <v>436</v>
      </c>
      <c r="E2476" s="98" t="s">
        <v>244</v>
      </c>
      <c r="F2476" s="98">
        <v>22.62</v>
      </c>
    </row>
    <row r="2477" spans="1:6">
      <c r="A2477" s="6">
        <v>44196</v>
      </c>
      <c r="B2477" s="98"/>
      <c r="C2477" s="98" t="s">
        <v>245</v>
      </c>
      <c r="D2477" s="98" t="s">
        <v>436</v>
      </c>
      <c r="E2477" s="98" t="s">
        <v>244</v>
      </c>
      <c r="F2477" s="98">
        <v>67.77</v>
      </c>
    </row>
    <row r="2478" spans="1:6">
      <c r="A2478" s="6">
        <v>44196</v>
      </c>
      <c r="B2478" s="98"/>
      <c r="C2478" s="98" t="s">
        <v>255</v>
      </c>
      <c r="D2478" s="98" t="s">
        <v>436</v>
      </c>
      <c r="E2478" s="98" t="s">
        <v>247</v>
      </c>
      <c r="F2478" s="98">
        <v>340.82</v>
      </c>
    </row>
    <row r="2479" spans="1:6">
      <c r="A2479" s="6">
        <v>44196</v>
      </c>
      <c r="B2479" s="98"/>
      <c r="C2479" s="98" t="s">
        <v>289</v>
      </c>
      <c r="D2479" s="98" t="s">
        <v>436</v>
      </c>
      <c r="E2479" s="98" t="s">
        <v>247</v>
      </c>
      <c r="F2479" s="98">
        <v>639.04</v>
      </c>
    </row>
    <row r="2480" spans="1:6">
      <c r="A2480" s="6">
        <v>44196</v>
      </c>
      <c r="B2480" s="98" t="s">
        <v>437</v>
      </c>
      <c r="C2480" s="98" t="s">
        <v>242</v>
      </c>
      <c r="D2480" s="98" t="s">
        <v>438</v>
      </c>
      <c r="E2480" s="98" t="s">
        <v>244</v>
      </c>
      <c r="F2480" s="98">
        <v>553.32000000000005</v>
      </c>
    </row>
    <row r="2481" spans="1:6">
      <c r="A2481" s="6">
        <v>44196</v>
      </c>
      <c r="B2481" s="98"/>
      <c r="C2481" s="98" t="s">
        <v>262</v>
      </c>
      <c r="D2481" s="98" t="s">
        <v>438</v>
      </c>
      <c r="E2481" s="98" t="s">
        <v>244</v>
      </c>
      <c r="F2481" s="98">
        <v>2066.67</v>
      </c>
    </row>
    <row r="2482" spans="1:6">
      <c r="A2482" s="6">
        <v>44196</v>
      </c>
      <c r="B2482" s="98"/>
      <c r="C2482" s="98" t="s">
        <v>253</v>
      </c>
      <c r="D2482" s="98" t="s">
        <v>438</v>
      </c>
      <c r="E2482" s="98" t="s">
        <v>244</v>
      </c>
      <c r="F2482" s="98">
        <v>72.36</v>
      </c>
    </row>
    <row r="2483" spans="1:6">
      <c r="A2483" s="6">
        <v>44196</v>
      </c>
      <c r="B2483" s="98"/>
      <c r="C2483" s="98" t="s">
        <v>245</v>
      </c>
      <c r="D2483" s="98" t="s">
        <v>438</v>
      </c>
      <c r="E2483" s="98" t="s">
        <v>244</v>
      </c>
      <c r="F2483" s="98">
        <v>206.44</v>
      </c>
    </row>
    <row r="2484" spans="1:6">
      <c r="A2484" s="6">
        <v>44196</v>
      </c>
      <c r="B2484" s="98"/>
      <c r="C2484" s="98" t="s">
        <v>254</v>
      </c>
      <c r="D2484" s="98" t="s">
        <v>438</v>
      </c>
      <c r="E2484" s="98" t="s">
        <v>244</v>
      </c>
      <c r="F2484" s="98">
        <v>27.37</v>
      </c>
    </row>
    <row r="2485" spans="1:6">
      <c r="A2485" s="6">
        <v>44196</v>
      </c>
      <c r="B2485" s="98" t="s">
        <v>439</v>
      </c>
      <c r="C2485" s="98" t="s">
        <v>242</v>
      </c>
      <c r="D2485" s="98" t="s">
        <v>440</v>
      </c>
      <c r="E2485" s="98" t="s">
        <v>244</v>
      </c>
      <c r="F2485" s="98">
        <v>1170.49</v>
      </c>
    </row>
    <row r="2486" spans="1:6">
      <c r="A2486" s="6">
        <v>44196</v>
      </c>
      <c r="B2486" s="98"/>
      <c r="C2486" s="98" t="s">
        <v>245</v>
      </c>
      <c r="D2486" s="98" t="s">
        <v>440</v>
      </c>
      <c r="E2486" s="98" t="s">
        <v>244</v>
      </c>
      <c r="F2486" s="98">
        <v>410.99</v>
      </c>
    </row>
    <row r="2487" spans="1:6">
      <c r="A2487" s="6">
        <v>44196</v>
      </c>
      <c r="B2487" s="98"/>
      <c r="C2487" s="98" t="s">
        <v>246</v>
      </c>
      <c r="D2487" s="98" t="s">
        <v>440</v>
      </c>
      <c r="E2487" s="98" t="s">
        <v>247</v>
      </c>
      <c r="F2487" s="98">
        <v>3345.38</v>
      </c>
    </row>
    <row r="2488" spans="1:6">
      <c r="A2488" s="6">
        <v>44196</v>
      </c>
      <c r="B2488" s="98" t="s">
        <v>441</v>
      </c>
      <c r="C2488" s="98" t="s">
        <v>248</v>
      </c>
      <c r="D2488" s="98" t="s">
        <v>442</v>
      </c>
      <c r="E2488" s="98" t="s">
        <v>247</v>
      </c>
      <c r="F2488" s="98">
        <v>434.47</v>
      </c>
    </row>
    <row r="2489" spans="1:6">
      <c r="A2489" s="6">
        <v>44196</v>
      </c>
      <c r="B2489" s="98" t="s">
        <v>443</v>
      </c>
      <c r="C2489" s="98" t="s">
        <v>248</v>
      </c>
      <c r="D2489" s="98" t="s">
        <v>444</v>
      </c>
      <c r="E2489" s="98" t="s">
        <v>247</v>
      </c>
      <c r="F2489" s="98">
        <v>2778.8</v>
      </c>
    </row>
    <row r="2490" spans="1:6">
      <c r="A2490" s="6">
        <v>44196</v>
      </c>
      <c r="B2490" s="98"/>
      <c r="C2490" s="98" t="s">
        <v>290</v>
      </c>
      <c r="D2490" s="98" t="s">
        <v>444</v>
      </c>
      <c r="E2490" s="98" t="s">
        <v>247</v>
      </c>
      <c r="F2490" s="98">
        <v>1098.6400000000001</v>
      </c>
    </row>
    <row r="2491" spans="1:6">
      <c r="A2491" s="6">
        <v>44196</v>
      </c>
      <c r="B2491" s="98" t="s">
        <v>445</v>
      </c>
      <c r="C2491" s="98" t="s">
        <v>290</v>
      </c>
      <c r="D2491" s="98" t="s">
        <v>446</v>
      </c>
      <c r="E2491" s="98" t="s">
        <v>247</v>
      </c>
      <c r="F2491" s="98">
        <v>237.88</v>
      </c>
    </row>
    <row r="2492" spans="1:6">
      <c r="A2492" s="6">
        <v>44196</v>
      </c>
      <c r="B2492" s="98" t="s">
        <v>447</v>
      </c>
      <c r="C2492" s="98" t="s">
        <v>448</v>
      </c>
      <c r="D2492" s="98" t="s">
        <v>449</v>
      </c>
      <c r="E2492" s="98" t="s">
        <v>247</v>
      </c>
      <c r="F2492" s="98">
        <v>497.35</v>
      </c>
    </row>
    <row r="2493" spans="1:6">
      <c r="A2493" s="6">
        <v>44196</v>
      </c>
      <c r="B2493" s="98"/>
      <c r="C2493" s="98" t="s">
        <v>450</v>
      </c>
      <c r="D2493" s="98" t="s">
        <v>449</v>
      </c>
      <c r="E2493" s="98" t="s">
        <v>247</v>
      </c>
      <c r="F2493" s="98">
        <v>497.35</v>
      </c>
    </row>
    <row r="2494" spans="1:6">
      <c r="A2494" s="6">
        <v>44196</v>
      </c>
      <c r="B2494" s="98" t="s">
        <v>451</v>
      </c>
      <c r="C2494" s="98" t="s">
        <v>242</v>
      </c>
      <c r="D2494" s="98" t="s">
        <v>452</v>
      </c>
      <c r="E2494" s="98" t="s">
        <v>244</v>
      </c>
      <c r="F2494" s="98">
        <v>130.03</v>
      </c>
    </row>
    <row r="2495" spans="1:6">
      <c r="A2495" s="6">
        <v>44196</v>
      </c>
      <c r="B2495" s="98"/>
      <c r="C2495" s="98" t="s">
        <v>253</v>
      </c>
      <c r="D2495" s="98" t="s">
        <v>452</v>
      </c>
      <c r="E2495" s="98" t="s">
        <v>244</v>
      </c>
      <c r="F2495" s="98">
        <v>17.079999999999998</v>
      </c>
    </row>
    <row r="2496" spans="1:6">
      <c r="A2496" s="6">
        <v>44196</v>
      </c>
      <c r="B2496" s="98"/>
      <c r="C2496" s="98" t="s">
        <v>254</v>
      </c>
      <c r="D2496" s="98" t="s">
        <v>452</v>
      </c>
      <c r="E2496" s="98" t="s">
        <v>244</v>
      </c>
      <c r="F2496" s="98">
        <v>69.27</v>
      </c>
    </row>
    <row r="2497" spans="1:6">
      <c r="A2497" s="6">
        <v>44196</v>
      </c>
      <c r="B2497" s="98" t="s">
        <v>453</v>
      </c>
      <c r="C2497" s="98" t="s">
        <v>262</v>
      </c>
      <c r="D2497" s="98" t="s">
        <v>454</v>
      </c>
      <c r="E2497" s="98" t="s">
        <v>244</v>
      </c>
      <c r="F2497" s="98">
        <v>633.85</v>
      </c>
    </row>
    <row r="2498" spans="1:6">
      <c r="A2498" s="6">
        <v>44196</v>
      </c>
      <c r="B2498" s="98"/>
      <c r="C2498" s="98" t="s">
        <v>251</v>
      </c>
      <c r="D2498" s="98" t="s">
        <v>454</v>
      </c>
      <c r="E2498" s="98" t="s">
        <v>244</v>
      </c>
      <c r="F2498" s="98">
        <v>2.5499999999999998</v>
      </c>
    </row>
    <row r="2499" spans="1:6">
      <c r="A2499" s="6">
        <v>44196</v>
      </c>
      <c r="B2499" s="98" t="s">
        <v>455</v>
      </c>
      <c r="C2499" s="98" t="s">
        <v>254</v>
      </c>
      <c r="D2499" s="98" t="s">
        <v>456</v>
      </c>
      <c r="E2499" s="98" t="s">
        <v>244</v>
      </c>
      <c r="F2499" s="98">
        <v>44.52</v>
      </c>
    </row>
    <row r="2500" spans="1:6">
      <c r="A2500" s="6">
        <v>44196</v>
      </c>
      <c r="B2500" s="98" t="s">
        <v>470</v>
      </c>
      <c r="C2500" s="98" t="s">
        <v>242</v>
      </c>
      <c r="D2500" s="98" t="s">
        <v>471</v>
      </c>
      <c r="E2500" s="98" t="s">
        <v>244</v>
      </c>
      <c r="F2500" s="98">
        <v>464.07</v>
      </c>
    </row>
    <row r="2501" spans="1:6">
      <c r="A2501" s="6">
        <v>44196</v>
      </c>
      <c r="B2501" s="98"/>
      <c r="C2501" s="98" t="s">
        <v>262</v>
      </c>
      <c r="D2501" s="98" t="s">
        <v>471</v>
      </c>
      <c r="E2501" s="98" t="s">
        <v>244</v>
      </c>
      <c r="F2501" s="98">
        <v>1374.39</v>
      </c>
    </row>
    <row r="2502" spans="1:6">
      <c r="A2502" s="6">
        <v>44196</v>
      </c>
      <c r="B2502" s="98"/>
      <c r="C2502" s="98" t="s">
        <v>245</v>
      </c>
      <c r="D2502" s="98" t="s">
        <v>471</v>
      </c>
      <c r="E2502" s="98" t="s">
        <v>244</v>
      </c>
      <c r="F2502" s="98">
        <v>395.26</v>
      </c>
    </row>
    <row r="2503" spans="1:6">
      <c r="A2503" s="6">
        <v>44196</v>
      </c>
      <c r="B2503" s="98"/>
      <c r="C2503" s="98" t="s">
        <v>264</v>
      </c>
      <c r="D2503" s="98" t="s">
        <v>471</v>
      </c>
      <c r="E2503" s="98" t="s">
        <v>244</v>
      </c>
      <c r="F2503" s="98">
        <v>293.81</v>
      </c>
    </row>
    <row r="2504" spans="1:6">
      <c r="A2504" s="6">
        <v>44196</v>
      </c>
      <c r="B2504" s="98" t="s">
        <v>472</v>
      </c>
      <c r="C2504" s="98" t="s">
        <v>253</v>
      </c>
      <c r="D2504" s="98" t="s">
        <v>473</v>
      </c>
      <c r="E2504" s="98" t="s">
        <v>244</v>
      </c>
      <c r="F2504" s="98">
        <v>17.510000000000002</v>
      </c>
    </row>
    <row r="2505" spans="1:6">
      <c r="A2505" s="6">
        <v>44196</v>
      </c>
      <c r="B2505" s="98" t="s">
        <v>484</v>
      </c>
      <c r="C2505" s="98" t="s">
        <v>242</v>
      </c>
      <c r="D2505" s="98" t="s">
        <v>485</v>
      </c>
      <c r="E2505" s="98" t="s">
        <v>244</v>
      </c>
      <c r="F2505" s="98">
        <v>196.12</v>
      </c>
    </row>
    <row r="2506" spans="1:6">
      <c r="A2506" s="6">
        <v>44196</v>
      </c>
      <c r="B2506" s="98"/>
      <c r="C2506" s="98" t="s">
        <v>245</v>
      </c>
      <c r="D2506" s="98" t="s">
        <v>485</v>
      </c>
      <c r="E2506" s="98" t="s">
        <v>244</v>
      </c>
      <c r="F2506" s="98">
        <v>49.03</v>
      </c>
    </row>
    <row r="2507" spans="1:6">
      <c r="A2507" s="6">
        <v>44227</v>
      </c>
      <c r="B2507" s="98" t="s">
        <v>241</v>
      </c>
      <c r="C2507" s="98" t="s">
        <v>242</v>
      </c>
      <c r="D2507" s="98" t="s">
        <v>243</v>
      </c>
      <c r="E2507" s="98" t="s">
        <v>244</v>
      </c>
      <c r="F2507" s="98">
        <v>138.37</v>
      </c>
    </row>
    <row r="2508" spans="1:6">
      <c r="A2508" s="6">
        <v>44227</v>
      </c>
      <c r="B2508" s="98" t="s">
        <v>241</v>
      </c>
      <c r="C2508" s="98" t="s">
        <v>245</v>
      </c>
      <c r="D2508" s="98" t="s">
        <v>243</v>
      </c>
      <c r="E2508" s="98" t="s">
        <v>244</v>
      </c>
      <c r="F2508" s="98">
        <v>526.34</v>
      </c>
    </row>
    <row r="2509" spans="1:6">
      <c r="A2509" s="6">
        <v>44227</v>
      </c>
      <c r="B2509" s="98" t="s">
        <v>241</v>
      </c>
      <c r="C2509" s="98" t="s">
        <v>248</v>
      </c>
      <c r="D2509" s="98" t="s">
        <v>243</v>
      </c>
      <c r="E2509" s="98" t="s">
        <v>247</v>
      </c>
      <c r="F2509" s="98">
        <v>1504.76</v>
      </c>
    </row>
    <row r="2510" spans="1:6">
      <c r="A2510" s="6">
        <v>44227</v>
      </c>
      <c r="B2510" s="98" t="s">
        <v>250</v>
      </c>
      <c r="C2510" s="98" t="s">
        <v>259</v>
      </c>
      <c r="D2510" s="98" t="s">
        <v>252</v>
      </c>
      <c r="E2510" s="98" t="s">
        <v>258</v>
      </c>
      <c r="F2510" s="98">
        <v>18582.64</v>
      </c>
    </row>
    <row r="2511" spans="1:6">
      <c r="A2511" s="6">
        <v>44227</v>
      </c>
      <c r="B2511" s="98" t="s">
        <v>250</v>
      </c>
      <c r="C2511" s="98" t="s">
        <v>257</v>
      </c>
      <c r="D2511" s="98" t="s">
        <v>252</v>
      </c>
      <c r="E2511" s="98" t="s">
        <v>258</v>
      </c>
      <c r="F2511" s="98">
        <v>28984.12</v>
      </c>
    </row>
    <row r="2512" spans="1:6">
      <c r="A2512" s="6">
        <v>44227</v>
      </c>
      <c r="B2512" s="98" t="s">
        <v>250</v>
      </c>
      <c r="C2512" s="98" t="s">
        <v>255</v>
      </c>
      <c r="D2512" s="98" t="s">
        <v>252</v>
      </c>
      <c r="E2512" s="98" t="s">
        <v>247</v>
      </c>
      <c r="F2512" s="98">
        <v>1280.72</v>
      </c>
    </row>
    <row r="2513" spans="1:6">
      <c r="A2513" s="6">
        <v>44227</v>
      </c>
      <c r="B2513" s="98" t="s">
        <v>250</v>
      </c>
      <c r="C2513" s="98" t="s">
        <v>246</v>
      </c>
      <c r="D2513" s="98" t="s">
        <v>252</v>
      </c>
      <c r="E2513" s="98" t="s">
        <v>247</v>
      </c>
      <c r="F2513" s="98">
        <v>1023.7</v>
      </c>
    </row>
    <row r="2514" spans="1:6">
      <c r="A2514" s="6">
        <v>44227</v>
      </c>
      <c r="B2514" s="98" t="s">
        <v>250</v>
      </c>
      <c r="C2514" s="98" t="s">
        <v>251</v>
      </c>
      <c r="D2514" s="98" t="s">
        <v>252</v>
      </c>
      <c r="E2514" s="98" t="s">
        <v>244</v>
      </c>
      <c r="F2514" s="98">
        <v>111.26</v>
      </c>
    </row>
    <row r="2515" spans="1:6">
      <c r="A2515" s="6">
        <v>44227</v>
      </c>
      <c r="B2515" s="98" t="s">
        <v>250</v>
      </c>
      <c r="C2515" s="98" t="s">
        <v>253</v>
      </c>
      <c r="D2515" s="98" t="s">
        <v>252</v>
      </c>
      <c r="E2515" s="98" t="s">
        <v>244</v>
      </c>
      <c r="F2515" s="98">
        <v>52.26</v>
      </c>
    </row>
    <row r="2516" spans="1:6">
      <c r="A2516" s="6">
        <v>44227</v>
      </c>
      <c r="B2516" s="98" t="s">
        <v>250</v>
      </c>
      <c r="C2516" s="98" t="s">
        <v>254</v>
      </c>
      <c r="D2516" s="98" t="s">
        <v>252</v>
      </c>
      <c r="E2516" s="98" t="s">
        <v>244</v>
      </c>
      <c r="F2516" s="98">
        <v>279.02999999999997</v>
      </c>
    </row>
    <row r="2517" spans="1:6">
      <c r="A2517" s="6">
        <v>44227</v>
      </c>
      <c r="B2517" s="98" t="s">
        <v>250</v>
      </c>
      <c r="C2517" s="98" t="s">
        <v>256</v>
      </c>
      <c r="D2517" s="98" t="s">
        <v>252</v>
      </c>
      <c r="E2517" s="98" t="s">
        <v>247</v>
      </c>
      <c r="F2517" s="98">
        <v>5898.32</v>
      </c>
    </row>
    <row r="2518" spans="1:6">
      <c r="A2518" s="6">
        <v>44227</v>
      </c>
      <c r="B2518" s="98" t="s">
        <v>261</v>
      </c>
      <c r="C2518" s="98" t="s">
        <v>266</v>
      </c>
      <c r="D2518" s="98" t="s">
        <v>263</v>
      </c>
      <c r="E2518" s="98" t="s">
        <v>258</v>
      </c>
      <c r="F2518" s="98">
        <v>12488.77</v>
      </c>
    </row>
    <row r="2519" spans="1:6">
      <c r="A2519" s="6">
        <v>44227</v>
      </c>
      <c r="B2519" s="98" t="s">
        <v>261</v>
      </c>
      <c r="C2519" s="98" t="s">
        <v>265</v>
      </c>
      <c r="D2519" s="98" t="s">
        <v>263</v>
      </c>
      <c r="E2519" s="98" t="s">
        <v>247</v>
      </c>
      <c r="F2519" s="98">
        <v>2425.27</v>
      </c>
    </row>
    <row r="2520" spans="1:6">
      <c r="A2520" s="6">
        <v>44227</v>
      </c>
      <c r="B2520" s="98" t="s">
        <v>261</v>
      </c>
      <c r="C2520" s="98" t="s">
        <v>272</v>
      </c>
      <c r="D2520" s="98" t="s">
        <v>263</v>
      </c>
      <c r="E2520" s="98" t="s">
        <v>247</v>
      </c>
      <c r="F2520" s="98">
        <v>6279.2</v>
      </c>
    </row>
    <row r="2521" spans="1:6">
      <c r="A2521" s="6">
        <v>44227</v>
      </c>
      <c r="B2521" s="98" t="s">
        <v>261</v>
      </c>
      <c r="C2521" s="98" t="s">
        <v>260</v>
      </c>
      <c r="D2521" s="98" t="s">
        <v>263</v>
      </c>
      <c r="E2521" s="98" t="s">
        <v>258</v>
      </c>
      <c r="F2521" s="98">
        <v>7528.9</v>
      </c>
    </row>
    <row r="2522" spans="1:6">
      <c r="A2522" s="6">
        <v>44227</v>
      </c>
      <c r="B2522" s="98" t="s">
        <v>261</v>
      </c>
      <c r="C2522" s="98" t="s">
        <v>262</v>
      </c>
      <c r="D2522" s="98" t="s">
        <v>263</v>
      </c>
      <c r="E2522" s="98" t="s">
        <v>244</v>
      </c>
      <c r="F2522" s="98">
        <v>135.43</v>
      </c>
    </row>
    <row r="2523" spans="1:6">
      <c r="A2523" s="6">
        <v>44227</v>
      </c>
      <c r="B2523" s="98" t="s">
        <v>261</v>
      </c>
      <c r="C2523" s="98" t="s">
        <v>253</v>
      </c>
      <c r="D2523" s="98" t="s">
        <v>263</v>
      </c>
      <c r="E2523" s="98" t="s">
        <v>244</v>
      </c>
      <c r="F2523" s="98">
        <v>99.96</v>
      </c>
    </row>
    <row r="2524" spans="1:6">
      <c r="A2524" s="6">
        <v>44227</v>
      </c>
      <c r="B2524" s="98" t="s">
        <v>261</v>
      </c>
      <c r="C2524" s="98" t="s">
        <v>245</v>
      </c>
      <c r="D2524" s="98" t="s">
        <v>263</v>
      </c>
      <c r="E2524" s="98" t="s">
        <v>244</v>
      </c>
      <c r="F2524" s="98">
        <v>58.24</v>
      </c>
    </row>
    <row r="2525" spans="1:6">
      <c r="A2525" s="6">
        <v>44227</v>
      </c>
      <c r="B2525" s="98" t="s">
        <v>261</v>
      </c>
      <c r="C2525" s="98" t="s">
        <v>264</v>
      </c>
      <c r="D2525" s="98" t="s">
        <v>263</v>
      </c>
      <c r="E2525" s="98" t="s">
        <v>244</v>
      </c>
      <c r="F2525" s="98">
        <v>632.66999999999996</v>
      </c>
    </row>
    <row r="2526" spans="1:6">
      <c r="A2526" s="6">
        <v>44227</v>
      </c>
      <c r="B2526" s="98" t="s">
        <v>261</v>
      </c>
      <c r="C2526" s="98" t="s">
        <v>248</v>
      </c>
      <c r="D2526" s="98" t="s">
        <v>263</v>
      </c>
      <c r="E2526" s="98" t="s">
        <v>247</v>
      </c>
      <c r="F2526" s="98">
        <v>7607.17</v>
      </c>
    </row>
    <row r="2527" spans="1:6">
      <c r="A2527" s="6">
        <v>44227</v>
      </c>
      <c r="B2527" s="98" t="s">
        <v>267</v>
      </c>
      <c r="C2527" s="98" t="s">
        <v>266</v>
      </c>
      <c r="D2527" s="98" t="s">
        <v>268</v>
      </c>
      <c r="E2527" s="98" t="s">
        <v>258</v>
      </c>
      <c r="F2527" s="98">
        <v>11222.26</v>
      </c>
    </row>
    <row r="2528" spans="1:6">
      <c r="A2528" s="6">
        <v>44227</v>
      </c>
      <c r="B2528" s="98" t="s">
        <v>267</v>
      </c>
      <c r="C2528" s="98" t="s">
        <v>265</v>
      </c>
      <c r="D2528" s="98" t="s">
        <v>268</v>
      </c>
      <c r="E2528" s="98" t="s">
        <v>247</v>
      </c>
      <c r="F2528" s="98">
        <v>2362.54</v>
      </c>
    </row>
    <row r="2529" spans="1:6">
      <c r="A2529" s="6">
        <v>44227</v>
      </c>
      <c r="B2529" s="98" t="s">
        <v>267</v>
      </c>
      <c r="C2529" s="98" t="s">
        <v>560</v>
      </c>
      <c r="D2529" s="98" t="s">
        <v>268</v>
      </c>
      <c r="E2529" s="98" t="s">
        <v>247</v>
      </c>
      <c r="F2529" s="98">
        <v>411.66</v>
      </c>
    </row>
    <row r="2530" spans="1:6">
      <c r="A2530" s="6">
        <v>44227</v>
      </c>
      <c r="B2530" s="98" t="s">
        <v>267</v>
      </c>
      <c r="C2530" s="98" t="s">
        <v>260</v>
      </c>
      <c r="D2530" s="98" t="s">
        <v>268</v>
      </c>
      <c r="E2530" s="98" t="s">
        <v>258</v>
      </c>
      <c r="F2530" s="98">
        <v>7756.88</v>
      </c>
    </row>
    <row r="2531" spans="1:6">
      <c r="A2531" s="6">
        <v>44227</v>
      </c>
      <c r="B2531" s="98" t="s">
        <v>267</v>
      </c>
      <c r="C2531" s="98" t="s">
        <v>242</v>
      </c>
      <c r="D2531" s="98" t="s">
        <v>268</v>
      </c>
      <c r="E2531" s="98" t="s">
        <v>244</v>
      </c>
      <c r="F2531" s="98">
        <v>172.63</v>
      </c>
    </row>
    <row r="2532" spans="1:6">
      <c r="A2532" s="6">
        <v>44227</v>
      </c>
      <c r="B2532" s="98" t="s">
        <v>267</v>
      </c>
      <c r="C2532" s="98" t="s">
        <v>253</v>
      </c>
      <c r="D2532" s="98" t="s">
        <v>268</v>
      </c>
      <c r="E2532" s="98" t="s">
        <v>244</v>
      </c>
      <c r="F2532" s="98">
        <v>120.92</v>
      </c>
    </row>
    <row r="2533" spans="1:6">
      <c r="A2533" s="6">
        <v>44227</v>
      </c>
      <c r="B2533" s="98" t="s">
        <v>267</v>
      </c>
      <c r="C2533" s="98" t="s">
        <v>264</v>
      </c>
      <c r="D2533" s="98" t="s">
        <v>268</v>
      </c>
      <c r="E2533" s="98" t="s">
        <v>244</v>
      </c>
      <c r="F2533" s="98">
        <v>221.54</v>
      </c>
    </row>
    <row r="2534" spans="1:6">
      <c r="A2534" s="6">
        <v>44227</v>
      </c>
      <c r="B2534" s="98" t="s">
        <v>267</v>
      </c>
      <c r="C2534" s="98" t="s">
        <v>254</v>
      </c>
      <c r="D2534" s="98" t="s">
        <v>268</v>
      </c>
      <c r="E2534" s="98" t="s">
        <v>244</v>
      </c>
      <c r="F2534" s="98">
        <v>100.05</v>
      </c>
    </row>
    <row r="2535" spans="1:6">
      <c r="A2535" s="6">
        <v>44227</v>
      </c>
      <c r="B2535" s="98" t="s">
        <v>267</v>
      </c>
      <c r="C2535" s="98" t="s">
        <v>248</v>
      </c>
      <c r="D2535" s="98" t="s">
        <v>268</v>
      </c>
      <c r="E2535" s="98" t="s">
        <v>247</v>
      </c>
      <c r="F2535" s="98">
        <v>8980.6</v>
      </c>
    </row>
    <row r="2536" spans="1:6">
      <c r="A2536" s="6">
        <v>44227</v>
      </c>
      <c r="B2536" s="98" t="s">
        <v>269</v>
      </c>
      <c r="C2536" s="98" t="s">
        <v>255</v>
      </c>
      <c r="D2536" s="98" t="s">
        <v>270</v>
      </c>
      <c r="E2536" s="98" t="s">
        <v>247</v>
      </c>
      <c r="F2536" s="98">
        <v>943.42</v>
      </c>
    </row>
    <row r="2537" spans="1:6">
      <c r="A2537" s="6">
        <v>44227</v>
      </c>
      <c r="B2537" s="98" t="s">
        <v>269</v>
      </c>
      <c r="C2537" s="98" t="s">
        <v>246</v>
      </c>
      <c r="D2537" s="98" t="s">
        <v>270</v>
      </c>
      <c r="E2537" s="98" t="s">
        <v>247</v>
      </c>
      <c r="F2537" s="98">
        <v>2188.2600000000002</v>
      </c>
    </row>
    <row r="2538" spans="1:6">
      <c r="A2538" s="6">
        <v>44227</v>
      </c>
      <c r="B2538" s="98" t="s">
        <v>269</v>
      </c>
      <c r="C2538" s="98" t="s">
        <v>265</v>
      </c>
      <c r="D2538" s="98" t="s">
        <v>270</v>
      </c>
      <c r="E2538" s="98" t="s">
        <v>247</v>
      </c>
      <c r="F2538" s="98">
        <v>793.86</v>
      </c>
    </row>
    <row r="2539" spans="1:6">
      <c r="A2539" s="6">
        <v>44227</v>
      </c>
      <c r="B2539" s="98" t="s">
        <v>269</v>
      </c>
      <c r="C2539" s="98" t="s">
        <v>273</v>
      </c>
      <c r="D2539" s="98" t="s">
        <v>270</v>
      </c>
      <c r="E2539" s="98" t="s">
        <v>247</v>
      </c>
      <c r="F2539" s="98">
        <v>2410.85</v>
      </c>
    </row>
    <row r="2540" spans="1:6">
      <c r="A2540" s="6">
        <v>44227</v>
      </c>
      <c r="B2540" s="98" t="s">
        <v>269</v>
      </c>
      <c r="C2540" s="98" t="s">
        <v>242</v>
      </c>
      <c r="D2540" s="98" t="s">
        <v>270</v>
      </c>
      <c r="E2540" s="98" t="s">
        <v>244</v>
      </c>
      <c r="F2540" s="98">
        <v>361.1</v>
      </c>
    </row>
    <row r="2541" spans="1:6">
      <c r="A2541" s="6">
        <v>44227</v>
      </c>
      <c r="B2541" s="98" t="s">
        <v>269</v>
      </c>
      <c r="C2541" s="98" t="s">
        <v>251</v>
      </c>
      <c r="D2541" s="98" t="s">
        <v>270</v>
      </c>
      <c r="E2541" s="98" t="s">
        <v>244</v>
      </c>
      <c r="F2541" s="98">
        <v>4.33</v>
      </c>
    </row>
    <row r="2542" spans="1:6">
      <c r="A2542" s="6">
        <v>44227</v>
      </c>
      <c r="B2542" s="98" t="s">
        <v>269</v>
      </c>
      <c r="C2542" s="98" t="s">
        <v>245</v>
      </c>
      <c r="D2542" s="98" t="s">
        <v>270</v>
      </c>
      <c r="E2542" s="98" t="s">
        <v>244</v>
      </c>
      <c r="F2542" s="98">
        <v>319.5</v>
      </c>
    </row>
    <row r="2543" spans="1:6">
      <c r="A2543" s="6">
        <v>44227</v>
      </c>
      <c r="B2543" s="98" t="s">
        <v>269</v>
      </c>
      <c r="C2543" s="98" t="s">
        <v>264</v>
      </c>
      <c r="D2543" s="98" t="s">
        <v>270</v>
      </c>
      <c r="E2543" s="98" t="s">
        <v>244</v>
      </c>
      <c r="F2543" s="98">
        <v>165.88</v>
      </c>
    </row>
    <row r="2544" spans="1:6">
      <c r="A2544" s="6">
        <v>44227</v>
      </c>
      <c r="B2544" s="98" t="s">
        <v>269</v>
      </c>
      <c r="C2544" s="98" t="s">
        <v>271</v>
      </c>
      <c r="D2544" s="98" t="s">
        <v>270</v>
      </c>
      <c r="E2544" s="98" t="s">
        <v>244</v>
      </c>
      <c r="F2544" s="98">
        <v>22.61</v>
      </c>
    </row>
    <row r="2545" spans="1:6">
      <c r="A2545" s="6">
        <v>44227</v>
      </c>
      <c r="B2545" s="98" t="s">
        <v>275</v>
      </c>
      <c r="C2545" s="98" t="s">
        <v>259</v>
      </c>
      <c r="D2545" s="98" t="s">
        <v>276</v>
      </c>
      <c r="E2545" s="98" t="s">
        <v>258</v>
      </c>
      <c r="F2545" s="98">
        <v>35101.550000000003</v>
      </c>
    </row>
    <row r="2546" spans="1:6">
      <c r="A2546" s="6">
        <v>44227</v>
      </c>
      <c r="B2546" s="98" t="s">
        <v>275</v>
      </c>
      <c r="C2546" s="98" t="s">
        <v>257</v>
      </c>
      <c r="D2546" s="98" t="s">
        <v>276</v>
      </c>
      <c r="E2546" s="98" t="s">
        <v>258</v>
      </c>
      <c r="F2546" s="98">
        <v>48027.63</v>
      </c>
    </row>
    <row r="2547" spans="1:6">
      <c r="A2547" s="6">
        <v>44227</v>
      </c>
      <c r="B2547" s="98" t="s">
        <v>275</v>
      </c>
      <c r="C2547" s="98" t="s">
        <v>278</v>
      </c>
      <c r="D2547" s="98" t="s">
        <v>276</v>
      </c>
      <c r="E2547" s="98" t="s">
        <v>247</v>
      </c>
      <c r="F2547" s="98">
        <v>2611.5700000000002</v>
      </c>
    </row>
    <row r="2548" spans="1:6">
      <c r="A2548" s="6">
        <v>44227</v>
      </c>
      <c r="B2548" s="98" t="s">
        <v>275</v>
      </c>
      <c r="C2548" s="98" t="s">
        <v>286</v>
      </c>
      <c r="D2548" s="98" t="s">
        <v>276</v>
      </c>
      <c r="E2548" s="98" t="s">
        <v>247</v>
      </c>
      <c r="F2548" s="98">
        <v>1910.68</v>
      </c>
    </row>
    <row r="2549" spans="1:6">
      <c r="A2549" s="6">
        <v>44227</v>
      </c>
      <c r="B2549" s="98" t="s">
        <v>275</v>
      </c>
      <c r="C2549" s="98" t="s">
        <v>283</v>
      </c>
      <c r="D2549" s="98" t="s">
        <v>276</v>
      </c>
      <c r="E2549" s="98" t="s">
        <v>247</v>
      </c>
      <c r="F2549" s="98">
        <v>2388.34</v>
      </c>
    </row>
    <row r="2550" spans="1:6">
      <c r="A2550" s="6">
        <v>44227</v>
      </c>
      <c r="B2550" s="98" t="s">
        <v>275</v>
      </c>
      <c r="C2550" s="98" t="s">
        <v>246</v>
      </c>
      <c r="D2550" s="98" t="s">
        <v>276</v>
      </c>
      <c r="E2550" s="98" t="s">
        <v>247</v>
      </c>
      <c r="F2550" s="98">
        <v>3836.55</v>
      </c>
    </row>
    <row r="2551" spans="1:6">
      <c r="A2551" s="6">
        <v>44227</v>
      </c>
      <c r="B2551" s="98" t="s">
        <v>275</v>
      </c>
      <c r="C2551" s="98" t="s">
        <v>281</v>
      </c>
      <c r="D2551" s="98" t="s">
        <v>276</v>
      </c>
      <c r="E2551" s="98" t="s">
        <v>247</v>
      </c>
      <c r="F2551" s="98">
        <v>14150.84</v>
      </c>
    </row>
    <row r="2552" spans="1:6">
      <c r="A2552" s="6">
        <v>44227</v>
      </c>
      <c r="B2552" s="98" t="s">
        <v>275</v>
      </c>
      <c r="C2552" s="98" t="s">
        <v>272</v>
      </c>
      <c r="D2552" s="98" t="s">
        <v>276</v>
      </c>
      <c r="E2552" s="98" t="s">
        <v>247</v>
      </c>
      <c r="F2552" s="98">
        <v>1564.88</v>
      </c>
    </row>
    <row r="2553" spans="1:6">
      <c r="A2553" s="6">
        <v>44227</v>
      </c>
      <c r="B2553" s="98" t="s">
        <v>275</v>
      </c>
      <c r="C2553" s="98" t="s">
        <v>260</v>
      </c>
      <c r="D2553" s="98" t="s">
        <v>276</v>
      </c>
      <c r="E2553" s="98" t="s">
        <v>258</v>
      </c>
      <c r="F2553" s="98">
        <v>10298.200000000001</v>
      </c>
    </row>
    <row r="2554" spans="1:6">
      <c r="A2554" s="6">
        <v>44227</v>
      </c>
      <c r="B2554" s="98" t="s">
        <v>275</v>
      </c>
      <c r="C2554" s="98" t="s">
        <v>249</v>
      </c>
      <c r="D2554" s="98" t="s">
        <v>276</v>
      </c>
      <c r="E2554" s="98" t="s">
        <v>247</v>
      </c>
      <c r="F2554" s="98">
        <v>1182.0899999999999</v>
      </c>
    </row>
    <row r="2555" spans="1:6">
      <c r="A2555" s="6">
        <v>44227</v>
      </c>
      <c r="B2555" s="98" t="s">
        <v>275</v>
      </c>
      <c r="C2555" s="98" t="s">
        <v>465</v>
      </c>
      <c r="D2555" s="98" t="s">
        <v>276</v>
      </c>
      <c r="E2555" s="98" t="s">
        <v>247</v>
      </c>
      <c r="F2555" s="98">
        <v>2388.34</v>
      </c>
    </row>
    <row r="2556" spans="1:6">
      <c r="A2556" s="6">
        <v>44227</v>
      </c>
      <c r="B2556" s="98" t="s">
        <v>275</v>
      </c>
      <c r="C2556" s="98" t="s">
        <v>242</v>
      </c>
      <c r="D2556" s="98" t="s">
        <v>276</v>
      </c>
      <c r="E2556" s="98" t="s">
        <v>244</v>
      </c>
      <c r="F2556" s="98">
        <v>115.88</v>
      </c>
    </row>
    <row r="2557" spans="1:6">
      <c r="A2557" s="6">
        <v>44227</v>
      </c>
      <c r="B2557" s="98" t="s">
        <v>275</v>
      </c>
      <c r="C2557" s="98" t="s">
        <v>262</v>
      </c>
      <c r="D2557" s="98" t="s">
        <v>276</v>
      </c>
      <c r="E2557" s="98" t="s">
        <v>244</v>
      </c>
      <c r="F2557" s="98">
        <v>1965.09</v>
      </c>
    </row>
    <row r="2558" spans="1:6">
      <c r="A2558" s="6">
        <v>44227</v>
      </c>
      <c r="B2558" s="98" t="s">
        <v>275</v>
      </c>
      <c r="C2558" s="98" t="s">
        <v>251</v>
      </c>
      <c r="D2558" s="98" t="s">
        <v>276</v>
      </c>
      <c r="E2558" s="98" t="s">
        <v>244</v>
      </c>
      <c r="F2558" s="98">
        <v>63.68</v>
      </c>
    </row>
    <row r="2559" spans="1:6">
      <c r="A2559" s="6">
        <v>44227</v>
      </c>
      <c r="B2559" s="98" t="s">
        <v>275</v>
      </c>
      <c r="C2559" s="98" t="s">
        <v>253</v>
      </c>
      <c r="D2559" s="98" t="s">
        <v>276</v>
      </c>
      <c r="E2559" s="98" t="s">
        <v>244</v>
      </c>
      <c r="F2559" s="98">
        <v>30.92</v>
      </c>
    </row>
    <row r="2560" spans="1:6">
      <c r="A2560" s="6">
        <v>44227</v>
      </c>
      <c r="B2560" s="98" t="s">
        <v>275</v>
      </c>
      <c r="C2560" s="98" t="s">
        <v>245</v>
      </c>
      <c r="D2560" s="98" t="s">
        <v>276</v>
      </c>
      <c r="E2560" s="98" t="s">
        <v>244</v>
      </c>
      <c r="F2560" s="98">
        <v>69.61</v>
      </c>
    </row>
    <row r="2561" spans="1:6">
      <c r="A2561" s="6">
        <v>44227</v>
      </c>
      <c r="B2561" s="98" t="s">
        <v>275</v>
      </c>
      <c r="C2561" s="98" t="s">
        <v>264</v>
      </c>
      <c r="D2561" s="98" t="s">
        <v>276</v>
      </c>
      <c r="E2561" s="98" t="s">
        <v>244</v>
      </c>
      <c r="F2561" s="98">
        <v>553.54</v>
      </c>
    </row>
    <row r="2562" spans="1:6">
      <c r="A2562" s="6">
        <v>44227</v>
      </c>
      <c r="B2562" s="98" t="s">
        <v>275</v>
      </c>
      <c r="C2562" s="98" t="s">
        <v>271</v>
      </c>
      <c r="D2562" s="98" t="s">
        <v>276</v>
      </c>
      <c r="E2562" s="98" t="s">
        <v>244</v>
      </c>
      <c r="F2562" s="98">
        <v>57.34</v>
      </c>
    </row>
    <row r="2563" spans="1:6">
      <c r="A2563" s="6">
        <v>44227</v>
      </c>
      <c r="B2563" s="98" t="s">
        <v>275</v>
      </c>
      <c r="C2563" s="98" t="s">
        <v>254</v>
      </c>
      <c r="D2563" s="98" t="s">
        <v>276</v>
      </c>
      <c r="E2563" s="98" t="s">
        <v>244</v>
      </c>
      <c r="F2563" s="98">
        <v>258.52999999999997</v>
      </c>
    </row>
    <row r="2564" spans="1:6">
      <c r="A2564" s="6">
        <v>44227</v>
      </c>
      <c r="B2564" s="98" t="s">
        <v>275</v>
      </c>
      <c r="C2564" s="98" t="s">
        <v>285</v>
      </c>
      <c r="D2564" s="98" t="s">
        <v>276</v>
      </c>
      <c r="E2564" s="98" t="s">
        <v>247</v>
      </c>
      <c r="F2564" s="98">
        <v>9534.9500000000007</v>
      </c>
    </row>
    <row r="2565" spans="1:6">
      <c r="A2565" s="6">
        <v>44227</v>
      </c>
      <c r="B2565" s="98" t="s">
        <v>275</v>
      </c>
      <c r="C2565" s="98" t="s">
        <v>280</v>
      </c>
      <c r="D2565" s="98" t="s">
        <v>276</v>
      </c>
      <c r="E2565" s="98" t="s">
        <v>247</v>
      </c>
      <c r="F2565" s="98">
        <v>9055.34</v>
      </c>
    </row>
    <row r="2566" spans="1:6">
      <c r="A2566" s="6">
        <v>44227</v>
      </c>
      <c r="B2566" s="98" t="s">
        <v>275</v>
      </c>
      <c r="C2566" s="98" t="s">
        <v>277</v>
      </c>
      <c r="D2566" s="98" t="s">
        <v>276</v>
      </c>
      <c r="E2566" s="98" t="s">
        <v>247</v>
      </c>
      <c r="F2566" s="98">
        <v>6051.37</v>
      </c>
    </row>
    <row r="2567" spans="1:6">
      <c r="A2567" s="6">
        <v>44227</v>
      </c>
      <c r="B2567" s="98" t="s">
        <v>275</v>
      </c>
      <c r="C2567" s="98" t="s">
        <v>256</v>
      </c>
      <c r="D2567" s="98" t="s">
        <v>276</v>
      </c>
      <c r="E2567" s="98" t="s">
        <v>247</v>
      </c>
      <c r="F2567" s="98">
        <v>2441.21</v>
      </c>
    </row>
    <row r="2568" spans="1:6">
      <c r="A2568" s="6">
        <v>44227</v>
      </c>
      <c r="B2568" s="98" t="s">
        <v>275</v>
      </c>
      <c r="C2568" s="98" t="s">
        <v>279</v>
      </c>
      <c r="D2568" s="98" t="s">
        <v>276</v>
      </c>
      <c r="E2568" s="98" t="s">
        <v>247</v>
      </c>
      <c r="F2568" s="98">
        <v>12634.27</v>
      </c>
    </row>
    <row r="2569" spans="1:6">
      <c r="A2569" s="6">
        <v>44227</v>
      </c>
      <c r="B2569" s="98" t="s">
        <v>275</v>
      </c>
      <c r="C2569" s="98" t="s">
        <v>248</v>
      </c>
      <c r="D2569" s="98" t="s">
        <v>276</v>
      </c>
      <c r="E2569" s="98" t="s">
        <v>247</v>
      </c>
      <c r="F2569" s="98">
        <v>11766.68</v>
      </c>
    </row>
    <row r="2570" spans="1:6">
      <c r="A2570" s="6">
        <v>44227</v>
      </c>
      <c r="B2570" s="98" t="s">
        <v>275</v>
      </c>
      <c r="C2570" s="98" t="s">
        <v>282</v>
      </c>
      <c r="D2570" s="98" t="s">
        <v>276</v>
      </c>
      <c r="E2570" s="98" t="s">
        <v>247</v>
      </c>
      <c r="F2570" s="98">
        <v>4047.28</v>
      </c>
    </row>
    <row r="2571" spans="1:6">
      <c r="A2571" s="6">
        <v>44227</v>
      </c>
      <c r="B2571" s="98" t="s">
        <v>287</v>
      </c>
      <c r="C2571" s="98" t="s">
        <v>259</v>
      </c>
      <c r="D2571" s="98" t="s">
        <v>288</v>
      </c>
      <c r="E2571" s="98" t="s">
        <v>258</v>
      </c>
      <c r="F2571" s="98">
        <v>9582.4500000000007</v>
      </c>
    </row>
    <row r="2572" spans="1:6">
      <c r="A2572" s="6">
        <v>44227</v>
      </c>
      <c r="B2572" s="98" t="s">
        <v>287</v>
      </c>
      <c r="C2572" s="98" t="s">
        <v>266</v>
      </c>
      <c r="D2572" s="98" t="s">
        <v>288</v>
      </c>
      <c r="E2572" s="98" t="s">
        <v>258</v>
      </c>
      <c r="F2572" s="98">
        <v>254742.86</v>
      </c>
    </row>
    <row r="2573" spans="1:6">
      <c r="A2573" s="6">
        <v>44227</v>
      </c>
      <c r="B2573" s="98" t="s">
        <v>287</v>
      </c>
      <c r="C2573" s="98" t="s">
        <v>257</v>
      </c>
      <c r="D2573" s="98" t="s">
        <v>288</v>
      </c>
      <c r="E2573" s="98" t="s">
        <v>258</v>
      </c>
      <c r="F2573" s="98">
        <v>27629.55</v>
      </c>
    </row>
    <row r="2574" spans="1:6">
      <c r="A2574" s="6">
        <v>44227</v>
      </c>
      <c r="B2574" s="98" t="s">
        <v>287</v>
      </c>
      <c r="C2574" s="98" t="s">
        <v>255</v>
      </c>
      <c r="D2574" s="98" t="s">
        <v>288</v>
      </c>
      <c r="E2574" s="98" t="s">
        <v>247</v>
      </c>
      <c r="F2574" s="98">
        <v>2693.39</v>
      </c>
    </row>
    <row r="2575" spans="1:6">
      <c r="A2575" s="6">
        <v>44227</v>
      </c>
      <c r="B2575" s="98" t="s">
        <v>287</v>
      </c>
      <c r="C2575" s="98" t="s">
        <v>278</v>
      </c>
      <c r="D2575" s="98" t="s">
        <v>288</v>
      </c>
      <c r="E2575" s="98" t="s">
        <v>247</v>
      </c>
      <c r="F2575" s="98">
        <v>6651.48</v>
      </c>
    </row>
    <row r="2576" spans="1:6">
      <c r="A2576" s="6">
        <v>44227</v>
      </c>
      <c r="B2576" s="98" t="s">
        <v>287</v>
      </c>
      <c r="C2576" s="98" t="s">
        <v>290</v>
      </c>
      <c r="D2576" s="98" t="s">
        <v>288</v>
      </c>
      <c r="E2576" s="98" t="s">
        <v>247</v>
      </c>
      <c r="F2576" s="98">
        <v>617.89</v>
      </c>
    </row>
    <row r="2577" spans="1:6">
      <c r="A2577" s="6">
        <v>44227</v>
      </c>
      <c r="B2577" s="98" t="s">
        <v>287</v>
      </c>
      <c r="C2577" s="98" t="s">
        <v>246</v>
      </c>
      <c r="D2577" s="98" t="s">
        <v>288</v>
      </c>
      <c r="E2577" s="98" t="s">
        <v>247</v>
      </c>
      <c r="F2577" s="98">
        <v>3070.84</v>
      </c>
    </row>
    <row r="2578" spans="1:6">
      <c r="A2578" s="6">
        <v>44227</v>
      </c>
      <c r="B2578" s="98" t="s">
        <v>287</v>
      </c>
      <c r="C2578" s="98" t="s">
        <v>265</v>
      </c>
      <c r="D2578" s="98" t="s">
        <v>288</v>
      </c>
      <c r="E2578" s="98" t="s">
        <v>247</v>
      </c>
      <c r="F2578" s="98">
        <v>1849.22</v>
      </c>
    </row>
    <row r="2579" spans="1:6">
      <c r="A2579" s="6">
        <v>44227</v>
      </c>
      <c r="B2579" s="98" t="s">
        <v>287</v>
      </c>
      <c r="C2579" s="98" t="s">
        <v>289</v>
      </c>
      <c r="D2579" s="98" t="s">
        <v>288</v>
      </c>
      <c r="E2579" s="98" t="s">
        <v>247</v>
      </c>
      <c r="F2579" s="98">
        <v>313.27</v>
      </c>
    </row>
    <row r="2580" spans="1:6">
      <c r="A2580" s="6">
        <v>44227</v>
      </c>
      <c r="B2580" s="98" t="s">
        <v>287</v>
      </c>
      <c r="C2580" s="98" t="s">
        <v>272</v>
      </c>
      <c r="D2580" s="98" t="s">
        <v>288</v>
      </c>
      <c r="E2580" s="98" t="s">
        <v>247</v>
      </c>
      <c r="F2580" s="98">
        <v>744.86</v>
      </c>
    </row>
    <row r="2581" spans="1:6">
      <c r="A2581" s="6">
        <v>44227</v>
      </c>
      <c r="B2581" s="98" t="s">
        <v>287</v>
      </c>
      <c r="C2581" s="98" t="s">
        <v>560</v>
      </c>
      <c r="D2581" s="98" t="s">
        <v>288</v>
      </c>
      <c r="E2581" s="98" t="s">
        <v>247</v>
      </c>
      <c r="F2581" s="98">
        <v>1112.45</v>
      </c>
    </row>
    <row r="2582" spans="1:6">
      <c r="A2582" s="6">
        <v>44227</v>
      </c>
      <c r="B2582" s="98" t="s">
        <v>287</v>
      </c>
      <c r="C2582" s="98" t="s">
        <v>260</v>
      </c>
      <c r="D2582" s="98" t="s">
        <v>288</v>
      </c>
      <c r="E2582" s="98" t="s">
        <v>258</v>
      </c>
      <c r="F2582" s="98">
        <v>9724.4599999999991</v>
      </c>
    </row>
    <row r="2583" spans="1:6">
      <c r="A2583" s="6">
        <v>44227</v>
      </c>
      <c r="B2583" s="98" t="s">
        <v>287</v>
      </c>
      <c r="C2583" s="98" t="s">
        <v>249</v>
      </c>
      <c r="D2583" s="98" t="s">
        <v>288</v>
      </c>
      <c r="E2583" s="98" t="s">
        <v>247</v>
      </c>
      <c r="F2583" s="98">
        <v>2922</v>
      </c>
    </row>
    <row r="2584" spans="1:6">
      <c r="A2584" s="6">
        <v>44227</v>
      </c>
      <c r="B2584" s="98" t="s">
        <v>287</v>
      </c>
      <c r="C2584" s="98" t="s">
        <v>242</v>
      </c>
      <c r="D2584" s="98" t="s">
        <v>288</v>
      </c>
      <c r="E2584" s="98" t="s">
        <v>244</v>
      </c>
      <c r="F2584" s="98">
        <v>1806.09</v>
      </c>
    </row>
    <row r="2585" spans="1:6">
      <c r="A2585" s="6">
        <v>44227</v>
      </c>
      <c r="B2585" s="98" t="s">
        <v>287</v>
      </c>
      <c r="C2585" s="98" t="s">
        <v>262</v>
      </c>
      <c r="D2585" s="98" t="s">
        <v>288</v>
      </c>
      <c r="E2585" s="98" t="s">
        <v>244</v>
      </c>
      <c r="F2585" s="98">
        <v>11128.26</v>
      </c>
    </row>
    <row r="2586" spans="1:6">
      <c r="A2586" s="6">
        <v>44227</v>
      </c>
      <c r="B2586" s="98" t="s">
        <v>287</v>
      </c>
      <c r="C2586" s="98" t="s">
        <v>251</v>
      </c>
      <c r="D2586" s="98" t="s">
        <v>288</v>
      </c>
      <c r="E2586" s="98" t="s">
        <v>244</v>
      </c>
      <c r="F2586" s="98">
        <v>77.489999999999995</v>
      </c>
    </row>
    <row r="2587" spans="1:6">
      <c r="A2587" s="6">
        <v>44227</v>
      </c>
      <c r="B2587" s="98" t="s">
        <v>287</v>
      </c>
      <c r="C2587" s="98" t="s">
        <v>253</v>
      </c>
      <c r="D2587" s="98" t="s">
        <v>288</v>
      </c>
      <c r="E2587" s="98" t="s">
        <v>244</v>
      </c>
      <c r="F2587" s="98">
        <v>35.51</v>
      </c>
    </row>
    <row r="2588" spans="1:6">
      <c r="A2588" s="6">
        <v>44227</v>
      </c>
      <c r="B2588" s="98" t="s">
        <v>287</v>
      </c>
      <c r="C2588" s="98" t="s">
        <v>245</v>
      </c>
      <c r="D2588" s="98" t="s">
        <v>288</v>
      </c>
      <c r="E2588" s="98" t="s">
        <v>244</v>
      </c>
      <c r="F2588" s="98">
        <v>3296.88</v>
      </c>
    </row>
    <row r="2589" spans="1:6">
      <c r="A2589" s="6">
        <v>44227</v>
      </c>
      <c r="B2589" s="98" t="s">
        <v>287</v>
      </c>
      <c r="C2589" s="98" t="s">
        <v>264</v>
      </c>
      <c r="D2589" s="98" t="s">
        <v>288</v>
      </c>
      <c r="E2589" s="98" t="s">
        <v>244</v>
      </c>
      <c r="F2589" s="98">
        <v>1043.5</v>
      </c>
    </row>
    <row r="2590" spans="1:6">
      <c r="A2590" s="6">
        <v>44227</v>
      </c>
      <c r="B2590" s="98" t="s">
        <v>287</v>
      </c>
      <c r="C2590" s="98" t="s">
        <v>271</v>
      </c>
      <c r="D2590" s="98" t="s">
        <v>288</v>
      </c>
      <c r="E2590" s="98" t="s">
        <v>244</v>
      </c>
      <c r="F2590" s="98">
        <v>18.8</v>
      </c>
    </row>
    <row r="2591" spans="1:6">
      <c r="A2591" s="6">
        <v>44227</v>
      </c>
      <c r="B2591" s="98" t="s">
        <v>287</v>
      </c>
      <c r="C2591" s="98" t="s">
        <v>254</v>
      </c>
      <c r="D2591" s="98" t="s">
        <v>288</v>
      </c>
      <c r="E2591" s="98" t="s">
        <v>244</v>
      </c>
      <c r="F2591" s="98">
        <v>938.23</v>
      </c>
    </row>
    <row r="2592" spans="1:6">
      <c r="A2592" s="6">
        <v>44227</v>
      </c>
      <c r="B2592" s="98" t="s">
        <v>287</v>
      </c>
      <c r="C2592" s="98" t="s">
        <v>293</v>
      </c>
      <c r="D2592" s="98" t="s">
        <v>288</v>
      </c>
      <c r="E2592" s="98" t="s">
        <v>247</v>
      </c>
      <c r="F2592" s="98">
        <v>1554.57</v>
      </c>
    </row>
    <row r="2593" spans="1:6">
      <c r="A2593" s="6">
        <v>44227</v>
      </c>
      <c r="B2593" s="98" t="s">
        <v>287</v>
      </c>
      <c r="C2593" s="98" t="s">
        <v>277</v>
      </c>
      <c r="D2593" s="98" t="s">
        <v>288</v>
      </c>
      <c r="E2593" s="98" t="s">
        <v>247</v>
      </c>
      <c r="F2593" s="98">
        <v>2498.81</v>
      </c>
    </row>
    <row r="2594" spans="1:6">
      <c r="A2594" s="6">
        <v>44227</v>
      </c>
      <c r="B2594" s="98" t="s">
        <v>287</v>
      </c>
      <c r="C2594" s="98" t="s">
        <v>291</v>
      </c>
      <c r="D2594" s="98" t="s">
        <v>288</v>
      </c>
      <c r="E2594" s="98" t="s">
        <v>247</v>
      </c>
      <c r="F2594" s="98">
        <v>15129.26</v>
      </c>
    </row>
    <row r="2595" spans="1:6">
      <c r="A2595" s="6">
        <v>44227</v>
      </c>
      <c r="B2595" s="98" t="s">
        <v>287</v>
      </c>
      <c r="C2595" s="98" t="s">
        <v>256</v>
      </c>
      <c r="D2595" s="98" t="s">
        <v>288</v>
      </c>
      <c r="E2595" s="98" t="s">
        <v>247</v>
      </c>
      <c r="F2595" s="98">
        <v>1207.8599999999999</v>
      </c>
    </row>
    <row r="2596" spans="1:6">
      <c r="A2596" s="6">
        <v>44227</v>
      </c>
      <c r="B2596" s="98" t="s">
        <v>287</v>
      </c>
      <c r="C2596" s="98" t="s">
        <v>274</v>
      </c>
      <c r="D2596" s="98" t="s">
        <v>288</v>
      </c>
      <c r="E2596" s="98" t="s">
        <v>247</v>
      </c>
      <c r="F2596" s="98">
        <v>5125.09</v>
      </c>
    </row>
    <row r="2597" spans="1:6">
      <c r="A2597" s="6">
        <v>44227</v>
      </c>
      <c r="B2597" s="98" t="s">
        <v>296</v>
      </c>
      <c r="C2597" s="98" t="s">
        <v>266</v>
      </c>
      <c r="D2597" s="98" t="s">
        <v>297</v>
      </c>
      <c r="E2597" s="98" t="s">
        <v>258</v>
      </c>
      <c r="F2597" s="98">
        <v>18910</v>
      </c>
    </row>
    <row r="2598" spans="1:6">
      <c r="A2598" s="6">
        <v>44227</v>
      </c>
      <c r="B2598" s="98" t="s">
        <v>296</v>
      </c>
      <c r="C2598" s="98" t="s">
        <v>255</v>
      </c>
      <c r="D2598" s="98" t="s">
        <v>297</v>
      </c>
      <c r="E2598" s="98" t="s">
        <v>247</v>
      </c>
      <c r="F2598" s="98">
        <v>169.36</v>
      </c>
    </row>
    <row r="2599" spans="1:6">
      <c r="A2599" s="6">
        <v>44227</v>
      </c>
      <c r="B2599" s="98" t="s">
        <v>296</v>
      </c>
      <c r="C2599" s="98" t="s">
        <v>299</v>
      </c>
      <c r="D2599" s="98" t="s">
        <v>297</v>
      </c>
      <c r="E2599" s="98" t="s">
        <v>247</v>
      </c>
      <c r="F2599" s="98">
        <v>2334.21</v>
      </c>
    </row>
    <row r="2600" spans="1:6">
      <c r="A2600" s="6">
        <v>44227</v>
      </c>
      <c r="B2600" s="98" t="s">
        <v>296</v>
      </c>
      <c r="C2600" s="98" t="s">
        <v>246</v>
      </c>
      <c r="D2600" s="98" t="s">
        <v>297</v>
      </c>
      <c r="E2600" s="98" t="s">
        <v>247</v>
      </c>
      <c r="F2600" s="98">
        <v>1834.27</v>
      </c>
    </row>
    <row r="2601" spans="1:6">
      <c r="A2601" s="6">
        <v>44227</v>
      </c>
      <c r="B2601" s="98" t="s">
        <v>296</v>
      </c>
      <c r="C2601" s="98" t="s">
        <v>289</v>
      </c>
      <c r="D2601" s="98" t="s">
        <v>297</v>
      </c>
      <c r="E2601" s="98" t="s">
        <v>247</v>
      </c>
      <c r="F2601" s="98">
        <v>5300.28</v>
      </c>
    </row>
    <row r="2602" spans="1:6">
      <c r="A2602" s="6">
        <v>44227</v>
      </c>
      <c r="B2602" s="98" t="s">
        <v>296</v>
      </c>
      <c r="C2602" s="98" t="s">
        <v>260</v>
      </c>
      <c r="D2602" s="98" t="s">
        <v>297</v>
      </c>
      <c r="E2602" s="98" t="s">
        <v>258</v>
      </c>
      <c r="F2602" s="98">
        <v>5548.11</v>
      </c>
    </row>
    <row r="2603" spans="1:6">
      <c r="A2603" s="6">
        <v>44227</v>
      </c>
      <c r="B2603" s="98" t="s">
        <v>296</v>
      </c>
      <c r="C2603" s="98" t="s">
        <v>249</v>
      </c>
      <c r="D2603" s="98" t="s">
        <v>297</v>
      </c>
      <c r="E2603" s="98" t="s">
        <v>247</v>
      </c>
      <c r="F2603" s="98">
        <v>2183.79</v>
      </c>
    </row>
    <row r="2604" spans="1:6">
      <c r="A2604" s="6">
        <v>44227</v>
      </c>
      <c r="B2604" s="98" t="s">
        <v>296</v>
      </c>
      <c r="C2604" s="98" t="s">
        <v>242</v>
      </c>
      <c r="D2604" s="98" t="s">
        <v>297</v>
      </c>
      <c r="E2604" s="98" t="s">
        <v>244</v>
      </c>
      <c r="F2604" s="98">
        <v>450.5</v>
      </c>
    </row>
    <row r="2605" spans="1:6">
      <c r="A2605" s="6">
        <v>44227</v>
      </c>
      <c r="B2605" s="98" t="s">
        <v>296</v>
      </c>
      <c r="C2605" s="98" t="s">
        <v>262</v>
      </c>
      <c r="D2605" s="98" t="s">
        <v>297</v>
      </c>
      <c r="E2605" s="98" t="s">
        <v>244</v>
      </c>
      <c r="F2605" s="98">
        <v>625.20000000000005</v>
      </c>
    </row>
    <row r="2606" spans="1:6">
      <c r="A2606" s="6">
        <v>44227</v>
      </c>
      <c r="B2606" s="98" t="s">
        <v>296</v>
      </c>
      <c r="C2606" s="98" t="s">
        <v>251</v>
      </c>
      <c r="D2606" s="98" t="s">
        <v>297</v>
      </c>
      <c r="E2606" s="98" t="s">
        <v>244</v>
      </c>
      <c r="F2606" s="98">
        <v>73.37</v>
      </c>
    </row>
    <row r="2607" spans="1:6">
      <c r="A2607" s="6">
        <v>44227</v>
      </c>
      <c r="B2607" s="98" t="s">
        <v>296</v>
      </c>
      <c r="C2607" s="98" t="s">
        <v>253</v>
      </c>
      <c r="D2607" s="98" t="s">
        <v>297</v>
      </c>
      <c r="E2607" s="98" t="s">
        <v>244</v>
      </c>
      <c r="F2607" s="98">
        <v>105.37</v>
      </c>
    </row>
    <row r="2608" spans="1:6">
      <c r="A2608" s="6">
        <v>44227</v>
      </c>
      <c r="B2608" s="98" t="s">
        <v>296</v>
      </c>
      <c r="C2608" s="98" t="s">
        <v>245</v>
      </c>
      <c r="D2608" s="98" t="s">
        <v>297</v>
      </c>
      <c r="E2608" s="98" t="s">
        <v>244</v>
      </c>
      <c r="F2608" s="98">
        <v>1440.89</v>
      </c>
    </row>
    <row r="2609" spans="1:6">
      <c r="A2609" s="6">
        <v>44227</v>
      </c>
      <c r="B2609" s="98" t="s">
        <v>296</v>
      </c>
      <c r="C2609" s="98" t="s">
        <v>264</v>
      </c>
      <c r="D2609" s="98" t="s">
        <v>297</v>
      </c>
      <c r="E2609" s="98" t="s">
        <v>244</v>
      </c>
      <c r="F2609" s="98">
        <v>633.32000000000005</v>
      </c>
    </row>
    <row r="2610" spans="1:6">
      <c r="A2610" s="6">
        <v>44227</v>
      </c>
      <c r="B2610" s="98" t="s">
        <v>296</v>
      </c>
      <c r="C2610" s="98" t="s">
        <v>271</v>
      </c>
      <c r="D2610" s="98" t="s">
        <v>297</v>
      </c>
      <c r="E2610" s="98" t="s">
        <v>244</v>
      </c>
      <c r="F2610" s="98">
        <v>5.73</v>
      </c>
    </row>
    <row r="2611" spans="1:6">
      <c r="A2611" s="6">
        <v>44227</v>
      </c>
      <c r="B2611" s="98" t="s">
        <v>296</v>
      </c>
      <c r="C2611" s="98" t="s">
        <v>254</v>
      </c>
      <c r="D2611" s="98" t="s">
        <v>297</v>
      </c>
      <c r="E2611" s="98" t="s">
        <v>244</v>
      </c>
      <c r="F2611" s="98">
        <v>603.66</v>
      </c>
    </row>
    <row r="2612" spans="1:6">
      <c r="A2612" s="6">
        <v>44227</v>
      </c>
      <c r="B2612" s="98" t="s">
        <v>296</v>
      </c>
      <c r="C2612" s="98" t="s">
        <v>280</v>
      </c>
      <c r="D2612" s="98" t="s">
        <v>297</v>
      </c>
      <c r="E2612" s="98" t="s">
        <v>247</v>
      </c>
      <c r="F2612" s="98">
        <v>1494.71</v>
      </c>
    </row>
    <row r="2613" spans="1:6">
      <c r="A2613" s="6">
        <v>44227</v>
      </c>
      <c r="B2613" s="98" t="s">
        <v>296</v>
      </c>
      <c r="C2613" s="98" t="s">
        <v>277</v>
      </c>
      <c r="D2613" s="98" t="s">
        <v>297</v>
      </c>
      <c r="E2613" s="98" t="s">
        <v>247</v>
      </c>
      <c r="F2613" s="98">
        <v>1941.78</v>
      </c>
    </row>
    <row r="2614" spans="1:6">
      <c r="A2614" s="6">
        <v>44227</v>
      </c>
      <c r="B2614" s="98" t="s">
        <v>296</v>
      </c>
      <c r="C2614" s="98" t="s">
        <v>298</v>
      </c>
      <c r="D2614" s="98" t="s">
        <v>297</v>
      </c>
      <c r="E2614" s="98" t="s">
        <v>247</v>
      </c>
      <c r="F2614" s="98">
        <v>6182.15</v>
      </c>
    </row>
    <row r="2615" spans="1:6">
      <c r="A2615" s="6">
        <v>44227</v>
      </c>
      <c r="B2615" s="98" t="s">
        <v>296</v>
      </c>
      <c r="C2615" s="98" t="s">
        <v>291</v>
      </c>
      <c r="D2615" s="98" t="s">
        <v>297</v>
      </c>
      <c r="E2615" s="98" t="s">
        <v>247</v>
      </c>
      <c r="F2615" s="98">
        <v>9973.3799999999992</v>
      </c>
    </row>
    <row r="2616" spans="1:6">
      <c r="A2616" s="6">
        <v>44227</v>
      </c>
      <c r="B2616" s="98" t="s">
        <v>296</v>
      </c>
      <c r="C2616" s="98" t="s">
        <v>274</v>
      </c>
      <c r="D2616" s="98" t="s">
        <v>297</v>
      </c>
      <c r="E2616" s="98" t="s">
        <v>247</v>
      </c>
      <c r="F2616" s="98">
        <v>4619.05</v>
      </c>
    </row>
    <row r="2617" spans="1:6">
      <c r="A2617" s="6">
        <v>44227</v>
      </c>
      <c r="B2617" s="98" t="s">
        <v>300</v>
      </c>
      <c r="C2617" s="98" t="s">
        <v>303</v>
      </c>
      <c r="D2617" s="98" t="s">
        <v>302</v>
      </c>
      <c r="E2617" s="98" t="s">
        <v>247</v>
      </c>
      <c r="F2617" s="98">
        <v>4399.0200000000004</v>
      </c>
    </row>
    <row r="2618" spans="1:6">
      <c r="A2618" s="6">
        <v>44227</v>
      </c>
      <c r="B2618" s="98" t="s">
        <v>300</v>
      </c>
      <c r="C2618" s="98" t="s">
        <v>301</v>
      </c>
      <c r="D2618" s="98" t="s">
        <v>302</v>
      </c>
      <c r="E2618" s="98" t="s">
        <v>247</v>
      </c>
      <c r="F2618" s="98">
        <v>16496.330000000002</v>
      </c>
    </row>
    <row r="2619" spans="1:6">
      <c r="A2619" s="6">
        <v>44227</v>
      </c>
      <c r="B2619" s="98" t="s">
        <v>304</v>
      </c>
      <c r="C2619" s="98" t="s">
        <v>262</v>
      </c>
      <c r="D2619" s="98" t="s">
        <v>305</v>
      </c>
      <c r="E2619" s="98" t="s">
        <v>244</v>
      </c>
      <c r="F2619" s="98">
        <v>248.05</v>
      </c>
    </row>
    <row r="2620" spans="1:6">
      <c r="A2620" s="6">
        <v>44227</v>
      </c>
      <c r="B2620" s="98" t="s">
        <v>304</v>
      </c>
      <c r="C2620" s="98" t="s">
        <v>245</v>
      </c>
      <c r="D2620" s="98" t="s">
        <v>305</v>
      </c>
      <c r="E2620" s="98" t="s">
        <v>244</v>
      </c>
      <c r="F2620" s="98">
        <v>144.94</v>
      </c>
    </row>
    <row r="2621" spans="1:6">
      <c r="A2621" s="6">
        <v>44227</v>
      </c>
      <c r="B2621" s="98" t="s">
        <v>306</v>
      </c>
      <c r="C2621" s="98" t="s">
        <v>242</v>
      </c>
      <c r="D2621" s="98" t="s">
        <v>307</v>
      </c>
      <c r="E2621" s="98" t="s">
        <v>244</v>
      </c>
      <c r="F2621" s="98">
        <v>21.04</v>
      </c>
    </row>
    <row r="2622" spans="1:6">
      <c r="A2622" s="6">
        <v>44227</v>
      </c>
      <c r="B2622" s="98" t="s">
        <v>306</v>
      </c>
      <c r="C2622" s="98" t="s">
        <v>262</v>
      </c>
      <c r="D2622" s="98" t="s">
        <v>307</v>
      </c>
      <c r="E2622" s="98" t="s">
        <v>244</v>
      </c>
      <c r="F2622" s="98">
        <v>109.28</v>
      </c>
    </row>
    <row r="2623" spans="1:6">
      <c r="A2623" s="6">
        <v>44227</v>
      </c>
      <c r="B2623" s="98" t="s">
        <v>306</v>
      </c>
      <c r="C2623" s="98" t="s">
        <v>245</v>
      </c>
      <c r="D2623" s="98" t="s">
        <v>307</v>
      </c>
      <c r="E2623" s="98" t="s">
        <v>244</v>
      </c>
      <c r="F2623" s="98">
        <v>27.66</v>
      </c>
    </row>
    <row r="2624" spans="1:6">
      <c r="A2624" s="6">
        <v>44227</v>
      </c>
      <c r="B2624" s="98" t="s">
        <v>306</v>
      </c>
      <c r="C2624" s="98" t="s">
        <v>264</v>
      </c>
      <c r="D2624" s="98" t="s">
        <v>307</v>
      </c>
      <c r="E2624" s="98" t="s">
        <v>244</v>
      </c>
      <c r="F2624" s="98">
        <v>9.4600000000000009</v>
      </c>
    </row>
    <row r="2625" spans="1:6">
      <c r="A2625" s="6">
        <v>44227</v>
      </c>
      <c r="B2625" s="98" t="s">
        <v>310</v>
      </c>
      <c r="C2625" s="98" t="s">
        <v>266</v>
      </c>
      <c r="D2625" s="98" t="s">
        <v>311</v>
      </c>
      <c r="E2625" s="98" t="s">
        <v>258</v>
      </c>
      <c r="F2625" s="98">
        <v>6471.22</v>
      </c>
    </row>
    <row r="2626" spans="1:6">
      <c r="A2626" s="6">
        <v>44227</v>
      </c>
      <c r="B2626" s="98" t="s">
        <v>310</v>
      </c>
      <c r="C2626" s="98" t="s">
        <v>265</v>
      </c>
      <c r="D2626" s="98" t="s">
        <v>311</v>
      </c>
      <c r="E2626" s="98" t="s">
        <v>247</v>
      </c>
      <c r="F2626" s="98">
        <v>1664.36</v>
      </c>
    </row>
    <row r="2627" spans="1:6">
      <c r="A2627" s="6">
        <v>44227</v>
      </c>
      <c r="B2627" s="98" t="s">
        <v>310</v>
      </c>
      <c r="C2627" s="98" t="s">
        <v>262</v>
      </c>
      <c r="D2627" s="98" t="s">
        <v>311</v>
      </c>
      <c r="E2627" s="98" t="s">
        <v>244</v>
      </c>
      <c r="F2627" s="98">
        <v>78.62</v>
      </c>
    </row>
    <row r="2628" spans="1:6">
      <c r="A2628" s="6">
        <v>44227</v>
      </c>
      <c r="B2628" s="98" t="s">
        <v>310</v>
      </c>
      <c r="C2628" s="98" t="s">
        <v>251</v>
      </c>
      <c r="D2628" s="98" t="s">
        <v>311</v>
      </c>
      <c r="E2628" s="98" t="s">
        <v>244</v>
      </c>
      <c r="F2628" s="98">
        <v>5.55</v>
      </c>
    </row>
    <row r="2629" spans="1:6">
      <c r="A2629" s="6">
        <v>44227</v>
      </c>
      <c r="B2629" s="98" t="s">
        <v>310</v>
      </c>
      <c r="C2629" s="98" t="s">
        <v>245</v>
      </c>
      <c r="D2629" s="98" t="s">
        <v>311</v>
      </c>
      <c r="E2629" s="98" t="s">
        <v>244</v>
      </c>
      <c r="F2629" s="98">
        <v>721.81</v>
      </c>
    </row>
    <row r="2630" spans="1:6">
      <c r="A2630" s="6">
        <v>44227</v>
      </c>
      <c r="B2630" s="98" t="s">
        <v>310</v>
      </c>
      <c r="C2630" s="98" t="s">
        <v>271</v>
      </c>
      <c r="D2630" s="98" t="s">
        <v>311</v>
      </c>
      <c r="E2630" s="98" t="s">
        <v>244</v>
      </c>
      <c r="F2630" s="98">
        <v>14.52</v>
      </c>
    </row>
    <row r="2631" spans="1:6">
      <c r="A2631" s="6">
        <v>44227</v>
      </c>
      <c r="B2631" s="98" t="s">
        <v>310</v>
      </c>
      <c r="C2631" s="98" t="s">
        <v>254</v>
      </c>
      <c r="D2631" s="98" t="s">
        <v>311</v>
      </c>
      <c r="E2631" s="98" t="s">
        <v>244</v>
      </c>
      <c r="F2631" s="98">
        <v>71.150000000000006</v>
      </c>
    </row>
    <row r="2632" spans="1:6">
      <c r="A2632" s="6">
        <v>44227</v>
      </c>
      <c r="B2632" s="98" t="s">
        <v>310</v>
      </c>
      <c r="C2632" s="98" t="s">
        <v>277</v>
      </c>
      <c r="D2632" s="98" t="s">
        <v>311</v>
      </c>
      <c r="E2632" s="98" t="s">
        <v>247</v>
      </c>
      <c r="F2632" s="98">
        <v>4741.12</v>
      </c>
    </row>
    <row r="2633" spans="1:6">
      <c r="A2633" s="6">
        <v>44227</v>
      </c>
      <c r="B2633" s="98" t="s">
        <v>310</v>
      </c>
      <c r="C2633" s="98" t="s">
        <v>248</v>
      </c>
      <c r="D2633" s="98" t="s">
        <v>311</v>
      </c>
      <c r="E2633" s="98" t="s">
        <v>247</v>
      </c>
      <c r="F2633" s="98">
        <v>5293.79</v>
      </c>
    </row>
    <row r="2634" spans="1:6">
      <c r="A2634" s="6">
        <v>44227</v>
      </c>
      <c r="B2634" s="98" t="s">
        <v>312</v>
      </c>
      <c r="C2634" s="98" t="s">
        <v>272</v>
      </c>
      <c r="D2634" s="98" t="s">
        <v>313</v>
      </c>
      <c r="E2634" s="98" t="s">
        <v>247</v>
      </c>
      <c r="F2634" s="98">
        <v>1587.51</v>
      </c>
    </row>
    <row r="2635" spans="1:6">
      <c r="A2635" s="6">
        <v>44227</v>
      </c>
      <c r="B2635" s="98" t="s">
        <v>312</v>
      </c>
      <c r="C2635" s="98" t="s">
        <v>242</v>
      </c>
      <c r="D2635" s="98" t="s">
        <v>313</v>
      </c>
      <c r="E2635" s="98" t="s">
        <v>244</v>
      </c>
      <c r="F2635" s="98">
        <v>183.9</v>
      </c>
    </row>
    <row r="2636" spans="1:6">
      <c r="A2636" s="6">
        <v>44227</v>
      </c>
      <c r="B2636" s="98" t="s">
        <v>312</v>
      </c>
      <c r="C2636" s="98" t="s">
        <v>262</v>
      </c>
      <c r="D2636" s="98" t="s">
        <v>313</v>
      </c>
      <c r="E2636" s="98" t="s">
        <v>244</v>
      </c>
      <c r="F2636" s="98">
        <v>30081.8</v>
      </c>
    </row>
    <row r="2637" spans="1:6">
      <c r="A2637" s="6">
        <v>44227</v>
      </c>
      <c r="B2637" s="98" t="s">
        <v>312</v>
      </c>
      <c r="C2637" s="98" t="s">
        <v>253</v>
      </c>
      <c r="D2637" s="98" t="s">
        <v>313</v>
      </c>
      <c r="E2637" s="98" t="s">
        <v>244</v>
      </c>
      <c r="F2637" s="98">
        <v>47.6</v>
      </c>
    </row>
    <row r="2638" spans="1:6">
      <c r="A2638" s="6">
        <v>44227</v>
      </c>
      <c r="B2638" s="98" t="s">
        <v>312</v>
      </c>
      <c r="C2638" s="98" t="s">
        <v>245</v>
      </c>
      <c r="D2638" s="98" t="s">
        <v>313</v>
      </c>
      <c r="E2638" s="98" t="s">
        <v>244</v>
      </c>
      <c r="F2638" s="98">
        <v>61.5</v>
      </c>
    </row>
    <row r="2639" spans="1:6">
      <c r="A2639" s="6">
        <v>44227</v>
      </c>
      <c r="B2639" s="98" t="s">
        <v>312</v>
      </c>
      <c r="C2639" s="98" t="s">
        <v>248</v>
      </c>
      <c r="D2639" s="98" t="s">
        <v>313</v>
      </c>
      <c r="E2639" s="98" t="s">
        <v>247</v>
      </c>
      <c r="F2639" s="98">
        <v>1808.64</v>
      </c>
    </row>
    <row r="2640" spans="1:6">
      <c r="A2640" s="6">
        <v>44227</v>
      </c>
      <c r="B2640" s="98" t="s">
        <v>314</v>
      </c>
      <c r="C2640" s="98" t="s">
        <v>265</v>
      </c>
      <c r="D2640" s="98" t="s">
        <v>315</v>
      </c>
      <c r="E2640" s="98" t="s">
        <v>247</v>
      </c>
      <c r="F2640" s="98">
        <v>299.14</v>
      </c>
    </row>
    <row r="2641" spans="1:6">
      <c r="A2641" s="6">
        <v>44227</v>
      </c>
      <c r="B2641" s="98" t="s">
        <v>314</v>
      </c>
      <c r="C2641" s="98" t="s">
        <v>289</v>
      </c>
      <c r="D2641" s="98" t="s">
        <v>315</v>
      </c>
      <c r="E2641" s="98" t="s">
        <v>247</v>
      </c>
      <c r="F2641" s="98">
        <v>3450.03</v>
      </c>
    </row>
    <row r="2642" spans="1:6">
      <c r="A2642" s="6">
        <v>44227</v>
      </c>
      <c r="B2642" s="98" t="s">
        <v>314</v>
      </c>
      <c r="C2642" s="98" t="s">
        <v>272</v>
      </c>
      <c r="D2642" s="98" t="s">
        <v>315</v>
      </c>
      <c r="E2642" s="98" t="s">
        <v>247</v>
      </c>
      <c r="F2642" s="98">
        <v>1392.17</v>
      </c>
    </row>
    <row r="2643" spans="1:6">
      <c r="A2643" s="6">
        <v>44227</v>
      </c>
      <c r="B2643" s="98" t="s">
        <v>314</v>
      </c>
      <c r="C2643" s="98" t="s">
        <v>242</v>
      </c>
      <c r="D2643" s="98" t="s">
        <v>315</v>
      </c>
      <c r="E2643" s="98" t="s">
        <v>244</v>
      </c>
      <c r="F2643" s="98">
        <v>5504.06</v>
      </c>
    </row>
    <row r="2644" spans="1:6">
      <c r="A2644" s="6">
        <v>44227</v>
      </c>
      <c r="B2644" s="98" t="s">
        <v>314</v>
      </c>
      <c r="C2644" s="98" t="s">
        <v>262</v>
      </c>
      <c r="D2644" s="98" t="s">
        <v>315</v>
      </c>
      <c r="E2644" s="98" t="s">
        <v>244</v>
      </c>
      <c r="F2644" s="98">
        <v>6177.74</v>
      </c>
    </row>
    <row r="2645" spans="1:6">
      <c r="A2645" s="6">
        <v>44227</v>
      </c>
      <c r="B2645" s="98" t="s">
        <v>314</v>
      </c>
      <c r="C2645" s="98" t="s">
        <v>245</v>
      </c>
      <c r="D2645" s="98" t="s">
        <v>315</v>
      </c>
      <c r="E2645" s="98" t="s">
        <v>244</v>
      </c>
      <c r="F2645" s="98">
        <v>49.89</v>
      </c>
    </row>
    <row r="2646" spans="1:6">
      <c r="A2646" s="6">
        <v>44227</v>
      </c>
      <c r="B2646" s="98" t="s">
        <v>314</v>
      </c>
      <c r="C2646" s="98" t="s">
        <v>248</v>
      </c>
      <c r="D2646" s="98" t="s">
        <v>315</v>
      </c>
      <c r="E2646" s="98" t="s">
        <v>247</v>
      </c>
      <c r="F2646" s="98">
        <v>2672.68</v>
      </c>
    </row>
    <row r="2647" spans="1:6">
      <c r="A2647" s="6">
        <v>44227</v>
      </c>
      <c r="B2647" s="98" t="s">
        <v>316</v>
      </c>
      <c r="C2647" s="98" t="s">
        <v>262</v>
      </c>
      <c r="D2647" s="98" t="s">
        <v>317</v>
      </c>
      <c r="E2647" s="98" t="s">
        <v>244</v>
      </c>
      <c r="F2647" s="98">
        <v>367.73</v>
      </c>
    </row>
    <row r="2648" spans="1:6">
      <c r="A2648" s="6">
        <v>44227</v>
      </c>
      <c r="B2648" s="98" t="s">
        <v>316</v>
      </c>
      <c r="C2648" s="98" t="s">
        <v>245</v>
      </c>
      <c r="D2648" s="98" t="s">
        <v>317</v>
      </c>
      <c r="E2648" s="98" t="s">
        <v>244</v>
      </c>
      <c r="F2648" s="98">
        <v>149.22</v>
      </c>
    </row>
    <row r="2649" spans="1:6">
      <c r="A2649" s="6">
        <v>44227</v>
      </c>
      <c r="B2649" s="98" t="s">
        <v>316</v>
      </c>
      <c r="C2649" s="98" t="s">
        <v>254</v>
      </c>
      <c r="D2649" s="98" t="s">
        <v>317</v>
      </c>
      <c r="E2649" s="98" t="s">
        <v>244</v>
      </c>
      <c r="F2649" s="98">
        <v>42.22</v>
      </c>
    </row>
    <row r="2650" spans="1:6">
      <c r="A2650" s="6">
        <v>44227</v>
      </c>
      <c r="B2650" s="98" t="s">
        <v>318</v>
      </c>
      <c r="C2650" s="98" t="s">
        <v>255</v>
      </c>
      <c r="D2650" s="98" t="s">
        <v>319</v>
      </c>
      <c r="E2650" s="98" t="s">
        <v>247</v>
      </c>
      <c r="F2650" s="98">
        <v>3445.41</v>
      </c>
    </row>
    <row r="2651" spans="1:6">
      <c r="A2651" s="6">
        <v>44227</v>
      </c>
      <c r="B2651" s="98" t="s">
        <v>318</v>
      </c>
      <c r="C2651" s="98" t="s">
        <v>278</v>
      </c>
      <c r="D2651" s="98" t="s">
        <v>319</v>
      </c>
      <c r="E2651" s="98" t="s">
        <v>247</v>
      </c>
      <c r="F2651" s="98">
        <v>14778.02</v>
      </c>
    </row>
    <row r="2652" spans="1:6">
      <c r="A2652" s="6">
        <v>44227</v>
      </c>
      <c r="B2652" s="98" t="s">
        <v>318</v>
      </c>
      <c r="C2652" s="98" t="s">
        <v>246</v>
      </c>
      <c r="D2652" s="98" t="s">
        <v>319</v>
      </c>
      <c r="E2652" s="98" t="s">
        <v>247</v>
      </c>
      <c r="F2652" s="98">
        <v>4952.1000000000004</v>
      </c>
    </row>
    <row r="2653" spans="1:6">
      <c r="A2653" s="6">
        <v>44227</v>
      </c>
      <c r="B2653" s="98" t="s">
        <v>318</v>
      </c>
      <c r="C2653" s="98" t="s">
        <v>560</v>
      </c>
      <c r="D2653" s="98" t="s">
        <v>319</v>
      </c>
      <c r="E2653" s="98" t="s">
        <v>247</v>
      </c>
      <c r="F2653" s="98">
        <v>864.72</v>
      </c>
    </row>
    <row r="2654" spans="1:6">
      <c r="A2654" s="6">
        <v>44227</v>
      </c>
      <c r="B2654" s="98" t="s">
        <v>318</v>
      </c>
      <c r="C2654" s="98" t="s">
        <v>262</v>
      </c>
      <c r="D2654" s="98" t="s">
        <v>319</v>
      </c>
      <c r="E2654" s="98" t="s">
        <v>244</v>
      </c>
      <c r="F2654" s="98">
        <v>1932.58</v>
      </c>
    </row>
    <row r="2655" spans="1:6">
      <c r="A2655" s="6">
        <v>44227</v>
      </c>
      <c r="B2655" s="98" t="s">
        <v>318</v>
      </c>
      <c r="C2655" s="98" t="s">
        <v>251</v>
      </c>
      <c r="D2655" s="98" t="s">
        <v>319</v>
      </c>
      <c r="E2655" s="98" t="s">
        <v>244</v>
      </c>
      <c r="F2655" s="98">
        <v>4.1900000000000004</v>
      </c>
    </row>
    <row r="2656" spans="1:6">
      <c r="A2656" s="6">
        <v>44227</v>
      </c>
      <c r="B2656" s="98" t="s">
        <v>318</v>
      </c>
      <c r="C2656" s="98" t="s">
        <v>253</v>
      </c>
      <c r="D2656" s="98" t="s">
        <v>319</v>
      </c>
      <c r="E2656" s="98" t="s">
        <v>244</v>
      </c>
      <c r="F2656" s="98">
        <v>177.53</v>
      </c>
    </row>
    <row r="2657" spans="1:6">
      <c r="A2657" s="6">
        <v>44227</v>
      </c>
      <c r="B2657" s="98" t="s">
        <v>318</v>
      </c>
      <c r="C2657" s="98" t="s">
        <v>245</v>
      </c>
      <c r="D2657" s="98" t="s">
        <v>319</v>
      </c>
      <c r="E2657" s="98" t="s">
        <v>244</v>
      </c>
      <c r="F2657" s="98">
        <v>696.58</v>
      </c>
    </row>
    <row r="2658" spans="1:6">
      <c r="A2658" s="6">
        <v>44227</v>
      </c>
      <c r="B2658" s="98" t="s">
        <v>318</v>
      </c>
      <c r="C2658" s="98" t="s">
        <v>264</v>
      </c>
      <c r="D2658" s="98" t="s">
        <v>319</v>
      </c>
      <c r="E2658" s="98" t="s">
        <v>244</v>
      </c>
      <c r="F2658" s="98">
        <v>893.9</v>
      </c>
    </row>
    <row r="2659" spans="1:6">
      <c r="A2659" s="6">
        <v>44227</v>
      </c>
      <c r="B2659" s="98" t="s">
        <v>318</v>
      </c>
      <c r="C2659" s="98" t="s">
        <v>271</v>
      </c>
      <c r="D2659" s="98" t="s">
        <v>319</v>
      </c>
      <c r="E2659" s="98" t="s">
        <v>244</v>
      </c>
      <c r="F2659" s="98">
        <v>58.99</v>
      </c>
    </row>
    <row r="2660" spans="1:6">
      <c r="A2660" s="6">
        <v>44227</v>
      </c>
      <c r="B2660" s="98" t="s">
        <v>318</v>
      </c>
      <c r="C2660" s="98" t="s">
        <v>254</v>
      </c>
      <c r="D2660" s="98" t="s">
        <v>319</v>
      </c>
      <c r="E2660" s="98" t="s">
        <v>244</v>
      </c>
      <c r="F2660" s="98">
        <v>905.5</v>
      </c>
    </row>
    <row r="2661" spans="1:6">
      <c r="A2661" s="6">
        <v>44227</v>
      </c>
      <c r="B2661" s="98" t="s">
        <v>318</v>
      </c>
      <c r="C2661" s="98" t="s">
        <v>277</v>
      </c>
      <c r="D2661" s="98" t="s">
        <v>319</v>
      </c>
      <c r="E2661" s="98" t="s">
        <v>247</v>
      </c>
      <c r="F2661" s="98">
        <v>262.69</v>
      </c>
    </row>
    <row r="2662" spans="1:6">
      <c r="A2662" s="6">
        <v>44227</v>
      </c>
      <c r="B2662" s="98" t="s">
        <v>320</v>
      </c>
      <c r="C2662" s="98" t="s">
        <v>255</v>
      </c>
      <c r="D2662" s="98" t="s">
        <v>321</v>
      </c>
      <c r="E2662" s="98" t="s">
        <v>247</v>
      </c>
      <c r="F2662" s="98">
        <v>3257.44</v>
      </c>
    </row>
    <row r="2663" spans="1:6">
      <c r="A2663" s="6">
        <v>44227</v>
      </c>
      <c r="B2663" s="98" t="s">
        <v>320</v>
      </c>
      <c r="C2663" s="98" t="s">
        <v>278</v>
      </c>
      <c r="D2663" s="98" t="s">
        <v>321</v>
      </c>
      <c r="E2663" s="98" t="s">
        <v>247</v>
      </c>
      <c r="F2663" s="98">
        <v>2759.48</v>
      </c>
    </row>
    <row r="2664" spans="1:6">
      <c r="A2664" s="6">
        <v>44227</v>
      </c>
      <c r="B2664" s="98" t="s">
        <v>320</v>
      </c>
      <c r="C2664" s="98" t="s">
        <v>242</v>
      </c>
      <c r="D2664" s="98" t="s">
        <v>321</v>
      </c>
      <c r="E2664" s="98" t="s">
        <v>244</v>
      </c>
      <c r="F2664" s="98">
        <v>2595.9899999999998</v>
      </c>
    </row>
    <row r="2665" spans="1:6">
      <c r="A2665" s="6">
        <v>44227</v>
      </c>
      <c r="B2665" s="98" t="s">
        <v>320</v>
      </c>
      <c r="C2665" s="98" t="s">
        <v>262</v>
      </c>
      <c r="D2665" s="98" t="s">
        <v>321</v>
      </c>
      <c r="E2665" s="98" t="s">
        <v>244</v>
      </c>
      <c r="F2665" s="98">
        <v>5354.61</v>
      </c>
    </row>
    <row r="2666" spans="1:6">
      <c r="A2666" s="6">
        <v>44227</v>
      </c>
      <c r="B2666" s="98" t="s">
        <v>320</v>
      </c>
      <c r="C2666" s="98" t="s">
        <v>253</v>
      </c>
      <c r="D2666" s="98" t="s">
        <v>321</v>
      </c>
      <c r="E2666" s="98" t="s">
        <v>244</v>
      </c>
      <c r="F2666" s="98">
        <v>73.39</v>
      </c>
    </row>
    <row r="2667" spans="1:6">
      <c r="A2667" s="6">
        <v>44227</v>
      </c>
      <c r="B2667" s="98" t="s">
        <v>320</v>
      </c>
      <c r="C2667" s="98" t="s">
        <v>245</v>
      </c>
      <c r="D2667" s="98" t="s">
        <v>321</v>
      </c>
      <c r="E2667" s="98" t="s">
        <v>244</v>
      </c>
      <c r="F2667" s="98">
        <v>681.16</v>
      </c>
    </row>
    <row r="2668" spans="1:6">
      <c r="A2668" s="6">
        <v>44227</v>
      </c>
      <c r="B2668" s="98" t="s">
        <v>320</v>
      </c>
      <c r="C2668" s="98" t="s">
        <v>264</v>
      </c>
      <c r="D2668" s="98" t="s">
        <v>321</v>
      </c>
      <c r="E2668" s="98" t="s">
        <v>244</v>
      </c>
      <c r="F2668" s="98">
        <v>1034.28</v>
      </c>
    </row>
    <row r="2669" spans="1:6">
      <c r="A2669" s="6">
        <v>44227</v>
      </c>
      <c r="B2669" s="98" t="s">
        <v>320</v>
      </c>
      <c r="C2669" s="98" t="s">
        <v>271</v>
      </c>
      <c r="D2669" s="98" t="s">
        <v>321</v>
      </c>
      <c r="E2669" s="98" t="s">
        <v>244</v>
      </c>
      <c r="F2669" s="98">
        <v>13.92</v>
      </c>
    </row>
    <row r="2670" spans="1:6">
      <c r="A2670" s="6">
        <v>44227</v>
      </c>
      <c r="B2670" s="98" t="s">
        <v>320</v>
      </c>
      <c r="C2670" s="98" t="s">
        <v>254</v>
      </c>
      <c r="D2670" s="98" t="s">
        <v>321</v>
      </c>
      <c r="E2670" s="98" t="s">
        <v>244</v>
      </c>
      <c r="F2670" s="98">
        <v>111.64</v>
      </c>
    </row>
    <row r="2671" spans="1:6">
      <c r="A2671" s="6">
        <v>44227</v>
      </c>
      <c r="B2671" s="98" t="s">
        <v>320</v>
      </c>
      <c r="C2671" s="98" t="s">
        <v>277</v>
      </c>
      <c r="D2671" s="98" t="s">
        <v>321</v>
      </c>
      <c r="E2671" s="98" t="s">
        <v>247</v>
      </c>
      <c r="F2671" s="98">
        <v>16507.57</v>
      </c>
    </row>
    <row r="2672" spans="1:6">
      <c r="A2672" s="6">
        <v>44227</v>
      </c>
      <c r="B2672" s="98" t="s">
        <v>320</v>
      </c>
      <c r="C2672" s="98" t="s">
        <v>256</v>
      </c>
      <c r="D2672" s="98" t="s">
        <v>321</v>
      </c>
      <c r="E2672" s="98" t="s">
        <v>247</v>
      </c>
      <c r="F2672" s="98">
        <v>9789.75</v>
      </c>
    </row>
    <row r="2673" spans="1:6">
      <c r="A2673" s="6">
        <v>44227</v>
      </c>
      <c r="B2673" s="98" t="s">
        <v>320</v>
      </c>
      <c r="C2673" s="98" t="s">
        <v>274</v>
      </c>
      <c r="D2673" s="98" t="s">
        <v>321</v>
      </c>
      <c r="E2673" s="98" t="s">
        <v>247</v>
      </c>
      <c r="F2673" s="98">
        <v>22043.25</v>
      </c>
    </row>
    <row r="2674" spans="1:6">
      <c r="A2674" s="6">
        <v>44227</v>
      </c>
      <c r="B2674" s="98" t="s">
        <v>322</v>
      </c>
      <c r="C2674" s="98" t="s">
        <v>255</v>
      </c>
      <c r="D2674" s="98" t="s">
        <v>323</v>
      </c>
      <c r="E2674" s="98" t="s">
        <v>247</v>
      </c>
      <c r="F2674" s="98">
        <v>6079.41</v>
      </c>
    </row>
    <row r="2675" spans="1:6">
      <c r="A2675" s="6">
        <v>44227</v>
      </c>
      <c r="B2675" s="98" t="s">
        <v>322</v>
      </c>
      <c r="C2675" s="98" t="s">
        <v>289</v>
      </c>
      <c r="D2675" s="98" t="s">
        <v>323</v>
      </c>
      <c r="E2675" s="98" t="s">
        <v>247</v>
      </c>
      <c r="F2675" s="98">
        <v>3102.66</v>
      </c>
    </row>
    <row r="2676" spans="1:6">
      <c r="A2676" s="6">
        <v>44227</v>
      </c>
      <c r="B2676" s="98" t="s">
        <v>322</v>
      </c>
      <c r="C2676" s="98" t="s">
        <v>253</v>
      </c>
      <c r="D2676" s="98" t="s">
        <v>323</v>
      </c>
      <c r="E2676" s="98" t="s">
        <v>244</v>
      </c>
      <c r="F2676" s="98">
        <v>55.78</v>
      </c>
    </row>
    <row r="2677" spans="1:6">
      <c r="A2677" s="6">
        <v>44227</v>
      </c>
      <c r="B2677" s="98" t="s">
        <v>322</v>
      </c>
      <c r="C2677" s="98" t="s">
        <v>245</v>
      </c>
      <c r="D2677" s="98" t="s">
        <v>323</v>
      </c>
      <c r="E2677" s="98" t="s">
        <v>244</v>
      </c>
      <c r="F2677" s="98">
        <v>1925.69</v>
      </c>
    </row>
    <row r="2678" spans="1:6">
      <c r="A2678" s="6">
        <v>44227</v>
      </c>
      <c r="B2678" s="98" t="s">
        <v>324</v>
      </c>
      <c r="C2678" s="98" t="s">
        <v>259</v>
      </c>
      <c r="D2678" s="98" t="s">
        <v>325</v>
      </c>
      <c r="E2678" s="98" t="s">
        <v>258</v>
      </c>
      <c r="F2678" s="98">
        <v>43491.68</v>
      </c>
    </row>
    <row r="2679" spans="1:6">
      <c r="A2679" s="6">
        <v>44227</v>
      </c>
      <c r="B2679" s="98" t="s">
        <v>324</v>
      </c>
      <c r="C2679" s="98" t="s">
        <v>257</v>
      </c>
      <c r="D2679" s="98" t="s">
        <v>325</v>
      </c>
      <c r="E2679" s="98" t="s">
        <v>258</v>
      </c>
      <c r="F2679" s="98">
        <v>68466.289999999994</v>
      </c>
    </row>
    <row r="2680" spans="1:6">
      <c r="A2680" s="6">
        <v>44227</v>
      </c>
      <c r="B2680" s="98" t="s">
        <v>324</v>
      </c>
      <c r="C2680" s="98" t="s">
        <v>260</v>
      </c>
      <c r="D2680" s="98" t="s">
        <v>325</v>
      </c>
      <c r="E2680" s="98" t="s">
        <v>258</v>
      </c>
      <c r="F2680" s="98">
        <v>60590.15</v>
      </c>
    </row>
    <row r="2681" spans="1:6">
      <c r="A2681" s="6">
        <v>44227</v>
      </c>
      <c r="B2681" s="98" t="s">
        <v>324</v>
      </c>
      <c r="C2681" s="98" t="s">
        <v>251</v>
      </c>
      <c r="D2681" s="98" t="s">
        <v>325</v>
      </c>
      <c r="E2681" s="98" t="s">
        <v>244</v>
      </c>
      <c r="F2681" s="98">
        <v>317.99</v>
      </c>
    </row>
    <row r="2682" spans="1:6">
      <c r="A2682" s="6">
        <v>44227</v>
      </c>
      <c r="B2682" s="98" t="s">
        <v>326</v>
      </c>
      <c r="C2682" s="98" t="s">
        <v>266</v>
      </c>
      <c r="D2682" s="98" t="s">
        <v>327</v>
      </c>
      <c r="E2682" s="98" t="s">
        <v>258</v>
      </c>
      <c r="F2682" s="98">
        <v>19931.5</v>
      </c>
    </row>
    <row r="2683" spans="1:6">
      <c r="A2683" s="6">
        <v>44227</v>
      </c>
      <c r="B2683" s="98" t="s">
        <v>326</v>
      </c>
      <c r="C2683" s="98" t="s">
        <v>278</v>
      </c>
      <c r="D2683" s="98" t="s">
        <v>327</v>
      </c>
      <c r="E2683" s="98" t="s">
        <v>247</v>
      </c>
      <c r="F2683" s="98">
        <v>1367.36</v>
      </c>
    </row>
    <row r="2684" spans="1:6">
      <c r="A2684" s="6">
        <v>44227</v>
      </c>
      <c r="B2684" s="98" t="s">
        <v>326</v>
      </c>
      <c r="C2684" s="98" t="s">
        <v>339</v>
      </c>
      <c r="D2684" s="98" t="s">
        <v>327</v>
      </c>
      <c r="E2684" s="98" t="s">
        <v>247</v>
      </c>
      <c r="F2684" s="98">
        <v>368.75</v>
      </c>
    </row>
    <row r="2685" spans="1:6">
      <c r="A2685" s="6">
        <v>44227</v>
      </c>
      <c r="B2685" s="98" t="s">
        <v>326</v>
      </c>
      <c r="C2685" s="98" t="s">
        <v>289</v>
      </c>
      <c r="D2685" s="98" t="s">
        <v>327</v>
      </c>
      <c r="E2685" s="98" t="s">
        <v>247</v>
      </c>
      <c r="F2685" s="98">
        <v>2695.94</v>
      </c>
    </row>
    <row r="2686" spans="1:6">
      <c r="A2686" s="6">
        <v>44227</v>
      </c>
      <c r="B2686" s="98" t="s">
        <v>326</v>
      </c>
      <c r="C2686" s="98" t="s">
        <v>466</v>
      </c>
      <c r="D2686" s="98" t="s">
        <v>327</v>
      </c>
      <c r="E2686" s="98" t="s">
        <v>247</v>
      </c>
      <c r="F2686" s="98">
        <v>457.35</v>
      </c>
    </row>
    <row r="2687" spans="1:6">
      <c r="A2687" s="6">
        <v>44227</v>
      </c>
      <c r="B2687" s="98" t="s">
        <v>326</v>
      </c>
      <c r="C2687" s="98" t="s">
        <v>368</v>
      </c>
      <c r="D2687" s="98" t="s">
        <v>327</v>
      </c>
      <c r="E2687" s="98" t="s">
        <v>247</v>
      </c>
      <c r="F2687" s="98">
        <v>3508.61</v>
      </c>
    </row>
    <row r="2688" spans="1:6">
      <c r="A2688" s="6">
        <v>44227</v>
      </c>
      <c r="B2688" s="98" t="s">
        <v>326</v>
      </c>
      <c r="C2688" s="98" t="s">
        <v>242</v>
      </c>
      <c r="D2688" s="98" t="s">
        <v>327</v>
      </c>
      <c r="E2688" s="98" t="s">
        <v>244</v>
      </c>
      <c r="F2688" s="98">
        <v>912.85</v>
      </c>
    </row>
    <row r="2689" spans="1:6">
      <c r="A2689" s="6">
        <v>44227</v>
      </c>
      <c r="B2689" s="98" t="s">
        <v>326</v>
      </c>
      <c r="C2689" s="98" t="s">
        <v>262</v>
      </c>
      <c r="D2689" s="98" t="s">
        <v>327</v>
      </c>
      <c r="E2689" s="98" t="s">
        <v>244</v>
      </c>
      <c r="F2689" s="98">
        <v>1738.35</v>
      </c>
    </row>
    <row r="2690" spans="1:6">
      <c r="A2690" s="6">
        <v>44227</v>
      </c>
      <c r="B2690" s="98" t="s">
        <v>326</v>
      </c>
      <c r="C2690" s="98" t="s">
        <v>245</v>
      </c>
      <c r="D2690" s="98" t="s">
        <v>327</v>
      </c>
      <c r="E2690" s="98" t="s">
        <v>244</v>
      </c>
      <c r="F2690" s="98">
        <v>572.47</v>
      </c>
    </row>
    <row r="2691" spans="1:6">
      <c r="A2691" s="6">
        <v>44227</v>
      </c>
      <c r="B2691" s="98" t="s">
        <v>326</v>
      </c>
      <c r="C2691" s="98" t="s">
        <v>264</v>
      </c>
      <c r="D2691" s="98" t="s">
        <v>327</v>
      </c>
      <c r="E2691" s="98" t="s">
        <v>244</v>
      </c>
      <c r="F2691" s="98">
        <v>95.52</v>
      </c>
    </row>
    <row r="2692" spans="1:6">
      <c r="A2692" s="6">
        <v>44227</v>
      </c>
      <c r="B2692" s="98" t="s">
        <v>326</v>
      </c>
      <c r="C2692" s="98" t="s">
        <v>271</v>
      </c>
      <c r="D2692" s="98" t="s">
        <v>327</v>
      </c>
      <c r="E2692" s="98" t="s">
        <v>244</v>
      </c>
      <c r="F2692" s="98">
        <v>12.06</v>
      </c>
    </row>
    <row r="2693" spans="1:6">
      <c r="A2693" s="6">
        <v>44227</v>
      </c>
      <c r="B2693" s="98" t="s">
        <v>326</v>
      </c>
      <c r="C2693" s="98" t="s">
        <v>254</v>
      </c>
      <c r="D2693" s="98" t="s">
        <v>327</v>
      </c>
      <c r="E2693" s="98" t="s">
        <v>244</v>
      </c>
      <c r="F2693" s="98">
        <v>121.26</v>
      </c>
    </row>
    <row r="2694" spans="1:6">
      <c r="A2694" s="6">
        <v>44227</v>
      </c>
      <c r="B2694" s="98" t="s">
        <v>326</v>
      </c>
      <c r="C2694" s="98" t="s">
        <v>369</v>
      </c>
      <c r="D2694" s="98" t="s">
        <v>327</v>
      </c>
      <c r="E2694" s="98" t="s">
        <v>244</v>
      </c>
      <c r="F2694" s="98">
        <v>20.2</v>
      </c>
    </row>
    <row r="2695" spans="1:6">
      <c r="A2695" s="6">
        <v>44227</v>
      </c>
      <c r="B2695" s="98" t="s">
        <v>326</v>
      </c>
      <c r="C2695" s="98" t="s">
        <v>248</v>
      </c>
      <c r="D2695" s="98" t="s">
        <v>327</v>
      </c>
      <c r="E2695" s="98" t="s">
        <v>247</v>
      </c>
      <c r="F2695" s="98">
        <v>4747.2299999999996</v>
      </c>
    </row>
    <row r="2696" spans="1:6">
      <c r="A2696" s="6">
        <v>44227</v>
      </c>
      <c r="B2696" s="98" t="s">
        <v>326</v>
      </c>
      <c r="C2696" s="98" t="s">
        <v>274</v>
      </c>
      <c r="D2696" s="98" t="s">
        <v>327</v>
      </c>
      <c r="E2696" s="98" t="s">
        <v>247</v>
      </c>
      <c r="F2696" s="98">
        <v>2968.48</v>
      </c>
    </row>
    <row r="2697" spans="1:6">
      <c r="A2697" s="6">
        <v>44227</v>
      </c>
      <c r="B2697" s="98" t="s">
        <v>328</v>
      </c>
      <c r="C2697" s="98" t="s">
        <v>255</v>
      </c>
      <c r="D2697" s="98" t="s">
        <v>329</v>
      </c>
      <c r="E2697" s="98" t="s">
        <v>247</v>
      </c>
      <c r="F2697" s="98">
        <v>7400.5</v>
      </c>
    </row>
    <row r="2698" spans="1:6">
      <c r="A2698" s="6">
        <v>44227</v>
      </c>
      <c r="B2698" s="98" t="s">
        <v>328</v>
      </c>
      <c r="C2698" s="98" t="s">
        <v>246</v>
      </c>
      <c r="D2698" s="98" t="s">
        <v>329</v>
      </c>
      <c r="E2698" s="98" t="s">
        <v>247</v>
      </c>
      <c r="F2698" s="98">
        <v>12940.29</v>
      </c>
    </row>
    <row r="2699" spans="1:6">
      <c r="A2699" s="6">
        <v>44227</v>
      </c>
      <c r="B2699" s="98" t="s">
        <v>328</v>
      </c>
      <c r="C2699" s="98" t="s">
        <v>265</v>
      </c>
      <c r="D2699" s="98" t="s">
        <v>329</v>
      </c>
      <c r="E2699" s="98" t="s">
        <v>247</v>
      </c>
      <c r="F2699" s="98">
        <v>1302.8699999999999</v>
      </c>
    </row>
    <row r="2700" spans="1:6">
      <c r="A2700" s="6">
        <v>44227</v>
      </c>
      <c r="B2700" s="98" t="s">
        <v>328</v>
      </c>
      <c r="C2700" s="98" t="s">
        <v>289</v>
      </c>
      <c r="D2700" s="98" t="s">
        <v>329</v>
      </c>
      <c r="E2700" s="98" t="s">
        <v>247</v>
      </c>
      <c r="F2700" s="98">
        <v>4394.0600000000004</v>
      </c>
    </row>
    <row r="2701" spans="1:6">
      <c r="A2701" s="6">
        <v>44227</v>
      </c>
      <c r="B2701" s="98" t="s">
        <v>328</v>
      </c>
      <c r="C2701" s="98" t="s">
        <v>249</v>
      </c>
      <c r="D2701" s="98" t="s">
        <v>329</v>
      </c>
      <c r="E2701" s="98" t="s">
        <v>247</v>
      </c>
      <c r="F2701" s="98">
        <v>245.37</v>
      </c>
    </row>
    <row r="2702" spans="1:6">
      <c r="A2702" s="6">
        <v>44227</v>
      </c>
      <c r="B2702" s="98" t="s">
        <v>328</v>
      </c>
      <c r="C2702" s="98" t="s">
        <v>262</v>
      </c>
      <c r="D2702" s="98" t="s">
        <v>329</v>
      </c>
      <c r="E2702" s="98" t="s">
        <v>244</v>
      </c>
      <c r="F2702" s="98">
        <v>105.87</v>
      </c>
    </row>
    <row r="2703" spans="1:6">
      <c r="A2703" s="6">
        <v>44227</v>
      </c>
      <c r="B2703" s="98" t="s">
        <v>328</v>
      </c>
      <c r="C2703" s="98" t="s">
        <v>245</v>
      </c>
      <c r="D2703" s="98" t="s">
        <v>329</v>
      </c>
      <c r="E2703" s="98" t="s">
        <v>244</v>
      </c>
      <c r="F2703" s="98">
        <v>157.04</v>
      </c>
    </row>
    <row r="2704" spans="1:6">
      <c r="A2704" s="6">
        <v>44227</v>
      </c>
      <c r="B2704" s="98" t="s">
        <v>328</v>
      </c>
      <c r="C2704" s="98" t="s">
        <v>264</v>
      </c>
      <c r="D2704" s="98" t="s">
        <v>329</v>
      </c>
      <c r="E2704" s="98" t="s">
        <v>244</v>
      </c>
      <c r="F2704" s="98">
        <v>239.05</v>
      </c>
    </row>
    <row r="2705" spans="1:6">
      <c r="A2705" s="6">
        <v>44227</v>
      </c>
      <c r="B2705" s="98" t="s">
        <v>328</v>
      </c>
      <c r="C2705" s="98" t="s">
        <v>271</v>
      </c>
      <c r="D2705" s="98" t="s">
        <v>329</v>
      </c>
      <c r="E2705" s="98" t="s">
        <v>244</v>
      </c>
      <c r="F2705" s="98">
        <v>7.94</v>
      </c>
    </row>
    <row r="2706" spans="1:6">
      <c r="A2706" s="6">
        <v>44227</v>
      </c>
      <c r="B2706" s="98" t="s">
        <v>328</v>
      </c>
      <c r="C2706" s="98" t="s">
        <v>254</v>
      </c>
      <c r="D2706" s="98" t="s">
        <v>329</v>
      </c>
      <c r="E2706" s="98" t="s">
        <v>244</v>
      </c>
      <c r="F2706" s="98">
        <v>595.91</v>
      </c>
    </row>
    <row r="2707" spans="1:6">
      <c r="A2707" s="6">
        <v>44227</v>
      </c>
      <c r="B2707" s="98" t="s">
        <v>328</v>
      </c>
      <c r="C2707" s="98" t="s">
        <v>274</v>
      </c>
      <c r="D2707" s="98" t="s">
        <v>329</v>
      </c>
      <c r="E2707" s="98" t="s">
        <v>247</v>
      </c>
      <c r="F2707" s="98">
        <v>12753.78</v>
      </c>
    </row>
    <row r="2708" spans="1:6">
      <c r="A2708" s="6">
        <v>44227</v>
      </c>
      <c r="B2708" s="98" t="s">
        <v>330</v>
      </c>
      <c r="C2708" s="98" t="s">
        <v>262</v>
      </c>
      <c r="D2708" s="98" t="s">
        <v>331</v>
      </c>
      <c r="E2708" s="98" t="s">
        <v>244</v>
      </c>
      <c r="F2708" s="98">
        <v>86.52</v>
      </c>
    </row>
    <row r="2709" spans="1:6">
      <c r="A2709" s="6">
        <v>44227</v>
      </c>
      <c r="B2709" s="98" t="s">
        <v>330</v>
      </c>
      <c r="C2709" s="98" t="s">
        <v>253</v>
      </c>
      <c r="D2709" s="98" t="s">
        <v>331</v>
      </c>
      <c r="E2709" s="98" t="s">
        <v>244</v>
      </c>
      <c r="F2709" s="98">
        <v>162.27000000000001</v>
      </c>
    </row>
    <row r="2710" spans="1:6">
      <c r="A2710" s="6">
        <v>44227</v>
      </c>
      <c r="B2710" s="98" t="s">
        <v>330</v>
      </c>
      <c r="C2710" s="98" t="s">
        <v>245</v>
      </c>
      <c r="D2710" s="98" t="s">
        <v>331</v>
      </c>
      <c r="E2710" s="98" t="s">
        <v>244</v>
      </c>
      <c r="F2710" s="98">
        <v>57.39</v>
      </c>
    </row>
    <row r="2711" spans="1:6">
      <c r="A2711" s="6">
        <v>44227</v>
      </c>
      <c r="B2711" s="98" t="s">
        <v>332</v>
      </c>
      <c r="C2711" s="98" t="s">
        <v>246</v>
      </c>
      <c r="D2711" s="98" t="s">
        <v>333</v>
      </c>
      <c r="E2711" s="98" t="s">
        <v>247</v>
      </c>
      <c r="F2711" s="98">
        <v>3103.02</v>
      </c>
    </row>
    <row r="2712" spans="1:6">
      <c r="A2712" s="6">
        <v>44227</v>
      </c>
      <c r="B2712" s="98" t="s">
        <v>332</v>
      </c>
      <c r="C2712" s="98" t="s">
        <v>249</v>
      </c>
      <c r="D2712" s="98" t="s">
        <v>333</v>
      </c>
      <c r="E2712" s="98" t="s">
        <v>247</v>
      </c>
      <c r="F2712" s="98">
        <v>3861.32</v>
      </c>
    </row>
    <row r="2713" spans="1:6">
      <c r="A2713" s="6">
        <v>44227</v>
      </c>
      <c r="B2713" s="98" t="s">
        <v>332</v>
      </c>
      <c r="C2713" s="98" t="s">
        <v>242</v>
      </c>
      <c r="D2713" s="98" t="s">
        <v>333</v>
      </c>
      <c r="E2713" s="98" t="s">
        <v>244</v>
      </c>
      <c r="F2713" s="98">
        <v>872.04</v>
      </c>
    </row>
    <row r="2714" spans="1:6">
      <c r="A2714" s="6">
        <v>44227</v>
      </c>
      <c r="B2714" s="98" t="s">
        <v>332</v>
      </c>
      <c r="C2714" s="98" t="s">
        <v>254</v>
      </c>
      <c r="D2714" s="98" t="s">
        <v>333</v>
      </c>
      <c r="E2714" s="98" t="s">
        <v>244</v>
      </c>
      <c r="F2714" s="98">
        <v>275.48</v>
      </c>
    </row>
    <row r="2715" spans="1:6">
      <c r="A2715" s="6">
        <v>44227</v>
      </c>
      <c r="B2715" s="98" t="s">
        <v>332</v>
      </c>
      <c r="C2715" s="98" t="s">
        <v>277</v>
      </c>
      <c r="D2715" s="98" t="s">
        <v>333</v>
      </c>
      <c r="E2715" s="98" t="s">
        <v>247</v>
      </c>
      <c r="F2715" s="98">
        <v>1181.83</v>
      </c>
    </row>
    <row r="2716" spans="1:6">
      <c r="A2716" s="6">
        <v>44227</v>
      </c>
      <c r="B2716" s="98" t="s">
        <v>332</v>
      </c>
      <c r="C2716" s="98" t="s">
        <v>248</v>
      </c>
      <c r="D2716" s="98" t="s">
        <v>333</v>
      </c>
      <c r="E2716" s="98" t="s">
        <v>247</v>
      </c>
      <c r="F2716" s="98">
        <v>3299.1</v>
      </c>
    </row>
    <row r="2717" spans="1:6">
      <c r="A2717" s="6">
        <v>44227</v>
      </c>
      <c r="B2717" s="98" t="s">
        <v>332</v>
      </c>
      <c r="C2717" s="98" t="s">
        <v>274</v>
      </c>
      <c r="D2717" s="98" t="s">
        <v>333</v>
      </c>
      <c r="E2717" s="98" t="s">
        <v>247</v>
      </c>
      <c r="F2717" s="98">
        <v>16596.849999999999</v>
      </c>
    </row>
    <row r="2718" spans="1:6">
      <c r="A2718" s="6">
        <v>44227</v>
      </c>
      <c r="B2718" s="98" t="s">
        <v>334</v>
      </c>
      <c r="C2718" s="98" t="s">
        <v>266</v>
      </c>
      <c r="D2718" s="98" t="s">
        <v>335</v>
      </c>
      <c r="E2718" s="98" t="s">
        <v>258</v>
      </c>
      <c r="F2718" s="98">
        <v>30882.25</v>
      </c>
    </row>
    <row r="2719" spans="1:6">
      <c r="A2719" s="6">
        <v>44227</v>
      </c>
      <c r="B2719" s="98" t="s">
        <v>334</v>
      </c>
      <c r="C2719" s="98" t="s">
        <v>255</v>
      </c>
      <c r="D2719" s="98" t="s">
        <v>335</v>
      </c>
      <c r="E2719" s="98" t="s">
        <v>247</v>
      </c>
      <c r="F2719" s="98">
        <v>19391.41</v>
      </c>
    </row>
    <row r="2720" spans="1:6">
      <c r="A2720" s="6">
        <v>44227</v>
      </c>
      <c r="B2720" s="98" t="s">
        <v>334</v>
      </c>
      <c r="C2720" s="98" t="s">
        <v>265</v>
      </c>
      <c r="D2720" s="98" t="s">
        <v>335</v>
      </c>
      <c r="E2720" s="98" t="s">
        <v>247</v>
      </c>
      <c r="F2720" s="98">
        <v>284.86</v>
      </c>
    </row>
    <row r="2721" spans="1:6">
      <c r="A2721" s="6">
        <v>44227</v>
      </c>
      <c r="B2721" s="98" t="s">
        <v>334</v>
      </c>
      <c r="C2721" s="98" t="s">
        <v>289</v>
      </c>
      <c r="D2721" s="98" t="s">
        <v>335</v>
      </c>
      <c r="E2721" s="98" t="s">
        <v>247</v>
      </c>
      <c r="F2721" s="98">
        <v>34186.53</v>
      </c>
    </row>
    <row r="2722" spans="1:6">
      <c r="A2722" s="6">
        <v>44227</v>
      </c>
      <c r="B2722" s="98" t="s">
        <v>334</v>
      </c>
      <c r="C2722" s="98" t="s">
        <v>260</v>
      </c>
      <c r="D2722" s="98" t="s">
        <v>335</v>
      </c>
      <c r="E2722" s="98" t="s">
        <v>258</v>
      </c>
      <c r="F2722" s="98">
        <v>24630.57</v>
      </c>
    </row>
    <row r="2723" spans="1:6">
      <c r="A2723" s="6">
        <v>44227</v>
      </c>
      <c r="B2723" s="98" t="s">
        <v>334</v>
      </c>
      <c r="C2723" s="98" t="s">
        <v>242</v>
      </c>
      <c r="D2723" s="98" t="s">
        <v>335</v>
      </c>
      <c r="E2723" s="98" t="s">
        <v>244</v>
      </c>
      <c r="F2723" s="98">
        <v>1488.96</v>
      </c>
    </row>
    <row r="2724" spans="1:6">
      <c r="A2724" s="6">
        <v>44227</v>
      </c>
      <c r="B2724" s="98" t="s">
        <v>334</v>
      </c>
      <c r="C2724" s="98" t="s">
        <v>262</v>
      </c>
      <c r="D2724" s="98" t="s">
        <v>335</v>
      </c>
      <c r="E2724" s="98" t="s">
        <v>244</v>
      </c>
      <c r="F2724" s="98">
        <v>1152.0899999999999</v>
      </c>
    </row>
    <row r="2725" spans="1:6">
      <c r="A2725" s="6">
        <v>44227</v>
      </c>
      <c r="B2725" s="98" t="s">
        <v>334</v>
      </c>
      <c r="C2725" s="98" t="s">
        <v>251</v>
      </c>
      <c r="D2725" s="98" t="s">
        <v>335</v>
      </c>
      <c r="E2725" s="98" t="s">
        <v>244</v>
      </c>
      <c r="F2725" s="98">
        <v>33.58</v>
      </c>
    </row>
    <row r="2726" spans="1:6">
      <c r="A2726" s="6">
        <v>44227</v>
      </c>
      <c r="B2726" s="98" t="s">
        <v>334</v>
      </c>
      <c r="C2726" s="98" t="s">
        <v>253</v>
      </c>
      <c r="D2726" s="98" t="s">
        <v>335</v>
      </c>
      <c r="E2726" s="98" t="s">
        <v>244</v>
      </c>
      <c r="F2726" s="98">
        <v>94.29</v>
      </c>
    </row>
    <row r="2727" spans="1:6">
      <c r="A2727" s="6">
        <v>44227</v>
      </c>
      <c r="B2727" s="98" t="s">
        <v>334</v>
      </c>
      <c r="C2727" s="98" t="s">
        <v>245</v>
      </c>
      <c r="D2727" s="98" t="s">
        <v>335</v>
      </c>
      <c r="E2727" s="98" t="s">
        <v>244</v>
      </c>
      <c r="F2727" s="98">
        <v>241.64</v>
      </c>
    </row>
    <row r="2728" spans="1:6">
      <c r="A2728" s="6">
        <v>44227</v>
      </c>
      <c r="B2728" s="98" t="s">
        <v>334</v>
      </c>
      <c r="C2728" s="98" t="s">
        <v>254</v>
      </c>
      <c r="D2728" s="98" t="s">
        <v>335</v>
      </c>
      <c r="E2728" s="98" t="s">
        <v>244</v>
      </c>
      <c r="F2728" s="98">
        <v>86.22</v>
      </c>
    </row>
    <row r="2729" spans="1:6">
      <c r="A2729" s="6">
        <v>44227</v>
      </c>
      <c r="B2729" s="98" t="s">
        <v>334</v>
      </c>
      <c r="C2729" s="98" t="s">
        <v>248</v>
      </c>
      <c r="D2729" s="98" t="s">
        <v>335</v>
      </c>
      <c r="E2729" s="98" t="s">
        <v>247</v>
      </c>
      <c r="F2729" s="98">
        <v>4073.68</v>
      </c>
    </row>
    <row r="2730" spans="1:6">
      <c r="A2730" s="6">
        <v>44227</v>
      </c>
      <c r="B2730" s="98" t="s">
        <v>336</v>
      </c>
      <c r="C2730" s="98" t="s">
        <v>255</v>
      </c>
      <c r="D2730" s="98" t="s">
        <v>337</v>
      </c>
      <c r="E2730" s="98" t="s">
        <v>247</v>
      </c>
      <c r="F2730" s="98">
        <v>5578.06</v>
      </c>
    </row>
    <row r="2731" spans="1:6">
      <c r="A2731" s="6">
        <v>44227</v>
      </c>
      <c r="B2731" s="98" t="s">
        <v>336</v>
      </c>
      <c r="C2731" s="98" t="s">
        <v>339</v>
      </c>
      <c r="D2731" s="98" t="s">
        <v>337</v>
      </c>
      <c r="E2731" s="98" t="s">
        <v>247</v>
      </c>
      <c r="F2731" s="98">
        <v>79.930000000000007</v>
      </c>
    </row>
    <row r="2732" spans="1:6">
      <c r="A2732" s="6">
        <v>44227</v>
      </c>
      <c r="B2732" s="98" t="s">
        <v>336</v>
      </c>
      <c r="C2732" s="98" t="s">
        <v>289</v>
      </c>
      <c r="D2732" s="98" t="s">
        <v>337</v>
      </c>
      <c r="E2732" s="98" t="s">
        <v>247</v>
      </c>
      <c r="F2732" s="98">
        <v>7603.15</v>
      </c>
    </row>
    <row r="2733" spans="1:6">
      <c r="A2733" s="6">
        <v>44227</v>
      </c>
      <c r="B2733" s="98" t="s">
        <v>336</v>
      </c>
      <c r="C2733" s="98" t="s">
        <v>560</v>
      </c>
      <c r="D2733" s="98" t="s">
        <v>337</v>
      </c>
      <c r="E2733" s="98" t="s">
        <v>247</v>
      </c>
      <c r="F2733" s="98">
        <v>877.25</v>
      </c>
    </row>
    <row r="2734" spans="1:6">
      <c r="A2734" s="6">
        <v>44227</v>
      </c>
      <c r="B2734" s="98" t="s">
        <v>336</v>
      </c>
      <c r="C2734" s="98" t="s">
        <v>242</v>
      </c>
      <c r="D2734" s="98" t="s">
        <v>337</v>
      </c>
      <c r="E2734" s="98" t="s">
        <v>244</v>
      </c>
      <c r="F2734" s="98">
        <v>25.06</v>
      </c>
    </row>
    <row r="2735" spans="1:6">
      <c r="A2735" s="6">
        <v>44227</v>
      </c>
      <c r="B2735" s="98" t="s">
        <v>336</v>
      </c>
      <c r="C2735" s="98" t="s">
        <v>253</v>
      </c>
      <c r="D2735" s="98" t="s">
        <v>337</v>
      </c>
      <c r="E2735" s="98" t="s">
        <v>244</v>
      </c>
      <c r="F2735" s="98">
        <v>61.03</v>
      </c>
    </row>
    <row r="2736" spans="1:6">
      <c r="A2736" s="6">
        <v>44227</v>
      </c>
      <c r="B2736" s="98" t="s">
        <v>336</v>
      </c>
      <c r="C2736" s="98" t="s">
        <v>245</v>
      </c>
      <c r="D2736" s="98" t="s">
        <v>337</v>
      </c>
      <c r="E2736" s="98" t="s">
        <v>244</v>
      </c>
      <c r="F2736" s="98">
        <v>308.77999999999997</v>
      </c>
    </row>
    <row r="2737" spans="1:6">
      <c r="A2737" s="6">
        <v>44227</v>
      </c>
      <c r="B2737" s="98" t="s">
        <v>336</v>
      </c>
      <c r="C2737" s="98" t="s">
        <v>256</v>
      </c>
      <c r="D2737" s="98" t="s">
        <v>337</v>
      </c>
      <c r="E2737" s="98" t="s">
        <v>247</v>
      </c>
      <c r="F2737" s="98">
        <v>7085.82</v>
      </c>
    </row>
    <row r="2738" spans="1:6">
      <c r="A2738" s="6">
        <v>44227</v>
      </c>
      <c r="B2738" s="98" t="s">
        <v>484</v>
      </c>
      <c r="C2738" s="98" t="s">
        <v>242</v>
      </c>
      <c r="D2738" s="98" t="s">
        <v>485</v>
      </c>
      <c r="E2738" s="98" t="s">
        <v>244</v>
      </c>
      <c r="F2738" s="98">
        <v>206.64</v>
      </c>
    </row>
    <row r="2739" spans="1:6">
      <c r="A2739" s="6">
        <v>44227</v>
      </c>
      <c r="B2739" s="98" t="s">
        <v>484</v>
      </c>
      <c r="C2739" s="98" t="s">
        <v>245</v>
      </c>
      <c r="D2739" s="98" t="s">
        <v>485</v>
      </c>
      <c r="E2739" s="98" t="s">
        <v>244</v>
      </c>
      <c r="F2739" s="98">
        <v>109.33</v>
      </c>
    </row>
    <row r="2740" spans="1:6">
      <c r="A2740" s="6">
        <v>44227</v>
      </c>
      <c r="B2740" s="98" t="s">
        <v>342</v>
      </c>
      <c r="C2740" s="98" t="s">
        <v>254</v>
      </c>
      <c r="D2740" s="98" t="s">
        <v>343</v>
      </c>
      <c r="E2740" s="98" t="s">
        <v>244</v>
      </c>
      <c r="F2740" s="98">
        <v>489.24</v>
      </c>
    </row>
    <row r="2741" spans="1:6">
      <c r="A2741" s="6">
        <v>44227</v>
      </c>
      <c r="B2741" s="98" t="s">
        <v>342</v>
      </c>
      <c r="C2741" s="98" t="s">
        <v>274</v>
      </c>
      <c r="D2741" s="98" t="s">
        <v>343</v>
      </c>
      <c r="E2741" s="98" t="s">
        <v>247</v>
      </c>
      <c r="F2741" s="98">
        <v>3575.94</v>
      </c>
    </row>
    <row r="2742" spans="1:6">
      <c r="A2742" s="6">
        <v>44227</v>
      </c>
      <c r="B2742" s="98" t="s">
        <v>431</v>
      </c>
      <c r="C2742" s="98" t="s">
        <v>249</v>
      </c>
      <c r="D2742" s="98" t="s">
        <v>432</v>
      </c>
      <c r="E2742" s="98" t="s">
        <v>247</v>
      </c>
      <c r="F2742" s="98">
        <v>4837.49</v>
      </c>
    </row>
    <row r="2743" spans="1:6">
      <c r="A2743" s="6">
        <v>44227</v>
      </c>
      <c r="B2743" s="98" t="s">
        <v>431</v>
      </c>
      <c r="C2743" s="98" t="s">
        <v>251</v>
      </c>
      <c r="D2743" s="98" t="s">
        <v>432</v>
      </c>
      <c r="E2743" s="98" t="s">
        <v>244</v>
      </c>
      <c r="F2743" s="98">
        <v>42.66</v>
      </c>
    </row>
    <row r="2744" spans="1:6">
      <c r="A2744" s="6">
        <v>44227</v>
      </c>
      <c r="B2744" s="98" t="s">
        <v>344</v>
      </c>
      <c r="C2744" s="98" t="s">
        <v>262</v>
      </c>
      <c r="D2744" s="98" t="s">
        <v>345</v>
      </c>
      <c r="E2744" s="98" t="s">
        <v>244</v>
      </c>
      <c r="F2744" s="98">
        <v>220.2</v>
      </c>
    </row>
    <row r="2745" spans="1:6">
      <c r="A2745" s="6">
        <v>44227</v>
      </c>
      <c r="B2745" s="98" t="s">
        <v>344</v>
      </c>
      <c r="C2745" s="98" t="s">
        <v>245</v>
      </c>
      <c r="D2745" s="98" t="s">
        <v>345</v>
      </c>
      <c r="E2745" s="98" t="s">
        <v>244</v>
      </c>
      <c r="F2745" s="98">
        <v>90.66</v>
      </c>
    </row>
    <row r="2746" spans="1:6">
      <c r="A2746" s="6">
        <v>44227</v>
      </c>
      <c r="B2746" s="98" t="s">
        <v>346</v>
      </c>
      <c r="C2746" s="98" t="s">
        <v>245</v>
      </c>
      <c r="D2746" s="98" t="s">
        <v>347</v>
      </c>
      <c r="E2746" s="98" t="s">
        <v>244</v>
      </c>
      <c r="F2746" s="98">
        <v>13.85</v>
      </c>
    </row>
    <row r="2747" spans="1:6">
      <c r="A2747" s="6">
        <v>44227</v>
      </c>
      <c r="B2747" s="98" t="s">
        <v>348</v>
      </c>
      <c r="C2747" s="98" t="s">
        <v>242</v>
      </c>
      <c r="D2747" s="98" t="s">
        <v>349</v>
      </c>
      <c r="E2747" s="98" t="s">
        <v>244</v>
      </c>
      <c r="F2747" s="98">
        <v>111.45</v>
      </c>
    </row>
    <row r="2748" spans="1:6">
      <c r="A2748" s="6">
        <v>44227</v>
      </c>
      <c r="B2748" s="98" t="s">
        <v>348</v>
      </c>
      <c r="C2748" s="98" t="s">
        <v>262</v>
      </c>
      <c r="D2748" s="98" t="s">
        <v>349</v>
      </c>
      <c r="E2748" s="98" t="s">
        <v>244</v>
      </c>
      <c r="F2748" s="98">
        <v>72.41</v>
      </c>
    </row>
    <row r="2749" spans="1:6">
      <c r="A2749" s="6">
        <v>44227</v>
      </c>
      <c r="B2749" s="98" t="s">
        <v>348</v>
      </c>
      <c r="C2749" s="98" t="s">
        <v>264</v>
      </c>
      <c r="D2749" s="98" t="s">
        <v>349</v>
      </c>
      <c r="E2749" s="98" t="s">
        <v>244</v>
      </c>
      <c r="F2749" s="98">
        <v>48</v>
      </c>
    </row>
    <row r="2750" spans="1:6">
      <c r="A2750" s="6">
        <v>44227</v>
      </c>
      <c r="B2750" s="98" t="s">
        <v>350</v>
      </c>
      <c r="C2750" s="98" t="s">
        <v>242</v>
      </c>
      <c r="D2750" s="98" t="s">
        <v>351</v>
      </c>
      <c r="E2750" s="98" t="s">
        <v>244</v>
      </c>
      <c r="F2750" s="98">
        <v>97.05</v>
      </c>
    </row>
    <row r="2751" spans="1:6">
      <c r="A2751" s="6">
        <v>44227</v>
      </c>
      <c r="B2751" s="98" t="s">
        <v>350</v>
      </c>
      <c r="C2751" s="98" t="s">
        <v>245</v>
      </c>
      <c r="D2751" s="98" t="s">
        <v>351</v>
      </c>
      <c r="E2751" s="98" t="s">
        <v>244</v>
      </c>
      <c r="F2751" s="98">
        <v>159.97999999999999</v>
      </c>
    </row>
    <row r="2752" spans="1:6">
      <c r="A2752" s="6">
        <v>44227</v>
      </c>
      <c r="B2752" s="98" t="s">
        <v>350</v>
      </c>
      <c r="C2752" s="98" t="s">
        <v>291</v>
      </c>
      <c r="D2752" s="98" t="s">
        <v>351</v>
      </c>
      <c r="E2752" s="98" t="s">
        <v>247</v>
      </c>
      <c r="F2752" s="98">
        <v>238.44</v>
      </c>
    </row>
    <row r="2753" spans="1:6">
      <c r="A2753" s="6">
        <v>44227</v>
      </c>
      <c r="B2753" s="98" t="s">
        <v>352</v>
      </c>
      <c r="C2753" s="98" t="s">
        <v>245</v>
      </c>
      <c r="D2753" s="98" t="s">
        <v>353</v>
      </c>
      <c r="E2753" s="98" t="s">
        <v>244</v>
      </c>
      <c r="F2753" s="98">
        <v>7.0000000000000007E-2</v>
      </c>
    </row>
    <row r="2754" spans="1:6">
      <c r="A2754" s="6">
        <v>44227</v>
      </c>
      <c r="B2754" s="98" t="s">
        <v>354</v>
      </c>
      <c r="C2754" s="98" t="s">
        <v>355</v>
      </c>
      <c r="D2754" s="98" t="s">
        <v>356</v>
      </c>
      <c r="E2754" s="98" t="s">
        <v>247</v>
      </c>
      <c r="F2754" s="98">
        <v>938.05</v>
      </c>
    </row>
    <row r="2755" spans="1:6">
      <c r="A2755" s="6">
        <v>44227</v>
      </c>
      <c r="B2755" s="98" t="s">
        <v>354</v>
      </c>
      <c r="C2755" s="98" t="s">
        <v>280</v>
      </c>
      <c r="D2755" s="98" t="s">
        <v>356</v>
      </c>
      <c r="E2755" s="98" t="s">
        <v>247</v>
      </c>
      <c r="F2755" s="98">
        <v>1715.26</v>
      </c>
    </row>
    <row r="2756" spans="1:6">
      <c r="A2756" s="6">
        <v>44227</v>
      </c>
      <c r="B2756" s="98" t="s">
        <v>357</v>
      </c>
      <c r="C2756" s="98" t="s">
        <v>248</v>
      </c>
      <c r="D2756" s="98" t="s">
        <v>358</v>
      </c>
      <c r="E2756" s="98" t="s">
        <v>247</v>
      </c>
      <c r="F2756" s="98">
        <v>16615.12</v>
      </c>
    </row>
    <row r="2757" spans="1:6">
      <c r="A2757" s="6">
        <v>44227</v>
      </c>
      <c r="B2757" s="98" t="s">
        <v>359</v>
      </c>
      <c r="C2757" s="98" t="s">
        <v>266</v>
      </c>
      <c r="D2757" s="98" t="s">
        <v>360</v>
      </c>
      <c r="E2757" s="98" t="s">
        <v>258</v>
      </c>
      <c r="F2757" s="98">
        <v>3416.99</v>
      </c>
    </row>
    <row r="2758" spans="1:6">
      <c r="A2758" s="6">
        <v>44227</v>
      </c>
      <c r="B2758" s="98" t="s">
        <v>359</v>
      </c>
      <c r="C2758" s="98" t="s">
        <v>255</v>
      </c>
      <c r="D2758" s="98" t="s">
        <v>360</v>
      </c>
      <c r="E2758" s="98" t="s">
        <v>247</v>
      </c>
      <c r="F2758" s="98">
        <v>463.38</v>
      </c>
    </row>
    <row r="2759" spans="1:6">
      <c r="A2759" s="6">
        <v>44227</v>
      </c>
      <c r="B2759" s="98" t="s">
        <v>359</v>
      </c>
      <c r="C2759" s="98" t="s">
        <v>289</v>
      </c>
      <c r="D2759" s="98" t="s">
        <v>360</v>
      </c>
      <c r="E2759" s="98" t="s">
        <v>247</v>
      </c>
      <c r="F2759" s="98">
        <v>1178.98</v>
      </c>
    </row>
    <row r="2760" spans="1:6">
      <c r="A2760" s="6">
        <v>44227</v>
      </c>
      <c r="B2760" s="98" t="s">
        <v>359</v>
      </c>
      <c r="C2760" s="98" t="s">
        <v>242</v>
      </c>
      <c r="D2760" s="98" t="s">
        <v>360</v>
      </c>
      <c r="E2760" s="98" t="s">
        <v>244</v>
      </c>
      <c r="F2760" s="98">
        <v>43.37</v>
      </c>
    </row>
    <row r="2761" spans="1:6">
      <c r="A2761" s="6">
        <v>44227</v>
      </c>
      <c r="B2761" s="98" t="s">
        <v>359</v>
      </c>
      <c r="C2761" s="98" t="s">
        <v>262</v>
      </c>
      <c r="D2761" s="98" t="s">
        <v>360</v>
      </c>
      <c r="E2761" s="98" t="s">
        <v>244</v>
      </c>
      <c r="F2761" s="98">
        <v>1252.51</v>
      </c>
    </row>
    <row r="2762" spans="1:6">
      <c r="A2762" s="6">
        <v>44227</v>
      </c>
      <c r="B2762" s="98" t="s">
        <v>359</v>
      </c>
      <c r="C2762" s="98" t="s">
        <v>251</v>
      </c>
      <c r="D2762" s="98" t="s">
        <v>360</v>
      </c>
      <c r="E2762" s="98" t="s">
        <v>244</v>
      </c>
      <c r="F2762" s="98">
        <v>18.16</v>
      </c>
    </row>
    <row r="2763" spans="1:6">
      <c r="A2763" s="6">
        <v>44227</v>
      </c>
      <c r="B2763" s="98" t="s">
        <v>359</v>
      </c>
      <c r="C2763" s="98" t="s">
        <v>245</v>
      </c>
      <c r="D2763" s="98" t="s">
        <v>360</v>
      </c>
      <c r="E2763" s="98" t="s">
        <v>244</v>
      </c>
      <c r="F2763" s="98">
        <v>522.6</v>
      </c>
    </row>
    <row r="2764" spans="1:6">
      <c r="A2764" s="6">
        <v>44227</v>
      </c>
      <c r="B2764" s="98" t="s">
        <v>359</v>
      </c>
      <c r="C2764" s="98" t="s">
        <v>264</v>
      </c>
      <c r="D2764" s="98" t="s">
        <v>360</v>
      </c>
      <c r="E2764" s="98" t="s">
        <v>244</v>
      </c>
      <c r="F2764" s="98">
        <v>68.099999999999994</v>
      </c>
    </row>
    <row r="2765" spans="1:6">
      <c r="A2765" s="6">
        <v>44227</v>
      </c>
      <c r="B2765" s="98" t="s">
        <v>361</v>
      </c>
      <c r="C2765" s="98" t="s">
        <v>242</v>
      </c>
      <c r="D2765" s="98" t="s">
        <v>362</v>
      </c>
      <c r="E2765" s="98" t="s">
        <v>244</v>
      </c>
      <c r="F2765" s="98">
        <v>164.03</v>
      </c>
    </row>
    <row r="2766" spans="1:6">
      <c r="A2766" s="6">
        <v>44227</v>
      </c>
      <c r="B2766" s="98" t="s">
        <v>361</v>
      </c>
      <c r="C2766" s="98" t="s">
        <v>264</v>
      </c>
      <c r="D2766" s="98" t="s">
        <v>362</v>
      </c>
      <c r="E2766" s="98" t="s">
        <v>244</v>
      </c>
      <c r="F2766" s="98">
        <v>91.4</v>
      </c>
    </row>
    <row r="2767" spans="1:6">
      <c r="A2767" s="6">
        <v>44227</v>
      </c>
      <c r="B2767" s="98" t="s">
        <v>366</v>
      </c>
      <c r="C2767" s="98" t="s">
        <v>259</v>
      </c>
      <c r="D2767" s="98" t="s">
        <v>367</v>
      </c>
      <c r="E2767" s="98" t="s">
        <v>258</v>
      </c>
      <c r="F2767" s="98">
        <v>58387.12</v>
      </c>
    </row>
    <row r="2768" spans="1:6">
      <c r="A2768" s="6">
        <v>44227</v>
      </c>
      <c r="B2768" s="98" t="s">
        <v>366</v>
      </c>
      <c r="C2768" s="98" t="s">
        <v>257</v>
      </c>
      <c r="D2768" s="98" t="s">
        <v>367</v>
      </c>
      <c r="E2768" s="98" t="s">
        <v>258</v>
      </c>
      <c r="F2768" s="98">
        <v>64609.36</v>
      </c>
    </row>
    <row r="2769" spans="1:6">
      <c r="A2769" s="6">
        <v>44227</v>
      </c>
      <c r="B2769" s="98" t="s">
        <v>366</v>
      </c>
      <c r="C2769" s="98" t="s">
        <v>368</v>
      </c>
      <c r="D2769" s="98" t="s">
        <v>367</v>
      </c>
      <c r="E2769" s="98" t="s">
        <v>247</v>
      </c>
      <c r="F2769" s="98">
        <v>2483.27</v>
      </c>
    </row>
    <row r="2770" spans="1:6">
      <c r="A2770" s="6">
        <v>44227</v>
      </c>
      <c r="B2770" s="98" t="s">
        <v>366</v>
      </c>
      <c r="C2770" s="98" t="s">
        <v>260</v>
      </c>
      <c r="D2770" s="98" t="s">
        <v>367</v>
      </c>
      <c r="E2770" s="98" t="s">
        <v>258</v>
      </c>
      <c r="F2770" s="98">
        <v>1545.5</v>
      </c>
    </row>
    <row r="2771" spans="1:6">
      <c r="A2771" s="6">
        <v>44227</v>
      </c>
      <c r="B2771" s="98" t="s">
        <v>366</v>
      </c>
      <c r="C2771" s="98" t="s">
        <v>251</v>
      </c>
      <c r="D2771" s="98" t="s">
        <v>367</v>
      </c>
      <c r="E2771" s="98" t="s">
        <v>244</v>
      </c>
      <c r="F2771" s="98">
        <v>281.17</v>
      </c>
    </row>
    <row r="2772" spans="1:6">
      <c r="A2772" s="6">
        <v>44227</v>
      </c>
      <c r="B2772" s="98" t="s">
        <v>366</v>
      </c>
      <c r="C2772" s="98" t="s">
        <v>253</v>
      </c>
      <c r="D2772" s="98" t="s">
        <v>367</v>
      </c>
      <c r="E2772" s="98" t="s">
        <v>244</v>
      </c>
      <c r="F2772" s="98">
        <v>32.03</v>
      </c>
    </row>
    <row r="2773" spans="1:6">
      <c r="A2773" s="6">
        <v>44227</v>
      </c>
      <c r="B2773" s="98" t="s">
        <v>366</v>
      </c>
      <c r="C2773" s="98" t="s">
        <v>369</v>
      </c>
      <c r="D2773" s="98" t="s">
        <v>367</v>
      </c>
      <c r="E2773" s="98" t="s">
        <v>244</v>
      </c>
      <c r="F2773" s="98">
        <v>63.67</v>
      </c>
    </row>
    <row r="2774" spans="1:6">
      <c r="A2774" s="6">
        <v>44227</v>
      </c>
      <c r="B2774" s="98" t="s">
        <v>370</v>
      </c>
      <c r="C2774" s="98" t="s">
        <v>242</v>
      </c>
      <c r="D2774" s="98" t="s">
        <v>371</v>
      </c>
      <c r="E2774" s="98" t="s">
        <v>244</v>
      </c>
      <c r="F2774" s="98">
        <v>217.85</v>
      </c>
    </row>
    <row r="2775" spans="1:6">
      <c r="A2775" s="6">
        <v>44227</v>
      </c>
      <c r="B2775" s="98" t="s">
        <v>370</v>
      </c>
      <c r="C2775" s="98" t="s">
        <v>253</v>
      </c>
      <c r="D2775" s="98" t="s">
        <v>371</v>
      </c>
      <c r="E2775" s="98" t="s">
        <v>244</v>
      </c>
      <c r="F2775" s="98">
        <v>20.68</v>
      </c>
    </row>
    <row r="2776" spans="1:6">
      <c r="A2776" s="6">
        <v>44227</v>
      </c>
      <c r="B2776" s="98" t="s">
        <v>370</v>
      </c>
      <c r="C2776" s="98" t="s">
        <v>254</v>
      </c>
      <c r="D2776" s="98" t="s">
        <v>371</v>
      </c>
      <c r="E2776" s="98" t="s">
        <v>244</v>
      </c>
      <c r="F2776" s="98">
        <v>1560.55</v>
      </c>
    </row>
    <row r="2777" spans="1:6">
      <c r="A2777" s="6">
        <v>44227</v>
      </c>
      <c r="B2777" s="98" t="s">
        <v>372</v>
      </c>
      <c r="C2777" s="98" t="s">
        <v>289</v>
      </c>
      <c r="D2777" s="98" t="s">
        <v>373</v>
      </c>
      <c r="E2777" s="98" t="s">
        <v>247</v>
      </c>
      <c r="F2777" s="98">
        <v>3138.4</v>
      </c>
    </row>
    <row r="2778" spans="1:6">
      <c r="A2778" s="6">
        <v>44227</v>
      </c>
      <c r="B2778" s="98" t="s">
        <v>372</v>
      </c>
      <c r="C2778" s="98" t="s">
        <v>242</v>
      </c>
      <c r="D2778" s="98" t="s">
        <v>373</v>
      </c>
      <c r="E2778" s="98" t="s">
        <v>244</v>
      </c>
      <c r="F2778" s="98">
        <v>778</v>
      </c>
    </row>
    <row r="2779" spans="1:6">
      <c r="A2779" s="6">
        <v>44227</v>
      </c>
      <c r="B2779" s="98" t="s">
        <v>372</v>
      </c>
      <c r="C2779" s="98" t="s">
        <v>277</v>
      </c>
      <c r="D2779" s="98" t="s">
        <v>373</v>
      </c>
      <c r="E2779" s="98" t="s">
        <v>247</v>
      </c>
      <c r="F2779" s="98">
        <v>1603.18</v>
      </c>
    </row>
    <row r="2780" spans="1:6">
      <c r="A2780" s="6">
        <v>44227</v>
      </c>
      <c r="B2780" s="98" t="s">
        <v>472</v>
      </c>
      <c r="C2780" s="98" t="s">
        <v>253</v>
      </c>
      <c r="D2780" s="98" t="s">
        <v>473</v>
      </c>
      <c r="E2780" s="98" t="s">
        <v>244</v>
      </c>
      <c r="F2780" s="98">
        <v>20.23</v>
      </c>
    </row>
    <row r="2781" spans="1:6">
      <c r="A2781" s="6">
        <v>44227</v>
      </c>
      <c r="B2781" s="98" t="s">
        <v>472</v>
      </c>
      <c r="C2781" s="98" t="s">
        <v>264</v>
      </c>
      <c r="D2781" s="98" t="s">
        <v>473</v>
      </c>
      <c r="E2781" s="98" t="s">
        <v>244</v>
      </c>
      <c r="F2781" s="98">
        <v>17.29</v>
      </c>
    </row>
    <row r="2782" spans="1:6">
      <c r="A2782" s="6">
        <v>44227</v>
      </c>
      <c r="B2782" s="98" t="s">
        <v>374</v>
      </c>
      <c r="C2782" s="98" t="s">
        <v>246</v>
      </c>
      <c r="D2782" s="98" t="s">
        <v>375</v>
      </c>
      <c r="E2782" s="98" t="s">
        <v>247</v>
      </c>
      <c r="F2782" s="98">
        <v>17627.04</v>
      </c>
    </row>
    <row r="2783" spans="1:6">
      <c r="A2783" s="6">
        <v>44227</v>
      </c>
      <c r="B2783" s="98" t="s">
        <v>374</v>
      </c>
      <c r="C2783" s="98" t="s">
        <v>249</v>
      </c>
      <c r="D2783" s="98" t="s">
        <v>375</v>
      </c>
      <c r="E2783" s="98" t="s">
        <v>247</v>
      </c>
      <c r="F2783" s="98">
        <v>15871.79</v>
      </c>
    </row>
    <row r="2784" spans="1:6">
      <c r="A2784" s="6">
        <v>44227</v>
      </c>
      <c r="B2784" s="98" t="s">
        <v>374</v>
      </c>
      <c r="C2784" s="98" t="s">
        <v>242</v>
      </c>
      <c r="D2784" s="98" t="s">
        <v>375</v>
      </c>
      <c r="E2784" s="98" t="s">
        <v>244</v>
      </c>
      <c r="F2784" s="98">
        <v>150.06</v>
      </c>
    </row>
    <row r="2785" spans="1:6">
      <c r="A2785" s="6">
        <v>44227</v>
      </c>
      <c r="B2785" s="98" t="s">
        <v>374</v>
      </c>
      <c r="C2785" s="98" t="s">
        <v>251</v>
      </c>
      <c r="D2785" s="98" t="s">
        <v>375</v>
      </c>
      <c r="E2785" s="98" t="s">
        <v>244</v>
      </c>
      <c r="F2785" s="98">
        <v>88.45</v>
      </c>
    </row>
    <row r="2786" spans="1:6">
      <c r="A2786" s="6">
        <v>44227</v>
      </c>
      <c r="B2786" s="98" t="s">
        <v>374</v>
      </c>
      <c r="C2786" s="98" t="s">
        <v>245</v>
      </c>
      <c r="D2786" s="98" t="s">
        <v>375</v>
      </c>
      <c r="E2786" s="98" t="s">
        <v>244</v>
      </c>
      <c r="F2786" s="98">
        <v>1452.72</v>
      </c>
    </row>
    <row r="2787" spans="1:6">
      <c r="A2787" s="6">
        <v>44227</v>
      </c>
      <c r="B2787" s="98" t="s">
        <v>374</v>
      </c>
      <c r="C2787" s="98" t="s">
        <v>277</v>
      </c>
      <c r="D2787" s="98" t="s">
        <v>375</v>
      </c>
      <c r="E2787" s="98" t="s">
        <v>247</v>
      </c>
      <c r="F2787" s="98">
        <v>17099.41</v>
      </c>
    </row>
    <row r="2788" spans="1:6">
      <c r="A2788" s="6">
        <v>44227</v>
      </c>
      <c r="B2788" s="98" t="s">
        <v>374</v>
      </c>
      <c r="C2788" s="98" t="s">
        <v>274</v>
      </c>
      <c r="D2788" s="98" t="s">
        <v>375</v>
      </c>
      <c r="E2788" s="98" t="s">
        <v>247</v>
      </c>
      <c r="F2788" s="98">
        <v>22898.23</v>
      </c>
    </row>
    <row r="2789" spans="1:6">
      <c r="A2789" s="6">
        <v>44227</v>
      </c>
      <c r="B2789" s="98" t="s">
        <v>376</v>
      </c>
      <c r="C2789" s="98" t="s">
        <v>246</v>
      </c>
      <c r="D2789" s="98" t="s">
        <v>377</v>
      </c>
      <c r="E2789" s="98" t="s">
        <v>247</v>
      </c>
      <c r="F2789" s="98">
        <v>1166.3599999999999</v>
      </c>
    </row>
    <row r="2790" spans="1:6">
      <c r="A2790" s="6">
        <v>44227</v>
      </c>
      <c r="B2790" s="98" t="s">
        <v>376</v>
      </c>
      <c r="C2790" s="98" t="s">
        <v>242</v>
      </c>
      <c r="D2790" s="98" t="s">
        <v>377</v>
      </c>
      <c r="E2790" s="98" t="s">
        <v>244</v>
      </c>
      <c r="F2790" s="98">
        <v>1152.3699999999999</v>
      </c>
    </row>
    <row r="2791" spans="1:6">
      <c r="A2791" s="6">
        <v>44227</v>
      </c>
      <c r="B2791" s="98" t="s">
        <v>376</v>
      </c>
      <c r="C2791" s="98" t="s">
        <v>262</v>
      </c>
      <c r="D2791" s="98" t="s">
        <v>377</v>
      </c>
      <c r="E2791" s="98" t="s">
        <v>244</v>
      </c>
      <c r="F2791" s="98">
        <v>9727.5499999999993</v>
      </c>
    </row>
    <row r="2792" spans="1:6">
      <c r="A2792" s="6">
        <v>44227</v>
      </c>
      <c r="B2792" s="98" t="s">
        <v>376</v>
      </c>
      <c r="C2792" s="98" t="s">
        <v>245</v>
      </c>
      <c r="D2792" s="98" t="s">
        <v>377</v>
      </c>
      <c r="E2792" s="98" t="s">
        <v>244</v>
      </c>
      <c r="F2792" s="98">
        <v>456.28</v>
      </c>
    </row>
    <row r="2793" spans="1:6">
      <c r="A2793" s="6">
        <v>44227</v>
      </c>
      <c r="B2793" s="98" t="s">
        <v>376</v>
      </c>
      <c r="C2793" s="98" t="s">
        <v>254</v>
      </c>
      <c r="D2793" s="98" t="s">
        <v>377</v>
      </c>
      <c r="E2793" s="98" t="s">
        <v>244</v>
      </c>
      <c r="F2793" s="98">
        <v>398.38</v>
      </c>
    </row>
    <row r="2794" spans="1:6">
      <c r="A2794" s="6">
        <v>44227</v>
      </c>
      <c r="B2794" s="98" t="s">
        <v>378</v>
      </c>
      <c r="C2794" s="98" t="s">
        <v>355</v>
      </c>
      <c r="D2794" s="98" t="s">
        <v>379</v>
      </c>
      <c r="E2794" s="98" t="s">
        <v>247</v>
      </c>
      <c r="F2794" s="98">
        <v>939.07</v>
      </c>
    </row>
    <row r="2795" spans="1:6">
      <c r="A2795" s="6">
        <v>44227</v>
      </c>
      <c r="B2795" s="98" t="s">
        <v>378</v>
      </c>
      <c r="C2795" s="98" t="s">
        <v>245</v>
      </c>
      <c r="D2795" s="98" t="s">
        <v>379</v>
      </c>
      <c r="E2795" s="98" t="s">
        <v>244</v>
      </c>
      <c r="F2795" s="98">
        <v>123.05</v>
      </c>
    </row>
    <row r="2796" spans="1:6">
      <c r="A2796" s="6">
        <v>44227</v>
      </c>
      <c r="B2796" s="98" t="s">
        <v>380</v>
      </c>
      <c r="C2796" s="98" t="s">
        <v>254</v>
      </c>
      <c r="D2796" s="98" t="s">
        <v>381</v>
      </c>
      <c r="E2796" s="98" t="s">
        <v>244</v>
      </c>
      <c r="F2796" s="98">
        <v>55.58</v>
      </c>
    </row>
    <row r="2797" spans="1:6">
      <c r="A2797" s="6">
        <v>44227</v>
      </c>
      <c r="B2797" s="98" t="s">
        <v>382</v>
      </c>
      <c r="C2797" s="98" t="s">
        <v>242</v>
      </c>
      <c r="D2797" s="98" t="s">
        <v>383</v>
      </c>
      <c r="E2797" s="98" t="s">
        <v>244</v>
      </c>
      <c r="F2797" s="98">
        <v>113.96</v>
      </c>
    </row>
    <row r="2798" spans="1:6">
      <c r="A2798" s="6">
        <v>44227</v>
      </c>
      <c r="B2798" s="98" t="s">
        <v>382</v>
      </c>
      <c r="C2798" s="98" t="s">
        <v>262</v>
      </c>
      <c r="D2798" s="98" t="s">
        <v>383</v>
      </c>
      <c r="E2798" s="98" t="s">
        <v>244</v>
      </c>
      <c r="F2798" s="98">
        <v>481.39</v>
      </c>
    </row>
    <row r="2799" spans="1:6">
      <c r="A2799" s="6">
        <v>44227</v>
      </c>
      <c r="B2799" s="98" t="s">
        <v>382</v>
      </c>
      <c r="C2799" s="98" t="s">
        <v>245</v>
      </c>
      <c r="D2799" s="98" t="s">
        <v>383</v>
      </c>
      <c r="E2799" s="98" t="s">
        <v>244</v>
      </c>
      <c r="F2799" s="98">
        <v>373.41</v>
      </c>
    </row>
    <row r="2800" spans="1:6">
      <c r="A2800" s="6">
        <v>44227</v>
      </c>
      <c r="B2800" s="98" t="s">
        <v>382</v>
      </c>
      <c r="C2800" s="98" t="s">
        <v>254</v>
      </c>
      <c r="D2800" s="98" t="s">
        <v>383</v>
      </c>
      <c r="E2800" s="98" t="s">
        <v>244</v>
      </c>
      <c r="F2800" s="98">
        <v>62.58</v>
      </c>
    </row>
    <row r="2801" spans="1:6">
      <c r="A2801" s="6">
        <v>44227</v>
      </c>
      <c r="B2801" s="98" t="s">
        <v>382</v>
      </c>
      <c r="C2801" s="98" t="s">
        <v>248</v>
      </c>
      <c r="D2801" s="98" t="s">
        <v>383</v>
      </c>
      <c r="E2801" s="98" t="s">
        <v>247</v>
      </c>
      <c r="F2801" s="98">
        <v>15429.29</v>
      </c>
    </row>
    <row r="2802" spans="1:6">
      <c r="A2802" s="6">
        <v>44227</v>
      </c>
      <c r="B2802" s="98" t="s">
        <v>439</v>
      </c>
      <c r="C2802" s="98" t="s">
        <v>246</v>
      </c>
      <c r="D2802" s="98" t="s">
        <v>440</v>
      </c>
      <c r="E2802" s="98" t="s">
        <v>247</v>
      </c>
      <c r="F2802" s="98">
        <v>3575.84</v>
      </c>
    </row>
    <row r="2803" spans="1:6">
      <c r="A2803" s="6">
        <v>44227</v>
      </c>
      <c r="B2803" s="98" t="s">
        <v>439</v>
      </c>
      <c r="C2803" s="98" t="s">
        <v>242</v>
      </c>
      <c r="D2803" s="98" t="s">
        <v>440</v>
      </c>
      <c r="E2803" s="98" t="s">
        <v>244</v>
      </c>
      <c r="F2803" s="98">
        <v>1085.08</v>
      </c>
    </row>
    <row r="2804" spans="1:6">
      <c r="A2804" s="6">
        <v>44227</v>
      </c>
      <c r="B2804" s="98" t="s">
        <v>439</v>
      </c>
      <c r="C2804" s="98" t="s">
        <v>245</v>
      </c>
      <c r="D2804" s="98" t="s">
        <v>440</v>
      </c>
      <c r="E2804" s="98" t="s">
        <v>244</v>
      </c>
      <c r="F2804" s="98">
        <v>570.37</v>
      </c>
    </row>
    <row r="2805" spans="1:6">
      <c r="A2805" s="6">
        <v>44227</v>
      </c>
      <c r="B2805" s="98" t="s">
        <v>467</v>
      </c>
      <c r="C2805" s="98" t="s">
        <v>264</v>
      </c>
      <c r="D2805" s="98" t="s">
        <v>468</v>
      </c>
      <c r="E2805" s="98" t="s">
        <v>244</v>
      </c>
      <c r="F2805" s="98">
        <v>380.46</v>
      </c>
    </row>
    <row r="2806" spans="1:6">
      <c r="A2806" s="6">
        <v>44227</v>
      </c>
      <c r="B2806" s="98" t="s">
        <v>384</v>
      </c>
      <c r="C2806" s="98" t="s">
        <v>278</v>
      </c>
      <c r="D2806" s="98" t="s">
        <v>385</v>
      </c>
      <c r="E2806" s="98" t="s">
        <v>247</v>
      </c>
      <c r="F2806" s="98">
        <v>2733.88</v>
      </c>
    </row>
    <row r="2807" spans="1:6">
      <c r="A2807" s="6">
        <v>44227</v>
      </c>
      <c r="B2807" s="98" t="s">
        <v>384</v>
      </c>
      <c r="C2807" s="98" t="s">
        <v>262</v>
      </c>
      <c r="D2807" s="98" t="s">
        <v>385</v>
      </c>
      <c r="E2807" s="98" t="s">
        <v>244</v>
      </c>
      <c r="F2807" s="98">
        <v>85.88</v>
      </c>
    </row>
    <row r="2808" spans="1:6">
      <c r="A2808" s="6">
        <v>44227</v>
      </c>
      <c r="B2808" s="98" t="s">
        <v>384</v>
      </c>
      <c r="C2808" s="98" t="s">
        <v>253</v>
      </c>
      <c r="D2808" s="98" t="s">
        <v>385</v>
      </c>
      <c r="E2808" s="98" t="s">
        <v>244</v>
      </c>
      <c r="F2808" s="98">
        <v>38.119999999999997</v>
      </c>
    </row>
    <row r="2809" spans="1:6">
      <c r="A2809" s="6">
        <v>44227</v>
      </c>
      <c r="B2809" s="98" t="s">
        <v>384</v>
      </c>
      <c r="C2809" s="98" t="s">
        <v>245</v>
      </c>
      <c r="D2809" s="98" t="s">
        <v>385</v>
      </c>
      <c r="E2809" s="98" t="s">
        <v>244</v>
      </c>
      <c r="F2809" s="98">
        <v>58.81</v>
      </c>
    </row>
    <row r="2810" spans="1:6">
      <c r="A2810" s="6">
        <v>44227</v>
      </c>
      <c r="B2810" s="98" t="s">
        <v>384</v>
      </c>
      <c r="C2810" s="98" t="s">
        <v>264</v>
      </c>
      <c r="D2810" s="98" t="s">
        <v>385</v>
      </c>
      <c r="E2810" s="98" t="s">
        <v>244</v>
      </c>
      <c r="F2810" s="98">
        <v>149.5</v>
      </c>
    </row>
    <row r="2811" spans="1:6">
      <c r="A2811" s="6">
        <v>44227</v>
      </c>
      <c r="B2811" s="98" t="s">
        <v>384</v>
      </c>
      <c r="C2811" s="98" t="s">
        <v>271</v>
      </c>
      <c r="D2811" s="98" t="s">
        <v>385</v>
      </c>
      <c r="E2811" s="98" t="s">
        <v>244</v>
      </c>
      <c r="F2811" s="98">
        <v>3.69</v>
      </c>
    </row>
    <row r="2812" spans="1:6">
      <c r="A2812" s="6">
        <v>44227</v>
      </c>
      <c r="B2812" s="98" t="s">
        <v>384</v>
      </c>
      <c r="C2812" s="98" t="s">
        <v>254</v>
      </c>
      <c r="D2812" s="98" t="s">
        <v>385</v>
      </c>
      <c r="E2812" s="98" t="s">
        <v>244</v>
      </c>
      <c r="F2812" s="98">
        <v>304.26</v>
      </c>
    </row>
    <row r="2813" spans="1:6">
      <c r="A2813" s="6">
        <v>44227</v>
      </c>
      <c r="B2813" s="98" t="s">
        <v>435</v>
      </c>
      <c r="C2813" s="98" t="s">
        <v>255</v>
      </c>
      <c r="D2813" s="98" t="s">
        <v>436</v>
      </c>
      <c r="E2813" s="98" t="s">
        <v>247</v>
      </c>
      <c r="F2813" s="98">
        <v>4450.9399999999996</v>
      </c>
    </row>
    <row r="2814" spans="1:6">
      <c r="A2814" s="6">
        <v>44227</v>
      </c>
      <c r="B2814" s="98" t="s">
        <v>435</v>
      </c>
      <c r="C2814" s="98" t="s">
        <v>289</v>
      </c>
      <c r="D2814" s="98" t="s">
        <v>436</v>
      </c>
      <c r="E2814" s="98" t="s">
        <v>247</v>
      </c>
      <c r="F2814" s="98">
        <v>14349.41</v>
      </c>
    </row>
    <row r="2815" spans="1:6">
      <c r="A2815" s="6">
        <v>44227</v>
      </c>
      <c r="B2815" s="98" t="s">
        <v>435</v>
      </c>
      <c r="C2815" s="98" t="s">
        <v>242</v>
      </c>
      <c r="D2815" s="98" t="s">
        <v>436</v>
      </c>
      <c r="E2815" s="98" t="s">
        <v>244</v>
      </c>
      <c r="F2815" s="98">
        <v>1336.47</v>
      </c>
    </row>
    <row r="2816" spans="1:6">
      <c r="A2816" s="6">
        <v>44227</v>
      </c>
      <c r="B2816" s="98" t="s">
        <v>435</v>
      </c>
      <c r="C2816" s="98" t="s">
        <v>262</v>
      </c>
      <c r="D2816" s="98" t="s">
        <v>436</v>
      </c>
      <c r="E2816" s="98" t="s">
        <v>244</v>
      </c>
      <c r="F2816" s="98">
        <v>10685.68</v>
      </c>
    </row>
    <row r="2817" spans="1:6">
      <c r="A2817" s="6">
        <v>44227</v>
      </c>
      <c r="B2817" s="98" t="s">
        <v>435</v>
      </c>
      <c r="C2817" s="98" t="s">
        <v>253</v>
      </c>
      <c r="D2817" s="98" t="s">
        <v>436</v>
      </c>
      <c r="E2817" s="98" t="s">
        <v>244</v>
      </c>
      <c r="F2817" s="98">
        <v>249.98</v>
      </c>
    </row>
    <row r="2818" spans="1:6">
      <c r="A2818" s="6">
        <v>44227</v>
      </c>
      <c r="B2818" s="98" t="s">
        <v>435</v>
      </c>
      <c r="C2818" s="98" t="s">
        <v>245</v>
      </c>
      <c r="D2818" s="98" t="s">
        <v>436</v>
      </c>
      <c r="E2818" s="98" t="s">
        <v>244</v>
      </c>
      <c r="F2818" s="98">
        <v>1716.86</v>
      </c>
    </row>
    <row r="2819" spans="1:6">
      <c r="A2819" s="6">
        <v>44227</v>
      </c>
      <c r="B2819" s="98" t="s">
        <v>435</v>
      </c>
      <c r="C2819" s="98" t="s">
        <v>254</v>
      </c>
      <c r="D2819" s="98" t="s">
        <v>436</v>
      </c>
      <c r="E2819" s="98" t="s">
        <v>244</v>
      </c>
      <c r="F2819" s="98">
        <v>222.3</v>
      </c>
    </row>
    <row r="2820" spans="1:6">
      <c r="A2820" s="6">
        <v>44227</v>
      </c>
      <c r="B2820" s="98" t="s">
        <v>386</v>
      </c>
      <c r="C2820" s="98" t="s">
        <v>278</v>
      </c>
      <c r="D2820" s="98" t="s">
        <v>387</v>
      </c>
      <c r="E2820" s="98" t="s">
        <v>247</v>
      </c>
      <c r="F2820" s="98">
        <v>2952.25</v>
      </c>
    </row>
    <row r="2821" spans="1:6">
      <c r="A2821" s="6">
        <v>44227</v>
      </c>
      <c r="B2821" s="98" t="s">
        <v>386</v>
      </c>
      <c r="C2821" s="98" t="s">
        <v>272</v>
      </c>
      <c r="D2821" s="98" t="s">
        <v>387</v>
      </c>
      <c r="E2821" s="98" t="s">
        <v>247</v>
      </c>
      <c r="F2821" s="98">
        <v>4897.24</v>
      </c>
    </row>
    <row r="2822" spans="1:6">
      <c r="A2822" s="6">
        <v>44227</v>
      </c>
      <c r="B2822" s="98" t="s">
        <v>386</v>
      </c>
      <c r="C2822" s="98" t="s">
        <v>262</v>
      </c>
      <c r="D2822" s="98" t="s">
        <v>387</v>
      </c>
      <c r="E2822" s="98" t="s">
        <v>244</v>
      </c>
      <c r="F2822" s="98">
        <v>218.04</v>
      </c>
    </row>
    <row r="2823" spans="1:6">
      <c r="A2823" s="6">
        <v>44227</v>
      </c>
      <c r="B2823" s="98" t="s">
        <v>386</v>
      </c>
      <c r="C2823" s="98" t="s">
        <v>253</v>
      </c>
      <c r="D2823" s="98" t="s">
        <v>387</v>
      </c>
      <c r="E2823" s="98" t="s">
        <v>244</v>
      </c>
      <c r="F2823" s="98">
        <v>99.03</v>
      </c>
    </row>
    <row r="2824" spans="1:6">
      <c r="A2824" s="6">
        <v>44227</v>
      </c>
      <c r="B2824" s="98" t="s">
        <v>386</v>
      </c>
      <c r="C2824" s="98" t="s">
        <v>245</v>
      </c>
      <c r="D2824" s="98" t="s">
        <v>387</v>
      </c>
      <c r="E2824" s="98" t="s">
        <v>244</v>
      </c>
      <c r="F2824" s="98">
        <v>154.72</v>
      </c>
    </row>
    <row r="2825" spans="1:6">
      <c r="A2825" s="6">
        <v>44227</v>
      </c>
      <c r="B2825" s="98" t="s">
        <v>386</v>
      </c>
      <c r="C2825" s="98" t="s">
        <v>264</v>
      </c>
      <c r="D2825" s="98" t="s">
        <v>387</v>
      </c>
      <c r="E2825" s="98" t="s">
        <v>244</v>
      </c>
      <c r="F2825" s="98">
        <v>367.04</v>
      </c>
    </row>
    <row r="2826" spans="1:6">
      <c r="A2826" s="6">
        <v>44227</v>
      </c>
      <c r="B2826" s="98" t="s">
        <v>386</v>
      </c>
      <c r="C2826" s="98" t="s">
        <v>271</v>
      </c>
      <c r="D2826" s="98" t="s">
        <v>387</v>
      </c>
      <c r="E2826" s="98" t="s">
        <v>244</v>
      </c>
      <c r="F2826" s="98">
        <v>46.66</v>
      </c>
    </row>
    <row r="2827" spans="1:6">
      <c r="A2827" s="6">
        <v>44227</v>
      </c>
      <c r="B2827" s="98" t="s">
        <v>386</v>
      </c>
      <c r="C2827" s="98" t="s">
        <v>254</v>
      </c>
      <c r="D2827" s="98" t="s">
        <v>387</v>
      </c>
      <c r="E2827" s="98" t="s">
        <v>244</v>
      </c>
      <c r="F2827" s="98">
        <v>210.18</v>
      </c>
    </row>
    <row r="2828" spans="1:6">
      <c r="A2828" s="6">
        <v>44227</v>
      </c>
      <c r="B2828" s="98" t="s">
        <v>388</v>
      </c>
      <c r="C2828" s="98" t="s">
        <v>262</v>
      </c>
      <c r="D2828" s="98" t="s">
        <v>389</v>
      </c>
      <c r="E2828" s="98" t="s">
        <v>244</v>
      </c>
      <c r="F2828" s="98">
        <v>197.17</v>
      </c>
    </row>
    <row r="2829" spans="1:6">
      <c r="A2829" s="6">
        <v>44227</v>
      </c>
      <c r="B2829" s="98" t="s">
        <v>388</v>
      </c>
      <c r="C2829" s="98" t="s">
        <v>245</v>
      </c>
      <c r="D2829" s="98" t="s">
        <v>389</v>
      </c>
      <c r="E2829" s="98" t="s">
        <v>244</v>
      </c>
      <c r="F2829" s="98">
        <v>328.64</v>
      </c>
    </row>
    <row r="2830" spans="1:6">
      <c r="A2830" s="6">
        <v>44227</v>
      </c>
      <c r="B2830" s="98" t="s">
        <v>388</v>
      </c>
      <c r="C2830" s="98" t="s">
        <v>254</v>
      </c>
      <c r="D2830" s="98" t="s">
        <v>389</v>
      </c>
      <c r="E2830" s="98" t="s">
        <v>244</v>
      </c>
      <c r="F2830" s="98">
        <v>19.079999999999998</v>
      </c>
    </row>
    <row r="2831" spans="1:6">
      <c r="A2831" s="6">
        <v>44227</v>
      </c>
      <c r="B2831" s="98" t="s">
        <v>390</v>
      </c>
      <c r="C2831" s="98" t="s">
        <v>278</v>
      </c>
      <c r="D2831" s="98" t="s">
        <v>391</v>
      </c>
      <c r="E2831" s="98" t="s">
        <v>247</v>
      </c>
      <c r="F2831" s="98">
        <v>5777.57</v>
      </c>
    </row>
    <row r="2832" spans="1:6">
      <c r="A2832" s="6">
        <v>44227</v>
      </c>
      <c r="B2832" s="98" t="s">
        <v>390</v>
      </c>
      <c r="C2832" s="98" t="s">
        <v>264</v>
      </c>
      <c r="D2832" s="98" t="s">
        <v>391</v>
      </c>
      <c r="E2832" s="98" t="s">
        <v>244</v>
      </c>
      <c r="F2832" s="98">
        <v>422.13</v>
      </c>
    </row>
    <row r="2833" spans="1:6">
      <c r="A2833" s="6">
        <v>44227</v>
      </c>
      <c r="B2833" s="98" t="s">
        <v>390</v>
      </c>
      <c r="C2833" s="98" t="s">
        <v>271</v>
      </c>
      <c r="D2833" s="98" t="s">
        <v>391</v>
      </c>
      <c r="E2833" s="98" t="s">
        <v>244</v>
      </c>
      <c r="F2833" s="98">
        <v>97.14</v>
      </c>
    </row>
    <row r="2834" spans="1:6">
      <c r="A2834" s="6">
        <v>44227</v>
      </c>
      <c r="B2834" s="98" t="s">
        <v>390</v>
      </c>
      <c r="C2834" s="98" t="s">
        <v>254</v>
      </c>
      <c r="D2834" s="98" t="s">
        <v>391</v>
      </c>
      <c r="E2834" s="98" t="s">
        <v>244</v>
      </c>
      <c r="F2834" s="98">
        <v>244.36</v>
      </c>
    </row>
    <row r="2835" spans="1:6">
      <c r="A2835" s="6">
        <v>44227</v>
      </c>
      <c r="B2835" s="98" t="s">
        <v>441</v>
      </c>
      <c r="C2835" s="98" t="s">
        <v>248</v>
      </c>
      <c r="D2835" s="98" t="s">
        <v>442</v>
      </c>
      <c r="E2835" s="98" t="s">
        <v>247</v>
      </c>
      <c r="F2835" s="98">
        <v>426.4</v>
      </c>
    </row>
    <row r="2836" spans="1:6">
      <c r="A2836" s="6">
        <v>44227</v>
      </c>
      <c r="B2836" s="98" t="s">
        <v>392</v>
      </c>
      <c r="C2836" s="98" t="s">
        <v>251</v>
      </c>
      <c r="D2836" s="98" t="s">
        <v>393</v>
      </c>
      <c r="E2836" s="98" t="s">
        <v>244</v>
      </c>
      <c r="F2836" s="98">
        <v>11.93</v>
      </c>
    </row>
    <row r="2837" spans="1:6">
      <c r="A2837" s="6">
        <v>44227</v>
      </c>
      <c r="B2837" s="98" t="s">
        <v>392</v>
      </c>
      <c r="C2837" s="98" t="s">
        <v>291</v>
      </c>
      <c r="D2837" s="98" t="s">
        <v>393</v>
      </c>
      <c r="E2837" s="98" t="s">
        <v>247</v>
      </c>
      <c r="F2837" s="98">
        <v>4591</v>
      </c>
    </row>
    <row r="2838" spans="1:6">
      <c r="A2838" s="6">
        <v>44227</v>
      </c>
      <c r="B2838" s="98" t="s">
        <v>394</v>
      </c>
      <c r="C2838" s="98" t="s">
        <v>278</v>
      </c>
      <c r="D2838" s="98" t="s">
        <v>395</v>
      </c>
      <c r="E2838" s="98" t="s">
        <v>247</v>
      </c>
      <c r="F2838" s="98">
        <v>648.78</v>
      </c>
    </row>
    <row r="2839" spans="1:6">
      <c r="A2839" s="6">
        <v>44227</v>
      </c>
      <c r="B2839" s="98" t="s">
        <v>394</v>
      </c>
      <c r="C2839" s="98" t="s">
        <v>251</v>
      </c>
      <c r="D2839" s="98" t="s">
        <v>395</v>
      </c>
      <c r="E2839" s="98" t="s">
        <v>244</v>
      </c>
      <c r="F2839" s="98">
        <v>15.44</v>
      </c>
    </row>
    <row r="2840" spans="1:6">
      <c r="A2840" s="6">
        <v>44227</v>
      </c>
      <c r="B2840" s="98" t="s">
        <v>396</v>
      </c>
      <c r="C2840" s="98" t="s">
        <v>251</v>
      </c>
      <c r="D2840" s="98" t="s">
        <v>397</v>
      </c>
      <c r="E2840" s="98" t="s">
        <v>244</v>
      </c>
      <c r="F2840" s="98">
        <v>6.73</v>
      </c>
    </row>
    <row r="2841" spans="1:6">
      <c r="A2841" s="6">
        <v>44227</v>
      </c>
      <c r="B2841" s="98" t="s">
        <v>396</v>
      </c>
      <c r="C2841" s="98" t="s">
        <v>248</v>
      </c>
      <c r="D2841" s="98" t="s">
        <v>397</v>
      </c>
      <c r="E2841" s="98" t="s">
        <v>247</v>
      </c>
      <c r="F2841" s="98">
        <v>8330.56</v>
      </c>
    </row>
    <row r="2842" spans="1:6">
      <c r="A2842" s="6">
        <v>44227</v>
      </c>
      <c r="B2842" s="98" t="s">
        <v>398</v>
      </c>
      <c r="C2842" s="98" t="s">
        <v>251</v>
      </c>
      <c r="D2842" s="98" t="s">
        <v>399</v>
      </c>
      <c r="E2842" s="98" t="s">
        <v>244</v>
      </c>
      <c r="F2842" s="98">
        <v>2.41</v>
      </c>
    </row>
    <row r="2843" spans="1:6">
      <c r="A2843" s="6">
        <v>44227</v>
      </c>
      <c r="B2843" s="98" t="s">
        <v>398</v>
      </c>
      <c r="C2843" s="98" t="s">
        <v>245</v>
      </c>
      <c r="D2843" s="98" t="s">
        <v>399</v>
      </c>
      <c r="E2843" s="98" t="s">
        <v>244</v>
      </c>
      <c r="F2843" s="98">
        <v>17.7</v>
      </c>
    </row>
    <row r="2844" spans="1:6">
      <c r="A2844" s="6">
        <v>44227</v>
      </c>
      <c r="B2844" s="98" t="s">
        <v>443</v>
      </c>
      <c r="C2844" s="98" t="s">
        <v>290</v>
      </c>
      <c r="D2844" s="98" t="s">
        <v>444</v>
      </c>
      <c r="E2844" s="98" t="s">
        <v>247</v>
      </c>
      <c r="F2844" s="98">
        <v>1102.3699999999999</v>
      </c>
    </row>
    <row r="2845" spans="1:6">
      <c r="A2845" s="6">
        <v>44227</v>
      </c>
      <c r="B2845" s="98" t="s">
        <v>443</v>
      </c>
      <c r="C2845" s="98" t="s">
        <v>248</v>
      </c>
      <c r="D2845" s="98" t="s">
        <v>444</v>
      </c>
      <c r="E2845" s="98" t="s">
        <v>247</v>
      </c>
      <c r="F2845" s="98">
        <v>2788.23</v>
      </c>
    </row>
    <row r="2846" spans="1:6">
      <c r="A2846" s="6">
        <v>44227</v>
      </c>
      <c r="B2846" s="98" t="s">
        <v>400</v>
      </c>
      <c r="C2846" s="98" t="s">
        <v>368</v>
      </c>
      <c r="D2846" s="98" t="s">
        <v>401</v>
      </c>
      <c r="E2846" s="98" t="s">
        <v>247</v>
      </c>
      <c r="F2846" s="98">
        <v>1673.13</v>
      </c>
    </row>
    <row r="2847" spans="1:6">
      <c r="A2847" s="6">
        <v>44227</v>
      </c>
      <c r="B2847" s="98" t="s">
        <v>400</v>
      </c>
      <c r="C2847" s="98" t="s">
        <v>251</v>
      </c>
      <c r="D2847" s="98" t="s">
        <v>401</v>
      </c>
      <c r="E2847" s="98" t="s">
        <v>244</v>
      </c>
      <c r="F2847" s="98">
        <v>0.87</v>
      </c>
    </row>
    <row r="2848" spans="1:6">
      <c r="A2848" s="6">
        <v>44227</v>
      </c>
      <c r="B2848" s="98" t="s">
        <v>400</v>
      </c>
      <c r="C2848" s="98" t="s">
        <v>402</v>
      </c>
      <c r="D2848" s="98" t="s">
        <v>401</v>
      </c>
      <c r="E2848" s="98" t="s">
        <v>247</v>
      </c>
      <c r="F2848" s="98">
        <v>5019.38</v>
      </c>
    </row>
    <row r="2849" spans="1:6">
      <c r="A2849" s="6">
        <v>44227</v>
      </c>
      <c r="B2849" s="98" t="s">
        <v>447</v>
      </c>
      <c r="C2849" s="98" t="s">
        <v>450</v>
      </c>
      <c r="D2849" s="98" t="s">
        <v>449</v>
      </c>
      <c r="E2849" s="98" t="s">
        <v>247</v>
      </c>
      <c r="F2849" s="98">
        <v>501.83</v>
      </c>
    </row>
    <row r="2850" spans="1:6">
      <c r="A2850" s="6">
        <v>44227</v>
      </c>
      <c r="B2850" s="98" t="s">
        <v>447</v>
      </c>
      <c r="C2850" s="98" t="s">
        <v>448</v>
      </c>
      <c r="D2850" s="98" t="s">
        <v>449</v>
      </c>
      <c r="E2850" s="98" t="s">
        <v>247</v>
      </c>
      <c r="F2850" s="98">
        <v>501.83</v>
      </c>
    </row>
    <row r="2851" spans="1:6">
      <c r="A2851" s="6">
        <v>44227</v>
      </c>
      <c r="B2851" s="98" t="s">
        <v>445</v>
      </c>
      <c r="C2851" s="98" t="s">
        <v>290</v>
      </c>
      <c r="D2851" s="98" t="s">
        <v>446</v>
      </c>
      <c r="E2851" s="98" t="s">
        <v>247</v>
      </c>
      <c r="F2851" s="98">
        <v>238.63</v>
      </c>
    </row>
    <row r="2852" spans="1:6">
      <c r="A2852" s="6">
        <v>44227</v>
      </c>
      <c r="B2852" s="98" t="s">
        <v>408</v>
      </c>
      <c r="C2852" s="98" t="s">
        <v>290</v>
      </c>
      <c r="D2852" s="98" t="s">
        <v>409</v>
      </c>
      <c r="E2852" s="98" t="s">
        <v>247</v>
      </c>
      <c r="F2852" s="98">
        <v>627.04999999999995</v>
      </c>
    </row>
    <row r="2853" spans="1:6">
      <c r="A2853" s="6">
        <v>44227</v>
      </c>
      <c r="B2853" s="98" t="s">
        <v>408</v>
      </c>
      <c r="C2853" s="98" t="s">
        <v>265</v>
      </c>
      <c r="D2853" s="98" t="s">
        <v>409</v>
      </c>
      <c r="E2853" s="98" t="s">
        <v>247</v>
      </c>
      <c r="F2853" s="98">
        <v>60.71</v>
      </c>
    </row>
    <row r="2854" spans="1:6">
      <c r="A2854" s="6">
        <v>44227</v>
      </c>
      <c r="B2854" s="98" t="s">
        <v>408</v>
      </c>
      <c r="C2854" s="98" t="s">
        <v>262</v>
      </c>
      <c r="D2854" s="98" t="s">
        <v>409</v>
      </c>
      <c r="E2854" s="98" t="s">
        <v>244</v>
      </c>
      <c r="F2854" s="98">
        <v>49.32</v>
      </c>
    </row>
    <row r="2855" spans="1:6">
      <c r="A2855" s="6">
        <v>44227</v>
      </c>
      <c r="B2855" s="98" t="s">
        <v>408</v>
      </c>
      <c r="C2855" s="98" t="s">
        <v>251</v>
      </c>
      <c r="D2855" s="98" t="s">
        <v>409</v>
      </c>
      <c r="E2855" s="98" t="s">
        <v>244</v>
      </c>
      <c r="F2855" s="98">
        <v>6.29</v>
      </c>
    </row>
    <row r="2856" spans="1:6">
      <c r="A2856" s="6">
        <v>44227</v>
      </c>
      <c r="B2856" s="98" t="s">
        <v>408</v>
      </c>
      <c r="C2856" s="98" t="s">
        <v>254</v>
      </c>
      <c r="D2856" s="98" t="s">
        <v>409</v>
      </c>
      <c r="E2856" s="98" t="s">
        <v>244</v>
      </c>
      <c r="F2856" s="98">
        <v>14.33</v>
      </c>
    </row>
    <row r="2857" spans="1:6">
      <c r="A2857" s="6">
        <v>44227</v>
      </c>
      <c r="B2857" s="98" t="s">
        <v>410</v>
      </c>
      <c r="C2857" s="98" t="s">
        <v>254</v>
      </c>
      <c r="D2857" s="98" t="s">
        <v>411</v>
      </c>
      <c r="E2857" s="98" t="s">
        <v>244</v>
      </c>
      <c r="F2857" s="98">
        <v>44.74</v>
      </c>
    </row>
    <row r="2858" spans="1:6">
      <c r="A2858" s="6">
        <v>44227</v>
      </c>
      <c r="B2858" s="98" t="s">
        <v>410</v>
      </c>
      <c r="C2858" s="98" t="s">
        <v>248</v>
      </c>
      <c r="D2858" s="98" t="s">
        <v>411</v>
      </c>
      <c r="E2858" s="98" t="s">
        <v>247</v>
      </c>
      <c r="F2858" s="98">
        <v>2638.78</v>
      </c>
    </row>
    <row r="2859" spans="1:6">
      <c r="A2859" s="6">
        <v>44227</v>
      </c>
      <c r="B2859" s="98" t="s">
        <v>412</v>
      </c>
      <c r="C2859" s="98" t="s">
        <v>255</v>
      </c>
      <c r="D2859" s="98" t="s">
        <v>413</v>
      </c>
      <c r="E2859" s="98" t="s">
        <v>247</v>
      </c>
      <c r="F2859" s="98">
        <v>1300.68</v>
      </c>
    </row>
    <row r="2860" spans="1:6">
      <c r="A2860" s="6">
        <v>44227</v>
      </c>
      <c r="B2860" s="98" t="s">
        <v>412</v>
      </c>
      <c r="C2860" s="98" t="s">
        <v>278</v>
      </c>
      <c r="D2860" s="98" t="s">
        <v>413</v>
      </c>
      <c r="E2860" s="98" t="s">
        <v>247</v>
      </c>
      <c r="F2860" s="98">
        <v>909.96</v>
      </c>
    </row>
    <row r="2861" spans="1:6">
      <c r="A2861" s="6">
        <v>44227</v>
      </c>
      <c r="B2861" s="98" t="s">
        <v>412</v>
      </c>
      <c r="C2861" s="98" t="s">
        <v>251</v>
      </c>
      <c r="D2861" s="98" t="s">
        <v>413</v>
      </c>
      <c r="E2861" s="98" t="s">
        <v>244</v>
      </c>
      <c r="F2861" s="98">
        <v>3.24</v>
      </c>
    </row>
    <row r="2862" spans="1:6">
      <c r="A2862" s="6">
        <v>44227</v>
      </c>
      <c r="B2862" s="98" t="s">
        <v>412</v>
      </c>
      <c r="C2862" s="98" t="s">
        <v>254</v>
      </c>
      <c r="D2862" s="98" t="s">
        <v>413</v>
      </c>
      <c r="E2862" s="98" t="s">
        <v>244</v>
      </c>
      <c r="F2862" s="98">
        <v>18.27</v>
      </c>
    </row>
    <row r="2863" spans="1:6">
      <c r="A2863" s="6">
        <v>44227</v>
      </c>
      <c r="B2863" s="98" t="s">
        <v>412</v>
      </c>
      <c r="C2863" s="98" t="s">
        <v>248</v>
      </c>
      <c r="D2863" s="98" t="s">
        <v>413</v>
      </c>
      <c r="E2863" s="98" t="s">
        <v>247</v>
      </c>
      <c r="F2863" s="98">
        <v>2626.13</v>
      </c>
    </row>
    <row r="2864" spans="1:6">
      <c r="A2864" s="6">
        <v>44227</v>
      </c>
      <c r="B2864" s="98" t="s">
        <v>414</v>
      </c>
      <c r="C2864" s="98" t="s">
        <v>245</v>
      </c>
      <c r="D2864" s="98" t="s">
        <v>415</v>
      </c>
      <c r="E2864" s="98" t="s">
        <v>244</v>
      </c>
      <c r="F2864" s="98">
        <v>5.29</v>
      </c>
    </row>
    <row r="2865" spans="1:6">
      <c r="A2865" s="6">
        <v>44227</v>
      </c>
      <c r="B2865" s="98" t="s">
        <v>414</v>
      </c>
      <c r="C2865" s="98" t="s">
        <v>254</v>
      </c>
      <c r="D2865" s="98" t="s">
        <v>415</v>
      </c>
      <c r="E2865" s="98" t="s">
        <v>244</v>
      </c>
      <c r="F2865" s="98">
        <v>1.61</v>
      </c>
    </row>
    <row r="2866" spans="1:6">
      <c r="A2866" s="6">
        <v>44227</v>
      </c>
      <c r="B2866" s="98" t="s">
        <v>421</v>
      </c>
      <c r="C2866" s="98" t="s">
        <v>368</v>
      </c>
      <c r="D2866" s="98" t="s">
        <v>422</v>
      </c>
      <c r="E2866" s="98" t="s">
        <v>247</v>
      </c>
      <c r="F2866" s="98">
        <v>516.30999999999995</v>
      </c>
    </row>
    <row r="2867" spans="1:6">
      <c r="A2867" s="6">
        <v>44227</v>
      </c>
      <c r="B2867" s="98" t="s">
        <v>421</v>
      </c>
      <c r="C2867" s="98" t="s">
        <v>251</v>
      </c>
      <c r="D2867" s="98" t="s">
        <v>422</v>
      </c>
      <c r="E2867" s="98" t="s">
        <v>244</v>
      </c>
      <c r="F2867" s="98">
        <v>6.23</v>
      </c>
    </row>
    <row r="2868" spans="1:6">
      <c r="A2868" s="6">
        <v>44227</v>
      </c>
      <c r="B2868" s="98" t="s">
        <v>421</v>
      </c>
      <c r="C2868" s="98" t="s">
        <v>254</v>
      </c>
      <c r="D2868" s="98" t="s">
        <v>422</v>
      </c>
      <c r="E2868" s="98" t="s">
        <v>244</v>
      </c>
      <c r="F2868" s="98">
        <v>14.11</v>
      </c>
    </row>
    <row r="2869" spans="1:6">
      <c r="A2869" s="6">
        <v>44227</v>
      </c>
      <c r="B2869" s="98" t="s">
        <v>425</v>
      </c>
      <c r="C2869" s="98" t="s">
        <v>289</v>
      </c>
      <c r="D2869" s="98" t="s">
        <v>426</v>
      </c>
      <c r="E2869" s="98" t="s">
        <v>247</v>
      </c>
      <c r="F2869" s="98">
        <v>1722.51</v>
      </c>
    </row>
    <row r="2870" spans="1:6">
      <c r="A2870" s="6">
        <v>44227</v>
      </c>
      <c r="B2870" s="98" t="s">
        <v>425</v>
      </c>
      <c r="C2870" s="98" t="s">
        <v>242</v>
      </c>
      <c r="D2870" s="98" t="s">
        <v>426</v>
      </c>
      <c r="E2870" s="98" t="s">
        <v>244</v>
      </c>
      <c r="F2870" s="98">
        <v>228.1</v>
      </c>
    </row>
    <row r="2871" spans="1:6">
      <c r="A2871" s="6">
        <v>44227</v>
      </c>
      <c r="B2871" s="98" t="s">
        <v>425</v>
      </c>
      <c r="C2871" s="98" t="s">
        <v>262</v>
      </c>
      <c r="D2871" s="98" t="s">
        <v>426</v>
      </c>
      <c r="E2871" s="98" t="s">
        <v>244</v>
      </c>
      <c r="F2871" s="98">
        <v>198.99</v>
      </c>
    </row>
    <row r="2872" spans="1:6">
      <c r="A2872" s="6">
        <v>44227</v>
      </c>
      <c r="B2872" s="98" t="s">
        <v>425</v>
      </c>
      <c r="C2872" s="98" t="s">
        <v>251</v>
      </c>
      <c r="D2872" s="98" t="s">
        <v>426</v>
      </c>
      <c r="E2872" s="98" t="s">
        <v>244</v>
      </c>
      <c r="F2872" s="98">
        <v>52.53</v>
      </c>
    </row>
    <row r="2873" spans="1:6">
      <c r="A2873" s="6">
        <v>44227</v>
      </c>
      <c r="B2873" s="98" t="s">
        <v>425</v>
      </c>
      <c r="C2873" s="98" t="s">
        <v>253</v>
      </c>
      <c r="D2873" s="98" t="s">
        <v>426</v>
      </c>
      <c r="E2873" s="98" t="s">
        <v>244</v>
      </c>
      <c r="F2873" s="98">
        <v>11.22</v>
      </c>
    </row>
    <row r="2874" spans="1:6">
      <c r="A2874" s="6">
        <v>44227</v>
      </c>
      <c r="B2874" s="98" t="s">
        <v>425</v>
      </c>
      <c r="C2874" s="98" t="s">
        <v>245</v>
      </c>
      <c r="D2874" s="98" t="s">
        <v>426</v>
      </c>
      <c r="E2874" s="98" t="s">
        <v>244</v>
      </c>
      <c r="F2874" s="98">
        <v>83.95</v>
      </c>
    </row>
    <row r="2875" spans="1:6">
      <c r="A2875" s="6">
        <v>44227</v>
      </c>
      <c r="B2875" s="98" t="s">
        <v>425</v>
      </c>
      <c r="C2875" s="98" t="s">
        <v>264</v>
      </c>
      <c r="D2875" s="98" t="s">
        <v>426</v>
      </c>
      <c r="E2875" s="98" t="s">
        <v>244</v>
      </c>
      <c r="F2875" s="98">
        <v>163.46</v>
      </c>
    </row>
    <row r="2876" spans="1:6">
      <c r="A2876" s="6">
        <v>44227</v>
      </c>
      <c r="B2876" s="98" t="s">
        <v>425</v>
      </c>
      <c r="C2876" s="98" t="s">
        <v>254</v>
      </c>
      <c r="D2876" s="98" t="s">
        <v>426</v>
      </c>
      <c r="E2876" s="98" t="s">
        <v>244</v>
      </c>
      <c r="F2876" s="98">
        <v>2.46</v>
      </c>
    </row>
    <row r="2877" spans="1:6">
      <c r="A2877" s="6">
        <v>44227</v>
      </c>
      <c r="B2877" s="98" t="s">
        <v>427</v>
      </c>
      <c r="C2877" s="98" t="s">
        <v>242</v>
      </c>
      <c r="D2877" s="98" t="s">
        <v>428</v>
      </c>
      <c r="E2877" s="98" t="s">
        <v>244</v>
      </c>
      <c r="F2877" s="98">
        <v>285.14</v>
      </c>
    </row>
    <row r="2878" spans="1:6">
      <c r="A2878" s="6">
        <v>44227</v>
      </c>
      <c r="B2878" s="98" t="s">
        <v>427</v>
      </c>
      <c r="C2878" s="98" t="s">
        <v>262</v>
      </c>
      <c r="D2878" s="98" t="s">
        <v>428</v>
      </c>
      <c r="E2878" s="98" t="s">
        <v>244</v>
      </c>
      <c r="F2878" s="98">
        <v>1243.83</v>
      </c>
    </row>
    <row r="2879" spans="1:6">
      <c r="A2879" s="6">
        <v>44227</v>
      </c>
      <c r="B2879" s="98" t="s">
        <v>427</v>
      </c>
      <c r="C2879" s="98" t="s">
        <v>251</v>
      </c>
      <c r="D2879" s="98" t="s">
        <v>428</v>
      </c>
      <c r="E2879" s="98" t="s">
        <v>244</v>
      </c>
      <c r="F2879" s="98">
        <v>25.81</v>
      </c>
    </row>
    <row r="2880" spans="1:6">
      <c r="A2880" s="6">
        <v>44227</v>
      </c>
      <c r="B2880" s="98" t="s">
        <v>427</v>
      </c>
      <c r="C2880" s="98" t="s">
        <v>245</v>
      </c>
      <c r="D2880" s="98" t="s">
        <v>428</v>
      </c>
      <c r="E2880" s="98" t="s">
        <v>244</v>
      </c>
      <c r="F2880" s="98">
        <v>524.72</v>
      </c>
    </row>
    <row r="2881" spans="1:6">
      <c r="A2881" s="6">
        <v>44227</v>
      </c>
      <c r="B2881" s="98" t="s">
        <v>470</v>
      </c>
      <c r="C2881" s="98" t="s">
        <v>242</v>
      </c>
      <c r="D2881" s="98" t="s">
        <v>471</v>
      </c>
      <c r="E2881" s="98" t="s">
        <v>244</v>
      </c>
      <c r="F2881" s="98">
        <v>467.55</v>
      </c>
    </row>
    <row r="2882" spans="1:6">
      <c r="A2882" s="6">
        <v>44227</v>
      </c>
      <c r="B2882" s="98" t="s">
        <v>470</v>
      </c>
      <c r="C2882" s="98" t="s">
        <v>262</v>
      </c>
      <c r="D2882" s="98" t="s">
        <v>471</v>
      </c>
      <c r="E2882" s="98" t="s">
        <v>244</v>
      </c>
      <c r="F2882" s="98">
        <v>1360.92</v>
      </c>
    </row>
    <row r="2883" spans="1:6">
      <c r="A2883" s="6">
        <v>44227</v>
      </c>
      <c r="B2883" s="98" t="s">
        <v>470</v>
      </c>
      <c r="C2883" s="98" t="s">
        <v>245</v>
      </c>
      <c r="D2883" s="98" t="s">
        <v>471</v>
      </c>
      <c r="E2883" s="98" t="s">
        <v>244</v>
      </c>
      <c r="F2883" s="98">
        <v>470.09</v>
      </c>
    </row>
    <row r="2884" spans="1:6">
      <c r="A2884" s="6">
        <v>44227</v>
      </c>
      <c r="B2884" s="98" t="s">
        <v>470</v>
      </c>
      <c r="C2884" s="98" t="s">
        <v>264</v>
      </c>
      <c r="D2884" s="98" t="s">
        <v>471</v>
      </c>
      <c r="E2884" s="98" t="s">
        <v>244</v>
      </c>
      <c r="F2884" s="98">
        <v>285.25</v>
      </c>
    </row>
    <row r="2885" spans="1:6">
      <c r="A2885" s="6">
        <v>44227</v>
      </c>
      <c r="B2885" s="98" t="s">
        <v>429</v>
      </c>
      <c r="C2885" s="98" t="s">
        <v>246</v>
      </c>
      <c r="D2885" s="98" t="s">
        <v>430</v>
      </c>
      <c r="E2885" s="98" t="s">
        <v>247</v>
      </c>
      <c r="F2885" s="98">
        <v>1806.16</v>
      </c>
    </row>
    <row r="2886" spans="1:6">
      <c r="A2886" s="6">
        <v>44227</v>
      </c>
      <c r="B2886" s="98" t="s">
        <v>429</v>
      </c>
      <c r="C2886" s="98" t="s">
        <v>265</v>
      </c>
      <c r="D2886" s="98" t="s">
        <v>430</v>
      </c>
      <c r="E2886" s="98" t="s">
        <v>247</v>
      </c>
      <c r="F2886" s="98">
        <v>1251.52</v>
      </c>
    </row>
    <row r="2887" spans="1:6">
      <c r="A2887" s="6">
        <v>44227</v>
      </c>
      <c r="B2887" s="98" t="s">
        <v>429</v>
      </c>
      <c r="C2887" s="98" t="s">
        <v>249</v>
      </c>
      <c r="D2887" s="98" t="s">
        <v>430</v>
      </c>
      <c r="E2887" s="98" t="s">
        <v>247</v>
      </c>
      <c r="F2887" s="98">
        <v>21867.69</v>
      </c>
    </row>
    <row r="2888" spans="1:6">
      <c r="A2888" s="6">
        <v>44227</v>
      </c>
      <c r="B2888" s="98" t="s">
        <v>429</v>
      </c>
      <c r="C2888" s="98" t="s">
        <v>251</v>
      </c>
      <c r="D2888" s="98" t="s">
        <v>430</v>
      </c>
      <c r="E2888" s="98" t="s">
        <v>244</v>
      </c>
      <c r="F2888" s="98">
        <v>138.13</v>
      </c>
    </row>
    <row r="2889" spans="1:6">
      <c r="A2889" s="6">
        <v>44227</v>
      </c>
      <c r="B2889" s="98" t="s">
        <v>429</v>
      </c>
      <c r="C2889" s="98" t="s">
        <v>253</v>
      </c>
      <c r="D2889" s="98" t="s">
        <v>430</v>
      </c>
      <c r="E2889" s="98" t="s">
        <v>244</v>
      </c>
      <c r="F2889" s="98">
        <v>45.52</v>
      </c>
    </row>
    <row r="2890" spans="1:6">
      <c r="A2890" s="6">
        <v>44227</v>
      </c>
      <c r="B2890" s="98" t="s">
        <v>429</v>
      </c>
      <c r="C2890" s="98" t="s">
        <v>245</v>
      </c>
      <c r="D2890" s="98" t="s">
        <v>430</v>
      </c>
      <c r="E2890" s="98" t="s">
        <v>244</v>
      </c>
      <c r="F2890" s="98">
        <v>231.35</v>
      </c>
    </row>
    <row r="2891" spans="1:6">
      <c r="A2891" s="6">
        <v>44227</v>
      </c>
      <c r="B2891" s="98" t="s">
        <v>429</v>
      </c>
      <c r="C2891" s="98" t="s">
        <v>274</v>
      </c>
      <c r="D2891" s="98" t="s">
        <v>430</v>
      </c>
      <c r="E2891" s="98" t="s">
        <v>247</v>
      </c>
      <c r="F2891" s="98">
        <v>7475.54</v>
      </c>
    </row>
    <row r="2892" spans="1:6">
      <c r="A2892" s="6">
        <v>44227</v>
      </c>
      <c r="B2892" s="98" t="s">
        <v>455</v>
      </c>
      <c r="C2892" s="98" t="s">
        <v>254</v>
      </c>
      <c r="D2892" s="98" t="s">
        <v>456</v>
      </c>
      <c r="E2892" s="98" t="s">
        <v>244</v>
      </c>
      <c r="F2892" s="98">
        <v>57.97</v>
      </c>
    </row>
    <row r="2893" spans="1:6">
      <c r="A2893" s="6">
        <v>44227</v>
      </c>
      <c r="B2893" s="98" t="s">
        <v>437</v>
      </c>
      <c r="C2893" s="98" t="s">
        <v>242</v>
      </c>
      <c r="D2893" s="98" t="s">
        <v>438</v>
      </c>
      <c r="E2893" s="98" t="s">
        <v>244</v>
      </c>
      <c r="F2893" s="98">
        <v>462.01</v>
      </c>
    </row>
    <row r="2894" spans="1:6">
      <c r="A2894" s="6">
        <v>44227</v>
      </c>
      <c r="B2894" s="98" t="s">
        <v>437</v>
      </c>
      <c r="C2894" s="98" t="s">
        <v>262</v>
      </c>
      <c r="D2894" s="98" t="s">
        <v>438</v>
      </c>
      <c r="E2894" s="98" t="s">
        <v>244</v>
      </c>
      <c r="F2894" s="98">
        <v>2610.4</v>
      </c>
    </row>
    <row r="2895" spans="1:6">
      <c r="A2895" s="6">
        <v>44227</v>
      </c>
      <c r="B2895" s="98" t="s">
        <v>437</v>
      </c>
      <c r="C2895" s="98" t="s">
        <v>253</v>
      </c>
      <c r="D2895" s="98" t="s">
        <v>438</v>
      </c>
      <c r="E2895" s="98" t="s">
        <v>244</v>
      </c>
      <c r="F2895" s="98">
        <v>92.11</v>
      </c>
    </row>
    <row r="2896" spans="1:6">
      <c r="A2896" s="6">
        <v>44227</v>
      </c>
      <c r="B2896" s="98" t="s">
        <v>437</v>
      </c>
      <c r="C2896" s="98" t="s">
        <v>245</v>
      </c>
      <c r="D2896" s="98" t="s">
        <v>438</v>
      </c>
      <c r="E2896" s="98" t="s">
        <v>244</v>
      </c>
      <c r="F2896" s="98">
        <v>203.48</v>
      </c>
    </row>
    <row r="2897" spans="1:6">
      <c r="A2897" s="6">
        <v>44227</v>
      </c>
      <c r="B2897" s="98" t="s">
        <v>437</v>
      </c>
      <c r="C2897" s="98" t="s">
        <v>254</v>
      </c>
      <c r="D2897" s="98" t="s">
        <v>438</v>
      </c>
      <c r="E2897" s="98" t="s">
        <v>244</v>
      </c>
      <c r="F2897" s="98">
        <v>25.5</v>
      </c>
    </row>
    <row r="2898" spans="1:6">
      <c r="A2898" s="6">
        <v>44227</v>
      </c>
      <c r="B2898" s="98" t="s">
        <v>433</v>
      </c>
      <c r="C2898" s="98" t="s">
        <v>245</v>
      </c>
      <c r="D2898" s="98" t="s">
        <v>434</v>
      </c>
      <c r="E2898" s="98" t="s">
        <v>244</v>
      </c>
      <c r="F2898" s="98">
        <v>131.18</v>
      </c>
    </row>
    <row r="2899" spans="1:6">
      <c r="A2899" s="6">
        <v>44227</v>
      </c>
      <c r="B2899" s="98" t="s">
        <v>433</v>
      </c>
      <c r="C2899" s="98" t="s">
        <v>254</v>
      </c>
      <c r="D2899" s="98" t="s">
        <v>434</v>
      </c>
      <c r="E2899" s="98" t="s">
        <v>244</v>
      </c>
      <c r="F2899" s="98">
        <v>68.53</v>
      </c>
    </row>
    <row r="2900" spans="1:6">
      <c r="A2900" s="6">
        <v>44227</v>
      </c>
      <c r="B2900" s="98" t="s">
        <v>453</v>
      </c>
      <c r="C2900" s="98" t="s">
        <v>262</v>
      </c>
      <c r="D2900" s="98" t="s">
        <v>454</v>
      </c>
      <c r="E2900" s="98" t="s">
        <v>244</v>
      </c>
      <c r="F2900" s="98">
        <v>890.05</v>
      </c>
    </row>
    <row r="2901" spans="1:6">
      <c r="A2901" s="6">
        <v>44227</v>
      </c>
      <c r="B2901" s="98" t="s">
        <v>451</v>
      </c>
      <c r="C2901" s="98" t="s">
        <v>242</v>
      </c>
      <c r="D2901" s="98" t="s">
        <v>452</v>
      </c>
      <c r="E2901" s="98" t="s">
        <v>244</v>
      </c>
      <c r="F2901" s="98">
        <v>162.35</v>
      </c>
    </row>
    <row r="2902" spans="1:6">
      <c r="A2902" s="6">
        <v>44227</v>
      </c>
      <c r="B2902" s="98" t="s">
        <v>451</v>
      </c>
      <c r="C2902" s="98" t="s">
        <v>253</v>
      </c>
      <c r="D2902" s="98" t="s">
        <v>452</v>
      </c>
      <c r="E2902" s="98" t="s">
        <v>244</v>
      </c>
      <c r="F2902" s="98">
        <v>23.35</v>
      </c>
    </row>
    <row r="2903" spans="1:6">
      <c r="A2903" s="6">
        <v>44227</v>
      </c>
      <c r="B2903" s="98" t="s">
        <v>451</v>
      </c>
      <c r="C2903" s="98" t="s">
        <v>254</v>
      </c>
      <c r="D2903" s="98" t="s">
        <v>452</v>
      </c>
      <c r="E2903" s="98" t="s">
        <v>244</v>
      </c>
      <c r="F2903" s="98">
        <v>117.69</v>
      </c>
    </row>
    <row r="2904" spans="1:6">
      <c r="A2904" s="6">
        <v>44255</v>
      </c>
      <c r="B2904" s="98" t="s">
        <v>241</v>
      </c>
      <c r="C2904" s="98" t="s">
        <v>242</v>
      </c>
      <c r="D2904" s="98" t="s">
        <v>243</v>
      </c>
      <c r="E2904" s="98" t="s">
        <v>244</v>
      </c>
      <c r="F2904" s="98">
        <v>109.21</v>
      </c>
    </row>
    <row r="2905" spans="1:6">
      <c r="A2905" s="6">
        <v>44255</v>
      </c>
      <c r="B2905" s="98" t="s">
        <v>241</v>
      </c>
      <c r="C2905" s="98" t="s">
        <v>245</v>
      </c>
      <c r="D2905" s="98" t="s">
        <v>243</v>
      </c>
      <c r="E2905" s="98" t="s">
        <v>244</v>
      </c>
      <c r="F2905" s="98">
        <v>566.52</v>
      </c>
    </row>
    <row r="2906" spans="1:6">
      <c r="A2906" s="6">
        <v>44255</v>
      </c>
      <c r="B2906" s="98" t="s">
        <v>250</v>
      </c>
      <c r="C2906" s="98" t="s">
        <v>257</v>
      </c>
      <c r="D2906" s="98" t="s">
        <v>252</v>
      </c>
      <c r="E2906" s="98" t="s">
        <v>258</v>
      </c>
      <c r="F2906" s="98">
        <v>15121.72</v>
      </c>
    </row>
    <row r="2907" spans="1:6">
      <c r="A2907" s="6">
        <v>44255</v>
      </c>
      <c r="B2907" s="98" t="s">
        <v>250</v>
      </c>
      <c r="C2907" s="98" t="s">
        <v>255</v>
      </c>
      <c r="D2907" s="98" t="s">
        <v>252</v>
      </c>
      <c r="E2907" s="98" t="s">
        <v>247</v>
      </c>
      <c r="F2907" s="98">
        <v>1178.6300000000001</v>
      </c>
    </row>
    <row r="2908" spans="1:6">
      <c r="A2908" s="6">
        <v>44255</v>
      </c>
      <c r="B2908" s="98" t="s">
        <v>250</v>
      </c>
      <c r="C2908" s="98" t="s">
        <v>246</v>
      </c>
      <c r="D2908" s="98" t="s">
        <v>252</v>
      </c>
      <c r="E2908" s="98" t="s">
        <v>247</v>
      </c>
      <c r="F2908" s="98">
        <v>942.1</v>
      </c>
    </row>
    <row r="2909" spans="1:6">
      <c r="A2909" s="6">
        <v>44255</v>
      </c>
      <c r="B2909" s="98" t="s">
        <v>250</v>
      </c>
      <c r="C2909" s="98" t="s">
        <v>251</v>
      </c>
      <c r="D2909" s="98" t="s">
        <v>252</v>
      </c>
      <c r="E2909" s="98" t="s">
        <v>244</v>
      </c>
      <c r="F2909" s="98">
        <v>328.12</v>
      </c>
    </row>
    <row r="2910" spans="1:6">
      <c r="A2910" s="6">
        <v>44255</v>
      </c>
      <c r="B2910" s="98" t="s">
        <v>250</v>
      </c>
      <c r="C2910" s="98" t="s">
        <v>253</v>
      </c>
      <c r="D2910" s="98" t="s">
        <v>252</v>
      </c>
      <c r="E2910" s="98" t="s">
        <v>244</v>
      </c>
      <c r="F2910" s="98">
        <v>52.67</v>
      </c>
    </row>
    <row r="2911" spans="1:6">
      <c r="A2911" s="6">
        <v>44255</v>
      </c>
      <c r="B2911" s="98" t="s">
        <v>250</v>
      </c>
      <c r="C2911" s="98" t="s">
        <v>254</v>
      </c>
      <c r="D2911" s="98" t="s">
        <v>252</v>
      </c>
      <c r="E2911" s="98" t="s">
        <v>244</v>
      </c>
      <c r="F2911" s="98">
        <v>246.61</v>
      </c>
    </row>
    <row r="2912" spans="1:6">
      <c r="A2912" s="6">
        <v>44255</v>
      </c>
      <c r="B2912" s="98" t="s">
        <v>250</v>
      </c>
      <c r="C2912" s="98" t="s">
        <v>256</v>
      </c>
      <c r="D2912" s="98" t="s">
        <v>252</v>
      </c>
      <c r="E2912" s="98" t="s">
        <v>247</v>
      </c>
      <c r="F2912" s="98">
        <v>5428.18</v>
      </c>
    </row>
    <row r="2913" spans="1:6">
      <c r="A2913" s="6">
        <v>44255</v>
      </c>
      <c r="B2913" s="98" t="s">
        <v>261</v>
      </c>
      <c r="C2913" s="98" t="s">
        <v>265</v>
      </c>
      <c r="D2913" s="98" t="s">
        <v>263</v>
      </c>
      <c r="E2913" s="98" t="s">
        <v>247</v>
      </c>
      <c r="F2913" s="98">
        <v>2184.38</v>
      </c>
    </row>
    <row r="2914" spans="1:6">
      <c r="A2914" s="6">
        <v>44255</v>
      </c>
      <c r="B2914" s="98" t="s">
        <v>261</v>
      </c>
      <c r="C2914" s="98" t="s">
        <v>272</v>
      </c>
      <c r="D2914" s="98" t="s">
        <v>263</v>
      </c>
      <c r="E2914" s="98" t="s">
        <v>247</v>
      </c>
      <c r="F2914" s="98">
        <v>5655.53</v>
      </c>
    </row>
    <row r="2915" spans="1:6">
      <c r="A2915" s="6">
        <v>44255</v>
      </c>
      <c r="B2915" s="98" t="s">
        <v>261</v>
      </c>
      <c r="C2915" s="98" t="s">
        <v>260</v>
      </c>
      <c r="D2915" s="98" t="s">
        <v>263</v>
      </c>
      <c r="E2915" s="98" t="s">
        <v>258</v>
      </c>
      <c r="F2915" s="98">
        <v>2874.6</v>
      </c>
    </row>
    <row r="2916" spans="1:6">
      <c r="A2916" s="6">
        <v>44255</v>
      </c>
      <c r="B2916" s="98" t="s">
        <v>261</v>
      </c>
      <c r="C2916" s="98" t="s">
        <v>262</v>
      </c>
      <c r="D2916" s="98" t="s">
        <v>263</v>
      </c>
      <c r="E2916" s="98" t="s">
        <v>244</v>
      </c>
      <c r="F2916" s="98">
        <v>125.38</v>
      </c>
    </row>
    <row r="2917" spans="1:6">
      <c r="A2917" s="6">
        <v>44255</v>
      </c>
      <c r="B2917" s="98" t="s">
        <v>261</v>
      </c>
      <c r="C2917" s="98" t="s">
        <v>253</v>
      </c>
      <c r="D2917" s="98" t="s">
        <v>263</v>
      </c>
      <c r="E2917" s="98" t="s">
        <v>244</v>
      </c>
      <c r="F2917" s="98">
        <v>98.58</v>
      </c>
    </row>
    <row r="2918" spans="1:6">
      <c r="A2918" s="6">
        <v>44255</v>
      </c>
      <c r="B2918" s="98" t="s">
        <v>261</v>
      </c>
      <c r="C2918" s="98" t="s">
        <v>245</v>
      </c>
      <c r="D2918" s="98" t="s">
        <v>263</v>
      </c>
      <c r="E2918" s="98" t="s">
        <v>244</v>
      </c>
      <c r="F2918" s="98">
        <v>64.150000000000006</v>
      </c>
    </row>
    <row r="2919" spans="1:6">
      <c r="A2919" s="6">
        <v>44255</v>
      </c>
      <c r="B2919" s="98" t="s">
        <v>261</v>
      </c>
      <c r="C2919" s="98" t="s">
        <v>264</v>
      </c>
      <c r="D2919" s="98" t="s">
        <v>263</v>
      </c>
      <c r="E2919" s="98" t="s">
        <v>244</v>
      </c>
      <c r="F2919" s="98">
        <v>596.21</v>
      </c>
    </row>
    <row r="2920" spans="1:6">
      <c r="A2920" s="6">
        <v>44255</v>
      </c>
      <c r="B2920" s="98" t="s">
        <v>261</v>
      </c>
      <c r="C2920" s="98" t="s">
        <v>248</v>
      </c>
      <c r="D2920" s="98" t="s">
        <v>263</v>
      </c>
      <c r="E2920" s="98" t="s">
        <v>247</v>
      </c>
      <c r="F2920" s="98">
        <v>5556.25</v>
      </c>
    </row>
    <row r="2921" spans="1:6">
      <c r="A2921" s="6">
        <v>44255</v>
      </c>
      <c r="B2921" s="98" t="s">
        <v>267</v>
      </c>
      <c r="C2921" s="98" t="s">
        <v>266</v>
      </c>
      <c r="D2921" s="98" t="s">
        <v>268</v>
      </c>
      <c r="E2921" s="98" t="s">
        <v>258</v>
      </c>
      <c r="F2921" s="98">
        <v>7865.53</v>
      </c>
    </row>
    <row r="2922" spans="1:6">
      <c r="A2922" s="6">
        <v>44255</v>
      </c>
      <c r="B2922" s="98" t="s">
        <v>267</v>
      </c>
      <c r="C2922" s="98" t="s">
        <v>265</v>
      </c>
      <c r="D2922" s="98" t="s">
        <v>268</v>
      </c>
      <c r="E2922" s="98" t="s">
        <v>247</v>
      </c>
      <c r="F2922" s="98">
        <v>2151.91</v>
      </c>
    </row>
    <row r="2923" spans="1:6">
      <c r="A2923" s="6">
        <v>44255</v>
      </c>
      <c r="B2923" s="98" t="s">
        <v>267</v>
      </c>
      <c r="C2923" s="98" t="s">
        <v>560</v>
      </c>
      <c r="D2923" s="98" t="s">
        <v>268</v>
      </c>
      <c r="E2923" s="98" t="s">
        <v>247</v>
      </c>
      <c r="F2923" s="98">
        <v>374.96</v>
      </c>
    </row>
    <row r="2924" spans="1:6">
      <c r="A2924" s="6">
        <v>44255</v>
      </c>
      <c r="B2924" s="98" t="s">
        <v>267</v>
      </c>
      <c r="C2924" s="98" t="s">
        <v>260</v>
      </c>
      <c r="D2924" s="98" t="s">
        <v>268</v>
      </c>
      <c r="E2924" s="98" t="s">
        <v>258</v>
      </c>
      <c r="F2924" s="98">
        <v>6888.62</v>
      </c>
    </row>
    <row r="2925" spans="1:6">
      <c r="A2925" s="6">
        <v>44255</v>
      </c>
      <c r="B2925" s="98" t="s">
        <v>267</v>
      </c>
      <c r="C2925" s="98" t="s">
        <v>242</v>
      </c>
      <c r="D2925" s="98" t="s">
        <v>268</v>
      </c>
      <c r="E2925" s="98" t="s">
        <v>244</v>
      </c>
      <c r="F2925" s="98">
        <v>156.68</v>
      </c>
    </row>
    <row r="2926" spans="1:6">
      <c r="A2926" s="6">
        <v>44255</v>
      </c>
      <c r="B2926" s="98" t="s">
        <v>267</v>
      </c>
      <c r="C2926" s="98" t="s">
        <v>262</v>
      </c>
      <c r="D2926" s="98" t="s">
        <v>268</v>
      </c>
      <c r="E2926" s="98" t="s">
        <v>244</v>
      </c>
      <c r="F2926" s="98">
        <v>552.03</v>
      </c>
    </row>
    <row r="2927" spans="1:6">
      <c r="A2927" s="6">
        <v>44255</v>
      </c>
      <c r="B2927" s="98" t="s">
        <v>267</v>
      </c>
      <c r="C2927" s="98" t="s">
        <v>253</v>
      </c>
      <c r="D2927" s="98" t="s">
        <v>268</v>
      </c>
      <c r="E2927" s="98" t="s">
        <v>244</v>
      </c>
      <c r="F2927" s="98">
        <v>120.6</v>
      </c>
    </row>
    <row r="2928" spans="1:6">
      <c r="A2928" s="6">
        <v>44255</v>
      </c>
      <c r="B2928" s="98" t="s">
        <v>267</v>
      </c>
      <c r="C2928" s="98" t="s">
        <v>264</v>
      </c>
      <c r="D2928" s="98" t="s">
        <v>268</v>
      </c>
      <c r="E2928" s="98" t="s">
        <v>244</v>
      </c>
      <c r="F2928" s="98">
        <v>211.13</v>
      </c>
    </row>
    <row r="2929" spans="1:6">
      <c r="A2929" s="6">
        <v>44255</v>
      </c>
      <c r="B2929" s="98" t="s">
        <v>267</v>
      </c>
      <c r="C2929" s="98" t="s">
        <v>254</v>
      </c>
      <c r="D2929" s="98" t="s">
        <v>268</v>
      </c>
      <c r="E2929" s="98" t="s">
        <v>244</v>
      </c>
      <c r="F2929" s="98">
        <v>87.52</v>
      </c>
    </row>
    <row r="2930" spans="1:6">
      <c r="A2930" s="6">
        <v>44255</v>
      </c>
      <c r="B2930" s="98" t="s">
        <v>267</v>
      </c>
      <c r="C2930" s="98" t="s">
        <v>248</v>
      </c>
      <c r="D2930" s="98" t="s">
        <v>268</v>
      </c>
      <c r="E2930" s="98" t="s">
        <v>247</v>
      </c>
      <c r="F2930" s="98">
        <v>9690.4599999999991</v>
      </c>
    </row>
    <row r="2931" spans="1:6">
      <c r="A2931" s="6">
        <v>44255</v>
      </c>
      <c r="B2931" s="98" t="s">
        <v>269</v>
      </c>
      <c r="C2931" s="98" t="s">
        <v>255</v>
      </c>
      <c r="D2931" s="98" t="s">
        <v>270</v>
      </c>
      <c r="E2931" s="98" t="s">
        <v>247</v>
      </c>
      <c r="F2931" s="98">
        <v>849.6</v>
      </c>
    </row>
    <row r="2932" spans="1:6">
      <c r="A2932" s="6">
        <v>44255</v>
      </c>
      <c r="B2932" s="98" t="s">
        <v>269</v>
      </c>
      <c r="C2932" s="98" t="s">
        <v>246</v>
      </c>
      <c r="D2932" s="98" t="s">
        <v>270</v>
      </c>
      <c r="E2932" s="98" t="s">
        <v>247</v>
      </c>
      <c r="F2932" s="98">
        <v>1970.65</v>
      </c>
    </row>
    <row r="2933" spans="1:6">
      <c r="A2933" s="6">
        <v>44255</v>
      </c>
      <c r="B2933" s="98" t="s">
        <v>269</v>
      </c>
      <c r="C2933" s="98" t="s">
        <v>265</v>
      </c>
      <c r="D2933" s="98" t="s">
        <v>270</v>
      </c>
      <c r="E2933" s="98" t="s">
        <v>247</v>
      </c>
      <c r="F2933" s="98">
        <v>714.91</v>
      </c>
    </row>
    <row r="2934" spans="1:6">
      <c r="A2934" s="6">
        <v>44255</v>
      </c>
      <c r="B2934" s="98" t="s">
        <v>269</v>
      </c>
      <c r="C2934" s="98" t="s">
        <v>242</v>
      </c>
      <c r="D2934" s="98" t="s">
        <v>270</v>
      </c>
      <c r="E2934" s="98" t="s">
        <v>244</v>
      </c>
      <c r="F2934" s="98">
        <v>375.65</v>
      </c>
    </row>
    <row r="2935" spans="1:6">
      <c r="A2935" s="6">
        <v>44255</v>
      </c>
      <c r="B2935" s="98" t="s">
        <v>269</v>
      </c>
      <c r="C2935" s="98" t="s">
        <v>245</v>
      </c>
      <c r="D2935" s="98" t="s">
        <v>270</v>
      </c>
      <c r="E2935" s="98" t="s">
        <v>244</v>
      </c>
      <c r="F2935" s="98">
        <v>351.9</v>
      </c>
    </row>
    <row r="2936" spans="1:6">
      <c r="A2936" s="6">
        <v>44255</v>
      </c>
      <c r="B2936" s="98" t="s">
        <v>269</v>
      </c>
      <c r="C2936" s="98" t="s">
        <v>264</v>
      </c>
      <c r="D2936" s="98" t="s">
        <v>270</v>
      </c>
      <c r="E2936" s="98" t="s">
        <v>244</v>
      </c>
      <c r="F2936" s="98">
        <v>156.30000000000001</v>
      </c>
    </row>
    <row r="2937" spans="1:6">
      <c r="A2937" s="6">
        <v>44255</v>
      </c>
      <c r="B2937" s="98" t="s">
        <v>269</v>
      </c>
      <c r="C2937" s="98" t="s">
        <v>271</v>
      </c>
      <c r="D2937" s="98" t="s">
        <v>270</v>
      </c>
      <c r="E2937" s="98" t="s">
        <v>244</v>
      </c>
      <c r="F2937" s="98">
        <v>20.65</v>
      </c>
    </row>
    <row r="2938" spans="1:6">
      <c r="A2938" s="6">
        <v>44255</v>
      </c>
      <c r="B2938" s="98" t="s">
        <v>275</v>
      </c>
      <c r="C2938" s="98" t="s">
        <v>259</v>
      </c>
      <c r="D2938" s="98" t="s">
        <v>276</v>
      </c>
      <c r="E2938" s="98" t="s">
        <v>258</v>
      </c>
      <c r="F2938" s="98">
        <v>34342.76</v>
      </c>
    </row>
    <row r="2939" spans="1:6">
      <c r="A2939" s="6">
        <v>44255</v>
      </c>
      <c r="B2939" s="98" t="s">
        <v>275</v>
      </c>
      <c r="C2939" s="98" t="s">
        <v>257</v>
      </c>
      <c r="D2939" s="98" t="s">
        <v>276</v>
      </c>
      <c r="E2939" s="98" t="s">
        <v>258</v>
      </c>
      <c r="F2939" s="98">
        <v>44747.08</v>
      </c>
    </row>
    <row r="2940" spans="1:6">
      <c r="A2940" s="6">
        <v>44255</v>
      </c>
      <c r="B2940" s="98" t="s">
        <v>275</v>
      </c>
      <c r="C2940" s="98" t="s">
        <v>278</v>
      </c>
      <c r="D2940" s="98" t="s">
        <v>276</v>
      </c>
      <c r="E2940" s="98" t="s">
        <v>247</v>
      </c>
      <c r="F2940" s="98">
        <v>2338.14</v>
      </c>
    </row>
    <row r="2941" spans="1:6">
      <c r="A2941" s="6">
        <v>44255</v>
      </c>
      <c r="B2941" s="98" t="s">
        <v>275</v>
      </c>
      <c r="C2941" s="98" t="s">
        <v>286</v>
      </c>
      <c r="D2941" s="98" t="s">
        <v>276</v>
      </c>
      <c r="E2941" s="98" t="s">
        <v>247</v>
      </c>
      <c r="F2941" s="98">
        <v>1710.63</v>
      </c>
    </row>
    <row r="2942" spans="1:6">
      <c r="A2942" s="6">
        <v>44255</v>
      </c>
      <c r="B2942" s="98" t="s">
        <v>275</v>
      </c>
      <c r="C2942" s="98" t="s">
        <v>283</v>
      </c>
      <c r="D2942" s="98" t="s">
        <v>276</v>
      </c>
      <c r="E2942" s="98" t="s">
        <v>247</v>
      </c>
      <c r="F2942" s="98">
        <v>2138.29</v>
      </c>
    </row>
    <row r="2943" spans="1:6">
      <c r="A2943" s="6">
        <v>44255</v>
      </c>
      <c r="B2943" s="98" t="s">
        <v>275</v>
      </c>
      <c r="C2943" s="98" t="s">
        <v>246</v>
      </c>
      <c r="D2943" s="98" t="s">
        <v>276</v>
      </c>
      <c r="E2943" s="98" t="s">
        <v>247</v>
      </c>
      <c r="F2943" s="98">
        <v>3434.87</v>
      </c>
    </row>
    <row r="2944" spans="1:6">
      <c r="A2944" s="6">
        <v>44255</v>
      </c>
      <c r="B2944" s="98" t="s">
        <v>275</v>
      </c>
      <c r="C2944" s="98" t="s">
        <v>281</v>
      </c>
      <c r="D2944" s="98" t="s">
        <v>276</v>
      </c>
      <c r="E2944" s="98" t="s">
        <v>247</v>
      </c>
      <c r="F2944" s="98">
        <v>12669.26</v>
      </c>
    </row>
    <row r="2945" spans="1:6">
      <c r="A2945" s="6">
        <v>44255</v>
      </c>
      <c r="B2945" s="98" t="s">
        <v>275</v>
      </c>
      <c r="C2945" s="98" t="s">
        <v>272</v>
      </c>
      <c r="D2945" s="98" t="s">
        <v>276</v>
      </c>
      <c r="E2945" s="98" t="s">
        <v>247</v>
      </c>
      <c r="F2945" s="98">
        <v>1401.04</v>
      </c>
    </row>
    <row r="2946" spans="1:6">
      <c r="A2946" s="6">
        <v>44255</v>
      </c>
      <c r="B2946" s="98" t="s">
        <v>275</v>
      </c>
      <c r="C2946" s="98" t="s">
        <v>260</v>
      </c>
      <c r="D2946" s="98" t="s">
        <v>276</v>
      </c>
      <c r="E2946" s="98" t="s">
        <v>258</v>
      </c>
      <c r="F2946" s="98">
        <v>17611.48</v>
      </c>
    </row>
    <row r="2947" spans="1:6">
      <c r="A2947" s="6">
        <v>44255</v>
      </c>
      <c r="B2947" s="98" t="s">
        <v>275</v>
      </c>
      <c r="C2947" s="98" t="s">
        <v>249</v>
      </c>
      <c r="D2947" s="98" t="s">
        <v>276</v>
      </c>
      <c r="E2947" s="98" t="s">
        <v>247</v>
      </c>
      <c r="F2947" s="98">
        <v>1058.33</v>
      </c>
    </row>
    <row r="2948" spans="1:6">
      <c r="A2948" s="6">
        <v>44255</v>
      </c>
      <c r="B2948" s="98" t="s">
        <v>275</v>
      </c>
      <c r="C2948" s="98" t="s">
        <v>465</v>
      </c>
      <c r="D2948" s="98" t="s">
        <v>276</v>
      </c>
      <c r="E2948" s="98" t="s">
        <v>247</v>
      </c>
      <c r="F2948" s="98">
        <v>2138.29</v>
      </c>
    </row>
    <row r="2949" spans="1:6">
      <c r="A2949" s="6">
        <v>44255</v>
      </c>
      <c r="B2949" s="98" t="s">
        <v>275</v>
      </c>
      <c r="C2949" s="98" t="s">
        <v>242</v>
      </c>
      <c r="D2949" s="98" t="s">
        <v>276</v>
      </c>
      <c r="E2949" s="98" t="s">
        <v>244</v>
      </c>
      <c r="F2949" s="98">
        <v>103.37</v>
      </c>
    </row>
    <row r="2950" spans="1:6">
      <c r="A2950" s="6">
        <v>44255</v>
      </c>
      <c r="B2950" s="98" t="s">
        <v>275</v>
      </c>
      <c r="C2950" s="98" t="s">
        <v>262</v>
      </c>
      <c r="D2950" s="98" t="s">
        <v>276</v>
      </c>
      <c r="E2950" s="98" t="s">
        <v>244</v>
      </c>
      <c r="F2950" s="98">
        <v>1721.31</v>
      </c>
    </row>
    <row r="2951" spans="1:6">
      <c r="A2951" s="6">
        <v>44255</v>
      </c>
      <c r="B2951" s="98" t="s">
        <v>275</v>
      </c>
      <c r="C2951" s="98" t="s">
        <v>251</v>
      </c>
      <c r="D2951" s="98" t="s">
        <v>276</v>
      </c>
      <c r="E2951" s="98" t="s">
        <v>244</v>
      </c>
      <c r="F2951" s="98">
        <v>62.81</v>
      </c>
    </row>
    <row r="2952" spans="1:6">
      <c r="A2952" s="6">
        <v>44255</v>
      </c>
      <c r="B2952" s="98" t="s">
        <v>275</v>
      </c>
      <c r="C2952" s="98" t="s">
        <v>253</v>
      </c>
      <c r="D2952" s="98" t="s">
        <v>276</v>
      </c>
      <c r="E2952" s="98" t="s">
        <v>244</v>
      </c>
      <c r="F2952" s="98">
        <v>30.31</v>
      </c>
    </row>
    <row r="2953" spans="1:6">
      <c r="A2953" s="6">
        <v>44255</v>
      </c>
      <c r="B2953" s="98" t="s">
        <v>275</v>
      </c>
      <c r="C2953" s="98" t="s">
        <v>245</v>
      </c>
      <c r="D2953" s="98" t="s">
        <v>276</v>
      </c>
      <c r="E2953" s="98" t="s">
        <v>244</v>
      </c>
      <c r="F2953" s="98">
        <v>76.22</v>
      </c>
    </row>
    <row r="2954" spans="1:6">
      <c r="A2954" s="6">
        <v>44255</v>
      </c>
      <c r="B2954" s="98" t="s">
        <v>275</v>
      </c>
      <c r="C2954" s="98" t="s">
        <v>264</v>
      </c>
      <c r="D2954" s="98" t="s">
        <v>276</v>
      </c>
      <c r="E2954" s="98" t="s">
        <v>244</v>
      </c>
      <c r="F2954" s="98">
        <v>518.53</v>
      </c>
    </row>
    <row r="2955" spans="1:6">
      <c r="A2955" s="6">
        <v>44255</v>
      </c>
      <c r="B2955" s="98" t="s">
        <v>275</v>
      </c>
      <c r="C2955" s="98" t="s">
        <v>271</v>
      </c>
      <c r="D2955" s="98" t="s">
        <v>276</v>
      </c>
      <c r="E2955" s="98" t="s">
        <v>244</v>
      </c>
      <c r="F2955" s="98">
        <v>54.93</v>
      </c>
    </row>
    <row r="2956" spans="1:6">
      <c r="A2956" s="6">
        <v>44255</v>
      </c>
      <c r="B2956" s="98" t="s">
        <v>275</v>
      </c>
      <c r="C2956" s="98" t="s">
        <v>254</v>
      </c>
      <c r="D2956" s="98" t="s">
        <v>276</v>
      </c>
      <c r="E2956" s="98" t="s">
        <v>244</v>
      </c>
      <c r="F2956" s="98">
        <v>222.29</v>
      </c>
    </row>
    <row r="2957" spans="1:6">
      <c r="A2957" s="6">
        <v>44255</v>
      </c>
      <c r="B2957" s="98" t="s">
        <v>275</v>
      </c>
      <c r="C2957" s="98" t="s">
        <v>285</v>
      </c>
      <c r="D2957" s="98" t="s">
        <v>276</v>
      </c>
      <c r="E2957" s="98" t="s">
        <v>247</v>
      </c>
      <c r="F2957" s="98">
        <v>8536.65</v>
      </c>
    </row>
    <row r="2958" spans="1:6">
      <c r="A2958" s="6">
        <v>44255</v>
      </c>
      <c r="B2958" s="98" t="s">
        <v>275</v>
      </c>
      <c r="C2958" s="98" t="s">
        <v>280</v>
      </c>
      <c r="D2958" s="98" t="s">
        <v>276</v>
      </c>
      <c r="E2958" s="98" t="s">
        <v>247</v>
      </c>
      <c r="F2958" s="98">
        <v>8107.25</v>
      </c>
    </row>
    <row r="2959" spans="1:6">
      <c r="A2959" s="6">
        <v>44255</v>
      </c>
      <c r="B2959" s="98" t="s">
        <v>275</v>
      </c>
      <c r="C2959" s="98" t="s">
        <v>277</v>
      </c>
      <c r="D2959" s="98" t="s">
        <v>276</v>
      </c>
      <c r="E2959" s="98" t="s">
        <v>247</v>
      </c>
      <c r="F2959" s="98">
        <v>5417.79</v>
      </c>
    </row>
    <row r="2960" spans="1:6">
      <c r="A2960" s="6">
        <v>44255</v>
      </c>
      <c r="B2960" s="98" t="s">
        <v>275</v>
      </c>
      <c r="C2960" s="98" t="s">
        <v>256</v>
      </c>
      <c r="D2960" s="98" t="s">
        <v>276</v>
      </c>
      <c r="E2960" s="98" t="s">
        <v>247</v>
      </c>
      <c r="F2960" s="98">
        <v>2185.62</v>
      </c>
    </row>
    <row r="2961" spans="1:6">
      <c r="A2961" s="6">
        <v>44255</v>
      </c>
      <c r="B2961" s="98" t="s">
        <v>275</v>
      </c>
      <c r="C2961" s="98" t="s">
        <v>279</v>
      </c>
      <c r="D2961" s="98" t="s">
        <v>276</v>
      </c>
      <c r="E2961" s="98" t="s">
        <v>247</v>
      </c>
      <c r="F2961" s="98">
        <v>11311.47</v>
      </c>
    </row>
    <row r="2962" spans="1:6">
      <c r="A2962" s="6">
        <v>44255</v>
      </c>
      <c r="B2962" s="98" t="s">
        <v>275</v>
      </c>
      <c r="C2962" s="98" t="s">
        <v>248</v>
      </c>
      <c r="D2962" s="98" t="s">
        <v>276</v>
      </c>
      <c r="E2962" s="98" t="s">
        <v>247</v>
      </c>
      <c r="F2962" s="98">
        <v>10534.72</v>
      </c>
    </row>
    <row r="2963" spans="1:6">
      <c r="A2963" s="6">
        <v>44255</v>
      </c>
      <c r="B2963" s="98" t="s">
        <v>275</v>
      </c>
      <c r="C2963" s="98" t="s">
        <v>282</v>
      </c>
      <c r="D2963" s="98" t="s">
        <v>276</v>
      </c>
      <c r="E2963" s="98" t="s">
        <v>247</v>
      </c>
      <c r="F2963" s="98">
        <v>3623.54</v>
      </c>
    </row>
    <row r="2964" spans="1:6">
      <c r="A2964" s="6">
        <v>44255</v>
      </c>
      <c r="B2964" s="98" t="s">
        <v>287</v>
      </c>
      <c r="C2964" s="98" t="s">
        <v>259</v>
      </c>
      <c r="D2964" s="98" t="s">
        <v>288</v>
      </c>
      <c r="E2964" s="98" t="s">
        <v>258</v>
      </c>
      <c r="F2964" s="98">
        <v>8805.3799999999992</v>
      </c>
    </row>
    <row r="2965" spans="1:6">
      <c r="A2965" s="6">
        <v>44255</v>
      </c>
      <c r="B2965" s="98" t="s">
        <v>287</v>
      </c>
      <c r="C2965" s="98" t="s">
        <v>266</v>
      </c>
      <c r="D2965" s="98" t="s">
        <v>288</v>
      </c>
      <c r="E2965" s="98" t="s">
        <v>258</v>
      </c>
      <c r="F2965" s="98">
        <v>224353.32</v>
      </c>
    </row>
    <row r="2966" spans="1:6">
      <c r="A2966" s="6">
        <v>44255</v>
      </c>
      <c r="B2966" s="98" t="s">
        <v>287</v>
      </c>
      <c r="C2966" s="98" t="s">
        <v>257</v>
      </c>
      <c r="D2966" s="98" t="s">
        <v>288</v>
      </c>
      <c r="E2966" s="98" t="s">
        <v>258</v>
      </c>
      <c r="F2966" s="98">
        <v>25319.48</v>
      </c>
    </row>
    <row r="2967" spans="1:6">
      <c r="A2967" s="6">
        <v>44255</v>
      </c>
      <c r="B2967" s="98" t="s">
        <v>287</v>
      </c>
      <c r="C2967" s="98" t="s">
        <v>255</v>
      </c>
      <c r="D2967" s="98" t="s">
        <v>288</v>
      </c>
      <c r="E2967" s="98" t="s">
        <v>247</v>
      </c>
      <c r="F2967" s="98">
        <v>2474.98</v>
      </c>
    </row>
    <row r="2968" spans="1:6">
      <c r="A2968" s="6">
        <v>44255</v>
      </c>
      <c r="B2968" s="98" t="s">
        <v>287</v>
      </c>
      <c r="C2968" s="98" t="s">
        <v>278</v>
      </c>
      <c r="D2968" s="98" t="s">
        <v>288</v>
      </c>
      <c r="E2968" s="98" t="s">
        <v>247</v>
      </c>
      <c r="F2968" s="98">
        <v>6112.09</v>
      </c>
    </row>
    <row r="2969" spans="1:6">
      <c r="A2969" s="6">
        <v>44255</v>
      </c>
      <c r="B2969" s="98" t="s">
        <v>287</v>
      </c>
      <c r="C2969" s="98" t="s">
        <v>290</v>
      </c>
      <c r="D2969" s="98" t="s">
        <v>288</v>
      </c>
      <c r="E2969" s="98" t="s">
        <v>247</v>
      </c>
      <c r="F2969" s="98">
        <v>567.78</v>
      </c>
    </row>
    <row r="2970" spans="1:6">
      <c r="A2970" s="6">
        <v>44255</v>
      </c>
      <c r="B2970" s="98" t="s">
        <v>287</v>
      </c>
      <c r="C2970" s="98" t="s">
        <v>246</v>
      </c>
      <c r="D2970" s="98" t="s">
        <v>288</v>
      </c>
      <c r="E2970" s="98" t="s">
        <v>247</v>
      </c>
      <c r="F2970" s="98">
        <v>2821.81</v>
      </c>
    </row>
    <row r="2971" spans="1:6">
      <c r="A2971" s="6">
        <v>44255</v>
      </c>
      <c r="B2971" s="98" t="s">
        <v>287</v>
      </c>
      <c r="C2971" s="98" t="s">
        <v>265</v>
      </c>
      <c r="D2971" s="98" t="s">
        <v>288</v>
      </c>
      <c r="E2971" s="98" t="s">
        <v>247</v>
      </c>
      <c r="F2971" s="98">
        <v>1699.27</v>
      </c>
    </row>
    <row r="2972" spans="1:6">
      <c r="A2972" s="6">
        <v>44255</v>
      </c>
      <c r="B2972" s="98" t="s">
        <v>287</v>
      </c>
      <c r="C2972" s="98" t="s">
        <v>289</v>
      </c>
      <c r="D2972" s="98" t="s">
        <v>288</v>
      </c>
      <c r="E2972" s="98" t="s">
        <v>247</v>
      </c>
      <c r="F2972" s="98">
        <v>287.86</v>
      </c>
    </row>
    <row r="2973" spans="1:6">
      <c r="A2973" s="6">
        <v>44255</v>
      </c>
      <c r="B2973" s="98" t="s">
        <v>287</v>
      </c>
      <c r="C2973" s="98" t="s">
        <v>272</v>
      </c>
      <c r="D2973" s="98" t="s">
        <v>288</v>
      </c>
      <c r="E2973" s="98" t="s">
        <v>247</v>
      </c>
      <c r="F2973" s="98">
        <v>684.46</v>
      </c>
    </row>
    <row r="2974" spans="1:6">
      <c r="A2974" s="6">
        <v>44255</v>
      </c>
      <c r="B2974" s="98" t="s">
        <v>287</v>
      </c>
      <c r="C2974" s="98" t="s">
        <v>560</v>
      </c>
      <c r="D2974" s="98" t="s">
        <v>288</v>
      </c>
      <c r="E2974" s="98" t="s">
        <v>247</v>
      </c>
      <c r="F2974" s="98">
        <v>1022.23</v>
      </c>
    </row>
    <row r="2975" spans="1:6">
      <c r="A2975" s="6">
        <v>44255</v>
      </c>
      <c r="B2975" s="98" t="s">
        <v>287</v>
      </c>
      <c r="C2975" s="98" t="s">
        <v>260</v>
      </c>
      <c r="D2975" s="98" t="s">
        <v>288</v>
      </c>
      <c r="E2975" s="98" t="s">
        <v>258</v>
      </c>
      <c r="F2975" s="98">
        <v>8935.8700000000008</v>
      </c>
    </row>
    <row r="2976" spans="1:6">
      <c r="A2976" s="6">
        <v>44255</v>
      </c>
      <c r="B2976" s="98" t="s">
        <v>287</v>
      </c>
      <c r="C2976" s="98" t="s">
        <v>249</v>
      </c>
      <c r="D2976" s="98" t="s">
        <v>288</v>
      </c>
      <c r="E2976" s="98" t="s">
        <v>247</v>
      </c>
      <c r="F2976" s="98">
        <v>2685.04</v>
      </c>
    </row>
    <row r="2977" spans="1:6">
      <c r="A2977" s="6">
        <v>44255</v>
      </c>
      <c r="B2977" s="98" t="s">
        <v>287</v>
      </c>
      <c r="C2977" s="98" t="s">
        <v>242</v>
      </c>
      <c r="D2977" s="98" t="s">
        <v>288</v>
      </c>
      <c r="E2977" s="98" t="s">
        <v>244</v>
      </c>
      <c r="F2977" s="98">
        <v>1653.72</v>
      </c>
    </row>
    <row r="2978" spans="1:6">
      <c r="A2978" s="6">
        <v>44255</v>
      </c>
      <c r="B2978" s="98" t="s">
        <v>287</v>
      </c>
      <c r="C2978" s="98" t="s">
        <v>262</v>
      </c>
      <c r="D2978" s="98" t="s">
        <v>288</v>
      </c>
      <c r="E2978" s="98" t="s">
        <v>244</v>
      </c>
      <c r="F2978" s="98">
        <v>10511.18</v>
      </c>
    </row>
    <row r="2979" spans="1:6">
      <c r="A2979" s="6">
        <v>44255</v>
      </c>
      <c r="B2979" s="98" t="s">
        <v>287</v>
      </c>
      <c r="C2979" s="98" t="s">
        <v>251</v>
      </c>
      <c r="D2979" s="98" t="s">
        <v>288</v>
      </c>
      <c r="E2979" s="98" t="s">
        <v>244</v>
      </c>
      <c r="F2979" s="98">
        <v>69.819999999999993</v>
      </c>
    </row>
    <row r="2980" spans="1:6">
      <c r="A2980" s="6">
        <v>44255</v>
      </c>
      <c r="B2980" s="98" t="s">
        <v>287</v>
      </c>
      <c r="C2980" s="98" t="s">
        <v>253</v>
      </c>
      <c r="D2980" s="98" t="s">
        <v>288</v>
      </c>
      <c r="E2980" s="98" t="s">
        <v>244</v>
      </c>
      <c r="F2980" s="98">
        <v>35.729999999999997</v>
      </c>
    </row>
    <row r="2981" spans="1:6">
      <c r="A2981" s="6">
        <v>44255</v>
      </c>
      <c r="B2981" s="98" t="s">
        <v>287</v>
      </c>
      <c r="C2981" s="98" t="s">
        <v>245</v>
      </c>
      <c r="D2981" s="98" t="s">
        <v>288</v>
      </c>
      <c r="E2981" s="98" t="s">
        <v>244</v>
      </c>
      <c r="F2981" s="98">
        <v>3705.15</v>
      </c>
    </row>
    <row r="2982" spans="1:6">
      <c r="A2982" s="6">
        <v>44255</v>
      </c>
      <c r="B2982" s="98" t="s">
        <v>287</v>
      </c>
      <c r="C2982" s="98" t="s">
        <v>264</v>
      </c>
      <c r="D2982" s="98" t="s">
        <v>288</v>
      </c>
      <c r="E2982" s="98" t="s">
        <v>244</v>
      </c>
      <c r="F2982" s="98">
        <v>1003.27</v>
      </c>
    </row>
    <row r="2983" spans="1:6">
      <c r="A2983" s="6">
        <v>44255</v>
      </c>
      <c r="B2983" s="98" t="s">
        <v>287</v>
      </c>
      <c r="C2983" s="98" t="s">
        <v>271</v>
      </c>
      <c r="D2983" s="98" t="s">
        <v>288</v>
      </c>
      <c r="E2983" s="98" t="s">
        <v>244</v>
      </c>
      <c r="F2983" s="98">
        <v>18.48</v>
      </c>
    </row>
    <row r="2984" spans="1:6">
      <c r="A2984" s="6">
        <v>44255</v>
      </c>
      <c r="B2984" s="98" t="s">
        <v>287</v>
      </c>
      <c r="C2984" s="98" t="s">
        <v>254</v>
      </c>
      <c r="D2984" s="98" t="s">
        <v>288</v>
      </c>
      <c r="E2984" s="98" t="s">
        <v>244</v>
      </c>
      <c r="F2984" s="98">
        <v>827.97</v>
      </c>
    </row>
    <row r="2985" spans="1:6">
      <c r="A2985" s="6">
        <v>44255</v>
      </c>
      <c r="B2985" s="98" t="s">
        <v>287</v>
      </c>
      <c r="C2985" s="98" t="s">
        <v>293</v>
      </c>
      <c r="D2985" s="98" t="s">
        <v>288</v>
      </c>
      <c r="E2985" s="98" t="s">
        <v>247</v>
      </c>
      <c r="F2985" s="98">
        <v>1428.5</v>
      </c>
    </row>
    <row r="2986" spans="1:6">
      <c r="A2986" s="6">
        <v>44255</v>
      </c>
      <c r="B2986" s="98" t="s">
        <v>287</v>
      </c>
      <c r="C2986" s="98" t="s">
        <v>277</v>
      </c>
      <c r="D2986" s="98" t="s">
        <v>288</v>
      </c>
      <c r="E2986" s="98" t="s">
        <v>247</v>
      </c>
      <c r="F2986" s="98">
        <v>2296.1799999999998</v>
      </c>
    </row>
    <row r="2987" spans="1:6">
      <c r="A2987" s="6">
        <v>44255</v>
      </c>
      <c r="B2987" s="98" t="s">
        <v>287</v>
      </c>
      <c r="C2987" s="98" t="s">
        <v>291</v>
      </c>
      <c r="D2987" s="98" t="s">
        <v>288</v>
      </c>
      <c r="E2987" s="98" t="s">
        <v>247</v>
      </c>
      <c r="F2987" s="98">
        <v>13902.39</v>
      </c>
    </row>
    <row r="2988" spans="1:6">
      <c r="A2988" s="6">
        <v>44255</v>
      </c>
      <c r="B2988" s="98" t="s">
        <v>287</v>
      </c>
      <c r="C2988" s="98" t="s">
        <v>256</v>
      </c>
      <c r="D2988" s="98" t="s">
        <v>288</v>
      </c>
      <c r="E2988" s="98" t="s">
        <v>247</v>
      </c>
      <c r="F2988" s="98">
        <v>1109.9100000000001</v>
      </c>
    </row>
    <row r="2989" spans="1:6">
      <c r="A2989" s="6">
        <v>44255</v>
      </c>
      <c r="B2989" s="98" t="s">
        <v>287</v>
      </c>
      <c r="C2989" s="98" t="s">
        <v>274</v>
      </c>
      <c r="D2989" s="98" t="s">
        <v>288</v>
      </c>
      <c r="E2989" s="98" t="s">
        <v>247</v>
      </c>
      <c r="F2989" s="98">
        <v>4709.4799999999996</v>
      </c>
    </row>
    <row r="2990" spans="1:6">
      <c r="A2990" s="6">
        <v>44255</v>
      </c>
      <c r="B2990" s="98" t="s">
        <v>296</v>
      </c>
      <c r="C2990" s="98" t="s">
        <v>266</v>
      </c>
      <c r="D2990" s="98" t="s">
        <v>297</v>
      </c>
      <c r="E2990" s="98" t="s">
        <v>258</v>
      </c>
      <c r="F2990" s="98">
        <v>15573.8</v>
      </c>
    </row>
    <row r="2991" spans="1:6">
      <c r="A2991" s="6">
        <v>44255</v>
      </c>
      <c r="B2991" s="98" t="s">
        <v>296</v>
      </c>
      <c r="C2991" s="98" t="s">
        <v>255</v>
      </c>
      <c r="D2991" s="98" t="s">
        <v>297</v>
      </c>
      <c r="E2991" s="98" t="s">
        <v>247</v>
      </c>
      <c r="F2991" s="98">
        <v>194.38</v>
      </c>
    </row>
    <row r="2992" spans="1:6">
      <c r="A2992" s="6">
        <v>44255</v>
      </c>
      <c r="B2992" s="98" t="s">
        <v>296</v>
      </c>
      <c r="C2992" s="98" t="s">
        <v>299</v>
      </c>
      <c r="D2992" s="98" t="s">
        <v>297</v>
      </c>
      <c r="E2992" s="98" t="s">
        <v>247</v>
      </c>
      <c r="F2992" s="98">
        <v>1911.5</v>
      </c>
    </row>
    <row r="2993" spans="1:6">
      <c r="A2993" s="6">
        <v>44255</v>
      </c>
      <c r="B2993" s="98" t="s">
        <v>296</v>
      </c>
      <c r="C2993" s="98" t="s">
        <v>290</v>
      </c>
      <c r="D2993" s="98" t="s">
        <v>297</v>
      </c>
      <c r="E2993" s="98" t="s">
        <v>247</v>
      </c>
      <c r="F2993" s="98">
        <v>394.77</v>
      </c>
    </row>
    <row r="2994" spans="1:6">
      <c r="A2994" s="6">
        <v>44255</v>
      </c>
      <c r="B2994" s="98" t="s">
        <v>296</v>
      </c>
      <c r="C2994" s="98" t="s">
        <v>246</v>
      </c>
      <c r="D2994" s="98" t="s">
        <v>297</v>
      </c>
      <c r="E2994" s="98" t="s">
        <v>247</v>
      </c>
      <c r="F2994" s="98">
        <v>1502.09</v>
      </c>
    </row>
    <row r="2995" spans="1:6">
      <c r="A2995" s="6">
        <v>44255</v>
      </c>
      <c r="B2995" s="98" t="s">
        <v>296</v>
      </c>
      <c r="C2995" s="98" t="s">
        <v>265</v>
      </c>
      <c r="D2995" s="98" t="s">
        <v>297</v>
      </c>
      <c r="E2995" s="98" t="s">
        <v>247</v>
      </c>
      <c r="F2995" s="98">
        <v>109.63</v>
      </c>
    </row>
    <row r="2996" spans="1:6">
      <c r="A2996" s="6">
        <v>44255</v>
      </c>
      <c r="B2996" s="98" t="s">
        <v>296</v>
      </c>
      <c r="C2996" s="98" t="s">
        <v>289</v>
      </c>
      <c r="D2996" s="98" t="s">
        <v>297</v>
      </c>
      <c r="E2996" s="98" t="s">
        <v>247</v>
      </c>
      <c r="F2996" s="98">
        <v>4340.43</v>
      </c>
    </row>
    <row r="2997" spans="1:6">
      <c r="A2997" s="6">
        <v>44255</v>
      </c>
      <c r="B2997" s="98" t="s">
        <v>296</v>
      </c>
      <c r="C2997" s="98" t="s">
        <v>272</v>
      </c>
      <c r="D2997" s="98" t="s">
        <v>297</v>
      </c>
      <c r="E2997" s="98" t="s">
        <v>247</v>
      </c>
      <c r="F2997" s="98">
        <v>13.16</v>
      </c>
    </row>
    <row r="2998" spans="1:6">
      <c r="A2998" s="6">
        <v>44255</v>
      </c>
      <c r="B2998" s="98" t="s">
        <v>296</v>
      </c>
      <c r="C2998" s="98" t="s">
        <v>560</v>
      </c>
      <c r="D2998" s="98" t="s">
        <v>297</v>
      </c>
      <c r="E2998" s="98" t="s">
        <v>247</v>
      </c>
      <c r="F2998" s="98">
        <v>87.65</v>
      </c>
    </row>
    <row r="2999" spans="1:6">
      <c r="A2999" s="6">
        <v>44255</v>
      </c>
      <c r="B2999" s="98" t="s">
        <v>296</v>
      </c>
      <c r="C2999" s="98" t="s">
        <v>260</v>
      </c>
      <c r="D2999" s="98" t="s">
        <v>297</v>
      </c>
      <c r="E2999" s="98" t="s">
        <v>258</v>
      </c>
      <c r="F2999" s="98">
        <v>4706.62</v>
      </c>
    </row>
    <row r="3000" spans="1:6">
      <c r="A3000" s="6">
        <v>44255</v>
      </c>
      <c r="B3000" s="98" t="s">
        <v>296</v>
      </c>
      <c r="C3000" s="98" t="s">
        <v>249</v>
      </c>
      <c r="D3000" s="98" t="s">
        <v>297</v>
      </c>
      <c r="E3000" s="98" t="s">
        <v>247</v>
      </c>
      <c r="F3000" s="98">
        <v>1865.02</v>
      </c>
    </row>
    <row r="3001" spans="1:6">
      <c r="A3001" s="6">
        <v>44255</v>
      </c>
      <c r="B3001" s="98" t="s">
        <v>296</v>
      </c>
      <c r="C3001" s="98" t="s">
        <v>242</v>
      </c>
      <c r="D3001" s="98" t="s">
        <v>297</v>
      </c>
      <c r="E3001" s="98" t="s">
        <v>244</v>
      </c>
      <c r="F3001" s="98">
        <v>397.18</v>
      </c>
    </row>
    <row r="3002" spans="1:6">
      <c r="A3002" s="6">
        <v>44255</v>
      </c>
      <c r="B3002" s="98" t="s">
        <v>296</v>
      </c>
      <c r="C3002" s="98" t="s">
        <v>262</v>
      </c>
      <c r="D3002" s="98" t="s">
        <v>297</v>
      </c>
      <c r="E3002" s="98" t="s">
        <v>244</v>
      </c>
      <c r="F3002" s="98">
        <v>3037.55</v>
      </c>
    </row>
    <row r="3003" spans="1:6">
      <c r="A3003" s="6">
        <v>44255</v>
      </c>
      <c r="B3003" s="98" t="s">
        <v>296</v>
      </c>
      <c r="C3003" s="98" t="s">
        <v>251</v>
      </c>
      <c r="D3003" s="98" t="s">
        <v>297</v>
      </c>
      <c r="E3003" s="98" t="s">
        <v>244</v>
      </c>
      <c r="F3003" s="98">
        <v>137.37</v>
      </c>
    </row>
    <row r="3004" spans="1:6">
      <c r="A3004" s="6">
        <v>44255</v>
      </c>
      <c r="B3004" s="98" t="s">
        <v>296</v>
      </c>
      <c r="C3004" s="98" t="s">
        <v>253</v>
      </c>
      <c r="D3004" s="98" t="s">
        <v>297</v>
      </c>
      <c r="E3004" s="98" t="s">
        <v>244</v>
      </c>
      <c r="F3004" s="98">
        <v>97.96</v>
      </c>
    </row>
    <row r="3005" spans="1:6">
      <c r="A3005" s="6">
        <v>44255</v>
      </c>
      <c r="B3005" s="98" t="s">
        <v>296</v>
      </c>
      <c r="C3005" s="98" t="s">
        <v>245</v>
      </c>
      <c r="D3005" s="98" t="s">
        <v>297</v>
      </c>
      <c r="E3005" s="98" t="s">
        <v>244</v>
      </c>
      <c r="F3005" s="98">
        <v>1461.6</v>
      </c>
    </row>
    <row r="3006" spans="1:6">
      <c r="A3006" s="6">
        <v>44255</v>
      </c>
      <c r="B3006" s="98" t="s">
        <v>296</v>
      </c>
      <c r="C3006" s="98" t="s">
        <v>264</v>
      </c>
      <c r="D3006" s="98" t="s">
        <v>297</v>
      </c>
      <c r="E3006" s="98" t="s">
        <v>244</v>
      </c>
      <c r="F3006" s="98">
        <v>542.64</v>
      </c>
    </row>
    <row r="3007" spans="1:6">
      <c r="A3007" s="6">
        <v>44255</v>
      </c>
      <c r="B3007" s="98" t="s">
        <v>296</v>
      </c>
      <c r="C3007" s="98" t="s">
        <v>271</v>
      </c>
      <c r="D3007" s="98" t="s">
        <v>297</v>
      </c>
      <c r="E3007" s="98" t="s">
        <v>244</v>
      </c>
      <c r="F3007" s="98">
        <v>5.0199999999999996</v>
      </c>
    </row>
    <row r="3008" spans="1:6">
      <c r="A3008" s="6">
        <v>44255</v>
      </c>
      <c r="B3008" s="98" t="s">
        <v>296</v>
      </c>
      <c r="C3008" s="98" t="s">
        <v>254</v>
      </c>
      <c r="D3008" s="98" t="s">
        <v>297</v>
      </c>
      <c r="E3008" s="98" t="s">
        <v>244</v>
      </c>
      <c r="F3008" s="98">
        <v>474.75</v>
      </c>
    </row>
    <row r="3009" spans="1:6">
      <c r="A3009" s="6">
        <v>44255</v>
      </c>
      <c r="B3009" s="98" t="s">
        <v>296</v>
      </c>
      <c r="C3009" s="98" t="s">
        <v>280</v>
      </c>
      <c r="D3009" s="98" t="s">
        <v>297</v>
      </c>
      <c r="E3009" s="98" t="s">
        <v>247</v>
      </c>
      <c r="F3009" s="98">
        <v>1224.02</v>
      </c>
    </row>
    <row r="3010" spans="1:6">
      <c r="A3010" s="6">
        <v>44255</v>
      </c>
      <c r="B3010" s="98" t="s">
        <v>296</v>
      </c>
      <c r="C3010" s="98" t="s">
        <v>277</v>
      </c>
      <c r="D3010" s="98" t="s">
        <v>297</v>
      </c>
      <c r="E3010" s="98" t="s">
        <v>247</v>
      </c>
      <c r="F3010" s="98">
        <v>1590.14</v>
      </c>
    </row>
    <row r="3011" spans="1:6">
      <c r="A3011" s="6">
        <v>44255</v>
      </c>
      <c r="B3011" s="98" t="s">
        <v>296</v>
      </c>
      <c r="C3011" s="98" t="s">
        <v>298</v>
      </c>
      <c r="D3011" s="98" t="s">
        <v>297</v>
      </c>
      <c r="E3011" s="98" t="s">
        <v>247</v>
      </c>
      <c r="F3011" s="98">
        <v>4898.84</v>
      </c>
    </row>
    <row r="3012" spans="1:6">
      <c r="A3012" s="6">
        <v>44255</v>
      </c>
      <c r="B3012" s="98" t="s">
        <v>296</v>
      </c>
      <c r="C3012" s="98" t="s">
        <v>291</v>
      </c>
      <c r="D3012" s="98" t="s">
        <v>297</v>
      </c>
      <c r="E3012" s="98" t="s">
        <v>247</v>
      </c>
      <c r="F3012" s="98">
        <v>8167.26</v>
      </c>
    </row>
    <row r="3013" spans="1:6">
      <c r="A3013" s="6">
        <v>44255</v>
      </c>
      <c r="B3013" s="98" t="s">
        <v>296</v>
      </c>
      <c r="C3013" s="98" t="s">
        <v>248</v>
      </c>
      <c r="D3013" s="98" t="s">
        <v>297</v>
      </c>
      <c r="E3013" s="98" t="s">
        <v>247</v>
      </c>
      <c r="F3013" s="98">
        <v>2891.24</v>
      </c>
    </row>
    <row r="3014" spans="1:6">
      <c r="A3014" s="6">
        <v>44255</v>
      </c>
      <c r="B3014" s="98" t="s">
        <v>296</v>
      </c>
      <c r="C3014" s="98" t="s">
        <v>274</v>
      </c>
      <c r="D3014" s="98" t="s">
        <v>297</v>
      </c>
      <c r="E3014" s="98" t="s">
        <v>247</v>
      </c>
      <c r="F3014" s="98">
        <v>3782.57</v>
      </c>
    </row>
    <row r="3015" spans="1:6">
      <c r="A3015" s="6">
        <v>44255</v>
      </c>
      <c r="B3015" s="98" t="s">
        <v>300</v>
      </c>
      <c r="C3015" s="98" t="s">
        <v>303</v>
      </c>
      <c r="D3015" s="98" t="s">
        <v>302</v>
      </c>
      <c r="E3015" s="98" t="s">
        <v>247</v>
      </c>
      <c r="F3015" s="98">
        <v>3540.07</v>
      </c>
    </row>
    <row r="3016" spans="1:6">
      <c r="A3016" s="6">
        <v>44255</v>
      </c>
      <c r="B3016" s="98" t="s">
        <v>300</v>
      </c>
      <c r="C3016" s="98" t="s">
        <v>301</v>
      </c>
      <c r="D3016" s="98" t="s">
        <v>302</v>
      </c>
      <c r="E3016" s="98" t="s">
        <v>247</v>
      </c>
      <c r="F3016" s="98">
        <v>13275.25</v>
      </c>
    </row>
    <row r="3017" spans="1:6">
      <c r="A3017" s="6">
        <v>44255</v>
      </c>
      <c r="B3017" s="98" t="s">
        <v>304</v>
      </c>
      <c r="C3017" s="98" t="s">
        <v>262</v>
      </c>
      <c r="D3017" s="98" t="s">
        <v>305</v>
      </c>
      <c r="E3017" s="98" t="s">
        <v>244</v>
      </c>
      <c r="F3017" s="98">
        <v>231.26</v>
      </c>
    </row>
    <row r="3018" spans="1:6">
      <c r="A3018" s="6">
        <v>44255</v>
      </c>
      <c r="B3018" s="98" t="s">
        <v>304</v>
      </c>
      <c r="C3018" s="98" t="s">
        <v>245</v>
      </c>
      <c r="D3018" s="98" t="s">
        <v>305</v>
      </c>
      <c r="E3018" s="98" t="s">
        <v>244</v>
      </c>
      <c r="F3018" s="98">
        <v>160.78</v>
      </c>
    </row>
    <row r="3019" spans="1:6">
      <c r="A3019" s="6">
        <v>44255</v>
      </c>
      <c r="B3019" s="98" t="s">
        <v>306</v>
      </c>
      <c r="C3019" s="98" t="s">
        <v>242</v>
      </c>
      <c r="D3019" s="98" t="s">
        <v>307</v>
      </c>
      <c r="E3019" s="98" t="s">
        <v>244</v>
      </c>
      <c r="F3019" s="98">
        <v>19.010000000000002</v>
      </c>
    </row>
    <row r="3020" spans="1:6">
      <c r="A3020" s="6">
        <v>44255</v>
      </c>
      <c r="B3020" s="98" t="s">
        <v>306</v>
      </c>
      <c r="C3020" s="98" t="s">
        <v>262</v>
      </c>
      <c r="D3020" s="98" t="s">
        <v>307</v>
      </c>
      <c r="E3020" s="98" t="s">
        <v>244</v>
      </c>
      <c r="F3020" s="98">
        <v>101.85</v>
      </c>
    </row>
    <row r="3021" spans="1:6">
      <c r="A3021" s="6">
        <v>44255</v>
      </c>
      <c r="B3021" s="98" t="s">
        <v>306</v>
      </c>
      <c r="C3021" s="98" t="s">
        <v>245</v>
      </c>
      <c r="D3021" s="98" t="s">
        <v>307</v>
      </c>
      <c r="E3021" s="98" t="s">
        <v>244</v>
      </c>
      <c r="F3021" s="98">
        <v>30.67</v>
      </c>
    </row>
    <row r="3022" spans="1:6">
      <c r="A3022" s="6">
        <v>44255</v>
      </c>
      <c r="B3022" s="98" t="s">
        <v>306</v>
      </c>
      <c r="C3022" s="98" t="s">
        <v>264</v>
      </c>
      <c r="D3022" s="98" t="s">
        <v>307</v>
      </c>
      <c r="E3022" s="98" t="s">
        <v>244</v>
      </c>
      <c r="F3022" s="98">
        <v>8.98</v>
      </c>
    </row>
    <row r="3023" spans="1:6">
      <c r="A3023" s="6">
        <v>44255</v>
      </c>
      <c r="B3023" s="98" t="s">
        <v>310</v>
      </c>
      <c r="C3023" s="98" t="s">
        <v>265</v>
      </c>
      <c r="D3023" s="98" t="s">
        <v>311</v>
      </c>
      <c r="E3023" s="98" t="s">
        <v>247</v>
      </c>
      <c r="F3023" s="98">
        <v>1546.38</v>
      </c>
    </row>
    <row r="3024" spans="1:6">
      <c r="A3024" s="6">
        <v>44255</v>
      </c>
      <c r="B3024" s="98" t="s">
        <v>310</v>
      </c>
      <c r="C3024" s="98" t="s">
        <v>262</v>
      </c>
      <c r="D3024" s="98" t="s">
        <v>311</v>
      </c>
      <c r="E3024" s="98" t="s">
        <v>244</v>
      </c>
      <c r="F3024" s="98">
        <v>75.09</v>
      </c>
    </row>
    <row r="3025" spans="1:6">
      <c r="A3025" s="6">
        <v>44255</v>
      </c>
      <c r="B3025" s="98" t="s">
        <v>310</v>
      </c>
      <c r="C3025" s="98" t="s">
        <v>245</v>
      </c>
      <c r="D3025" s="98" t="s">
        <v>311</v>
      </c>
      <c r="E3025" s="98" t="s">
        <v>244</v>
      </c>
      <c r="F3025" s="98">
        <v>61.68</v>
      </c>
    </row>
    <row r="3026" spans="1:6">
      <c r="A3026" s="6">
        <v>44255</v>
      </c>
      <c r="B3026" s="98" t="s">
        <v>310</v>
      </c>
      <c r="C3026" s="98" t="s">
        <v>271</v>
      </c>
      <c r="D3026" s="98" t="s">
        <v>311</v>
      </c>
      <c r="E3026" s="98" t="s">
        <v>244</v>
      </c>
      <c r="F3026" s="98">
        <v>14.43</v>
      </c>
    </row>
    <row r="3027" spans="1:6">
      <c r="A3027" s="6">
        <v>44255</v>
      </c>
      <c r="B3027" s="98" t="s">
        <v>310</v>
      </c>
      <c r="C3027" s="98" t="s">
        <v>254</v>
      </c>
      <c r="D3027" s="98" t="s">
        <v>311</v>
      </c>
      <c r="E3027" s="98" t="s">
        <v>244</v>
      </c>
      <c r="F3027" s="98">
        <v>63.48</v>
      </c>
    </row>
    <row r="3028" spans="1:6">
      <c r="A3028" s="6">
        <v>44255</v>
      </c>
      <c r="B3028" s="98" t="s">
        <v>310</v>
      </c>
      <c r="C3028" s="98" t="s">
        <v>277</v>
      </c>
      <c r="D3028" s="98" t="s">
        <v>311</v>
      </c>
      <c r="E3028" s="98" t="s">
        <v>247</v>
      </c>
      <c r="F3028" s="98">
        <v>4405.04</v>
      </c>
    </row>
    <row r="3029" spans="1:6">
      <c r="A3029" s="6">
        <v>44255</v>
      </c>
      <c r="B3029" s="98" t="s">
        <v>310</v>
      </c>
      <c r="C3029" s="98" t="s">
        <v>248</v>
      </c>
      <c r="D3029" s="98" t="s">
        <v>311</v>
      </c>
      <c r="E3029" s="98" t="s">
        <v>247</v>
      </c>
      <c r="F3029" s="98">
        <v>4110.72</v>
      </c>
    </row>
    <row r="3030" spans="1:6">
      <c r="A3030" s="6">
        <v>44255</v>
      </c>
      <c r="B3030" s="98" t="s">
        <v>312</v>
      </c>
      <c r="C3030" s="98" t="s">
        <v>272</v>
      </c>
      <c r="D3030" s="98" t="s">
        <v>313</v>
      </c>
      <c r="E3030" s="98" t="s">
        <v>247</v>
      </c>
      <c r="F3030" s="98">
        <v>1556.2</v>
      </c>
    </row>
    <row r="3031" spans="1:6">
      <c r="A3031" s="6">
        <v>44255</v>
      </c>
      <c r="B3031" s="98" t="s">
        <v>312</v>
      </c>
      <c r="C3031" s="98" t="s">
        <v>242</v>
      </c>
      <c r="D3031" s="98" t="s">
        <v>313</v>
      </c>
      <c r="E3031" s="98" t="s">
        <v>244</v>
      </c>
      <c r="F3031" s="98">
        <v>161.80000000000001</v>
      </c>
    </row>
    <row r="3032" spans="1:6">
      <c r="A3032" s="6">
        <v>44255</v>
      </c>
      <c r="B3032" s="98" t="s">
        <v>312</v>
      </c>
      <c r="C3032" s="98" t="s">
        <v>262</v>
      </c>
      <c r="D3032" s="98" t="s">
        <v>313</v>
      </c>
      <c r="E3032" s="98" t="s">
        <v>244</v>
      </c>
      <c r="F3032" s="98">
        <v>30311.35</v>
      </c>
    </row>
    <row r="3033" spans="1:6">
      <c r="A3033" s="6">
        <v>44255</v>
      </c>
      <c r="B3033" s="98" t="s">
        <v>312</v>
      </c>
      <c r="C3033" s="98" t="s">
        <v>253</v>
      </c>
      <c r="D3033" s="98" t="s">
        <v>313</v>
      </c>
      <c r="E3033" s="98" t="s">
        <v>244</v>
      </c>
      <c r="F3033" s="98">
        <v>51.1</v>
      </c>
    </row>
    <row r="3034" spans="1:6">
      <c r="A3034" s="6">
        <v>44255</v>
      </c>
      <c r="B3034" s="98" t="s">
        <v>312</v>
      </c>
      <c r="C3034" s="98" t="s">
        <v>245</v>
      </c>
      <c r="D3034" s="98" t="s">
        <v>313</v>
      </c>
      <c r="E3034" s="98" t="s">
        <v>244</v>
      </c>
      <c r="F3034" s="98">
        <v>73.739999999999995</v>
      </c>
    </row>
    <row r="3035" spans="1:6">
      <c r="A3035" s="6">
        <v>44255</v>
      </c>
      <c r="B3035" s="98" t="s">
        <v>314</v>
      </c>
      <c r="C3035" s="98" t="s">
        <v>265</v>
      </c>
      <c r="D3035" s="98" t="s">
        <v>315</v>
      </c>
      <c r="E3035" s="98" t="s">
        <v>247</v>
      </c>
      <c r="F3035" s="98">
        <v>169.24</v>
      </c>
    </row>
    <row r="3036" spans="1:6">
      <c r="A3036" s="6">
        <v>44255</v>
      </c>
      <c r="B3036" s="98" t="s">
        <v>314</v>
      </c>
      <c r="C3036" s="98" t="s">
        <v>289</v>
      </c>
      <c r="D3036" s="98" t="s">
        <v>315</v>
      </c>
      <c r="E3036" s="98" t="s">
        <v>247</v>
      </c>
      <c r="F3036" s="98">
        <v>3225.17</v>
      </c>
    </row>
    <row r="3037" spans="1:6">
      <c r="A3037" s="6">
        <v>44255</v>
      </c>
      <c r="B3037" s="98" t="s">
        <v>314</v>
      </c>
      <c r="C3037" s="98" t="s">
        <v>242</v>
      </c>
      <c r="D3037" s="98" t="s">
        <v>315</v>
      </c>
      <c r="E3037" s="98" t="s">
        <v>244</v>
      </c>
      <c r="F3037" s="98">
        <v>5114.12</v>
      </c>
    </row>
    <row r="3038" spans="1:6">
      <c r="A3038" s="6">
        <v>44255</v>
      </c>
      <c r="B3038" s="98" t="s">
        <v>314</v>
      </c>
      <c r="C3038" s="98" t="s">
        <v>262</v>
      </c>
      <c r="D3038" s="98" t="s">
        <v>315</v>
      </c>
      <c r="E3038" s="98" t="s">
        <v>244</v>
      </c>
      <c r="F3038" s="98">
        <v>5936.24</v>
      </c>
    </row>
    <row r="3039" spans="1:6">
      <c r="A3039" s="6">
        <v>44255</v>
      </c>
      <c r="B3039" s="98" t="s">
        <v>314</v>
      </c>
      <c r="C3039" s="98" t="s">
        <v>245</v>
      </c>
      <c r="D3039" s="98" t="s">
        <v>315</v>
      </c>
      <c r="E3039" s="98" t="s">
        <v>244</v>
      </c>
      <c r="F3039" s="98">
        <v>57.04</v>
      </c>
    </row>
    <row r="3040" spans="1:6">
      <c r="A3040" s="6">
        <v>44255</v>
      </c>
      <c r="B3040" s="98" t="s">
        <v>316</v>
      </c>
      <c r="C3040" s="98" t="s">
        <v>262</v>
      </c>
      <c r="D3040" s="98" t="s">
        <v>317</v>
      </c>
      <c r="E3040" s="98" t="s">
        <v>244</v>
      </c>
      <c r="F3040" s="98">
        <v>342.53</v>
      </c>
    </row>
    <row r="3041" spans="1:6">
      <c r="A3041" s="6">
        <v>44255</v>
      </c>
      <c r="B3041" s="98" t="s">
        <v>316</v>
      </c>
      <c r="C3041" s="98" t="s">
        <v>245</v>
      </c>
      <c r="D3041" s="98" t="s">
        <v>317</v>
      </c>
      <c r="E3041" s="98" t="s">
        <v>244</v>
      </c>
      <c r="F3041" s="98">
        <v>165.38</v>
      </c>
    </row>
    <row r="3042" spans="1:6">
      <c r="A3042" s="6">
        <v>44255</v>
      </c>
      <c r="B3042" s="98" t="s">
        <v>316</v>
      </c>
      <c r="C3042" s="98" t="s">
        <v>254</v>
      </c>
      <c r="D3042" s="98" t="s">
        <v>317</v>
      </c>
      <c r="E3042" s="98" t="s">
        <v>244</v>
      </c>
      <c r="F3042" s="98">
        <v>36.74</v>
      </c>
    </row>
    <row r="3043" spans="1:6">
      <c r="A3043" s="6">
        <v>44255</v>
      </c>
      <c r="B3043" s="98" t="s">
        <v>318</v>
      </c>
      <c r="C3043" s="98" t="s">
        <v>255</v>
      </c>
      <c r="D3043" s="98" t="s">
        <v>319</v>
      </c>
      <c r="E3043" s="98" t="s">
        <v>247</v>
      </c>
      <c r="F3043" s="98">
        <v>3187.94</v>
      </c>
    </row>
    <row r="3044" spans="1:6">
      <c r="A3044" s="6">
        <v>44255</v>
      </c>
      <c r="B3044" s="98" t="s">
        <v>318</v>
      </c>
      <c r="C3044" s="98" t="s">
        <v>278</v>
      </c>
      <c r="D3044" s="98" t="s">
        <v>319</v>
      </c>
      <c r="E3044" s="98" t="s">
        <v>247</v>
      </c>
      <c r="F3044" s="98">
        <v>14168.96</v>
      </c>
    </row>
    <row r="3045" spans="1:6">
      <c r="A3045" s="6">
        <v>44255</v>
      </c>
      <c r="B3045" s="98" t="s">
        <v>318</v>
      </c>
      <c r="C3045" s="98" t="s">
        <v>246</v>
      </c>
      <c r="D3045" s="98" t="s">
        <v>319</v>
      </c>
      <c r="E3045" s="98" t="s">
        <v>247</v>
      </c>
      <c r="F3045" s="98">
        <v>4582.04</v>
      </c>
    </row>
    <row r="3046" spans="1:6">
      <c r="A3046" s="6">
        <v>44255</v>
      </c>
      <c r="B3046" s="98" t="s">
        <v>318</v>
      </c>
      <c r="C3046" s="98" t="s">
        <v>560</v>
      </c>
      <c r="D3046" s="98" t="s">
        <v>319</v>
      </c>
      <c r="E3046" s="98" t="s">
        <v>247</v>
      </c>
      <c r="F3046" s="98">
        <v>689.67</v>
      </c>
    </row>
    <row r="3047" spans="1:6">
      <c r="A3047" s="6">
        <v>44255</v>
      </c>
      <c r="B3047" s="98" t="s">
        <v>318</v>
      </c>
      <c r="C3047" s="98" t="s">
        <v>262</v>
      </c>
      <c r="D3047" s="98" t="s">
        <v>319</v>
      </c>
      <c r="E3047" s="98" t="s">
        <v>244</v>
      </c>
      <c r="F3047" s="98">
        <v>1838.06</v>
      </c>
    </row>
    <row r="3048" spans="1:6">
      <c r="A3048" s="6">
        <v>44255</v>
      </c>
      <c r="B3048" s="98" t="s">
        <v>318</v>
      </c>
      <c r="C3048" s="98" t="s">
        <v>251</v>
      </c>
      <c r="D3048" s="98" t="s">
        <v>319</v>
      </c>
      <c r="E3048" s="98" t="s">
        <v>244</v>
      </c>
      <c r="F3048" s="98">
        <v>3.8</v>
      </c>
    </row>
    <row r="3049" spans="1:6">
      <c r="A3049" s="6">
        <v>44255</v>
      </c>
      <c r="B3049" s="98" t="s">
        <v>318</v>
      </c>
      <c r="C3049" s="98" t="s">
        <v>253</v>
      </c>
      <c r="D3049" s="98" t="s">
        <v>319</v>
      </c>
      <c r="E3049" s="98" t="s">
        <v>244</v>
      </c>
      <c r="F3049" s="98">
        <v>197.83</v>
      </c>
    </row>
    <row r="3050" spans="1:6">
      <c r="A3050" s="6">
        <v>44255</v>
      </c>
      <c r="B3050" s="98" t="s">
        <v>318</v>
      </c>
      <c r="C3050" s="98" t="s">
        <v>245</v>
      </c>
      <c r="D3050" s="98" t="s">
        <v>319</v>
      </c>
      <c r="E3050" s="98" t="s">
        <v>244</v>
      </c>
      <c r="F3050" s="98">
        <v>788.27</v>
      </c>
    </row>
    <row r="3051" spans="1:6">
      <c r="A3051" s="6">
        <v>44255</v>
      </c>
      <c r="B3051" s="98" t="s">
        <v>318</v>
      </c>
      <c r="C3051" s="98" t="s">
        <v>264</v>
      </c>
      <c r="D3051" s="98" t="s">
        <v>319</v>
      </c>
      <c r="E3051" s="98" t="s">
        <v>244</v>
      </c>
      <c r="F3051" s="98">
        <v>735.99</v>
      </c>
    </row>
    <row r="3052" spans="1:6">
      <c r="A3052" s="6">
        <v>44255</v>
      </c>
      <c r="B3052" s="98" t="s">
        <v>318</v>
      </c>
      <c r="C3052" s="98" t="s">
        <v>271</v>
      </c>
      <c r="D3052" s="98" t="s">
        <v>319</v>
      </c>
      <c r="E3052" s="98" t="s">
        <v>244</v>
      </c>
      <c r="F3052" s="98">
        <v>58.4</v>
      </c>
    </row>
    <row r="3053" spans="1:6">
      <c r="A3053" s="6">
        <v>44255</v>
      </c>
      <c r="B3053" s="98" t="s">
        <v>318</v>
      </c>
      <c r="C3053" s="98" t="s">
        <v>254</v>
      </c>
      <c r="D3053" s="98" t="s">
        <v>319</v>
      </c>
      <c r="E3053" s="98" t="s">
        <v>244</v>
      </c>
      <c r="F3053" s="98">
        <v>807.58</v>
      </c>
    </row>
    <row r="3054" spans="1:6">
      <c r="A3054" s="6">
        <v>44255</v>
      </c>
      <c r="B3054" s="98" t="s">
        <v>318</v>
      </c>
      <c r="C3054" s="98" t="s">
        <v>277</v>
      </c>
      <c r="D3054" s="98" t="s">
        <v>319</v>
      </c>
      <c r="E3054" s="98" t="s">
        <v>247</v>
      </c>
      <c r="F3054" s="98">
        <v>243.06</v>
      </c>
    </row>
    <row r="3055" spans="1:6">
      <c r="A3055" s="6">
        <v>44255</v>
      </c>
      <c r="B3055" s="98" t="s">
        <v>320</v>
      </c>
      <c r="C3055" s="98" t="s">
        <v>255</v>
      </c>
      <c r="D3055" s="98" t="s">
        <v>321</v>
      </c>
      <c r="E3055" s="98" t="s">
        <v>247</v>
      </c>
      <c r="F3055" s="98">
        <v>2900.65</v>
      </c>
    </row>
    <row r="3056" spans="1:6">
      <c r="A3056" s="6">
        <v>44255</v>
      </c>
      <c r="B3056" s="98" t="s">
        <v>320</v>
      </c>
      <c r="C3056" s="98" t="s">
        <v>278</v>
      </c>
      <c r="D3056" s="98" t="s">
        <v>321</v>
      </c>
      <c r="E3056" s="98" t="s">
        <v>247</v>
      </c>
      <c r="F3056" s="98">
        <v>2299.1</v>
      </c>
    </row>
    <row r="3057" spans="1:6">
      <c r="A3057" s="6">
        <v>44255</v>
      </c>
      <c r="B3057" s="98" t="s">
        <v>320</v>
      </c>
      <c r="C3057" s="98" t="s">
        <v>242</v>
      </c>
      <c r="D3057" s="98" t="s">
        <v>321</v>
      </c>
      <c r="E3057" s="98" t="s">
        <v>244</v>
      </c>
      <c r="F3057" s="98">
        <v>2303.4299999999998</v>
      </c>
    </row>
    <row r="3058" spans="1:6">
      <c r="A3058" s="6">
        <v>44255</v>
      </c>
      <c r="B3058" s="98" t="s">
        <v>320</v>
      </c>
      <c r="C3058" s="98" t="s">
        <v>262</v>
      </c>
      <c r="D3058" s="98" t="s">
        <v>321</v>
      </c>
      <c r="E3058" s="98" t="s">
        <v>244</v>
      </c>
      <c r="F3058" s="98">
        <v>4901.17</v>
      </c>
    </row>
    <row r="3059" spans="1:6">
      <c r="A3059" s="6">
        <v>44255</v>
      </c>
      <c r="B3059" s="98" t="s">
        <v>320</v>
      </c>
      <c r="C3059" s="98" t="s">
        <v>253</v>
      </c>
      <c r="D3059" s="98" t="s">
        <v>321</v>
      </c>
      <c r="E3059" s="98" t="s">
        <v>244</v>
      </c>
      <c r="F3059" s="98">
        <v>55.61</v>
      </c>
    </row>
    <row r="3060" spans="1:6">
      <c r="A3060" s="6">
        <v>44255</v>
      </c>
      <c r="B3060" s="98" t="s">
        <v>320</v>
      </c>
      <c r="C3060" s="98" t="s">
        <v>245</v>
      </c>
      <c r="D3060" s="98" t="s">
        <v>321</v>
      </c>
      <c r="E3060" s="98" t="s">
        <v>244</v>
      </c>
      <c r="F3060" s="98">
        <v>741.82</v>
      </c>
    </row>
    <row r="3061" spans="1:6">
      <c r="A3061" s="6">
        <v>44255</v>
      </c>
      <c r="B3061" s="98" t="s">
        <v>320</v>
      </c>
      <c r="C3061" s="98" t="s">
        <v>264</v>
      </c>
      <c r="D3061" s="98" t="s">
        <v>321</v>
      </c>
      <c r="E3061" s="98" t="s">
        <v>244</v>
      </c>
      <c r="F3061" s="98">
        <v>963.63</v>
      </c>
    </row>
    <row r="3062" spans="1:6">
      <c r="A3062" s="6">
        <v>44255</v>
      </c>
      <c r="B3062" s="98" t="s">
        <v>320</v>
      </c>
      <c r="C3062" s="98" t="s">
        <v>271</v>
      </c>
      <c r="D3062" s="98" t="s">
        <v>321</v>
      </c>
      <c r="E3062" s="98" t="s">
        <v>244</v>
      </c>
      <c r="F3062" s="98">
        <v>13.26</v>
      </c>
    </row>
    <row r="3063" spans="1:6">
      <c r="A3063" s="6">
        <v>44255</v>
      </c>
      <c r="B3063" s="98" t="s">
        <v>320</v>
      </c>
      <c r="C3063" s="98" t="s">
        <v>254</v>
      </c>
      <c r="D3063" s="98" t="s">
        <v>321</v>
      </c>
      <c r="E3063" s="98" t="s">
        <v>244</v>
      </c>
      <c r="F3063" s="98">
        <v>95.47</v>
      </c>
    </row>
    <row r="3064" spans="1:6">
      <c r="A3064" s="6">
        <v>44255</v>
      </c>
      <c r="B3064" s="98" t="s">
        <v>320</v>
      </c>
      <c r="C3064" s="98" t="s">
        <v>277</v>
      </c>
      <c r="D3064" s="98" t="s">
        <v>321</v>
      </c>
      <c r="E3064" s="98" t="s">
        <v>247</v>
      </c>
      <c r="F3064" s="98">
        <v>14699.48</v>
      </c>
    </row>
    <row r="3065" spans="1:6">
      <c r="A3065" s="6">
        <v>44255</v>
      </c>
      <c r="B3065" s="98" t="s">
        <v>320</v>
      </c>
      <c r="C3065" s="98" t="s">
        <v>256</v>
      </c>
      <c r="D3065" s="98" t="s">
        <v>321</v>
      </c>
      <c r="E3065" s="98" t="s">
        <v>247</v>
      </c>
      <c r="F3065" s="98">
        <v>8717.4699999999993</v>
      </c>
    </row>
    <row r="3066" spans="1:6">
      <c r="A3066" s="6">
        <v>44255</v>
      </c>
      <c r="B3066" s="98" t="s">
        <v>320</v>
      </c>
      <c r="C3066" s="98" t="s">
        <v>274</v>
      </c>
      <c r="D3066" s="98" t="s">
        <v>321</v>
      </c>
      <c r="E3066" s="98" t="s">
        <v>247</v>
      </c>
      <c r="F3066" s="98">
        <v>19628.84</v>
      </c>
    </row>
    <row r="3067" spans="1:6">
      <c r="A3067" s="6">
        <v>44255</v>
      </c>
      <c r="B3067" s="98" t="s">
        <v>322</v>
      </c>
      <c r="C3067" s="98" t="s">
        <v>255</v>
      </c>
      <c r="D3067" s="98" t="s">
        <v>323</v>
      </c>
      <c r="E3067" s="98" t="s">
        <v>247</v>
      </c>
      <c r="F3067" s="98">
        <v>5135.28</v>
      </c>
    </row>
    <row r="3068" spans="1:6">
      <c r="A3068" s="6">
        <v>44255</v>
      </c>
      <c r="B3068" s="98" t="s">
        <v>322</v>
      </c>
      <c r="C3068" s="98" t="s">
        <v>289</v>
      </c>
      <c r="D3068" s="98" t="s">
        <v>323</v>
      </c>
      <c r="E3068" s="98" t="s">
        <v>247</v>
      </c>
      <c r="F3068" s="98">
        <v>2641.08</v>
      </c>
    </row>
    <row r="3069" spans="1:6">
      <c r="A3069" s="6">
        <v>44255</v>
      </c>
      <c r="B3069" s="98" t="s">
        <v>322</v>
      </c>
      <c r="C3069" s="98" t="s">
        <v>253</v>
      </c>
      <c r="D3069" s="98" t="s">
        <v>323</v>
      </c>
      <c r="E3069" s="98" t="s">
        <v>244</v>
      </c>
      <c r="F3069" s="98">
        <v>52.34</v>
      </c>
    </row>
    <row r="3070" spans="1:6">
      <c r="A3070" s="6">
        <v>44255</v>
      </c>
      <c r="B3070" s="98" t="s">
        <v>322</v>
      </c>
      <c r="C3070" s="98" t="s">
        <v>245</v>
      </c>
      <c r="D3070" s="98" t="s">
        <v>323</v>
      </c>
      <c r="E3070" s="98" t="s">
        <v>244</v>
      </c>
      <c r="F3070" s="98">
        <v>2898.61</v>
      </c>
    </row>
    <row r="3071" spans="1:6">
      <c r="A3071" s="6">
        <v>44255</v>
      </c>
      <c r="B3071" s="98" t="s">
        <v>324</v>
      </c>
      <c r="C3071" s="98" t="s">
        <v>259</v>
      </c>
      <c r="D3071" s="98" t="s">
        <v>325</v>
      </c>
      <c r="E3071" s="98" t="s">
        <v>258</v>
      </c>
      <c r="F3071" s="98">
        <v>39541.919999999998</v>
      </c>
    </row>
    <row r="3072" spans="1:6">
      <c r="A3072" s="6">
        <v>44255</v>
      </c>
      <c r="B3072" s="98" t="s">
        <v>324</v>
      </c>
      <c r="C3072" s="98" t="s">
        <v>257</v>
      </c>
      <c r="D3072" s="98" t="s">
        <v>325</v>
      </c>
      <c r="E3072" s="98" t="s">
        <v>258</v>
      </c>
      <c r="F3072" s="98">
        <v>81675.95</v>
      </c>
    </row>
    <row r="3073" spans="1:6">
      <c r="A3073" s="6">
        <v>44255</v>
      </c>
      <c r="B3073" s="98" t="s">
        <v>324</v>
      </c>
      <c r="C3073" s="98" t="s">
        <v>260</v>
      </c>
      <c r="D3073" s="98" t="s">
        <v>325</v>
      </c>
      <c r="E3073" s="98" t="s">
        <v>258</v>
      </c>
      <c r="F3073" s="98">
        <v>43183.75</v>
      </c>
    </row>
    <row r="3074" spans="1:6">
      <c r="A3074" s="6">
        <v>44255</v>
      </c>
      <c r="B3074" s="98" t="s">
        <v>324</v>
      </c>
      <c r="C3074" s="98" t="s">
        <v>251</v>
      </c>
      <c r="D3074" s="98" t="s">
        <v>325</v>
      </c>
      <c r="E3074" s="98" t="s">
        <v>244</v>
      </c>
      <c r="F3074" s="98">
        <v>284.54000000000002</v>
      </c>
    </row>
    <row r="3075" spans="1:6">
      <c r="A3075" s="6">
        <v>44255</v>
      </c>
      <c r="B3075" s="98" t="s">
        <v>326</v>
      </c>
      <c r="C3075" s="98" t="s">
        <v>266</v>
      </c>
      <c r="D3075" s="98" t="s">
        <v>327</v>
      </c>
      <c r="E3075" s="98" t="s">
        <v>258</v>
      </c>
      <c r="F3075" s="98">
        <v>9159.7000000000007</v>
      </c>
    </row>
    <row r="3076" spans="1:6">
      <c r="A3076" s="6">
        <v>44255</v>
      </c>
      <c r="B3076" s="98" t="s">
        <v>326</v>
      </c>
      <c r="C3076" s="98" t="s">
        <v>278</v>
      </c>
      <c r="D3076" s="98" t="s">
        <v>327</v>
      </c>
      <c r="E3076" s="98" t="s">
        <v>247</v>
      </c>
      <c r="F3076" s="98">
        <v>1305.69</v>
      </c>
    </row>
    <row r="3077" spans="1:6">
      <c r="A3077" s="6">
        <v>44255</v>
      </c>
      <c r="B3077" s="98" t="s">
        <v>326</v>
      </c>
      <c r="C3077" s="98" t="s">
        <v>339</v>
      </c>
      <c r="D3077" s="98" t="s">
        <v>327</v>
      </c>
      <c r="E3077" s="98" t="s">
        <v>247</v>
      </c>
      <c r="F3077" s="98">
        <v>352.12</v>
      </c>
    </row>
    <row r="3078" spans="1:6">
      <c r="A3078" s="6">
        <v>44255</v>
      </c>
      <c r="B3078" s="98" t="s">
        <v>326</v>
      </c>
      <c r="C3078" s="98" t="s">
        <v>289</v>
      </c>
      <c r="D3078" s="98" t="s">
        <v>327</v>
      </c>
      <c r="E3078" s="98" t="s">
        <v>247</v>
      </c>
      <c r="F3078" s="98">
        <v>2574.35</v>
      </c>
    </row>
    <row r="3079" spans="1:6">
      <c r="A3079" s="6">
        <v>44255</v>
      </c>
      <c r="B3079" s="98" t="s">
        <v>326</v>
      </c>
      <c r="C3079" s="98" t="s">
        <v>466</v>
      </c>
      <c r="D3079" s="98" t="s">
        <v>327</v>
      </c>
      <c r="E3079" s="98" t="s">
        <v>247</v>
      </c>
      <c r="F3079" s="98">
        <v>436.73</v>
      </c>
    </row>
    <row r="3080" spans="1:6">
      <c r="A3080" s="6">
        <v>44255</v>
      </c>
      <c r="B3080" s="98" t="s">
        <v>326</v>
      </c>
      <c r="C3080" s="98" t="s">
        <v>368</v>
      </c>
      <c r="D3080" s="98" t="s">
        <v>327</v>
      </c>
      <c r="E3080" s="98" t="s">
        <v>247</v>
      </c>
      <c r="F3080" s="98">
        <v>3350.37</v>
      </c>
    </row>
    <row r="3081" spans="1:6">
      <c r="A3081" s="6">
        <v>44255</v>
      </c>
      <c r="B3081" s="98" t="s">
        <v>326</v>
      </c>
      <c r="C3081" s="98" t="s">
        <v>242</v>
      </c>
      <c r="D3081" s="98" t="s">
        <v>327</v>
      </c>
      <c r="E3081" s="98" t="s">
        <v>244</v>
      </c>
      <c r="F3081" s="98">
        <v>831.67</v>
      </c>
    </row>
    <row r="3082" spans="1:6">
      <c r="A3082" s="6">
        <v>44255</v>
      </c>
      <c r="B3082" s="98" t="s">
        <v>326</v>
      </c>
      <c r="C3082" s="98" t="s">
        <v>262</v>
      </c>
      <c r="D3082" s="98" t="s">
        <v>327</v>
      </c>
      <c r="E3082" s="98" t="s">
        <v>244</v>
      </c>
      <c r="F3082" s="98">
        <v>1706.27</v>
      </c>
    </row>
    <row r="3083" spans="1:6">
      <c r="A3083" s="6">
        <v>44255</v>
      </c>
      <c r="B3083" s="98" t="s">
        <v>326</v>
      </c>
      <c r="C3083" s="98" t="s">
        <v>245</v>
      </c>
      <c r="D3083" s="98" t="s">
        <v>327</v>
      </c>
      <c r="E3083" s="98" t="s">
        <v>244</v>
      </c>
      <c r="F3083" s="98">
        <v>668.56</v>
      </c>
    </row>
    <row r="3084" spans="1:6">
      <c r="A3084" s="6">
        <v>44255</v>
      </c>
      <c r="B3084" s="98" t="s">
        <v>326</v>
      </c>
      <c r="C3084" s="98" t="s">
        <v>264</v>
      </c>
      <c r="D3084" s="98" t="s">
        <v>327</v>
      </c>
      <c r="E3084" s="98" t="s">
        <v>244</v>
      </c>
      <c r="F3084" s="98">
        <v>95.44</v>
      </c>
    </row>
    <row r="3085" spans="1:6">
      <c r="A3085" s="6">
        <v>44255</v>
      </c>
      <c r="B3085" s="98" t="s">
        <v>326</v>
      </c>
      <c r="C3085" s="98" t="s">
        <v>271</v>
      </c>
      <c r="D3085" s="98" t="s">
        <v>327</v>
      </c>
      <c r="E3085" s="98" t="s">
        <v>244</v>
      </c>
      <c r="F3085" s="98">
        <v>12.33</v>
      </c>
    </row>
    <row r="3086" spans="1:6">
      <c r="A3086" s="6">
        <v>44255</v>
      </c>
      <c r="B3086" s="98" t="s">
        <v>326</v>
      </c>
      <c r="C3086" s="98" t="s">
        <v>254</v>
      </c>
      <c r="D3086" s="98" t="s">
        <v>327</v>
      </c>
      <c r="E3086" s="98" t="s">
        <v>244</v>
      </c>
      <c r="F3086" s="98">
        <v>224.35</v>
      </c>
    </row>
    <row r="3087" spans="1:6">
      <c r="A3087" s="6">
        <v>44255</v>
      </c>
      <c r="B3087" s="98" t="s">
        <v>326</v>
      </c>
      <c r="C3087" s="98" t="s">
        <v>369</v>
      </c>
      <c r="D3087" s="98" t="s">
        <v>327</v>
      </c>
      <c r="E3087" s="98" t="s">
        <v>244</v>
      </c>
      <c r="F3087" s="98">
        <v>19.28</v>
      </c>
    </row>
    <row r="3088" spans="1:6">
      <c r="A3088" s="6">
        <v>44255</v>
      </c>
      <c r="B3088" s="98" t="s">
        <v>326</v>
      </c>
      <c r="C3088" s="98" t="s">
        <v>248</v>
      </c>
      <c r="D3088" s="98" t="s">
        <v>327</v>
      </c>
      <c r="E3088" s="98" t="s">
        <v>247</v>
      </c>
      <c r="F3088" s="98">
        <v>3703</v>
      </c>
    </row>
    <row r="3089" spans="1:6">
      <c r="A3089" s="6">
        <v>44255</v>
      </c>
      <c r="B3089" s="98" t="s">
        <v>326</v>
      </c>
      <c r="C3089" s="98" t="s">
        <v>274</v>
      </c>
      <c r="D3089" s="98" t="s">
        <v>327</v>
      </c>
      <c r="E3089" s="98" t="s">
        <v>247</v>
      </c>
      <c r="F3089" s="98">
        <v>2834.6</v>
      </c>
    </row>
    <row r="3090" spans="1:6">
      <c r="A3090" s="6">
        <v>44255</v>
      </c>
      <c r="B3090" s="98" t="s">
        <v>328</v>
      </c>
      <c r="C3090" s="98" t="s">
        <v>255</v>
      </c>
      <c r="D3090" s="98" t="s">
        <v>329</v>
      </c>
      <c r="E3090" s="98" t="s">
        <v>247</v>
      </c>
      <c r="F3090" s="98">
        <v>6764.27</v>
      </c>
    </row>
    <row r="3091" spans="1:6">
      <c r="A3091" s="6">
        <v>44255</v>
      </c>
      <c r="B3091" s="98" t="s">
        <v>328</v>
      </c>
      <c r="C3091" s="98" t="s">
        <v>246</v>
      </c>
      <c r="D3091" s="98" t="s">
        <v>329</v>
      </c>
      <c r="E3091" s="98" t="s">
        <v>247</v>
      </c>
      <c r="F3091" s="98">
        <v>11827.8</v>
      </c>
    </row>
    <row r="3092" spans="1:6">
      <c r="A3092" s="6">
        <v>44255</v>
      </c>
      <c r="B3092" s="98" t="s">
        <v>328</v>
      </c>
      <c r="C3092" s="98" t="s">
        <v>265</v>
      </c>
      <c r="D3092" s="98" t="s">
        <v>329</v>
      </c>
      <c r="E3092" s="98" t="s">
        <v>247</v>
      </c>
      <c r="F3092" s="98">
        <v>1190.8599999999999</v>
      </c>
    </row>
    <row r="3093" spans="1:6">
      <c r="A3093" s="6">
        <v>44255</v>
      </c>
      <c r="B3093" s="98" t="s">
        <v>328</v>
      </c>
      <c r="C3093" s="98" t="s">
        <v>289</v>
      </c>
      <c r="D3093" s="98" t="s">
        <v>329</v>
      </c>
      <c r="E3093" s="98" t="s">
        <v>247</v>
      </c>
      <c r="F3093" s="98">
        <v>4016.3</v>
      </c>
    </row>
    <row r="3094" spans="1:6">
      <c r="A3094" s="6">
        <v>44255</v>
      </c>
      <c r="B3094" s="98" t="s">
        <v>328</v>
      </c>
      <c r="C3094" s="98" t="s">
        <v>249</v>
      </c>
      <c r="D3094" s="98" t="s">
        <v>329</v>
      </c>
      <c r="E3094" s="98" t="s">
        <v>247</v>
      </c>
      <c r="F3094" s="98">
        <v>224.28</v>
      </c>
    </row>
    <row r="3095" spans="1:6">
      <c r="A3095" s="6">
        <v>44255</v>
      </c>
      <c r="B3095" s="98" t="s">
        <v>328</v>
      </c>
      <c r="C3095" s="98" t="s">
        <v>242</v>
      </c>
      <c r="D3095" s="98" t="s">
        <v>329</v>
      </c>
      <c r="E3095" s="98" t="s">
        <v>244</v>
      </c>
      <c r="F3095" s="98">
        <v>35.06</v>
      </c>
    </row>
    <row r="3096" spans="1:6">
      <c r="A3096" s="6">
        <v>44255</v>
      </c>
      <c r="B3096" s="98" t="s">
        <v>328</v>
      </c>
      <c r="C3096" s="98" t="s">
        <v>262</v>
      </c>
      <c r="D3096" s="98" t="s">
        <v>329</v>
      </c>
      <c r="E3096" s="98" t="s">
        <v>244</v>
      </c>
      <c r="F3096" s="98">
        <v>153.65</v>
      </c>
    </row>
    <row r="3097" spans="1:6">
      <c r="A3097" s="6">
        <v>44255</v>
      </c>
      <c r="B3097" s="98" t="s">
        <v>328</v>
      </c>
      <c r="C3097" s="98" t="s">
        <v>245</v>
      </c>
      <c r="D3097" s="98" t="s">
        <v>329</v>
      </c>
      <c r="E3097" s="98" t="s">
        <v>244</v>
      </c>
      <c r="F3097" s="98">
        <v>175.55</v>
      </c>
    </row>
    <row r="3098" spans="1:6">
      <c r="A3098" s="6">
        <v>44255</v>
      </c>
      <c r="B3098" s="98" t="s">
        <v>328</v>
      </c>
      <c r="C3098" s="98" t="s">
        <v>264</v>
      </c>
      <c r="D3098" s="98" t="s">
        <v>329</v>
      </c>
      <c r="E3098" s="98" t="s">
        <v>244</v>
      </c>
      <c r="F3098" s="98">
        <v>228.61</v>
      </c>
    </row>
    <row r="3099" spans="1:6">
      <c r="A3099" s="6">
        <v>44255</v>
      </c>
      <c r="B3099" s="98" t="s">
        <v>328</v>
      </c>
      <c r="C3099" s="98" t="s">
        <v>271</v>
      </c>
      <c r="D3099" s="98" t="s">
        <v>329</v>
      </c>
      <c r="E3099" s="98" t="s">
        <v>244</v>
      </c>
      <c r="F3099" s="98">
        <v>7.76</v>
      </c>
    </row>
    <row r="3100" spans="1:6">
      <c r="A3100" s="6">
        <v>44255</v>
      </c>
      <c r="B3100" s="98" t="s">
        <v>328</v>
      </c>
      <c r="C3100" s="98" t="s">
        <v>254</v>
      </c>
      <c r="D3100" s="98" t="s">
        <v>329</v>
      </c>
      <c r="E3100" s="98" t="s">
        <v>244</v>
      </c>
      <c r="F3100" s="98">
        <v>536.59</v>
      </c>
    </row>
    <row r="3101" spans="1:6">
      <c r="A3101" s="6">
        <v>44255</v>
      </c>
      <c r="B3101" s="98" t="s">
        <v>328</v>
      </c>
      <c r="C3101" s="98" t="s">
        <v>274</v>
      </c>
      <c r="D3101" s="98" t="s">
        <v>329</v>
      </c>
      <c r="E3101" s="98" t="s">
        <v>247</v>
      </c>
      <c r="F3101" s="98">
        <v>11657.33</v>
      </c>
    </row>
    <row r="3102" spans="1:6">
      <c r="A3102" s="6">
        <v>44255</v>
      </c>
      <c r="B3102" s="98" t="s">
        <v>330</v>
      </c>
      <c r="C3102" s="98" t="s">
        <v>262</v>
      </c>
      <c r="D3102" s="98" t="s">
        <v>331</v>
      </c>
      <c r="E3102" s="98" t="s">
        <v>244</v>
      </c>
      <c r="F3102" s="98">
        <v>110.18</v>
      </c>
    </row>
    <row r="3103" spans="1:6">
      <c r="A3103" s="6">
        <v>44255</v>
      </c>
      <c r="B3103" s="98" t="s">
        <v>330</v>
      </c>
      <c r="C3103" s="98" t="s">
        <v>253</v>
      </c>
      <c r="D3103" s="98" t="s">
        <v>331</v>
      </c>
      <c r="E3103" s="98" t="s">
        <v>244</v>
      </c>
      <c r="F3103" s="98">
        <v>169.74</v>
      </c>
    </row>
    <row r="3104" spans="1:6">
      <c r="A3104" s="6">
        <v>44255</v>
      </c>
      <c r="B3104" s="98" t="s">
        <v>330</v>
      </c>
      <c r="C3104" s="98" t="s">
        <v>245</v>
      </c>
      <c r="D3104" s="98" t="s">
        <v>331</v>
      </c>
      <c r="E3104" s="98" t="s">
        <v>244</v>
      </c>
      <c r="F3104" s="98">
        <v>69.89</v>
      </c>
    </row>
    <row r="3105" spans="1:6">
      <c r="A3105" s="6">
        <v>44255</v>
      </c>
      <c r="B3105" s="98" t="s">
        <v>332</v>
      </c>
      <c r="C3105" s="98" t="s">
        <v>246</v>
      </c>
      <c r="D3105" s="98" t="s">
        <v>333</v>
      </c>
      <c r="E3105" s="98" t="s">
        <v>247</v>
      </c>
      <c r="F3105" s="98">
        <v>3347.06</v>
      </c>
    </row>
    <row r="3106" spans="1:6">
      <c r="A3106" s="6">
        <v>44255</v>
      </c>
      <c r="B3106" s="98" t="s">
        <v>332</v>
      </c>
      <c r="C3106" s="98" t="s">
        <v>249</v>
      </c>
      <c r="D3106" s="98" t="s">
        <v>333</v>
      </c>
      <c r="E3106" s="98" t="s">
        <v>247</v>
      </c>
      <c r="F3106" s="98">
        <v>4165</v>
      </c>
    </row>
    <row r="3107" spans="1:6">
      <c r="A3107" s="6">
        <v>44255</v>
      </c>
      <c r="B3107" s="98" t="s">
        <v>332</v>
      </c>
      <c r="C3107" s="98" t="s">
        <v>242</v>
      </c>
      <c r="D3107" s="98" t="s">
        <v>333</v>
      </c>
      <c r="E3107" s="98" t="s">
        <v>244</v>
      </c>
      <c r="F3107" s="98">
        <v>937.28</v>
      </c>
    </row>
    <row r="3108" spans="1:6">
      <c r="A3108" s="6">
        <v>44255</v>
      </c>
      <c r="B3108" s="98" t="s">
        <v>332</v>
      </c>
      <c r="C3108" s="98" t="s">
        <v>262</v>
      </c>
      <c r="D3108" s="98" t="s">
        <v>333</v>
      </c>
      <c r="E3108" s="98" t="s">
        <v>244</v>
      </c>
      <c r="F3108" s="98">
        <v>99.85</v>
      </c>
    </row>
    <row r="3109" spans="1:6">
      <c r="A3109" s="6">
        <v>44255</v>
      </c>
      <c r="B3109" s="98" t="s">
        <v>332</v>
      </c>
      <c r="C3109" s="98" t="s">
        <v>254</v>
      </c>
      <c r="D3109" s="98" t="s">
        <v>333</v>
      </c>
      <c r="E3109" s="98" t="s">
        <v>244</v>
      </c>
      <c r="F3109" s="98">
        <v>285.37</v>
      </c>
    </row>
    <row r="3110" spans="1:6">
      <c r="A3110" s="6">
        <v>44255</v>
      </c>
      <c r="B3110" s="98" t="s">
        <v>332</v>
      </c>
      <c r="C3110" s="98" t="s">
        <v>277</v>
      </c>
      <c r="D3110" s="98" t="s">
        <v>333</v>
      </c>
      <c r="E3110" s="98" t="s">
        <v>247</v>
      </c>
      <c r="F3110" s="98">
        <v>1274.77</v>
      </c>
    </row>
    <row r="3111" spans="1:6">
      <c r="A3111" s="6">
        <v>44255</v>
      </c>
      <c r="B3111" s="98" t="s">
        <v>332</v>
      </c>
      <c r="C3111" s="98" t="s">
        <v>248</v>
      </c>
      <c r="D3111" s="98" t="s">
        <v>333</v>
      </c>
      <c r="E3111" s="98" t="s">
        <v>247</v>
      </c>
      <c r="F3111" s="98">
        <v>2898.78</v>
      </c>
    </row>
    <row r="3112" spans="1:6">
      <c r="A3112" s="6">
        <v>44255</v>
      </c>
      <c r="B3112" s="98" t="s">
        <v>332</v>
      </c>
      <c r="C3112" s="98" t="s">
        <v>274</v>
      </c>
      <c r="D3112" s="98" t="s">
        <v>333</v>
      </c>
      <c r="E3112" s="98" t="s">
        <v>247</v>
      </c>
      <c r="F3112" s="98">
        <v>17902.12</v>
      </c>
    </row>
    <row r="3113" spans="1:6">
      <c r="A3113" s="6">
        <v>44255</v>
      </c>
      <c r="B3113" s="98" t="s">
        <v>334</v>
      </c>
      <c r="C3113" s="98" t="s">
        <v>266</v>
      </c>
      <c r="D3113" s="98" t="s">
        <v>335</v>
      </c>
      <c r="E3113" s="98" t="s">
        <v>258</v>
      </c>
      <c r="F3113" s="98">
        <v>42143.45</v>
      </c>
    </row>
    <row r="3114" spans="1:6">
      <c r="A3114" s="6">
        <v>44255</v>
      </c>
      <c r="B3114" s="98" t="s">
        <v>334</v>
      </c>
      <c r="C3114" s="98" t="s">
        <v>255</v>
      </c>
      <c r="D3114" s="98" t="s">
        <v>335</v>
      </c>
      <c r="E3114" s="98" t="s">
        <v>247</v>
      </c>
      <c r="F3114" s="98">
        <v>20750.37</v>
      </c>
    </row>
    <row r="3115" spans="1:6">
      <c r="A3115" s="6">
        <v>44255</v>
      </c>
      <c r="B3115" s="98" t="s">
        <v>334</v>
      </c>
      <c r="C3115" s="98" t="s">
        <v>265</v>
      </c>
      <c r="D3115" s="98" t="s">
        <v>335</v>
      </c>
      <c r="E3115" s="98" t="s">
        <v>247</v>
      </c>
      <c r="F3115" s="98">
        <v>162.84</v>
      </c>
    </row>
    <row r="3116" spans="1:6">
      <c r="A3116" s="6">
        <v>44255</v>
      </c>
      <c r="B3116" s="98" t="s">
        <v>334</v>
      </c>
      <c r="C3116" s="98" t="s">
        <v>289</v>
      </c>
      <c r="D3116" s="98" t="s">
        <v>335</v>
      </c>
      <c r="E3116" s="98" t="s">
        <v>247</v>
      </c>
      <c r="F3116" s="98">
        <v>36736.25</v>
      </c>
    </row>
    <row r="3117" spans="1:6">
      <c r="A3117" s="6">
        <v>44255</v>
      </c>
      <c r="B3117" s="98" t="s">
        <v>334</v>
      </c>
      <c r="C3117" s="98" t="s">
        <v>260</v>
      </c>
      <c r="D3117" s="98" t="s">
        <v>335</v>
      </c>
      <c r="E3117" s="98" t="s">
        <v>258</v>
      </c>
      <c r="F3117" s="98">
        <v>10163.34</v>
      </c>
    </row>
    <row r="3118" spans="1:6">
      <c r="A3118" s="6">
        <v>44255</v>
      </c>
      <c r="B3118" s="98" t="s">
        <v>334</v>
      </c>
      <c r="C3118" s="98" t="s">
        <v>242</v>
      </c>
      <c r="D3118" s="98" t="s">
        <v>335</v>
      </c>
      <c r="E3118" s="98" t="s">
        <v>244</v>
      </c>
      <c r="F3118" s="98">
        <v>1387.19</v>
      </c>
    </row>
    <row r="3119" spans="1:6">
      <c r="A3119" s="6">
        <v>44255</v>
      </c>
      <c r="B3119" s="98" t="s">
        <v>334</v>
      </c>
      <c r="C3119" s="98" t="s">
        <v>262</v>
      </c>
      <c r="D3119" s="98" t="s">
        <v>335</v>
      </c>
      <c r="E3119" s="98" t="s">
        <v>244</v>
      </c>
      <c r="F3119" s="98">
        <v>1118.6300000000001</v>
      </c>
    </row>
    <row r="3120" spans="1:6">
      <c r="A3120" s="6">
        <v>44255</v>
      </c>
      <c r="B3120" s="98" t="s">
        <v>334</v>
      </c>
      <c r="C3120" s="98" t="s">
        <v>251</v>
      </c>
      <c r="D3120" s="98" t="s">
        <v>335</v>
      </c>
      <c r="E3120" s="98" t="s">
        <v>244</v>
      </c>
      <c r="F3120" s="98">
        <v>31.11</v>
      </c>
    </row>
    <row r="3121" spans="1:6">
      <c r="A3121" s="6">
        <v>44255</v>
      </c>
      <c r="B3121" s="98" t="s">
        <v>334</v>
      </c>
      <c r="C3121" s="98" t="s">
        <v>253</v>
      </c>
      <c r="D3121" s="98" t="s">
        <v>335</v>
      </c>
      <c r="E3121" s="98" t="s">
        <v>244</v>
      </c>
      <c r="F3121" s="98">
        <v>97.52</v>
      </c>
    </row>
    <row r="3122" spans="1:6">
      <c r="A3122" s="6">
        <v>44255</v>
      </c>
      <c r="B3122" s="98" t="s">
        <v>334</v>
      </c>
      <c r="C3122" s="98" t="s">
        <v>245</v>
      </c>
      <c r="D3122" s="98" t="s">
        <v>335</v>
      </c>
      <c r="E3122" s="98" t="s">
        <v>244</v>
      </c>
      <c r="F3122" s="98">
        <v>279.16000000000003</v>
      </c>
    </row>
    <row r="3123" spans="1:6">
      <c r="A3123" s="6">
        <v>44255</v>
      </c>
      <c r="B3123" s="98" t="s">
        <v>334</v>
      </c>
      <c r="C3123" s="98" t="s">
        <v>254</v>
      </c>
      <c r="D3123" s="98" t="s">
        <v>335</v>
      </c>
      <c r="E3123" s="98" t="s">
        <v>244</v>
      </c>
      <c r="F3123" s="98">
        <v>78.22</v>
      </c>
    </row>
    <row r="3124" spans="1:6">
      <c r="A3124" s="6">
        <v>44255</v>
      </c>
      <c r="B3124" s="98" t="s">
        <v>334</v>
      </c>
      <c r="C3124" s="98" t="s">
        <v>248</v>
      </c>
      <c r="D3124" s="98" t="s">
        <v>335</v>
      </c>
      <c r="E3124" s="98" t="s">
        <v>247</v>
      </c>
      <c r="F3124" s="98">
        <v>2758.84</v>
      </c>
    </row>
    <row r="3125" spans="1:6">
      <c r="A3125" s="6">
        <v>44255</v>
      </c>
      <c r="B3125" s="98" t="s">
        <v>336</v>
      </c>
      <c r="C3125" s="98" t="s">
        <v>255</v>
      </c>
      <c r="D3125" s="98" t="s">
        <v>337</v>
      </c>
      <c r="E3125" s="98" t="s">
        <v>247</v>
      </c>
      <c r="F3125" s="98">
        <v>4953.75</v>
      </c>
    </row>
    <row r="3126" spans="1:6">
      <c r="A3126" s="6">
        <v>44255</v>
      </c>
      <c r="B3126" s="98" t="s">
        <v>336</v>
      </c>
      <c r="C3126" s="98" t="s">
        <v>339</v>
      </c>
      <c r="D3126" s="98" t="s">
        <v>337</v>
      </c>
      <c r="E3126" s="98" t="s">
        <v>247</v>
      </c>
      <c r="F3126" s="98">
        <v>70.98</v>
      </c>
    </row>
    <row r="3127" spans="1:6">
      <c r="A3127" s="6">
        <v>44255</v>
      </c>
      <c r="B3127" s="98" t="s">
        <v>336</v>
      </c>
      <c r="C3127" s="98" t="s">
        <v>289</v>
      </c>
      <c r="D3127" s="98" t="s">
        <v>337</v>
      </c>
      <c r="E3127" s="98" t="s">
        <v>247</v>
      </c>
      <c r="F3127" s="98">
        <v>4443.3</v>
      </c>
    </row>
    <row r="3128" spans="1:6">
      <c r="A3128" s="6">
        <v>44255</v>
      </c>
      <c r="B3128" s="98" t="s">
        <v>336</v>
      </c>
      <c r="C3128" s="98" t="s">
        <v>560</v>
      </c>
      <c r="D3128" s="98" t="s">
        <v>337</v>
      </c>
      <c r="E3128" s="98" t="s">
        <v>247</v>
      </c>
      <c r="F3128" s="98">
        <v>779.07</v>
      </c>
    </row>
    <row r="3129" spans="1:6">
      <c r="A3129" s="6">
        <v>44255</v>
      </c>
      <c r="B3129" s="98" t="s">
        <v>336</v>
      </c>
      <c r="C3129" s="98" t="s">
        <v>242</v>
      </c>
      <c r="D3129" s="98" t="s">
        <v>337</v>
      </c>
      <c r="E3129" s="98" t="s">
        <v>244</v>
      </c>
      <c r="F3129" s="98">
        <v>22.18</v>
      </c>
    </row>
    <row r="3130" spans="1:6">
      <c r="A3130" s="6">
        <v>44255</v>
      </c>
      <c r="B3130" s="98" t="s">
        <v>336</v>
      </c>
      <c r="C3130" s="98" t="s">
        <v>253</v>
      </c>
      <c r="D3130" s="98" t="s">
        <v>337</v>
      </c>
      <c r="E3130" s="98" t="s">
        <v>244</v>
      </c>
      <c r="F3130" s="98">
        <v>59.35</v>
      </c>
    </row>
    <row r="3131" spans="1:6">
      <c r="A3131" s="6">
        <v>44255</v>
      </c>
      <c r="B3131" s="98" t="s">
        <v>336</v>
      </c>
      <c r="C3131" s="98" t="s">
        <v>245</v>
      </c>
      <c r="D3131" s="98" t="s">
        <v>337</v>
      </c>
      <c r="E3131" s="98" t="s">
        <v>244</v>
      </c>
      <c r="F3131" s="98">
        <v>335.37</v>
      </c>
    </row>
    <row r="3132" spans="1:6">
      <c r="A3132" s="6">
        <v>44255</v>
      </c>
      <c r="B3132" s="98" t="s">
        <v>336</v>
      </c>
      <c r="C3132" s="98" t="s">
        <v>256</v>
      </c>
      <c r="D3132" s="98" t="s">
        <v>337</v>
      </c>
      <c r="E3132" s="98" t="s">
        <v>247</v>
      </c>
      <c r="F3132" s="98">
        <v>6292.75</v>
      </c>
    </row>
    <row r="3133" spans="1:6">
      <c r="A3133" s="6">
        <v>44255</v>
      </c>
      <c r="B3133" s="98" t="s">
        <v>484</v>
      </c>
      <c r="C3133" s="98" t="s">
        <v>242</v>
      </c>
      <c r="D3133" s="98" t="s">
        <v>485</v>
      </c>
      <c r="E3133" s="98" t="s">
        <v>244</v>
      </c>
      <c r="F3133" s="98">
        <v>351.24</v>
      </c>
    </row>
    <row r="3134" spans="1:6">
      <c r="A3134" s="6">
        <v>44255</v>
      </c>
      <c r="B3134" s="98" t="s">
        <v>484</v>
      </c>
      <c r="C3134" s="98" t="s">
        <v>245</v>
      </c>
      <c r="D3134" s="98" t="s">
        <v>485</v>
      </c>
      <c r="E3134" s="98" t="s">
        <v>244</v>
      </c>
      <c r="F3134" s="98">
        <v>129.52000000000001</v>
      </c>
    </row>
    <row r="3135" spans="1:6">
      <c r="A3135" s="6">
        <v>44255</v>
      </c>
      <c r="B3135" s="98" t="s">
        <v>342</v>
      </c>
      <c r="C3135" s="98" t="s">
        <v>254</v>
      </c>
      <c r="D3135" s="98" t="s">
        <v>343</v>
      </c>
      <c r="E3135" s="98" t="s">
        <v>244</v>
      </c>
      <c r="F3135" s="98">
        <v>406.71</v>
      </c>
    </row>
    <row r="3136" spans="1:6">
      <c r="A3136" s="6">
        <v>44255</v>
      </c>
      <c r="B3136" s="98" t="s">
        <v>342</v>
      </c>
      <c r="C3136" s="98" t="s">
        <v>274</v>
      </c>
      <c r="D3136" s="98" t="s">
        <v>343</v>
      </c>
      <c r="E3136" s="98" t="s">
        <v>247</v>
      </c>
      <c r="F3136" s="98">
        <v>3095.43</v>
      </c>
    </row>
    <row r="3137" spans="1:6">
      <c r="A3137" s="6">
        <v>44255</v>
      </c>
      <c r="B3137" s="98" t="s">
        <v>431</v>
      </c>
      <c r="C3137" s="98" t="s">
        <v>249</v>
      </c>
      <c r="D3137" s="98" t="s">
        <v>432</v>
      </c>
      <c r="E3137" s="98" t="s">
        <v>247</v>
      </c>
      <c r="F3137" s="98">
        <v>4247.46</v>
      </c>
    </row>
    <row r="3138" spans="1:6">
      <c r="A3138" s="6">
        <v>44255</v>
      </c>
      <c r="B3138" s="98" t="s">
        <v>431</v>
      </c>
      <c r="C3138" s="98" t="s">
        <v>251</v>
      </c>
      <c r="D3138" s="98" t="s">
        <v>432</v>
      </c>
      <c r="E3138" s="98" t="s">
        <v>244</v>
      </c>
      <c r="F3138" s="98">
        <v>36.729999999999997</v>
      </c>
    </row>
    <row r="3139" spans="1:6">
      <c r="A3139" s="6">
        <v>44255</v>
      </c>
      <c r="B3139" s="98" t="s">
        <v>344</v>
      </c>
      <c r="C3139" s="98" t="s">
        <v>262</v>
      </c>
      <c r="D3139" s="98" t="s">
        <v>345</v>
      </c>
      <c r="E3139" s="98" t="s">
        <v>244</v>
      </c>
      <c r="F3139" s="98">
        <v>205.09</v>
      </c>
    </row>
    <row r="3140" spans="1:6">
      <c r="A3140" s="6">
        <v>44255</v>
      </c>
      <c r="B3140" s="98" t="s">
        <v>344</v>
      </c>
      <c r="C3140" s="98" t="s">
        <v>245</v>
      </c>
      <c r="D3140" s="98" t="s">
        <v>345</v>
      </c>
      <c r="E3140" s="98" t="s">
        <v>244</v>
      </c>
      <c r="F3140" s="98">
        <v>100.46</v>
      </c>
    </row>
    <row r="3141" spans="1:6">
      <c r="A3141" s="6">
        <v>44255</v>
      </c>
      <c r="B3141" s="98" t="s">
        <v>346</v>
      </c>
      <c r="C3141" s="98" t="s">
        <v>245</v>
      </c>
      <c r="D3141" s="98" t="s">
        <v>347</v>
      </c>
      <c r="E3141" s="98" t="s">
        <v>244</v>
      </c>
      <c r="F3141" s="98">
        <v>15.37</v>
      </c>
    </row>
    <row r="3142" spans="1:6">
      <c r="A3142" s="6">
        <v>44255</v>
      </c>
      <c r="B3142" s="98" t="s">
        <v>348</v>
      </c>
      <c r="C3142" s="98" t="s">
        <v>242</v>
      </c>
      <c r="D3142" s="98" t="s">
        <v>349</v>
      </c>
      <c r="E3142" s="98" t="s">
        <v>244</v>
      </c>
      <c r="F3142" s="98">
        <v>98</v>
      </c>
    </row>
    <row r="3143" spans="1:6">
      <c r="A3143" s="6">
        <v>44255</v>
      </c>
      <c r="B3143" s="98" t="s">
        <v>348</v>
      </c>
      <c r="C3143" s="98" t="s">
        <v>262</v>
      </c>
      <c r="D3143" s="98" t="s">
        <v>349</v>
      </c>
      <c r="E3143" s="98" t="s">
        <v>244</v>
      </c>
      <c r="F3143" s="98">
        <v>65.680000000000007</v>
      </c>
    </row>
    <row r="3144" spans="1:6">
      <c r="A3144" s="6">
        <v>44255</v>
      </c>
      <c r="B3144" s="98" t="s">
        <v>348</v>
      </c>
      <c r="C3144" s="98" t="s">
        <v>264</v>
      </c>
      <c r="D3144" s="98" t="s">
        <v>349</v>
      </c>
      <c r="E3144" s="98" t="s">
        <v>244</v>
      </c>
      <c r="F3144" s="98">
        <v>44.32</v>
      </c>
    </row>
    <row r="3145" spans="1:6">
      <c r="A3145" s="6">
        <v>44255</v>
      </c>
      <c r="B3145" s="98" t="s">
        <v>350</v>
      </c>
      <c r="C3145" s="98" t="s">
        <v>242</v>
      </c>
      <c r="D3145" s="98" t="s">
        <v>351</v>
      </c>
      <c r="E3145" s="98" t="s">
        <v>244</v>
      </c>
      <c r="F3145" s="98">
        <v>86.39</v>
      </c>
    </row>
    <row r="3146" spans="1:6">
      <c r="A3146" s="6">
        <v>44255</v>
      </c>
      <c r="B3146" s="98" t="s">
        <v>350</v>
      </c>
      <c r="C3146" s="98" t="s">
        <v>245</v>
      </c>
      <c r="D3146" s="98" t="s">
        <v>351</v>
      </c>
      <c r="E3146" s="98" t="s">
        <v>244</v>
      </c>
      <c r="F3146" s="98">
        <v>174.78</v>
      </c>
    </row>
    <row r="3147" spans="1:6">
      <c r="A3147" s="6">
        <v>44255</v>
      </c>
      <c r="B3147" s="98" t="s">
        <v>350</v>
      </c>
      <c r="C3147" s="98" t="s">
        <v>291</v>
      </c>
      <c r="D3147" s="98" t="s">
        <v>351</v>
      </c>
      <c r="E3147" s="98" t="s">
        <v>247</v>
      </c>
      <c r="F3147" s="98">
        <v>213</v>
      </c>
    </row>
    <row r="3148" spans="1:6">
      <c r="A3148" s="6">
        <v>44255</v>
      </c>
      <c r="B3148" s="98" t="s">
        <v>352</v>
      </c>
      <c r="C3148" s="98" t="s">
        <v>245</v>
      </c>
      <c r="D3148" s="98" t="s">
        <v>353</v>
      </c>
      <c r="E3148" s="98" t="s">
        <v>244</v>
      </c>
      <c r="F3148" s="98">
        <v>7.0000000000000007E-2</v>
      </c>
    </row>
    <row r="3149" spans="1:6">
      <c r="A3149" s="6">
        <v>44255</v>
      </c>
      <c r="B3149" s="98" t="s">
        <v>354</v>
      </c>
      <c r="C3149" s="98" t="s">
        <v>355</v>
      </c>
      <c r="D3149" s="98" t="s">
        <v>356</v>
      </c>
      <c r="E3149" s="98" t="s">
        <v>247</v>
      </c>
      <c r="F3149" s="98">
        <v>838.49</v>
      </c>
    </row>
    <row r="3150" spans="1:6">
      <c r="A3150" s="6">
        <v>44255</v>
      </c>
      <c r="B3150" s="98" t="s">
        <v>354</v>
      </c>
      <c r="C3150" s="98" t="s">
        <v>280</v>
      </c>
      <c r="D3150" s="98" t="s">
        <v>356</v>
      </c>
      <c r="E3150" s="98" t="s">
        <v>247</v>
      </c>
      <c r="F3150" s="98">
        <v>1533.21</v>
      </c>
    </row>
    <row r="3151" spans="1:6">
      <c r="A3151" s="6">
        <v>44255</v>
      </c>
      <c r="B3151" s="98" t="s">
        <v>561</v>
      </c>
      <c r="C3151" s="98" t="s">
        <v>262</v>
      </c>
      <c r="D3151" s="98" t="s">
        <v>562</v>
      </c>
      <c r="E3151" s="98" t="s">
        <v>244</v>
      </c>
      <c r="F3151" s="98">
        <v>0.94</v>
      </c>
    </row>
    <row r="3152" spans="1:6">
      <c r="A3152" s="6">
        <v>44255</v>
      </c>
      <c r="B3152" s="98" t="s">
        <v>357</v>
      </c>
      <c r="C3152" s="98" t="s">
        <v>248</v>
      </c>
      <c r="D3152" s="98" t="s">
        <v>358</v>
      </c>
      <c r="E3152" s="98" t="s">
        <v>247</v>
      </c>
      <c r="F3152" s="98">
        <v>14692.53</v>
      </c>
    </row>
    <row r="3153" spans="1:6">
      <c r="A3153" s="6">
        <v>44255</v>
      </c>
      <c r="B3153" s="98" t="s">
        <v>359</v>
      </c>
      <c r="C3153" s="98" t="s">
        <v>266</v>
      </c>
      <c r="D3153" s="98" t="s">
        <v>360</v>
      </c>
      <c r="E3153" s="98" t="s">
        <v>258</v>
      </c>
      <c r="F3153" s="98">
        <v>2896.24</v>
      </c>
    </row>
    <row r="3154" spans="1:6">
      <c r="A3154" s="6">
        <v>44255</v>
      </c>
      <c r="B3154" s="98" t="s">
        <v>359</v>
      </c>
      <c r="C3154" s="98" t="s">
        <v>255</v>
      </c>
      <c r="D3154" s="98" t="s">
        <v>360</v>
      </c>
      <c r="E3154" s="98" t="s">
        <v>247</v>
      </c>
      <c r="F3154" s="98">
        <v>477.75</v>
      </c>
    </row>
    <row r="3155" spans="1:6">
      <c r="A3155" s="6">
        <v>44255</v>
      </c>
      <c r="B3155" s="98" t="s">
        <v>359</v>
      </c>
      <c r="C3155" s="98" t="s">
        <v>289</v>
      </c>
      <c r="D3155" s="98" t="s">
        <v>360</v>
      </c>
      <c r="E3155" s="98" t="s">
        <v>247</v>
      </c>
      <c r="F3155" s="98">
        <v>1215.54</v>
      </c>
    </row>
    <row r="3156" spans="1:6">
      <c r="A3156" s="6">
        <v>44255</v>
      </c>
      <c r="B3156" s="98" t="s">
        <v>359</v>
      </c>
      <c r="C3156" s="98" t="s">
        <v>242</v>
      </c>
      <c r="D3156" s="98" t="s">
        <v>360</v>
      </c>
      <c r="E3156" s="98" t="s">
        <v>244</v>
      </c>
      <c r="F3156" s="98">
        <v>36.68</v>
      </c>
    </row>
    <row r="3157" spans="1:6">
      <c r="A3157" s="6">
        <v>44255</v>
      </c>
      <c r="B3157" s="98" t="s">
        <v>359</v>
      </c>
      <c r="C3157" s="98" t="s">
        <v>262</v>
      </c>
      <c r="D3157" s="98" t="s">
        <v>360</v>
      </c>
      <c r="E3157" s="98" t="s">
        <v>244</v>
      </c>
      <c r="F3157" s="98">
        <v>1327.39</v>
      </c>
    </row>
    <row r="3158" spans="1:6">
      <c r="A3158" s="6">
        <v>44255</v>
      </c>
      <c r="B3158" s="98" t="s">
        <v>359</v>
      </c>
      <c r="C3158" s="98" t="s">
        <v>251</v>
      </c>
      <c r="D3158" s="98" t="s">
        <v>360</v>
      </c>
      <c r="E3158" s="98" t="s">
        <v>244</v>
      </c>
      <c r="F3158" s="98">
        <v>18.36</v>
      </c>
    </row>
    <row r="3159" spans="1:6">
      <c r="A3159" s="6">
        <v>44255</v>
      </c>
      <c r="B3159" s="98" t="s">
        <v>359</v>
      </c>
      <c r="C3159" s="98" t="s">
        <v>245</v>
      </c>
      <c r="D3159" s="98" t="s">
        <v>360</v>
      </c>
      <c r="E3159" s="98" t="s">
        <v>244</v>
      </c>
      <c r="F3159" s="98">
        <v>658.97</v>
      </c>
    </row>
    <row r="3160" spans="1:6">
      <c r="A3160" s="6">
        <v>44255</v>
      </c>
      <c r="B3160" s="98" t="s">
        <v>359</v>
      </c>
      <c r="C3160" s="98" t="s">
        <v>264</v>
      </c>
      <c r="D3160" s="98" t="s">
        <v>360</v>
      </c>
      <c r="E3160" s="98" t="s">
        <v>244</v>
      </c>
      <c r="F3160" s="98">
        <v>73.459999999999994</v>
      </c>
    </row>
    <row r="3161" spans="1:6">
      <c r="A3161" s="6">
        <v>44255</v>
      </c>
      <c r="B3161" s="98" t="s">
        <v>361</v>
      </c>
      <c r="C3161" s="98" t="s">
        <v>249</v>
      </c>
      <c r="D3161" s="98" t="s">
        <v>362</v>
      </c>
      <c r="E3161" s="98" t="s">
        <v>247</v>
      </c>
      <c r="F3161" s="98">
        <v>1768.81</v>
      </c>
    </row>
    <row r="3162" spans="1:6">
      <c r="A3162" s="6">
        <v>44255</v>
      </c>
      <c r="B3162" s="98" t="s">
        <v>361</v>
      </c>
      <c r="C3162" s="98" t="s">
        <v>242</v>
      </c>
      <c r="D3162" s="98" t="s">
        <v>362</v>
      </c>
      <c r="E3162" s="98" t="s">
        <v>244</v>
      </c>
      <c r="F3162" s="98">
        <v>200.99</v>
      </c>
    </row>
    <row r="3163" spans="1:6">
      <c r="A3163" s="6">
        <v>44255</v>
      </c>
      <c r="B3163" s="98" t="s">
        <v>361</v>
      </c>
      <c r="C3163" s="98" t="s">
        <v>264</v>
      </c>
      <c r="D3163" s="98" t="s">
        <v>362</v>
      </c>
      <c r="E3163" s="98" t="s">
        <v>244</v>
      </c>
      <c r="F3163" s="98">
        <v>87.06</v>
      </c>
    </row>
    <row r="3164" spans="1:6">
      <c r="A3164" s="6">
        <v>44255</v>
      </c>
      <c r="B3164" s="98" t="s">
        <v>366</v>
      </c>
      <c r="C3164" s="98" t="s">
        <v>259</v>
      </c>
      <c r="D3164" s="98" t="s">
        <v>367</v>
      </c>
      <c r="E3164" s="98" t="s">
        <v>258</v>
      </c>
      <c r="F3164" s="98">
        <v>71638.7</v>
      </c>
    </row>
    <row r="3165" spans="1:6">
      <c r="A3165" s="6">
        <v>44255</v>
      </c>
      <c r="B3165" s="98" t="s">
        <v>366</v>
      </c>
      <c r="C3165" s="98" t="s">
        <v>266</v>
      </c>
      <c r="D3165" s="98" t="s">
        <v>367</v>
      </c>
      <c r="E3165" s="98" t="s">
        <v>258</v>
      </c>
      <c r="F3165" s="98">
        <v>16336.7</v>
      </c>
    </row>
    <row r="3166" spans="1:6">
      <c r="A3166" s="6">
        <v>44255</v>
      </c>
      <c r="B3166" s="98" t="s">
        <v>366</v>
      </c>
      <c r="C3166" s="98" t="s">
        <v>257</v>
      </c>
      <c r="D3166" s="98" t="s">
        <v>367</v>
      </c>
      <c r="E3166" s="98" t="s">
        <v>258</v>
      </c>
      <c r="F3166" s="98">
        <v>62839.6</v>
      </c>
    </row>
    <row r="3167" spans="1:6">
      <c r="A3167" s="6">
        <v>44255</v>
      </c>
      <c r="B3167" s="98" t="s">
        <v>366</v>
      </c>
      <c r="C3167" s="98" t="s">
        <v>368</v>
      </c>
      <c r="D3167" s="98" t="s">
        <v>367</v>
      </c>
      <c r="E3167" s="98" t="s">
        <v>247</v>
      </c>
      <c r="F3167" s="98">
        <v>2329</v>
      </c>
    </row>
    <row r="3168" spans="1:6">
      <c r="A3168" s="6">
        <v>44255</v>
      </c>
      <c r="B3168" s="98" t="s">
        <v>366</v>
      </c>
      <c r="C3168" s="98" t="s">
        <v>260</v>
      </c>
      <c r="D3168" s="98" t="s">
        <v>367</v>
      </c>
      <c r="E3168" s="98" t="s">
        <v>258</v>
      </c>
      <c r="F3168" s="98">
        <v>4216.43</v>
      </c>
    </row>
    <row r="3169" spans="1:6">
      <c r="A3169" s="6">
        <v>44255</v>
      </c>
      <c r="B3169" s="98" t="s">
        <v>366</v>
      </c>
      <c r="C3169" s="98" t="s">
        <v>253</v>
      </c>
      <c r="D3169" s="98" t="s">
        <v>367</v>
      </c>
      <c r="E3169" s="98" t="s">
        <v>244</v>
      </c>
      <c r="F3169" s="98">
        <v>32.89</v>
      </c>
    </row>
    <row r="3170" spans="1:6">
      <c r="A3170" s="6">
        <v>44255</v>
      </c>
      <c r="B3170" s="98" t="s">
        <v>366</v>
      </c>
      <c r="C3170" s="98" t="s">
        <v>369</v>
      </c>
      <c r="D3170" s="98" t="s">
        <v>367</v>
      </c>
      <c r="E3170" s="98" t="s">
        <v>244</v>
      </c>
      <c r="F3170" s="98">
        <v>59.72</v>
      </c>
    </row>
    <row r="3171" spans="1:6">
      <c r="A3171" s="6">
        <v>44255</v>
      </c>
      <c r="B3171" s="98" t="s">
        <v>370</v>
      </c>
      <c r="C3171" s="98" t="s">
        <v>272</v>
      </c>
      <c r="D3171" s="98" t="s">
        <v>371</v>
      </c>
      <c r="E3171" s="98" t="s">
        <v>247</v>
      </c>
      <c r="F3171" s="98">
        <v>1188.8800000000001</v>
      </c>
    </row>
    <row r="3172" spans="1:6">
      <c r="A3172" s="6">
        <v>44255</v>
      </c>
      <c r="B3172" s="98" t="s">
        <v>370</v>
      </c>
      <c r="C3172" s="98" t="s">
        <v>242</v>
      </c>
      <c r="D3172" s="98" t="s">
        <v>371</v>
      </c>
      <c r="E3172" s="98" t="s">
        <v>244</v>
      </c>
      <c r="F3172" s="98">
        <v>214.41</v>
      </c>
    </row>
    <row r="3173" spans="1:6">
      <c r="A3173" s="6">
        <v>44255</v>
      </c>
      <c r="B3173" s="98" t="s">
        <v>370</v>
      </c>
      <c r="C3173" s="98" t="s">
        <v>253</v>
      </c>
      <c r="D3173" s="98" t="s">
        <v>371</v>
      </c>
      <c r="E3173" s="98" t="s">
        <v>244</v>
      </c>
      <c r="F3173" s="98">
        <v>22.37</v>
      </c>
    </row>
    <row r="3174" spans="1:6">
      <c r="A3174" s="6">
        <v>44255</v>
      </c>
      <c r="B3174" s="98" t="s">
        <v>370</v>
      </c>
      <c r="C3174" s="98" t="s">
        <v>254</v>
      </c>
      <c r="D3174" s="98" t="s">
        <v>371</v>
      </c>
      <c r="E3174" s="98" t="s">
        <v>244</v>
      </c>
      <c r="F3174" s="98">
        <v>1480.29</v>
      </c>
    </row>
    <row r="3175" spans="1:6">
      <c r="A3175" s="6">
        <v>44255</v>
      </c>
      <c r="B3175" s="98" t="s">
        <v>372</v>
      </c>
      <c r="C3175" s="98" t="s">
        <v>289</v>
      </c>
      <c r="D3175" s="98" t="s">
        <v>373</v>
      </c>
      <c r="E3175" s="98" t="s">
        <v>247</v>
      </c>
      <c r="F3175" s="98">
        <v>3082.09</v>
      </c>
    </row>
    <row r="3176" spans="1:6">
      <c r="A3176" s="6">
        <v>44255</v>
      </c>
      <c r="B3176" s="98" t="s">
        <v>372</v>
      </c>
      <c r="C3176" s="98" t="s">
        <v>242</v>
      </c>
      <c r="D3176" s="98" t="s">
        <v>373</v>
      </c>
      <c r="E3176" s="98" t="s">
        <v>244</v>
      </c>
      <c r="F3176" s="98">
        <v>761.33</v>
      </c>
    </row>
    <row r="3177" spans="1:6">
      <c r="A3177" s="6">
        <v>44255</v>
      </c>
      <c r="B3177" s="98" t="s">
        <v>372</v>
      </c>
      <c r="C3177" s="98" t="s">
        <v>277</v>
      </c>
      <c r="D3177" s="98" t="s">
        <v>373</v>
      </c>
      <c r="E3177" s="98" t="s">
        <v>247</v>
      </c>
      <c r="F3177" s="98">
        <v>1574.41</v>
      </c>
    </row>
    <row r="3178" spans="1:6">
      <c r="A3178" s="6">
        <v>44255</v>
      </c>
      <c r="B3178" s="98" t="s">
        <v>472</v>
      </c>
      <c r="C3178" s="98" t="s">
        <v>253</v>
      </c>
      <c r="D3178" s="98" t="s">
        <v>473</v>
      </c>
      <c r="E3178" s="98" t="s">
        <v>244</v>
      </c>
      <c r="F3178" s="98">
        <v>20.77</v>
      </c>
    </row>
    <row r="3179" spans="1:6">
      <c r="A3179" s="6">
        <v>44255</v>
      </c>
      <c r="B3179" s="98" t="s">
        <v>472</v>
      </c>
      <c r="C3179" s="98" t="s">
        <v>264</v>
      </c>
      <c r="D3179" s="98" t="s">
        <v>473</v>
      </c>
      <c r="E3179" s="98" t="s">
        <v>244</v>
      </c>
      <c r="F3179" s="98">
        <v>16.96</v>
      </c>
    </row>
    <row r="3180" spans="1:6">
      <c r="A3180" s="6">
        <v>44255</v>
      </c>
      <c r="B3180" s="98" t="s">
        <v>374</v>
      </c>
      <c r="C3180" s="98" t="s">
        <v>246</v>
      </c>
      <c r="D3180" s="98" t="s">
        <v>375</v>
      </c>
      <c r="E3180" s="98" t="s">
        <v>247</v>
      </c>
      <c r="F3180" s="98">
        <v>18109.11</v>
      </c>
    </row>
    <row r="3181" spans="1:6">
      <c r="A3181" s="6">
        <v>44255</v>
      </c>
      <c r="B3181" s="98" t="s">
        <v>374</v>
      </c>
      <c r="C3181" s="98" t="s">
        <v>249</v>
      </c>
      <c r="D3181" s="98" t="s">
        <v>375</v>
      </c>
      <c r="E3181" s="98" t="s">
        <v>247</v>
      </c>
      <c r="F3181" s="98">
        <v>16305.86</v>
      </c>
    </row>
    <row r="3182" spans="1:6">
      <c r="A3182" s="6">
        <v>44255</v>
      </c>
      <c r="B3182" s="98" t="s">
        <v>374</v>
      </c>
      <c r="C3182" s="98" t="s">
        <v>242</v>
      </c>
      <c r="D3182" s="98" t="s">
        <v>375</v>
      </c>
      <c r="E3182" s="98" t="s">
        <v>244</v>
      </c>
      <c r="F3182" s="98">
        <v>138.47</v>
      </c>
    </row>
    <row r="3183" spans="1:6">
      <c r="A3183" s="6">
        <v>44255</v>
      </c>
      <c r="B3183" s="98" t="s">
        <v>374</v>
      </c>
      <c r="C3183" s="98" t="s">
        <v>251</v>
      </c>
      <c r="D3183" s="98" t="s">
        <v>375</v>
      </c>
      <c r="E3183" s="98" t="s">
        <v>244</v>
      </c>
      <c r="F3183" s="98">
        <v>89.11</v>
      </c>
    </row>
    <row r="3184" spans="1:6">
      <c r="A3184" s="6">
        <v>44255</v>
      </c>
      <c r="B3184" s="98" t="s">
        <v>374</v>
      </c>
      <c r="C3184" s="98" t="s">
        <v>245</v>
      </c>
      <c r="D3184" s="98" t="s">
        <v>375</v>
      </c>
      <c r="E3184" s="98" t="s">
        <v>244</v>
      </c>
      <c r="F3184" s="98">
        <v>1825.29</v>
      </c>
    </row>
    <row r="3185" spans="1:6">
      <c r="A3185" s="6">
        <v>44255</v>
      </c>
      <c r="B3185" s="98" t="s">
        <v>374</v>
      </c>
      <c r="C3185" s="98" t="s">
        <v>277</v>
      </c>
      <c r="D3185" s="98" t="s">
        <v>375</v>
      </c>
      <c r="E3185" s="98" t="s">
        <v>247</v>
      </c>
      <c r="F3185" s="98">
        <v>17567.05</v>
      </c>
    </row>
    <row r="3186" spans="1:6">
      <c r="A3186" s="6">
        <v>44255</v>
      </c>
      <c r="B3186" s="98" t="s">
        <v>374</v>
      </c>
      <c r="C3186" s="98" t="s">
        <v>274</v>
      </c>
      <c r="D3186" s="98" t="s">
        <v>375</v>
      </c>
      <c r="E3186" s="98" t="s">
        <v>247</v>
      </c>
      <c r="F3186" s="98">
        <v>23524.46</v>
      </c>
    </row>
    <row r="3187" spans="1:6">
      <c r="A3187" s="6">
        <v>44255</v>
      </c>
      <c r="B3187" s="98" t="s">
        <v>376</v>
      </c>
      <c r="C3187" s="98" t="s">
        <v>246</v>
      </c>
      <c r="D3187" s="98" t="s">
        <v>377</v>
      </c>
      <c r="E3187" s="98" t="s">
        <v>247</v>
      </c>
      <c r="F3187" s="98">
        <v>1095.02</v>
      </c>
    </row>
    <row r="3188" spans="1:6">
      <c r="A3188" s="6">
        <v>44255</v>
      </c>
      <c r="B3188" s="98" t="s">
        <v>376</v>
      </c>
      <c r="C3188" s="98" t="s">
        <v>242</v>
      </c>
      <c r="D3188" s="98" t="s">
        <v>377</v>
      </c>
      <c r="E3188" s="98" t="s">
        <v>244</v>
      </c>
      <c r="F3188" s="98">
        <v>1078.04</v>
      </c>
    </row>
    <row r="3189" spans="1:6">
      <c r="A3189" s="6">
        <v>44255</v>
      </c>
      <c r="B3189" s="98" t="s">
        <v>376</v>
      </c>
      <c r="C3189" s="98" t="s">
        <v>262</v>
      </c>
      <c r="D3189" s="98" t="s">
        <v>377</v>
      </c>
      <c r="E3189" s="98" t="s">
        <v>244</v>
      </c>
      <c r="F3189" s="98">
        <v>9387.3700000000008</v>
      </c>
    </row>
    <row r="3190" spans="1:6">
      <c r="A3190" s="6">
        <v>44255</v>
      </c>
      <c r="B3190" s="98" t="s">
        <v>376</v>
      </c>
      <c r="C3190" s="98" t="s">
        <v>245</v>
      </c>
      <c r="D3190" s="98" t="s">
        <v>377</v>
      </c>
      <c r="E3190" s="98" t="s">
        <v>244</v>
      </c>
      <c r="F3190" s="98">
        <v>523.9</v>
      </c>
    </row>
    <row r="3191" spans="1:6">
      <c r="A3191" s="6">
        <v>44255</v>
      </c>
      <c r="B3191" s="98" t="s">
        <v>376</v>
      </c>
      <c r="C3191" s="98" t="s">
        <v>254</v>
      </c>
      <c r="D3191" s="98" t="s">
        <v>377</v>
      </c>
      <c r="E3191" s="98" t="s">
        <v>244</v>
      </c>
      <c r="F3191" s="98">
        <v>359.19</v>
      </c>
    </row>
    <row r="3192" spans="1:6">
      <c r="A3192" s="6">
        <v>44255</v>
      </c>
      <c r="B3192" s="98" t="s">
        <v>378</v>
      </c>
      <c r="C3192" s="98" t="s">
        <v>355</v>
      </c>
      <c r="D3192" s="98" t="s">
        <v>379</v>
      </c>
      <c r="E3192" s="98" t="s">
        <v>247</v>
      </c>
      <c r="F3192" s="98">
        <v>825.61</v>
      </c>
    </row>
    <row r="3193" spans="1:6">
      <c r="A3193" s="6">
        <v>44255</v>
      </c>
      <c r="B3193" s="98" t="s">
        <v>378</v>
      </c>
      <c r="C3193" s="98" t="s">
        <v>245</v>
      </c>
      <c r="D3193" s="98" t="s">
        <v>379</v>
      </c>
      <c r="E3193" s="98" t="s">
        <v>244</v>
      </c>
      <c r="F3193" s="98">
        <v>132.31</v>
      </c>
    </row>
    <row r="3194" spans="1:6">
      <c r="A3194" s="6">
        <v>44255</v>
      </c>
      <c r="B3194" s="98" t="s">
        <v>380</v>
      </c>
      <c r="C3194" s="98" t="s">
        <v>254</v>
      </c>
      <c r="D3194" s="98" t="s">
        <v>381</v>
      </c>
      <c r="E3194" s="98" t="s">
        <v>244</v>
      </c>
      <c r="F3194" s="98">
        <v>48.43</v>
      </c>
    </row>
    <row r="3195" spans="1:6">
      <c r="A3195" s="6">
        <v>44255</v>
      </c>
      <c r="B3195" s="98" t="s">
        <v>382</v>
      </c>
      <c r="C3195" s="98" t="s">
        <v>242</v>
      </c>
      <c r="D3195" s="98" t="s">
        <v>383</v>
      </c>
      <c r="E3195" s="98" t="s">
        <v>244</v>
      </c>
      <c r="F3195" s="98">
        <v>-25.7</v>
      </c>
    </row>
    <row r="3196" spans="1:6">
      <c r="A3196" s="6">
        <v>44255</v>
      </c>
      <c r="B3196" s="98" t="s">
        <v>382</v>
      </c>
      <c r="C3196" s="98" t="s">
        <v>262</v>
      </c>
      <c r="D3196" s="98" t="s">
        <v>383</v>
      </c>
      <c r="E3196" s="98" t="s">
        <v>244</v>
      </c>
      <c r="F3196" s="98">
        <v>-108.58</v>
      </c>
    </row>
    <row r="3197" spans="1:6">
      <c r="A3197" s="6">
        <v>44255</v>
      </c>
      <c r="B3197" s="98" t="s">
        <v>382</v>
      </c>
      <c r="C3197" s="98" t="s">
        <v>245</v>
      </c>
      <c r="D3197" s="98" t="s">
        <v>383</v>
      </c>
      <c r="E3197" s="98" t="s">
        <v>244</v>
      </c>
      <c r="F3197" s="98">
        <v>-84.22</v>
      </c>
    </row>
    <row r="3198" spans="1:6">
      <c r="A3198" s="6">
        <v>44255</v>
      </c>
      <c r="B3198" s="98" t="s">
        <v>382</v>
      </c>
      <c r="C3198" s="98" t="s">
        <v>254</v>
      </c>
      <c r="D3198" s="98" t="s">
        <v>383</v>
      </c>
      <c r="E3198" s="98" t="s">
        <v>244</v>
      </c>
      <c r="F3198" s="98">
        <v>-14.12</v>
      </c>
    </row>
    <row r="3199" spans="1:6">
      <c r="A3199" s="6">
        <v>44255</v>
      </c>
      <c r="B3199" s="98" t="s">
        <v>382</v>
      </c>
      <c r="C3199" s="98" t="s">
        <v>248</v>
      </c>
      <c r="D3199" s="98" t="s">
        <v>383</v>
      </c>
      <c r="E3199" s="98" t="s">
        <v>247</v>
      </c>
      <c r="F3199" s="98">
        <v>-3480.05</v>
      </c>
    </row>
    <row r="3200" spans="1:6">
      <c r="A3200" s="6">
        <v>44255</v>
      </c>
      <c r="B3200" s="98" t="s">
        <v>439</v>
      </c>
      <c r="C3200" s="98" t="s">
        <v>246</v>
      </c>
      <c r="D3200" s="98" t="s">
        <v>440</v>
      </c>
      <c r="E3200" s="98" t="s">
        <v>247</v>
      </c>
      <c r="F3200" s="98">
        <v>3112.06</v>
      </c>
    </row>
    <row r="3201" spans="1:6">
      <c r="A3201" s="6">
        <v>44255</v>
      </c>
      <c r="B3201" s="98" t="s">
        <v>439</v>
      </c>
      <c r="C3201" s="98" t="s">
        <v>242</v>
      </c>
      <c r="D3201" s="98" t="s">
        <v>440</v>
      </c>
      <c r="E3201" s="98" t="s">
        <v>244</v>
      </c>
      <c r="F3201" s="98">
        <v>1013.5</v>
      </c>
    </row>
    <row r="3202" spans="1:6">
      <c r="A3202" s="6">
        <v>44255</v>
      </c>
      <c r="B3202" s="98" t="s">
        <v>439</v>
      </c>
      <c r="C3202" s="98" t="s">
        <v>245</v>
      </c>
      <c r="D3202" s="98" t="s">
        <v>440</v>
      </c>
      <c r="E3202" s="98" t="s">
        <v>244</v>
      </c>
      <c r="F3202" s="98">
        <v>607.09</v>
      </c>
    </row>
    <row r="3203" spans="1:6">
      <c r="A3203" s="6">
        <v>44255</v>
      </c>
      <c r="B3203" s="98" t="s">
        <v>467</v>
      </c>
      <c r="C3203" s="98" t="s">
        <v>264</v>
      </c>
      <c r="D3203" s="98" t="s">
        <v>468</v>
      </c>
      <c r="E3203" s="98" t="s">
        <v>244</v>
      </c>
      <c r="F3203" s="98">
        <v>529.83000000000004</v>
      </c>
    </row>
    <row r="3204" spans="1:6">
      <c r="A3204" s="6">
        <v>44255</v>
      </c>
      <c r="B3204" s="98" t="s">
        <v>384</v>
      </c>
      <c r="C3204" s="98" t="s">
        <v>278</v>
      </c>
      <c r="D3204" s="98" t="s">
        <v>385</v>
      </c>
      <c r="E3204" s="98" t="s">
        <v>247</v>
      </c>
      <c r="F3204" s="98">
        <v>2632.57</v>
      </c>
    </row>
    <row r="3205" spans="1:6">
      <c r="A3205" s="6">
        <v>44255</v>
      </c>
      <c r="B3205" s="98" t="s">
        <v>384</v>
      </c>
      <c r="C3205" s="98" t="s">
        <v>262</v>
      </c>
      <c r="D3205" s="98" t="s">
        <v>385</v>
      </c>
      <c r="E3205" s="98" t="s">
        <v>244</v>
      </c>
      <c r="F3205" s="98">
        <v>85.01</v>
      </c>
    </row>
    <row r="3206" spans="1:6">
      <c r="A3206" s="6">
        <v>44255</v>
      </c>
      <c r="B3206" s="98" t="s">
        <v>384</v>
      </c>
      <c r="C3206" s="98" t="s">
        <v>253</v>
      </c>
      <c r="D3206" s="98" t="s">
        <v>385</v>
      </c>
      <c r="E3206" s="98" t="s">
        <v>244</v>
      </c>
      <c r="F3206" s="98">
        <v>43.28</v>
      </c>
    </row>
    <row r="3207" spans="1:6">
      <c r="A3207" s="6">
        <v>44255</v>
      </c>
      <c r="B3207" s="98" t="s">
        <v>384</v>
      </c>
      <c r="C3207" s="98" t="s">
        <v>245</v>
      </c>
      <c r="D3207" s="98" t="s">
        <v>385</v>
      </c>
      <c r="E3207" s="98" t="s">
        <v>244</v>
      </c>
      <c r="F3207" s="98">
        <v>70.209999999999994</v>
      </c>
    </row>
    <row r="3208" spans="1:6">
      <c r="A3208" s="6">
        <v>44255</v>
      </c>
      <c r="B3208" s="98" t="s">
        <v>384</v>
      </c>
      <c r="C3208" s="98" t="s">
        <v>264</v>
      </c>
      <c r="D3208" s="98" t="s">
        <v>385</v>
      </c>
      <c r="E3208" s="98" t="s">
        <v>244</v>
      </c>
      <c r="F3208" s="98">
        <v>150.62</v>
      </c>
    </row>
    <row r="3209" spans="1:6">
      <c r="A3209" s="6">
        <v>44255</v>
      </c>
      <c r="B3209" s="98" t="s">
        <v>384</v>
      </c>
      <c r="C3209" s="98" t="s">
        <v>271</v>
      </c>
      <c r="D3209" s="98" t="s">
        <v>385</v>
      </c>
      <c r="E3209" s="98" t="s">
        <v>244</v>
      </c>
      <c r="F3209" s="98">
        <v>3.8</v>
      </c>
    </row>
    <row r="3210" spans="1:6">
      <c r="A3210" s="6">
        <v>44255</v>
      </c>
      <c r="B3210" s="98" t="s">
        <v>384</v>
      </c>
      <c r="C3210" s="98" t="s">
        <v>254</v>
      </c>
      <c r="D3210" s="98" t="s">
        <v>385</v>
      </c>
      <c r="E3210" s="98" t="s">
        <v>244</v>
      </c>
      <c r="F3210" s="98">
        <v>281.37</v>
      </c>
    </row>
    <row r="3211" spans="1:6">
      <c r="A3211" s="6">
        <v>44255</v>
      </c>
      <c r="B3211" s="98" t="s">
        <v>435</v>
      </c>
      <c r="C3211" s="98" t="s">
        <v>255</v>
      </c>
      <c r="D3211" s="98" t="s">
        <v>436</v>
      </c>
      <c r="E3211" s="98" t="s">
        <v>247</v>
      </c>
      <c r="F3211" s="98">
        <v>10395.14</v>
      </c>
    </row>
    <row r="3212" spans="1:6">
      <c r="A3212" s="6">
        <v>44255</v>
      </c>
      <c r="B3212" s="98" t="s">
        <v>435</v>
      </c>
      <c r="C3212" s="98" t="s">
        <v>289</v>
      </c>
      <c r="D3212" s="98" t="s">
        <v>436</v>
      </c>
      <c r="E3212" s="98" t="s">
        <v>247</v>
      </c>
      <c r="F3212" s="98">
        <v>22566.21</v>
      </c>
    </row>
    <row r="3213" spans="1:6">
      <c r="A3213" s="6">
        <v>44255</v>
      </c>
      <c r="B3213" s="98" t="s">
        <v>435</v>
      </c>
      <c r="C3213" s="98" t="s">
        <v>242</v>
      </c>
      <c r="D3213" s="98" t="s">
        <v>436</v>
      </c>
      <c r="E3213" s="98" t="s">
        <v>244</v>
      </c>
      <c r="F3213" s="98">
        <v>1637.47</v>
      </c>
    </row>
    <row r="3214" spans="1:6">
      <c r="A3214" s="6">
        <v>44255</v>
      </c>
      <c r="B3214" s="98" t="s">
        <v>435</v>
      </c>
      <c r="C3214" s="98" t="s">
        <v>262</v>
      </c>
      <c r="D3214" s="98" t="s">
        <v>436</v>
      </c>
      <c r="E3214" s="98" t="s">
        <v>244</v>
      </c>
      <c r="F3214" s="98">
        <v>16205.62</v>
      </c>
    </row>
    <row r="3215" spans="1:6">
      <c r="A3215" s="6">
        <v>44255</v>
      </c>
      <c r="B3215" s="98" t="s">
        <v>435</v>
      </c>
      <c r="C3215" s="98" t="s">
        <v>253</v>
      </c>
      <c r="D3215" s="98" t="s">
        <v>436</v>
      </c>
      <c r="E3215" s="98" t="s">
        <v>244</v>
      </c>
      <c r="F3215" s="98">
        <v>386.05</v>
      </c>
    </row>
    <row r="3216" spans="1:6">
      <c r="A3216" s="6">
        <v>44255</v>
      </c>
      <c r="B3216" s="98" t="s">
        <v>435</v>
      </c>
      <c r="C3216" s="98" t="s">
        <v>245</v>
      </c>
      <c r="D3216" s="98" t="s">
        <v>436</v>
      </c>
      <c r="E3216" s="98" t="s">
        <v>244</v>
      </c>
      <c r="F3216" s="98">
        <v>4614.32</v>
      </c>
    </row>
    <row r="3217" spans="1:6">
      <c r="A3217" s="6">
        <v>44255</v>
      </c>
      <c r="B3217" s="98" t="s">
        <v>435</v>
      </c>
      <c r="C3217" s="98" t="s">
        <v>254</v>
      </c>
      <c r="D3217" s="98" t="s">
        <v>436</v>
      </c>
      <c r="E3217" s="98" t="s">
        <v>244</v>
      </c>
      <c r="F3217" s="98">
        <v>262.51</v>
      </c>
    </row>
    <row r="3218" spans="1:6">
      <c r="A3218" s="6">
        <v>44255</v>
      </c>
      <c r="B3218" s="98" t="s">
        <v>386</v>
      </c>
      <c r="C3218" s="98" t="s">
        <v>278</v>
      </c>
      <c r="D3218" s="98" t="s">
        <v>387</v>
      </c>
      <c r="E3218" s="98" t="s">
        <v>247</v>
      </c>
      <c r="F3218" s="98">
        <v>2752.48</v>
      </c>
    </row>
    <row r="3219" spans="1:6">
      <c r="A3219" s="6">
        <v>44255</v>
      </c>
      <c r="B3219" s="98" t="s">
        <v>386</v>
      </c>
      <c r="C3219" s="98" t="s">
        <v>272</v>
      </c>
      <c r="D3219" s="98" t="s">
        <v>387</v>
      </c>
      <c r="E3219" s="98" t="s">
        <v>247</v>
      </c>
      <c r="F3219" s="98">
        <v>4639.66</v>
      </c>
    </row>
    <row r="3220" spans="1:6">
      <c r="A3220" s="6">
        <v>44255</v>
      </c>
      <c r="B3220" s="98" t="s">
        <v>386</v>
      </c>
      <c r="C3220" s="98" t="s">
        <v>262</v>
      </c>
      <c r="D3220" s="98" t="s">
        <v>387</v>
      </c>
      <c r="E3220" s="98" t="s">
        <v>244</v>
      </c>
      <c r="F3220" s="98">
        <v>208.96</v>
      </c>
    </row>
    <row r="3221" spans="1:6">
      <c r="A3221" s="6">
        <v>44255</v>
      </c>
      <c r="B3221" s="98" t="s">
        <v>386</v>
      </c>
      <c r="C3221" s="98" t="s">
        <v>253</v>
      </c>
      <c r="D3221" s="98" t="s">
        <v>387</v>
      </c>
      <c r="E3221" s="98" t="s">
        <v>244</v>
      </c>
      <c r="F3221" s="98">
        <v>101.1</v>
      </c>
    </row>
    <row r="3222" spans="1:6">
      <c r="A3222" s="6">
        <v>44255</v>
      </c>
      <c r="B3222" s="98" t="s">
        <v>386</v>
      </c>
      <c r="C3222" s="98" t="s">
        <v>245</v>
      </c>
      <c r="D3222" s="98" t="s">
        <v>387</v>
      </c>
      <c r="E3222" s="98" t="s">
        <v>244</v>
      </c>
      <c r="F3222" s="98">
        <v>170.79</v>
      </c>
    </row>
    <row r="3223" spans="1:6">
      <c r="A3223" s="6">
        <v>44255</v>
      </c>
      <c r="B3223" s="98" t="s">
        <v>386</v>
      </c>
      <c r="C3223" s="98" t="s">
        <v>264</v>
      </c>
      <c r="D3223" s="98" t="s">
        <v>387</v>
      </c>
      <c r="E3223" s="98" t="s">
        <v>244</v>
      </c>
      <c r="F3223" s="98">
        <v>358.05</v>
      </c>
    </row>
    <row r="3224" spans="1:6">
      <c r="A3224" s="6">
        <v>44255</v>
      </c>
      <c r="B3224" s="98" t="s">
        <v>386</v>
      </c>
      <c r="C3224" s="98" t="s">
        <v>271</v>
      </c>
      <c r="D3224" s="98" t="s">
        <v>387</v>
      </c>
      <c r="E3224" s="98" t="s">
        <v>244</v>
      </c>
      <c r="F3224" s="98">
        <v>46.55</v>
      </c>
    </row>
    <row r="3225" spans="1:6">
      <c r="A3225" s="6">
        <v>44255</v>
      </c>
      <c r="B3225" s="98" t="s">
        <v>386</v>
      </c>
      <c r="C3225" s="98" t="s">
        <v>254</v>
      </c>
      <c r="D3225" s="98" t="s">
        <v>387</v>
      </c>
      <c r="E3225" s="98" t="s">
        <v>244</v>
      </c>
      <c r="F3225" s="98">
        <v>188.19</v>
      </c>
    </row>
    <row r="3226" spans="1:6">
      <c r="A3226" s="6">
        <v>44255</v>
      </c>
      <c r="B3226" s="98" t="s">
        <v>388</v>
      </c>
      <c r="C3226" s="98" t="s">
        <v>262</v>
      </c>
      <c r="D3226" s="98" t="s">
        <v>389</v>
      </c>
      <c r="E3226" s="98" t="s">
        <v>244</v>
      </c>
      <c r="F3226" s="98">
        <v>184.02</v>
      </c>
    </row>
    <row r="3227" spans="1:6">
      <c r="A3227" s="6">
        <v>44255</v>
      </c>
      <c r="B3227" s="98" t="s">
        <v>388</v>
      </c>
      <c r="C3227" s="98" t="s">
        <v>245</v>
      </c>
      <c r="D3227" s="98" t="s">
        <v>389</v>
      </c>
      <c r="E3227" s="98" t="s">
        <v>244</v>
      </c>
      <c r="F3227" s="98">
        <v>364.94</v>
      </c>
    </row>
    <row r="3228" spans="1:6">
      <c r="A3228" s="6">
        <v>44255</v>
      </c>
      <c r="B3228" s="98" t="s">
        <v>388</v>
      </c>
      <c r="C3228" s="98" t="s">
        <v>254</v>
      </c>
      <c r="D3228" s="98" t="s">
        <v>389</v>
      </c>
      <c r="E3228" s="98" t="s">
        <v>244</v>
      </c>
      <c r="F3228" s="98">
        <v>16.64</v>
      </c>
    </row>
    <row r="3229" spans="1:6">
      <c r="A3229" s="6">
        <v>44255</v>
      </c>
      <c r="B3229" s="98" t="s">
        <v>390</v>
      </c>
      <c r="C3229" s="98" t="s">
        <v>278</v>
      </c>
      <c r="D3229" s="98" t="s">
        <v>391</v>
      </c>
      <c r="E3229" s="98" t="s">
        <v>247</v>
      </c>
      <c r="F3229" s="98">
        <v>5203.55</v>
      </c>
    </row>
    <row r="3230" spans="1:6">
      <c r="A3230" s="6">
        <v>44255</v>
      </c>
      <c r="B3230" s="98" t="s">
        <v>390</v>
      </c>
      <c r="C3230" s="98" t="s">
        <v>264</v>
      </c>
      <c r="D3230" s="98" t="s">
        <v>391</v>
      </c>
      <c r="E3230" s="98" t="s">
        <v>244</v>
      </c>
      <c r="F3230" s="98">
        <v>397.79</v>
      </c>
    </row>
    <row r="3231" spans="1:6">
      <c r="A3231" s="6">
        <v>44255</v>
      </c>
      <c r="B3231" s="98" t="s">
        <v>390</v>
      </c>
      <c r="C3231" s="98" t="s">
        <v>271</v>
      </c>
      <c r="D3231" s="98" t="s">
        <v>391</v>
      </c>
      <c r="E3231" s="98" t="s">
        <v>244</v>
      </c>
      <c r="F3231" s="98">
        <v>93.62</v>
      </c>
    </row>
    <row r="3232" spans="1:6">
      <c r="A3232" s="6">
        <v>44255</v>
      </c>
      <c r="B3232" s="98" t="s">
        <v>390</v>
      </c>
      <c r="C3232" s="98" t="s">
        <v>254</v>
      </c>
      <c r="D3232" s="98" t="s">
        <v>391</v>
      </c>
      <c r="E3232" s="98" t="s">
        <v>244</v>
      </c>
      <c r="F3232" s="98">
        <v>250.94</v>
      </c>
    </row>
    <row r="3233" spans="1:6">
      <c r="A3233" s="6">
        <v>44255</v>
      </c>
      <c r="B3233" s="98" t="s">
        <v>441</v>
      </c>
      <c r="C3233" s="98" t="s">
        <v>248</v>
      </c>
      <c r="D3233" s="98" t="s">
        <v>442</v>
      </c>
      <c r="E3233" s="98" t="s">
        <v>247</v>
      </c>
      <c r="F3233" s="98">
        <v>386.99</v>
      </c>
    </row>
    <row r="3234" spans="1:6">
      <c r="A3234" s="6">
        <v>44255</v>
      </c>
      <c r="B3234" s="98" t="s">
        <v>392</v>
      </c>
      <c r="C3234" s="98" t="s">
        <v>251</v>
      </c>
      <c r="D3234" s="98" t="s">
        <v>393</v>
      </c>
      <c r="E3234" s="98" t="s">
        <v>244</v>
      </c>
      <c r="F3234" s="98">
        <v>10.61</v>
      </c>
    </row>
    <row r="3235" spans="1:6">
      <c r="A3235" s="6">
        <v>44255</v>
      </c>
      <c r="B3235" s="98" t="s">
        <v>392</v>
      </c>
      <c r="C3235" s="98" t="s">
        <v>291</v>
      </c>
      <c r="D3235" s="98" t="s">
        <v>393</v>
      </c>
      <c r="E3235" s="98" t="s">
        <v>247</v>
      </c>
      <c r="F3235" s="98">
        <v>4163.7299999999996</v>
      </c>
    </row>
    <row r="3236" spans="1:6">
      <c r="A3236" s="6">
        <v>44255</v>
      </c>
      <c r="B3236" s="98" t="s">
        <v>394</v>
      </c>
      <c r="C3236" s="98" t="s">
        <v>278</v>
      </c>
      <c r="D3236" s="98" t="s">
        <v>395</v>
      </c>
      <c r="E3236" s="98" t="s">
        <v>247</v>
      </c>
      <c r="F3236" s="98">
        <v>589.09</v>
      </c>
    </row>
    <row r="3237" spans="1:6">
      <c r="A3237" s="6">
        <v>44255</v>
      </c>
      <c r="B3237" s="98" t="s">
        <v>394</v>
      </c>
      <c r="C3237" s="98" t="s">
        <v>251</v>
      </c>
      <c r="D3237" s="98" t="s">
        <v>395</v>
      </c>
      <c r="E3237" s="98" t="s">
        <v>244</v>
      </c>
      <c r="F3237" s="98">
        <v>13.74</v>
      </c>
    </row>
    <row r="3238" spans="1:6">
      <c r="A3238" s="6">
        <v>44255</v>
      </c>
      <c r="B3238" s="98" t="s">
        <v>396</v>
      </c>
      <c r="C3238" s="98" t="s">
        <v>251</v>
      </c>
      <c r="D3238" s="98" t="s">
        <v>397</v>
      </c>
      <c r="E3238" s="98" t="s">
        <v>244</v>
      </c>
      <c r="F3238" s="98">
        <v>5.99</v>
      </c>
    </row>
    <row r="3239" spans="1:6">
      <c r="A3239" s="6">
        <v>44255</v>
      </c>
      <c r="B3239" s="98" t="s">
        <v>396</v>
      </c>
      <c r="C3239" s="98" t="s">
        <v>248</v>
      </c>
      <c r="D3239" s="98" t="s">
        <v>397</v>
      </c>
      <c r="E3239" s="98" t="s">
        <v>247</v>
      </c>
      <c r="F3239" s="98">
        <v>7562.17</v>
      </c>
    </row>
    <row r="3240" spans="1:6">
      <c r="A3240" s="6">
        <v>44255</v>
      </c>
      <c r="B3240" s="98" t="s">
        <v>398</v>
      </c>
      <c r="C3240" s="98" t="s">
        <v>251</v>
      </c>
      <c r="D3240" s="98" t="s">
        <v>399</v>
      </c>
      <c r="E3240" s="98" t="s">
        <v>244</v>
      </c>
      <c r="F3240" s="98">
        <v>2.14</v>
      </c>
    </row>
    <row r="3241" spans="1:6">
      <c r="A3241" s="6">
        <v>44255</v>
      </c>
      <c r="B3241" s="98" t="s">
        <v>398</v>
      </c>
      <c r="C3241" s="98" t="s">
        <v>245</v>
      </c>
      <c r="D3241" s="98" t="s">
        <v>399</v>
      </c>
      <c r="E3241" s="98" t="s">
        <v>244</v>
      </c>
      <c r="F3241" s="98">
        <v>19.649999999999999</v>
      </c>
    </row>
    <row r="3242" spans="1:6">
      <c r="A3242" s="6">
        <v>44255</v>
      </c>
      <c r="B3242" s="98" t="s">
        <v>443</v>
      </c>
      <c r="C3242" s="98" t="s">
        <v>290</v>
      </c>
      <c r="D3242" s="98" t="s">
        <v>444</v>
      </c>
      <c r="E3242" s="98" t="s">
        <v>247</v>
      </c>
      <c r="F3242" s="98">
        <v>1000.61</v>
      </c>
    </row>
    <row r="3243" spans="1:6">
      <c r="A3243" s="6">
        <v>44255</v>
      </c>
      <c r="B3243" s="98" t="s">
        <v>443</v>
      </c>
      <c r="C3243" s="98" t="s">
        <v>248</v>
      </c>
      <c r="D3243" s="98" t="s">
        <v>444</v>
      </c>
      <c r="E3243" s="98" t="s">
        <v>247</v>
      </c>
      <c r="F3243" s="98">
        <v>2530.85</v>
      </c>
    </row>
    <row r="3244" spans="1:6">
      <c r="A3244" s="6">
        <v>44255</v>
      </c>
      <c r="B3244" s="98" t="s">
        <v>400</v>
      </c>
      <c r="C3244" s="98" t="s">
        <v>368</v>
      </c>
      <c r="D3244" s="98" t="s">
        <v>401</v>
      </c>
      <c r="E3244" s="98" t="s">
        <v>247</v>
      </c>
      <c r="F3244" s="98">
        <v>1517.65</v>
      </c>
    </row>
    <row r="3245" spans="1:6">
      <c r="A3245" s="6">
        <v>44255</v>
      </c>
      <c r="B3245" s="98" t="s">
        <v>400</v>
      </c>
      <c r="C3245" s="98" t="s">
        <v>251</v>
      </c>
      <c r="D3245" s="98" t="s">
        <v>401</v>
      </c>
      <c r="E3245" s="98" t="s">
        <v>244</v>
      </c>
      <c r="F3245" s="98">
        <v>0.76</v>
      </c>
    </row>
    <row r="3246" spans="1:6">
      <c r="A3246" s="6">
        <v>44255</v>
      </c>
      <c r="B3246" s="98" t="s">
        <v>400</v>
      </c>
      <c r="C3246" s="98" t="s">
        <v>402</v>
      </c>
      <c r="D3246" s="98" t="s">
        <v>401</v>
      </c>
      <c r="E3246" s="98" t="s">
        <v>247</v>
      </c>
      <c r="F3246" s="98">
        <v>4552.96</v>
      </c>
    </row>
    <row r="3247" spans="1:6">
      <c r="A3247" s="6">
        <v>44255</v>
      </c>
      <c r="B3247" s="98" t="s">
        <v>447</v>
      </c>
      <c r="C3247" s="98" t="s">
        <v>450</v>
      </c>
      <c r="D3247" s="98" t="s">
        <v>449</v>
      </c>
      <c r="E3247" s="98" t="s">
        <v>247</v>
      </c>
      <c r="F3247" s="98">
        <v>455.11</v>
      </c>
    </row>
    <row r="3248" spans="1:6">
      <c r="A3248" s="6">
        <v>44255</v>
      </c>
      <c r="B3248" s="98" t="s">
        <v>447</v>
      </c>
      <c r="C3248" s="98" t="s">
        <v>448</v>
      </c>
      <c r="D3248" s="98" t="s">
        <v>449</v>
      </c>
      <c r="E3248" s="98" t="s">
        <v>247</v>
      </c>
      <c r="F3248" s="98">
        <v>455.11</v>
      </c>
    </row>
    <row r="3249" spans="1:6">
      <c r="A3249" s="6">
        <v>44255</v>
      </c>
      <c r="B3249" s="98" t="s">
        <v>445</v>
      </c>
      <c r="C3249" s="98" t="s">
        <v>290</v>
      </c>
      <c r="D3249" s="98" t="s">
        <v>446</v>
      </c>
      <c r="E3249" s="98" t="s">
        <v>247</v>
      </c>
      <c r="F3249" s="98">
        <v>216.4</v>
      </c>
    </row>
    <row r="3250" spans="1:6">
      <c r="A3250" s="6">
        <v>44255</v>
      </c>
      <c r="B3250" s="98" t="s">
        <v>408</v>
      </c>
      <c r="C3250" s="98" t="s">
        <v>290</v>
      </c>
      <c r="D3250" s="98" t="s">
        <v>409</v>
      </c>
      <c r="E3250" s="98" t="s">
        <v>247</v>
      </c>
      <c r="F3250" s="98">
        <v>569.16999999999996</v>
      </c>
    </row>
    <row r="3251" spans="1:6">
      <c r="A3251" s="6">
        <v>44255</v>
      </c>
      <c r="B3251" s="98" t="s">
        <v>408</v>
      </c>
      <c r="C3251" s="98" t="s">
        <v>265</v>
      </c>
      <c r="D3251" s="98" t="s">
        <v>409</v>
      </c>
      <c r="E3251" s="98" t="s">
        <v>247</v>
      </c>
      <c r="F3251" s="98">
        <v>55.11</v>
      </c>
    </row>
    <row r="3252" spans="1:6">
      <c r="A3252" s="6">
        <v>44255</v>
      </c>
      <c r="B3252" s="98" t="s">
        <v>408</v>
      </c>
      <c r="C3252" s="98" t="s">
        <v>262</v>
      </c>
      <c r="D3252" s="98" t="s">
        <v>409</v>
      </c>
      <c r="E3252" s="98" t="s">
        <v>244</v>
      </c>
      <c r="F3252" s="98">
        <v>46.02</v>
      </c>
    </row>
    <row r="3253" spans="1:6">
      <c r="A3253" s="6">
        <v>44255</v>
      </c>
      <c r="B3253" s="98" t="s">
        <v>408</v>
      </c>
      <c r="C3253" s="98" t="s">
        <v>251</v>
      </c>
      <c r="D3253" s="98" t="s">
        <v>409</v>
      </c>
      <c r="E3253" s="98" t="s">
        <v>244</v>
      </c>
      <c r="F3253" s="98">
        <v>5.6</v>
      </c>
    </row>
    <row r="3254" spans="1:6">
      <c r="A3254" s="6">
        <v>44255</v>
      </c>
      <c r="B3254" s="98" t="s">
        <v>408</v>
      </c>
      <c r="C3254" s="98" t="s">
        <v>254</v>
      </c>
      <c r="D3254" s="98" t="s">
        <v>409</v>
      </c>
      <c r="E3254" s="98" t="s">
        <v>244</v>
      </c>
      <c r="F3254" s="98">
        <v>12.5</v>
      </c>
    </row>
    <row r="3255" spans="1:6">
      <c r="A3255" s="6">
        <v>44255</v>
      </c>
      <c r="B3255" s="98" t="s">
        <v>410</v>
      </c>
      <c r="C3255" s="98" t="s">
        <v>254</v>
      </c>
      <c r="D3255" s="98" t="s">
        <v>411</v>
      </c>
      <c r="E3255" s="98" t="s">
        <v>244</v>
      </c>
      <c r="F3255" s="98">
        <v>39</v>
      </c>
    </row>
    <row r="3256" spans="1:6">
      <c r="A3256" s="6">
        <v>44255</v>
      </c>
      <c r="B3256" s="98" t="s">
        <v>410</v>
      </c>
      <c r="C3256" s="98" t="s">
        <v>248</v>
      </c>
      <c r="D3256" s="98" t="s">
        <v>411</v>
      </c>
      <c r="E3256" s="98" t="s">
        <v>247</v>
      </c>
      <c r="F3256" s="98">
        <v>2395.1999999999998</v>
      </c>
    </row>
    <row r="3257" spans="1:6">
      <c r="A3257" s="6">
        <v>44255</v>
      </c>
      <c r="B3257" s="98" t="s">
        <v>412</v>
      </c>
      <c r="C3257" s="98" t="s">
        <v>255</v>
      </c>
      <c r="D3257" s="98" t="s">
        <v>413</v>
      </c>
      <c r="E3257" s="98" t="s">
        <v>247</v>
      </c>
      <c r="F3257" s="98">
        <v>1180.3699999999999</v>
      </c>
    </row>
    <row r="3258" spans="1:6">
      <c r="A3258" s="6">
        <v>44255</v>
      </c>
      <c r="B3258" s="98" t="s">
        <v>412</v>
      </c>
      <c r="C3258" s="98" t="s">
        <v>278</v>
      </c>
      <c r="D3258" s="98" t="s">
        <v>413</v>
      </c>
      <c r="E3258" s="98" t="s">
        <v>247</v>
      </c>
      <c r="F3258" s="98">
        <v>825.79</v>
      </c>
    </row>
    <row r="3259" spans="1:6">
      <c r="A3259" s="6">
        <v>44255</v>
      </c>
      <c r="B3259" s="98" t="s">
        <v>412</v>
      </c>
      <c r="C3259" s="98" t="s">
        <v>251</v>
      </c>
      <c r="D3259" s="98" t="s">
        <v>413</v>
      </c>
      <c r="E3259" s="98" t="s">
        <v>244</v>
      </c>
      <c r="F3259" s="98">
        <v>2.89</v>
      </c>
    </row>
    <row r="3260" spans="1:6">
      <c r="A3260" s="6">
        <v>44255</v>
      </c>
      <c r="B3260" s="98" t="s">
        <v>412</v>
      </c>
      <c r="C3260" s="98" t="s">
        <v>254</v>
      </c>
      <c r="D3260" s="98" t="s">
        <v>413</v>
      </c>
      <c r="E3260" s="98" t="s">
        <v>244</v>
      </c>
      <c r="F3260" s="98">
        <v>15.93</v>
      </c>
    </row>
    <row r="3261" spans="1:6">
      <c r="A3261" s="6">
        <v>44255</v>
      </c>
      <c r="B3261" s="98" t="s">
        <v>412</v>
      </c>
      <c r="C3261" s="98" t="s">
        <v>248</v>
      </c>
      <c r="D3261" s="98" t="s">
        <v>413</v>
      </c>
      <c r="E3261" s="98" t="s">
        <v>247</v>
      </c>
      <c r="F3261" s="98">
        <v>2383.21</v>
      </c>
    </row>
    <row r="3262" spans="1:6">
      <c r="A3262" s="6">
        <v>44255</v>
      </c>
      <c r="B3262" s="98" t="s">
        <v>414</v>
      </c>
      <c r="C3262" s="98" t="s">
        <v>245</v>
      </c>
      <c r="D3262" s="98" t="s">
        <v>415</v>
      </c>
      <c r="E3262" s="98" t="s">
        <v>244</v>
      </c>
      <c r="F3262" s="98">
        <v>5.86</v>
      </c>
    </row>
    <row r="3263" spans="1:6">
      <c r="A3263" s="6">
        <v>44255</v>
      </c>
      <c r="B3263" s="98" t="s">
        <v>414</v>
      </c>
      <c r="C3263" s="98" t="s">
        <v>254</v>
      </c>
      <c r="D3263" s="98" t="s">
        <v>415</v>
      </c>
      <c r="E3263" s="98" t="s">
        <v>244</v>
      </c>
      <c r="F3263" s="98">
        <v>1.39</v>
      </c>
    </row>
    <row r="3264" spans="1:6">
      <c r="A3264" s="6">
        <v>44255</v>
      </c>
      <c r="B3264" s="98" t="s">
        <v>425</v>
      </c>
      <c r="C3264" s="98" t="s">
        <v>289</v>
      </c>
      <c r="D3264" s="98" t="s">
        <v>426</v>
      </c>
      <c r="E3264" s="98" t="s">
        <v>247</v>
      </c>
      <c r="F3264" s="98">
        <v>1562.3</v>
      </c>
    </row>
    <row r="3265" spans="1:6">
      <c r="A3265" s="6">
        <v>44255</v>
      </c>
      <c r="B3265" s="98" t="s">
        <v>425</v>
      </c>
      <c r="C3265" s="98" t="s">
        <v>242</v>
      </c>
      <c r="D3265" s="98" t="s">
        <v>426</v>
      </c>
      <c r="E3265" s="98" t="s">
        <v>244</v>
      </c>
      <c r="F3265" s="98">
        <v>206.15</v>
      </c>
    </row>
    <row r="3266" spans="1:6">
      <c r="A3266" s="6">
        <v>44255</v>
      </c>
      <c r="B3266" s="98" t="s">
        <v>425</v>
      </c>
      <c r="C3266" s="98" t="s">
        <v>262</v>
      </c>
      <c r="D3266" s="98" t="s">
        <v>426</v>
      </c>
      <c r="E3266" s="98" t="s">
        <v>244</v>
      </c>
      <c r="F3266" s="98">
        <v>185.52</v>
      </c>
    </row>
    <row r="3267" spans="1:6">
      <c r="A3267" s="6">
        <v>44255</v>
      </c>
      <c r="B3267" s="98" t="s">
        <v>425</v>
      </c>
      <c r="C3267" s="98" t="s">
        <v>251</v>
      </c>
      <c r="D3267" s="98" t="s">
        <v>426</v>
      </c>
      <c r="E3267" s="98" t="s">
        <v>244</v>
      </c>
      <c r="F3267" s="98">
        <v>46.72</v>
      </c>
    </row>
    <row r="3268" spans="1:6">
      <c r="A3268" s="6">
        <v>44255</v>
      </c>
      <c r="B3268" s="98" t="s">
        <v>425</v>
      </c>
      <c r="C3268" s="98" t="s">
        <v>253</v>
      </c>
      <c r="D3268" s="98" t="s">
        <v>426</v>
      </c>
      <c r="E3268" s="98" t="s">
        <v>244</v>
      </c>
      <c r="F3268" s="98">
        <v>11.14</v>
      </c>
    </row>
    <row r="3269" spans="1:6">
      <c r="A3269" s="6">
        <v>44255</v>
      </c>
      <c r="B3269" s="98" t="s">
        <v>425</v>
      </c>
      <c r="C3269" s="98" t="s">
        <v>245</v>
      </c>
      <c r="D3269" s="98" t="s">
        <v>426</v>
      </c>
      <c r="E3269" s="98" t="s">
        <v>244</v>
      </c>
      <c r="F3269" s="98">
        <v>93.12</v>
      </c>
    </row>
    <row r="3270" spans="1:6">
      <c r="A3270" s="6">
        <v>44255</v>
      </c>
      <c r="B3270" s="98" t="s">
        <v>425</v>
      </c>
      <c r="C3270" s="98" t="s">
        <v>264</v>
      </c>
      <c r="D3270" s="98" t="s">
        <v>426</v>
      </c>
      <c r="E3270" s="98" t="s">
        <v>244</v>
      </c>
      <c r="F3270" s="98">
        <v>155.12</v>
      </c>
    </row>
    <row r="3271" spans="1:6">
      <c r="A3271" s="6">
        <v>44255</v>
      </c>
      <c r="B3271" s="98" t="s">
        <v>425</v>
      </c>
      <c r="C3271" s="98" t="s">
        <v>254</v>
      </c>
      <c r="D3271" s="98" t="s">
        <v>426</v>
      </c>
      <c r="E3271" s="98" t="s">
        <v>244</v>
      </c>
      <c r="F3271" s="98">
        <v>2.13</v>
      </c>
    </row>
    <row r="3272" spans="1:6">
      <c r="A3272" s="6">
        <v>44255</v>
      </c>
      <c r="B3272" s="98" t="s">
        <v>427</v>
      </c>
      <c r="C3272" s="98" t="s">
        <v>242</v>
      </c>
      <c r="D3272" s="98" t="s">
        <v>428</v>
      </c>
      <c r="E3272" s="98" t="s">
        <v>244</v>
      </c>
      <c r="F3272" s="98">
        <v>257.69</v>
      </c>
    </row>
    <row r="3273" spans="1:6">
      <c r="A3273" s="6">
        <v>44255</v>
      </c>
      <c r="B3273" s="98" t="s">
        <v>427</v>
      </c>
      <c r="C3273" s="98" t="s">
        <v>262</v>
      </c>
      <c r="D3273" s="98" t="s">
        <v>428</v>
      </c>
      <c r="E3273" s="98" t="s">
        <v>244</v>
      </c>
      <c r="F3273" s="98">
        <v>1159.56</v>
      </c>
    </row>
    <row r="3274" spans="1:6">
      <c r="A3274" s="6">
        <v>44255</v>
      </c>
      <c r="B3274" s="98" t="s">
        <v>427</v>
      </c>
      <c r="C3274" s="98" t="s">
        <v>251</v>
      </c>
      <c r="D3274" s="98" t="s">
        <v>428</v>
      </c>
      <c r="E3274" s="98" t="s">
        <v>244</v>
      </c>
      <c r="F3274" s="98">
        <v>22.96</v>
      </c>
    </row>
    <row r="3275" spans="1:6">
      <c r="A3275" s="6">
        <v>44255</v>
      </c>
      <c r="B3275" s="98" t="s">
        <v>427</v>
      </c>
      <c r="C3275" s="98" t="s">
        <v>245</v>
      </c>
      <c r="D3275" s="98" t="s">
        <v>428</v>
      </c>
      <c r="E3275" s="98" t="s">
        <v>244</v>
      </c>
      <c r="F3275" s="98">
        <v>582.02</v>
      </c>
    </row>
    <row r="3276" spans="1:6">
      <c r="A3276" s="6">
        <v>44255</v>
      </c>
      <c r="B3276" s="98" t="s">
        <v>470</v>
      </c>
      <c r="C3276" s="98" t="s">
        <v>242</v>
      </c>
      <c r="D3276" s="98" t="s">
        <v>471</v>
      </c>
      <c r="E3276" s="98" t="s">
        <v>244</v>
      </c>
      <c r="F3276" s="98">
        <v>422.3</v>
      </c>
    </row>
    <row r="3277" spans="1:6">
      <c r="A3277" s="6">
        <v>44255</v>
      </c>
      <c r="B3277" s="98" t="s">
        <v>470</v>
      </c>
      <c r="C3277" s="98" t="s">
        <v>262</v>
      </c>
      <c r="D3277" s="98" t="s">
        <v>471</v>
      </c>
      <c r="E3277" s="98" t="s">
        <v>244</v>
      </c>
      <c r="F3277" s="98">
        <v>1268.02</v>
      </c>
    </row>
    <row r="3278" spans="1:6">
      <c r="A3278" s="6">
        <v>44255</v>
      </c>
      <c r="B3278" s="98" t="s">
        <v>470</v>
      </c>
      <c r="C3278" s="98" t="s">
        <v>245</v>
      </c>
      <c r="D3278" s="98" t="s">
        <v>471</v>
      </c>
      <c r="E3278" s="98" t="s">
        <v>244</v>
      </c>
      <c r="F3278" s="98">
        <v>521.14</v>
      </c>
    </row>
    <row r="3279" spans="1:6">
      <c r="A3279" s="6">
        <v>44255</v>
      </c>
      <c r="B3279" s="98" t="s">
        <v>470</v>
      </c>
      <c r="C3279" s="98" t="s">
        <v>264</v>
      </c>
      <c r="D3279" s="98" t="s">
        <v>471</v>
      </c>
      <c r="E3279" s="98" t="s">
        <v>244</v>
      </c>
      <c r="F3279" s="98">
        <v>270.52999999999997</v>
      </c>
    </row>
    <row r="3280" spans="1:6">
      <c r="A3280" s="6">
        <v>44255</v>
      </c>
      <c r="B3280" s="98" t="s">
        <v>429</v>
      </c>
      <c r="C3280" s="98" t="s">
        <v>246</v>
      </c>
      <c r="D3280" s="98" t="s">
        <v>430</v>
      </c>
      <c r="E3280" s="98" t="s">
        <v>247</v>
      </c>
      <c r="F3280" s="98">
        <v>1982.38</v>
      </c>
    </row>
    <row r="3281" spans="1:6">
      <c r="A3281" s="6">
        <v>44255</v>
      </c>
      <c r="B3281" s="98" t="s">
        <v>429</v>
      </c>
      <c r="C3281" s="98" t="s">
        <v>265</v>
      </c>
      <c r="D3281" s="98" t="s">
        <v>430</v>
      </c>
      <c r="E3281" s="98" t="s">
        <v>247</v>
      </c>
      <c r="F3281" s="98">
        <v>1141.69</v>
      </c>
    </row>
    <row r="3282" spans="1:6">
      <c r="A3282" s="6">
        <v>44255</v>
      </c>
      <c r="B3282" s="98" t="s">
        <v>429</v>
      </c>
      <c r="C3282" s="98" t="s">
        <v>249</v>
      </c>
      <c r="D3282" s="98" t="s">
        <v>430</v>
      </c>
      <c r="E3282" s="98" t="s">
        <v>247</v>
      </c>
      <c r="F3282" s="98">
        <v>19948.59</v>
      </c>
    </row>
    <row r="3283" spans="1:6">
      <c r="A3283" s="6">
        <v>44255</v>
      </c>
      <c r="B3283" s="98" t="s">
        <v>429</v>
      </c>
      <c r="C3283" s="98" t="s">
        <v>251</v>
      </c>
      <c r="D3283" s="98" t="s">
        <v>430</v>
      </c>
      <c r="E3283" s="98" t="s">
        <v>244</v>
      </c>
      <c r="F3283" s="98">
        <v>123.56</v>
      </c>
    </row>
    <row r="3284" spans="1:6">
      <c r="A3284" s="6">
        <v>44255</v>
      </c>
      <c r="B3284" s="98" t="s">
        <v>429</v>
      </c>
      <c r="C3284" s="98" t="s">
        <v>253</v>
      </c>
      <c r="D3284" s="98" t="s">
        <v>430</v>
      </c>
      <c r="E3284" s="98" t="s">
        <v>244</v>
      </c>
      <c r="F3284" s="98">
        <v>47.47</v>
      </c>
    </row>
    <row r="3285" spans="1:6">
      <c r="A3285" s="6">
        <v>44255</v>
      </c>
      <c r="B3285" s="98" t="s">
        <v>429</v>
      </c>
      <c r="C3285" s="98" t="s">
        <v>245</v>
      </c>
      <c r="D3285" s="98" t="s">
        <v>430</v>
      </c>
      <c r="E3285" s="98" t="s">
        <v>244</v>
      </c>
      <c r="F3285" s="98">
        <v>258.11</v>
      </c>
    </row>
    <row r="3286" spans="1:6">
      <c r="A3286" s="6">
        <v>44255</v>
      </c>
      <c r="B3286" s="98" t="s">
        <v>429</v>
      </c>
      <c r="C3286" s="98" t="s">
        <v>274</v>
      </c>
      <c r="D3286" s="98" t="s">
        <v>430</v>
      </c>
      <c r="E3286" s="98" t="s">
        <v>247</v>
      </c>
      <c r="F3286" s="98">
        <v>6819.49</v>
      </c>
    </row>
    <row r="3287" spans="1:6">
      <c r="A3287" s="6">
        <v>44255</v>
      </c>
      <c r="B3287" s="98" t="s">
        <v>455</v>
      </c>
      <c r="C3287" s="98" t="s">
        <v>254</v>
      </c>
      <c r="D3287" s="98" t="s">
        <v>456</v>
      </c>
      <c r="E3287" s="98" t="s">
        <v>244</v>
      </c>
      <c r="F3287" s="98">
        <v>57.36</v>
      </c>
    </row>
    <row r="3288" spans="1:6">
      <c r="A3288" s="6">
        <v>44255</v>
      </c>
      <c r="B3288" s="98" t="s">
        <v>437</v>
      </c>
      <c r="C3288" s="98" t="s">
        <v>242</v>
      </c>
      <c r="D3288" s="98" t="s">
        <v>438</v>
      </c>
      <c r="E3288" s="98" t="s">
        <v>244</v>
      </c>
      <c r="F3288" s="98">
        <v>534.71</v>
      </c>
    </row>
    <row r="3289" spans="1:6">
      <c r="A3289" s="6">
        <v>44255</v>
      </c>
      <c r="B3289" s="98" t="s">
        <v>437</v>
      </c>
      <c r="C3289" s="98" t="s">
        <v>262</v>
      </c>
      <c r="D3289" s="98" t="s">
        <v>438</v>
      </c>
      <c r="E3289" s="98" t="s">
        <v>244</v>
      </c>
      <c r="F3289" s="98">
        <v>3554.83</v>
      </c>
    </row>
    <row r="3290" spans="1:6">
      <c r="A3290" s="6">
        <v>44255</v>
      </c>
      <c r="B3290" s="98" t="s">
        <v>437</v>
      </c>
      <c r="C3290" s="98" t="s">
        <v>253</v>
      </c>
      <c r="D3290" s="98" t="s">
        <v>438</v>
      </c>
      <c r="E3290" s="98" t="s">
        <v>244</v>
      </c>
      <c r="F3290" s="98">
        <v>117.15</v>
      </c>
    </row>
    <row r="3291" spans="1:6">
      <c r="A3291" s="6">
        <v>44255</v>
      </c>
      <c r="B3291" s="98" t="s">
        <v>437</v>
      </c>
      <c r="C3291" s="98" t="s">
        <v>245</v>
      </c>
      <c r="D3291" s="98" t="s">
        <v>438</v>
      </c>
      <c r="E3291" s="98" t="s">
        <v>244</v>
      </c>
      <c r="F3291" s="98">
        <v>289.05</v>
      </c>
    </row>
    <row r="3292" spans="1:6">
      <c r="A3292" s="6">
        <v>44255</v>
      </c>
      <c r="B3292" s="98" t="s">
        <v>437</v>
      </c>
      <c r="C3292" s="98" t="s">
        <v>264</v>
      </c>
      <c r="D3292" s="98" t="s">
        <v>438</v>
      </c>
      <c r="E3292" s="98" t="s">
        <v>244</v>
      </c>
      <c r="F3292" s="98">
        <v>15.76</v>
      </c>
    </row>
    <row r="3293" spans="1:6">
      <c r="A3293" s="6">
        <v>44255</v>
      </c>
      <c r="B3293" s="98" t="s">
        <v>437</v>
      </c>
      <c r="C3293" s="98" t="s">
        <v>254</v>
      </c>
      <c r="D3293" s="98" t="s">
        <v>438</v>
      </c>
      <c r="E3293" s="98" t="s">
        <v>244</v>
      </c>
      <c r="F3293" s="98">
        <v>28.45</v>
      </c>
    </row>
    <row r="3294" spans="1:6">
      <c r="A3294" s="6">
        <v>44255</v>
      </c>
      <c r="B3294" s="98" t="s">
        <v>433</v>
      </c>
      <c r="C3294" s="98" t="s">
        <v>245</v>
      </c>
      <c r="D3294" s="98" t="s">
        <v>434</v>
      </c>
      <c r="E3294" s="98" t="s">
        <v>244</v>
      </c>
      <c r="F3294" s="98">
        <v>174.67</v>
      </c>
    </row>
    <row r="3295" spans="1:6">
      <c r="A3295" s="6">
        <v>44255</v>
      </c>
      <c r="B3295" s="98" t="s">
        <v>433</v>
      </c>
      <c r="C3295" s="98" t="s">
        <v>254</v>
      </c>
      <c r="D3295" s="98" t="s">
        <v>434</v>
      </c>
      <c r="E3295" s="98" t="s">
        <v>244</v>
      </c>
      <c r="F3295" s="98">
        <v>79.06</v>
      </c>
    </row>
    <row r="3296" spans="1:6">
      <c r="A3296" s="6">
        <v>44255</v>
      </c>
      <c r="B3296" s="98" t="s">
        <v>453</v>
      </c>
      <c r="C3296" s="98" t="s">
        <v>262</v>
      </c>
      <c r="D3296" s="98" t="s">
        <v>454</v>
      </c>
      <c r="E3296" s="98" t="s">
        <v>244</v>
      </c>
      <c r="F3296" s="98">
        <v>489.55</v>
      </c>
    </row>
    <row r="3297" spans="1:6">
      <c r="A3297" s="6">
        <v>44255</v>
      </c>
      <c r="B3297" s="98" t="s">
        <v>453</v>
      </c>
      <c r="C3297" s="98" t="s">
        <v>245</v>
      </c>
      <c r="D3297" s="98" t="s">
        <v>454</v>
      </c>
      <c r="E3297" s="98" t="s">
        <v>244</v>
      </c>
      <c r="F3297" s="98">
        <v>85.77</v>
      </c>
    </row>
    <row r="3298" spans="1:6">
      <c r="A3298" s="6">
        <v>44255</v>
      </c>
      <c r="B3298" s="98" t="s">
        <v>451</v>
      </c>
      <c r="C3298" s="98" t="s">
        <v>242</v>
      </c>
      <c r="D3298" s="98" t="s">
        <v>452</v>
      </c>
      <c r="E3298" s="98" t="s">
        <v>244</v>
      </c>
      <c r="F3298" s="98">
        <v>153.99</v>
      </c>
    </row>
    <row r="3299" spans="1:6">
      <c r="A3299" s="6">
        <v>44255</v>
      </c>
      <c r="B3299" s="98" t="s">
        <v>451</v>
      </c>
      <c r="C3299" s="98" t="s">
        <v>253</v>
      </c>
      <c r="D3299" s="98" t="s">
        <v>452</v>
      </c>
      <c r="E3299" s="98" t="s">
        <v>244</v>
      </c>
      <c r="F3299" s="98">
        <v>24.34</v>
      </c>
    </row>
    <row r="3300" spans="1:6">
      <c r="A3300" s="6">
        <v>44255</v>
      </c>
      <c r="B3300" s="98" t="s">
        <v>451</v>
      </c>
      <c r="C3300" s="98" t="s">
        <v>254</v>
      </c>
      <c r="D3300" s="98" t="s">
        <v>452</v>
      </c>
      <c r="E3300" s="98" t="s">
        <v>244</v>
      </c>
      <c r="F3300" s="98">
        <v>108.94</v>
      </c>
    </row>
    <row r="3301" spans="1:6">
      <c r="A3301" s="6">
        <v>44255</v>
      </c>
      <c r="B3301" s="98" t="s">
        <v>563</v>
      </c>
      <c r="C3301" s="98" t="s">
        <v>251</v>
      </c>
      <c r="D3301" s="98" t="s">
        <v>564</v>
      </c>
      <c r="E3301" s="98" t="s">
        <v>244</v>
      </c>
      <c r="F3301" s="98">
        <v>57.73</v>
      </c>
    </row>
    <row r="3302" spans="1:6">
      <c r="A3302" s="6">
        <v>44255</v>
      </c>
      <c r="B3302" s="98" t="s">
        <v>563</v>
      </c>
      <c r="C3302" s="98" t="s">
        <v>245</v>
      </c>
      <c r="D3302" s="98" t="s">
        <v>564</v>
      </c>
      <c r="E3302" s="98" t="s">
        <v>244</v>
      </c>
      <c r="F3302" s="98">
        <v>132.30000000000001</v>
      </c>
    </row>
    <row r="3303" spans="1:6">
      <c r="A3303" s="6">
        <v>44286</v>
      </c>
      <c r="B3303" s="98" t="s">
        <v>241</v>
      </c>
      <c r="C3303" s="100" t="s">
        <v>242</v>
      </c>
      <c r="D3303" s="98" t="s">
        <v>243</v>
      </c>
      <c r="E3303" s="100" t="s">
        <v>244</v>
      </c>
      <c r="F3303" s="100">
        <v>110.42</v>
      </c>
    </row>
    <row r="3304" spans="1:6">
      <c r="A3304" s="6">
        <v>44286</v>
      </c>
      <c r="B3304" s="98" t="s">
        <v>241</v>
      </c>
      <c r="C3304" s="100" t="s">
        <v>245</v>
      </c>
      <c r="D3304" s="98" t="s">
        <v>243</v>
      </c>
      <c r="E3304" s="100" t="s">
        <v>244</v>
      </c>
      <c r="F3304" s="100">
        <v>607.37</v>
      </c>
    </row>
    <row r="3305" spans="1:6">
      <c r="A3305" s="6">
        <v>44286</v>
      </c>
      <c r="B3305" s="98" t="s">
        <v>250</v>
      </c>
      <c r="C3305" s="100" t="s">
        <v>266</v>
      </c>
      <c r="D3305" s="98" t="s">
        <v>252</v>
      </c>
      <c r="E3305" s="100" t="s">
        <v>258</v>
      </c>
      <c r="F3305" s="100">
        <v>17023.22</v>
      </c>
    </row>
    <row r="3306" spans="1:6">
      <c r="A3306" s="6">
        <v>44286</v>
      </c>
      <c r="B3306" s="98" t="s">
        <v>250</v>
      </c>
      <c r="C3306" s="100" t="s">
        <v>257</v>
      </c>
      <c r="D3306" s="98" t="s">
        <v>252</v>
      </c>
      <c r="E3306" s="100" t="s">
        <v>258</v>
      </c>
      <c r="F3306" s="100">
        <v>16124.6</v>
      </c>
    </row>
    <row r="3307" spans="1:6">
      <c r="A3307" s="6">
        <v>44286</v>
      </c>
      <c r="B3307" s="98" t="s">
        <v>250</v>
      </c>
      <c r="C3307" s="100" t="s">
        <v>255</v>
      </c>
      <c r="D3307" s="98" t="s">
        <v>252</v>
      </c>
      <c r="E3307" s="100" t="s">
        <v>247</v>
      </c>
      <c r="F3307" s="100">
        <v>1256.8</v>
      </c>
    </row>
    <row r="3308" spans="1:6">
      <c r="A3308" s="6">
        <v>44286</v>
      </c>
      <c r="B3308" s="98" t="s">
        <v>250</v>
      </c>
      <c r="C3308" s="100" t="s">
        <v>246</v>
      </c>
      <c r="D3308" s="98" t="s">
        <v>252</v>
      </c>
      <c r="E3308" s="100" t="s">
        <v>247</v>
      </c>
      <c r="F3308" s="100">
        <v>1004.59</v>
      </c>
    </row>
    <row r="3309" spans="1:6">
      <c r="A3309" s="6">
        <v>44286</v>
      </c>
      <c r="B3309" s="98" t="s">
        <v>250</v>
      </c>
      <c r="C3309" s="100" t="s">
        <v>251</v>
      </c>
      <c r="D3309" s="98" t="s">
        <v>252</v>
      </c>
      <c r="E3309" s="100" t="s">
        <v>244</v>
      </c>
      <c r="F3309" s="100">
        <v>386.44</v>
      </c>
    </row>
    <row r="3310" spans="1:6">
      <c r="A3310" s="6">
        <v>44286</v>
      </c>
      <c r="B3310" s="98" t="s">
        <v>250</v>
      </c>
      <c r="C3310" s="100" t="s">
        <v>253</v>
      </c>
      <c r="D3310" s="98" t="s">
        <v>252</v>
      </c>
      <c r="E3310" s="100" t="s">
        <v>244</v>
      </c>
      <c r="F3310" s="100">
        <v>55.04</v>
      </c>
    </row>
    <row r="3311" spans="1:6">
      <c r="A3311" s="6">
        <v>44286</v>
      </c>
      <c r="B3311" s="98" t="s">
        <v>250</v>
      </c>
      <c r="C3311" s="100" t="s">
        <v>254</v>
      </c>
      <c r="D3311" s="98" t="s">
        <v>252</v>
      </c>
      <c r="E3311" s="100" t="s">
        <v>244</v>
      </c>
      <c r="F3311" s="100">
        <v>257.01</v>
      </c>
    </row>
    <row r="3312" spans="1:6">
      <c r="A3312" s="6">
        <v>44286</v>
      </c>
      <c r="B3312" s="98" t="s">
        <v>250</v>
      </c>
      <c r="C3312" s="100" t="s">
        <v>256</v>
      </c>
      <c r="D3312" s="98" t="s">
        <v>252</v>
      </c>
      <c r="E3312" s="100" t="s">
        <v>247</v>
      </c>
      <c r="F3312" s="100">
        <v>5788.18</v>
      </c>
    </row>
    <row r="3313" spans="1:6">
      <c r="A3313" s="6">
        <v>44286</v>
      </c>
      <c r="B3313" s="98" t="s">
        <v>261</v>
      </c>
      <c r="C3313" s="100" t="s">
        <v>265</v>
      </c>
      <c r="D3313" s="98" t="s">
        <v>263</v>
      </c>
      <c r="E3313" s="100" t="s">
        <v>247</v>
      </c>
      <c r="F3313" s="100">
        <v>1078.99</v>
      </c>
    </row>
    <row r="3314" spans="1:6">
      <c r="A3314" s="6">
        <v>44286</v>
      </c>
      <c r="B3314" s="98" t="s">
        <v>261</v>
      </c>
      <c r="C3314" s="100" t="s">
        <v>272</v>
      </c>
      <c r="D3314" s="98" t="s">
        <v>263</v>
      </c>
      <c r="E3314" s="100" t="s">
        <v>247</v>
      </c>
      <c r="F3314" s="100">
        <v>6399.35</v>
      </c>
    </row>
    <row r="3315" spans="1:6">
      <c r="A3315" s="6">
        <v>44286</v>
      </c>
      <c r="B3315" s="98" t="s">
        <v>261</v>
      </c>
      <c r="C3315" s="100" t="s">
        <v>262</v>
      </c>
      <c r="D3315" s="98" t="s">
        <v>263</v>
      </c>
      <c r="E3315" s="100" t="s">
        <v>244</v>
      </c>
      <c r="F3315" s="100">
        <v>141.81</v>
      </c>
    </row>
    <row r="3316" spans="1:6">
      <c r="A3316" s="6">
        <v>44286</v>
      </c>
      <c r="B3316" s="98" t="s">
        <v>261</v>
      </c>
      <c r="C3316" s="100" t="s">
        <v>253</v>
      </c>
      <c r="D3316" s="98" t="s">
        <v>263</v>
      </c>
      <c r="E3316" s="100" t="s">
        <v>244</v>
      </c>
      <c r="F3316" s="100">
        <v>109.34</v>
      </c>
    </row>
    <row r="3317" spans="1:6">
      <c r="A3317" s="6">
        <v>44286</v>
      </c>
      <c r="B3317" s="98" t="s">
        <v>261</v>
      </c>
      <c r="C3317" s="100" t="s">
        <v>245</v>
      </c>
      <c r="D3317" s="98" t="s">
        <v>263</v>
      </c>
      <c r="E3317" s="100" t="s">
        <v>244</v>
      </c>
      <c r="F3317" s="100">
        <v>73.3</v>
      </c>
    </row>
    <row r="3318" spans="1:6">
      <c r="A3318" s="6">
        <v>44286</v>
      </c>
      <c r="B3318" s="98" t="s">
        <v>261</v>
      </c>
      <c r="C3318" s="100" t="s">
        <v>264</v>
      </c>
      <c r="D3318" s="98" t="s">
        <v>263</v>
      </c>
      <c r="E3318" s="100" t="s">
        <v>244</v>
      </c>
      <c r="F3318" s="100">
        <v>852.17</v>
      </c>
    </row>
    <row r="3319" spans="1:6">
      <c r="A3319" s="6">
        <v>44286</v>
      </c>
      <c r="B3319" s="98" t="s">
        <v>261</v>
      </c>
      <c r="C3319" s="100" t="s">
        <v>248</v>
      </c>
      <c r="D3319" s="98" t="s">
        <v>263</v>
      </c>
      <c r="E3319" s="100" t="s">
        <v>247</v>
      </c>
      <c r="F3319" s="100">
        <v>8446.6299999999992</v>
      </c>
    </row>
    <row r="3320" spans="1:6">
      <c r="A3320" s="6">
        <v>44286</v>
      </c>
      <c r="B3320" s="98" t="s">
        <v>267</v>
      </c>
      <c r="C3320" s="100" t="s">
        <v>266</v>
      </c>
      <c r="D3320" s="98" t="s">
        <v>268</v>
      </c>
      <c r="E3320" s="100" t="s">
        <v>258</v>
      </c>
      <c r="F3320" s="100">
        <v>4376.5</v>
      </c>
    </row>
    <row r="3321" spans="1:6">
      <c r="A3321" s="6">
        <v>44286</v>
      </c>
      <c r="B3321" s="98" t="s">
        <v>267</v>
      </c>
      <c r="C3321" s="100" t="s">
        <v>265</v>
      </c>
      <c r="D3321" s="98" t="s">
        <v>268</v>
      </c>
      <c r="E3321" s="100" t="s">
        <v>247</v>
      </c>
      <c r="F3321" s="100">
        <v>1731.22</v>
      </c>
    </row>
    <row r="3322" spans="1:6">
      <c r="A3322" s="6">
        <v>44286</v>
      </c>
      <c r="B3322" s="98" t="s">
        <v>267</v>
      </c>
      <c r="C3322" s="100" t="s">
        <v>560</v>
      </c>
      <c r="D3322" s="98" t="s">
        <v>268</v>
      </c>
      <c r="E3322" s="100" t="s">
        <v>247</v>
      </c>
      <c r="F3322" s="100">
        <v>406.53</v>
      </c>
    </row>
    <row r="3323" spans="1:6">
      <c r="A3323" s="6">
        <v>44286</v>
      </c>
      <c r="B3323" s="98" t="s">
        <v>267</v>
      </c>
      <c r="C3323" s="100" t="s">
        <v>260</v>
      </c>
      <c r="D3323" s="98" t="s">
        <v>268</v>
      </c>
      <c r="E3323" s="100" t="s">
        <v>258</v>
      </c>
      <c r="F3323" s="100">
        <v>4275.33</v>
      </c>
    </row>
    <row r="3324" spans="1:6">
      <c r="A3324" s="6">
        <v>44286</v>
      </c>
      <c r="B3324" s="98" t="s">
        <v>267</v>
      </c>
      <c r="C3324" s="100" t="s">
        <v>262</v>
      </c>
      <c r="D3324" s="98" t="s">
        <v>268</v>
      </c>
      <c r="E3324" s="100" t="s">
        <v>244</v>
      </c>
      <c r="F3324" s="100">
        <v>757.63</v>
      </c>
    </row>
    <row r="3325" spans="1:6">
      <c r="A3325" s="6">
        <v>44286</v>
      </c>
      <c r="B3325" s="98" t="s">
        <v>267</v>
      </c>
      <c r="C3325" s="100" t="s">
        <v>253</v>
      </c>
      <c r="D3325" s="98" t="s">
        <v>268</v>
      </c>
      <c r="E3325" s="100" t="s">
        <v>244</v>
      </c>
      <c r="F3325" s="100">
        <v>138.81</v>
      </c>
    </row>
    <row r="3326" spans="1:6">
      <c r="A3326" s="6">
        <v>44286</v>
      </c>
      <c r="B3326" s="98" t="s">
        <v>267</v>
      </c>
      <c r="C3326" s="100" t="s">
        <v>264</v>
      </c>
      <c r="D3326" s="98" t="s">
        <v>268</v>
      </c>
      <c r="E3326" s="100" t="s">
        <v>244</v>
      </c>
      <c r="F3326" s="100">
        <v>235.34</v>
      </c>
    </row>
    <row r="3327" spans="1:6">
      <c r="A3327" s="6">
        <v>44286</v>
      </c>
      <c r="B3327" s="98" t="s">
        <v>267</v>
      </c>
      <c r="C3327" s="100" t="s">
        <v>248</v>
      </c>
      <c r="D3327" s="98" t="s">
        <v>268</v>
      </c>
      <c r="E3327" s="100" t="s">
        <v>247</v>
      </c>
      <c r="F3327" s="100">
        <v>11738.43</v>
      </c>
    </row>
    <row r="3328" spans="1:6">
      <c r="A3328" s="6">
        <v>44286</v>
      </c>
      <c r="B3328" s="98" t="s">
        <v>269</v>
      </c>
      <c r="C3328" s="100" t="s">
        <v>255</v>
      </c>
      <c r="D3328" s="98" t="s">
        <v>270</v>
      </c>
      <c r="E3328" s="100" t="s">
        <v>247</v>
      </c>
      <c r="F3328" s="100">
        <v>929.58</v>
      </c>
    </row>
    <row r="3329" spans="1:6">
      <c r="A3329" s="6">
        <v>44286</v>
      </c>
      <c r="B3329" s="98" t="s">
        <v>269</v>
      </c>
      <c r="C3329" s="100" t="s">
        <v>246</v>
      </c>
      <c r="D3329" s="98" t="s">
        <v>270</v>
      </c>
      <c r="E3329" s="100" t="s">
        <v>247</v>
      </c>
      <c r="F3329" s="100">
        <v>2156.17</v>
      </c>
    </row>
    <row r="3330" spans="1:6">
      <c r="A3330" s="6">
        <v>44286</v>
      </c>
      <c r="B3330" s="98" t="s">
        <v>269</v>
      </c>
      <c r="C3330" s="100" t="s">
        <v>265</v>
      </c>
      <c r="D3330" s="98" t="s">
        <v>270</v>
      </c>
      <c r="E3330" s="100" t="s">
        <v>247</v>
      </c>
      <c r="F3330" s="100">
        <v>782.22</v>
      </c>
    </row>
    <row r="3331" spans="1:6">
      <c r="A3331" s="6">
        <v>44286</v>
      </c>
      <c r="B3331" s="98" t="s">
        <v>269</v>
      </c>
      <c r="C3331" s="100" t="s">
        <v>242</v>
      </c>
      <c r="D3331" s="98" t="s">
        <v>270</v>
      </c>
      <c r="E3331" s="100" t="s">
        <v>244</v>
      </c>
      <c r="F3331" s="100">
        <v>415.04</v>
      </c>
    </row>
    <row r="3332" spans="1:6">
      <c r="A3332" s="6">
        <v>44286</v>
      </c>
      <c r="B3332" s="98" t="s">
        <v>269</v>
      </c>
      <c r="C3332" s="100" t="s">
        <v>245</v>
      </c>
      <c r="D3332" s="98" t="s">
        <v>270</v>
      </c>
      <c r="E3332" s="100" t="s">
        <v>244</v>
      </c>
      <c r="F3332" s="100">
        <v>388.8</v>
      </c>
    </row>
    <row r="3333" spans="1:6">
      <c r="A3333" s="6">
        <v>44286</v>
      </c>
      <c r="B3333" s="98" t="s">
        <v>269</v>
      </c>
      <c r="C3333" s="100" t="s">
        <v>264</v>
      </c>
      <c r="D3333" s="98" t="s">
        <v>270</v>
      </c>
      <c r="E3333" s="100" t="s">
        <v>244</v>
      </c>
      <c r="F3333" s="100">
        <v>175.82</v>
      </c>
    </row>
    <row r="3334" spans="1:6">
      <c r="A3334" s="6">
        <v>44286</v>
      </c>
      <c r="B3334" s="98" t="s">
        <v>269</v>
      </c>
      <c r="C3334" s="100" t="s">
        <v>271</v>
      </c>
      <c r="D3334" s="98" t="s">
        <v>270</v>
      </c>
      <c r="E3334" s="100" t="s">
        <v>244</v>
      </c>
      <c r="F3334" s="100">
        <v>26.88</v>
      </c>
    </row>
    <row r="3335" spans="1:6">
      <c r="A3335" s="6">
        <v>44286</v>
      </c>
      <c r="B3335" s="98" t="s">
        <v>275</v>
      </c>
      <c r="C3335" s="100" t="s">
        <v>259</v>
      </c>
      <c r="D3335" s="98" t="s">
        <v>276</v>
      </c>
      <c r="E3335" s="100" t="s">
        <v>258</v>
      </c>
      <c r="F3335" s="100">
        <v>37277.019999999997</v>
      </c>
    </row>
    <row r="3336" spans="1:6">
      <c r="A3336" s="6">
        <v>44286</v>
      </c>
      <c r="B3336" s="98" t="s">
        <v>275</v>
      </c>
      <c r="C3336" s="100" t="s">
        <v>257</v>
      </c>
      <c r="D3336" s="98" t="s">
        <v>276</v>
      </c>
      <c r="E3336" s="100" t="s">
        <v>258</v>
      </c>
      <c r="F3336" s="100">
        <v>48251.9</v>
      </c>
    </row>
    <row r="3337" spans="1:6">
      <c r="A3337" s="6">
        <v>44286</v>
      </c>
      <c r="B3337" s="98" t="s">
        <v>275</v>
      </c>
      <c r="C3337" s="100" t="s">
        <v>255</v>
      </c>
      <c r="D3337" s="98" t="s">
        <v>276</v>
      </c>
      <c r="E3337" s="100" t="s">
        <v>247</v>
      </c>
      <c r="F3337" s="100">
        <v>3597.97</v>
      </c>
    </row>
    <row r="3338" spans="1:6">
      <c r="A3338" s="6">
        <v>44286</v>
      </c>
      <c r="B3338" s="98" t="s">
        <v>275</v>
      </c>
      <c r="C3338" s="100" t="s">
        <v>278</v>
      </c>
      <c r="D3338" s="98" t="s">
        <v>276</v>
      </c>
      <c r="E3338" s="100" t="s">
        <v>247</v>
      </c>
      <c r="F3338" s="100">
        <v>2552.5</v>
      </c>
    </row>
    <row r="3339" spans="1:6">
      <c r="A3339" s="6">
        <v>44286</v>
      </c>
      <c r="B3339" s="98" t="s">
        <v>275</v>
      </c>
      <c r="C3339" s="100" t="s">
        <v>286</v>
      </c>
      <c r="D3339" s="98" t="s">
        <v>276</v>
      </c>
      <c r="E3339" s="100" t="s">
        <v>247</v>
      </c>
      <c r="F3339" s="100">
        <v>1867.46</v>
      </c>
    </row>
    <row r="3340" spans="1:6">
      <c r="A3340" s="6">
        <v>44286</v>
      </c>
      <c r="B3340" s="98" t="s">
        <v>275</v>
      </c>
      <c r="C3340" s="100" t="s">
        <v>283</v>
      </c>
      <c r="D3340" s="98" t="s">
        <v>276</v>
      </c>
      <c r="E3340" s="100" t="s">
        <v>247</v>
      </c>
      <c r="F3340" s="100">
        <v>2334.33</v>
      </c>
    </row>
    <row r="3341" spans="1:6">
      <c r="A3341" s="6">
        <v>44286</v>
      </c>
      <c r="B3341" s="98" t="s">
        <v>275</v>
      </c>
      <c r="C3341" s="100" t="s">
        <v>246</v>
      </c>
      <c r="D3341" s="98" t="s">
        <v>276</v>
      </c>
      <c r="E3341" s="100" t="s">
        <v>247</v>
      </c>
      <c r="F3341" s="100">
        <v>3749.78</v>
      </c>
    </row>
    <row r="3342" spans="1:6">
      <c r="A3342" s="6">
        <v>44286</v>
      </c>
      <c r="B3342" s="98" t="s">
        <v>275</v>
      </c>
      <c r="C3342" s="100" t="s">
        <v>289</v>
      </c>
      <c r="D3342" s="98" t="s">
        <v>276</v>
      </c>
      <c r="E3342" s="100" t="s">
        <v>247</v>
      </c>
      <c r="F3342" s="100">
        <v>4024.16</v>
      </c>
    </row>
    <row r="3343" spans="1:6">
      <c r="A3343" s="6">
        <v>44286</v>
      </c>
      <c r="B3343" s="98" t="s">
        <v>275</v>
      </c>
      <c r="C3343" s="100" t="s">
        <v>281</v>
      </c>
      <c r="D3343" s="98" t="s">
        <v>276</v>
      </c>
      <c r="E3343" s="100" t="s">
        <v>247</v>
      </c>
      <c r="F3343" s="100">
        <v>13830.78</v>
      </c>
    </row>
    <row r="3344" spans="1:6">
      <c r="A3344" s="6">
        <v>44286</v>
      </c>
      <c r="B3344" s="98" t="s">
        <v>275</v>
      </c>
      <c r="C3344" s="100" t="s">
        <v>272</v>
      </c>
      <c r="D3344" s="98" t="s">
        <v>276</v>
      </c>
      <c r="E3344" s="100" t="s">
        <v>247</v>
      </c>
      <c r="F3344" s="100">
        <v>1529.48</v>
      </c>
    </row>
    <row r="3345" spans="1:6">
      <c r="A3345" s="6">
        <v>44286</v>
      </c>
      <c r="B3345" s="98" t="s">
        <v>275</v>
      </c>
      <c r="C3345" s="100" t="s">
        <v>560</v>
      </c>
      <c r="D3345" s="98" t="s">
        <v>276</v>
      </c>
      <c r="E3345" s="100" t="s">
        <v>247</v>
      </c>
      <c r="F3345" s="100">
        <v>531.84</v>
      </c>
    </row>
    <row r="3346" spans="1:6">
      <c r="A3346" s="6">
        <v>44286</v>
      </c>
      <c r="B3346" s="98" t="s">
        <v>275</v>
      </c>
      <c r="C3346" s="100" t="s">
        <v>260</v>
      </c>
      <c r="D3346" s="98" t="s">
        <v>276</v>
      </c>
      <c r="E3346" s="100" t="s">
        <v>258</v>
      </c>
      <c r="F3346" s="100">
        <v>19073.04</v>
      </c>
    </row>
    <row r="3347" spans="1:6">
      <c r="A3347" s="6">
        <v>44286</v>
      </c>
      <c r="B3347" s="98" t="s">
        <v>275</v>
      </c>
      <c r="C3347" s="100" t="s">
        <v>249</v>
      </c>
      <c r="D3347" s="98" t="s">
        <v>276</v>
      </c>
      <c r="E3347" s="100" t="s">
        <v>247</v>
      </c>
      <c r="F3347" s="100">
        <v>1155.3599999999999</v>
      </c>
    </row>
    <row r="3348" spans="1:6">
      <c r="A3348" s="6">
        <v>44286</v>
      </c>
      <c r="B3348" s="98" t="s">
        <v>275</v>
      </c>
      <c r="C3348" s="100" t="s">
        <v>465</v>
      </c>
      <c r="D3348" s="98" t="s">
        <v>276</v>
      </c>
      <c r="E3348" s="100" t="s">
        <v>247</v>
      </c>
      <c r="F3348" s="100">
        <v>2334.33</v>
      </c>
    </row>
    <row r="3349" spans="1:6">
      <c r="A3349" s="6">
        <v>44286</v>
      </c>
      <c r="B3349" s="98" t="s">
        <v>275</v>
      </c>
      <c r="C3349" s="100" t="s">
        <v>242</v>
      </c>
      <c r="D3349" s="98" t="s">
        <v>276</v>
      </c>
      <c r="E3349" s="100" t="s">
        <v>244</v>
      </c>
      <c r="F3349" s="100">
        <v>574.52</v>
      </c>
    </row>
    <row r="3350" spans="1:6">
      <c r="A3350" s="6">
        <v>44286</v>
      </c>
      <c r="B3350" s="98" t="s">
        <v>275</v>
      </c>
      <c r="C3350" s="100" t="s">
        <v>262</v>
      </c>
      <c r="D3350" s="98" t="s">
        <v>276</v>
      </c>
      <c r="E3350" s="100" t="s">
        <v>244</v>
      </c>
      <c r="F3350" s="100">
        <v>4193.2700000000004</v>
      </c>
    </row>
    <row r="3351" spans="1:6">
      <c r="A3351" s="6">
        <v>44286</v>
      </c>
      <c r="B3351" s="98" t="s">
        <v>275</v>
      </c>
      <c r="C3351" s="100" t="s">
        <v>251</v>
      </c>
      <c r="D3351" s="98" t="s">
        <v>276</v>
      </c>
      <c r="E3351" s="100" t="s">
        <v>244</v>
      </c>
      <c r="F3351" s="100">
        <v>78.459999999999994</v>
      </c>
    </row>
    <row r="3352" spans="1:6">
      <c r="A3352" s="6">
        <v>44286</v>
      </c>
      <c r="B3352" s="98" t="s">
        <v>275</v>
      </c>
      <c r="C3352" s="100" t="s">
        <v>253</v>
      </c>
      <c r="D3352" s="98" t="s">
        <v>276</v>
      </c>
      <c r="E3352" s="100" t="s">
        <v>244</v>
      </c>
      <c r="F3352" s="100">
        <v>32.43</v>
      </c>
    </row>
    <row r="3353" spans="1:6">
      <c r="A3353" s="6">
        <v>44286</v>
      </c>
      <c r="B3353" s="98" t="s">
        <v>275</v>
      </c>
      <c r="C3353" s="100" t="s">
        <v>245</v>
      </c>
      <c r="D3353" s="98" t="s">
        <v>276</v>
      </c>
      <c r="E3353" s="100" t="s">
        <v>244</v>
      </c>
      <c r="F3353" s="100">
        <v>1086.97</v>
      </c>
    </row>
    <row r="3354" spans="1:6">
      <c r="A3354" s="6">
        <v>44286</v>
      </c>
      <c r="B3354" s="98" t="s">
        <v>275</v>
      </c>
      <c r="C3354" s="100" t="s">
        <v>264</v>
      </c>
      <c r="D3354" s="98" t="s">
        <v>276</v>
      </c>
      <c r="E3354" s="100" t="s">
        <v>244</v>
      </c>
      <c r="F3354" s="100">
        <v>744.8</v>
      </c>
    </row>
    <row r="3355" spans="1:6">
      <c r="A3355" s="6">
        <v>44286</v>
      </c>
      <c r="B3355" s="98" t="s">
        <v>275</v>
      </c>
      <c r="C3355" s="100" t="s">
        <v>271</v>
      </c>
      <c r="D3355" s="98" t="s">
        <v>276</v>
      </c>
      <c r="E3355" s="100" t="s">
        <v>244</v>
      </c>
      <c r="F3355" s="100">
        <v>71.319999999999993</v>
      </c>
    </row>
    <row r="3356" spans="1:6">
      <c r="A3356" s="6">
        <v>44286</v>
      </c>
      <c r="B3356" s="98" t="s">
        <v>275</v>
      </c>
      <c r="C3356" s="100" t="s">
        <v>254</v>
      </c>
      <c r="D3356" s="98" t="s">
        <v>276</v>
      </c>
      <c r="E3356" s="100" t="s">
        <v>244</v>
      </c>
      <c r="F3356" s="100">
        <v>307.76</v>
      </c>
    </row>
    <row r="3357" spans="1:6">
      <c r="A3357" s="6">
        <v>44286</v>
      </c>
      <c r="B3357" s="98" t="s">
        <v>275</v>
      </c>
      <c r="C3357" s="100" t="s">
        <v>285</v>
      </c>
      <c r="D3357" s="98" t="s">
        <v>276</v>
      </c>
      <c r="E3357" s="100" t="s">
        <v>247</v>
      </c>
      <c r="F3357" s="100">
        <v>9319.2900000000009</v>
      </c>
    </row>
    <row r="3358" spans="1:6">
      <c r="A3358" s="6">
        <v>44286</v>
      </c>
      <c r="B3358" s="98" t="s">
        <v>275</v>
      </c>
      <c r="C3358" s="100" t="s">
        <v>280</v>
      </c>
      <c r="D3358" s="98" t="s">
        <v>276</v>
      </c>
      <c r="E3358" s="100" t="s">
        <v>247</v>
      </c>
      <c r="F3358" s="100">
        <v>8850.5300000000007</v>
      </c>
    </row>
    <row r="3359" spans="1:6">
      <c r="A3359" s="6">
        <v>44286</v>
      </c>
      <c r="B3359" s="98" t="s">
        <v>275</v>
      </c>
      <c r="C3359" s="100" t="s">
        <v>277</v>
      </c>
      <c r="D3359" s="98" t="s">
        <v>276</v>
      </c>
      <c r="E3359" s="100" t="s">
        <v>247</v>
      </c>
      <c r="F3359" s="100">
        <v>5914.5</v>
      </c>
    </row>
    <row r="3360" spans="1:6">
      <c r="A3360" s="6">
        <v>44286</v>
      </c>
      <c r="B3360" s="98" t="s">
        <v>275</v>
      </c>
      <c r="C3360" s="100" t="s">
        <v>256</v>
      </c>
      <c r="D3360" s="98" t="s">
        <v>276</v>
      </c>
      <c r="E3360" s="100" t="s">
        <v>247</v>
      </c>
      <c r="F3360" s="100">
        <v>2385.9899999999998</v>
      </c>
    </row>
    <row r="3361" spans="1:6">
      <c r="A3361" s="6">
        <v>44286</v>
      </c>
      <c r="B3361" s="98" t="s">
        <v>275</v>
      </c>
      <c r="C3361" s="100" t="s">
        <v>279</v>
      </c>
      <c r="D3361" s="98" t="s">
        <v>276</v>
      </c>
      <c r="E3361" s="100" t="s">
        <v>247</v>
      </c>
      <c r="F3361" s="100">
        <v>12348.51</v>
      </c>
    </row>
    <row r="3362" spans="1:6">
      <c r="A3362" s="6">
        <v>44286</v>
      </c>
      <c r="B3362" s="98" t="s">
        <v>275</v>
      </c>
      <c r="C3362" s="100" t="s">
        <v>248</v>
      </c>
      <c r="D3362" s="98" t="s">
        <v>276</v>
      </c>
      <c r="E3362" s="100" t="s">
        <v>247</v>
      </c>
      <c r="F3362" s="100">
        <v>11500.55</v>
      </c>
    </row>
    <row r="3363" spans="1:6">
      <c r="A3363" s="6">
        <v>44286</v>
      </c>
      <c r="B3363" s="98" t="s">
        <v>275</v>
      </c>
      <c r="C3363" s="100" t="s">
        <v>282</v>
      </c>
      <c r="D3363" s="98" t="s">
        <v>276</v>
      </c>
      <c r="E3363" s="100" t="s">
        <v>247</v>
      </c>
      <c r="F3363" s="100">
        <v>3955.75</v>
      </c>
    </row>
    <row r="3364" spans="1:6">
      <c r="A3364" s="6">
        <v>44286</v>
      </c>
      <c r="B3364" s="98" t="s">
        <v>287</v>
      </c>
      <c r="C3364" s="100" t="s">
        <v>259</v>
      </c>
      <c r="D3364" s="98" t="s">
        <v>288</v>
      </c>
      <c r="E3364" s="100" t="s">
        <v>258</v>
      </c>
      <c r="F3364" s="100">
        <v>9719.69</v>
      </c>
    </row>
    <row r="3365" spans="1:6">
      <c r="A3365" s="6">
        <v>44286</v>
      </c>
      <c r="B3365" s="98" t="s">
        <v>287</v>
      </c>
      <c r="C3365" s="100" t="s">
        <v>266</v>
      </c>
      <c r="D3365" s="98" t="s">
        <v>288</v>
      </c>
      <c r="E3365" s="100" t="s">
        <v>258</v>
      </c>
      <c r="F3365" s="100">
        <v>219681.28</v>
      </c>
    </row>
    <row r="3366" spans="1:6">
      <c r="A3366" s="6">
        <v>44286</v>
      </c>
      <c r="B3366" s="98" t="s">
        <v>287</v>
      </c>
      <c r="C3366" s="100" t="s">
        <v>257</v>
      </c>
      <c r="D3366" s="98" t="s">
        <v>288</v>
      </c>
      <c r="E3366" s="100" t="s">
        <v>258</v>
      </c>
      <c r="F3366" s="100">
        <v>28830.69</v>
      </c>
    </row>
    <row r="3367" spans="1:6">
      <c r="A3367" s="6">
        <v>44286</v>
      </c>
      <c r="B3367" s="98" t="s">
        <v>287</v>
      </c>
      <c r="C3367" s="100" t="s">
        <v>255</v>
      </c>
      <c r="D3367" s="98" t="s">
        <v>288</v>
      </c>
      <c r="E3367" s="100" t="s">
        <v>247</v>
      </c>
      <c r="F3367" s="100">
        <v>2731.97</v>
      </c>
    </row>
    <row r="3368" spans="1:6">
      <c r="A3368" s="6">
        <v>44286</v>
      </c>
      <c r="B3368" s="98" t="s">
        <v>287</v>
      </c>
      <c r="C3368" s="100" t="s">
        <v>278</v>
      </c>
      <c r="D3368" s="98" t="s">
        <v>288</v>
      </c>
      <c r="E3368" s="100" t="s">
        <v>247</v>
      </c>
      <c r="F3368" s="100">
        <v>6746.74</v>
      </c>
    </row>
    <row r="3369" spans="1:6">
      <c r="A3369" s="6">
        <v>44286</v>
      </c>
      <c r="B3369" s="98" t="s">
        <v>287</v>
      </c>
      <c r="C3369" s="100" t="s">
        <v>290</v>
      </c>
      <c r="D3369" s="98" t="s">
        <v>288</v>
      </c>
      <c r="E3369" s="100" t="s">
        <v>247</v>
      </c>
      <c r="F3369" s="100">
        <v>626.74</v>
      </c>
    </row>
    <row r="3370" spans="1:6">
      <c r="A3370" s="6">
        <v>44286</v>
      </c>
      <c r="B3370" s="98" t="s">
        <v>287</v>
      </c>
      <c r="C3370" s="100" t="s">
        <v>246</v>
      </c>
      <c r="D3370" s="98" t="s">
        <v>288</v>
      </c>
      <c r="E3370" s="100" t="s">
        <v>247</v>
      </c>
      <c r="F3370" s="100">
        <v>3114.82</v>
      </c>
    </row>
    <row r="3371" spans="1:6">
      <c r="A3371" s="6">
        <v>44286</v>
      </c>
      <c r="B3371" s="98" t="s">
        <v>287</v>
      </c>
      <c r="C3371" s="100" t="s">
        <v>265</v>
      </c>
      <c r="D3371" s="98" t="s">
        <v>288</v>
      </c>
      <c r="E3371" s="100" t="s">
        <v>247</v>
      </c>
      <c r="F3371" s="100">
        <v>1875.71</v>
      </c>
    </row>
    <row r="3372" spans="1:6">
      <c r="A3372" s="6">
        <v>44286</v>
      </c>
      <c r="B3372" s="98" t="s">
        <v>287</v>
      </c>
      <c r="C3372" s="100" t="s">
        <v>289</v>
      </c>
      <c r="D3372" s="98" t="s">
        <v>288</v>
      </c>
      <c r="E3372" s="100" t="s">
        <v>247</v>
      </c>
      <c r="F3372" s="100">
        <v>317.76</v>
      </c>
    </row>
    <row r="3373" spans="1:6">
      <c r="A3373" s="6">
        <v>44286</v>
      </c>
      <c r="B3373" s="98" t="s">
        <v>287</v>
      </c>
      <c r="C3373" s="100" t="s">
        <v>272</v>
      </c>
      <c r="D3373" s="98" t="s">
        <v>288</v>
      </c>
      <c r="E3373" s="100" t="s">
        <v>247</v>
      </c>
      <c r="F3373" s="100">
        <v>755.53</v>
      </c>
    </row>
    <row r="3374" spans="1:6">
      <c r="A3374" s="6">
        <v>44286</v>
      </c>
      <c r="B3374" s="98" t="s">
        <v>287</v>
      </c>
      <c r="C3374" s="100" t="s">
        <v>560</v>
      </c>
      <c r="D3374" s="98" t="s">
        <v>288</v>
      </c>
      <c r="E3374" s="100" t="s">
        <v>247</v>
      </c>
      <c r="F3374" s="100">
        <v>1128.3800000000001</v>
      </c>
    </row>
    <row r="3375" spans="1:6">
      <c r="A3375" s="6">
        <v>44286</v>
      </c>
      <c r="B3375" s="98" t="s">
        <v>287</v>
      </c>
      <c r="C3375" s="100" t="s">
        <v>260</v>
      </c>
      <c r="D3375" s="98" t="s">
        <v>288</v>
      </c>
      <c r="E3375" s="100" t="s">
        <v>258</v>
      </c>
      <c r="F3375" s="100">
        <v>10625.71</v>
      </c>
    </row>
    <row r="3376" spans="1:6">
      <c r="A3376" s="6">
        <v>44286</v>
      </c>
      <c r="B3376" s="98" t="s">
        <v>287</v>
      </c>
      <c r="C3376" s="100" t="s">
        <v>249</v>
      </c>
      <c r="D3376" s="98" t="s">
        <v>288</v>
      </c>
      <c r="E3376" s="100" t="s">
        <v>247</v>
      </c>
      <c r="F3376" s="100">
        <v>2963.85</v>
      </c>
    </row>
    <row r="3377" spans="1:6">
      <c r="A3377" s="6">
        <v>44286</v>
      </c>
      <c r="B3377" s="98" t="s">
        <v>287</v>
      </c>
      <c r="C3377" s="100" t="s">
        <v>242</v>
      </c>
      <c r="D3377" s="98" t="s">
        <v>288</v>
      </c>
      <c r="E3377" s="100" t="s">
        <v>244</v>
      </c>
      <c r="F3377" s="100">
        <v>1843.33</v>
      </c>
    </row>
    <row r="3378" spans="1:6">
      <c r="A3378" s="6">
        <v>44286</v>
      </c>
      <c r="B3378" s="98" t="s">
        <v>287</v>
      </c>
      <c r="C3378" s="100" t="s">
        <v>262</v>
      </c>
      <c r="D3378" s="98" t="s">
        <v>288</v>
      </c>
      <c r="E3378" s="100" t="s">
        <v>244</v>
      </c>
      <c r="F3378" s="100">
        <v>11598.13</v>
      </c>
    </row>
    <row r="3379" spans="1:6">
      <c r="A3379" s="6">
        <v>44286</v>
      </c>
      <c r="B3379" s="98" t="s">
        <v>287</v>
      </c>
      <c r="C3379" s="100" t="s">
        <v>251</v>
      </c>
      <c r="D3379" s="98" t="s">
        <v>288</v>
      </c>
      <c r="E3379" s="100" t="s">
        <v>244</v>
      </c>
      <c r="F3379" s="100">
        <v>103.52</v>
      </c>
    </row>
    <row r="3380" spans="1:6">
      <c r="A3380" s="6">
        <v>44286</v>
      </c>
      <c r="B3380" s="98" t="s">
        <v>287</v>
      </c>
      <c r="C3380" s="100" t="s">
        <v>253</v>
      </c>
      <c r="D3380" s="98" t="s">
        <v>288</v>
      </c>
      <c r="E3380" s="100" t="s">
        <v>244</v>
      </c>
      <c r="F3380" s="100">
        <v>38.659999999999997</v>
      </c>
    </row>
    <row r="3381" spans="1:6">
      <c r="A3381" s="6">
        <v>44286</v>
      </c>
      <c r="B3381" s="98" t="s">
        <v>287</v>
      </c>
      <c r="C3381" s="100" t="s">
        <v>245</v>
      </c>
      <c r="D3381" s="98" t="s">
        <v>288</v>
      </c>
      <c r="E3381" s="100" t="s">
        <v>244</v>
      </c>
      <c r="F3381" s="100">
        <v>4130.03</v>
      </c>
    </row>
    <row r="3382" spans="1:6">
      <c r="A3382" s="6">
        <v>44286</v>
      </c>
      <c r="B3382" s="98" t="s">
        <v>287</v>
      </c>
      <c r="C3382" s="100" t="s">
        <v>264</v>
      </c>
      <c r="D3382" s="98" t="s">
        <v>288</v>
      </c>
      <c r="E3382" s="100" t="s">
        <v>244</v>
      </c>
      <c r="F3382" s="100">
        <v>1138.56</v>
      </c>
    </row>
    <row r="3383" spans="1:6">
      <c r="A3383" s="6">
        <v>44286</v>
      </c>
      <c r="B3383" s="98" t="s">
        <v>287</v>
      </c>
      <c r="C3383" s="100" t="s">
        <v>271</v>
      </c>
      <c r="D3383" s="98" t="s">
        <v>288</v>
      </c>
      <c r="E3383" s="100" t="s">
        <v>244</v>
      </c>
      <c r="F3383" s="100">
        <v>24.26</v>
      </c>
    </row>
    <row r="3384" spans="1:6">
      <c r="A3384" s="6">
        <v>44286</v>
      </c>
      <c r="B3384" s="98" t="s">
        <v>287</v>
      </c>
      <c r="C3384" s="100" t="s">
        <v>254</v>
      </c>
      <c r="D3384" s="98" t="s">
        <v>288</v>
      </c>
      <c r="E3384" s="100" t="s">
        <v>244</v>
      </c>
      <c r="F3384" s="100">
        <v>900.61</v>
      </c>
    </row>
    <row r="3385" spans="1:6">
      <c r="A3385" s="6">
        <v>44286</v>
      </c>
      <c r="B3385" s="98" t="s">
        <v>287</v>
      </c>
      <c r="C3385" s="100" t="s">
        <v>293</v>
      </c>
      <c r="D3385" s="98" t="s">
        <v>288</v>
      </c>
      <c r="E3385" s="100" t="s">
        <v>247</v>
      </c>
      <c r="F3385" s="100">
        <v>1576.83</v>
      </c>
    </row>
    <row r="3386" spans="1:6">
      <c r="A3386" s="6">
        <v>44286</v>
      </c>
      <c r="B3386" s="98" t="s">
        <v>287</v>
      </c>
      <c r="C3386" s="100" t="s">
        <v>277</v>
      </c>
      <c r="D3386" s="98" t="s">
        <v>288</v>
      </c>
      <c r="E3386" s="100" t="s">
        <v>247</v>
      </c>
      <c r="F3386" s="100">
        <v>2534.6</v>
      </c>
    </row>
    <row r="3387" spans="1:6">
      <c r="A3387" s="6">
        <v>44286</v>
      </c>
      <c r="B3387" s="98" t="s">
        <v>287</v>
      </c>
      <c r="C3387" s="100" t="s">
        <v>291</v>
      </c>
      <c r="D3387" s="98" t="s">
        <v>288</v>
      </c>
      <c r="E3387" s="100" t="s">
        <v>247</v>
      </c>
      <c r="F3387" s="100">
        <v>15345.96</v>
      </c>
    </row>
    <row r="3388" spans="1:6">
      <c r="A3388" s="6">
        <v>44286</v>
      </c>
      <c r="B3388" s="98" t="s">
        <v>287</v>
      </c>
      <c r="C3388" s="100" t="s">
        <v>256</v>
      </c>
      <c r="D3388" s="98" t="s">
        <v>288</v>
      </c>
      <c r="E3388" s="100" t="s">
        <v>247</v>
      </c>
      <c r="F3388" s="100">
        <v>1225.1600000000001</v>
      </c>
    </row>
    <row r="3389" spans="1:6">
      <c r="A3389" s="6">
        <v>44286</v>
      </c>
      <c r="B3389" s="98" t="s">
        <v>287</v>
      </c>
      <c r="C3389" s="100" t="s">
        <v>274</v>
      </c>
      <c r="D3389" s="98" t="s">
        <v>288</v>
      </c>
      <c r="E3389" s="100" t="s">
        <v>247</v>
      </c>
      <c r="F3389" s="100">
        <v>5198.49</v>
      </c>
    </row>
    <row r="3390" spans="1:6">
      <c r="A3390" s="6">
        <v>44286</v>
      </c>
      <c r="B3390" s="98" t="s">
        <v>296</v>
      </c>
      <c r="C3390" s="100" t="s">
        <v>266</v>
      </c>
      <c r="D3390" s="98" t="s">
        <v>297</v>
      </c>
      <c r="E3390" s="100" t="s">
        <v>258</v>
      </c>
      <c r="F3390" s="100">
        <v>18200.939999999999</v>
      </c>
    </row>
    <row r="3391" spans="1:6">
      <c r="A3391" s="6">
        <v>44286</v>
      </c>
      <c r="B3391" s="98" t="s">
        <v>296</v>
      </c>
      <c r="C3391" s="100" t="s">
        <v>255</v>
      </c>
      <c r="D3391" s="98" t="s">
        <v>297</v>
      </c>
      <c r="E3391" s="100" t="s">
        <v>247</v>
      </c>
      <c r="F3391" s="100">
        <v>227.17</v>
      </c>
    </row>
    <row r="3392" spans="1:6">
      <c r="A3392" s="6">
        <v>44286</v>
      </c>
      <c r="B3392" s="98" t="s">
        <v>296</v>
      </c>
      <c r="C3392" s="100" t="s">
        <v>299</v>
      </c>
      <c r="D3392" s="98" t="s">
        <v>297</v>
      </c>
      <c r="E3392" s="100" t="s">
        <v>247</v>
      </c>
      <c r="F3392" s="100">
        <v>2233.9499999999998</v>
      </c>
    </row>
    <row r="3393" spans="1:6">
      <c r="A3393" s="6">
        <v>44286</v>
      </c>
      <c r="B3393" s="98" t="s">
        <v>296</v>
      </c>
      <c r="C3393" s="100" t="s">
        <v>290</v>
      </c>
      <c r="D3393" s="98" t="s">
        <v>297</v>
      </c>
      <c r="E3393" s="100" t="s">
        <v>247</v>
      </c>
      <c r="F3393" s="100">
        <v>461.37</v>
      </c>
    </row>
    <row r="3394" spans="1:6">
      <c r="A3394" s="6">
        <v>44286</v>
      </c>
      <c r="B3394" s="98" t="s">
        <v>296</v>
      </c>
      <c r="C3394" s="100" t="s">
        <v>246</v>
      </c>
      <c r="D3394" s="98" t="s">
        <v>297</v>
      </c>
      <c r="E3394" s="100" t="s">
        <v>247</v>
      </c>
      <c r="F3394" s="100">
        <v>1755.48</v>
      </c>
    </row>
    <row r="3395" spans="1:6">
      <c r="A3395" s="6">
        <v>44286</v>
      </c>
      <c r="B3395" s="98" t="s">
        <v>296</v>
      </c>
      <c r="C3395" s="100" t="s">
        <v>265</v>
      </c>
      <c r="D3395" s="98" t="s">
        <v>297</v>
      </c>
      <c r="E3395" s="100" t="s">
        <v>247</v>
      </c>
      <c r="F3395" s="100">
        <v>128.13</v>
      </c>
    </row>
    <row r="3396" spans="1:6">
      <c r="A3396" s="6">
        <v>44286</v>
      </c>
      <c r="B3396" s="98" t="s">
        <v>296</v>
      </c>
      <c r="C3396" s="100" t="s">
        <v>289</v>
      </c>
      <c r="D3396" s="98" t="s">
        <v>297</v>
      </c>
      <c r="E3396" s="100" t="s">
        <v>247</v>
      </c>
      <c r="F3396" s="100">
        <v>5072.6099999999997</v>
      </c>
    </row>
    <row r="3397" spans="1:6">
      <c r="A3397" s="6">
        <v>44286</v>
      </c>
      <c r="B3397" s="98" t="s">
        <v>296</v>
      </c>
      <c r="C3397" s="100" t="s">
        <v>272</v>
      </c>
      <c r="D3397" s="98" t="s">
        <v>297</v>
      </c>
      <c r="E3397" s="100" t="s">
        <v>247</v>
      </c>
      <c r="F3397" s="100">
        <v>15.38</v>
      </c>
    </row>
    <row r="3398" spans="1:6">
      <c r="A3398" s="6">
        <v>44286</v>
      </c>
      <c r="B3398" s="98" t="s">
        <v>296</v>
      </c>
      <c r="C3398" s="100" t="s">
        <v>560</v>
      </c>
      <c r="D3398" s="98" t="s">
        <v>297</v>
      </c>
      <c r="E3398" s="100" t="s">
        <v>247</v>
      </c>
      <c r="F3398" s="100">
        <v>82.94</v>
      </c>
    </row>
    <row r="3399" spans="1:6">
      <c r="A3399" s="6">
        <v>44286</v>
      </c>
      <c r="B3399" s="98" t="s">
        <v>296</v>
      </c>
      <c r="C3399" s="100" t="s">
        <v>260</v>
      </c>
      <c r="D3399" s="98" t="s">
        <v>297</v>
      </c>
      <c r="E3399" s="100" t="s">
        <v>258</v>
      </c>
      <c r="F3399" s="100">
        <v>5692.78</v>
      </c>
    </row>
    <row r="3400" spans="1:6">
      <c r="A3400" s="6">
        <v>44286</v>
      </c>
      <c r="B3400" s="98" t="s">
        <v>296</v>
      </c>
      <c r="C3400" s="100" t="s">
        <v>249</v>
      </c>
      <c r="D3400" s="98" t="s">
        <v>297</v>
      </c>
      <c r="E3400" s="100" t="s">
        <v>247</v>
      </c>
      <c r="F3400" s="100">
        <v>2562.34</v>
      </c>
    </row>
    <row r="3401" spans="1:6">
      <c r="A3401" s="6">
        <v>44286</v>
      </c>
      <c r="B3401" s="98" t="s">
        <v>296</v>
      </c>
      <c r="C3401" s="100" t="s">
        <v>242</v>
      </c>
      <c r="D3401" s="98" t="s">
        <v>297</v>
      </c>
      <c r="E3401" s="100" t="s">
        <v>244</v>
      </c>
      <c r="F3401" s="100">
        <v>468.72</v>
      </c>
    </row>
    <row r="3402" spans="1:6">
      <c r="A3402" s="6">
        <v>44286</v>
      </c>
      <c r="B3402" s="98" t="s">
        <v>296</v>
      </c>
      <c r="C3402" s="100" t="s">
        <v>262</v>
      </c>
      <c r="D3402" s="98" t="s">
        <v>297</v>
      </c>
      <c r="E3402" s="100" t="s">
        <v>244</v>
      </c>
      <c r="F3402" s="100">
        <v>3642.49</v>
      </c>
    </row>
    <row r="3403" spans="1:6">
      <c r="A3403" s="6">
        <v>44286</v>
      </c>
      <c r="B3403" s="98" t="s">
        <v>296</v>
      </c>
      <c r="C3403" s="100" t="s">
        <v>251</v>
      </c>
      <c r="D3403" s="98" t="s">
        <v>297</v>
      </c>
      <c r="E3403" s="100" t="s">
        <v>244</v>
      </c>
      <c r="F3403" s="100">
        <v>70.94</v>
      </c>
    </row>
    <row r="3404" spans="1:6">
      <c r="A3404" s="6">
        <v>44286</v>
      </c>
      <c r="B3404" s="98" t="s">
        <v>296</v>
      </c>
      <c r="C3404" s="100" t="s">
        <v>253</v>
      </c>
      <c r="D3404" s="98" t="s">
        <v>297</v>
      </c>
      <c r="E3404" s="100" t="s">
        <v>244</v>
      </c>
      <c r="F3404" s="100">
        <v>115.14</v>
      </c>
    </row>
    <row r="3405" spans="1:6">
      <c r="A3405" s="6">
        <v>44286</v>
      </c>
      <c r="B3405" s="98" t="s">
        <v>296</v>
      </c>
      <c r="C3405" s="100" t="s">
        <v>245</v>
      </c>
      <c r="D3405" s="98" t="s">
        <v>297</v>
      </c>
      <c r="E3405" s="100" t="s">
        <v>244</v>
      </c>
      <c r="F3405" s="100">
        <v>1666.18</v>
      </c>
    </row>
    <row r="3406" spans="1:6">
      <c r="A3406" s="6">
        <v>44286</v>
      </c>
      <c r="B3406" s="98" t="s">
        <v>296</v>
      </c>
      <c r="C3406" s="100" t="s">
        <v>264</v>
      </c>
      <c r="D3406" s="98" t="s">
        <v>297</v>
      </c>
      <c r="E3406" s="100" t="s">
        <v>244</v>
      </c>
      <c r="F3406" s="100">
        <v>651.99</v>
      </c>
    </row>
    <row r="3407" spans="1:6">
      <c r="A3407" s="6">
        <v>44286</v>
      </c>
      <c r="B3407" s="98" t="s">
        <v>296</v>
      </c>
      <c r="C3407" s="100" t="s">
        <v>271</v>
      </c>
      <c r="D3407" s="98" t="s">
        <v>297</v>
      </c>
      <c r="E3407" s="100" t="s">
        <v>244</v>
      </c>
      <c r="F3407" s="100">
        <v>7.77</v>
      </c>
    </row>
    <row r="3408" spans="1:6">
      <c r="A3408" s="6">
        <v>44286</v>
      </c>
      <c r="B3408" s="98" t="s">
        <v>296</v>
      </c>
      <c r="C3408" s="100" t="s">
        <v>254</v>
      </c>
      <c r="D3408" s="98" t="s">
        <v>297</v>
      </c>
      <c r="E3408" s="100" t="s">
        <v>244</v>
      </c>
      <c r="F3408" s="100">
        <v>544.49</v>
      </c>
    </row>
    <row r="3409" spans="1:6">
      <c r="A3409" s="6">
        <v>44286</v>
      </c>
      <c r="B3409" s="98" t="s">
        <v>296</v>
      </c>
      <c r="C3409" s="100" t="s">
        <v>280</v>
      </c>
      <c r="D3409" s="98" t="s">
        <v>297</v>
      </c>
      <c r="E3409" s="100" t="s">
        <v>247</v>
      </c>
      <c r="F3409" s="100">
        <v>1430.5</v>
      </c>
    </row>
    <row r="3410" spans="1:6">
      <c r="A3410" s="6">
        <v>44286</v>
      </c>
      <c r="B3410" s="98" t="s">
        <v>296</v>
      </c>
      <c r="C3410" s="100" t="s">
        <v>277</v>
      </c>
      <c r="D3410" s="98" t="s">
        <v>297</v>
      </c>
      <c r="E3410" s="100" t="s">
        <v>247</v>
      </c>
      <c r="F3410" s="100">
        <v>1858.38</v>
      </c>
    </row>
    <row r="3411" spans="1:6">
      <c r="A3411" s="6">
        <v>44286</v>
      </c>
      <c r="B3411" s="98" t="s">
        <v>296</v>
      </c>
      <c r="C3411" s="100" t="s">
        <v>298</v>
      </c>
      <c r="D3411" s="98" t="s">
        <v>297</v>
      </c>
      <c r="E3411" s="100" t="s">
        <v>247</v>
      </c>
      <c r="F3411" s="100">
        <v>6773.65</v>
      </c>
    </row>
    <row r="3412" spans="1:6">
      <c r="A3412" s="6">
        <v>44286</v>
      </c>
      <c r="B3412" s="98" t="s">
        <v>296</v>
      </c>
      <c r="C3412" s="100" t="s">
        <v>291</v>
      </c>
      <c r="D3412" s="98" t="s">
        <v>297</v>
      </c>
      <c r="E3412" s="100" t="s">
        <v>247</v>
      </c>
      <c r="F3412" s="100">
        <v>9544.99</v>
      </c>
    </row>
    <row r="3413" spans="1:6">
      <c r="A3413" s="6">
        <v>44286</v>
      </c>
      <c r="B3413" s="98" t="s">
        <v>296</v>
      </c>
      <c r="C3413" s="100" t="s">
        <v>248</v>
      </c>
      <c r="D3413" s="98" t="s">
        <v>297</v>
      </c>
      <c r="E3413" s="100" t="s">
        <v>247</v>
      </c>
      <c r="F3413" s="100">
        <v>1280.9100000000001</v>
      </c>
    </row>
    <row r="3414" spans="1:6">
      <c r="A3414" s="6">
        <v>44286</v>
      </c>
      <c r="B3414" s="98" t="s">
        <v>296</v>
      </c>
      <c r="C3414" s="100" t="s">
        <v>274</v>
      </c>
      <c r="D3414" s="98" t="s">
        <v>297</v>
      </c>
      <c r="E3414" s="100" t="s">
        <v>247</v>
      </c>
      <c r="F3414" s="100">
        <v>4420.6499999999996</v>
      </c>
    </row>
    <row r="3415" spans="1:6">
      <c r="A3415" s="6">
        <v>44286</v>
      </c>
      <c r="B3415" s="98" t="s">
        <v>300</v>
      </c>
      <c r="C3415" s="100" t="s">
        <v>303</v>
      </c>
      <c r="D3415" s="98" t="s">
        <v>302</v>
      </c>
      <c r="E3415" s="100" t="s">
        <v>247</v>
      </c>
      <c r="F3415" s="100">
        <v>3320.16</v>
      </c>
    </row>
    <row r="3416" spans="1:6">
      <c r="A3416" s="6">
        <v>44286</v>
      </c>
      <c r="B3416" s="98" t="s">
        <v>300</v>
      </c>
      <c r="C3416" s="100" t="s">
        <v>301</v>
      </c>
      <c r="D3416" s="98" t="s">
        <v>302</v>
      </c>
      <c r="E3416" s="100" t="s">
        <v>247</v>
      </c>
      <c r="F3416" s="100">
        <v>12450.59</v>
      </c>
    </row>
    <row r="3417" spans="1:6">
      <c r="A3417" s="6">
        <v>44286</v>
      </c>
      <c r="B3417" s="98" t="s">
        <v>304</v>
      </c>
      <c r="C3417" s="100" t="s">
        <v>262</v>
      </c>
      <c r="D3417" s="98" t="s">
        <v>305</v>
      </c>
      <c r="E3417" s="100" t="s">
        <v>244</v>
      </c>
      <c r="F3417" s="100">
        <v>256.76</v>
      </c>
    </row>
    <row r="3418" spans="1:6">
      <c r="A3418" s="6">
        <v>44286</v>
      </c>
      <c r="B3418" s="98" t="s">
        <v>304</v>
      </c>
      <c r="C3418" s="100" t="s">
        <v>245</v>
      </c>
      <c r="D3418" s="98" t="s">
        <v>305</v>
      </c>
      <c r="E3418" s="100" t="s">
        <v>244</v>
      </c>
      <c r="F3418" s="100">
        <v>180.33</v>
      </c>
    </row>
    <row r="3419" spans="1:6">
      <c r="A3419" s="6">
        <v>44286</v>
      </c>
      <c r="B3419" s="98" t="s">
        <v>306</v>
      </c>
      <c r="C3419" s="100" t="s">
        <v>242</v>
      </c>
      <c r="D3419" s="98" t="s">
        <v>307</v>
      </c>
      <c r="E3419" s="100" t="s">
        <v>244</v>
      </c>
      <c r="F3419" s="100">
        <v>10.24</v>
      </c>
    </row>
    <row r="3420" spans="1:6">
      <c r="A3420" s="6">
        <v>44286</v>
      </c>
      <c r="B3420" s="98" t="s">
        <v>306</v>
      </c>
      <c r="C3420" s="100" t="s">
        <v>262</v>
      </c>
      <c r="D3420" s="98" t="s">
        <v>307</v>
      </c>
      <c r="E3420" s="100" t="s">
        <v>244</v>
      </c>
      <c r="F3420" s="100">
        <v>54.85</v>
      </c>
    </row>
    <row r="3421" spans="1:6">
      <c r="A3421" s="6">
        <v>44286</v>
      </c>
      <c r="B3421" s="98" t="s">
        <v>306</v>
      </c>
      <c r="C3421" s="100" t="s">
        <v>245</v>
      </c>
      <c r="D3421" s="98" t="s">
        <v>307</v>
      </c>
      <c r="E3421" s="100" t="s">
        <v>244</v>
      </c>
      <c r="F3421" s="100">
        <v>16.52</v>
      </c>
    </row>
    <row r="3422" spans="1:6">
      <c r="A3422" s="6">
        <v>44286</v>
      </c>
      <c r="B3422" s="98" t="s">
        <v>306</v>
      </c>
      <c r="C3422" s="100" t="s">
        <v>264</v>
      </c>
      <c r="D3422" s="98" t="s">
        <v>307</v>
      </c>
      <c r="E3422" s="100" t="s">
        <v>244</v>
      </c>
      <c r="F3422" s="100">
        <v>4.84</v>
      </c>
    </row>
    <row r="3423" spans="1:6">
      <c r="A3423" s="6">
        <v>44286</v>
      </c>
      <c r="B3423" s="98" t="s">
        <v>310</v>
      </c>
      <c r="C3423" s="100" t="s">
        <v>265</v>
      </c>
      <c r="D3423" s="98" t="s">
        <v>311</v>
      </c>
      <c r="E3423" s="100" t="s">
        <v>247</v>
      </c>
      <c r="F3423" s="100">
        <v>1251.27</v>
      </c>
    </row>
    <row r="3424" spans="1:6">
      <c r="A3424" s="6">
        <v>44286</v>
      </c>
      <c r="B3424" s="98" t="s">
        <v>310</v>
      </c>
      <c r="C3424" s="100" t="s">
        <v>262</v>
      </c>
      <c r="D3424" s="98" t="s">
        <v>311</v>
      </c>
      <c r="E3424" s="100" t="s">
        <v>244</v>
      </c>
      <c r="F3424" s="100">
        <v>72.97</v>
      </c>
    </row>
    <row r="3425" spans="1:6">
      <c r="A3425" s="6">
        <v>44286</v>
      </c>
      <c r="B3425" s="98" t="s">
        <v>310</v>
      </c>
      <c r="C3425" s="100" t="s">
        <v>245</v>
      </c>
      <c r="D3425" s="98" t="s">
        <v>311</v>
      </c>
      <c r="E3425" s="100" t="s">
        <v>244</v>
      </c>
      <c r="F3425" s="100">
        <v>57.28</v>
      </c>
    </row>
    <row r="3426" spans="1:6">
      <c r="A3426" s="6">
        <v>44286</v>
      </c>
      <c r="B3426" s="98" t="s">
        <v>310</v>
      </c>
      <c r="C3426" s="100" t="s">
        <v>271</v>
      </c>
      <c r="D3426" s="98" t="s">
        <v>311</v>
      </c>
      <c r="E3426" s="100" t="s">
        <v>244</v>
      </c>
      <c r="F3426" s="100">
        <v>17.32</v>
      </c>
    </row>
    <row r="3427" spans="1:6">
      <c r="A3427" s="6">
        <v>44286</v>
      </c>
      <c r="B3427" s="98" t="s">
        <v>310</v>
      </c>
      <c r="C3427" s="100" t="s">
        <v>277</v>
      </c>
      <c r="D3427" s="98" t="s">
        <v>311</v>
      </c>
      <c r="E3427" s="100" t="s">
        <v>247</v>
      </c>
      <c r="F3427" s="100">
        <v>4443.24</v>
      </c>
    </row>
    <row r="3428" spans="1:6">
      <c r="A3428" s="6">
        <v>44286</v>
      </c>
      <c r="B3428" s="98" t="s">
        <v>310</v>
      </c>
      <c r="C3428" s="100" t="s">
        <v>248</v>
      </c>
      <c r="D3428" s="98" t="s">
        <v>311</v>
      </c>
      <c r="E3428" s="100" t="s">
        <v>247</v>
      </c>
      <c r="F3428" s="100">
        <v>4146.37</v>
      </c>
    </row>
    <row r="3429" spans="1:6">
      <c r="A3429" s="6">
        <v>44286</v>
      </c>
      <c r="B3429" s="98" t="s">
        <v>312</v>
      </c>
      <c r="C3429" s="100" t="s">
        <v>272</v>
      </c>
      <c r="D3429" s="98" t="s">
        <v>313</v>
      </c>
      <c r="E3429" s="100" t="s">
        <v>247</v>
      </c>
      <c r="F3429" s="100">
        <v>1530.65</v>
      </c>
    </row>
    <row r="3430" spans="1:6">
      <c r="A3430" s="6">
        <v>44286</v>
      </c>
      <c r="B3430" s="98" t="s">
        <v>312</v>
      </c>
      <c r="C3430" s="100" t="s">
        <v>242</v>
      </c>
      <c r="D3430" s="98" t="s">
        <v>313</v>
      </c>
      <c r="E3430" s="100" t="s">
        <v>244</v>
      </c>
      <c r="F3430" s="100">
        <v>160.69999999999999</v>
      </c>
    </row>
    <row r="3431" spans="1:6">
      <c r="A3431" s="6">
        <v>44286</v>
      </c>
      <c r="B3431" s="98" t="s">
        <v>312</v>
      </c>
      <c r="C3431" s="100" t="s">
        <v>262</v>
      </c>
      <c r="D3431" s="98" t="s">
        <v>313</v>
      </c>
      <c r="E3431" s="100" t="s">
        <v>244</v>
      </c>
      <c r="F3431" s="100">
        <v>29802.11</v>
      </c>
    </row>
    <row r="3432" spans="1:6">
      <c r="A3432" s="6">
        <v>44286</v>
      </c>
      <c r="B3432" s="98" t="s">
        <v>312</v>
      </c>
      <c r="C3432" s="100" t="s">
        <v>253</v>
      </c>
      <c r="D3432" s="98" t="s">
        <v>313</v>
      </c>
      <c r="E3432" s="100" t="s">
        <v>244</v>
      </c>
      <c r="F3432" s="100">
        <v>49.26</v>
      </c>
    </row>
    <row r="3433" spans="1:6">
      <c r="A3433" s="6">
        <v>44286</v>
      </c>
      <c r="B3433" s="98" t="s">
        <v>312</v>
      </c>
      <c r="C3433" s="100" t="s">
        <v>245</v>
      </c>
      <c r="D3433" s="98" t="s">
        <v>313</v>
      </c>
      <c r="E3433" s="100" t="s">
        <v>244</v>
      </c>
      <c r="F3433" s="100">
        <v>73.239999999999995</v>
      </c>
    </row>
    <row r="3434" spans="1:6">
      <c r="A3434" s="6">
        <v>44286</v>
      </c>
      <c r="B3434" s="98" t="s">
        <v>314</v>
      </c>
      <c r="C3434" s="100" t="s">
        <v>289</v>
      </c>
      <c r="D3434" s="98" t="s">
        <v>315</v>
      </c>
      <c r="E3434" s="100" t="s">
        <v>247</v>
      </c>
      <c r="F3434" s="100">
        <v>3296.19</v>
      </c>
    </row>
    <row r="3435" spans="1:6">
      <c r="A3435" s="6">
        <v>44286</v>
      </c>
      <c r="B3435" s="98" t="s">
        <v>314</v>
      </c>
      <c r="C3435" s="100" t="s">
        <v>242</v>
      </c>
      <c r="D3435" s="98" t="s">
        <v>315</v>
      </c>
      <c r="E3435" s="100" t="s">
        <v>244</v>
      </c>
      <c r="F3435" s="100">
        <v>5277.94</v>
      </c>
    </row>
    <row r="3436" spans="1:6">
      <c r="A3436" s="6">
        <v>44286</v>
      </c>
      <c r="B3436" s="98" t="s">
        <v>314</v>
      </c>
      <c r="C3436" s="100" t="s">
        <v>262</v>
      </c>
      <c r="D3436" s="98" t="s">
        <v>315</v>
      </c>
      <c r="E3436" s="100" t="s">
        <v>244</v>
      </c>
      <c r="F3436" s="100">
        <v>6064.6</v>
      </c>
    </row>
    <row r="3437" spans="1:6">
      <c r="A3437" s="6">
        <v>44286</v>
      </c>
      <c r="B3437" s="98" t="s">
        <v>314</v>
      </c>
      <c r="C3437" s="100" t="s">
        <v>245</v>
      </c>
      <c r="D3437" s="98" t="s">
        <v>315</v>
      </c>
      <c r="E3437" s="100" t="s">
        <v>244</v>
      </c>
      <c r="F3437" s="100">
        <v>58.87</v>
      </c>
    </row>
    <row r="3438" spans="1:6">
      <c r="A3438" s="6">
        <v>44286</v>
      </c>
      <c r="B3438" s="98" t="s">
        <v>316</v>
      </c>
      <c r="C3438" s="100" t="s">
        <v>262</v>
      </c>
      <c r="D3438" s="98" t="s">
        <v>317</v>
      </c>
      <c r="E3438" s="100" t="s">
        <v>244</v>
      </c>
      <c r="F3438" s="100">
        <v>380.04</v>
      </c>
    </row>
    <row r="3439" spans="1:6">
      <c r="A3439" s="6">
        <v>44286</v>
      </c>
      <c r="B3439" s="98" t="s">
        <v>316</v>
      </c>
      <c r="C3439" s="100" t="s">
        <v>245</v>
      </c>
      <c r="D3439" s="98" t="s">
        <v>317</v>
      </c>
      <c r="E3439" s="100" t="s">
        <v>244</v>
      </c>
      <c r="F3439" s="100">
        <v>185.36</v>
      </c>
    </row>
    <row r="3440" spans="1:6">
      <c r="A3440" s="6">
        <v>44286</v>
      </c>
      <c r="B3440" s="98" t="s">
        <v>316</v>
      </c>
      <c r="C3440" s="100" t="s">
        <v>254</v>
      </c>
      <c r="D3440" s="98" t="s">
        <v>317</v>
      </c>
      <c r="E3440" s="100" t="s">
        <v>244</v>
      </c>
      <c r="F3440" s="100">
        <v>39.86</v>
      </c>
    </row>
    <row r="3441" spans="1:6">
      <c r="A3441" s="6">
        <v>44286</v>
      </c>
      <c r="B3441" s="98" t="s">
        <v>318</v>
      </c>
      <c r="C3441" s="100" t="s">
        <v>255</v>
      </c>
      <c r="D3441" s="98" t="s">
        <v>319</v>
      </c>
      <c r="E3441" s="100" t="s">
        <v>247</v>
      </c>
      <c r="F3441" s="100">
        <v>3548.93</v>
      </c>
    </row>
    <row r="3442" spans="1:6">
      <c r="A3442" s="6">
        <v>44286</v>
      </c>
      <c r="B3442" s="98" t="s">
        <v>318</v>
      </c>
      <c r="C3442" s="100" t="s">
        <v>278</v>
      </c>
      <c r="D3442" s="98" t="s">
        <v>319</v>
      </c>
      <c r="E3442" s="100" t="s">
        <v>247</v>
      </c>
      <c r="F3442" s="100">
        <v>15610.79</v>
      </c>
    </row>
    <row r="3443" spans="1:6">
      <c r="A3443" s="6">
        <v>44286</v>
      </c>
      <c r="B3443" s="98" t="s">
        <v>318</v>
      </c>
      <c r="C3443" s="100" t="s">
        <v>246</v>
      </c>
      <c r="D3443" s="98" t="s">
        <v>319</v>
      </c>
      <c r="E3443" s="100" t="s">
        <v>247</v>
      </c>
      <c r="F3443" s="100">
        <v>5100.8900000000003</v>
      </c>
    </row>
    <row r="3444" spans="1:6">
      <c r="A3444" s="6">
        <v>44286</v>
      </c>
      <c r="B3444" s="98" t="s">
        <v>318</v>
      </c>
      <c r="C3444" s="100" t="s">
        <v>560</v>
      </c>
      <c r="D3444" s="98" t="s">
        <v>319</v>
      </c>
      <c r="E3444" s="100" t="s">
        <v>247</v>
      </c>
      <c r="F3444" s="100">
        <v>767.76</v>
      </c>
    </row>
    <row r="3445" spans="1:6">
      <c r="A3445" s="6">
        <v>44286</v>
      </c>
      <c r="B3445" s="98" t="s">
        <v>318</v>
      </c>
      <c r="C3445" s="100" t="s">
        <v>262</v>
      </c>
      <c r="D3445" s="98" t="s">
        <v>319</v>
      </c>
      <c r="E3445" s="100" t="s">
        <v>244</v>
      </c>
      <c r="F3445" s="100">
        <v>2045.4</v>
      </c>
    </row>
    <row r="3446" spans="1:6">
      <c r="A3446" s="6">
        <v>44286</v>
      </c>
      <c r="B3446" s="98" t="s">
        <v>318</v>
      </c>
      <c r="C3446" s="100" t="s">
        <v>251</v>
      </c>
      <c r="D3446" s="98" t="s">
        <v>319</v>
      </c>
      <c r="E3446" s="100" t="s">
        <v>244</v>
      </c>
      <c r="F3446" s="100">
        <v>4.07</v>
      </c>
    </row>
    <row r="3447" spans="1:6">
      <c r="A3447" s="6">
        <v>44286</v>
      </c>
      <c r="B3447" s="98" t="s">
        <v>318</v>
      </c>
      <c r="C3447" s="100" t="s">
        <v>253</v>
      </c>
      <c r="D3447" s="98" t="s">
        <v>319</v>
      </c>
      <c r="E3447" s="100" t="s">
        <v>244</v>
      </c>
      <c r="F3447" s="100">
        <v>191</v>
      </c>
    </row>
    <row r="3448" spans="1:6">
      <c r="A3448" s="6">
        <v>44286</v>
      </c>
      <c r="B3448" s="98" t="s">
        <v>318</v>
      </c>
      <c r="C3448" s="100" t="s">
        <v>245</v>
      </c>
      <c r="D3448" s="98" t="s">
        <v>319</v>
      </c>
      <c r="E3448" s="100" t="s">
        <v>244</v>
      </c>
      <c r="F3448" s="100">
        <v>886.14</v>
      </c>
    </row>
    <row r="3449" spans="1:6">
      <c r="A3449" s="6">
        <v>44286</v>
      </c>
      <c r="B3449" s="98" t="s">
        <v>318</v>
      </c>
      <c r="C3449" s="100" t="s">
        <v>264</v>
      </c>
      <c r="D3449" s="98" t="s">
        <v>319</v>
      </c>
      <c r="E3449" s="100" t="s">
        <v>244</v>
      </c>
      <c r="F3449" s="100">
        <v>834.59</v>
      </c>
    </row>
    <row r="3450" spans="1:6">
      <c r="A3450" s="6">
        <v>44286</v>
      </c>
      <c r="B3450" s="98" t="s">
        <v>318</v>
      </c>
      <c r="C3450" s="100" t="s">
        <v>271</v>
      </c>
      <c r="D3450" s="98" t="s">
        <v>319</v>
      </c>
      <c r="E3450" s="100" t="s">
        <v>244</v>
      </c>
      <c r="F3450" s="100">
        <v>77.33</v>
      </c>
    </row>
    <row r="3451" spans="1:6">
      <c r="A3451" s="6">
        <v>44286</v>
      </c>
      <c r="B3451" s="98" t="s">
        <v>318</v>
      </c>
      <c r="C3451" s="100" t="s">
        <v>254</v>
      </c>
      <c r="D3451" s="98" t="s">
        <v>319</v>
      </c>
      <c r="E3451" s="100" t="s">
        <v>244</v>
      </c>
      <c r="F3451" s="100">
        <v>881.11</v>
      </c>
    </row>
    <row r="3452" spans="1:6">
      <c r="A3452" s="6">
        <v>44286</v>
      </c>
      <c r="B3452" s="98" t="s">
        <v>318</v>
      </c>
      <c r="C3452" s="100" t="s">
        <v>277</v>
      </c>
      <c r="D3452" s="98" t="s">
        <v>319</v>
      </c>
      <c r="E3452" s="100" t="s">
        <v>247</v>
      </c>
      <c r="F3452" s="100">
        <v>254.32</v>
      </c>
    </row>
    <row r="3453" spans="1:6">
      <c r="A3453" s="6">
        <v>44286</v>
      </c>
      <c r="B3453" s="98" t="s">
        <v>320</v>
      </c>
      <c r="C3453" s="100" t="s">
        <v>255</v>
      </c>
      <c r="D3453" s="98" t="s">
        <v>321</v>
      </c>
      <c r="E3453" s="100" t="s">
        <v>247</v>
      </c>
      <c r="F3453" s="100">
        <v>2348.15</v>
      </c>
    </row>
    <row r="3454" spans="1:6">
      <c r="A3454" s="6">
        <v>44286</v>
      </c>
      <c r="B3454" s="98" t="s">
        <v>320</v>
      </c>
      <c r="C3454" s="100" t="s">
        <v>278</v>
      </c>
      <c r="D3454" s="98" t="s">
        <v>321</v>
      </c>
      <c r="E3454" s="100" t="s">
        <v>247</v>
      </c>
      <c r="F3454" s="100">
        <v>3297.85</v>
      </c>
    </row>
    <row r="3455" spans="1:6">
      <c r="A3455" s="6">
        <v>44286</v>
      </c>
      <c r="B3455" s="98" t="s">
        <v>320</v>
      </c>
      <c r="C3455" s="100" t="s">
        <v>242</v>
      </c>
      <c r="D3455" s="98" t="s">
        <v>321</v>
      </c>
      <c r="E3455" s="100" t="s">
        <v>244</v>
      </c>
      <c r="F3455" s="100">
        <v>2161.31</v>
      </c>
    </row>
    <row r="3456" spans="1:6">
      <c r="A3456" s="6">
        <v>44286</v>
      </c>
      <c r="B3456" s="98" t="s">
        <v>320</v>
      </c>
      <c r="C3456" s="100" t="s">
        <v>262</v>
      </c>
      <c r="D3456" s="98" t="s">
        <v>321</v>
      </c>
      <c r="E3456" s="100" t="s">
        <v>244</v>
      </c>
      <c r="F3456" s="100">
        <v>5997.21</v>
      </c>
    </row>
    <row r="3457" spans="1:6">
      <c r="A3457" s="6">
        <v>44286</v>
      </c>
      <c r="B3457" s="98" t="s">
        <v>320</v>
      </c>
      <c r="C3457" s="100" t="s">
        <v>253</v>
      </c>
      <c r="D3457" s="98" t="s">
        <v>321</v>
      </c>
      <c r="E3457" s="100" t="s">
        <v>244</v>
      </c>
      <c r="F3457" s="100">
        <v>59.07</v>
      </c>
    </row>
    <row r="3458" spans="1:6">
      <c r="A3458" s="6">
        <v>44286</v>
      </c>
      <c r="B3458" s="98" t="s">
        <v>320</v>
      </c>
      <c r="C3458" s="100" t="s">
        <v>245</v>
      </c>
      <c r="D3458" s="98" t="s">
        <v>321</v>
      </c>
      <c r="E3458" s="100" t="s">
        <v>244</v>
      </c>
      <c r="F3458" s="100">
        <v>806.19</v>
      </c>
    </row>
    <row r="3459" spans="1:6">
      <c r="A3459" s="6">
        <v>44286</v>
      </c>
      <c r="B3459" s="98" t="s">
        <v>320</v>
      </c>
      <c r="C3459" s="100" t="s">
        <v>264</v>
      </c>
      <c r="D3459" s="98" t="s">
        <v>321</v>
      </c>
      <c r="E3459" s="100" t="s">
        <v>244</v>
      </c>
      <c r="F3459" s="100">
        <v>1154.6600000000001</v>
      </c>
    </row>
    <row r="3460" spans="1:6">
      <c r="A3460" s="6">
        <v>44286</v>
      </c>
      <c r="B3460" s="98" t="s">
        <v>320</v>
      </c>
      <c r="C3460" s="100" t="s">
        <v>271</v>
      </c>
      <c r="D3460" s="98" t="s">
        <v>321</v>
      </c>
      <c r="E3460" s="100" t="s">
        <v>244</v>
      </c>
      <c r="F3460" s="100">
        <v>1.46</v>
      </c>
    </row>
    <row r="3461" spans="1:6">
      <c r="A3461" s="6">
        <v>44286</v>
      </c>
      <c r="B3461" s="98" t="s">
        <v>320</v>
      </c>
      <c r="C3461" s="100" t="s">
        <v>254</v>
      </c>
      <c r="D3461" s="98" t="s">
        <v>321</v>
      </c>
      <c r="E3461" s="100" t="s">
        <v>244</v>
      </c>
      <c r="F3461" s="100">
        <v>133.9</v>
      </c>
    </row>
    <row r="3462" spans="1:6">
      <c r="A3462" s="6">
        <v>44286</v>
      </c>
      <c r="B3462" s="98" t="s">
        <v>320</v>
      </c>
      <c r="C3462" s="100" t="s">
        <v>277</v>
      </c>
      <c r="D3462" s="98" t="s">
        <v>321</v>
      </c>
      <c r="E3462" s="100" t="s">
        <v>247</v>
      </c>
      <c r="F3462" s="100">
        <v>15819.76</v>
      </c>
    </row>
    <row r="3463" spans="1:6">
      <c r="A3463" s="6">
        <v>44286</v>
      </c>
      <c r="B3463" s="98" t="s">
        <v>320</v>
      </c>
      <c r="C3463" s="100" t="s">
        <v>256</v>
      </c>
      <c r="D3463" s="98" t="s">
        <v>321</v>
      </c>
      <c r="E3463" s="100" t="s">
        <v>247</v>
      </c>
      <c r="F3463" s="100">
        <v>9381.85</v>
      </c>
    </row>
    <row r="3464" spans="1:6">
      <c r="A3464" s="6">
        <v>44286</v>
      </c>
      <c r="B3464" s="98" t="s">
        <v>320</v>
      </c>
      <c r="C3464" s="100" t="s">
        <v>274</v>
      </c>
      <c r="D3464" s="98" t="s">
        <v>321</v>
      </c>
      <c r="E3464" s="100" t="s">
        <v>247</v>
      </c>
      <c r="F3464" s="100">
        <v>21124.79</v>
      </c>
    </row>
    <row r="3465" spans="1:6">
      <c r="A3465" s="6">
        <v>44286</v>
      </c>
      <c r="B3465" s="98" t="s">
        <v>322</v>
      </c>
      <c r="C3465" s="100" t="s">
        <v>255</v>
      </c>
      <c r="D3465" s="98" t="s">
        <v>323</v>
      </c>
      <c r="E3465" s="100" t="s">
        <v>247</v>
      </c>
      <c r="F3465" s="100">
        <v>5855.36</v>
      </c>
    </row>
    <row r="3466" spans="1:6">
      <c r="A3466" s="6">
        <v>44286</v>
      </c>
      <c r="B3466" s="98" t="s">
        <v>322</v>
      </c>
      <c r="C3466" s="100" t="s">
        <v>289</v>
      </c>
      <c r="D3466" s="98" t="s">
        <v>323</v>
      </c>
      <c r="E3466" s="100" t="s">
        <v>247</v>
      </c>
      <c r="F3466" s="100">
        <v>3011.42</v>
      </c>
    </row>
    <row r="3467" spans="1:6">
      <c r="A3467" s="6">
        <v>44286</v>
      </c>
      <c r="B3467" s="98" t="s">
        <v>322</v>
      </c>
      <c r="C3467" s="100" t="s">
        <v>253</v>
      </c>
      <c r="D3467" s="98" t="s">
        <v>323</v>
      </c>
      <c r="E3467" s="100" t="s">
        <v>244</v>
      </c>
      <c r="F3467" s="100">
        <v>58.49</v>
      </c>
    </row>
    <row r="3468" spans="1:6">
      <c r="A3468" s="6">
        <v>44286</v>
      </c>
      <c r="B3468" s="98" t="s">
        <v>322</v>
      </c>
      <c r="C3468" s="100" t="s">
        <v>245</v>
      </c>
      <c r="D3468" s="98" t="s">
        <v>323</v>
      </c>
      <c r="E3468" s="100" t="s">
        <v>244</v>
      </c>
      <c r="F3468" s="100">
        <v>3337.51</v>
      </c>
    </row>
    <row r="3469" spans="1:6">
      <c r="A3469" s="6">
        <v>44286</v>
      </c>
      <c r="B3469" s="98" t="s">
        <v>324</v>
      </c>
      <c r="C3469" s="100" t="s">
        <v>259</v>
      </c>
      <c r="D3469" s="98" t="s">
        <v>325</v>
      </c>
      <c r="E3469" s="100" t="s">
        <v>258</v>
      </c>
      <c r="F3469" s="100">
        <v>36835.82</v>
      </c>
    </row>
    <row r="3470" spans="1:6">
      <c r="A3470" s="6">
        <v>44286</v>
      </c>
      <c r="B3470" s="98" t="s">
        <v>324</v>
      </c>
      <c r="C3470" s="100" t="s">
        <v>266</v>
      </c>
      <c r="D3470" s="98" t="s">
        <v>325</v>
      </c>
      <c r="E3470" s="100" t="s">
        <v>258</v>
      </c>
      <c r="F3470" s="100">
        <v>21136.23</v>
      </c>
    </row>
    <row r="3471" spans="1:6">
      <c r="A3471" s="6">
        <v>44286</v>
      </c>
      <c r="B3471" s="98" t="s">
        <v>324</v>
      </c>
      <c r="C3471" s="100" t="s">
        <v>257</v>
      </c>
      <c r="D3471" s="98" t="s">
        <v>325</v>
      </c>
      <c r="E3471" s="100" t="s">
        <v>258</v>
      </c>
      <c r="F3471" s="100">
        <v>84516.400000000009</v>
      </c>
    </row>
    <row r="3472" spans="1:6">
      <c r="A3472" s="6">
        <v>44286</v>
      </c>
      <c r="B3472" s="98" t="s">
        <v>324</v>
      </c>
      <c r="C3472" s="100" t="s">
        <v>260</v>
      </c>
      <c r="D3472" s="98" t="s">
        <v>325</v>
      </c>
      <c r="E3472" s="100" t="s">
        <v>258</v>
      </c>
      <c r="F3472" s="100">
        <v>47514.75</v>
      </c>
    </row>
    <row r="3473" spans="1:6">
      <c r="A3473" s="6">
        <v>44286</v>
      </c>
      <c r="B3473" s="98" t="s">
        <v>324</v>
      </c>
      <c r="C3473" s="100" t="s">
        <v>251</v>
      </c>
      <c r="D3473" s="98" t="s">
        <v>325</v>
      </c>
      <c r="E3473" s="100" t="s">
        <v>244</v>
      </c>
      <c r="F3473" s="100">
        <v>302.41000000000003</v>
      </c>
    </row>
    <row r="3474" spans="1:6">
      <c r="A3474" s="6">
        <v>44286</v>
      </c>
      <c r="B3474" s="98" t="s">
        <v>326</v>
      </c>
      <c r="C3474" s="100" t="s">
        <v>266</v>
      </c>
      <c r="D3474" s="98" t="s">
        <v>327</v>
      </c>
      <c r="E3474" s="100" t="s">
        <v>258</v>
      </c>
      <c r="F3474" s="100">
        <v>4556.54</v>
      </c>
    </row>
    <row r="3475" spans="1:6">
      <c r="A3475" s="6">
        <v>44286</v>
      </c>
      <c r="B3475" s="98" t="s">
        <v>326</v>
      </c>
      <c r="C3475" s="100" t="s">
        <v>278</v>
      </c>
      <c r="D3475" s="98" t="s">
        <v>327</v>
      </c>
      <c r="E3475" s="100" t="s">
        <v>247</v>
      </c>
      <c r="F3475" s="100">
        <v>1379.41</v>
      </c>
    </row>
    <row r="3476" spans="1:6">
      <c r="A3476" s="6">
        <v>44286</v>
      </c>
      <c r="B3476" s="98" t="s">
        <v>326</v>
      </c>
      <c r="C3476" s="100" t="s">
        <v>339</v>
      </c>
      <c r="D3476" s="98" t="s">
        <v>327</v>
      </c>
      <c r="E3476" s="100" t="s">
        <v>247</v>
      </c>
      <c r="F3476" s="100">
        <v>372</v>
      </c>
    </row>
    <row r="3477" spans="1:6">
      <c r="A3477" s="6">
        <v>44286</v>
      </c>
      <c r="B3477" s="98" t="s">
        <v>326</v>
      </c>
      <c r="C3477" s="100" t="s">
        <v>289</v>
      </c>
      <c r="D3477" s="98" t="s">
        <v>327</v>
      </c>
      <c r="E3477" s="100" t="s">
        <v>247</v>
      </c>
      <c r="F3477" s="100">
        <v>2719.7</v>
      </c>
    </row>
    <row r="3478" spans="1:6">
      <c r="A3478" s="6">
        <v>44286</v>
      </c>
      <c r="B3478" s="98" t="s">
        <v>326</v>
      </c>
      <c r="C3478" s="100" t="s">
        <v>466</v>
      </c>
      <c r="D3478" s="98" t="s">
        <v>327</v>
      </c>
      <c r="E3478" s="100" t="s">
        <v>247</v>
      </c>
      <c r="F3478" s="100">
        <v>461.38</v>
      </c>
    </row>
    <row r="3479" spans="1:6">
      <c r="A3479" s="6">
        <v>44286</v>
      </c>
      <c r="B3479" s="98" t="s">
        <v>326</v>
      </c>
      <c r="C3479" s="100" t="s">
        <v>368</v>
      </c>
      <c r="D3479" s="98" t="s">
        <v>327</v>
      </c>
      <c r="E3479" s="100" t="s">
        <v>247</v>
      </c>
      <c r="F3479" s="100">
        <v>3539.54</v>
      </c>
    </row>
    <row r="3480" spans="1:6">
      <c r="A3480" s="6">
        <v>44286</v>
      </c>
      <c r="B3480" s="98" t="s">
        <v>326</v>
      </c>
      <c r="C3480" s="100" t="s">
        <v>242</v>
      </c>
      <c r="D3480" s="98" t="s">
        <v>327</v>
      </c>
      <c r="E3480" s="100" t="s">
        <v>244</v>
      </c>
      <c r="F3480" s="100">
        <v>887.24</v>
      </c>
    </row>
    <row r="3481" spans="1:6">
      <c r="A3481" s="6">
        <v>44286</v>
      </c>
      <c r="B3481" s="98" t="s">
        <v>326</v>
      </c>
      <c r="C3481" s="100" t="s">
        <v>262</v>
      </c>
      <c r="D3481" s="98" t="s">
        <v>327</v>
      </c>
      <c r="E3481" s="100" t="s">
        <v>244</v>
      </c>
      <c r="F3481" s="100">
        <v>1801.91</v>
      </c>
    </row>
    <row r="3482" spans="1:6">
      <c r="A3482" s="6">
        <v>44286</v>
      </c>
      <c r="B3482" s="98" t="s">
        <v>326</v>
      </c>
      <c r="C3482" s="100" t="s">
        <v>245</v>
      </c>
      <c r="D3482" s="98" t="s">
        <v>327</v>
      </c>
      <c r="E3482" s="100" t="s">
        <v>244</v>
      </c>
      <c r="F3482" s="100">
        <v>713.24</v>
      </c>
    </row>
    <row r="3483" spans="1:6">
      <c r="A3483" s="6">
        <v>44286</v>
      </c>
      <c r="B3483" s="98" t="s">
        <v>326</v>
      </c>
      <c r="C3483" s="100" t="s">
        <v>264</v>
      </c>
      <c r="D3483" s="98" t="s">
        <v>327</v>
      </c>
      <c r="E3483" s="100" t="s">
        <v>244</v>
      </c>
      <c r="F3483" s="100">
        <v>103.66</v>
      </c>
    </row>
    <row r="3484" spans="1:6">
      <c r="A3484" s="6">
        <v>44286</v>
      </c>
      <c r="B3484" s="98" t="s">
        <v>326</v>
      </c>
      <c r="C3484" s="100" t="s">
        <v>271</v>
      </c>
      <c r="D3484" s="98" t="s">
        <v>327</v>
      </c>
      <c r="E3484" s="100" t="s">
        <v>244</v>
      </c>
      <c r="F3484" s="100">
        <v>15.49</v>
      </c>
    </row>
    <row r="3485" spans="1:6">
      <c r="A3485" s="6">
        <v>44286</v>
      </c>
      <c r="B3485" s="98" t="s">
        <v>326</v>
      </c>
      <c r="C3485" s="100" t="s">
        <v>254</v>
      </c>
      <c r="D3485" s="98" t="s">
        <v>327</v>
      </c>
      <c r="E3485" s="100" t="s">
        <v>244</v>
      </c>
      <c r="F3485" s="100">
        <v>231.65</v>
      </c>
    </row>
    <row r="3486" spans="1:6">
      <c r="A3486" s="6">
        <v>44286</v>
      </c>
      <c r="B3486" s="98" t="s">
        <v>326</v>
      </c>
      <c r="C3486" s="100" t="s">
        <v>369</v>
      </c>
      <c r="D3486" s="98" t="s">
        <v>327</v>
      </c>
      <c r="E3486" s="100" t="s">
        <v>244</v>
      </c>
      <c r="F3486" s="100">
        <v>20.37</v>
      </c>
    </row>
    <row r="3487" spans="1:6">
      <c r="A3487" s="6">
        <v>44286</v>
      </c>
      <c r="B3487" s="98" t="s">
        <v>326</v>
      </c>
      <c r="C3487" s="100" t="s">
        <v>248</v>
      </c>
      <c r="D3487" s="98" t="s">
        <v>327</v>
      </c>
      <c r="E3487" s="100" t="s">
        <v>247</v>
      </c>
      <c r="F3487" s="100">
        <v>3912.08</v>
      </c>
    </row>
    <row r="3488" spans="1:6">
      <c r="A3488" s="6">
        <v>44286</v>
      </c>
      <c r="B3488" s="98" t="s">
        <v>326</v>
      </c>
      <c r="C3488" s="100" t="s">
        <v>274</v>
      </c>
      <c r="D3488" s="98" t="s">
        <v>327</v>
      </c>
      <c r="E3488" s="100" t="s">
        <v>247</v>
      </c>
      <c r="F3488" s="100">
        <v>2994.64</v>
      </c>
    </row>
    <row r="3489" spans="1:6">
      <c r="A3489" s="6">
        <v>44286</v>
      </c>
      <c r="B3489" s="98" t="s">
        <v>328</v>
      </c>
      <c r="C3489" s="100" t="s">
        <v>255</v>
      </c>
      <c r="D3489" s="98" t="s">
        <v>329</v>
      </c>
      <c r="E3489" s="100" t="s">
        <v>247</v>
      </c>
      <c r="F3489" s="100">
        <v>7338.06</v>
      </c>
    </row>
    <row r="3490" spans="1:6">
      <c r="A3490" s="6">
        <v>44286</v>
      </c>
      <c r="B3490" s="98" t="s">
        <v>328</v>
      </c>
      <c r="C3490" s="100" t="s">
        <v>246</v>
      </c>
      <c r="D3490" s="98" t="s">
        <v>329</v>
      </c>
      <c r="E3490" s="100" t="s">
        <v>247</v>
      </c>
      <c r="F3490" s="100">
        <v>12831.11</v>
      </c>
    </row>
    <row r="3491" spans="1:6">
      <c r="A3491" s="6">
        <v>44286</v>
      </c>
      <c r="B3491" s="98" t="s">
        <v>328</v>
      </c>
      <c r="C3491" s="100" t="s">
        <v>265</v>
      </c>
      <c r="D3491" s="98" t="s">
        <v>329</v>
      </c>
      <c r="E3491" s="100" t="s">
        <v>247</v>
      </c>
      <c r="F3491" s="100">
        <v>1291.8699999999999</v>
      </c>
    </row>
    <row r="3492" spans="1:6">
      <c r="A3492" s="6">
        <v>44286</v>
      </c>
      <c r="B3492" s="98" t="s">
        <v>328</v>
      </c>
      <c r="C3492" s="100" t="s">
        <v>289</v>
      </c>
      <c r="D3492" s="98" t="s">
        <v>329</v>
      </c>
      <c r="E3492" s="100" t="s">
        <v>247</v>
      </c>
      <c r="F3492" s="100">
        <v>4356.99</v>
      </c>
    </row>
    <row r="3493" spans="1:6">
      <c r="A3493" s="6">
        <v>44286</v>
      </c>
      <c r="B3493" s="98" t="s">
        <v>328</v>
      </c>
      <c r="C3493" s="100" t="s">
        <v>249</v>
      </c>
      <c r="D3493" s="98" t="s">
        <v>329</v>
      </c>
      <c r="E3493" s="100" t="s">
        <v>247</v>
      </c>
      <c r="F3493" s="100">
        <v>243.3</v>
      </c>
    </row>
    <row r="3494" spans="1:6">
      <c r="A3494" s="6">
        <v>44286</v>
      </c>
      <c r="B3494" s="98" t="s">
        <v>328</v>
      </c>
      <c r="C3494" s="100" t="s">
        <v>242</v>
      </c>
      <c r="D3494" s="98" t="s">
        <v>329</v>
      </c>
      <c r="E3494" s="100" t="s">
        <v>244</v>
      </c>
      <c r="F3494" s="100">
        <v>38.409999999999997</v>
      </c>
    </row>
    <row r="3495" spans="1:6">
      <c r="A3495" s="6">
        <v>44286</v>
      </c>
      <c r="B3495" s="98" t="s">
        <v>328</v>
      </c>
      <c r="C3495" s="100" t="s">
        <v>262</v>
      </c>
      <c r="D3495" s="98" t="s">
        <v>329</v>
      </c>
      <c r="E3495" s="100" t="s">
        <v>244</v>
      </c>
      <c r="F3495" s="100">
        <v>166.62</v>
      </c>
    </row>
    <row r="3496" spans="1:6">
      <c r="A3496" s="6">
        <v>44286</v>
      </c>
      <c r="B3496" s="98" t="s">
        <v>328</v>
      </c>
      <c r="C3496" s="100" t="s">
        <v>245</v>
      </c>
      <c r="D3496" s="98" t="s">
        <v>329</v>
      </c>
      <c r="E3496" s="100" t="s">
        <v>244</v>
      </c>
      <c r="F3496" s="100">
        <v>192.32</v>
      </c>
    </row>
    <row r="3497" spans="1:6">
      <c r="A3497" s="6">
        <v>44286</v>
      </c>
      <c r="B3497" s="98" t="s">
        <v>328</v>
      </c>
      <c r="C3497" s="100" t="s">
        <v>264</v>
      </c>
      <c r="D3497" s="98" t="s">
        <v>329</v>
      </c>
      <c r="E3497" s="100" t="s">
        <v>244</v>
      </c>
      <c r="F3497" s="100">
        <v>254.97</v>
      </c>
    </row>
    <row r="3498" spans="1:6">
      <c r="A3498" s="6">
        <v>44286</v>
      </c>
      <c r="B3498" s="98" t="s">
        <v>328</v>
      </c>
      <c r="C3498" s="100" t="s">
        <v>271</v>
      </c>
      <c r="D3498" s="98" t="s">
        <v>329</v>
      </c>
      <c r="E3498" s="100" t="s">
        <v>244</v>
      </c>
      <c r="F3498" s="100">
        <v>10.02</v>
      </c>
    </row>
    <row r="3499" spans="1:6">
      <c r="A3499" s="6">
        <v>44286</v>
      </c>
      <c r="B3499" s="98" t="s">
        <v>328</v>
      </c>
      <c r="C3499" s="100" t="s">
        <v>254</v>
      </c>
      <c r="D3499" s="98" t="s">
        <v>329</v>
      </c>
      <c r="E3499" s="100" t="s">
        <v>244</v>
      </c>
      <c r="F3499" s="100">
        <v>588.27</v>
      </c>
    </row>
    <row r="3500" spans="1:6">
      <c r="A3500" s="6">
        <v>44286</v>
      </c>
      <c r="B3500" s="98" t="s">
        <v>328</v>
      </c>
      <c r="C3500" s="100" t="s">
        <v>274</v>
      </c>
      <c r="D3500" s="98" t="s">
        <v>329</v>
      </c>
      <c r="E3500" s="100" t="s">
        <v>247</v>
      </c>
      <c r="F3500" s="100">
        <v>12646.18</v>
      </c>
    </row>
    <row r="3501" spans="1:6">
      <c r="A3501" s="6">
        <v>44286</v>
      </c>
      <c r="B3501" s="98" t="s">
        <v>330</v>
      </c>
      <c r="C3501" s="100" t="s">
        <v>262</v>
      </c>
      <c r="D3501" s="98" t="s">
        <v>331</v>
      </c>
      <c r="E3501" s="100" t="s">
        <v>244</v>
      </c>
      <c r="F3501" s="100">
        <v>106.34</v>
      </c>
    </row>
    <row r="3502" spans="1:6">
      <c r="A3502" s="6">
        <v>44286</v>
      </c>
      <c r="B3502" s="98" t="s">
        <v>330</v>
      </c>
      <c r="C3502" s="100" t="s">
        <v>253</v>
      </c>
      <c r="D3502" s="98" t="s">
        <v>331</v>
      </c>
      <c r="E3502" s="100" t="s">
        <v>244</v>
      </c>
      <c r="F3502" s="100">
        <v>238.25</v>
      </c>
    </row>
    <row r="3503" spans="1:6">
      <c r="A3503" s="6">
        <v>44286</v>
      </c>
      <c r="B3503" s="98" t="s">
        <v>330</v>
      </c>
      <c r="C3503" s="100" t="s">
        <v>245</v>
      </c>
      <c r="D3503" s="98" t="s">
        <v>331</v>
      </c>
      <c r="E3503" s="100" t="s">
        <v>244</v>
      </c>
      <c r="F3503" s="100">
        <v>68.14</v>
      </c>
    </row>
    <row r="3504" spans="1:6">
      <c r="A3504" s="6">
        <v>44286</v>
      </c>
      <c r="B3504" s="98" t="s">
        <v>332</v>
      </c>
      <c r="C3504" s="100" t="s">
        <v>246</v>
      </c>
      <c r="D3504" s="98" t="s">
        <v>333</v>
      </c>
      <c r="E3504" s="100" t="s">
        <v>247</v>
      </c>
      <c r="F3504" s="100">
        <v>3278.32</v>
      </c>
    </row>
    <row r="3505" spans="1:6">
      <c r="A3505" s="6">
        <v>44286</v>
      </c>
      <c r="B3505" s="98" t="s">
        <v>332</v>
      </c>
      <c r="C3505" s="100" t="s">
        <v>249</v>
      </c>
      <c r="D3505" s="98" t="s">
        <v>333</v>
      </c>
      <c r="E3505" s="100" t="s">
        <v>247</v>
      </c>
      <c r="F3505" s="100">
        <v>4079.46</v>
      </c>
    </row>
    <row r="3506" spans="1:6">
      <c r="A3506" s="6">
        <v>44286</v>
      </c>
      <c r="B3506" s="98" t="s">
        <v>332</v>
      </c>
      <c r="C3506" s="100" t="s">
        <v>242</v>
      </c>
      <c r="D3506" s="98" t="s">
        <v>333</v>
      </c>
      <c r="E3506" s="100" t="s">
        <v>244</v>
      </c>
      <c r="F3506" s="100">
        <v>927.02</v>
      </c>
    </row>
    <row r="3507" spans="1:6">
      <c r="A3507" s="6">
        <v>44286</v>
      </c>
      <c r="B3507" s="98" t="s">
        <v>332</v>
      </c>
      <c r="C3507" s="100" t="s">
        <v>262</v>
      </c>
      <c r="D3507" s="98" t="s">
        <v>333</v>
      </c>
      <c r="E3507" s="100" t="s">
        <v>244</v>
      </c>
      <c r="F3507" s="100">
        <v>97.76</v>
      </c>
    </row>
    <row r="3508" spans="1:6">
      <c r="A3508" s="6">
        <v>44286</v>
      </c>
      <c r="B3508" s="98" t="s">
        <v>332</v>
      </c>
      <c r="C3508" s="100" t="s">
        <v>253</v>
      </c>
      <c r="D3508" s="98" t="s">
        <v>333</v>
      </c>
      <c r="E3508" s="100" t="s">
        <v>244</v>
      </c>
      <c r="F3508" s="100">
        <v>18</v>
      </c>
    </row>
    <row r="3509" spans="1:6">
      <c r="A3509" s="6">
        <v>44286</v>
      </c>
      <c r="B3509" s="98" t="s">
        <v>332</v>
      </c>
      <c r="C3509" s="100" t="s">
        <v>254</v>
      </c>
      <c r="D3509" s="98" t="s">
        <v>333</v>
      </c>
      <c r="E3509" s="100" t="s">
        <v>244</v>
      </c>
      <c r="F3509" s="100">
        <v>273.18</v>
      </c>
    </row>
    <row r="3510" spans="1:6">
      <c r="A3510" s="6">
        <v>44286</v>
      </c>
      <c r="B3510" s="98" t="s">
        <v>332</v>
      </c>
      <c r="C3510" s="100" t="s">
        <v>277</v>
      </c>
      <c r="D3510" s="98" t="s">
        <v>333</v>
      </c>
      <c r="E3510" s="100" t="s">
        <v>247</v>
      </c>
      <c r="F3510" s="100">
        <v>1248.5899999999999</v>
      </c>
    </row>
    <row r="3511" spans="1:6">
      <c r="A3511" s="6">
        <v>44286</v>
      </c>
      <c r="B3511" s="98" t="s">
        <v>332</v>
      </c>
      <c r="C3511" s="100" t="s">
        <v>274</v>
      </c>
      <c r="D3511" s="98" t="s">
        <v>333</v>
      </c>
      <c r="E3511" s="100" t="s">
        <v>247</v>
      </c>
      <c r="F3511" s="100">
        <v>17534.45</v>
      </c>
    </row>
    <row r="3512" spans="1:6">
      <c r="A3512" s="6">
        <v>44286</v>
      </c>
      <c r="B3512" s="98" t="s">
        <v>334</v>
      </c>
      <c r="C3512" s="100" t="s">
        <v>266</v>
      </c>
      <c r="D3512" s="98" t="s">
        <v>335</v>
      </c>
      <c r="E3512" s="100" t="s">
        <v>258</v>
      </c>
      <c r="F3512" s="100">
        <v>56105.29</v>
      </c>
    </row>
    <row r="3513" spans="1:6">
      <c r="A3513" s="6">
        <v>44286</v>
      </c>
      <c r="B3513" s="98" t="s">
        <v>334</v>
      </c>
      <c r="C3513" s="100" t="s">
        <v>255</v>
      </c>
      <c r="D3513" s="98" t="s">
        <v>335</v>
      </c>
      <c r="E3513" s="100" t="s">
        <v>247</v>
      </c>
      <c r="F3513" s="100">
        <v>24619.97</v>
      </c>
    </row>
    <row r="3514" spans="1:6">
      <c r="A3514" s="6">
        <v>44286</v>
      </c>
      <c r="B3514" s="98" t="s">
        <v>334</v>
      </c>
      <c r="C3514" s="100" t="s">
        <v>265</v>
      </c>
      <c r="D3514" s="98" t="s">
        <v>335</v>
      </c>
      <c r="E3514" s="100" t="s">
        <v>247</v>
      </c>
      <c r="F3514" s="100">
        <v>176.14</v>
      </c>
    </row>
    <row r="3515" spans="1:6">
      <c r="A3515" s="6">
        <v>44286</v>
      </c>
      <c r="B3515" s="98" t="s">
        <v>334</v>
      </c>
      <c r="C3515" s="100" t="s">
        <v>289</v>
      </c>
      <c r="D3515" s="98" t="s">
        <v>335</v>
      </c>
      <c r="E3515" s="100" t="s">
        <v>247</v>
      </c>
      <c r="F3515" s="100">
        <v>36178.699999999997</v>
      </c>
    </row>
    <row r="3516" spans="1:6">
      <c r="A3516" s="6">
        <v>44286</v>
      </c>
      <c r="B3516" s="98" t="s">
        <v>334</v>
      </c>
      <c r="C3516" s="100" t="s">
        <v>260</v>
      </c>
      <c r="D3516" s="98" t="s">
        <v>335</v>
      </c>
      <c r="E3516" s="100" t="s">
        <v>258</v>
      </c>
      <c r="F3516" s="100">
        <v>10993.21</v>
      </c>
    </row>
    <row r="3517" spans="1:6">
      <c r="A3517" s="6">
        <v>44286</v>
      </c>
      <c r="B3517" s="98" t="s">
        <v>334</v>
      </c>
      <c r="C3517" s="100" t="s">
        <v>242</v>
      </c>
      <c r="D3517" s="98" t="s">
        <v>335</v>
      </c>
      <c r="E3517" s="100" t="s">
        <v>244</v>
      </c>
      <c r="F3517" s="100">
        <v>1515.16</v>
      </c>
    </row>
    <row r="3518" spans="1:6">
      <c r="A3518" s="6">
        <v>44286</v>
      </c>
      <c r="B3518" s="98" t="s">
        <v>334</v>
      </c>
      <c r="C3518" s="100" t="s">
        <v>262</v>
      </c>
      <c r="D3518" s="98" t="s">
        <v>335</v>
      </c>
      <c r="E3518" s="100" t="s">
        <v>244</v>
      </c>
      <c r="F3518" s="100">
        <v>1209.5</v>
      </c>
    </row>
    <row r="3519" spans="1:6">
      <c r="A3519" s="6">
        <v>44286</v>
      </c>
      <c r="B3519" s="98" t="s">
        <v>334</v>
      </c>
      <c r="C3519" s="100" t="s">
        <v>251</v>
      </c>
      <c r="D3519" s="98" t="s">
        <v>335</v>
      </c>
      <c r="E3519" s="100" t="s">
        <v>244</v>
      </c>
      <c r="F3519" s="100">
        <v>32.39</v>
      </c>
    </row>
    <row r="3520" spans="1:6">
      <c r="A3520" s="6">
        <v>44286</v>
      </c>
      <c r="B3520" s="98" t="s">
        <v>334</v>
      </c>
      <c r="C3520" s="100" t="s">
        <v>253</v>
      </c>
      <c r="D3520" s="98" t="s">
        <v>335</v>
      </c>
      <c r="E3520" s="100" t="s">
        <v>244</v>
      </c>
      <c r="F3520" s="100">
        <v>103.39</v>
      </c>
    </row>
    <row r="3521" spans="1:6">
      <c r="A3521" s="6">
        <v>44286</v>
      </c>
      <c r="B3521" s="98" t="s">
        <v>334</v>
      </c>
      <c r="C3521" s="100" t="s">
        <v>245</v>
      </c>
      <c r="D3521" s="98" t="s">
        <v>335</v>
      </c>
      <c r="E3521" s="100" t="s">
        <v>244</v>
      </c>
      <c r="F3521" s="100">
        <v>304.92</v>
      </c>
    </row>
    <row r="3522" spans="1:6">
      <c r="A3522" s="6">
        <v>44286</v>
      </c>
      <c r="B3522" s="98" t="s">
        <v>334</v>
      </c>
      <c r="C3522" s="100" t="s">
        <v>254</v>
      </c>
      <c r="D3522" s="98" t="s">
        <v>335</v>
      </c>
      <c r="E3522" s="100" t="s">
        <v>244</v>
      </c>
      <c r="F3522" s="100">
        <v>82.69</v>
      </c>
    </row>
    <row r="3523" spans="1:6">
      <c r="A3523" s="6">
        <v>44286</v>
      </c>
      <c r="B3523" s="98" t="s">
        <v>334</v>
      </c>
      <c r="C3523" s="100" t="s">
        <v>248</v>
      </c>
      <c r="D3523" s="98" t="s">
        <v>335</v>
      </c>
      <c r="E3523" s="100" t="s">
        <v>247</v>
      </c>
      <c r="F3523" s="100">
        <v>2154.75</v>
      </c>
    </row>
    <row r="3524" spans="1:6">
      <c r="A3524" s="6">
        <v>44286</v>
      </c>
      <c r="B3524" s="98" t="s">
        <v>336</v>
      </c>
      <c r="C3524" s="100" t="s">
        <v>255</v>
      </c>
      <c r="D3524" s="98" t="s">
        <v>337</v>
      </c>
      <c r="E3524" s="100" t="s">
        <v>247</v>
      </c>
      <c r="F3524" s="100">
        <v>1806.79</v>
      </c>
    </row>
    <row r="3525" spans="1:6">
      <c r="A3525" s="6">
        <v>44286</v>
      </c>
      <c r="B3525" s="98" t="s">
        <v>336</v>
      </c>
      <c r="C3525" s="100" t="s">
        <v>339</v>
      </c>
      <c r="D3525" s="98" t="s">
        <v>337</v>
      </c>
      <c r="E3525" s="100" t="s">
        <v>247</v>
      </c>
      <c r="F3525" s="100">
        <v>78.45</v>
      </c>
    </row>
    <row r="3526" spans="1:6">
      <c r="A3526" s="6">
        <v>44286</v>
      </c>
      <c r="B3526" s="98" t="s">
        <v>336</v>
      </c>
      <c r="C3526" s="100" t="s">
        <v>289</v>
      </c>
      <c r="D3526" s="98" t="s">
        <v>337</v>
      </c>
      <c r="E3526" s="100" t="s">
        <v>247</v>
      </c>
      <c r="F3526" s="100">
        <v>3698.82</v>
      </c>
    </row>
    <row r="3527" spans="1:6">
      <c r="A3527" s="6">
        <v>44286</v>
      </c>
      <c r="B3527" s="98" t="s">
        <v>336</v>
      </c>
      <c r="C3527" s="100" t="s">
        <v>560</v>
      </c>
      <c r="D3527" s="98" t="s">
        <v>337</v>
      </c>
      <c r="E3527" s="100" t="s">
        <v>247</v>
      </c>
      <c r="F3527" s="100">
        <v>861.07</v>
      </c>
    </row>
    <row r="3528" spans="1:6">
      <c r="A3528" s="6">
        <v>44286</v>
      </c>
      <c r="B3528" s="98" t="s">
        <v>336</v>
      </c>
      <c r="C3528" s="100" t="s">
        <v>242</v>
      </c>
      <c r="D3528" s="98" t="s">
        <v>337</v>
      </c>
      <c r="E3528" s="100" t="s">
        <v>244</v>
      </c>
      <c r="F3528" s="100">
        <v>24.75</v>
      </c>
    </row>
    <row r="3529" spans="1:6">
      <c r="A3529" s="6">
        <v>44286</v>
      </c>
      <c r="B3529" s="98" t="s">
        <v>336</v>
      </c>
      <c r="C3529" s="100" t="s">
        <v>253</v>
      </c>
      <c r="D3529" s="98" t="s">
        <v>337</v>
      </c>
      <c r="E3529" s="100" t="s">
        <v>244</v>
      </c>
      <c r="F3529" s="100">
        <v>61.53</v>
      </c>
    </row>
    <row r="3530" spans="1:6">
      <c r="A3530" s="6">
        <v>44286</v>
      </c>
      <c r="B3530" s="98" t="s">
        <v>336</v>
      </c>
      <c r="C3530" s="100" t="s">
        <v>245</v>
      </c>
      <c r="D3530" s="98" t="s">
        <v>337</v>
      </c>
      <c r="E3530" s="100" t="s">
        <v>244</v>
      </c>
      <c r="F3530" s="100">
        <v>497.58</v>
      </c>
    </row>
    <row r="3531" spans="1:6">
      <c r="A3531" s="6">
        <v>44286</v>
      </c>
      <c r="B3531" s="98" t="s">
        <v>336</v>
      </c>
      <c r="C3531" s="100" t="s">
        <v>256</v>
      </c>
      <c r="D3531" s="98" t="s">
        <v>337</v>
      </c>
      <c r="E3531" s="100" t="s">
        <v>247</v>
      </c>
      <c r="F3531" s="100">
        <v>6955.09</v>
      </c>
    </row>
    <row r="3532" spans="1:6">
      <c r="A3532" s="6">
        <v>44286</v>
      </c>
      <c r="B3532" s="98" t="s">
        <v>484</v>
      </c>
      <c r="C3532" s="100" t="s">
        <v>242</v>
      </c>
      <c r="D3532" s="98" t="s">
        <v>485</v>
      </c>
      <c r="E3532" s="100" t="s">
        <v>244</v>
      </c>
      <c r="F3532" s="100">
        <v>961.83</v>
      </c>
    </row>
    <row r="3533" spans="1:6">
      <c r="A3533" s="6">
        <v>44286</v>
      </c>
      <c r="B3533" s="98" t="s">
        <v>484</v>
      </c>
      <c r="C3533" s="100" t="s">
        <v>245</v>
      </c>
      <c r="D3533" s="98" t="s">
        <v>485</v>
      </c>
      <c r="E3533" s="100" t="s">
        <v>244</v>
      </c>
      <c r="F3533" s="100">
        <v>222.49</v>
      </c>
    </row>
    <row r="3534" spans="1:6">
      <c r="A3534" s="6">
        <v>44286</v>
      </c>
      <c r="B3534" s="98" t="s">
        <v>342</v>
      </c>
      <c r="C3534" s="100" t="s">
        <v>242</v>
      </c>
      <c r="D3534" s="98" t="s">
        <v>343</v>
      </c>
      <c r="E3534" s="100" t="s">
        <v>244</v>
      </c>
      <c r="F3534" s="100">
        <v>411.75</v>
      </c>
    </row>
    <row r="3535" spans="1:6">
      <c r="A3535" s="6">
        <v>44286</v>
      </c>
      <c r="B3535" s="98" t="s">
        <v>342</v>
      </c>
      <c r="C3535" s="100" t="s">
        <v>251</v>
      </c>
      <c r="D3535" s="98" t="s">
        <v>343</v>
      </c>
      <c r="E3535" s="100" t="s">
        <v>244</v>
      </c>
      <c r="F3535" s="100">
        <v>6.34</v>
      </c>
    </row>
    <row r="3536" spans="1:6">
      <c r="A3536" s="6">
        <v>44286</v>
      </c>
      <c r="B3536" s="98" t="s">
        <v>342</v>
      </c>
      <c r="C3536" s="100" t="s">
        <v>254</v>
      </c>
      <c r="D3536" s="98" t="s">
        <v>343</v>
      </c>
      <c r="E3536" s="100" t="s">
        <v>244</v>
      </c>
      <c r="F3536" s="100">
        <v>441.43</v>
      </c>
    </row>
    <row r="3537" spans="1:6">
      <c r="A3537" s="6">
        <v>44286</v>
      </c>
      <c r="B3537" s="98" t="s">
        <v>342</v>
      </c>
      <c r="C3537" s="100" t="s">
        <v>274</v>
      </c>
      <c r="D3537" s="98" t="s">
        <v>343</v>
      </c>
      <c r="E3537" s="100" t="s">
        <v>247</v>
      </c>
      <c r="F3537" s="100">
        <v>3437.52</v>
      </c>
    </row>
    <row r="3538" spans="1:6">
      <c r="A3538" s="6">
        <v>44286</v>
      </c>
      <c r="B3538" s="98" t="s">
        <v>431</v>
      </c>
      <c r="C3538" s="100" t="s">
        <v>249</v>
      </c>
      <c r="D3538" s="98" t="s">
        <v>432</v>
      </c>
      <c r="E3538" s="100" t="s">
        <v>247</v>
      </c>
      <c r="F3538" s="100">
        <v>3922.6</v>
      </c>
    </row>
    <row r="3539" spans="1:6">
      <c r="A3539" s="6">
        <v>44286</v>
      </c>
      <c r="B3539" s="98" t="s">
        <v>431</v>
      </c>
      <c r="C3539" s="100" t="s">
        <v>251</v>
      </c>
      <c r="D3539" s="98" t="s">
        <v>432</v>
      </c>
      <c r="E3539" s="100" t="s">
        <v>244</v>
      </c>
      <c r="F3539" s="100">
        <v>32.65</v>
      </c>
    </row>
    <row r="3540" spans="1:6">
      <c r="A3540" s="6">
        <v>44286</v>
      </c>
      <c r="B3540" s="98" t="s">
        <v>344</v>
      </c>
      <c r="C3540" s="100" t="s">
        <v>262</v>
      </c>
      <c r="D3540" s="98" t="s">
        <v>345</v>
      </c>
      <c r="E3540" s="100" t="s">
        <v>244</v>
      </c>
      <c r="F3540" s="100">
        <v>227.62</v>
      </c>
    </row>
    <row r="3541" spans="1:6">
      <c r="A3541" s="6">
        <v>44286</v>
      </c>
      <c r="B3541" s="98" t="s">
        <v>344</v>
      </c>
      <c r="C3541" s="100" t="s">
        <v>245</v>
      </c>
      <c r="D3541" s="98" t="s">
        <v>345</v>
      </c>
      <c r="E3541" s="100" t="s">
        <v>244</v>
      </c>
      <c r="F3541" s="100">
        <v>112.64</v>
      </c>
    </row>
    <row r="3542" spans="1:6">
      <c r="A3542" s="6">
        <v>44286</v>
      </c>
      <c r="B3542" s="98" t="s">
        <v>346</v>
      </c>
      <c r="C3542" s="100" t="s">
        <v>245</v>
      </c>
      <c r="D3542" s="98" t="s">
        <v>347</v>
      </c>
      <c r="E3542" s="100" t="s">
        <v>244</v>
      </c>
      <c r="F3542" s="100">
        <v>17.239999999999998</v>
      </c>
    </row>
    <row r="3543" spans="1:6">
      <c r="A3543" s="6">
        <v>44286</v>
      </c>
      <c r="B3543" s="98" t="s">
        <v>348</v>
      </c>
      <c r="C3543" s="100" t="s">
        <v>242</v>
      </c>
      <c r="D3543" s="98" t="s">
        <v>349</v>
      </c>
      <c r="E3543" s="100" t="s">
        <v>244</v>
      </c>
      <c r="F3543" s="100">
        <v>106.19</v>
      </c>
    </row>
    <row r="3544" spans="1:6">
      <c r="A3544" s="6">
        <v>44286</v>
      </c>
      <c r="B3544" s="98" t="s">
        <v>348</v>
      </c>
      <c r="C3544" s="100" t="s">
        <v>262</v>
      </c>
      <c r="D3544" s="98" t="s">
        <v>349</v>
      </c>
      <c r="E3544" s="100" t="s">
        <v>244</v>
      </c>
      <c r="F3544" s="100">
        <v>70.45</v>
      </c>
    </row>
    <row r="3545" spans="1:6">
      <c r="A3545" s="6">
        <v>44286</v>
      </c>
      <c r="B3545" s="98" t="s">
        <v>348</v>
      </c>
      <c r="C3545" s="100" t="s">
        <v>264</v>
      </c>
      <c r="D3545" s="98" t="s">
        <v>349</v>
      </c>
      <c r="E3545" s="100" t="s">
        <v>244</v>
      </c>
      <c r="F3545" s="100">
        <v>48.89</v>
      </c>
    </row>
    <row r="3546" spans="1:6">
      <c r="A3546" s="6">
        <v>44286</v>
      </c>
      <c r="B3546" s="98" t="s">
        <v>350</v>
      </c>
      <c r="C3546" s="100" t="s">
        <v>242</v>
      </c>
      <c r="D3546" s="98" t="s">
        <v>351</v>
      </c>
      <c r="E3546" s="100" t="s">
        <v>244</v>
      </c>
      <c r="F3546" s="100">
        <v>95.08</v>
      </c>
    </row>
    <row r="3547" spans="1:6">
      <c r="A3547" s="6">
        <v>44286</v>
      </c>
      <c r="B3547" s="98" t="s">
        <v>350</v>
      </c>
      <c r="C3547" s="100" t="s">
        <v>245</v>
      </c>
      <c r="D3547" s="98" t="s">
        <v>351</v>
      </c>
      <c r="E3547" s="100" t="s">
        <v>244</v>
      </c>
      <c r="F3547" s="100">
        <v>192.37</v>
      </c>
    </row>
    <row r="3548" spans="1:6">
      <c r="A3548" s="6">
        <v>44286</v>
      </c>
      <c r="B3548" s="98" t="s">
        <v>350</v>
      </c>
      <c r="C3548" s="100" t="s">
        <v>291</v>
      </c>
      <c r="D3548" s="98" t="s">
        <v>351</v>
      </c>
      <c r="E3548" s="100" t="s">
        <v>247</v>
      </c>
      <c r="F3548" s="100">
        <v>232.16</v>
      </c>
    </row>
    <row r="3549" spans="1:6">
      <c r="A3549" s="6">
        <v>44286</v>
      </c>
      <c r="B3549" s="98" t="s">
        <v>352</v>
      </c>
      <c r="C3549" s="100" t="s">
        <v>245</v>
      </c>
      <c r="D3549" s="98" t="s">
        <v>353</v>
      </c>
      <c r="E3549" s="100" t="s">
        <v>244</v>
      </c>
      <c r="F3549" s="100">
        <v>0.08</v>
      </c>
    </row>
    <row r="3550" spans="1:6">
      <c r="A3550" s="6">
        <v>44286</v>
      </c>
      <c r="B3550" s="98" t="s">
        <v>354</v>
      </c>
      <c r="C3550" s="100" t="s">
        <v>355</v>
      </c>
      <c r="D3550" s="98" t="s">
        <v>356</v>
      </c>
      <c r="E3550" s="100" t="s">
        <v>247</v>
      </c>
      <c r="F3550" s="100">
        <v>914.05</v>
      </c>
    </row>
    <row r="3551" spans="1:6">
      <c r="A3551" s="6">
        <v>44286</v>
      </c>
      <c r="B3551" s="98" t="s">
        <v>354</v>
      </c>
      <c r="C3551" s="100" t="s">
        <v>280</v>
      </c>
      <c r="D3551" s="98" t="s">
        <v>356</v>
      </c>
      <c r="E3551" s="100" t="s">
        <v>247</v>
      </c>
      <c r="F3551" s="100">
        <v>1671.38</v>
      </c>
    </row>
    <row r="3552" spans="1:6">
      <c r="A3552" s="6">
        <v>44286</v>
      </c>
      <c r="B3552" s="98" t="s">
        <v>561</v>
      </c>
      <c r="C3552" s="100" t="s">
        <v>262</v>
      </c>
      <c r="D3552" s="98" t="s">
        <v>562</v>
      </c>
      <c r="E3552" s="100" t="s">
        <v>244</v>
      </c>
      <c r="F3552" s="100">
        <v>2.29</v>
      </c>
    </row>
    <row r="3553" spans="1:6">
      <c r="A3553" s="6">
        <v>44286</v>
      </c>
      <c r="B3553" s="98" t="s">
        <v>357</v>
      </c>
      <c r="C3553" s="100" t="s">
        <v>248</v>
      </c>
      <c r="D3553" s="98" t="s">
        <v>358</v>
      </c>
      <c r="E3553" s="100" t="s">
        <v>247</v>
      </c>
      <c r="F3553" s="100">
        <v>16367.33</v>
      </c>
    </row>
    <row r="3554" spans="1:6">
      <c r="A3554" s="6">
        <v>44286</v>
      </c>
      <c r="B3554" s="98" t="s">
        <v>359</v>
      </c>
      <c r="C3554" s="100" t="s">
        <v>266</v>
      </c>
      <c r="D3554" s="98" t="s">
        <v>360</v>
      </c>
      <c r="E3554" s="100" t="s">
        <v>258</v>
      </c>
      <c r="F3554" s="100">
        <v>2773.81</v>
      </c>
    </row>
    <row r="3555" spans="1:6">
      <c r="A3555" s="6">
        <v>44286</v>
      </c>
      <c r="B3555" s="98" t="s">
        <v>359</v>
      </c>
      <c r="C3555" s="100" t="s">
        <v>255</v>
      </c>
      <c r="D3555" s="98" t="s">
        <v>360</v>
      </c>
      <c r="E3555" s="100" t="s">
        <v>247</v>
      </c>
      <c r="F3555" s="100">
        <v>513.07000000000005</v>
      </c>
    </row>
    <row r="3556" spans="1:6">
      <c r="A3556" s="6">
        <v>44286</v>
      </c>
      <c r="B3556" s="98" t="s">
        <v>359</v>
      </c>
      <c r="C3556" s="100" t="s">
        <v>289</v>
      </c>
      <c r="D3556" s="98" t="s">
        <v>360</v>
      </c>
      <c r="E3556" s="100" t="s">
        <v>247</v>
      </c>
      <c r="F3556" s="100">
        <v>1305.4000000000001</v>
      </c>
    </row>
    <row r="3557" spans="1:6">
      <c r="A3557" s="6">
        <v>44286</v>
      </c>
      <c r="B3557" s="98" t="s">
        <v>359</v>
      </c>
      <c r="C3557" s="100" t="s">
        <v>262</v>
      </c>
      <c r="D3557" s="98" t="s">
        <v>360</v>
      </c>
      <c r="E3557" s="100" t="s">
        <v>244</v>
      </c>
      <c r="F3557" s="100">
        <v>1424.96</v>
      </c>
    </row>
    <row r="3558" spans="1:6">
      <c r="A3558" s="6">
        <v>44286</v>
      </c>
      <c r="B3558" s="98" t="s">
        <v>359</v>
      </c>
      <c r="C3558" s="100" t="s">
        <v>251</v>
      </c>
      <c r="D3558" s="98" t="s">
        <v>360</v>
      </c>
      <c r="E3558" s="100" t="s">
        <v>244</v>
      </c>
      <c r="F3558" s="100">
        <v>11.83</v>
      </c>
    </row>
    <row r="3559" spans="1:6">
      <c r="A3559" s="6">
        <v>44286</v>
      </c>
      <c r="B3559" s="98" t="s">
        <v>359</v>
      </c>
      <c r="C3559" s="100" t="s">
        <v>245</v>
      </c>
      <c r="D3559" s="98" t="s">
        <v>360</v>
      </c>
      <c r="E3559" s="100" t="s">
        <v>244</v>
      </c>
      <c r="F3559" s="100">
        <v>714.63</v>
      </c>
    </row>
    <row r="3560" spans="1:6">
      <c r="A3560" s="6">
        <v>44286</v>
      </c>
      <c r="B3560" s="98" t="s">
        <v>359</v>
      </c>
      <c r="C3560" s="100" t="s">
        <v>264</v>
      </c>
      <c r="D3560" s="98" t="s">
        <v>360</v>
      </c>
      <c r="E3560" s="100" t="s">
        <v>244</v>
      </c>
      <c r="F3560" s="100">
        <v>81.11</v>
      </c>
    </row>
    <row r="3561" spans="1:6">
      <c r="A3561" s="6">
        <v>44286</v>
      </c>
      <c r="B3561" s="98" t="s">
        <v>361</v>
      </c>
      <c r="C3561" s="100" t="s">
        <v>249</v>
      </c>
      <c r="D3561" s="98" t="s">
        <v>362</v>
      </c>
      <c r="E3561" s="100" t="s">
        <v>247</v>
      </c>
      <c r="F3561" s="100">
        <v>3598.21</v>
      </c>
    </row>
    <row r="3562" spans="1:6">
      <c r="A3562" s="6">
        <v>44286</v>
      </c>
      <c r="B3562" s="98" t="s">
        <v>361</v>
      </c>
      <c r="C3562" s="100" t="s">
        <v>242</v>
      </c>
      <c r="D3562" s="98" t="s">
        <v>362</v>
      </c>
      <c r="E3562" s="100" t="s">
        <v>244</v>
      </c>
      <c r="F3562" s="100">
        <v>251.69</v>
      </c>
    </row>
    <row r="3563" spans="1:6">
      <c r="A3563" s="6">
        <v>44286</v>
      </c>
      <c r="B3563" s="98" t="s">
        <v>361</v>
      </c>
      <c r="C3563" s="100" t="s">
        <v>264</v>
      </c>
      <c r="D3563" s="98" t="s">
        <v>362</v>
      </c>
      <c r="E3563" s="100" t="s">
        <v>244</v>
      </c>
      <c r="F3563" s="100">
        <v>100</v>
      </c>
    </row>
    <row r="3564" spans="1:6">
      <c r="A3564" s="6">
        <v>44286</v>
      </c>
      <c r="B3564" s="98" t="s">
        <v>361</v>
      </c>
      <c r="C3564" s="100" t="s">
        <v>280</v>
      </c>
      <c r="D3564" s="98" t="s">
        <v>362</v>
      </c>
      <c r="E3564" s="100" t="s">
        <v>247</v>
      </c>
      <c r="F3564" s="100">
        <v>157.13</v>
      </c>
    </row>
    <row r="3565" spans="1:6">
      <c r="A3565" s="6">
        <v>44286</v>
      </c>
      <c r="B3565" s="98" t="s">
        <v>366</v>
      </c>
      <c r="C3565" s="100" t="s">
        <v>259</v>
      </c>
      <c r="D3565" s="98" t="s">
        <v>367</v>
      </c>
      <c r="E3565" s="100" t="s">
        <v>258</v>
      </c>
      <c r="F3565" s="100">
        <v>79603.16</v>
      </c>
    </row>
    <row r="3566" spans="1:6">
      <c r="A3566" s="6">
        <v>44286</v>
      </c>
      <c r="B3566" s="98" t="s">
        <v>366</v>
      </c>
      <c r="C3566" s="100" t="s">
        <v>266</v>
      </c>
      <c r="D3566" s="98" t="s">
        <v>367</v>
      </c>
      <c r="E3566" s="100" t="s">
        <v>258</v>
      </c>
      <c r="F3566" s="100">
        <v>10248.219999999999</v>
      </c>
    </row>
    <row r="3567" spans="1:6">
      <c r="A3567" s="6">
        <v>44286</v>
      </c>
      <c r="B3567" s="98" t="s">
        <v>366</v>
      </c>
      <c r="C3567" s="100" t="s">
        <v>257</v>
      </c>
      <c r="D3567" s="98" t="s">
        <v>367</v>
      </c>
      <c r="E3567" s="100" t="s">
        <v>258</v>
      </c>
      <c r="F3567" s="100">
        <v>67529.350000000006</v>
      </c>
    </row>
    <row r="3568" spans="1:6">
      <c r="A3568" s="6">
        <v>44286</v>
      </c>
      <c r="B3568" s="98" t="s">
        <v>366</v>
      </c>
      <c r="C3568" s="100" t="s">
        <v>368</v>
      </c>
      <c r="D3568" s="98" t="s">
        <v>367</v>
      </c>
      <c r="E3568" s="100" t="s">
        <v>247</v>
      </c>
      <c r="F3568" s="100">
        <v>2500.1999999999998</v>
      </c>
    </row>
    <row r="3569" spans="1:6">
      <c r="A3569" s="6">
        <v>44286</v>
      </c>
      <c r="B3569" s="98" t="s">
        <v>366</v>
      </c>
      <c r="C3569" s="100" t="s">
        <v>260</v>
      </c>
      <c r="D3569" s="98" t="s">
        <v>367</v>
      </c>
      <c r="E3569" s="100" t="s">
        <v>258</v>
      </c>
      <c r="F3569" s="100">
        <v>8231.7999999999993</v>
      </c>
    </row>
    <row r="3570" spans="1:6">
      <c r="A3570" s="6">
        <v>44286</v>
      </c>
      <c r="B3570" s="98" t="s">
        <v>366</v>
      </c>
      <c r="C3570" s="100" t="s">
        <v>253</v>
      </c>
      <c r="D3570" s="98" t="s">
        <v>367</v>
      </c>
      <c r="E3570" s="100" t="s">
        <v>244</v>
      </c>
      <c r="F3570" s="100">
        <v>34.61</v>
      </c>
    </row>
    <row r="3571" spans="1:6">
      <c r="A3571" s="6">
        <v>44286</v>
      </c>
      <c r="B3571" s="98" t="s">
        <v>366</v>
      </c>
      <c r="C3571" s="100" t="s">
        <v>369</v>
      </c>
      <c r="D3571" s="98" t="s">
        <v>367</v>
      </c>
      <c r="E3571" s="100" t="s">
        <v>244</v>
      </c>
      <c r="F3571" s="100">
        <v>64.11</v>
      </c>
    </row>
    <row r="3572" spans="1:6">
      <c r="A3572" s="6">
        <v>44286</v>
      </c>
      <c r="B3572" s="98" t="s">
        <v>370</v>
      </c>
      <c r="C3572" s="100" t="s">
        <v>272</v>
      </c>
      <c r="D3572" s="98" t="s">
        <v>371</v>
      </c>
      <c r="E3572" s="100" t="s">
        <v>247</v>
      </c>
      <c r="F3572" s="100">
        <v>1217.33</v>
      </c>
    </row>
    <row r="3573" spans="1:6">
      <c r="A3573" s="6">
        <v>44286</v>
      </c>
      <c r="B3573" s="98" t="s">
        <v>370</v>
      </c>
      <c r="C3573" s="100" t="s">
        <v>242</v>
      </c>
      <c r="D3573" s="98" t="s">
        <v>371</v>
      </c>
      <c r="E3573" s="100" t="s">
        <v>244</v>
      </c>
      <c r="F3573" s="100">
        <v>221.69</v>
      </c>
    </row>
    <row r="3574" spans="1:6">
      <c r="A3574" s="6">
        <v>44286</v>
      </c>
      <c r="B3574" s="98" t="s">
        <v>370</v>
      </c>
      <c r="C3574" s="100" t="s">
        <v>253</v>
      </c>
      <c r="D3574" s="98" t="s">
        <v>371</v>
      </c>
      <c r="E3574" s="100" t="s">
        <v>244</v>
      </c>
      <c r="F3574" s="100">
        <v>22.45</v>
      </c>
    </row>
    <row r="3575" spans="1:6">
      <c r="A3575" s="6">
        <v>44286</v>
      </c>
      <c r="B3575" s="98" t="s">
        <v>370</v>
      </c>
      <c r="C3575" s="100" t="s">
        <v>254</v>
      </c>
      <c r="D3575" s="98" t="s">
        <v>371</v>
      </c>
      <c r="E3575" s="100" t="s">
        <v>244</v>
      </c>
      <c r="F3575" s="100">
        <v>1481.37</v>
      </c>
    </row>
    <row r="3576" spans="1:6">
      <c r="A3576" s="6">
        <v>44286</v>
      </c>
      <c r="B3576" s="98" t="s">
        <v>372</v>
      </c>
      <c r="C3576" s="100" t="s">
        <v>289</v>
      </c>
      <c r="D3576" s="98" t="s">
        <v>373</v>
      </c>
      <c r="E3576" s="100" t="s">
        <v>247</v>
      </c>
      <c r="F3576" s="100">
        <v>3051.79</v>
      </c>
    </row>
    <row r="3577" spans="1:6">
      <c r="A3577" s="6">
        <v>44286</v>
      </c>
      <c r="B3577" s="98" t="s">
        <v>372</v>
      </c>
      <c r="C3577" s="100" t="s">
        <v>242</v>
      </c>
      <c r="D3577" s="98" t="s">
        <v>373</v>
      </c>
      <c r="E3577" s="100" t="s">
        <v>244</v>
      </c>
      <c r="F3577" s="100">
        <v>761.23</v>
      </c>
    </row>
    <row r="3578" spans="1:6">
      <c r="A3578" s="6">
        <v>44286</v>
      </c>
      <c r="B3578" s="98" t="s">
        <v>372</v>
      </c>
      <c r="C3578" s="100" t="s">
        <v>277</v>
      </c>
      <c r="D3578" s="98" t="s">
        <v>373</v>
      </c>
      <c r="E3578" s="100" t="s">
        <v>247</v>
      </c>
      <c r="F3578" s="100">
        <v>1558.93</v>
      </c>
    </row>
    <row r="3579" spans="1:6">
      <c r="A3579" s="6">
        <v>44286</v>
      </c>
      <c r="B3579" s="98" t="s">
        <v>472</v>
      </c>
      <c r="C3579" s="100" t="s">
        <v>253</v>
      </c>
      <c r="D3579" s="98" t="s">
        <v>473</v>
      </c>
      <c r="E3579" s="100" t="s">
        <v>244</v>
      </c>
      <c r="F3579" s="100">
        <v>20.77</v>
      </c>
    </row>
    <row r="3580" spans="1:6">
      <c r="A3580" s="6">
        <v>44286</v>
      </c>
      <c r="B3580" s="98" t="s">
        <v>472</v>
      </c>
      <c r="C3580" s="100" t="s">
        <v>264</v>
      </c>
      <c r="D3580" s="98" t="s">
        <v>473</v>
      </c>
      <c r="E3580" s="100" t="s">
        <v>244</v>
      </c>
      <c r="F3580" s="100">
        <v>17.79</v>
      </c>
    </row>
    <row r="3581" spans="1:6">
      <c r="A3581" s="6">
        <v>44286</v>
      </c>
      <c r="B3581" s="98" t="s">
        <v>374</v>
      </c>
      <c r="C3581" s="100" t="s">
        <v>246</v>
      </c>
      <c r="D3581" s="98" t="s">
        <v>375</v>
      </c>
      <c r="E3581" s="100" t="s">
        <v>247</v>
      </c>
      <c r="F3581" s="100">
        <v>18155.55</v>
      </c>
    </row>
    <row r="3582" spans="1:6">
      <c r="A3582" s="6">
        <v>44286</v>
      </c>
      <c r="B3582" s="98" t="s">
        <v>374</v>
      </c>
      <c r="C3582" s="100" t="s">
        <v>249</v>
      </c>
      <c r="D3582" s="98" t="s">
        <v>375</v>
      </c>
      <c r="E3582" s="100" t="s">
        <v>247</v>
      </c>
      <c r="F3582" s="100">
        <v>16347.67</v>
      </c>
    </row>
    <row r="3583" spans="1:6">
      <c r="A3583" s="6">
        <v>44286</v>
      </c>
      <c r="B3583" s="98" t="s">
        <v>374</v>
      </c>
      <c r="C3583" s="100" t="s">
        <v>242</v>
      </c>
      <c r="D3583" s="98" t="s">
        <v>375</v>
      </c>
      <c r="E3583" s="100" t="s">
        <v>244</v>
      </c>
      <c r="F3583" s="100">
        <v>140.18</v>
      </c>
    </row>
    <row r="3584" spans="1:6">
      <c r="A3584" s="6">
        <v>44286</v>
      </c>
      <c r="B3584" s="98" t="s">
        <v>374</v>
      </c>
      <c r="C3584" s="100" t="s">
        <v>251</v>
      </c>
      <c r="D3584" s="98" t="s">
        <v>375</v>
      </c>
      <c r="E3584" s="100" t="s">
        <v>244</v>
      </c>
      <c r="F3584" s="100">
        <v>86</v>
      </c>
    </row>
    <row r="3585" spans="1:6">
      <c r="A3585" s="6">
        <v>44286</v>
      </c>
      <c r="B3585" s="98" t="s">
        <v>374</v>
      </c>
      <c r="C3585" s="100" t="s">
        <v>245</v>
      </c>
      <c r="D3585" s="98" t="s">
        <v>375</v>
      </c>
      <c r="E3585" s="100" t="s">
        <v>244</v>
      </c>
      <c r="F3585" s="100">
        <v>1847.94</v>
      </c>
    </row>
    <row r="3586" spans="1:6">
      <c r="A3586" s="6">
        <v>44286</v>
      </c>
      <c r="B3586" s="98" t="s">
        <v>374</v>
      </c>
      <c r="C3586" s="100" t="s">
        <v>277</v>
      </c>
      <c r="D3586" s="98" t="s">
        <v>375</v>
      </c>
      <c r="E3586" s="100" t="s">
        <v>247</v>
      </c>
      <c r="F3586" s="100">
        <v>17612.09</v>
      </c>
    </row>
    <row r="3587" spans="1:6">
      <c r="A3587" s="6">
        <v>44286</v>
      </c>
      <c r="B3587" s="98" t="s">
        <v>374</v>
      </c>
      <c r="C3587" s="100" t="s">
        <v>274</v>
      </c>
      <c r="D3587" s="98" t="s">
        <v>375</v>
      </c>
      <c r="E3587" s="100" t="s">
        <v>247</v>
      </c>
      <c r="F3587" s="100">
        <v>23584.78</v>
      </c>
    </row>
    <row r="3588" spans="1:6">
      <c r="A3588" s="6">
        <v>44286</v>
      </c>
      <c r="B3588" s="98" t="s">
        <v>376</v>
      </c>
      <c r="C3588" s="100" t="s">
        <v>246</v>
      </c>
      <c r="D3588" s="98" t="s">
        <v>377</v>
      </c>
      <c r="E3588" s="100" t="s">
        <v>247</v>
      </c>
      <c r="F3588" s="100">
        <v>1170.0999999999999</v>
      </c>
    </row>
    <row r="3589" spans="1:6">
      <c r="A3589" s="6">
        <v>44286</v>
      </c>
      <c r="B3589" s="98" t="s">
        <v>376</v>
      </c>
      <c r="C3589" s="100" t="s">
        <v>242</v>
      </c>
      <c r="D3589" s="98" t="s">
        <v>377</v>
      </c>
      <c r="E3589" s="100" t="s">
        <v>244</v>
      </c>
      <c r="F3589" s="100">
        <v>1163.24</v>
      </c>
    </row>
    <row r="3590" spans="1:6">
      <c r="A3590" s="6">
        <v>44286</v>
      </c>
      <c r="B3590" s="98" t="s">
        <v>376</v>
      </c>
      <c r="C3590" s="100" t="s">
        <v>262</v>
      </c>
      <c r="D3590" s="98" t="s">
        <v>377</v>
      </c>
      <c r="E3590" s="100" t="s">
        <v>244</v>
      </c>
      <c r="F3590" s="100">
        <v>10027.11</v>
      </c>
    </row>
    <row r="3591" spans="1:6">
      <c r="A3591" s="6">
        <v>44286</v>
      </c>
      <c r="B3591" s="98" t="s">
        <v>376</v>
      </c>
      <c r="C3591" s="100" t="s">
        <v>245</v>
      </c>
      <c r="D3591" s="98" t="s">
        <v>377</v>
      </c>
      <c r="E3591" s="100" t="s">
        <v>244</v>
      </c>
      <c r="F3591" s="100">
        <v>565.32000000000005</v>
      </c>
    </row>
    <row r="3592" spans="1:6">
      <c r="A3592" s="6">
        <v>44286</v>
      </c>
      <c r="B3592" s="98" t="s">
        <v>376</v>
      </c>
      <c r="C3592" s="100" t="s">
        <v>254</v>
      </c>
      <c r="D3592" s="98" t="s">
        <v>377</v>
      </c>
      <c r="E3592" s="100" t="s">
        <v>244</v>
      </c>
      <c r="F3592" s="100">
        <v>375.12</v>
      </c>
    </row>
    <row r="3593" spans="1:6">
      <c r="A3593" s="6">
        <v>44286</v>
      </c>
      <c r="B3593" s="98" t="s">
        <v>378</v>
      </c>
      <c r="C3593" s="100" t="s">
        <v>355</v>
      </c>
      <c r="D3593" s="98" t="s">
        <v>379</v>
      </c>
      <c r="E3593" s="100" t="s">
        <v>247</v>
      </c>
      <c r="F3593" s="100">
        <v>881.39</v>
      </c>
    </row>
    <row r="3594" spans="1:6">
      <c r="A3594" s="6">
        <v>44286</v>
      </c>
      <c r="B3594" s="98" t="s">
        <v>378</v>
      </c>
      <c r="C3594" s="100" t="s">
        <v>245</v>
      </c>
      <c r="D3594" s="98" t="s">
        <v>379</v>
      </c>
      <c r="E3594" s="100" t="s">
        <v>244</v>
      </c>
      <c r="F3594" s="100">
        <v>142.63999999999999</v>
      </c>
    </row>
    <row r="3595" spans="1:6">
      <c r="A3595" s="6">
        <v>44286</v>
      </c>
      <c r="B3595" s="98" t="s">
        <v>380</v>
      </c>
      <c r="C3595" s="100" t="s">
        <v>254</v>
      </c>
      <c r="D3595" s="98" t="s">
        <v>381</v>
      </c>
      <c r="E3595" s="100" t="s">
        <v>244</v>
      </c>
      <c r="F3595" s="100">
        <v>-3.4</v>
      </c>
    </row>
    <row r="3596" spans="1:6">
      <c r="A3596" s="6">
        <v>44286</v>
      </c>
      <c r="B3596" s="98" t="s">
        <v>439</v>
      </c>
      <c r="C3596" s="100" t="s">
        <v>246</v>
      </c>
      <c r="D3596" s="98" t="s">
        <v>440</v>
      </c>
      <c r="E3596" s="100" t="s">
        <v>247</v>
      </c>
      <c r="F3596" s="100">
        <v>3518.34</v>
      </c>
    </row>
    <row r="3597" spans="1:6">
      <c r="A3597" s="6">
        <v>44286</v>
      </c>
      <c r="B3597" s="98" t="s">
        <v>439</v>
      </c>
      <c r="C3597" s="100" t="s">
        <v>242</v>
      </c>
      <c r="D3597" s="98" t="s">
        <v>440</v>
      </c>
      <c r="E3597" s="100" t="s">
        <v>244</v>
      </c>
      <c r="F3597" s="100">
        <v>803.21</v>
      </c>
    </row>
    <row r="3598" spans="1:6">
      <c r="A3598" s="6">
        <v>44286</v>
      </c>
      <c r="B3598" s="98" t="s">
        <v>439</v>
      </c>
      <c r="C3598" s="100" t="s">
        <v>245</v>
      </c>
      <c r="D3598" s="98" t="s">
        <v>440</v>
      </c>
      <c r="E3598" s="100" t="s">
        <v>244</v>
      </c>
      <c r="F3598" s="100">
        <v>730.23</v>
      </c>
    </row>
    <row r="3599" spans="1:6">
      <c r="A3599" s="6">
        <v>44286</v>
      </c>
      <c r="B3599" s="98" t="s">
        <v>467</v>
      </c>
      <c r="C3599" s="100" t="s">
        <v>264</v>
      </c>
      <c r="D3599" s="98" t="s">
        <v>468</v>
      </c>
      <c r="E3599" s="100" t="s">
        <v>244</v>
      </c>
      <c r="F3599" s="100">
        <v>893.95</v>
      </c>
    </row>
    <row r="3600" spans="1:6">
      <c r="A3600" s="6">
        <v>44286</v>
      </c>
      <c r="B3600" s="98" t="s">
        <v>467</v>
      </c>
      <c r="C3600" s="100" t="s">
        <v>254</v>
      </c>
      <c r="D3600" s="98" t="s">
        <v>468</v>
      </c>
      <c r="E3600" s="100" t="s">
        <v>244</v>
      </c>
      <c r="F3600" s="100">
        <v>52.88</v>
      </c>
    </row>
    <row r="3601" spans="1:6">
      <c r="A3601" s="6">
        <v>44286</v>
      </c>
      <c r="B3601" s="98" t="s">
        <v>384</v>
      </c>
      <c r="C3601" s="100" t="s">
        <v>278</v>
      </c>
      <c r="D3601" s="98" t="s">
        <v>385</v>
      </c>
      <c r="E3601" s="100" t="s">
        <v>247</v>
      </c>
      <c r="F3601" s="100">
        <v>2809.75</v>
      </c>
    </row>
    <row r="3602" spans="1:6">
      <c r="A3602" s="6">
        <v>44286</v>
      </c>
      <c r="B3602" s="98" t="s">
        <v>384</v>
      </c>
      <c r="C3602" s="100" t="s">
        <v>262</v>
      </c>
      <c r="D3602" s="98" t="s">
        <v>385</v>
      </c>
      <c r="E3602" s="100" t="s">
        <v>244</v>
      </c>
      <c r="F3602" s="100">
        <v>92.41</v>
      </c>
    </row>
    <row r="3603" spans="1:6">
      <c r="A3603" s="6">
        <v>44286</v>
      </c>
      <c r="B3603" s="98" t="s">
        <v>384</v>
      </c>
      <c r="C3603" s="100" t="s">
        <v>253</v>
      </c>
      <c r="D3603" s="98" t="s">
        <v>385</v>
      </c>
      <c r="E3603" s="100" t="s">
        <v>244</v>
      </c>
      <c r="F3603" s="100">
        <v>54.41</v>
      </c>
    </row>
    <row r="3604" spans="1:6">
      <c r="A3604" s="6">
        <v>44286</v>
      </c>
      <c r="B3604" s="98" t="s">
        <v>384</v>
      </c>
      <c r="C3604" s="100" t="s">
        <v>245</v>
      </c>
      <c r="D3604" s="98" t="s">
        <v>385</v>
      </c>
      <c r="E3604" s="100" t="s">
        <v>244</v>
      </c>
      <c r="F3604" s="100">
        <v>77.16</v>
      </c>
    </row>
    <row r="3605" spans="1:6">
      <c r="A3605" s="6">
        <v>44286</v>
      </c>
      <c r="B3605" s="98" t="s">
        <v>384</v>
      </c>
      <c r="C3605" s="100" t="s">
        <v>264</v>
      </c>
      <c r="D3605" s="98" t="s">
        <v>385</v>
      </c>
      <c r="E3605" s="100" t="s">
        <v>244</v>
      </c>
      <c r="F3605" s="100">
        <v>165.27</v>
      </c>
    </row>
    <row r="3606" spans="1:6">
      <c r="A3606" s="6">
        <v>44286</v>
      </c>
      <c r="B3606" s="98" t="s">
        <v>384</v>
      </c>
      <c r="C3606" s="100" t="s">
        <v>271</v>
      </c>
      <c r="D3606" s="98" t="s">
        <v>385</v>
      </c>
      <c r="E3606" s="100" t="s">
        <v>244</v>
      </c>
      <c r="F3606" s="100">
        <v>4.82</v>
      </c>
    </row>
    <row r="3607" spans="1:6">
      <c r="A3607" s="6">
        <v>44286</v>
      </c>
      <c r="B3607" s="98" t="s">
        <v>384</v>
      </c>
      <c r="C3607" s="100" t="s">
        <v>254</v>
      </c>
      <c r="D3607" s="98" t="s">
        <v>385</v>
      </c>
      <c r="E3607" s="100" t="s">
        <v>244</v>
      </c>
      <c r="F3607" s="100">
        <v>293.5</v>
      </c>
    </row>
    <row r="3608" spans="1:6">
      <c r="A3608" s="6">
        <v>44286</v>
      </c>
      <c r="B3608" s="98" t="s">
        <v>435</v>
      </c>
      <c r="C3608" s="100" t="s">
        <v>255</v>
      </c>
      <c r="D3608" s="98" t="s">
        <v>436</v>
      </c>
      <c r="E3608" s="100" t="s">
        <v>247</v>
      </c>
      <c r="F3608" s="100">
        <v>8798.2999999999993</v>
      </c>
    </row>
    <row r="3609" spans="1:6">
      <c r="A3609" s="6">
        <v>44286</v>
      </c>
      <c r="B3609" s="98" t="s">
        <v>435</v>
      </c>
      <c r="C3609" s="100" t="s">
        <v>289</v>
      </c>
      <c r="D3609" s="98" t="s">
        <v>436</v>
      </c>
      <c r="E3609" s="100" t="s">
        <v>247</v>
      </c>
      <c r="F3609" s="100">
        <v>19099.72</v>
      </c>
    </row>
    <row r="3610" spans="1:6">
      <c r="A3610" s="6">
        <v>44286</v>
      </c>
      <c r="B3610" s="98" t="s">
        <v>435</v>
      </c>
      <c r="C3610" s="100" t="s">
        <v>242</v>
      </c>
      <c r="D3610" s="98" t="s">
        <v>436</v>
      </c>
      <c r="E3610" s="100" t="s">
        <v>244</v>
      </c>
      <c r="F3610" s="100">
        <v>1943.77</v>
      </c>
    </row>
    <row r="3611" spans="1:6">
      <c r="A3611" s="6">
        <v>44286</v>
      </c>
      <c r="B3611" s="98" t="s">
        <v>435</v>
      </c>
      <c r="C3611" s="100" t="s">
        <v>262</v>
      </c>
      <c r="D3611" s="98" t="s">
        <v>436</v>
      </c>
      <c r="E3611" s="100" t="s">
        <v>244</v>
      </c>
      <c r="F3611" s="100">
        <v>22041.73</v>
      </c>
    </row>
    <row r="3612" spans="1:6">
      <c r="A3612" s="6">
        <v>44286</v>
      </c>
      <c r="B3612" s="98" t="s">
        <v>435</v>
      </c>
      <c r="C3612" s="100" t="s">
        <v>253</v>
      </c>
      <c r="D3612" s="98" t="s">
        <v>436</v>
      </c>
      <c r="E3612" s="100" t="s">
        <v>244</v>
      </c>
      <c r="F3612" s="100">
        <v>444.81</v>
      </c>
    </row>
    <row r="3613" spans="1:6">
      <c r="A3613" s="6">
        <v>44286</v>
      </c>
      <c r="B3613" s="98" t="s">
        <v>435</v>
      </c>
      <c r="C3613" s="100" t="s">
        <v>245</v>
      </c>
      <c r="D3613" s="98" t="s">
        <v>436</v>
      </c>
      <c r="E3613" s="100" t="s">
        <v>244</v>
      </c>
      <c r="F3613" s="100">
        <v>3943.84</v>
      </c>
    </row>
    <row r="3614" spans="1:6">
      <c r="A3614" s="6">
        <v>44286</v>
      </c>
      <c r="B3614" s="98" t="s">
        <v>435</v>
      </c>
      <c r="C3614" s="100" t="s">
        <v>254</v>
      </c>
      <c r="D3614" s="98" t="s">
        <v>436</v>
      </c>
      <c r="E3614" s="100" t="s">
        <v>244</v>
      </c>
      <c r="F3614" s="100">
        <v>301.60000000000002</v>
      </c>
    </row>
    <row r="3615" spans="1:6">
      <c r="A3615" s="6">
        <v>44286</v>
      </c>
      <c r="B3615" s="98" t="s">
        <v>386</v>
      </c>
      <c r="C3615" s="100" t="s">
        <v>278</v>
      </c>
      <c r="D3615" s="98" t="s">
        <v>387</v>
      </c>
      <c r="E3615" s="100" t="s">
        <v>247</v>
      </c>
      <c r="F3615" s="100">
        <v>3001.96</v>
      </c>
    </row>
    <row r="3616" spans="1:6">
      <c r="A3616" s="6">
        <v>44286</v>
      </c>
      <c r="B3616" s="98" t="s">
        <v>386</v>
      </c>
      <c r="C3616" s="100" t="s">
        <v>272</v>
      </c>
      <c r="D3616" s="98" t="s">
        <v>387</v>
      </c>
      <c r="E3616" s="100" t="s">
        <v>247</v>
      </c>
      <c r="F3616" s="100">
        <v>4748.62</v>
      </c>
    </row>
    <row r="3617" spans="1:6">
      <c r="A3617" s="6">
        <v>44286</v>
      </c>
      <c r="B3617" s="98" t="s">
        <v>386</v>
      </c>
      <c r="C3617" s="100" t="s">
        <v>262</v>
      </c>
      <c r="D3617" s="98" t="s">
        <v>387</v>
      </c>
      <c r="E3617" s="100" t="s">
        <v>244</v>
      </c>
      <c r="F3617" s="100">
        <v>227.81</v>
      </c>
    </row>
    <row r="3618" spans="1:6">
      <c r="A3618" s="6">
        <v>44286</v>
      </c>
      <c r="B3618" s="98" t="s">
        <v>386</v>
      </c>
      <c r="C3618" s="100" t="s">
        <v>253</v>
      </c>
      <c r="D3618" s="98" t="s">
        <v>387</v>
      </c>
      <c r="E3618" s="100" t="s">
        <v>244</v>
      </c>
      <c r="F3618" s="100">
        <v>108.07</v>
      </c>
    </row>
    <row r="3619" spans="1:6">
      <c r="A3619" s="6">
        <v>44286</v>
      </c>
      <c r="B3619" s="98" t="s">
        <v>386</v>
      </c>
      <c r="C3619" s="100" t="s">
        <v>245</v>
      </c>
      <c r="D3619" s="98" t="s">
        <v>387</v>
      </c>
      <c r="E3619" s="100" t="s">
        <v>244</v>
      </c>
      <c r="F3619" s="100">
        <v>188.09</v>
      </c>
    </row>
    <row r="3620" spans="1:6">
      <c r="A3620" s="6">
        <v>44286</v>
      </c>
      <c r="B3620" s="98" t="s">
        <v>386</v>
      </c>
      <c r="C3620" s="100" t="s">
        <v>264</v>
      </c>
      <c r="D3620" s="98" t="s">
        <v>387</v>
      </c>
      <c r="E3620" s="100" t="s">
        <v>244</v>
      </c>
      <c r="F3620" s="100">
        <v>401.47</v>
      </c>
    </row>
    <row r="3621" spans="1:6">
      <c r="A3621" s="6">
        <v>44286</v>
      </c>
      <c r="B3621" s="98" t="s">
        <v>386</v>
      </c>
      <c r="C3621" s="100" t="s">
        <v>271</v>
      </c>
      <c r="D3621" s="98" t="s">
        <v>387</v>
      </c>
      <c r="E3621" s="100" t="s">
        <v>244</v>
      </c>
      <c r="F3621" s="100">
        <v>60.38</v>
      </c>
    </row>
    <row r="3622" spans="1:6">
      <c r="A3622" s="6">
        <v>44286</v>
      </c>
      <c r="B3622" s="98" t="s">
        <v>386</v>
      </c>
      <c r="C3622" s="100" t="s">
        <v>254</v>
      </c>
      <c r="D3622" s="98" t="s">
        <v>387</v>
      </c>
      <c r="E3622" s="100" t="s">
        <v>244</v>
      </c>
      <c r="F3622" s="100">
        <v>200.59</v>
      </c>
    </row>
    <row r="3623" spans="1:6">
      <c r="A3623" s="6">
        <v>44286</v>
      </c>
      <c r="B3623" s="98" t="s">
        <v>388</v>
      </c>
      <c r="C3623" s="100" t="s">
        <v>560</v>
      </c>
      <c r="D3623" s="98" t="s">
        <v>389</v>
      </c>
      <c r="E3623" s="100" t="s">
        <v>247</v>
      </c>
      <c r="F3623" s="100">
        <v>203.65</v>
      </c>
    </row>
    <row r="3624" spans="1:6">
      <c r="A3624" s="6">
        <v>44286</v>
      </c>
      <c r="B3624" s="98" t="s">
        <v>388</v>
      </c>
      <c r="C3624" s="100" t="s">
        <v>262</v>
      </c>
      <c r="D3624" s="98" t="s">
        <v>389</v>
      </c>
      <c r="E3624" s="100" t="s">
        <v>244</v>
      </c>
      <c r="F3624" s="100">
        <v>204.45</v>
      </c>
    </row>
    <row r="3625" spans="1:6">
      <c r="A3625" s="6">
        <v>44286</v>
      </c>
      <c r="B3625" s="98" t="s">
        <v>388</v>
      </c>
      <c r="C3625" s="100" t="s">
        <v>245</v>
      </c>
      <c r="D3625" s="98" t="s">
        <v>389</v>
      </c>
      <c r="E3625" s="100" t="s">
        <v>244</v>
      </c>
      <c r="F3625" s="100">
        <v>409.59</v>
      </c>
    </row>
    <row r="3626" spans="1:6">
      <c r="A3626" s="6">
        <v>44286</v>
      </c>
      <c r="B3626" s="98" t="s">
        <v>388</v>
      </c>
      <c r="C3626" s="100" t="s">
        <v>254</v>
      </c>
      <c r="D3626" s="98" t="s">
        <v>389</v>
      </c>
      <c r="E3626" s="100" t="s">
        <v>244</v>
      </c>
      <c r="F3626" s="100">
        <v>18.07</v>
      </c>
    </row>
    <row r="3627" spans="1:6">
      <c r="A3627" s="6">
        <v>44286</v>
      </c>
      <c r="B3627" s="98" t="s">
        <v>390</v>
      </c>
      <c r="C3627" s="100" t="s">
        <v>278</v>
      </c>
      <c r="D3627" s="98" t="s">
        <v>391</v>
      </c>
      <c r="E3627" s="100" t="s">
        <v>247</v>
      </c>
      <c r="F3627" s="100">
        <v>5608.1</v>
      </c>
    </row>
    <row r="3628" spans="1:6">
      <c r="A3628" s="6">
        <v>44286</v>
      </c>
      <c r="B3628" s="98" t="s">
        <v>390</v>
      </c>
      <c r="C3628" s="100" t="s">
        <v>264</v>
      </c>
      <c r="D3628" s="98" t="s">
        <v>391</v>
      </c>
      <c r="E3628" s="100" t="s">
        <v>244</v>
      </c>
      <c r="F3628" s="100">
        <v>440.77</v>
      </c>
    </row>
    <row r="3629" spans="1:6">
      <c r="A3629" s="6">
        <v>44286</v>
      </c>
      <c r="B3629" s="98" t="s">
        <v>390</v>
      </c>
      <c r="C3629" s="100" t="s">
        <v>271</v>
      </c>
      <c r="D3629" s="98" t="s">
        <v>391</v>
      </c>
      <c r="E3629" s="100" t="s">
        <v>244</v>
      </c>
      <c r="F3629" s="100">
        <v>120.76</v>
      </c>
    </row>
    <row r="3630" spans="1:6">
      <c r="A3630" s="6">
        <v>44286</v>
      </c>
      <c r="B3630" s="98" t="s">
        <v>390</v>
      </c>
      <c r="C3630" s="100" t="s">
        <v>254</v>
      </c>
      <c r="D3630" s="98" t="s">
        <v>391</v>
      </c>
      <c r="E3630" s="100" t="s">
        <v>244</v>
      </c>
      <c r="F3630" s="100">
        <v>264.33</v>
      </c>
    </row>
    <row r="3631" spans="1:6">
      <c r="A3631" s="6">
        <v>44286</v>
      </c>
      <c r="B3631" s="98" t="s">
        <v>441</v>
      </c>
      <c r="C3631" s="100" t="s">
        <v>248</v>
      </c>
      <c r="D3631" s="98" t="s">
        <v>442</v>
      </c>
      <c r="E3631" s="100" t="s">
        <v>247</v>
      </c>
      <c r="F3631" s="100">
        <v>444.87</v>
      </c>
    </row>
    <row r="3632" spans="1:6">
      <c r="A3632" s="6">
        <v>44286</v>
      </c>
      <c r="B3632" s="98" t="s">
        <v>392</v>
      </c>
      <c r="C3632" s="100" t="s">
        <v>251</v>
      </c>
      <c r="D3632" s="98" t="s">
        <v>393</v>
      </c>
      <c r="E3632" s="100" t="s">
        <v>244</v>
      </c>
      <c r="F3632" s="100">
        <v>11.34</v>
      </c>
    </row>
    <row r="3633" spans="1:6">
      <c r="A3633" s="6">
        <v>44286</v>
      </c>
      <c r="B3633" s="98" t="s">
        <v>392</v>
      </c>
      <c r="C3633" s="100" t="s">
        <v>291</v>
      </c>
      <c r="D3633" s="98" t="s">
        <v>393</v>
      </c>
      <c r="E3633" s="100" t="s">
        <v>247</v>
      </c>
      <c r="F3633" s="100">
        <v>4624.2</v>
      </c>
    </row>
    <row r="3634" spans="1:6">
      <c r="A3634" s="6">
        <v>44286</v>
      </c>
      <c r="B3634" s="98" t="s">
        <v>394</v>
      </c>
      <c r="C3634" s="100" t="s">
        <v>278</v>
      </c>
      <c r="D3634" s="98" t="s">
        <v>395</v>
      </c>
      <c r="E3634" s="100" t="s">
        <v>247</v>
      </c>
      <c r="F3634" s="100">
        <v>654.82000000000005</v>
      </c>
    </row>
    <row r="3635" spans="1:6">
      <c r="A3635" s="6">
        <v>44286</v>
      </c>
      <c r="B3635" s="98" t="s">
        <v>394</v>
      </c>
      <c r="C3635" s="100" t="s">
        <v>251</v>
      </c>
      <c r="D3635" s="98" t="s">
        <v>395</v>
      </c>
      <c r="E3635" s="100" t="s">
        <v>244</v>
      </c>
      <c r="F3635" s="100">
        <v>14.71</v>
      </c>
    </row>
    <row r="3636" spans="1:6">
      <c r="A3636" s="6">
        <v>44286</v>
      </c>
      <c r="B3636" s="98" t="s">
        <v>396</v>
      </c>
      <c r="C3636" s="100" t="s">
        <v>251</v>
      </c>
      <c r="D3636" s="98" t="s">
        <v>397</v>
      </c>
      <c r="E3636" s="100" t="s">
        <v>244</v>
      </c>
      <c r="F3636" s="100">
        <v>6.41</v>
      </c>
    </row>
    <row r="3637" spans="1:6">
      <c r="A3637" s="6">
        <v>44286</v>
      </c>
      <c r="B3637" s="98" t="s">
        <v>396</v>
      </c>
      <c r="C3637" s="100" t="s">
        <v>248</v>
      </c>
      <c r="D3637" s="98" t="s">
        <v>397</v>
      </c>
      <c r="E3637" s="100" t="s">
        <v>247</v>
      </c>
      <c r="F3637" s="100">
        <v>8404.2199999999993</v>
      </c>
    </row>
    <row r="3638" spans="1:6">
      <c r="A3638" s="6">
        <v>44286</v>
      </c>
      <c r="B3638" s="98" t="s">
        <v>398</v>
      </c>
      <c r="C3638" s="100" t="s">
        <v>251</v>
      </c>
      <c r="D3638" s="98" t="s">
        <v>399</v>
      </c>
      <c r="E3638" s="100" t="s">
        <v>244</v>
      </c>
      <c r="F3638" s="100">
        <v>2.29</v>
      </c>
    </row>
    <row r="3639" spans="1:6">
      <c r="A3639" s="6">
        <v>44286</v>
      </c>
      <c r="B3639" s="98" t="s">
        <v>398</v>
      </c>
      <c r="C3639" s="100" t="s">
        <v>245</v>
      </c>
      <c r="D3639" s="98" t="s">
        <v>399</v>
      </c>
      <c r="E3639" s="100" t="s">
        <v>244</v>
      </c>
      <c r="F3639" s="100">
        <v>22.06</v>
      </c>
    </row>
    <row r="3640" spans="1:6">
      <c r="A3640" s="6">
        <v>44286</v>
      </c>
      <c r="B3640" s="98" t="s">
        <v>443</v>
      </c>
      <c r="C3640" s="100" t="s">
        <v>290</v>
      </c>
      <c r="D3640" s="98" t="s">
        <v>444</v>
      </c>
      <c r="E3640" s="100" t="s">
        <v>247</v>
      </c>
      <c r="F3640" s="100">
        <v>1111.97</v>
      </c>
    </row>
    <row r="3641" spans="1:6">
      <c r="A3641" s="6">
        <v>44286</v>
      </c>
      <c r="B3641" s="98" t="s">
        <v>443</v>
      </c>
      <c r="C3641" s="100" t="s">
        <v>248</v>
      </c>
      <c r="D3641" s="98" t="s">
        <v>444</v>
      </c>
      <c r="E3641" s="100" t="s">
        <v>247</v>
      </c>
      <c r="F3641" s="100">
        <v>2812.5</v>
      </c>
    </row>
    <row r="3642" spans="1:6">
      <c r="A3642" s="6">
        <v>44286</v>
      </c>
      <c r="B3642" s="98" t="s">
        <v>400</v>
      </c>
      <c r="C3642" s="100" t="s">
        <v>368</v>
      </c>
      <c r="D3642" s="98" t="s">
        <v>401</v>
      </c>
      <c r="E3642" s="100" t="s">
        <v>247</v>
      </c>
      <c r="F3642" s="100">
        <v>1685.71</v>
      </c>
    </row>
    <row r="3643" spans="1:6">
      <c r="A3643" s="6">
        <v>44286</v>
      </c>
      <c r="B3643" s="98" t="s">
        <v>400</v>
      </c>
      <c r="C3643" s="100" t="s">
        <v>251</v>
      </c>
      <c r="D3643" s="98" t="s">
        <v>401</v>
      </c>
      <c r="E3643" s="100" t="s">
        <v>244</v>
      </c>
      <c r="F3643" s="100">
        <v>0.82</v>
      </c>
    </row>
    <row r="3644" spans="1:6">
      <c r="A3644" s="6">
        <v>44286</v>
      </c>
      <c r="B3644" s="98" t="s">
        <v>400</v>
      </c>
      <c r="C3644" s="100" t="s">
        <v>402</v>
      </c>
      <c r="D3644" s="98" t="s">
        <v>401</v>
      </c>
      <c r="E3644" s="100" t="s">
        <v>247</v>
      </c>
      <c r="F3644" s="100">
        <v>5057.12</v>
      </c>
    </row>
    <row r="3645" spans="1:6">
      <c r="A3645" s="6">
        <v>44286</v>
      </c>
      <c r="B3645" s="98" t="s">
        <v>447</v>
      </c>
      <c r="C3645" s="100" t="s">
        <v>450</v>
      </c>
      <c r="D3645" s="98" t="s">
        <v>449</v>
      </c>
      <c r="E3645" s="100" t="s">
        <v>247</v>
      </c>
      <c r="F3645" s="100">
        <v>505.43</v>
      </c>
    </row>
    <row r="3646" spans="1:6">
      <c r="A3646" s="6">
        <v>44286</v>
      </c>
      <c r="B3646" s="98" t="s">
        <v>447</v>
      </c>
      <c r="C3646" s="100" t="s">
        <v>448</v>
      </c>
      <c r="D3646" s="98" t="s">
        <v>449</v>
      </c>
      <c r="E3646" s="100" t="s">
        <v>247</v>
      </c>
      <c r="F3646" s="100">
        <v>505.43</v>
      </c>
    </row>
    <row r="3647" spans="1:6">
      <c r="A3647" s="6">
        <v>44286</v>
      </c>
      <c r="B3647" s="98" t="s">
        <v>445</v>
      </c>
      <c r="C3647" s="100" t="s">
        <v>290</v>
      </c>
      <c r="D3647" s="98" t="s">
        <v>446</v>
      </c>
      <c r="E3647" s="100" t="s">
        <v>247</v>
      </c>
      <c r="F3647" s="100">
        <v>240.19</v>
      </c>
    </row>
    <row r="3648" spans="1:6">
      <c r="A3648" s="6">
        <v>44286</v>
      </c>
      <c r="B3648" s="98" t="s">
        <v>445</v>
      </c>
      <c r="C3648" s="100" t="s">
        <v>265</v>
      </c>
      <c r="D3648" s="98" t="s">
        <v>446</v>
      </c>
      <c r="E3648" s="100" t="s">
        <v>247</v>
      </c>
      <c r="F3648" s="100">
        <v>615.01</v>
      </c>
    </row>
    <row r="3649" spans="1:6">
      <c r="A3649" s="6">
        <v>44286</v>
      </c>
      <c r="B3649" s="98" t="s">
        <v>408</v>
      </c>
      <c r="C3649" s="100" t="s">
        <v>290</v>
      </c>
      <c r="D3649" s="98" t="s">
        <v>409</v>
      </c>
      <c r="E3649" s="100" t="s">
        <v>247</v>
      </c>
      <c r="F3649" s="100">
        <v>632.51</v>
      </c>
    </row>
    <row r="3650" spans="1:6">
      <c r="A3650" s="6">
        <v>44286</v>
      </c>
      <c r="B3650" s="98" t="s">
        <v>408</v>
      </c>
      <c r="C3650" s="100" t="s">
        <v>265</v>
      </c>
      <c r="D3650" s="98" t="s">
        <v>409</v>
      </c>
      <c r="E3650" s="100" t="s">
        <v>247</v>
      </c>
      <c r="F3650" s="100">
        <v>61.24</v>
      </c>
    </row>
    <row r="3651" spans="1:6">
      <c r="A3651" s="6">
        <v>44286</v>
      </c>
      <c r="B3651" s="98" t="s">
        <v>408</v>
      </c>
      <c r="C3651" s="100" t="s">
        <v>262</v>
      </c>
      <c r="D3651" s="98" t="s">
        <v>409</v>
      </c>
      <c r="E3651" s="100" t="s">
        <v>244</v>
      </c>
      <c r="F3651" s="100">
        <v>51.12</v>
      </c>
    </row>
    <row r="3652" spans="1:6">
      <c r="A3652" s="6">
        <v>44286</v>
      </c>
      <c r="B3652" s="98" t="s">
        <v>408</v>
      </c>
      <c r="C3652" s="100" t="s">
        <v>251</v>
      </c>
      <c r="D3652" s="98" t="s">
        <v>409</v>
      </c>
      <c r="E3652" s="100" t="s">
        <v>244</v>
      </c>
      <c r="F3652" s="100">
        <v>5.99</v>
      </c>
    </row>
    <row r="3653" spans="1:6">
      <c r="A3653" s="6">
        <v>44286</v>
      </c>
      <c r="B3653" s="98" t="s">
        <v>408</v>
      </c>
      <c r="C3653" s="100" t="s">
        <v>254</v>
      </c>
      <c r="D3653" s="98" t="s">
        <v>409</v>
      </c>
      <c r="E3653" s="100" t="s">
        <v>244</v>
      </c>
      <c r="F3653" s="100">
        <v>13.57</v>
      </c>
    </row>
    <row r="3654" spans="1:6">
      <c r="A3654" s="6">
        <v>44286</v>
      </c>
      <c r="B3654" s="98" t="s">
        <v>410</v>
      </c>
      <c r="C3654" s="100" t="s">
        <v>254</v>
      </c>
      <c r="D3654" s="98" t="s">
        <v>411</v>
      </c>
      <c r="E3654" s="100" t="s">
        <v>244</v>
      </c>
      <c r="F3654" s="100">
        <v>42.36</v>
      </c>
    </row>
    <row r="3655" spans="1:6">
      <c r="A3655" s="6">
        <v>44286</v>
      </c>
      <c r="B3655" s="98" t="s">
        <v>410</v>
      </c>
      <c r="C3655" s="100" t="s">
        <v>248</v>
      </c>
      <c r="D3655" s="98" t="s">
        <v>411</v>
      </c>
      <c r="E3655" s="100" t="s">
        <v>247</v>
      </c>
      <c r="F3655" s="100">
        <v>2661.66</v>
      </c>
    </row>
    <row r="3656" spans="1:6">
      <c r="A3656" s="6">
        <v>44286</v>
      </c>
      <c r="B3656" s="98" t="s">
        <v>412</v>
      </c>
      <c r="C3656" s="100" t="s">
        <v>255</v>
      </c>
      <c r="D3656" s="98" t="s">
        <v>413</v>
      </c>
      <c r="E3656" s="100" t="s">
        <v>247</v>
      </c>
      <c r="F3656" s="100">
        <v>1311.53</v>
      </c>
    </row>
    <row r="3657" spans="1:6">
      <c r="A3657" s="6">
        <v>44286</v>
      </c>
      <c r="B3657" s="98" t="s">
        <v>412</v>
      </c>
      <c r="C3657" s="100" t="s">
        <v>278</v>
      </c>
      <c r="D3657" s="98" t="s">
        <v>413</v>
      </c>
      <c r="E3657" s="100" t="s">
        <v>247</v>
      </c>
      <c r="F3657" s="100">
        <v>917.55</v>
      </c>
    </row>
    <row r="3658" spans="1:6">
      <c r="A3658" s="6">
        <v>44286</v>
      </c>
      <c r="B3658" s="98" t="s">
        <v>412</v>
      </c>
      <c r="C3658" s="100" t="s">
        <v>251</v>
      </c>
      <c r="D3658" s="98" t="s">
        <v>413</v>
      </c>
      <c r="E3658" s="100" t="s">
        <v>244</v>
      </c>
      <c r="F3658" s="100">
        <v>3.09</v>
      </c>
    </row>
    <row r="3659" spans="1:6">
      <c r="A3659" s="6">
        <v>44286</v>
      </c>
      <c r="B3659" s="98" t="s">
        <v>412</v>
      </c>
      <c r="C3659" s="100" t="s">
        <v>254</v>
      </c>
      <c r="D3659" s="98" t="s">
        <v>413</v>
      </c>
      <c r="E3659" s="100" t="s">
        <v>244</v>
      </c>
      <c r="F3659" s="100">
        <v>17.3</v>
      </c>
    </row>
    <row r="3660" spans="1:6">
      <c r="A3660" s="6">
        <v>44286</v>
      </c>
      <c r="B3660" s="98" t="s">
        <v>412</v>
      </c>
      <c r="C3660" s="100" t="s">
        <v>248</v>
      </c>
      <c r="D3660" s="98" t="s">
        <v>413</v>
      </c>
      <c r="E3660" s="100" t="s">
        <v>247</v>
      </c>
      <c r="F3660" s="100">
        <v>2648.03</v>
      </c>
    </row>
    <row r="3661" spans="1:6">
      <c r="A3661" s="6">
        <v>44286</v>
      </c>
      <c r="B3661" s="98" t="s">
        <v>414</v>
      </c>
      <c r="C3661" s="100" t="s">
        <v>245</v>
      </c>
      <c r="D3661" s="98" t="s">
        <v>415</v>
      </c>
      <c r="E3661" s="100" t="s">
        <v>244</v>
      </c>
      <c r="F3661" s="100">
        <v>6.56</v>
      </c>
    </row>
    <row r="3662" spans="1:6">
      <c r="A3662" s="6">
        <v>44286</v>
      </c>
      <c r="B3662" s="98" t="s">
        <v>414</v>
      </c>
      <c r="C3662" s="100" t="s">
        <v>254</v>
      </c>
      <c r="D3662" s="98" t="s">
        <v>415</v>
      </c>
      <c r="E3662" s="100" t="s">
        <v>244</v>
      </c>
      <c r="F3662" s="100">
        <v>1.5</v>
      </c>
    </row>
    <row r="3663" spans="1:6">
      <c r="A3663" s="6">
        <v>44286</v>
      </c>
      <c r="B3663" s="98" t="s">
        <v>425</v>
      </c>
      <c r="C3663" s="100" t="s">
        <v>289</v>
      </c>
      <c r="D3663" s="98" t="s">
        <v>426</v>
      </c>
      <c r="E3663" s="100" t="s">
        <v>247</v>
      </c>
      <c r="F3663" s="100">
        <v>1735.15</v>
      </c>
    </row>
    <row r="3664" spans="1:6">
      <c r="A3664" s="6">
        <v>44286</v>
      </c>
      <c r="B3664" s="98" t="s">
        <v>425</v>
      </c>
      <c r="C3664" s="100" t="s">
        <v>242</v>
      </c>
      <c r="D3664" s="98" t="s">
        <v>426</v>
      </c>
      <c r="E3664" s="100" t="s">
        <v>244</v>
      </c>
      <c r="F3664" s="100">
        <v>231.2</v>
      </c>
    </row>
    <row r="3665" spans="1:6">
      <c r="A3665" s="6">
        <v>44286</v>
      </c>
      <c r="B3665" s="98" t="s">
        <v>425</v>
      </c>
      <c r="C3665" s="100" t="s">
        <v>262</v>
      </c>
      <c r="D3665" s="98" t="s">
        <v>426</v>
      </c>
      <c r="E3665" s="100" t="s">
        <v>244</v>
      </c>
      <c r="F3665" s="100">
        <v>205.96</v>
      </c>
    </row>
    <row r="3666" spans="1:6">
      <c r="A3666" s="6">
        <v>44286</v>
      </c>
      <c r="B3666" s="98" t="s">
        <v>425</v>
      </c>
      <c r="C3666" s="100" t="s">
        <v>251</v>
      </c>
      <c r="D3666" s="98" t="s">
        <v>426</v>
      </c>
      <c r="E3666" s="100" t="s">
        <v>244</v>
      </c>
      <c r="F3666" s="100">
        <v>49.95</v>
      </c>
    </row>
    <row r="3667" spans="1:6">
      <c r="A3667" s="6">
        <v>44286</v>
      </c>
      <c r="B3667" s="98" t="s">
        <v>425</v>
      </c>
      <c r="C3667" s="100" t="s">
        <v>253</v>
      </c>
      <c r="D3667" s="98" t="s">
        <v>426</v>
      </c>
      <c r="E3667" s="100" t="s">
        <v>244</v>
      </c>
      <c r="F3667" s="100">
        <v>12.13</v>
      </c>
    </row>
    <row r="3668" spans="1:6">
      <c r="A3668" s="6">
        <v>44286</v>
      </c>
      <c r="B3668" s="98" t="s">
        <v>425</v>
      </c>
      <c r="C3668" s="100" t="s">
        <v>245</v>
      </c>
      <c r="D3668" s="98" t="s">
        <v>426</v>
      </c>
      <c r="E3668" s="100" t="s">
        <v>244</v>
      </c>
      <c r="F3668" s="100">
        <v>104.44</v>
      </c>
    </row>
    <row r="3669" spans="1:6">
      <c r="A3669" s="6">
        <v>44286</v>
      </c>
      <c r="B3669" s="98" t="s">
        <v>425</v>
      </c>
      <c r="C3669" s="100" t="s">
        <v>264</v>
      </c>
      <c r="D3669" s="98" t="s">
        <v>426</v>
      </c>
      <c r="E3669" s="100" t="s">
        <v>244</v>
      </c>
      <c r="F3669" s="100">
        <v>177.12</v>
      </c>
    </row>
    <row r="3670" spans="1:6">
      <c r="A3670" s="6">
        <v>44286</v>
      </c>
      <c r="B3670" s="98" t="s">
        <v>425</v>
      </c>
      <c r="C3670" s="100" t="s">
        <v>254</v>
      </c>
      <c r="D3670" s="98" t="s">
        <v>426</v>
      </c>
      <c r="E3670" s="100" t="s">
        <v>244</v>
      </c>
      <c r="F3670" s="100">
        <v>2.3199999999999998</v>
      </c>
    </row>
    <row r="3671" spans="1:6">
      <c r="A3671" s="6">
        <v>44286</v>
      </c>
      <c r="B3671" s="98" t="s">
        <v>427</v>
      </c>
      <c r="C3671" s="100" t="s">
        <v>242</v>
      </c>
      <c r="D3671" s="98" t="s">
        <v>428</v>
      </c>
      <c r="E3671" s="100" t="s">
        <v>244</v>
      </c>
      <c r="F3671" s="100">
        <v>289</v>
      </c>
    </row>
    <row r="3672" spans="1:6">
      <c r="A3672" s="6">
        <v>44286</v>
      </c>
      <c r="B3672" s="98" t="s">
        <v>427</v>
      </c>
      <c r="C3672" s="100" t="s">
        <v>262</v>
      </c>
      <c r="D3672" s="98" t="s">
        <v>428</v>
      </c>
      <c r="E3672" s="100" t="s">
        <v>244</v>
      </c>
      <c r="F3672" s="100">
        <v>1287.33</v>
      </c>
    </row>
    <row r="3673" spans="1:6">
      <c r="A3673" s="6">
        <v>44286</v>
      </c>
      <c r="B3673" s="98" t="s">
        <v>427</v>
      </c>
      <c r="C3673" s="100" t="s">
        <v>251</v>
      </c>
      <c r="D3673" s="98" t="s">
        <v>428</v>
      </c>
      <c r="E3673" s="100" t="s">
        <v>244</v>
      </c>
      <c r="F3673" s="100">
        <v>24.54</v>
      </c>
    </row>
    <row r="3674" spans="1:6">
      <c r="A3674" s="6">
        <v>44286</v>
      </c>
      <c r="B3674" s="98" t="s">
        <v>427</v>
      </c>
      <c r="C3674" s="100" t="s">
        <v>245</v>
      </c>
      <c r="D3674" s="98" t="s">
        <v>428</v>
      </c>
      <c r="E3674" s="100" t="s">
        <v>244</v>
      </c>
      <c r="F3674" s="100">
        <v>652.75</v>
      </c>
    </row>
    <row r="3675" spans="1:6">
      <c r="A3675" s="6">
        <v>44286</v>
      </c>
      <c r="B3675" s="98" t="s">
        <v>470</v>
      </c>
      <c r="C3675" s="100" t="s">
        <v>242</v>
      </c>
      <c r="D3675" s="98" t="s">
        <v>471</v>
      </c>
      <c r="E3675" s="100" t="s">
        <v>244</v>
      </c>
      <c r="F3675" s="100">
        <v>473.4</v>
      </c>
    </row>
    <row r="3676" spans="1:6">
      <c r="A3676" s="6">
        <v>44286</v>
      </c>
      <c r="B3676" s="98" t="s">
        <v>470</v>
      </c>
      <c r="C3676" s="100" t="s">
        <v>262</v>
      </c>
      <c r="D3676" s="98" t="s">
        <v>471</v>
      </c>
      <c r="E3676" s="100" t="s">
        <v>244</v>
      </c>
      <c r="F3676" s="100">
        <v>1407.12</v>
      </c>
    </row>
    <row r="3677" spans="1:6">
      <c r="A3677" s="6">
        <v>44286</v>
      </c>
      <c r="B3677" s="98" t="s">
        <v>470</v>
      </c>
      <c r="C3677" s="100" t="s">
        <v>245</v>
      </c>
      <c r="D3677" s="98" t="s">
        <v>471</v>
      </c>
      <c r="E3677" s="100" t="s">
        <v>244</v>
      </c>
      <c r="F3677" s="100">
        <v>584.21</v>
      </c>
    </row>
    <row r="3678" spans="1:6">
      <c r="A3678" s="6">
        <v>44286</v>
      </c>
      <c r="B3678" s="98" t="s">
        <v>470</v>
      </c>
      <c r="C3678" s="100" t="s">
        <v>264</v>
      </c>
      <c r="D3678" s="98" t="s">
        <v>471</v>
      </c>
      <c r="E3678" s="100" t="s">
        <v>244</v>
      </c>
      <c r="F3678" s="100">
        <v>308.76</v>
      </c>
    </row>
    <row r="3679" spans="1:6">
      <c r="A3679" s="6">
        <v>44286</v>
      </c>
      <c r="B3679" s="98" t="s">
        <v>429</v>
      </c>
      <c r="C3679" s="100" t="s">
        <v>246</v>
      </c>
      <c r="D3679" s="98" t="s">
        <v>430</v>
      </c>
      <c r="E3679" s="100" t="s">
        <v>247</v>
      </c>
      <c r="F3679" s="100">
        <v>2210.19</v>
      </c>
    </row>
    <row r="3680" spans="1:6">
      <c r="A3680" s="6">
        <v>44286</v>
      </c>
      <c r="B3680" s="98" t="s">
        <v>429</v>
      </c>
      <c r="C3680" s="100" t="s">
        <v>265</v>
      </c>
      <c r="D3680" s="98" t="s">
        <v>430</v>
      </c>
      <c r="E3680" s="100" t="s">
        <v>247</v>
      </c>
      <c r="F3680" s="100">
        <v>1272.8900000000001</v>
      </c>
    </row>
    <row r="3681" spans="1:6">
      <c r="A3681" s="6">
        <v>44286</v>
      </c>
      <c r="B3681" s="98" t="s">
        <v>429</v>
      </c>
      <c r="C3681" s="100" t="s">
        <v>249</v>
      </c>
      <c r="D3681" s="98" t="s">
        <v>430</v>
      </c>
      <c r="E3681" s="100" t="s">
        <v>247</v>
      </c>
      <c r="F3681" s="100">
        <v>22241.06</v>
      </c>
    </row>
    <row r="3682" spans="1:6">
      <c r="A3682" s="6">
        <v>44286</v>
      </c>
      <c r="B3682" s="98" t="s">
        <v>429</v>
      </c>
      <c r="C3682" s="100" t="s">
        <v>251</v>
      </c>
      <c r="D3682" s="98" t="s">
        <v>430</v>
      </c>
      <c r="E3682" s="100" t="s">
        <v>244</v>
      </c>
      <c r="F3682" s="100">
        <v>125.79</v>
      </c>
    </row>
    <row r="3683" spans="1:6">
      <c r="A3683" s="6">
        <v>44286</v>
      </c>
      <c r="B3683" s="98" t="s">
        <v>429</v>
      </c>
      <c r="C3683" s="100" t="s">
        <v>253</v>
      </c>
      <c r="D3683" s="98" t="s">
        <v>430</v>
      </c>
      <c r="E3683" s="100" t="s">
        <v>244</v>
      </c>
      <c r="F3683" s="100">
        <v>51.88</v>
      </c>
    </row>
    <row r="3684" spans="1:6">
      <c r="A3684" s="6">
        <v>44286</v>
      </c>
      <c r="B3684" s="98" t="s">
        <v>429</v>
      </c>
      <c r="C3684" s="100" t="s">
        <v>245</v>
      </c>
      <c r="D3684" s="98" t="s">
        <v>430</v>
      </c>
      <c r="E3684" s="100" t="s">
        <v>244</v>
      </c>
      <c r="F3684" s="100">
        <v>290.60000000000002</v>
      </c>
    </row>
    <row r="3685" spans="1:6">
      <c r="A3685" s="6">
        <v>44286</v>
      </c>
      <c r="B3685" s="98" t="s">
        <v>429</v>
      </c>
      <c r="C3685" s="100" t="s">
        <v>274</v>
      </c>
      <c r="D3685" s="98" t="s">
        <v>430</v>
      </c>
      <c r="E3685" s="100" t="s">
        <v>247</v>
      </c>
      <c r="F3685" s="100">
        <v>7603.18</v>
      </c>
    </row>
    <row r="3686" spans="1:6">
      <c r="A3686" s="6">
        <v>44286</v>
      </c>
      <c r="B3686" s="98" t="s">
        <v>455</v>
      </c>
      <c r="C3686" s="100" t="s">
        <v>254</v>
      </c>
      <c r="D3686" s="98" t="s">
        <v>456</v>
      </c>
      <c r="E3686" s="100" t="s">
        <v>244</v>
      </c>
      <c r="F3686" s="100">
        <v>228.65</v>
      </c>
    </row>
    <row r="3687" spans="1:6">
      <c r="A3687" s="6">
        <v>44286</v>
      </c>
      <c r="B3687" s="98" t="s">
        <v>437</v>
      </c>
      <c r="C3687" s="100" t="s">
        <v>242</v>
      </c>
      <c r="D3687" s="98" t="s">
        <v>438</v>
      </c>
      <c r="E3687" s="100" t="s">
        <v>244</v>
      </c>
      <c r="F3687" s="100">
        <v>592.1</v>
      </c>
    </row>
    <row r="3688" spans="1:6">
      <c r="A3688" s="6">
        <v>44286</v>
      </c>
      <c r="B3688" s="98" t="s">
        <v>437</v>
      </c>
      <c r="C3688" s="100" t="s">
        <v>262</v>
      </c>
      <c r="D3688" s="98" t="s">
        <v>438</v>
      </c>
      <c r="E3688" s="100" t="s">
        <v>244</v>
      </c>
      <c r="F3688" s="100">
        <v>3896.67</v>
      </c>
    </row>
    <row r="3689" spans="1:6">
      <c r="A3689" s="6">
        <v>44286</v>
      </c>
      <c r="B3689" s="98" t="s">
        <v>437</v>
      </c>
      <c r="C3689" s="100" t="s">
        <v>253</v>
      </c>
      <c r="D3689" s="98" t="s">
        <v>438</v>
      </c>
      <c r="E3689" s="100" t="s">
        <v>244</v>
      </c>
      <c r="F3689" s="100">
        <v>125.92</v>
      </c>
    </row>
    <row r="3690" spans="1:6">
      <c r="A3690" s="6">
        <v>44286</v>
      </c>
      <c r="B3690" s="98" t="s">
        <v>437</v>
      </c>
      <c r="C3690" s="100" t="s">
        <v>245</v>
      </c>
      <c r="D3690" s="98" t="s">
        <v>438</v>
      </c>
      <c r="E3690" s="100" t="s">
        <v>244</v>
      </c>
      <c r="F3690" s="100">
        <v>320.08</v>
      </c>
    </row>
    <row r="3691" spans="1:6">
      <c r="A3691" s="6">
        <v>44286</v>
      </c>
      <c r="B3691" s="98" t="s">
        <v>437</v>
      </c>
      <c r="C3691" s="100" t="s">
        <v>264</v>
      </c>
      <c r="D3691" s="98" t="s">
        <v>438</v>
      </c>
      <c r="E3691" s="100" t="s">
        <v>244</v>
      </c>
      <c r="F3691" s="100">
        <v>17.77</v>
      </c>
    </row>
    <row r="3692" spans="1:6">
      <c r="A3692" s="6">
        <v>44286</v>
      </c>
      <c r="B3692" s="98" t="s">
        <v>437</v>
      </c>
      <c r="C3692" s="100" t="s">
        <v>254</v>
      </c>
      <c r="D3692" s="98" t="s">
        <v>438</v>
      </c>
      <c r="E3692" s="100" t="s">
        <v>244</v>
      </c>
      <c r="F3692" s="100">
        <v>30.49</v>
      </c>
    </row>
    <row r="3693" spans="1:6">
      <c r="A3693" s="6">
        <v>44286</v>
      </c>
      <c r="B3693" s="98" t="s">
        <v>433</v>
      </c>
      <c r="C3693" s="100" t="s">
        <v>245</v>
      </c>
      <c r="D3693" s="98" t="s">
        <v>434</v>
      </c>
      <c r="E3693" s="100" t="s">
        <v>244</v>
      </c>
      <c r="F3693" s="100">
        <v>189.38</v>
      </c>
    </row>
    <row r="3694" spans="1:6">
      <c r="A3694" s="6">
        <v>44286</v>
      </c>
      <c r="B3694" s="98" t="s">
        <v>433</v>
      </c>
      <c r="C3694" s="100" t="s">
        <v>254</v>
      </c>
      <c r="D3694" s="98" t="s">
        <v>434</v>
      </c>
      <c r="E3694" s="100" t="s">
        <v>244</v>
      </c>
      <c r="F3694" s="100">
        <v>68.38</v>
      </c>
    </row>
    <row r="3695" spans="1:6">
      <c r="A3695" s="6">
        <v>44286</v>
      </c>
      <c r="B3695" s="98" t="s">
        <v>453</v>
      </c>
      <c r="C3695" s="100" t="s">
        <v>262</v>
      </c>
      <c r="D3695" s="98" t="s">
        <v>454</v>
      </c>
      <c r="E3695" s="100" t="s">
        <v>244</v>
      </c>
      <c r="F3695" s="100">
        <v>728.72</v>
      </c>
    </row>
    <row r="3696" spans="1:6">
      <c r="A3696" s="6">
        <v>44286</v>
      </c>
      <c r="B3696" s="98" t="s">
        <v>453</v>
      </c>
      <c r="C3696" s="100" t="s">
        <v>245</v>
      </c>
      <c r="D3696" s="98" t="s">
        <v>454</v>
      </c>
      <c r="E3696" s="100" t="s">
        <v>244</v>
      </c>
      <c r="F3696" s="100">
        <v>128.97999999999999</v>
      </c>
    </row>
    <row r="3697" spans="1:6">
      <c r="A3697" s="6">
        <v>44286</v>
      </c>
      <c r="B3697" s="98" t="s">
        <v>451</v>
      </c>
      <c r="C3697" s="100" t="s">
        <v>242</v>
      </c>
      <c r="D3697" s="98" t="s">
        <v>452</v>
      </c>
      <c r="E3697" s="100" t="s">
        <v>244</v>
      </c>
      <c r="F3697" s="100">
        <v>175.12</v>
      </c>
    </row>
    <row r="3698" spans="1:6">
      <c r="A3698" s="6">
        <v>44286</v>
      </c>
      <c r="B3698" s="98" t="s">
        <v>451</v>
      </c>
      <c r="C3698" s="100" t="s">
        <v>253</v>
      </c>
      <c r="D3698" s="98" t="s">
        <v>452</v>
      </c>
      <c r="E3698" s="100" t="s">
        <v>244</v>
      </c>
      <c r="F3698" s="100">
        <v>26.87</v>
      </c>
    </row>
    <row r="3699" spans="1:6">
      <c r="A3699" s="6">
        <v>44286</v>
      </c>
      <c r="B3699" s="98" t="s">
        <v>451</v>
      </c>
      <c r="C3699" s="100" t="s">
        <v>254</v>
      </c>
      <c r="D3699" s="98" t="s">
        <v>452</v>
      </c>
      <c r="E3699" s="100" t="s">
        <v>244</v>
      </c>
      <c r="F3699" s="100">
        <v>129.16999999999999</v>
      </c>
    </row>
    <row r="3700" spans="1:6">
      <c r="A3700" s="6">
        <v>44286</v>
      </c>
      <c r="B3700" s="98" t="s">
        <v>563</v>
      </c>
      <c r="C3700" s="100" t="s">
        <v>251</v>
      </c>
      <c r="D3700" s="98" t="s">
        <v>564</v>
      </c>
      <c r="E3700" s="100" t="s">
        <v>244</v>
      </c>
      <c r="F3700" s="100">
        <v>89.49</v>
      </c>
    </row>
    <row r="3701" spans="1:6">
      <c r="A3701" s="6">
        <v>44286</v>
      </c>
      <c r="B3701" s="98" t="s">
        <v>563</v>
      </c>
      <c r="C3701" s="100" t="s">
        <v>245</v>
      </c>
      <c r="D3701" s="98" t="s">
        <v>564</v>
      </c>
      <c r="E3701" s="100" t="s">
        <v>244</v>
      </c>
      <c r="F3701" s="100">
        <v>105.37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192"/>
  <sheetViews>
    <sheetView topLeftCell="M165" workbookViewId="0">
      <selection activeCell="O192" sqref="O192"/>
    </sheetView>
  </sheetViews>
  <sheetFormatPr defaultColWidth="9" defaultRowHeight="13.8"/>
  <cols>
    <col min="1" max="1" width="11.21875" customWidth="1"/>
    <col min="4" max="4" width="20.33203125" customWidth="1"/>
    <col min="8" max="8" width="11.21875" bestFit="1" customWidth="1"/>
    <col min="10" max="10" width="17.21875" style="25" customWidth="1"/>
    <col min="11" max="11" width="16.44140625" customWidth="1"/>
    <col min="12" max="13" width="22" customWidth="1"/>
    <col min="14" max="14" width="76" customWidth="1"/>
    <col min="15" max="16" width="18.109375" bestFit="1" customWidth="1"/>
    <col min="17" max="17" width="20.88671875" bestFit="1" customWidth="1"/>
    <col min="19" max="19" width="11.21875" bestFit="1" customWidth="1"/>
    <col min="21" max="21" width="10.5546875" bestFit="1" customWidth="1"/>
    <col min="24" max="24" width="10.5546875" bestFit="1" customWidth="1"/>
    <col min="25" max="25" width="32.5546875" bestFit="1" customWidth="1"/>
  </cols>
  <sheetData>
    <row r="1" spans="1:18" ht="18.600000000000001">
      <c r="A1" t="s">
        <v>0</v>
      </c>
      <c r="B1" s="7" t="s">
        <v>59</v>
      </c>
      <c r="C1" s="20" t="s">
        <v>10</v>
      </c>
      <c r="D1" s="20" t="s">
        <v>62</v>
      </c>
      <c r="H1" t="s">
        <v>0</v>
      </c>
      <c r="I1" s="26" t="s">
        <v>59</v>
      </c>
      <c r="J1" s="27" t="s">
        <v>14</v>
      </c>
      <c r="K1" s="28" t="s">
        <v>22</v>
      </c>
      <c r="L1" s="28" t="s">
        <v>62</v>
      </c>
      <c r="M1" s="28" t="s">
        <v>63</v>
      </c>
      <c r="N1" s="26" t="s">
        <v>64</v>
      </c>
      <c r="O1" s="29" t="s">
        <v>200</v>
      </c>
      <c r="P1" s="29" t="s">
        <v>66</v>
      </c>
      <c r="Q1" s="29" t="s">
        <v>515</v>
      </c>
      <c r="R1" s="29" t="s">
        <v>36</v>
      </c>
    </row>
    <row r="2" spans="1:18" ht="18.600000000000001">
      <c r="A2" s="6">
        <v>43220</v>
      </c>
      <c r="B2" s="7" t="s">
        <v>19</v>
      </c>
      <c r="C2" s="20">
        <v>4340</v>
      </c>
      <c r="D2" s="23">
        <v>279800.24</v>
      </c>
      <c r="H2" s="6">
        <v>43524</v>
      </c>
      <c r="I2" s="30" t="s">
        <v>19</v>
      </c>
      <c r="J2" s="31">
        <v>178667.99</v>
      </c>
      <c r="K2" s="32">
        <v>10720.08</v>
      </c>
      <c r="L2" s="32">
        <v>189388.07</v>
      </c>
      <c r="M2" s="32">
        <v>210431.19</v>
      </c>
      <c r="N2" s="30" t="s">
        <v>68</v>
      </c>
      <c r="O2" t="s">
        <v>516</v>
      </c>
      <c r="P2">
        <v>201902</v>
      </c>
      <c r="Q2" t="s">
        <v>67</v>
      </c>
    </row>
    <row r="3" spans="1:18" ht="18.600000000000001">
      <c r="A3" s="6">
        <v>43251</v>
      </c>
      <c r="B3" s="7" t="s">
        <v>19</v>
      </c>
      <c r="C3" s="20">
        <v>4340</v>
      </c>
      <c r="D3" s="23">
        <v>290232.51</v>
      </c>
      <c r="H3" s="6">
        <v>43524</v>
      </c>
      <c r="I3" s="30" t="s">
        <v>19</v>
      </c>
      <c r="J3" s="31">
        <v>1429332.25</v>
      </c>
      <c r="K3" s="32">
        <v>85759.93</v>
      </c>
      <c r="L3" s="32">
        <v>1515092.18</v>
      </c>
      <c r="M3" s="32">
        <v>1683435.76</v>
      </c>
      <c r="N3" s="30" t="s">
        <v>69</v>
      </c>
      <c r="O3" t="s">
        <v>516</v>
      </c>
      <c r="P3">
        <v>201901</v>
      </c>
      <c r="Q3" t="s">
        <v>13</v>
      </c>
    </row>
    <row r="4" spans="1:18" ht="18.600000000000001">
      <c r="A4" s="6">
        <v>43281</v>
      </c>
      <c r="B4" s="7" t="s">
        <v>19</v>
      </c>
      <c r="C4" s="20">
        <v>4340</v>
      </c>
      <c r="D4" s="23">
        <v>269337.44</v>
      </c>
      <c r="H4" s="6">
        <v>43524</v>
      </c>
      <c r="I4" s="30" t="s">
        <v>19</v>
      </c>
      <c r="J4" s="31">
        <v>1161281.19</v>
      </c>
      <c r="K4" s="32">
        <v>69676.87</v>
      </c>
      <c r="L4" s="32">
        <v>1230958.06</v>
      </c>
      <c r="M4" s="32">
        <v>1367731.18</v>
      </c>
      <c r="N4" s="30" t="s">
        <v>70</v>
      </c>
      <c r="O4" t="s">
        <v>516</v>
      </c>
      <c r="P4">
        <v>201902</v>
      </c>
      <c r="Q4" t="s">
        <v>13</v>
      </c>
    </row>
    <row r="5" spans="1:18" ht="18.600000000000001">
      <c r="A5" s="6">
        <v>43312</v>
      </c>
      <c r="B5" s="7" t="s">
        <v>19</v>
      </c>
      <c r="C5" s="20">
        <v>4340</v>
      </c>
      <c r="D5" s="23">
        <v>270240.08</v>
      </c>
      <c r="H5" s="6">
        <v>43524</v>
      </c>
      <c r="I5" s="30" t="s">
        <v>19</v>
      </c>
      <c r="J5" s="31">
        <v>44907.08</v>
      </c>
      <c r="K5" s="32">
        <v>2694.42</v>
      </c>
      <c r="L5" s="32">
        <v>47601.5</v>
      </c>
      <c r="M5" s="32">
        <v>52890.559999999998</v>
      </c>
      <c r="N5" s="30" t="s">
        <v>71</v>
      </c>
      <c r="O5" t="s">
        <v>72</v>
      </c>
      <c r="P5">
        <v>201901</v>
      </c>
      <c r="Q5" t="s">
        <v>67</v>
      </c>
    </row>
    <row r="6" spans="1:18" ht="18.600000000000001">
      <c r="A6" s="6">
        <v>43343</v>
      </c>
      <c r="B6" s="7" t="s">
        <v>19</v>
      </c>
      <c r="C6" s="20">
        <v>4340</v>
      </c>
      <c r="D6" s="23">
        <v>259502.17</v>
      </c>
      <c r="H6" s="6">
        <v>43524</v>
      </c>
      <c r="I6" s="30" t="s">
        <v>19</v>
      </c>
      <c r="J6" s="31">
        <v>100864.74</v>
      </c>
      <c r="K6" s="32">
        <v>6051.89</v>
      </c>
      <c r="L6" s="32">
        <v>106916.63</v>
      </c>
      <c r="M6" s="32">
        <v>118796.25</v>
      </c>
      <c r="N6" s="30" t="s">
        <v>73</v>
      </c>
      <c r="O6" t="s">
        <v>74</v>
      </c>
      <c r="P6">
        <v>201901</v>
      </c>
      <c r="Q6" t="s">
        <v>67</v>
      </c>
    </row>
    <row r="7" spans="1:18" ht="18.600000000000001">
      <c r="A7" s="6">
        <v>43373</v>
      </c>
      <c r="B7" s="7" t="s">
        <v>19</v>
      </c>
      <c r="C7" s="20">
        <v>4340</v>
      </c>
      <c r="D7" s="23">
        <v>253373.74</v>
      </c>
      <c r="H7" s="6">
        <v>43524</v>
      </c>
      <c r="I7" s="30" t="s">
        <v>19</v>
      </c>
      <c r="J7" s="31">
        <v>11970.75</v>
      </c>
      <c r="K7" s="32">
        <v>718.24</v>
      </c>
      <c r="L7" s="32">
        <v>12688.99</v>
      </c>
      <c r="M7" s="32">
        <v>14098.88</v>
      </c>
      <c r="N7" s="30" t="s">
        <v>75</v>
      </c>
      <c r="O7" t="s">
        <v>65</v>
      </c>
      <c r="P7">
        <v>201901</v>
      </c>
      <c r="Q7" t="s">
        <v>67</v>
      </c>
    </row>
    <row r="8" spans="1:18" ht="18.600000000000001">
      <c r="A8" s="6">
        <v>43404</v>
      </c>
      <c r="B8" s="7" t="s">
        <v>19</v>
      </c>
      <c r="C8" s="20">
        <v>4340</v>
      </c>
      <c r="D8" s="23">
        <v>255295.29</v>
      </c>
      <c r="H8" s="6">
        <v>43524</v>
      </c>
      <c r="I8" s="30" t="s">
        <v>19</v>
      </c>
      <c r="J8" s="31">
        <v>31694.48</v>
      </c>
      <c r="K8" s="32">
        <v>1901.67</v>
      </c>
      <c r="L8" s="32">
        <v>33596.15</v>
      </c>
      <c r="M8" s="32">
        <v>37329.06</v>
      </c>
      <c r="N8" s="30" t="s">
        <v>76</v>
      </c>
      <c r="O8" t="s">
        <v>72</v>
      </c>
      <c r="P8">
        <v>201902</v>
      </c>
      <c r="Q8" t="s">
        <v>67</v>
      </c>
    </row>
    <row r="9" spans="1:18" ht="18.600000000000001">
      <c r="A9" s="6">
        <v>43131</v>
      </c>
      <c r="B9" s="7" t="s">
        <v>19</v>
      </c>
      <c r="C9" s="20">
        <v>4340</v>
      </c>
      <c r="D9" s="5">
        <v>223124.86</v>
      </c>
      <c r="H9" s="6">
        <v>43524</v>
      </c>
      <c r="I9" s="30" t="s">
        <v>19</v>
      </c>
      <c r="J9" s="31">
        <v>86085.43</v>
      </c>
      <c r="K9" s="32">
        <v>5165.1200000000099</v>
      </c>
      <c r="L9" s="32">
        <v>91250.55</v>
      </c>
      <c r="M9" s="32">
        <v>101389.51</v>
      </c>
      <c r="N9" s="30" t="s">
        <v>77</v>
      </c>
      <c r="O9" t="s">
        <v>74</v>
      </c>
      <c r="P9">
        <v>201902</v>
      </c>
      <c r="Q9" t="s">
        <v>67</v>
      </c>
    </row>
    <row r="10" spans="1:18" ht="17.399999999999999">
      <c r="A10" s="6">
        <v>43159</v>
      </c>
      <c r="B10" t="s">
        <v>19</v>
      </c>
      <c r="C10">
        <v>4340</v>
      </c>
      <c r="D10">
        <v>214405.39</v>
      </c>
      <c r="H10" s="6">
        <v>43524</v>
      </c>
      <c r="I10" s="30" t="s">
        <v>19</v>
      </c>
      <c r="J10" s="31">
        <v>25505.09</v>
      </c>
      <c r="K10" s="32">
        <v>1530.31</v>
      </c>
      <c r="L10" s="32">
        <v>27035.4</v>
      </c>
      <c r="M10" s="32">
        <v>30039.33</v>
      </c>
      <c r="N10" s="30" t="s">
        <v>78</v>
      </c>
      <c r="O10" t="s">
        <v>65</v>
      </c>
      <c r="P10">
        <v>201902</v>
      </c>
      <c r="Q10" t="s">
        <v>67</v>
      </c>
    </row>
    <row r="11" spans="1:18" ht="18.600000000000001">
      <c r="A11" s="6">
        <v>43190</v>
      </c>
      <c r="B11" s="7" t="s">
        <v>19</v>
      </c>
      <c r="C11" s="20">
        <v>4340</v>
      </c>
      <c r="D11" s="5">
        <v>266605.42</v>
      </c>
      <c r="H11" s="6">
        <v>43555</v>
      </c>
      <c r="I11" s="33" t="s">
        <v>19</v>
      </c>
      <c r="J11" s="31">
        <v>180502.53</v>
      </c>
      <c r="K11" s="34">
        <v>10830.15</v>
      </c>
      <c r="L11" s="34">
        <v>191332.68</v>
      </c>
      <c r="M11" s="34">
        <v>212591.87</v>
      </c>
      <c r="N11" s="35" t="s">
        <v>79</v>
      </c>
      <c r="O11" t="s">
        <v>516</v>
      </c>
      <c r="P11">
        <v>201903</v>
      </c>
      <c r="Q11" t="s">
        <v>67</v>
      </c>
    </row>
    <row r="12" spans="1:18" ht="18.600000000000001">
      <c r="A12" s="6">
        <v>43434</v>
      </c>
      <c r="B12" s="7" t="s">
        <v>19</v>
      </c>
      <c r="C12" s="20">
        <v>4340</v>
      </c>
      <c r="D12" s="23">
        <v>228833.76</v>
      </c>
      <c r="H12" s="6">
        <v>43555</v>
      </c>
      <c r="I12" s="33" t="s">
        <v>19</v>
      </c>
      <c r="J12" s="31">
        <v>798126.64</v>
      </c>
      <c r="K12" s="34">
        <v>47887.6</v>
      </c>
      <c r="L12" s="34">
        <v>846014.24</v>
      </c>
      <c r="M12" s="34">
        <v>940015.83</v>
      </c>
      <c r="N12" s="35" t="s">
        <v>80</v>
      </c>
      <c r="O12" t="s">
        <v>516</v>
      </c>
      <c r="P12">
        <v>201903</v>
      </c>
      <c r="Q12" t="s">
        <v>13</v>
      </c>
    </row>
    <row r="13" spans="1:18" ht="18.600000000000001">
      <c r="A13" s="6">
        <v>43465</v>
      </c>
      <c r="B13" s="7" t="s">
        <v>19</v>
      </c>
      <c r="C13" s="20">
        <v>4340</v>
      </c>
      <c r="D13" s="23">
        <v>236684.49</v>
      </c>
      <c r="H13" s="6">
        <v>43555</v>
      </c>
      <c r="I13" s="33" t="s">
        <v>19</v>
      </c>
      <c r="J13" s="31">
        <v>37236.76</v>
      </c>
      <c r="K13" s="34">
        <v>2234.21</v>
      </c>
      <c r="L13" s="34">
        <v>39470.97</v>
      </c>
      <c r="M13" s="34">
        <v>43856.63</v>
      </c>
      <c r="N13" s="35" t="s">
        <v>81</v>
      </c>
      <c r="O13" t="s">
        <v>72</v>
      </c>
      <c r="P13">
        <v>201903</v>
      </c>
      <c r="Q13" t="s">
        <v>67</v>
      </c>
    </row>
    <row r="14" spans="1:18" ht="18.600000000000001">
      <c r="A14" t="s">
        <v>58</v>
      </c>
      <c r="B14" s="7" t="s">
        <v>19</v>
      </c>
      <c r="C14" s="20">
        <v>4340</v>
      </c>
      <c r="D14" s="23">
        <v>-19316.189999999999</v>
      </c>
      <c r="H14" s="6">
        <v>43555</v>
      </c>
      <c r="I14" s="33" t="s">
        <v>19</v>
      </c>
      <c r="J14" s="31">
        <v>94246.66</v>
      </c>
      <c r="K14" s="34">
        <v>5654.8</v>
      </c>
      <c r="L14" s="34">
        <v>99901.46</v>
      </c>
      <c r="M14" s="34">
        <v>111001.62</v>
      </c>
      <c r="N14" s="35" t="s">
        <v>82</v>
      </c>
      <c r="O14" t="s">
        <v>74</v>
      </c>
      <c r="P14">
        <v>201903</v>
      </c>
      <c r="Q14" t="s">
        <v>67</v>
      </c>
    </row>
    <row r="15" spans="1:18" ht="18.600000000000001">
      <c r="A15" s="6">
        <v>43496</v>
      </c>
      <c r="B15" s="7" t="s">
        <v>19</v>
      </c>
      <c r="C15" s="20">
        <v>4340</v>
      </c>
      <c r="D15" s="23">
        <v>245986.19</v>
      </c>
      <c r="H15" s="6">
        <v>43555</v>
      </c>
      <c r="I15" s="33" t="s">
        <v>19</v>
      </c>
      <c r="J15" s="31">
        <v>60422.38</v>
      </c>
      <c r="K15" s="34">
        <v>3625.3500000000099</v>
      </c>
      <c r="L15" s="34">
        <v>64047.73</v>
      </c>
      <c r="M15" s="34">
        <v>71164.14</v>
      </c>
      <c r="N15" s="35" t="s">
        <v>83</v>
      </c>
      <c r="O15" t="s">
        <v>65</v>
      </c>
      <c r="P15">
        <v>201903</v>
      </c>
      <c r="Q15" t="s">
        <v>67</v>
      </c>
    </row>
    <row r="16" spans="1:18" ht="17.399999999999999">
      <c r="H16" s="6">
        <v>43555</v>
      </c>
      <c r="I16" s="33" t="s">
        <v>19</v>
      </c>
      <c r="J16" s="31">
        <v>-17852.560000000001</v>
      </c>
      <c r="K16" s="34">
        <v>-1071.1500000000001</v>
      </c>
      <c r="L16" s="34">
        <v>-18923.71</v>
      </c>
      <c r="M16" s="34">
        <v>-21026.35</v>
      </c>
      <c r="N16" s="35" t="s">
        <v>84</v>
      </c>
      <c r="O16" t="s">
        <v>72</v>
      </c>
      <c r="P16">
        <v>201901</v>
      </c>
      <c r="Q16" t="s">
        <v>67</v>
      </c>
    </row>
    <row r="17" spans="8:17" ht="17.399999999999999">
      <c r="H17" s="6">
        <v>43555</v>
      </c>
      <c r="I17" s="33" t="s">
        <v>19</v>
      </c>
      <c r="J17" s="31">
        <v>-39780.589999999997</v>
      </c>
      <c r="K17" s="34">
        <v>-2386.84</v>
      </c>
      <c r="L17" s="34">
        <v>-42167.43</v>
      </c>
      <c r="M17" s="34">
        <v>-46852.69</v>
      </c>
      <c r="N17" s="35" t="s">
        <v>85</v>
      </c>
      <c r="O17" t="s">
        <v>74</v>
      </c>
      <c r="P17">
        <v>201901</v>
      </c>
      <c r="Q17" t="s">
        <v>67</v>
      </c>
    </row>
    <row r="18" spans="8:17" ht="17.399999999999999">
      <c r="H18" s="6">
        <v>43555</v>
      </c>
      <c r="I18" s="33" t="s">
        <v>19</v>
      </c>
      <c r="J18" s="31">
        <v>-5488.13</v>
      </c>
      <c r="K18" s="34">
        <v>-329.29</v>
      </c>
      <c r="L18" s="34">
        <v>-5817.42</v>
      </c>
      <c r="M18" s="34">
        <v>-6463.79</v>
      </c>
      <c r="N18" s="35" t="s">
        <v>86</v>
      </c>
      <c r="O18" t="s">
        <v>65</v>
      </c>
      <c r="P18">
        <v>201901</v>
      </c>
      <c r="Q18" t="s">
        <v>67</v>
      </c>
    </row>
    <row r="19" spans="8:17" ht="17.399999999999999">
      <c r="H19" s="6">
        <v>43555</v>
      </c>
      <c r="I19" s="33" t="s">
        <v>19</v>
      </c>
      <c r="J19" s="31">
        <v>4724.4799999999996</v>
      </c>
      <c r="K19" s="34">
        <v>283.47000000000003</v>
      </c>
      <c r="L19" s="34">
        <v>5007.95</v>
      </c>
      <c r="M19" s="34">
        <v>5564.38</v>
      </c>
      <c r="N19" s="35" t="s">
        <v>87</v>
      </c>
      <c r="O19" t="s">
        <v>72</v>
      </c>
      <c r="P19">
        <v>201902</v>
      </c>
      <c r="Q19" t="s">
        <v>67</v>
      </c>
    </row>
    <row r="20" spans="8:17" ht="17.399999999999999">
      <c r="H20" s="6">
        <v>43555</v>
      </c>
      <c r="I20" s="33" t="s">
        <v>19</v>
      </c>
      <c r="J20" s="31">
        <v>10368.86</v>
      </c>
      <c r="K20" s="34">
        <v>622.13</v>
      </c>
      <c r="L20" s="34">
        <v>10990.99</v>
      </c>
      <c r="M20" s="34">
        <v>12212.21</v>
      </c>
      <c r="N20" s="35" t="s">
        <v>88</v>
      </c>
      <c r="O20" t="s">
        <v>74</v>
      </c>
      <c r="P20">
        <v>201902</v>
      </c>
      <c r="Q20" t="s">
        <v>67</v>
      </c>
    </row>
    <row r="21" spans="8:17" ht="17.399999999999999">
      <c r="H21" s="6">
        <v>43555</v>
      </c>
      <c r="I21" s="33" t="s">
        <v>19</v>
      </c>
      <c r="J21" s="31">
        <v>2890.63</v>
      </c>
      <c r="K21" s="34">
        <v>173.43</v>
      </c>
      <c r="L21" s="34">
        <v>3064.06</v>
      </c>
      <c r="M21" s="34">
        <v>3404.52</v>
      </c>
      <c r="N21" s="35" t="s">
        <v>89</v>
      </c>
      <c r="O21" t="s">
        <v>65</v>
      </c>
      <c r="P21">
        <v>201902</v>
      </c>
      <c r="Q21" t="s">
        <v>67</v>
      </c>
    </row>
    <row r="22" spans="8:17" ht="17.399999999999999">
      <c r="H22" s="6">
        <v>43585</v>
      </c>
      <c r="I22" s="32" t="s">
        <v>19</v>
      </c>
      <c r="J22" s="31">
        <v>-232062.44</v>
      </c>
      <c r="K22" s="32">
        <v>-13923.75</v>
      </c>
      <c r="L22" s="32">
        <v>-245986.19</v>
      </c>
      <c r="M22" s="32">
        <v>-273317.99</v>
      </c>
      <c r="N22" s="30" t="s">
        <v>90</v>
      </c>
      <c r="O22" t="s">
        <v>516</v>
      </c>
      <c r="P22">
        <v>201901</v>
      </c>
      <c r="Q22" t="s">
        <v>67</v>
      </c>
    </row>
    <row r="23" spans="8:17" ht="17.399999999999999">
      <c r="H23" s="6">
        <v>43585</v>
      </c>
      <c r="I23" s="32" t="s">
        <v>19</v>
      </c>
      <c r="J23" s="36">
        <v>221390.24</v>
      </c>
      <c r="K23" s="32">
        <v>13283.41</v>
      </c>
      <c r="L23" s="32">
        <v>234673.65</v>
      </c>
      <c r="M23" s="32">
        <v>260748.5</v>
      </c>
      <c r="N23" s="30" t="s">
        <v>91</v>
      </c>
      <c r="O23" t="s">
        <v>516</v>
      </c>
      <c r="P23">
        <v>201901</v>
      </c>
      <c r="Q23" t="s">
        <v>67</v>
      </c>
    </row>
    <row r="24" spans="8:17" ht="17.399999999999999">
      <c r="H24" s="6">
        <v>43585</v>
      </c>
      <c r="I24" s="32" t="s">
        <v>19</v>
      </c>
      <c r="J24" s="36">
        <v>-178667.99</v>
      </c>
      <c r="K24" s="32">
        <v>-10720.08</v>
      </c>
      <c r="L24" s="32">
        <v>-189388.07</v>
      </c>
      <c r="M24" s="32">
        <v>-210431.19</v>
      </c>
      <c r="N24" s="30" t="s">
        <v>92</v>
      </c>
      <c r="O24" t="s">
        <v>516</v>
      </c>
      <c r="P24">
        <v>201902</v>
      </c>
      <c r="Q24" t="s">
        <v>67</v>
      </c>
    </row>
    <row r="25" spans="8:17" ht="17.399999999999999">
      <c r="H25" s="6">
        <v>43585</v>
      </c>
      <c r="I25" s="32" t="s">
        <v>19</v>
      </c>
      <c r="J25" s="36">
        <v>172798.82</v>
      </c>
      <c r="K25" s="32">
        <v>10367.93</v>
      </c>
      <c r="L25" s="32">
        <v>183166.75</v>
      </c>
      <c r="M25" s="32">
        <v>203518.61</v>
      </c>
      <c r="N25" s="30" t="s">
        <v>93</v>
      </c>
      <c r="O25" t="s">
        <v>516</v>
      </c>
      <c r="P25">
        <v>201902</v>
      </c>
      <c r="Q25" t="s">
        <v>67</v>
      </c>
    </row>
    <row r="26" spans="8:17" ht="17.399999999999999">
      <c r="H26" s="6">
        <v>43585</v>
      </c>
      <c r="I26" s="32" t="s">
        <v>19</v>
      </c>
      <c r="J26" s="36">
        <v>-180502.53</v>
      </c>
      <c r="K26" s="32">
        <v>-10830.15</v>
      </c>
      <c r="L26" s="32">
        <v>-191332.68</v>
      </c>
      <c r="M26" s="32">
        <v>-212591.87</v>
      </c>
      <c r="N26" s="30" t="s">
        <v>94</v>
      </c>
      <c r="O26" t="s">
        <v>516</v>
      </c>
      <c r="P26">
        <v>201903</v>
      </c>
      <c r="Q26" t="s">
        <v>67</v>
      </c>
    </row>
    <row r="27" spans="8:17" ht="17.399999999999999">
      <c r="H27" s="6">
        <v>43585</v>
      </c>
      <c r="I27" s="32" t="s">
        <v>19</v>
      </c>
      <c r="J27" s="36">
        <v>172771.83</v>
      </c>
      <c r="K27" s="32">
        <v>10366.31</v>
      </c>
      <c r="L27" s="32">
        <v>183138.14</v>
      </c>
      <c r="M27" s="32">
        <v>203486.82</v>
      </c>
      <c r="N27" s="30" t="s">
        <v>95</v>
      </c>
      <c r="O27" t="s">
        <v>516</v>
      </c>
      <c r="P27">
        <v>201903</v>
      </c>
      <c r="Q27" t="s">
        <v>67</v>
      </c>
    </row>
    <row r="28" spans="8:17" ht="17.399999999999999">
      <c r="H28" s="6">
        <v>43585</v>
      </c>
      <c r="I28" s="32" t="s">
        <v>19</v>
      </c>
      <c r="J28" s="36">
        <v>-798126.64</v>
      </c>
      <c r="K28" s="32">
        <v>-47887.6</v>
      </c>
      <c r="L28" s="32">
        <v>-846014.24</v>
      </c>
      <c r="M28" s="32">
        <v>-940015.83</v>
      </c>
      <c r="N28" s="30" t="s">
        <v>96</v>
      </c>
      <c r="O28" t="s">
        <v>516</v>
      </c>
      <c r="P28">
        <v>201903</v>
      </c>
      <c r="Q28" t="s">
        <v>13</v>
      </c>
    </row>
    <row r="29" spans="8:17" ht="17.399999999999999">
      <c r="H29" s="6">
        <v>43585</v>
      </c>
      <c r="I29" s="32" t="s">
        <v>19</v>
      </c>
      <c r="J29" s="36">
        <v>813672.44</v>
      </c>
      <c r="K29" s="32">
        <v>48820.35</v>
      </c>
      <c r="L29" s="32">
        <v>862492.79</v>
      </c>
      <c r="M29" s="32">
        <v>958325.32</v>
      </c>
      <c r="N29" s="30" t="s">
        <v>97</v>
      </c>
      <c r="O29" t="s">
        <v>516</v>
      </c>
      <c r="P29">
        <v>201903</v>
      </c>
      <c r="Q29" t="s">
        <v>13</v>
      </c>
    </row>
    <row r="30" spans="8:17" ht="17.399999999999999">
      <c r="H30" s="6">
        <v>43585</v>
      </c>
      <c r="I30" s="32" t="s">
        <v>19</v>
      </c>
      <c r="J30" s="36">
        <v>41853.519999999997</v>
      </c>
      <c r="K30" s="32">
        <v>2511.21</v>
      </c>
      <c r="L30" s="32">
        <v>44364.73</v>
      </c>
      <c r="M30" s="32">
        <v>49294.1499999999</v>
      </c>
      <c r="N30" s="30" t="s">
        <v>98</v>
      </c>
      <c r="O30" t="s">
        <v>72</v>
      </c>
      <c r="P30">
        <v>201904</v>
      </c>
      <c r="Q30" t="s">
        <v>67</v>
      </c>
    </row>
    <row r="31" spans="8:17" ht="17.399999999999999">
      <c r="H31" s="6">
        <v>43585</v>
      </c>
      <c r="I31" s="32" t="s">
        <v>19</v>
      </c>
      <c r="J31" s="36">
        <v>104975.42</v>
      </c>
      <c r="K31" s="32">
        <v>6298.52</v>
      </c>
      <c r="L31" s="32">
        <v>111273.94</v>
      </c>
      <c r="M31" s="32">
        <v>123637.72</v>
      </c>
      <c r="N31" s="30" t="s">
        <v>99</v>
      </c>
      <c r="O31" t="s">
        <v>74</v>
      </c>
      <c r="P31">
        <v>201904</v>
      </c>
      <c r="Q31" t="s">
        <v>67</v>
      </c>
    </row>
    <row r="32" spans="8:17" ht="17.399999999999999">
      <c r="H32" s="6">
        <v>43585</v>
      </c>
      <c r="I32" s="32" t="s">
        <v>19</v>
      </c>
      <c r="J32" s="36">
        <v>108742.93</v>
      </c>
      <c r="K32" s="32">
        <v>6524.58</v>
      </c>
      <c r="L32" s="32">
        <v>115267.51</v>
      </c>
      <c r="M32" s="32">
        <v>128075.01</v>
      </c>
      <c r="N32" s="30" t="s">
        <v>100</v>
      </c>
      <c r="O32" t="s">
        <v>65</v>
      </c>
      <c r="P32">
        <v>201904</v>
      </c>
      <c r="Q32" t="s">
        <v>67</v>
      </c>
    </row>
    <row r="33" spans="8:17" ht="17.399999999999999">
      <c r="H33" s="6">
        <v>43585</v>
      </c>
      <c r="I33" s="32" t="s">
        <v>19</v>
      </c>
      <c r="J33" s="36">
        <v>145748.01999999999</v>
      </c>
      <c r="K33" s="32">
        <v>8744.8799999999992</v>
      </c>
      <c r="L33" s="32">
        <v>154492.9</v>
      </c>
      <c r="M33" s="32">
        <v>171658.78</v>
      </c>
      <c r="N33" s="30" t="s">
        <v>101</v>
      </c>
      <c r="O33" t="s">
        <v>516</v>
      </c>
      <c r="P33">
        <v>201904</v>
      </c>
      <c r="Q33" t="s">
        <v>67</v>
      </c>
    </row>
    <row r="34" spans="8:17" ht="17.399999999999999">
      <c r="H34" s="6">
        <v>43585</v>
      </c>
      <c r="I34" s="32" t="s">
        <v>19</v>
      </c>
      <c r="J34" s="36">
        <v>1837890.98</v>
      </c>
      <c r="K34" s="32">
        <v>110273.45</v>
      </c>
      <c r="L34" s="32">
        <v>1948164.44</v>
      </c>
      <c r="M34" s="32">
        <v>2164627.15</v>
      </c>
      <c r="N34" s="30" t="s">
        <v>102</v>
      </c>
      <c r="O34" t="s">
        <v>516</v>
      </c>
      <c r="P34">
        <v>201904</v>
      </c>
      <c r="Q34" t="s">
        <v>13</v>
      </c>
    </row>
    <row r="35" spans="8:17" ht="17.399999999999999">
      <c r="H35" s="6">
        <v>43616</v>
      </c>
      <c r="I35" s="32" t="s">
        <v>19</v>
      </c>
      <c r="J35" s="31">
        <v>553206.35</v>
      </c>
      <c r="K35" s="32">
        <v>33192.379999999997</v>
      </c>
      <c r="L35" s="32">
        <v>586398.74</v>
      </c>
      <c r="M35" s="32">
        <v>651554.15</v>
      </c>
      <c r="N35" s="30" t="s">
        <v>103</v>
      </c>
      <c r="O35" t="s">
        <v>516</v>
      </c>
      <c r="P35">
        <v>201905</v>
      </c>
      <c r="Q35" t="s">
        <v>13</v>
      </c>
    </row>
    <row r="36" spans="8:17" ht="17.399999999999999">
      <c r="H36" s="6">
        <v>43616</v>
      </c>
      <c r="I36" s="32" t="s">
        <v>19</v>
      </c>
      <c r="J36" s="31">
        <v>144477.72</v>
      </c>
      <c r="K36" s="32">
        <v>8668.66</v>
      </c>
      <c r="L36" s="32">
        <v>153146.39000000001</v>
      </c>
      <c r="M36" s="32">
        <v>170162.65</v>
      </c>
      <c r="N36" s="30" t="s">
        <v>104</v>
      </c>
      <c r="O36" t="s">
        <v>516</v>
      </c>
      <c r="P36">
        <v>201905</v>
      </c>
      <c r="Q36" t="s">
        <v>67</v>
      </c>
    </row>
    <row r="37" spans="8:17" ht="17.399999999999999">
      <c r="H37" s="6">
        <v>43616</v>
      </c>
      <c r="I37" s="32" t="s">
        <v>19</v>
      </c>
      <c r="J37" s="31">
        <v>41777.64</v>
      </c>
      <c r="K37" s="32">
        <v>2506.66</v>
      </c>
      <c r="L37" s="32">
        <v>44284.3</v>
      </c>
      <c r="M37" s="32">
        <v>49204.78</v>
      </c>
      <c r="N37" s="30" t="s">
        <v>105</v>
      </c>
      <c r="O37" t="s">
        <v>72</v>
      </c>
      <c r="P37">
        <v>201905</v>
      </c>
      <c r="Q37" t="s">
        <v>67</v>
      </c>
    </row>
    <row r="38" spans="8:17" ht="17.399999999999999">
      <c r="H38" s="6">
        <v>43616</v>
      </c>
      <c r="I38" s="32" t="s">
        <v>19</v>
      </c>
      <c r="J38" s="31">
        <v>100425.05</v>
      </c>
      <c r="K38" s="32">
        <v>6025.5</v>
      </c>
      <c r="L38" s="32">
        <v>106450.55</v>
      </c>
      <c r="M38" s="32">
        <v>118278.39</v>
      </c>
      <c r="N38" s="30" t="s">
        <v>106</v>
      </c>
      <c r="O38" t="s">
        <v>74</v>
      </c>
      <c r="P38">
        <v>201905</v>
      </c>
      <c r="Q38" t="s">
        <v>67</v>
      </c>
    </row>
    <row r="39" spans="8:17" ht="17.399999999999999">
      <c r="H39" s="6">
        <v>43616</v>
      </c>
      <c r="I39" s="32" t="s">
        <v>19</v>
      </c>
      <c r="J39" s="31">
        <v>125506.76</v>
      </c>
      <c r="K39" s="32">
        <v>7530.4000000000096</v>
      </c>
      <c r="L39" s="32">
        <v>133037.16</v>
      </c>
      <c r="M39" s="32">
        <v>147819.07</v>
      </c>
      <c r="N39" s="30" t="s">
        <v>107</v>
      </c>
      <c r="O39" t="s">
        <v>65</v>
      </c>
      <c r="P39">
        <v>201905</v>
      </c>
      <c r="Q39" t="s">
        <v>67</v>
      </c>
    </row>
    <row r="40" spans="8:17" ht="17.399999999999999">
      <c r="H40" s="6">
        <v>43646</v>
      </c>
      <c r="I40" s="69" t="s">
        <v>19</v>
      </c>
      <c r="J40" s="69">
        <v>19803.169999999998</v>
      </c>
      <c r="K40" s="69">
        <v>1188.19</v>
      </c>
      <c r="L40" s="69">
        <v>20991.360000000001</v>
      </c>
      <c r="M40" s="69">
        <v>23323.73</v>
      </c>
      <c r="N40" s="71" t="s">
        <v>126</v>
      </c>
      <c r="O40" t="s">
        <v>516</v>
      </c>
      <c r="P40">
        <v>201906</v>
      </c>
      <c r="Q40" t="s">
        <v>13</v>
      </c>
    </row>
    <row r="41" spans="8:17" ht="17.399999999999999">
      <c r="H41" s="6">
        <v>43646</v>
      </c>
      <c r="I41" s="69" t="s">
        <v>19</v>
      </c>
      <c r="J41" s="69">
        <v>138564.29</v>
      </c>
      <c r="K41" s="69">
        <v>8313.86</v>
      </c>
      <c r="L41" s="69">
        <v>146878.15</v>
      </c>
      <c r="M41" s="69">
        <v>163197.93999999997</v>
      </c>
      <c r="N41" s="71" t="s">
        <v>127</v>
      </c>
      <c r="O41" t="s">
        <v>516</v>
      </c>
      <c r="P41">
        <v>201906</v>
      </c>
      <c r="Q41" t="s">
        <v>67</v>
      </c>
    </row>
    <row r="42" spans="8:17" ht="17.399999999999999">
      <c r="H42" s="6">
        <v>43646</v>
      </c>
      <c r="I42" s="69" t="s">
        <v>19</v>
      </c>
      <c r="J42" s="69">
        <v>46792.21</v>
      </c>
      <c r="K42" s="69">
        <v>2807.53</v>
      </c>
      <c r="L42" s="69">
        <v>49599.74</v>
      </c>
      <c r="M42" s="69">
        <v>55110.819999999985</v>
      </c>
      <c r="N42" s="71" t="s">
        <v>128</v>
      </c>
      <c r="O42" t="s">
        <v>72</v>
      </c>
      <c r="P42">
        <v>201906</v>
      </c>
      <c r="Q42" t="s">
        <v>67</v>
      </c>
    </row>
    <row r="43" spans="8:17" ht="17.399999999999999">
      <c r="H43" s="6">
        <v>43646</v>
      </c>
      <c r="I43" s="69" t="s">
        <v>19</v>
      </c>
      <c r="J43" s="69">
        <v>98176.55</v>
      </c>
      <c r="K43" s="69">
        <v>5890.5899999999965</v>
      </c>
      <c r="L43" s="69">
        <v>104067.14</v>
      </c>
      <c r="M43" s="69">
        <v>115630.15999999997</v>
      </c>
      <c r="N43" s="71" t="s">
        <v>129</v>
      </c>
      <c r="O43" t="s">
        <v>74</v>
      </c>
      <c r="P43">
        <v>201906</v>
      </c>
      <c r="Q43" t="s">
        <v>67</v>
      </c>
    </row>
    <row r="44" spans="8:17" ht="17.399999999999999">
      <c r="H44" s="6">
        <v>43646</v>
      </c>
      <c r="I44" s="69" t="s">
        <v>19</v>
      </c>
      <c r="J44" s="69">
        <v>150420.60999999999</v>
      </c>
      <c r="K44" s="69">
        <v>9025.2400000000198</v>
      </c>
      <c r="L44" s="69">
        <v>159445.85</v>
      </c>
      <c r="M44" s="69">
        <v>177162.04999999987</v>
      </c>
      <c r="N44" s="71" t="s">
        <v>130</v>
      </c>
      <c r="O44" t="s">
        <v>65</v>
      </c>
      <c r="P44">
        <v>201906</v>
      </c>
      <c r="Q44" t="s">
        <v>67</v>
      </c>
    </row>
    <row r="45" spans="8:17" ht="17.399999999999999">
      <c r="H45" s="6">
        <v>43677</v>
      </c>
      <c r="I45" s="81" t="s">
        <v>19</v>
      </c>
      <c r="J45" s="81">
        <v>234406.37</v>
      </c>
      <c r="K45" s="81">
        <v>14064.38</v>
      </c>
      <c r="L45" s="81">
        <v>248470.75</v>
      </c>
      <c r="M45" s="81">
        <v>276078.61000000016</v>
      </c>
      <c r="N45" s="82" t="s">
        <v>133</v>
      </c>
      <c r="O45" t="s">
        <v>516</v>
      </c>
      <c r="P45">
        <v>201907</v>
      </c>
      <c r="Q45" t="s">
        <v>13</v>
      </c>
    </row>
    <row r="46" spans="8:17" ht="17.399999999999999">
      <c r="H46" s="6">
        <v>43677</v>
      </c>
      <c r="I46" s="81" t="s">
        <v>19</v>
      </c>
      <c r="J46" s="81">
        <v>145071.1</v>
      </c>
      <c r="K46" s="81">
        <v>8704.27</v>
      </c>
      <c r="L46" s="81">
        <v>153775.37</v>
      </c>
      <c r="M46" s="81">
        <v>170861.51999999996</v>
      </c>
      <c r="N46" s="82" t="s">
        <v>134</v>
      </c>
      <c r="O46" t="s">
        <v>516</v>
      </c>
      <c r="P46">
        <v>201907</v>
      </c>
      <c r="Q46" t="s">
        <v>67</v>
      </c>
    </row>
    <row r="47" spans="8:17" ht="17.399999999999999">
      <c r="H47" s="6">
        <v>43677</v>
      </c>
      <c r="I47" s="81" t="s">
        <v>19</v>
      </c>
      <c r="J47" s="81">
        <v>42341.15</v>
      </c>
      <c r="K47" s="81">
        <v>2540.4599999999996</v>
      </c>
      <c r="L47" s="81">
        <v>44881.61</v>
      </c>
      <c r="M47" s="81">
        <v>49868.460000000145</v>
      </c>
      <c r="N47" s="82" t="s">
        <v>135</v>
      </c>
      <c r="O47" t="s">
        <v>72</v>
      </c>
      <c r="P47">
        <v>201907</v>
      </c>
      <c r="Q47" t="s">
        <v>67</v>
      </c>
    </row>
    <row r="48" spans="8:17" ht="17.399999999999999">
      <c r="H48" s="6">
        <v>43677</v>
      </c>
      <c r="I48" s="81" t="s">
        <v>19</v>
      </c>
      <c r="J48" s="81">
        <v>93770.62</v>
      </c>
      <c r="K48" s="81">
        <v>5626.2400000000052</v>
      </c>
      <c r="L48" s="81">
        <v>99396.86</v>
      </c>
      <c r="M48" s="81">
        <v>110440.95000000032</v>
      </c>
      <c r="N48" s="82" t="s">
        <v>136</v>
      </c>
      <c r="O48" t="s">
        <v>74</v>
      </c>
      <c r="P48">
        <v>201907</v>
      </c>
      <c r="Q48" t="s">
        <v>67</v>
      </c>
    </row>
    <row r="49" spans="8:17" ht="17.399999999999999">
      <c r="H49" s="6">
        <v>43677</v>
      </c>
      <c r="I49" s="81" t="s">
        <v>19</v>
      </c>
      <c r="J49" s="81">
        <v>165218.23000000001</v>
      </c>
      <c r="K49" s="81">
        <v>9913.0899999999965</v>
      </c>
      <c r="L49" s="81">
        <v>175131.32</v>
      </c>
      <c r="M49" s="81">
        <v>194590.35999999975</v>
      </c>
      <c r="N49" s="82" t="s">
        <v>137</v>
      </c>
      <c r="O49" t="s">
        <v>65</v>
      </c>
      <c r="P49">
        <v>201907</v>
      </c>
      <c r="Q49" t="s">
        <v>67</v>
      </c>
    </row>
    <row r="50" spans="8:17" ht="17.399999999999999">
      <c r="H50" s="6">
        <v>43708</v>
      </c>
      <c r="I50" s="81" t="s">
        <v>19</v>
      </c>
      <c r="J50" s="81">
        <v>388071.91</v>
      </c>
      <c r="K50" s="81">
        <v>23284.31</v>
      </c>
      <c r="L50" s="81">
        <v>411356.22</v>
      </c>
      <c r="M50" s="81">
        <v>457062.47</v>
      </c>
      <c r="N50" s="82" t="s">
        <v>141</v>
      </c>
      <c r="O50" t="s">
        <v>516</v>
      </c>
      <c r="P50">
        <v>201908</v>
      </c>
      <c r="Q50" t="s">
        <v>13</v>
      </c>
    </row>
    <row r="51" spans="8:17" ht="17.399999999999999">
      <c r="H51" s="6">
        <v>43708</v>
      </c>
      <c r="I51" s="81" t="s">
        <v>19</v>
      </c>
      <c r="J51" s="81">
        <v>137236.75</v>
      </c>
      <c r="K51" s="81">
        <v>8234.2000000000007</v>
      </c>
      <c r="L51" s="81">
        <v>145470.95000000001</v>
      </c>
      <c r="M51" s="81">
        <v>161634.39000000007</v>
      </c>
      <c r="N51" s="82" t="s">
        <v>142</v>
      </c>
      <c r="O51" t="s">
        <v>516</v>
      </c>
      <c r="P51">
        <v>201908</v>
      </c>
      <c r="Q51" t="s">
        <v>67</v>
      </c>
    </row>
    <row r="52" spans="8:17" ht="17.399999999999999">
      <c r="H52" s="6">
        <v>43708</v>
      </c>
      <c r="I52" s="81" t="s">
        <v>19</v>
      </c>
      <c r="J52" s="81">
        <v>43256.62</v>
      </c>
      <c r="K52" s="81">
        <v>2595.4</v>
      </c>
      <c r="L52" s="81">
        <v>45852.02</v>
      </c>
      <c r="M52" s="81">
        <v>50946.689999999842</v>
      </c>
      <c r="N52" s="82" t="s">
        <v>143</v>
      </c>
      <c r="O52" t="s">
        <v>72</v>
      </c>
      <c r="P52">
        <v>201908</v>
      </c>
      <c r="Q52" t="s">
        <v>67</v>
      </c>
    </row>
    <row r="53" spans="8:17" ht="17.399999999999999">
      <c r="H53" s="6">
        <v>43708</v>
      </c>
      <c r="I53" s="81" t="s">
        <v>19</v>
      </c>
      <c r="J53" s="81">
        <v>92936.76</v>
      </c>
      <c r="K53" s="81">
        <v>5576.2000000000116</v>
      </c>
      <c r="L53" s="81">
        <v>98512.960000000006</v>
      </c>
      <c r="M53" s="81">
        <v>109458.84999999973</v>
      </c>
      <c r="N53" s="82" t="s">
        <v>144</v>
      </c>
      <c r="O53" t="s">
        <v>74</v>
      </c>
      <c r="P53">
        <v>201908</v>
      </c>
      <c r="Q53" t="s">
        <v>67</v>
      </c>
    </row>
    <row r="54" spans="8:17" ht="17.399999999999999">
      <c r="H54" s="6">
        <v>43708</v>
      </c>
      <c r="I54" s="81" t="s">
        <v>19</v>
      </c>
      <c r="J54" s="81">
        <v>189869.33</v>
      </c>
      <c r="K54" s="81">
        <v>11392.160000000003</v>
      </c>
      <c r="L54" s="81">
        <v>201261.49</v>
      </c>
      <c r="M54" s="81">
        <v>223623.88</v>
      </c>
      <c r="N54" s="82" t="s">
        <v>145</v>
      </c>
      <c r="O54" t="s">
        <v>65</v>
      </c>
      <c r="P54">
        <v>201908</v>
      </c>
      <c r="Q54" t="s">
        <v>67</v>
      </c>
    </row>
    <row r="55" spans="8:17">
      <c r="H55" s="6">
        <v>43799</v>
      </c>
      <c r="J55" s="25">
        <v>246546.33</v>
      </c>
      <c r="K55">
        <v>14792.779999999999</v>
      </c>
      <c r="L55">
        <v>261339.11</v>
      </c>
      <c r="M55">
        <v>290376.78999999951</v>
      </c>
      <c r="N55" t="s">
        <v>156</v>
      </c>
      <c r="O55" t="s">
        <v>65</v>
      </c>
      <c r="P55">
        <v>201911</v>
      </c>
      <c r="Q55" t="s">
        <v>67</v>
      </c>
    </row>
    <row r="56" spans="8:17">
      <c r="H56" s="6">
        <v>43799</v>
      </c>
      <c r="J56" s="25">
        <v>73766.63</v>
      </c>
      <c r="K56">
        <v>4426</v>
      </c>
      <c r="L56">
        <v>78192.63</v>
      </c>
      <c r="M56">
        <v>86880.700000000274</v>
      </c>
      <c r="N56" t="s">
        <v>157</v>
      </c>
      <c r="O56" t="s">
        <v>74</v>
      </c>
      <c r="P56">
        <v>201911</v>
      </c>
      <c r="Q56" t="s">
        <v>67</v>
      </c>
    </row>
    <row r="57" spans="8:17">
      <c r="H57" s="6">
        <v>43799</v>
      </c>
      <c r="J57" s="25">
        <v>42362.28</v>
      </c>
      <c r="K57">
        <v>2541.7399999999998</v>
      </c>
      <c r="L57">
        <v>44904.02</v>
      </c>
      <c r="M57">
        <v>49893.349999999991</v>
      </c>
      <c r="N57" t="s">
        <v>158</v>
      </c>
      <c r="O57" t="s">
        <v>72</v>
      </c>
      <c r="P57">
        <v>201911</v>
      </c>
      <c r="Q57" t="s">
        <v>67</v>
      </c>
    </row>
    <row r="58" spans="8:17">
      <c r="H58" s="6">
        <v>43799</v>
      </c>
      <c r="J58" s="25">
        <v>80520.850000000006</v>
      </c>
      <c r="K58">
        <v>4831.25</v>
      </c>
      <c r="L58">
        <v>85352.1</v>
      </c>
      <c r="M58">
        <v>94835.670000000013</v>
      </c>
      <c r="N58" t="s">
        <v>159</v>
      </c>
      <c r="O58" t="s">
        <v>516</v>
      </c>
      <c r="P58">
        <v>201911</v>
      </c>
      <c r="Q58" t="s">
        <v>67</v>
      </c>
    </row>
    <row r="59" spans="8:17">
      <c r="H59" s="6">
        <v>43799</v>
      </c>
      <c r="J59" s="25">
        <v>469036.6</v>
      </c>
      <c r="K59">
        <v>28142.2</v>
      </c>
      <c r="L59">
        <v>497178.79</v>
      </c>
      <c r="M59">
        <v>552420.87999999989</v>
      </c>
      <c r="N59" t="s">
        <v>160</v>
      </c>
      <c r="O59" t="s">
        <v>516</v>
      </c>
      <c r="P59">
        <v>201911</v>
      </c>
      <c r="Q59" t="s">
        <v>13</v>
      </c>
    </row>
    <row r="60" spans="8:17">
      <c r="H60" s="6">
        <v>43769</v>
      </c>
      <c r="J60" s="25">
        <v>219408.16</v>
      </c>
      <c r="K60">
        <v>13164.489999999991</v>
      </c>
      <c r="L60">
        <v>232572.65</v>
      </c>
      <c r="M60">
        <v>258414.05</v>
      </c>
      <c r="N60" t="s">
        <v>161</v>
      </c>
      <c r="O60" t="s">
        <v>65</v>
      </c>
      <c r="P60">
        <v>201910</v>
      </c>
      <c r="Q60" t="s">
        <v>67</v>
      </c>
    </row>
    <row r="61" spans="8:17">
      <c r="H61" s="6">
        <v>43769</v>
      </c>
      <c r="J61" s="25">
        <v>75968.59</v>
      </c>
      <c r="K61">
        <v>4558.1200000000099</v>
      </c>
      <c r="L61">
        <v>80526.710000000006</v>
      </c>
      <c r="M61">
        <v>89474.120000000185</v>
      </c>
      <c r="N61" t="s">
        <v>162</v>
      </c>
      <c r="O61" t="s">
        <v>74</v>
      </c>
      <c r="P61">
        <v>201910</v>
      </c>
      <c r="Q61" t="s">
        <v>67</v>
      </c>
    </row>
    <row r="62" spans="8:17">
      <c r="H62" s="6">
        <v>43769</v>
      </c>
      <c r="J62" s="25">
        <v>42185.25</v>
      </c>
      <c r="K62">
        <v>2531.1</v>
      </c>
      <c r="L62">
        <v>44716.36</v>
      </c>
      <c r="M62">
        <v>49684.849999999926</v>
      </c>
      <c r="N62" t="s">
        <v>163</v>
      </c>
      <c r="O62" t="s">
        <v>72</v>
      </c>
      <c r="P62">
        <v>201910</v>
      </c>
      <c r="Q62" t="s">
        <v>67</v>
      </c>
    </row>
    <row r="63" spans="8:17">
      <c r="H63" s="6">
        <v>43769</v>
      </c>
      <c r="J63" s="25">
        <v>98558.51</v>
      </c>
      <c r="K63">
        <v>5913.51</v>
      </c>
      <c r="L63">
        <v>104472.02</v>
      </c>
      <c r="M63">
        <v>116080.02</v>
      </c>
      <c r="N63" t="s">
        <v>164</v>
      </c>
      <c r="O63" t="s">
        <v>516</v>
      </c>
      <c r="P63">
        <v>201910</v>
      </c>
      <c r="Q63" t="s">
        <v>67</v>
      </c>
    </row>
    <row r="64" spans="8:17">
      <c r="H64" s="6">
        <v>43769</v>
      </c>
      <c r="J64" s="25">
        <v>569068.56999999995</v>
      </c>
      <c r="K64">
        <v>34144.11</v>
      </c>
      <c r="L64">
        <v>603212.68999999994</v>
      </c>
      <c r="M64">
        <v>670236.31999999995</v>
      </c>
      <c r="N64" t="s">
        <v>165</v>
      </c>
      <c r="O64" t="s">
        <v>516</v>
      </c>
      <c r="P64">
        <v>201910</v>
      </c>
      <c r="Q64" t="s">
        <v>13</v>
      </c>
    </row>
    <row r="65" spans="8:17">
      <c r="H65" s="6">
        <v>43738</v>
      </c>
      <c r="J65" s="25">
        <v>942708.5</v>
      </c>
      <c r="K65">
        <v>56562.51</v>
      </c>
      <c r="L65">
        <v>999271.01</v>
      </c>
      <c r="M65">
        <v>1110301.1200000001</v>
      </c>
      <c r="N65" t="s">
        <v>166</v>
      </c>
      <c r="O65" t="s">
        <v>516</v>
      </c>
      <c r="P65">
        <v>201909</v>
      </c>
      <c r="Q65" t="s">
        <v>13</v>
      </c>
    </row>
    <row r="66" spans="8:17">
      <c r="H66" s="6">
        <v>43738</v>
      </c>
      <c r="J66" s="25">
        <v>125606.03</v>
      </c>
      <c r="K66">
        <v>7536.36</v>
      </c>
      <c r="L66">
        <v>133142.39000000001</v>
      </c>
      <c r="M66">
        <v>147935.99000000005</v>
      </c>
      <c r="N66" t="s">
        <v>167</v>
      </c>
      <c r="O66" t="s">
        <v>516</v>
      </c>
      <c r="P66">
        <v>201909</v>
      </c>
      <c r="Q66" t="s">
        <v>67</v>
      </c>
    </row>
    <row r="67" spans="8:17">
      <c r="H67" s="6">
        <v>43738</v>
      </c>
      <c r="J67" s="25">
        <v>46022.54</v>
      </c>
      <c r="K67">
        <v>2761.35</v>
      </c>
      <c r="L67">
        <v>48783.9</v>
      </c>
      <c r="M67">
        <v>54204.329999999987</v>
      </c>
      <c r="N67" t="s">
        <v>168</v>
      </c>
      <c r="O67" t="s">
        <v>72</v>
      </c>
      <c r="P67">
        <v>201909</v>
      </c>
      <c r="Q67" t="s">
        <v>67</v>
      </c>
    </row>
    <row r="68" spans="8:17">
      <c r="H68" s="6">
        <v>43738</v>
      </c>
      <c r="J68" s="25">
        <v>83728.149999999994</v>
      </c>
      <c r="K68">
        <v>5023.6900000000023</v>
      </c>
      <c r="L68">
        <v>88751.84</v>
      </c>
      <c r="M68">
        <v>98613.160000000236</v>
      </c>
      <c r="N68" t="s">
        <v>169</v>
      </c>
      <c r="O68" t="s">
        <v>74</v>
      </c>
      <c r="P68">
        <v>201909</v>
      </c>
      <c r="Q68" t="s">
        <v>67</v>
      </c>
    </row>
    <row r="69" spans="8:17">
      <c r="H69" s="6">
        <v>43738</v>
      </c>
      <c r="J69" s="25">
        <v>209115.53</v>
      </c>
      <c r="K69">
        <v>12546.940000000002</v>
      </c>
      <c r="L69">
        <v>221662.47</v>
      </c>
      <c r="M69">
        <v>246291.63000000021</v>
      </c>
      <c r="N69" t="s">
        <v>170</v>
      </c>
      <c r="O69" t="s">
        <v>65</v>
      </c>
      <c r="P69">
        <v>201909</v>
      </c>
      <c r="Q69" t="s">
        <v>67</v>
      </c>
    </row>
    <row r="70" spans="8:17">
      <c r="H70" s="6">
        <v>43830</v>
      </c>
      <c r="J70" s="25">
        <v>251223.48</v>
      </c>
      <c r="K70">
        <v>15073.410000000003</v>
      </c>
      <c r="L70">
        <v>266296.89</v>
      </c>
      <c r="M70">
        <v>295885.43</v>
      </c>
      <c r="N70" t="s">
        <v>171</v>
      </c>
      <c r="O70" t="s">
        <v>65</v>
      </c>
      <c r="P70">
        <v>201912</v>
      </c>
      <c r="Q70" t="s">
        <v>67</v>
      </c>
    </row>
    <row r="71" spans="8:17">
      <c r="H71" s="6">
        <v>43830</v>
      </c>
      <c r="J71" s="25">
        <v>63175.11</v>
      </c>
      <c r="K71">
        <v>3790.5099999999948</v>
      </c>
      <c r="L71">
        <v>66965.62</v>
      </c>
      <c r="M71">
        <v>74406.240000000005</v>
      </c>
      <c r="N71" t="s">
        <v>172</v>
      </c>
      <c r="O71" t="s">
        <v>74</v>
      </c>
      <c r="P71">
        <v>201912</v>
      </c>
      <c r="Q71" t="s">
        <v>67</v>
      </c>
    </row>
    <row r="72" spans="8:17">
      <c r="H72" s="6">
        <v>43830</v>
      </c>
      <c r="J72" s="25">
        <v>21109.279999999999</v>
      </c>
      <c r="K72">
        <v>1266.56</v>
      </c>
      <c r="L72">
        <v>22375.84</v>
      </c>
      <c r="M72">
        <v>24862.04</v>
      </c>
      <c r="N72" t="s">
        <v>173</v>
      </c>
      <c r="O72" t="s">
        <v>72</v>
      </c>
      <c r="P72">
        <v>201912</v>
      </c>
      <c r="Q72" t="s">
        <v>67</v>
      </c>
    </row>
    <row r="73" spans="8:17">
      <c r="H73" s="6">
        <v>43830</v>
      </c>
      <c r="J73" s="25">
        <v>86532.05</v>
      </c>
      <c r="K73">
        <v>5191.92</v>
      </c>
      <c r="L73">
        <v>91723.98</v>
      </c>
      <c r="M73">
        <v>101915.53</v>
      </c>
      <c r="N73" t="s">
        <v>174</v>
      </c>
      <c r="O73" t="s">
        <v>516</v>
      </c>
      <c r="P73">
        <v>201912</v>
      </c>
      <c r="Q73" t="s">
        <v>67</v>
      </c>
    </row>
    <row r="74" spans="8:17">
      <c r="H74" s="6">
        <v>43830</v>
      </c>
      <c r="J74" s="25">
        <v>4711.84</v>
      </c>
      <c r="K74">
        <v>282.70999999999998</v>
      </c>
      <c r="L74">
        <v>4994.55</v>
      </c>
      <c r="M74">
        <v>5549.5</v>
      </c>
      <c r="N74" t="s">
        <v>175</v>
      </c>
      <c r="O74" t="s">
        <v>516</v>
      </c>
      <c r="P74">
        <v>201912</v>
      </c>
      <c r="Q74" t="s">
        <v>13</v>
      </c>
    </row>
    <row r="75" spans="8:17">
      <c r="H75" s="6">
        <v>43830</v>
      </c>
      <c r="I75" s="98" t="s">
        <v>19</v>
      </c>
      <c r="J75" s="98">
        <v>94236.85</v>
      </c>
      <c r="K75" s="98">
        <v>5654.2099999999919</v>
      </c>
      <c r="L75" s="98">
        <v>99891.06</v>
      </c>
      <c r="M75" s="98">
        <v>110990.07000000011</v>
      </c>
      <c r="N75" s="98" t="s">
        <v>182</v>
      </c>
      <c r="O75" s="98" t="s">
        <v>65</v>
      </c>
      <c r="P75">
        <v>201913</v>
      </c>
      <c r="Q75" t="s">
        <v>67</v>
      </c>
    </row>
    <row r="76" spans="8:17">
      <c r="H76" s="6">
        <v>43830</v>
      </c>
      <c r="I76" s="98" t="s">
        <v>19</v>
      </c>
      <c r="J76" s="98">
        <v>21261.4</v>
      </c>
      <c r="K76" s="98">
        <v>1275.6700000000019</v>
      </c>
      <c r="L76" s="98">
        <v>22537.070000000003</v>
      </c>
      <c r="M76" s="98">
        <v>25041.200000000015</v>
      </c>
      <c r="N76" s="98" t="s">
        <v>183</v>
      </c>
      <c r="O76" s="98" t="s">
        <v>74</v>
      </c>
      <c r="P76">
        <v>201913</v>
      </c>
      <c r="Q76" t="s">
        <v>67</v>
      </c>
    </row>
    <row r="77" spans="8:17">
      <c r="H77" s="6">
        <v>43830</v>
      </c>
      <c r="I77" s="98" t="s">
        <v>19</v>
      </c>
      <c r="J77" s="98">
        <v>7202</v>
      </c>
      <c r="K77" s="98">
        <v>432.12</v>
      </c>
      <c r="L77" s="98">
        <v>7634.11</v>
      </c>
      <c r="M77" s="98">
        <v>8482.3499999999858</v>
      </c>
      <c r="N77" s="98" t="s">
        <v>184</v>
      </c>
      <c r="O77" s="98" t="s">
        <v>72</v>
      </c>
      <c r="P77">
        <v>201913</v>
      </c>
      <c r="Q77" t="s">
        <v>67</v>
      </c>
    </row>
    <row r="78" spans="8:17" s="111" customFormat="1">
      <c r="H78" s="109">
        <v>43830</v>
      </c>
      <c r="I78" s="110" t="s">
        <v>19</v>
      </c>
      <c r="J78" s="110">
        <v>-17848.810000000001</v>
      </c>
      <c r="K78" s="110">
        <v>-1070.93</v>
      </c>
      <c r="L78" s="110">
        <v>-18919.730000000003</v>
      </c>
      <c r="M78" s="110">
        <v>-21021.929999999978</v>
      </c>
      <c r="N78" s="110" t="s">
        <v>185</v>
      </c>
      <c r="O78" s="110" t="s">
        <v>516</v>
      </c>
      <c r="P78" s="111">
        <v>201913</v>
      </c>
      <c r="Q78" s="111" t="s">
        <v>67</v>
      </c>
    </row>
    <row r="79" spans="8:17">
      <c r="H79" s="6">
        <v>43861</v>
      </c>
      <c r="J79" s="112">
        <v>172946.82</v>
      </c>
      <c r="K79" s="98">
        <v>10376.809999999998</v>
      </c>
      <c r="L79" s="98">
        <v>183323.63</v>
      </c>
      <c r="M79" s="98">
        <v>203692.91999999984</v>
      </c>
      <c r="N79" s="98" t="s">
        <v>187</v>
      </c>
      <c r="O79" t="s">
        <v>65</v>
      </c>
      <c r="P79">
        <v>202001</v>
      </c>
      <c r="Q79" t="s">
        <v>67</v>
      </c>
    </row>
    <row r="80" spans="8:17">
      <c r="H80" s="6">
        <v>43861</v>
      </c>
      <c r="J80" s="112">
        <v>38012.720000000001</v>
      </c>
      <c r="K80" s="98">
        <v>2280.7699999999968</v>
      </c>
      <c r="L80" s="98">
        <v>40293.49</v>
      </c>
      <c r="M80" s="98">
        <v>44770.53999999995</v>
      </c>
      <c r="N80" s="98" t="s">
        <v>188</v>
      </c>
      <c r="O80" t="s">
        <v>74</v>
      </c>
      <c r="P80">
        <v>202001</v>
      </c>
      <c r="Q80" t="s">
        <v>67</v>
      </c>
    </row>
    <row r="81" spans="8:17">
      <c r="H81" s="6">
        <v>43861</v>
      </c>
      <c r="J81" s="112">
        <v>12114.97</v>
      </c>
      <c r="K81" s="98">
        <v>726.9</v>
      </c>
      <c r="L81" s="98">
        <v>12841.87</v>
      </c>
      <c r="M81" s="98">
        <v>14268.739999999982</v>
      </c>
      <c r="N81" s="98" t="s">
        <v>189</v>
      </c>
      <c r="O81" t="s">
        <v>72</v>
      </c>
      <c r="P81">
        <v>202001</v>
      </c>
      <c r="Q81" t="s">
        <v>67</v>
      </c>
    </row>
    <row r="82" spans="8:17">
      <c r="H82" s="6">
        <v>43861</v>
      </c>
      <c r="J82" s="112">
        <v>84108.85</v>
      </c>
      <c r="K82" s="98">
        <v>5046.53</v>
      </c>
      <c r="L82" s="98">
        <v>89155.38</v>
      </c>
      <c r="M82" s="98">
        <v>99061.529999999955</v>
      </c>
      <c r="N82" s="98" t="s">
        <v>190</v>
      </c>
      <c r="O82" t="s">
        <v>516</v>
      </c>
      <c r="P82">
        <v>202001</v>
      </c>
      <c r="Q82" t="s">
        <v>67</v>
      </c>
    </row>
    <row r="83" spans="8:17">
      <c r="H83" s="6">
        <v>43890</v>
      </c>
      <c r="J83" s="112">
        <v>276740.14</v>
      </c>
      <c r="K83" s="98">
        <v>16604.409999999974</v>
      </c>
      <c r="L83" s="98">
        <v>293344.55</v>
      </c>
      <c r="M83" s="98">
        <v>325938.38999999908</v>
      </c>
      <c r="N83" s="98" t="s">
        <v>191</v>
      </c>
      <c r="O83" t="s">
        <v>65</v>
      </c>
      <c r="P83">
        <v>202002</v>
      </c>
      <c r="Q83" t="s">
        <v>67</v>
      </c>
    </row>
    <row r="84" spans="8:17">
      <c r="H84" s="6">
        <v>43890</v>
      </c>
      <c r="J84" s="112">
        <v>56532.67</v>
      </c>
      <c r="K84" s="98">
        <v>3391.9599999999991</v>
      </c>
      <c r="L84" s="98">
        <v>59924.63</v>
      </c>
      <c r="M84" s="98">
        <v>66582.919999999882</v>
      </c>
      <c r="N84" s="98" t="s">
        <v>192</v>
      </c>
      <c r="O84" t="s">
        <v>74</v>
      </c>
      <c r="P84">
        <v>202002</v>
      </c>
      <c r="Q84" t="s">
        <v>67</v>
      </c>
    </row>
    <row r="85" spans="8:17">
      <c r="H85" s="6">
        <v>43890</v>
      </c>
      <c r="J85" s="112">
        <v>18876.46</v>
      </c>
      <c r="K85" s="98">
        <v>1132.5899999999999</v>
      </c>
      <c r="L85" s="98">
        <v>20009.04</v>
      </c>
      <c r="M85" s="98">
        <v>22232.270000000004</v>
      </c>
      <c r="N85" s="98" t="s">
        <v>193</v>
      </c>
      <c r="O85" t="s">
        <v>72</v>
      </c>
      <c r="P85">
        <v>202002</v>
      </c>
      <c r="Q85" t="s">
        <v>67</v>
      </c>
    </row>
    <row r="86" spans="8:17">
      <c r="H86" s="6">
        <v>43890</v>
      </c>
      <c r="J86" s="112">
        <v>1659986.56</v>
      </c>
      <c r="K86" s="98">
        <v>99599.19</v>
      </c>
      <c r="L86" s="98">
        <v>1759585.75</v>
      </c>
      <c r="M86" s="98">
        <v>1955095.28</v>
      </c>
      <c r="N86" s="108" t="s">
        <v>511</v>
      </c>
      <c r="O86" t="s">
        <v>516</v>
      </c>
      <c r="P86">
        <v>202002</v>
      </c>
      <c r="Q86" t="s">
        <v>13</v>
      </c>
    </row>
    <row r="87" spans="8:17">
      <c r="H87" s="6">
        <v>43890</v>
      </c>
      <c r="J87" s="112">
        <v>129116.91</v>
      </c>
      <c r="K87" s="98">
        <v>7747.01</v>
      </c>
      <c r="L87" s="98">
        <v>136863.93</v>
      </c>
      <c r="M87" s="98">
        <v>152071.02999999994</v>
      </c>
      <c r="N87" s="98" t="s">
        <v>194</v>
      </c>
      <c r="O87" t="s">
        <v>516</v>
      </c>
      <c r="P87">
        <v>202002</v>
      </c>
      <c r="Q87" t="s">
        <v>67</v>
      </c>
    </row>
    <row r="88" spans="8:17">
      <c r="H88" s="6">
        <v>43890</v>
      </c>
      <c r="J88" s="112">
        <v>83508.28</v>
      </c>
      <c r="K88" s="98">
        <v>5010.5</v>
      </c>
      <c r="L88" s="98">
        <v>88518.78</v>
      </c>
      <c r="M88" s="98">
        <v>98354.199999999881</v>
      </c>
      <c r="N88" s="98" t="s">
        <v>195</v>
      </c>
      <c r="O88" t="s">
        <v>516</v>
      </c>
      <c r="P88">
        <v>202001</v>
      </c>
      <c r="Q88" t="s">
        <v>67</v>
      </c>
    </row>
    <row r="89" spans="8:17">
      <c r="H89" s="6">
        <v>43921</v>
      </c>
      <c r="J89" s="112">
        <v>270193.99</v>
      </c>
      <c r="K89" s="98">
        <v>16211.640000000014</v>
      </c>
      <c r="L89" s="98">
        <v>286405.63</v>
      </c>
      <c r="M89" s="98">
        <v>318228.48000000045</v>
      </c>
      <c r="N89" s="98" t="s">
        <v>196</v>
      </c>
      <c r="O89" t="s">
        <v>65</v>
      </c>
      <c r="P89">
        <v>202003</v>
      </c>
      <c r="Q89" t="s">
        <v>67</v>
      </c>
    </row>
    <row r="90" spans="8:17">
      <c r="H90" s="6">
        <v>43921</v>
      </c>
      <c r="J90" s="112">
        <v>58349.71</v>
      </c>
      <c r="K90" s="98">
        <v>3500.9800000000032</v>
      </c>
      <c r="L90" s="98">
        <v>61850.69</v>
      </c>
      <c r="M90" s="98">
        <v>68722.989999999962</v>
      </c>
      <c r="N90" s="98" t="s">
        <v>197</v>
      </c>
      <c r="O90" t="s">
        <v>74</v>
      </c>
      <c r="P90">
        <v>202003</v>
      </c>
      <c r="Q90" t="s">
        <v>67</v>
      </c>
    </row>
    <row r="91" spans="8:17">
      <c r="H91" s="6">
        <v>43921</v>
      </c>
      <c r="J91" s="112">
        <v>20364.95</v>
      </c>
      <c r="K91" s="98">
        <v>1221.9000000000001</v>
      </c>
      <c r="L91" s="98">
        <v>21586.84</v>
      </c>
      <c r="M91" s="98">
        <v>23985.380000000037</v>
      </c>
      <c r="N91" s="98" t="s">
        <v>198</v>
      </c>
      <c r="O91" t="s">
        <v>72</v>
      </c>
      <c r="P91">
        <v>202003</v>
      </c>
      <c r="Q91" t="s">
        <v>67</v>
      </c>
    </row>
    <row r="92" spans="8:17">
      <c r="H92" s="6">
        <v>43921</v>
      </c>
      <c r="J92" s="112">
        <v>99736.73</v>
      </c>
      <c r="K92" s="98">
        <v>5984.2</v>
      </c>
      <c r="L92" s="98">
        <v>105720.93</v>
      </c>
      <c r="M92" s="98">
        <v>117467.70000000006</v>
      </c>
      <c r="N92" s="98" t="s">
        <v>199</v>
      </c>
      <c r="O92" t="s">
        <v>516</v>
      </c>
      <c r="P92">
        <v>202003</v>
      </c>
      <c r="Q92" t="s">
        <v>67</v>
      </c>
    </row>
    <row r="93" spans="8:17" s="101" customFormat="1">
      <c r="H93" s="104">
        <v>43921</v>
      </c>
      <c r="J93" s="102">
        <v>-84108.85</v>
      </c>
      <c r="N93" s="102" t="s">
        <v>201</v>
      </c>
      <c r="O93" s="103" t="s">
        <v>516</v>
      </c>
      <c r="P93" s="101">
        <v>202003</v>
      </c>
      <c r="Q93" s="103" t="s">
        <v>67</v>
      </c>
    </row>
    <row r="94" spans="8:17">
      <c r="H94" s="6">
        <v>43951</v>
      </c>
      <c r="J94" s="98">
        <v>306354.90999999997</v>
      </c>
      <c r="K94" s="98">
        <v>18381.290000000037</v>
      </c>
      <c r="L94" s="98">
        <v>324736.2</v>
      </c>
      <c r="M94" s="98">
        <v>360817.99999999971</v>
      </c>
      <c r="N94" s="98" t="s">
        <v>202</v>
      </c>
      <c r="O94" s="98" t="s">
        <v>65</v>
      </c>
      <c r="P94">
        <v>202004</v>
      </c>
      <c r="Q94" t="s">
        <v>67</v>
      </c>
    </row>
    <row r="95" spans="8:17">
      <c r="H95" s="6">
        <v>43951</v>
      </c>
      <c r="J95" s="98">
        <v>69373.899999999994</v>
      </c>
      <c r="K95" s="98">
        <v>4162.4400000000023</v>
      </c>
      <c r="L95" s="98">
        <v>73536.34</v>
      </c>
      <c r="M95" s="98">
        <v>81707.039999999819</v>
      </c>
      <c r="N95" s="98" t="s">
        <v>203</v>
      </c>
      <c r="O95" s="98" t="s">
        <v>74</v>
      </c>
      <c r="P95">
        <v>202004</v>
      </c>
      <c r="Q95" t="s">
        <v>67</v>
      </c>
    </row>
    <row r="96" spans="8:17">
      <c r="H96" s="6">
        <v>43951</v>
      </c>
      <c r="J96" s="98">
        <v>22824.18</v>
      </c>
      <c r="K96" s="98">
        <v>1369.45</v>
      </c>
      <c r="L96" s="98">
        <v>24193.63</v>
      </c>
      <c r="M96" s="98">
        <v>26881.809999999969</v>
      </c>
      <c r="N96" s="98" t="s">
        <v>204</v>
      </c>
      <c r="O96" s="98" t="s">
        <v>72</v>
      </c>
      <c r="P96">
        <v>202004</v>
      </c>
      <c r="Q96" t="s">
        <v>67</v>
      </c>
    </row>
    <row r="97" spans="8:17">
      <c r="H97" s="6">
        <v>43951</v>
      </c>
      <c r="J97" s="98">
        <v>4430.71</v>
      </c>
      <c r="K97" s="98">
        <v>265.83999999999997</v>
      </c>
      <c r="L97" s="98">
        <v>4696.55</v>
      </c>
      <c r="M97" s="98">
        <v>5218.3999999999996</v>
      </c>
      <c r="N97" s="98" t="s">
        <v>205</v>
      </c>
      <c r="O97" s="98" t="s">
        <v>516</v>
      </c>
      <c r="P97">
        <v>202004</v>
      </c>
      <c r="Q97" t="s">
        <v>13</v>
      </c>
    </row>
    <row r="98" spans="8:17">
      <c r="H98" s="6">
        <v>43951</v>
      </c>
      <c r="J98" s="98">
        <v>96552.22</v>
      </c>
      <c r="K98" s="98">
        <v>5793.13</v>
      </c>
      <c r="L98" s="98">
        <v>102345.35</v>
      </c>
      <c r="M98" s="98">
        <v>113717.0600000001</v>
      </c>
      <c r="N98" s="98" t="s">
        <v>206</v>
      </c>
      <c r="O98" s="98" t="s">
        <v>516</v>
      </c>
      <c r="P98">
        <v>202004</v>
      </c>
      <c r="Q98" t="s">
        <v>67</v>
      </c>
    </row>
    <row r="99" spans="8:17">
      <c r="H99" s="6">
        <v>43982</v>
      </c>
      <c r="I99" s="98" t="s">
        <v>19</v>
      </c>
      <c r="J99" s="98">
        <v>18.45</v>
      </c>
      <c r="K99" s="98">
        <v>1.1100000000000001</v>
      </c>
      <c r="L99" s="98">
        <v>19.559999999999999</v>
      </c>
      <c r="M99" s="98">
        <v>21.729999999999997</v>
      </c>
      <c r="N99" s="98" t="s">
        <v>207</v>
      </c>
      <c r="O99" t="s">
        <v>74</v>
      </c>
      <c r="P99">
        <v>202005</v>
      </c>
      <c r="Q99" t="s">
        <v>67</v>
      </c>
    </row>
    <row r="100" spans="8:17">
      <c r="H100" s="6">
        <v>43982</v>
      </c>
      <c r="I100" s="98" t="s">
        <v>19</v>
      </c>
      <c r="J100" s="98">
        <v>239.57</v>
      </c>
      <c r="K100" s="98">
        <v>14.37</v>
      </c>
      <c r="L100" s="98">
        <v>253.94</v>
      </c>
      <c r="M100" s="98">
        <v>282.16000000000014</v>
      </c>
      <c r="N100" s="98" t="s">
        <v>208</v>
      </c>
      <c r="O100" t="s">
        <v>512</v>
      </c>
      <c r="P100">
        <v>202005</v>
      </c>
      <c r="Q100" t="s">
        <v>67</v>
      </c>
    </row>
    <row r="101" spans="8:17">
      <c r="H101" s="6">
        <v>43982</v>
      </c>
      <c r="I101" s="98" t="s">
        <v>19</v>
      </c>
      <c r="J101" s="98">
        <v>108.74</v>
      </c>
      <c r="K101" s="98">
        <v>6.52</v>
      </c>
      <c r="L101" s="98">
        <v>115.26</v>
      </c>
      <c r="M101" s="98">
        <v>128.06999999999996</v>
      </c>
      <c r="N101" s="98" t="s">
        <v>209</v>
      </c>
      <c r="O101" t="s">
        <v>513</v>
      </c>
      <c r="P101">
        <v>202005</v>
      </c>
      <c r="Q101" t="s">
        <v>67</v>
      </c>
    </row>
    <row r="102" spans="8:17">
      <c r="H102" s="6">
        <v>43982</v>
      </c>
      <c r="I102" s="98" t="s">
        <v>19</v>
      </c>
      <c r="J102" s="98">
        <v>614.64</v>
      </c>
      <c r="K102" s="98">
        <v>36.880000000000003</v>
      </c>
      <c r="L102" s="98">
        <v>651.52</v>
      </c>
      <c r="M102" s="98">
        <v>723.91000000000008</v>
      </c>
      <c r="N102" s="98" t="s">
        <v>210</v>
      </c>
      <c r="O102" t="s">
        <v>514</v>
      </c>
      <c r="P102">
        <v>202005</v>
      </c>
      <c r="Q102" t="s">
        <v>67</v>
      </c>
    </row>
    <row r="103" spans="8:17">
      <c r="H103" s="6">
        <v>43982</v>
      </c>
      <c r="I103" s="98" t="s">
        <v>19</v>
      </c>
      <c r="J103" s="98">
        <v>305374.24</v>
      </c>
      <c r="K103" s="98">
        <v>18322.450000000012</v>
      </c>
      <c r="L103" s="98">
        <v>323696.69</v>
      </c>
      <c r="M103" s="98">
        <v>359662.98999999923</v>
      </c>
      <c r="N103" s="98" t="s">
        <v>211</v>
      </c>
      <c r="O103" t="s">
        <v>65</v>
      </c>
      <c r="P103">
        <v>202005</v>
      </c>
      <c r="Q103" t="s">
        <v>67</v>
      </c>
    </row>
    <row r="104" spans="8:17">
      <c r="H104" s="6">
        <v>43982</v>
      </c>
      <c r="I104" s="98" t="s">
        <v>19</v>
      </c>
      <c r="J104" s="98">
        <v>70926.070000000007</v>
      </c>
      <c r="K104" s="98">
        <v>4255.5599999999977</v>
      </c>
      <c r="L104" s="98">
        <v>75181.63</v>
      </c>
      <c r="M104" s="98">
        <v>83535.149999999878</v>
      </c>
      <c r="N104" s="98" t="s">
        <v>212</v>
      </c>
      <c r="O104" t="s">
        <v>74</v>
      </c>
      <c r="P104">
        <v>202005</v>
      </c>
      <c r="Q104" t="s">
        <v>67</v>
      </c>
    </row>
    <row r="105" spans="8:17">
      <c r="H105" s="6">
        <v>43982</v>
      </c>
      <c r="I105" s="98" t="s">
        <v>19</v>
      </c>
      <c r="J105" s="98">
        <v>32007.19</v>
      </c>
      <c r="K105" s="98">
        <v>1920.43</v>
      </c>
      <c r="L105" s="98">
        <v>33927.620000000003</v>
      </c>
      <c r="M105" s="98">
        <v>37697.35999999995</v>
      </c>
      <c r="N105" s="98" t="s">
        <v>213</v>
      </c>
      <c r="O105" t="s">
        <v>72</v>
      </c>
      <c r="P105">
        <v>202005</v>
      </c>
      <c r="Q105" t="s">
        <v>67</v>
      </c>
    </row>
    <row r="106" spans="8:17">
      <c r="H106" s="6">
        <v>43982</v>
      </c>
      <c r="I106" s="98" t="s">
        <v>19</v>
      </c>
      <c r="J106" s="98">
        <v>779472.91</v>
      </c>
      <c r="K106" s="98">
        <v>46768.37</v>
      </c>
      <c r="L106" s="98">
        <v>826241.28</v>
      </c>
      <c r="M106" s="98">
        <v>918045.86999999988</v>
      </c>
      <c r="N106" s="98" t="s">
        <v>214</v>
      </c>
      <c r="O106" t="s">
        <v>516</v>
      </c>
      <c r="P106">
        <v>202005</v>
      </c>
      <c r="Q106" t="s">
        <v>13</v>
      </c>
    </row>
    <row r="107" spans="8:17">
      <c r="H107" s="6">
        <v>43982</v>
      </c>
      <c r="I107" s="98" t="s">
        <v>19</v>
      </c>
      <c r="J107" s="98">
        <v>125957.88</v>
      </c>
      <c r="K107" s="98">
        <v>7557.47</v>
      </c>
      <c r="L107" s="98">
        <v>133515.35</v>
      </c>
      <c r="M107" s="98">
        <v>148350.38999999998</v>
      </c>
      <c r="N107" s="98" t="s">
        <v>215</v>
      </c>
      <c r="O107" t="s">
        <v>516</v>
      </c>
      <c r="P107">
        <v>202005</v>
      </c>
      <c r="Q107" t="s">
        <v>67</v>
      </c>
    </row>
    <row r="108" spans="8:17">
      <c r="H108" s="6">
        <v>43982</v>
      </c>
      <c r="I108" s="98" t="s">
        <v>19</v>
      </c>
      <c r="J108" s="98">
        <v>47133.82</v>
      </c>
      <c r="K108" s="98">
        <v>2828.03</v>
      </c>
      <c r="L108" s="98">
        <v>49961.84</v>
      </c>
      <c r="M108" s="98">
        <v>55513.16</v>
      </c>
      <c r="N108" s="98" t="s">
        <v>216</v>
      </c>
      <c r="O108" t="s">
        <v>516</v>
      </c>
      <c r="P108">
        <v>202005</v>
      </c>
      <c r="Q108" t="s">
        <v>67</v>
      </c>
    </row>
    <row r="109" spans="8:17">
      <c r="H109" s="6">
        <v>44012</v>
      </c>
      <c r="I109" s="98" t="s">
        <v>19</v>
      </c>
      <c r="J109" s="98">
        <v>37.47</v>
      </c>
      <c r="K109" s="98">
        <v>2.25</v>
      </c>
      <c r="L109" s="98">
        <v>39.72</v>
      </c>
      <c r="M109" s="98">
        <v>44.13000000000001</v>
      </c>
      <c r="N109" s="98" t="s">
        <v>222</v>
      </c>
      <c r="O109" t="s">
        <v>74</v>
      </c>
      <c r="P109">
        <v>202006</v>
      </c>
      <c r="Q109" t="s">
        <v>67</v>
      </c>
    </row>
    <row r="110" spans="8:17">
      <c r="H110" s="6">
        <v>44012</v>
      </c>
      <c r="I110" s="98" t="s">
        <v>19</v>
      </c>
      <c r="J110" s="98">
        <v>268.33999999999997</v>
      </c>
      <c r="K110" s="98">
        <v>16.100000000000001</v>
      </c>
      <c r="L110" s="98">
        <v>284.44</v>
      </c>
      <c r="M110" s="98">
        <v>316.04000000000019</v>
      </c>
      <c r="N110" s="98" t="s">
        <v>223</v>
      </c>
      <c r="O110" t="s">
        <v>512</v>
      </c>
      <c r="P110">
        <v>202006</v>
      </c>
      <c r="Q110" t="s">
        <v>67</v>
      </c>
    </row>
    <row r="111" spans="8:17">
      <c r="H111" s="6">
        <v>44012</v>
      </c>
      <c r="I111" s="98" t="s">
        <v>19</v>
      </c>
      <c r="J111" s="98">
        <v>278.22000000000003</v>
      </c>
      <c r="K111" s="98">
        <v>16.690000000000001</v>
      </c>
      <c r="L111" s="98">
        <v>294.91000000000003</v>
      </c>
      <c r="M111" s="98">
        <v>327.68000000000035</v>
      </c>
      <c r="N111" s="98" t="s">
        <v>224</v>
      </c>
      <c r="O111" t="s">
        <v>513</v>
      </c>
      <c r="P111">
        <v>202006</v>
      </c>
      <c r="Q111" t="s">
        <v>67</v>
      </c>
    </row>
    <row r="112" spans="8:17">
      <c r="H112" s="6">
        <v>44012</v>
      </c>
      <c r="I112" s="98" t="s">
        <v>19</v>
      </c>
      <c r="J112" s="98">
        <v>863.87</v>
      </c>
      <c r="K112" s="98">
        <v>51.83</v>
      </c>
      <c r="L112" s="98">
        <v>915.71</v>
      </c>
      <c r="M112" s="98">
        <v>1017.4500000000004</v>
      </c>
      <c r="N112" s="98" t="s">
        <v>225</v>
      </c>
      <c r="O112" t="s">
        <v>517</v>
      </c>
      <c r="P112">
        <v>202006</v>
      </c>
      <c r="Q112" t="s">
        <v>67</v>
      </c>
    </row>
    <row r="113" spans="8:17">
      <c r="H113" s="6">
        <v>44012</v>
      </c>
      <c r="I113" s="98" t="s">
        <v>19</v>
      </c>
      <c r="J113" s="98">
        <v>314398.48</v>
      </c>
      <c r="K113" s="98">
        <v>18863.910000000033</v>
      </c>
      <c r="L113" s="98">
        <v>333262.39</v>
      </c>
      <c r="M113" s="98">
        <v>370291.53999999893</v>
      </c>
      <c r="N113" s="98" t="s">
        <v>226</v>
      </c>
      <c r="O113" t="s">
        <v>65</v>
      </c>
      <c r="P113">
        <v>202006</v>
      </c>
      <c r="Q113" t="s">
        <v>67</v>
      </c>
    </row>
    <row r="114" spans="8:17">
      <c r="H114" s="6">
        <v>44012</v>
      </c>
      <c r="I114" s="98" t="s">
        <v>19</v>
      </c>
      <c r="J114" s="98">
        <v>79764.97</v>
      </c>
      <c r="K114" s="98">
        <v>4785.8999999999942</v>
      </c>
      <c r="L114" s="98">
        <v>84550.87</v>
      </c>
      <c r="M114" s="98">
        <v>93945.409999999785</v>
      </c>
      <c r="N114" s="98" t="s">
        <v>227</v>
      </c>
      <c r="O114" t="s">
        <v>74</v>
      </c>
      <c r="P114">
        <v>202006</v>
      </c>
      <c r="Q114" t="s">
        <v>67</v>
      </c>
    </row>
    <row r="115" spans="8:17">
      <c r="H115" s="6">
        <v>44012</v>
      </c>
      <c r="I115" s="98" t="s">
        <v>19</v>
      </c>
      <c r="J115" s="98">
        <v>19930.89</v>
      </c>
      <c r="K115" s="98">
        <v>1195.8499999999999</v>
      </c>
      <c r="L115" s="98">
        <v>21126.74</v>
      </c>
      <c r="M115" s="98">
        <v>23474.159999999978</v>
      </c>
      <c r="N115" s="98" t="s">
        <v>228</v>
      </c>
      <c r="O115" t="s">
        <v>72</v>
      </c>
      <c r="P115">
        <v>202006</v>
      </c>
      <c r="Q115" t="s">
        <v>67</v>
      </c>
    </row>
    <row r="116" spans="8:17">
      <c r="H116" s="6">
        <v>44012</v>
      </c>
      <c r="I116" s="98" t="s">
        <v>19</v>
      </c>
      <c r="J116" s="98">
        <v>1033664.54</v>
      </c>
      <c r="K116" s="98">
        <v>62019.87</v>
      </c>
      <c r="L116" s="98">
        <v>1095684.4099999999</v>
      </c>
      <c r="M116" s="98">
        <v>1217427.1199999996</v>
      </c>
      <c r="N116" s="98" t="s">
        <v>229</v>
      </c>
      <c r="O116" t="s">
        <v>516</v>
      </c>
      <c r="P116">
        <v>202006</v>
      </c>
      <c r="Q116" t="s">
        <v>13</v>
      </c>
    </row>
    <row r="117" spans="8:17">
      <c r="H117" s="6">
        <v>44012</v>
      </c>
      <c r="I117" s="98" t="s">
        <v>19</v>
      </c>
      <c r="J117" s="98">
        <v>133151.29</v>
      </c>
      <c r="K117" s="98">
        <v>7989.08</v>
      </c>
      <c r="L117" s="98">
        <v>141140.37</v>
      </c>
      <c r="M117" s="98">
        <v>156822.63</v>
      </c>
      <c r="N117" s="98" t="s">
        <v>230</v>
      </c>
      <c r="O117" t="s">
        <v>516</v>
      </c>
      <c r="P117">
        <v>202006</v>
      </c>
      <c r="Q117" t="s">
        <v>67</v>
      </c>
    </row>
    <row r="118" spans="8:17">
      <c r="H118" s="6">
        <v>44074</v>
      </c>
      <c r="I118" s="98" t="s">
        <v>19</v>
      </c>
      <c r="J118" s="98">
        <v>18429.55</v>
      </c>
      <c r="K118" s="98">
        <v>1105.77</v>
      </c>
      <c r="L118" s="98">
        <v>19535.32</v>
      </c>
      <c r="M118" s="98">
        <v>21705.909999999963</v>
      </c>
      <c r="N118" s="98" t="s">
        <v>458</v>
      </c>
      <c r="O118" t="s">
        <v>512</v>
      </c>
      <c r="P118">
        <v>202008</v>
      </c>
      <c r="Q118" t="s">
        <v>67</v>
      </c>
    </row>
    <row r="119" spans="8:17">
      <c r="H119" s="6">
        <v>44074</v>
      </c>
      <c r="I119" s="98" t="s">
        <v>19</v>
      </c>
      <c r="J119" s="98">
        <v>9330.0300000000007</v>
      </c>
      <c r="K119" s="98">
        <v>559.79999999999995</v>
      </c>
      <c r="L119" s="98">
        <v>9889.83</v>
      </c>
      <c r="M119" s="98">
        <v>10988.700000000033</v>
      </c>
      <c r="N119" s="98" t="s">
        <v>459</v>
      </c>
      <c r="O119" t="s">
        <v>513</v>
      </c>
      <c r="P119">
        <v>202008</v>
      </c>
      <c r="Q119" t="s">
        <v>67</v>
      </c>
    </row>
    <row r="120" spans="8:17">
      <c r="H120" s="6">
        <v>44074</v>
      </c>
      <c r="I120" s="98" t="s">
        <v>19</v>
      </c>
      <c r="J120" s="98">
        <v>3876.9</v>
      </c>
      <c r="K120" s="98">
        <v>232.61</v>
      </c>
      <c r="L120" s="98">
        <v>4109.5200000000004</v>
      </c>
      <c r="M120" s="98">
        <v>4566.1300000000074</v>
      </c>
      <c r="N120" s="98" t="s">
        <v>460</v>
      </c>
      <c r="O120" t="s">
        <v>517</v>
      </c>
      <c r="P120">
        <v>202008</v>
      </c>
      <c r="Q120" t="s">
        <v>67</v>
      </c>
    </row>
    <row r="121" spans="8:17">
      <c r="H121" s="6">
        <v>44074</v>
      </c>
      <c r="I121" s="98" t="s">
        <v>19</v>
      </c>
      <c r="J121" s="98">
        <v>313131.21999999997</v>
      </c>
      <c r="K121" s="98">
        <v>18787.870000000054</v>
      </c>
      <c r="L121" s="98">
        <v>331919.09000000003</v>
      </c>
      <c r="M121" s="98">
        <v>368798.99000000057</v>
      </c>
      <c r="N121" s="98" t="s">
        <v>461</v>
      </c>
      <c r="O121" t="s">
        <v>65</v>
      </c>
      <c r="P121">
        <v>202008</v>
      </c>
      <c r="Q121" t="s">
        <v>67</v>
      </c>
    </row>
    <row r="122" spans="8:17">
      <c r="H122" s="6">
        <v>44074</v>
      </c>
      <c r="I122" s="98" t="s">
        <v>19</v>
      </c>
      <c r="J122" s="98">
        <v>81222.350000000006</v>
      </c>
      <c r="K122" s="98">
        <v>4873.3399999999965</v>
      </c>
      <c r="L122" s="98">
        <v>86095.69</v>
      </c>
      <c r="M122" s="98">
        <v>95661.879999999961</v>
      </c>
      <c r="N122" s="98" t="s">
        <v>462</v>
      </c>
      <c r="O122" t="s">
        <v>74</v>
      </c>
      <c r="P122">
        <v>202008</v>
      </c>
      <c r="Q122" t="s">
        <v>67</v>
      </c>
    </row>
    <row r="123" spans="8:17">
      <c r="H123" s="6">
        <v>44074</v>
      </c>
      <c r="I123" s="98" t="s">
        <v>19</v>
      </c>
      <c r="J123" s="98">
        <v>23659.59</v>
      </c>
      <c r="K123" s="98">
        <v>1419.58</v>
      </c>
      <c r="L123" s="98">
        <v>25079.17</v>
      </c>
      <c r="M123" s="98">
        <v>27865.740000000067</v>
      </c>
      <c r="N123" s="98" t="s">
        <v>463</v>
      </c>
      <c r="O123" t="s">
        <v>72</v>
      </c>
      <c r="P123">
        <v>202008</v>
      </c>
      <c r="Q123" t="s">
        <v>67</v>
      </c>
    </row>
    <row r="124" spans="8:17">
      <c r="H124" s="6">
        <v>44074</v>
      </c>
      <c r="I124" s="98" t="s">
        <v>19</v>
      </c>
      <c r="J124" s="98">
        <v>134984.5</v>
      </c>
      <c r="K124" s="98">
        <v>8099.07</v>
      </c>
      <c r="L124" s="98">
        <v>143083.57</v>
      </c>
      <c r="M124" s="98">
        <v>158981.74000000008</v>
      </c>
      <c r="N124" s="98" t="s">
        <v>464</v>
      </c>
      <c r="O124" t="s">
        <v>516</v>
      </c>
      <c r="P124">
        <v>202008</v>
      </c>
      <c r="Q124" t="s">
        <v>67</v>
      </c>
    </row>
    <row r="125" spans="8:17">
      <c r="H125" s="6">
        <v>44104</v>
      </c>
      <c r="I125" s="98" t="s">
        <v>19</v>
      </c>
      <c r="J125" s="98">
        <v>28214.06</v>
      </c>
      <c r="K125" s="98">
        <v>1692.84</v>
      </c>
      <c r="L125" s="98">
        <v>29906.9</v>
      </c>
      <c r="M125" s="98">
        <v>33229.889999999854</v>
      </c>
      <c r="N125" s="98" t="s">
        <v>474</v>
      </c>
      <c r="O125" s="98" t="s">
        <v>512</v>
      </c>
      <c r="P125">
        <v>202009</v>
      </c>
      <c r="Q125" t="s">
        <v>67</v>
      </c>
    </row>
    <row r="126" spans="8:17">
      <c r="H126" s="6">
        <v>44104</v>
      </c>
      <c r="I126" s="98" t="s">
        <v>19</v>
      </c>
      <c r="J126" s="98">
        <v>11977.39</v>
      </c>
      <c r="K126" s="98">
        <v>718.64</v>
      </c>
      <c r="L126" s="98">
        <v>12696.03</v>
      </c>
      <c r="M126" s="98">
        <v>14106.700000000028</v>
      </c>
      <c r="N126" s="98" t="s">
        <v>475</v>
      </c>
      <c r="O126" s="98" t="s">
        <v>513</v>
      </c>
      <c r="P126">
        <v>202009</v>
      </c>
      <c r="Q126" t="s">
        <v>67</v>
      </c>
    </row>
    <row r="127" spans="8:17">
      <c r="H127" s="6">
        <v>44104</v>
      </c>
      <c r="I127" s="98" t="s">
        <v>19</v>
      </c>
      <c r="J127" s="98">
        <v>3962.07</v>
      </c>
      <c r="K127" s="98">
        <v>237.72</v>
      </c>
      <c r="L127" s="98">
        <v>4199.8</v>
      </c>
      <c r="M127" s="98">
        <v>4666.4400000000123</v>
      </c>
      <c r="N127" s="98" t="s">
        <v>476</v>
      </c>
      <c r="O127" s="98" t="s">
        <v>514</v>
      </c>
      <c r="P127">
        <v>202009</v>
      </c>
      <c r="Q127" t="s">
        <v>67</v>
      </c>
    </row>
    <row r="128" spans="8:17">
      <c r="H128" s="6">
        <v>44104</v>
      </c>
      <c r="I128" s="98" t="s">
        <v>19</v>
      </c>
      <c r="J128" s="98">
        <v>309565.21000000002</v>
      </c>
      <c r="K128" s="98">
        <v>18573.909999999974</v>
      </c>
      <c r="L128" s="98">
        <v>328139.12</v>
      </c>
      <c r="M128" s="98">
        <v>364599.01999999781</v>
      </c>
      <c r="N128" s="98" t="s">
        <v>477</v>
      </c>
      <c r="O128" s="98" t="s">
        <v>65</v>
      </c>
      <c r="P128">
        <v>202009</v>
      </c>
      <c r="Q128" t="s">
        <v>67</v>
      </c>
    </row>
    <row r="129" spans="8:17">
      <c r="H129" s="6">
        <v>44104</v>
      </c>
      <c r="I129" s="98" t="s">
        <v>19</v>
      </c>
      <c r="J129" s="98">
        <v>70899.67</v>
      </c>
      <c r="K129" s="98">
        <v>4253.9799999999959</v>
      </c>
      <c r="L129" s="98">
        <v>75153.649999999994</v>
      </c>
      <c r="M129" s="98">
        <v>83504.050000000207</v>
      </c>
      <c r="N129" s="98" t="s">
        <v>478</v>
      </c>
      <c r="O129" s="98" t="s">
        <v>74</v>
      </c>
      <c r="P129">
        <v>202009</v>
      </c>
      <c r="Q129" t="s">
        <v>67</v>
      </c>
    </row>
    <row r="130" spans="8:17">
      <c r="H130" s="6">
        <v>44104</v>
      </c>
      <c r="I130" s="98" t="s">
        <v>19</v>
      </c>
      <c r="J130" s="98">
        <v>19890.48</v>
      </c>
      <c r="K130" s="98">
        <v>1193.43</v>
      </c>
      <c r="L130" s="98">
        <v>21083.91</v>
      </c>
      <c r="M130" s="98">
        <v>23426.569999999956</v>
      </c>
      <c r="N130" s="98" t="s">
        <v>479</v>
      </c>
      <c r="O130" s="98" t="s">
        <v>72</v>
      </c>
      <c r="P130">
        <v>202009</v>
      </c>
      <c r="Q130" t="s">
        <v>67</v>
      </c>
    </row>
    <row r="131" spans="8:17">
      <c r="H131" s="6">
        <v>44104</v>
      </c>
      <c r="I131" s="98" t="s">
        <v>19</v>
      </c>
      <c r="J131" s="98">
        <v>131072.45000000001</v>
      </c>
      <c r="K131" s="98">
        <v>7864.34</v>
      </c>
      <c r="L131" s="98">
        <v>138936.79999999999</v>
      </c>
      <c r="M131" s="98">
        <v>154374.21999999997</v>
      </c>
      <c r="N131" s="98" t="s">
        <v>480</v>
      </c>
      <c r="O131" s="98" t="s">
        <v>516</v>
      </c>
      <c r="P131">
        <v>202009</v>
      </c>
      <c r="Q131" t="s">
        <v>67</v>
      </c>
    </row>
    <row r="132" spans="8:17">
      <c r="H132" s="6">
        <v>44135</v>
      </c>
      <c r="I132" s="98" t="s">
        <v>19</v>
      </c>
      <c r="J132" s="98">
        <v>32793.29</v>
      </c>
      <c r="K132" s="98">
        <v>1967.6</v>
      </c>
      <c r="L132" s="98">
        <v>34760.89</v>
      </c>
      <c r="M132" s="98">
        <v>38623.209999999955</v>
      </c>
      <c r="N132" s="98" t="s">
        <v>486</v>
      </c>
      <c r="O132" s="98" t="s">
        <v>512</v>
      </c>
      <c r="P132">
        <v>202010</v>
      </c>
      <c r="Q132" t="s">
        <v>67</v>
      </c>
    </row>
    <row r="133" spans="8:17">
      <c r="H133" s="6">
        <v>44135</v>
      </c>
      <c r="I133" s="98" t="s">
        <v>19</v>
      </c>
      <c r="J133" s="98">
        <v>13400.09</v>
      </c>
      <c r="K133" s="98">
        <v>804.01</v>
      </c>
      <c r="L133" s="98">
        <v>14204.1</v>
      </c>
      <c r="M133" s="98">
        <v>15782.329999999956</v>
      </c>
      <c r="N133" s="98" t="s">
        <v>487</v>
      </c>
      <c r="O133" s="98" t="s">
        <v>513</v>
      </c>
      <c r="P133">
        <v>202010</v>
      </c>
      <c r="Q133" t="s">
        <v>67</v>
      </c>
    </row>
    <row r="134" spans="8:17">
      <c r="H134" s="6">
        <v>44135</v>
      </c>
      <c r="I134" s="98" t="s">
        <v>19</v>
      </c>
      <c r="J134" s="98">
        <v>3901.22</v>
      </c>
      <c r="K134" s="98">
        <v>234.07</v>
      </c>
      <c r="L134" s="98">
        <v>4135.29</v>
      </c>
      <c r="M134" s="98">
        <v>4594.7700000000059</v>
      </c>
      <c r="N134" s="98" t="s">
        <v>488</v>
      </c>
      <c r="O134" s="98" t="s">
        <v>514</v>
      </c>
      <c r="P134">
        <v>202010</v>
      </c>
      <c r="Q134" t="s">
        <v>67</v>
      </c>
    </row>
    <row r="135" spans="8:17">
      <c r="H135" s="6">
        <v>44135</v>
      </c>
      <c r="I135" s="98" t="s">
        <v>19</v>
      </c>
      <c r="J135" s="98">
        <v>296250.55</v>
      </c>
      <c r="K135" s="98">
        <v>17775.040000000037</v>
      </c>
      <c r="L135" s="98">
        <v>314025.59000000003</v>
      </c>
      <c r="M135" s="98">
        <v>348917.32000000088</v>
      </c>
      <c r="N135" s="98" t="s">
        <v>489</v>
      </c>
      <c r="O135" s="98" t="s">
        <v>65</v>
      </c>
      <c r="P135">
        <v>202010</v>
      </c>
      <c r="Q135" t="s">
        <v>67</v>
      </c>
    </row>
    <row r="136" spans="8:17">
      <c r="H136" s="6">
        <v>44135</v>
      </c>
      <c r="I136" s="98" t="s">
        <v>19</v>
      </c>
      <c r="J136" s="98">
        <v>59993.52</v>
      </c>
      <c r="K136" s="98">
        <v>3599.6100000000006</v>
      </c>
      <c r="L136" s="98">
        <v>63593.13</v>
      </c>
      <c r="M136" s="98">
        <v>70659.029999999708</v>
      </c>
      <c r="N136" s="98" t="s">
        <v>490</v>
      </c>
      <c r="O136" s="98" t="s">
        <v>74</v>
      </c>
      <c r="P136">
        <v>202010</v>
      </c>
      <c r="Q136" t="s">
        <v>67</v>
      </c>
    </row>
    <row r="137" spans="8:17">
      <c r="H137" s="6">
        <v>44135</v>
      </c>
      <c r="I137" s="98" t="s">
        <v>19</v>
      </c>
      <c r="J137" s="98">
        <v>17243.150000000001</v>
      </c>
      <c r="K137" s="98">
        <v>1034.5899999999999</v>
      </c>
      <c r="L137" s="98">
        <v>18277.740000000002</v>
      </c>
      <c r="M137" s="98">
        <v>20308.599999999878</v>
      </c>
      <c r="N137" s="98" t="s">
        <v>491</v>
      </c>
      <c r="O137" s="98" t="s">
        <v>72</v>
      </c>
      <c r="P137">
        <v>202010</v>
      </c>
      <c r="Q137" t="s">
        <v>67</v>
      </c>
    </row>
    <row r="138" spans="8:17">
      <c r="H138" s="6">
        <v>44135</v>
      </c>
      <c r="I138" s="98" t="s">
        <v>19</v>
      </c>
      <c r="J138" s="98">
        <v>135736.25</v>
      </c>
      <c r="K138" s="98">
        <v>8144.18</v>
      </c>
      <c r="L138" s="98">
        <v>143880.43</v>
      </c>
      <c r="M138" s="98">
        <v>159867.14000000007</v>
      </c>
      <c r="N138" s="98" t="s">
        <v>492</v>
      </c>
      <c r="O138" s="98" t="s">
        <v>516</v>
      </c>
      <c r="P138">
        <v>202010</v>
      </c>
      <c r="Q138" t="s">
        <v>67</v>
      </c>
    </row>
    <row r="139" spans="8:17">
      <c r="H139" s="6">
        <v>44165</v>
      </c>
      <c r="I139" s="98" t="s">
        <v>19</v>
      </c>
      <c r="J139" s="98">
        <v>36824.26</v>
      </c>
      <c r="K139" s="98">
        <v>2209.46</v>
      </c>
      <c r="L139" s="98">
        <v>39033.71</v>
      </c>
      <c r="M139" s="98">
        <v>43370.789999999994</v>
      </c>
      <c r="N139" s="98" t="s">
        <v>493</v>
      </c>
      <c r="O139" t="s">
        <v>512</v>
      </c>
      <c r="P139">
        <v>202011</v>
      </c>
      <c r="Q139" t="s">
        <v>67</v>
      </c>
    </row>
    <row r="140" spans="8:17">
      <c r="H140" s="6">
        <v>44165</v>
      </c>
      <c r="I140" s="98" t="s">
        <v>19</v>
      </c>
      <c r="J140" s="98">
        <v>15237.44</v>
      </c>
      <c r="K140" s="98">
        <v>914.25</v>
      </c>
      <c r="L140" s="98">
        <v>16151.69</v>
      </c>
      <c r="M140" s="98">
        <v>17946.320000000003</v>
      </c>
      <c r="N140" s="98" t="s">
        <v>494</v>
      </c>
      <c r="O140" t="s">
        <v>513</v>
      </c>
      <c r="P140">
        <v>202011</v>
      </c>
      <c r="Q140" t="s">
        <v>67</v>
      </c>
    </row>
    <row r="141" spans="8:17">
      <c r="H141" s="6">
        <v>44165</v>
      </c>
      <c r="I141" s="98" t="s">
        <v>19</v>
      </c>
      <c r="J141" s="98">
        <v>4055.82</v>
      </c>
      <c r="K141" s="98">
        <v>243.35</v>
      </c>
      <c r="L141" s="98">
        <v>4299.17</v>
      </c>
      <c r="M141" s="98">
        <v>4776.8600000000097</v>
      </c>
      <c r="N141" s="98" t="s">
        <v>495</v>
      </c>
      <c r="O141" t="s">
        <v>514</v>
      </c>
      <c r="P141">
        <v>202011</v>
      </c>
      <c r="Q141" t="s">
        <v>67</v>
      </c>
    </row>
    <row r="142" spans="8:17">
      <c r="H142" s="6">
        <v>44165</v>
      </c>
      <c r="I142" s="98" t="s">
        <v>19</v>
      </c>
      <c r="J142" s="98">
        <v>313533.65000000002</v>
      </c>
      <c r="K142" s="98">
        <v>18812.01999999996</v>
      </c>
      <c r="L142" s="98">
        <v>332345.67</v>
      </c>
      <c r="M142" s="98">
        <v>369272.96999999991</v>
      </c>
      <c r="N142" s="98" t="s">
        <v>496</v>
      </c>
      <c r="O142" t="s">
        <v>65</v>
      </c>
      <c r="P142">
        <v>202011</v>
      </c>
      <c r="Q142" t="s">
        <v>67</v>
      </c>
    </row>
    <row r="143" spans="8:17">
      <c r="H143" s="6">
        <v>44165</v>
      </c>
      <c r="I143" s="98" t="s">
        <v>19</v>
      </c>
      <c r="J143" s="98">
        <v>52957.43</v>
      </c>
      <c r="K143" s="98">
        <v>3177.4499999999971</v>
      </c>
      <c r="L143" s="98">
        <v>56134.879999999997</v>
      </c>
      <c r="M143" s="98">
        <v>62372.089999999895</v>
      </c>
      <c r="N143" s="98" t="s">
        <v>497</v>
      </c>
      <c r="O143" t="s">
        <v>74</v>
      </c>
      <c r="P143">
        <v>202011</v>
      </c>
      <c r="Q143" t="s">
        <v>67</v>
      </c>
    </row>
    <row r="144" spans="8:17">
      <c r="H144" s="6">
        <v>44165</v>
      </c>
      <c r="I144" s="98" t="s">
        <v>19</v>
      </c>
      <c r="J144" s="98">
        <v>16296.44</v>
      </c>
      <c r="K144" s="98">
        <v>977.79</v>
      </c>
      <c r="L144" s="98">
        <v>17274.22</v>
      </c>
      <c r="M144" s="98">
        <v>19193.580000000009</v>
      </c>
      <c r="N144" s="98" t="s">
        <v>498</v>
      </c>
      <c r="O144" t="s">
        <v>72</v>
      </c>
      <c r="P144">
        <v>202011</v>
      </c>
      <c r="Q144" t="s">
        <v>67</v>
      </c>
    </row>
    <row r="145" spans="8:28">
      <c r="H145" s="6">
        <v>44165</v>
      </c>
      <c r="I145" s="98" t="s">
        <v>19</v>
      </c>
      <c r="J145" s="98">
        <v>180.81</v>
      </c>
      <c r="K145" s="98">
        <v>10.85</v>
      </c>
      <c r="L145" s="98">
        <v>191.66</v>
      </c>
      <c r="M145" s="98">
        <v>212.95000000000002</v>
      </c>
      <c r="N145" s="98" t="s">
        <v>499</v>
      </c>
      <c r="O145" t="s">
        <v>516</v>
      </c>
      <c r="P145">
        <v>202011</v>
      </c>
      <c r="Q145" t="s">
        <v>67</v>
      </c>
    </row>
    <row r="146" spans="8:28">
      <c r="H146" s="6">
        <v>44165</v>
      </c>
      <c r="I146" s="98" t="s">
        <v>19</v>
      </c>
      <c r="J146" s="98">
        <v>128837.41</v>
      </c>
      <c r="K146" s="98">
        <v>7730.24</v>
      </c>
      <c r="L146" s="98">
        <v>136567.66</v>
      </c>
      <c r="M146" s="98">
        <v>151741.84000000017</v>
      </c>
      <c r="N146" s="98" t="s">
        <v>500</v>
      </c>
      <c r="O146" t="s">
        <v>516</v>
      </c>
      <c r="P146">
        <v>202011</v>
      </c>
      <c r="Q146" t="s">
        <v>67</v>
      </c>
    </row>
    <row r="147" spans="8:28">
      <c r="H147" s="113">
        <v>44043</v>
      </c>
      <c r="I147" s="114" t="s">
        <v>19</v>
      </c>
      <c r="J147" s="114">
        <v>9.99</v>
      </c>
      <c r="K147" s="114">
        <v>0.6</v>
      </c>
      <c r="L147" s="114">
        <v>10.59</v>
      </c>
      <c r="M147" s="114">
        <v>11.769999999999998</v>
      </c>
      <c r="N147" s="114" t="s">
        <v>518</v>
      </c>
      <c r="O147" s="115" t="s">
        <v>74</v>
      </c>
      <c r="P147">
        <v>202007</v>
      </c>
      <c r="Q147" t="s">
        <v>67</v>
      </c>
      <c r="S147" s="107">
        <v>44196</v>
      </c>
      <c r="T147" s="98" t="s">
        <v>19</v>
      </c>
      <c r="U147" s="98">
        <v>38897</v>
      </c>
      <c r="V147" s="98">
        <v>2333.8200000000002</v>
      </c>
      <c r="W147" s="98">
        <v>41230.82</v>
      </c>
      <c r="X147" s="98">
        <v>45812.020000000011</v>
      </c>
      <c r="Y147" s="98" t="s">
        <v>502</v>
      </c>
      <c r="Z147" t="s">
        <v>512</v>
      </c>
      <c r="AA147">
        <v>202012</v>
      </c>
      <c r="AB147" t="s">
        <v>67</v>
      </c>
    </row>
    <row r="148" spans="8:28">
      <c r="H148" s="113">
        <v>44043</v>
      </c>
      <c r="I148" s="114" t="s">
        <v>19</v>
      </c>
      <c r="J148" s="114">
        <v>7484.16</v>
      </c>
      <c r="K148" s="114">
        <v>449.05</v>
      </c>
      <c r="L148" s="114">
        <v>7933.21</v>
      </c>
      <c r="M148" s="114">
        <v>8814.6800000000258</v>
      </c>
      <c r="N148" s="114" t="s">
        <v>519</v>
      </c>
      <c r="O148" s="115" t="s">
        <v>512</v>
      </c>
      <c r="P148">
        <v>202007</v>
      </c>
      <c r="Q148" t="s">
        <v>67</v>
      </c>
      <c r="S148" s="107">
        <v>44196</v>
      </c>
      <c r="T148" s="98" t="s">
        <v>19</v>
      </c>
      <c r="U148" s="98">
        <v>12905.28</v>
      </c>
      <c r="V148" s="98">
        <v>774.32</v>
      </c>
      <c r="W148" s="98">
        <v>13679.6</v>
      </c>
      <c r="X148" s="98">
        <v>15199.550000000099</v>
      </c>
      <c r="Y148" s="98" t="s">
        <v>503</v>
      </c>
      <c r="Z148" t="s">
        <v>513</v>
      </c>
      <c r="AA148">
        <v>202012</v>
      </c>
      <c r="AB148" t="s">
        <v>67</v>
      </c>
    </row>
    <row r="149" spans="8:28">
      <c r="H149" s="113">
        <v>44043</v>
      </c>
      <c r="I149" s="114" t="s">
        <v>19</v>
      </c>
      <c r="J149" s="114">
        <v>5394.18</v>
      </c>
      <c r="K149" s="114">
        <v>323.64999999999998</v>
      </c>
      <c r="L149" s="114">
        <v>5717.83</v>
      </c>
      <c r="M149" s="114">
        <v>6353.1499999999724</v>
      </c>
      <c r="N149" s="114" t="s">
        <v>520</v>
      </c>
      <c r="O149" s="115" t="s">
        <v>513</v>
      </c>
      <c r="P149">
        <v>202007</v>
      </c>
      <c r="Q149" t="s">
        <v>67</v>
      </c>
      <c r="S149" s="107">
        <v>44196</v>
      </c>
      <c r="T149" s="98" t="s">
        <v>19</v>
      </c>
      <c r="U149" s="98">
        <v>4065.89</v>
      </c>
      <c r="V149" s="98">
        <v>243.95</v>
      </c>
      <c r="W149" s="98">
        <v>4309.8500000000004</v>
      </c>
      <c r="X149" s="98">
        <v>4788.7200000000157</v>
      </c>
      <c r="Y149" s="98" t="s">
        <v>504</v>
      </c>
      <c r="Z149" t="s">
        <v>517</v>
      </c>
      <c r="AA149">
        <v>202012</v>
      </c>
      <c r="AB149" t="s">
        <v>67</v>
      </c>
    </row>
    <row r="150" spans="8:28">
      <c r="H150" s="113">
        <v>44043</v>
      </c>
      <c r="I150" s="114" t="s">
        <v>19</v>
      </c>
      <c r="J150" s="114">
        <v>2101.65</v>
      </c>
      <c r="K150" s="114">
        <v>126.1</v>
      </c>
      <c r="L150" s="114">
        <v>2227.75</v>
      </c>
      <c r="M150" s="114">
        <v>2475.2799999999997</v>
      </c>
      <c r="N150" s="114" t="s">
        <v>521</v>
      </c>
      <c r="O150" s="115" t="s">
        <v>527</v>
      </c>
      <c r="P150">
        <v>202007</v>
      </c>
      <c r="Q150" t="s">
        <v>67</v>
      </c>
      <c r="S150" s="107">
        <v>44196</v>
      </c>
      <c r="T150" s="98" t="s">
        <v>19</v>
      </c>
      <c r="U150" s="98">
        <v>312977.21999999997</v>
      </c>
      <c r="V150" s="98">
        <v>18778.630000000005</v>
      </c>
      <c r="W150" s="98">
        <v>331755.84999999998</v>
      </c>
      <c r="X150" s="98">
        <v>368617.61000000028</v>
      </c>
      <c r="Y150" s="98" t="s">
        <v>505</v>
      </c>
      <c r="Z150" t="s">
        <v>65</v>
      </c>
      <c r="AA150">
        <v>202012</v>
      </c>
      <c r="AB150" t="s">
        <v>67</v>
      </c>
    </row>
    <row r="151" spans="8:28">
      <c r="H151" s="113">
        <v>44043</v>
      </c>
      <c r="I151" s="114" t="s">
        <v>19</v>
      </c>
      <c r="J151" s="114">
        <v>303472.98</v>
      </c>
      <c r="K151" s="114">
        <v>18208.380000000005</v>
      </c>
      <c r="L151" s="114">
        <v>321681.36</v>
      </c>
      <c r="M151" s="114">
        <v>357423.73000000027</v>
      </c>
      <c r="N151" s="114" t="s">
        <v>522</v>
      </c>
      <c r="O151" s="115" t="s">
        <v>65</v>
      </c>
      <c r="P151">
        <v>202007</v>
      </c>
      <c r="Q151" t="s">
        <v>67</v>
      </c>
      <c r="S151" s="107">
        <v>44196</v>
      </c>
      <c r="T151" s="98" t="s">
        <v>19</v>
      </c>
      <c r="U151" s="98">
        <v>42837.82</v>
      </c>
      <c r="V151" s="98">
        <v>2570.2699999999968</v>
      </c>
      <c r="W151" s="98">
        <v>45408.09</v>
      </c>
      <c r="X151" s="98">
        <v>50453.430000000088</v>
      </c>
      <c r="Y151" s="98" t="s">
        <v>506</v>
      </c>
      <c r="Z151" t="s">
        <v>74</v>
      </c>
      <c r="AA151">
        <v>202012</v>
      </c>
      <c r="AB151" t="s">
        <v>67</v>
      </c>
    </row>
    <row r="152" spans="8:28">
      <c r="H152" s="113">
        <v>44043</v>
      </c>
      <c r="I152" s="114" t="s">
        <v>19</v>
      </c>
      <c r="J152" s="114">
        <v>77991.05</v>
      </c>
      <c r="K152" s="114">
        <v>4679.4700000000012</v>
      </c>
      <c r="L152" s="114">
        <v>82670.52</v>
      </c>
      <c r="M152" s="114">
        <v>91856.130000000165</v>
      </c>
      <c r="N152" s="114" t="s">
        <v>523</v>
      </c>
      <c r="O152" s="115" t="s">
        <v>74</v>
      </c>
      <c r="P152">
        <v>202007</v>
      </c>
      <c r="Q152" t="s">
        <v>67</v>
      </c>
      <c r="S152" s="107">
        <v>44196</v>
      </c>
      <c r="T152" s="98" t="s">
        <v>19</v>
      </c>
      <c r="U152" s="98">
        <v>14401.01</v>
      </c>
      <c r="V152" s="98">
        <v>864.06</v>
      </c>
      <c r="W152" s="98">
        <v>15265.07</v>
      </c>
      <c r="X152" s="98">
        <v>16961.189999999937</v>
      </c>
      <c r="Y152" s="98" t="s">
        <v>507</v>
      </c>
      <c r="Z152" t="s">
        <v>72</v>
      </c>
      <c r="AA152">
        <v>202012</v>
      </c>
      <c r="AB152" t="s">
        <v>67</v>
      </c>
    </row>
    <row r="153" spans="8:28">
      <c r="H153" s="113">
        <v>44043</v>
      </c>
      <c r="I153" s="114" t="s">
        <v>19</v>
      </c>
      <c r="J153" s="114">
        <v>27356.959999999999</v>
      </c>
      <c r="K153" s="114">
        <v>1641.42</v>
      </c>
      <c r="L153" s="114">
        <v>28998.38</v>
      </c>
      <c r="M153" s="114">
        <v>32220.419999999889</v>
      </c>
      <c r="N153" s="114" t="s">
        <v>524</v>
      </c>
      <c r="O153" s="115" t="s">
        <v>72</v>
      </c>
      <c r="P153">
        <v>202007</v>
      </c>
      <c r="Q153" t="s">
        <v>67</v>
      </c>
      <c r="S153" s="107">
        <v>44196</v>
      </c>
      <c r="T153" s="98" t="s">
        <v>19</v>
      </c>
      <c r="U153" s="98">
        <v>369809.91999999998</v>
      </c>
      <c r="V153" s="98">
        <v>22188.59</v>
      </c>
      <c r="W153" s="98">
        <v>391998.51</v>
      </c>
      <c r="X153" s="98">
        <v>435553.89999999979</v>
      </c>
      <c r="Y153" s="98" t="s">
        <v>508</v>
      </c>
      <c r="Z153" t="s">
        <v>516</v>
      </c>
      <c r="AA153">
        <v>202012</v>
      </c>
      <c r="AB153" t="s">
        <v>13</v>
      </c>
    </row>
    <row r="154" spans="8:28">
      <c r="H154" s="113">
        <v>44043</v>
      </c>
      <c r="I154" s="114" t="s">
        <v>19</v>
      </c>
      <c r="J154" s="114">
        <v>134149.68</v>
      </c>
      <c r="K154" s="114">
        <v>8048.98</v>
      </c>
      <c r="L154" s="114">
        <v>142198.66</v>
      </c>
      <c r="M154" s="114">
        <v>157998.51</v>
      </c>
      <c r="N154" s="114" t="s">
        <v>525</v>
      </c>
      <c r="O154" s="115" t="s">
        <v>543</v>
      </c>
      <c r="P154">
        <v>202007</v>
      </c>
      <c r="Q154" t="s">
        <v>544</v>
      </c>
      <c r="S154" s="107">
        <v>44196</v>
      </c>
      <c r="T154" s="98" t="s">
        <v>19</v>
      </c>
      <c r="U154" s="98">
        <v>136427.85999999999</v>
      </c>
      <c r="V154" s="98">
        <v>8185.66</v>
      </c>
      <c r="W154" s="98">
        <v>144613.53</v>
      </c>
      <c r="X154" s="98">
        <v>160681.70000000004</v>
      </c>
      <c r="Y154" s="98" t="s">
        <v>509</v>
      </c>
      <c r="Z154" t="s">
        <v>526</v>
      </c>
      <c r="AA154">
        <v>202012</v>
      </c>
      <c r="AB154" t="s">
        <v>510</v>
      </c>
    </row>
    <row r="155" spans="8:28">
      <c r="H155" s="6">
        <v>44196</v>
      </c>
      <c r="J155" s="25">
        <v>136427.85999999999</v>
      </c>
      <c r="N155" t="s">
        <v>528</v>
      </c>
      <c r="O155" t="s">
        <v>516</v>
      </c>
      <c r="P155">
        <v>202012</v>
      </c>
      <c r="Q155" s="77" t="s">
        <v>546</v>
      </c>
    </row>
    <row r="156" spans="8:28">
      <c r="H156" s="6">
        <v>44196</v>
      </c>
      <c r="J156" s="25">
        <v>14401.01</v>
      </c>
      <c r="N156" t="s">
        <v>529</v>
      </c>
      <c r="O156" t="s">
        <v>72</v>
      </c>
      <c r="P156">
        <v>202012</v>
      </c>
      <c r="Q156" t="s">
        <v>67</v>
      </c>
    </row>
    <row r="157" spans="8:28">
      <c r="H157" s="6">
        <v>44196</v>
      </c>
      <c r="J157" s="25">
        <v>42837.82</v>
      </c>
      <c r="N157" t="s">
        <v>530</v>
      </c>
      <c r="O157" t="s">
        <v>74</v>
      </c>
      <c r="P157">
        <v>202012</v>
      </c>
      <c r="Q157" t="s">
        <v>67</v>
      </c>
    </row>
    <row r="158" spans="8:28">
      <c r="H158" s="6">
        <v>44196</v>
      </c>
      <c r="J158" s="25">
        <v>312977.21999999997</v>
      </c>
      <c r="N158" t="s">
        <v>531</v>
      </c>
      <c r="O158" t="s">
        <v>65</v>
      </c>
      <c r="P158">
        <v>202012</v>
      </c>
      <c r="Q158" t="s">
        <v>67</v>
      </c>
    </row>
    <row r="159" spans="8:28">
      <c r="H159" s="6">
        <v>44196</v>
      </c>
      <c r="J159" s="25">
        <v>4065.89</v>
      </c>
      <c r="N159" t="s">
        <v>532</v>
      </c>
      <c r="O159" t="s">
        <v>545</v>
      </c>
      <c r="P159">
        <v>202012</v>
      </c>
      <c r="Q159" t="s">
        <v>67</v>
      </c>
    </row>
    <row r="160" spans="8:28">
      <c r="H160" s="6">
        <v>44196</v>
      </c>
      <c r="J160" s="25">
        <v>12905.28</v>
      </c>
      <c r="N160" t="s">
        <v>533</v>
      </c>
      <c r="O160" t="s">
        <v>513</v>
      </c>
      <c r="P160">
        <v>202012</v>
      </c>
      <c r="Q160" t="s">
        <v>67</v>
      </c>
    </row>
    <row r="161" spans="8:17">
      <c r="H161" s="6">
        <v>44196</v>
      </c>
      <c r="J161" s="25">
        <v>38897</v>
      </c>
      <c r="N161" t="s">
        <v>534</v>
      </c>
      <c r="O161" t="s">
        <v>512</v>
      </c>
      <c r="P161">
        <v>202012</v>
      </c>
      <c r="Q161" t="s">
        <v>67</v>
      </c>
    </row>
    <row r="162" spans="8:17">
      <c r="H162" s="6">
        <v>44196</v>
      </c>
      <c r="J162" s="25">
        <v>369809.91999999998</v>
      </c>
      <c r="N162" t="s">
        <v>535</v>
      </c>
      <c r="O162" t="s">
        <v>516</v>
      </c>
      <c r="P162">
        <v>202012</v>
      </c>
      <c r="Q162" t="s">
        <v>13</v>
      </c>
    </row>
    <row r="163" spans="8:17">
      <c r="H163" s="6">
        <v>44196</v>
      </c>
      <c r="J163" s="25">
        <v>-369809.91999999998</v>
      </c>
      <c r="N163" t="s">
        <v>535</v>
      </c>
      <c r="O163" t="s">
        <v>516</v>
      </c>
      <c r="P163">
        <v>202012</v>
      </c>
      <c r="Q163" t="s">
        <v>13</v>
      </c>
    </row>
    <row r="164" spans="8:17">
      <c r="H164" s="6">
        <v>44196</v>
      </c>
      <c r="J164" s="25">
        <v>-6627.68</v>
      </c>
      <c r="N164" t="s">
        <v>536</v>
      </c>
      <c r="O164" t="s">
        <v>516</v>
      </c>
      <c r="P164">
        <v>202012</v>
      </c>
      <c r="Q164" s="77" t="s">
        <v>547</v>
      </c>
    </row>
    <row r="165" spans="8:17">
      <c r="H165" s="6">
        <v>44196</v>
      </c>
      <c r="J165" s="25">
        <v>4968.3100000000004</v>
      </c>
      <c r="N165" t="s">
        <v>537</v>
      </c>
      <c r="O165" t="s">
        <v>72</v>
      </c>
      <c r="P165">
        <v>202012</v>
      </c>
      <c r="Q165" t="s">
        <v>67</v>
      </c>
    </row>
    <row r="166" spans="8:17">
      <c r="H166" s="6">
        <v>44196</v>
      </c>
      <c r="J166" s="25">
        <v>14273.97</v>
      </c>
      <c r="N166" t="s">
        <v>538</v>
      </c>
      <c r="O166" t="s">
        <v>74</v>
      </c>
      <c r="P166">
        <v>202012</v>
      </c>
      <c r="Q166" t="s">
        <v>67</v>
      </c>
    </row>
    <row r="167" spans="8:17">
      <c r="H167" s="6">
        <v>44196</v>
      </c>
      <c r="J167" s="25">
        <v>114006.35</v>
      </c>
      <c r="N167" t="s">
        <v>539</v>
      </c>
      <c r="O167" t="s">
        <v>65</v>
      </c>
      <c r="P167">
        <v>202012</v>
      </c>
      <c r="Q167" t="s">
        <v>67</v>
      </c>
    </row>
    <row r="168" spans="8:17">
      <c r="H168" s="6">
        <v>44196</v>
      </c>
      <c r="J168" s="25">
        <v>1528.81</v>
      </c>
      <c r="N168" t="s">
        <v>540</v>
      </c>
      <c r="O168" t="s">
        <v>545</v>
      </c>
      <c r="P168">
        <v>202012</v>
      </c>
      <c r="Q168" t="s">
        <v>67</v>
      </c>
    </row>
    <row r="169" spans="8:17">
      <c r="H169" s="6">
        <v>44196</v>
      </c>
      <c r="J169" s="25">
        <v>4647.59</v>
      </c>
      <c r="N169" t="s">
        <v>541</v>
      </c>
      <c r="O169" t="s">
        <v>513</v>
      </c>
      <c r="P169">
        <v>202012</v>
      </c>
      <c r="Q169" t="s">
        <v>67</v>
      </c>
    </row>
    <row r="170" spans="8:17">
      <c r="H170" s="6">
        <v>44196</v>
      </c>
      <c r="J170" s="25">
        <v>17226.91</v>
      </c>
      <c r="N170" t="s">
        <v>542</v>
      </c>
      <c r="O170" t="s">
        <v>581</v>
      </c>
      <c r="P170">
        <v>202012</v>
      </c>
      <c r="Q170" t="s">
        <v>580</v>
      </c>
    </row>
    <row r="171" spans="8:17">
      <c r="H171" s="6">
        <v>44227</v>
      </c>
      <c r="I171" t="s">
        <v>19</v>
      </c>
      <c r="J171" s="25">
        <v>38669.769999999997</v>
      </c>
      <c r="K171">
        <v>2320.19</v>
      </c>
      <c r="L171">
        <v>40989.949999999997</v>
      </c>
      <c r="M171">
        <v>45544.389999999919</v>
      </c>
      <c r="N171" t="s">
        <v>553</v>
      </c>
      <c r="O171" t="s">
        <v>512</v>
      </c>
      <c r="P171">
        <v>202101</v>
      </c>
      <c r="Q171" t="s">
        <v>67</v>
      </c>
    </row>
    <row r="172" spans="8:17">
      <c r="H172" s="6">
        <v>44227</v>
      </c>
      <c r="I172" t="s">
        <v>19</v>
      </c>
      <c r="J172" s="25">
        <v>8967.15</v>
      </c>
      <c r="K172">
        <v>538.03</v>
      </c>
      <c r="L172">
        <v>9505.18</v>
      </c>
      <c r="M172">
        <v>10561.310000000032</v>
      </c>
      <c r="N172" t="s">
        <v>554</v>
      </c>
      <c r="O172" t="s">
        <v>513</v>
      </c>
      <c r="P172">
        <v>202101</v>
      </c>
      <c r="Q172" t="s">
        <v>67</v>
      </c>
    </row>
    <row r="173" spans="8:17">
      <c r="H173" s="6">
        <v>44227</v>
      </c>
      <c r="I173" t="s">
        <v>19</v>
      </c>
      <c r="J173" s="25">
        <v>2795.65</v>
      </c>
      <c r="K173">
        <v>167.74</v>
      </c>
      <c r="L173">
        <v>2963.38</v>
      </c>
      <c r="M173">
        <v>3292.6499999999887</v>
      </c>
      <c r="N173" t="s">
        <v>555</v>
      </c>
      <c r="O173" t="s">
        <v>582</v>
      </c>
      <c r="P173">
        <v>202101</v>
      </c>
      <c r="Q173" t="s">
        <v>67</v>
      </c>
    </row>
    <row r="174" spans="8:17">
      <c r="H174" s="6">
        <v>44227</v>
      </c>
      <c r="I174" t="s">
        <v>19</v>
      </c>
      <c r="J174" s="25">
        <v>202912.75</v>
      </c>
      <c r="K174">
        <v>12174.76999999999</v>
      </c>
      <c r="L174">
        <v>215087.52</v>
      </c>
      <c r="M174">
        <v>238986.12999999977</v>
      </c>
      <c r="N174" t="s">
        <v>556</v>
      </c>
      <c r="O174" t="s">
        <v>65</v>
      </c>
      <c r="P174">
        <v>202101</v>
      </c>
      <c r="Q174" t="s">
        <v>67</v>
      </c>
    </row>
    <row r="175" spans="8:17">
      <c r="H175" s="6">
        <v>44227</v>
      </c>
      <c r="I175" t="s">
        <v>19</v>
      </c>
      <c r="J175" s="25">
        <v>22997.43</v>
      </c>
      <c r="K175">
        <v>1379.8400000000001</v>
      </c>
      <c r="L175">
        <v>24377.27</v>
      </c>
      <c r="M175">
        <v>27085.860000000062</v>
      </c>
      <c r="N175" t="s">
        <v>557</v>
      </c>
      <c r="O175" t="s">
        <v>74</v>
      </c>
      <c r="P175">
        <v>202101</v>
      </c>
      <c r="Q175" t="s">
        <v>67</v>
      </c>
    </row>
    <row r="176" spans="8:17">
      <c r="H176" s="6">
        <v>44227</v>
      </c>
      <c r="I176" t="s">
        <v>19</v>
      </c>
      <c r="J176" s="25">
        <v>8570.7900000000009</v>
      </c>
      <c r="K176">
        <v>514.25</v>
      </c>
      <c r="L176">
        <v>9085.0400000000009</v>
      </c>
      <c r="M176">
        <v>10094.490000000009</v>
      </c>
      <c r="N176" t="s">
        <v>558</v>
      </c>
      <c r="O176" t="s">
        <v>72</v>
      </c>
      <c r="P176">
        <v>202101</v>
      </c>
      <c r="Q176" t="s">
        <v>67</v>
      </c>
    </row>
    <row r="177" spans="8:17">
      <c r="H177" s="6">
        <v>44227</v>
      </c>
      <c r="I177" t="s">
        <v>19</v>
      </c>
      <c r="J177" s="25">
        <v>138368.32000000001</v>
      </c>
      <c r="K177">
        <v>8302.1</v>
      </c>
      <c r="L177">
        <v>146670.42000000001</v>
      </c>
      <c r="M177">
        <v>162967.12999999989</v>
      </c>
      <c r="N177" t="s">
        <v>559</v>
      </c>
      <c r="O177" t="s">
        <v>516</v>
      </c>
      <c r="P177">
        <v>202101</v>
      </c>
      <c r="Q177" t="s">
        <v>67</v>
      </c>
    </row>
    <row r="178" spans="8:17">
      <c r="H178" s="6">
        <v>44255</v>
      </c>
      <c r="J178" s="98">
        <v>78458.070000000007</v>
      </c>
      <c r="K178" s="98">
        <v>4707.4799999999996</v>
      </c>
      <c r="L178" s="98">
        <v>83165.55</v>
      </c>
      <c r="M178" s="98">
        <v>92406.170000000275</v>
      </c>
      <c r="N178" s="98" t="s">
        <v>565</v>
      </c>
      <c r="O178" t="s">
        <v>512</v>
      </c>
      <c r="P178">
        <v>202102</v>
      </c>
      <c r="Q178" t="s">
        <v>67</v>
      </c>
    </row>
    <row r="179" spans="8:17">
      <c r="H179" s="6">
        <v>44255</v>
      </c>
      <c r="J179" s="98">
        <v>16280.26</v>
      </c>
      <c r="K179" s="98">
        <v>976.82</v>
      </c>
      <c r="L179" s="98">
        <v>17257.080000000002</v>
      </c>
      <c r="M179" s="98">
        <v>19174.530000000083</v>
      </c>
      <c r="N179" s="98" t="s">
        <v>566</v>
      </c>
      <c r="O179" t="s">
        <v>513</v>
      </c>
      <c r="P179">
        <v>202102</v>
      </c>
      <c r="Q179" t="s">
        <v>67</v>
      </c>
    </row>
    <row r="180" spans="8:17">
      <c r="H180" s="6">
        <v>44255</v>
      </c>
      <c r="J180" s="98">
        <v>4343.3100000000004</v>
      </c>
      <c r="K180" s="98">
        <v>260.60000000000002</v>
      </c>
      <c r="L180" s="98">
        <v>4603.8999999999996</v>
      </c>
      <c r="M180" s="98">
        <v>5115.4499999999816</v>
      </c>
      <c r="N180" s="98" t="s">
        <v>567</v>
      </c>
      <c r="O180" t="s">
        <v>582</v>
      </c>
      <c r="P180">
        <v>202102</v>
      </c>
      <c r="Q180" t="s">
        <v>67</v>
      </c>
    </row>
    <row r="181" spans="8:17">
      <c r="H181" s="6">
        <v>44255</v>
      </c>
      <c r="J181" s="98">
        <v>315535.19</v>
      </c>
      <c r="K181" s="98">
        <v>18932.109999999986</v>
      </c>
      <c r="L181" s="98">
        <v>334467.3</v>
      </c>
      <c r="M181" s="98">
        <v>371630.33000000089</v>
      </c>
      <c r="N181" s="98" t="s">
        <v>568</v>
      </c>
      <c r="O181" t="s">
        <v>65</v>
      </c>
      <c r="P181">
        <v>202102</v>
      </c>
      <c r="Q181" t="s">
        <v>67</v>
      </c>
    </row>
    <row r="182" spans="8:17">
      <c r="H182" s="6">
        <v>44255</v>
      </c>
      <c r="J182" s="98">
        <v>29843.08</v>
      </c>
      <c r="K182" s="98">
        <v>1790.5899999999965</v>
      </c>
      <c r="L182" s="98">
        <v>31633.67</v>
      </c>
      <c r="M182" s="98">
        <v>35148.520000000128</v>
      </c>
      <c r="N182" s="98" t="s">
        <v>569</v>
      </c>
      <c r="O182" t="s">
        <v>74</v>
      </c>
      <c r="P182">
        <v>202102</v>
      </c>
      <c r="Q182" t="s">
        <v>67</v>
      </c>
    </row>
    <row r="183" spans="8:17">
      <c r="H183" s="6">
        <v>44255</v>
      </c>
      <c r="J183" s="98">
        <v>12001.94</v>
      </c>
      <c r="K183" s="98">
        <v>720.12</v>
      </c>
      <c r="L183" s="98">
        <v>12722.06</v>
      </c>
      <c r="M183" s="98">
        <v>14135.620000000101</v>
      </c>
      <c r="N183" s="98" t="s">
        <v>570</v>
      </c>
      <c r="O183" t="s">
        <v>72</v>
      </c>
      <c r="P183">
        <v>202102</v>
      </c>
      <c r="Q183" t="s">
        <v>67</v>
      </c>
    </row>
    <row r="184" spans="8:17">
      <c r="H184" s="6">
        <v>44255</v>
      </c>
      <c r="J184" s="98">
        <v>76484.490000000005</v>
      </c>
      <c r="K184" s="98">
        <v>4589.07</v>
      </c>
      <c r="L184" s="98">
        <v>81073.56</v>
      </c>
      <c r="M184" s="98">
        <v>90081.730000000025</v>
      </c>
      <c r="N184" s="98" t="s">
        <v>571</v>
      </c>
      <c r="O184" t="s">
        <v>516</v>
      </c>
      <c r="P184">
        <v>202102</v>
      </c>
      <c r="Q184" t="s">
        <v>67</v>
      </c>
    </row>
    <row r="185" spans="8:17">
      <c r="H185" s="107">
        <v>44286</v>
      </c>
      <c r="I185" s="98" t="s">
        <v>19</v>
      </c>
      <c r="J185" s="98">
        <v>86141.28</v>
      </c>
      <c r="K185" s="98">
        <v>5168.4799999999996</v>
      </c>
      <c r="L185" s="98">
        <v>91309.75</v>
      </c>
      <c r="M185" s="98">
        <v>101455.27999999982</v>
      </c>
      <c r="N185" s="98" t="s">
        <v>572</v>
      </c>
      <c r="O185" t="s">
        <v>512</v>
      </c>
      <c r="P185">
        <v>202103</v>
      </c>
      <c r="Q185" t="s">
        <v>67</v>
      </c>
    </row>
    <row r="186" spans="8:17">
      <c r="H186" s="107">
        <v>44286</v>
      </c>
      <c r="I186" s="98" t="s">
        <v>19</v>
      </c>
      <c r="J186" s="98">
        <v>21807.25</v>
      </c>
      <c r="K186" s="98">
        <v>1308.43</v>
      </c>
      <c r="L186" s="98">
        <v>23115.68</v>
      </c>
      <c r="M186" s="98">
        <v>25684.090000000058</v>
      </c>
      <c r="N186" s="98" t="s">
        <v>573</v>
      </c>
      <c r="O186" t="s">
        <v>513</v>
      </c>
      <c r="P186">
        <v>202103</v>
      </c>
      <c r="Q186" t="s">
        <v>67</v>
      </c>
    </row>
    <row r="187" spans="8:17">
      <c r="H187" s="107">
        <v>44286</v>
      </c>
      <c r="I187" s="98" t="s">
        <v>19</v>
      </c>
      <c r="J187" s="98">
        <v>3837.58</v>
      </c>
      <c r="K187" s="98">
        <v>230.26</v>
      </c>
      <c r="L187" s="98">
        <v>4067.84</v>
      </c>
      <c r="M187" s="98">
        <v>4519.819999999987</v>
      </c>
      <c r="N187" s="98" t="s">
        <v>574</v>
      </c>
      <c r="O187" t="s">
        <v>582</v>
      </c>
      <c r="P187">
        <v>202103</v>
      </c>
      <c r="Q187" t="s">
        <v>67</v>
      </c>
    </row>
    <row r="188" spans="8:17">
      <c r="H188" s="107">
        <v>44286</v>
      </c>
      <c r="I188" s="98" t="s">
        <v>19</v>
      </c>
      <c r="J188" s="98">
        <v>277593.55</v>
      </c>
      <c r="K188" s="98">
        <v>16655.619999999995</v>
      </c>
      <c r="L188" s="98">
        <v>294249.17</v>
      </c>
      <c r="M188" s="98">
        <v>326943.5199999999</v>
      </c>
      <c r="N188" s="98" t="s">
        <v>575</v>
      </c>
      <c r="O188" t="s">
        <v>65</v>
      </c>
      <c r="P188">
        <v>202103</v>
      </c>
      <c r="Q188" t="s">
        <v>67</v>
      </c>
    </row>
    <row r="189" spans="8:17">
      <c r="H189" s="107">
        <v>44286</v>
      </c>
      <c r="I189" s="98" t="s">
        <v>19</v>
      </c>
      <c r="J189" s="98">
        <v>21582.23</v>
      </c>
      <c r="K189" s="98">
        <v>1294.9300000000003</v>
      </c>
      <c r="L189" s="98">
        <v>22877.16</v>
      </c>
      <c r="M189" s="98">
        <v>25419.070000000036</v>
      </c>
      <c r="N189" s="98" t="s">
        <v>576</v>
      </c>
      <c r="O189" t="s">
        <v>74</v>
      </c>
      <c r="P189">
        <v>202103</v>
      </c>
      <c r="Q189" t="s">
        <v>67</v>
      </c>
    </row>
    <row r="190" spans="8:17">
      <c r="H190" s="107">
        <v>44286</v>
      </c>
      <c r="I190" s="98" t="s">
        <v>19</v>
      </c>
      <c r="J190" s="98">
        <v>9791.2199999999993</v>
      </c>
      <c r="K190" s="98">
        <v>587.47</v>
      </c>
      <c r="L190" s="98">
        <v>10378.69</v>
      </c>
      <c r="M190" s="98">
        <v>11531.880000000054</v>
      </c>
      <c r="N190" s="98" t="s">
        <v>577</v>
      </c>
      <c r="O190" t="s">
        <v>72</v>
      </c>
      <c r="P190">
        <v>202103</v>
      </c>
      <c r="Q190" t="s">
        <v>67</v>
      </c>
    </row>
    <row r="191" spans="8:17">
      <c r="H191" s="107">
        <v>44286</v>
      </c>
      <c r="I191" s="98" t="s">
        <v>19</v>
      </c>
      <c r="J191" s="98">
        <v>237535.37</v>
      </c>
      <c r="K191" s="98">
        <v>14252.12</v>
      </c>
      <c r="L191" s="98">
        <v>251787.49</v>
      </c>
      <c r="M191" s="98">
        <v>279763.88</v>
      </c>
      <c r="N191" s="98" t="s">
        <v>578</v>
      </c>
      <c r="O191" s="77" t="s">
        <v>583</v>
      </c>
      <c r="P191">
        <v>202103</v>
      </c>
      <c r="Q191" t="s">
        <v>67</v>
      </c>
    </row>
    <row r="192" spans="8:17">
      <c r="H192" s="107">
        <v>44286</v>
      </c>
      <c r="I192" s="98" t="s">
        <v>19</v>
      </c>
      <c r="J192" s="98">
        <v>80660.44</v>
      </c>
      <c r="K192" s="98">
        <v>4839.63</v>
      </c>
      <c r="L192" s="98">
        <v>85500.06</v>
      </c>
      <c r="M192" s="98">
        <v>95000.070000000065</v>
      </c>
      <c r="N192" s="98" t="s">
        <v>579</v>
      </c>
      <c r="O192" t="s">
        <v>516</v>
      </c>
      <c r="P192">
        <v>202103</v>
      </c>
      <c r="Q192" t="s">
        <v>67</v>
      </c>
    </row>
  </sheetData>
  <autoFilter ref="H1:R44"/>
  <phoneticPr fontId="1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sqref="A1:E7"/>
    </sheetView>
  </sheetViews>
  <sheetFormatPr defaultColWidth="9" defaultRowHeight="13.8"/>
  <cols>
    <col min="1" max="1" width="11.21875" customWidth="1"/>
    <col min="4" max="4" width="20.33203125" customWidth="1"/>
    <col min="5" max="5" width="11.6640625" customWidth="1"/>
  </cols>
  <sheetData>
    <row r="1" spans="1:5" ht="18.600000000000001">
      <c r="A1" t="s">
        <v>0</v>
      </c>
      <c r="B1" s="7" t="s">
        <v>59</v>
      </c>
      <c r="C1" s="20" t="s">
        <v>10</v>
      </c>
      <c r="D1" s="20" t="s">
        <v>62</v>
      </c>
      <c r="E1" t="s">
        <v>36</v>
      </c>
    </row>
    <row r="2" spans="1:5" ht="18.600000000000001">
      <c r="A2" s="6">
        <v>43220</v>
      </c>
      <c r="B2" s="7" t="s">
        <v>19</v>
      </c>
      <c r="C2" s="20">
        <v>4340</v>
      </c>
      <c r="D2" s="23">
        <v>1722960.59</v>
      </c>
    </row>
    <row r="3" spans="1:5" ht="18.600000000000001">
      <c r="A3" s="6">
        <v>43404</v>
      </c>
      <c r="B3" s="7" t="s">
        <v>19</v>
      </c>
      <c r="C3" s="20">
        <v>4340</v>
      </c>
      <c r="D3" s="23">
        <v>1049335.54</v>
      </c>
      <c r="E3" t="s">
        <v>108</v>
      </c>
    </row>
    <row r="4" spans="1:5" ht="18.600000000000001">
      <c r="A4" s="6">
        <v>43404</v>
      </c>
      <c r="B4" s="7" t="s">
        <v>19</v>
      </c>
      <c r="C4" s="20">
        <v>4340</v>
      </c>
      <c r="D4" s="23">
        <v>1613297.79</v>
      </c>
      <c r="E4" t="s">
        <v>109</v>
      </c>
    </row>
    <row r="5" spans="1:5" ht="18.600000000000001">
      <c r="A5" s="6">
        <v>43434</v>
      </c>
      <c r="B5" s="7" t="s">
        <v>19</v>
      </c>
      <c r="C5" s="20">
        <v>4340</v>
      </c>
      <c r="D5" s="23">
        <v>784335.8</v>
      </c>
      <c r="E5" s="24">
        <v>43374</v>
      </c>
    </row>
    <row r="6" spans="1:5" ht="18.600000000000001">
      <c r="A6" s="6">
        <v>43465</v>
      </c>
      <c r="B6" s="7" t="s">
        <v>19</v>
      </c>
      <c r="C6" s="20">
        <v>4340</v>
      </c>
      <c r="D6" s="23">
        <v>61890.46</v>
      </c>
      <c r="E6" s="24">
        <v>43406</v>
      </c>
    </row>
    <row r="7" spans="1:5" ht="18.600000000000001">
      <c r="A7" s="6">
        <v>43465</v>
      </c>
      <c r="B7" s="7" t="s">
        <v>19</v>
      </c>
      <c r="C7" s="20">
        <v>4340</v>
      </c>
      <c r="D7" s="23">
        <v>248780.82</v>
      </c>
      <c r="E7" s="24">
        <v>43437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1"/>
  <sheetViews>
    <sheetView topLeftCell="G14" workbookViewId="0">
      <selection activeCell="I42" sqref="I42"/>
    </sheetView>
  </sheetViews>
  <sheetFormatPr defaultColWidth="9" defaultRowHeight="13.8"/>
  <cols>
    <col min="1" max="1" width="11.21875" customWidth="1"/>
    <col min="4" max="4" width="17.5546875" customWidth="1"/>
    <col min="9" max="9" width="11.6640625" customWidth="1"/>
    <col min="10" max="10" width="17.5546875" customWidth="1"/>
    <col min="11" max="11" width="14.77734375" customWidth="1"/>
    <col min="12" max="12" width="16.21875" customWidth="1"/>
    <col min="13" max="13" width="17.5546875" customWidth="1"/>
    <col min="14" max="14" width="20.33203125" customWidth="1"/>
    <col min="15" max="15" width="11.88671875" customWidth="1"/>
    <col min="17" max="17" width="14.77734375" customWidth="1"/>
    <col min="19" max="19" width="17.5546875" customWidth="1"/>
    <col min="23" max="23" width="11.88671875" customWidth="1"/>
  </cols>
  <sheetData>
    <row r="1" spans="1:23" ht="17.399999999999999" customHeight="1">
      <c r="A1" t="s">
        <v>0</v>
      </c>
      <c r="B1" s="7" t="s">
        <v>11</v>
      </c>
      <c r="C1" s="7" t="s">
        <v>110</v>
      </c>
      <c r="D1" s="7" t="s">
        <v>111</v>
      </c>
      <c r="I1" t="s">
        <v>112</v>
      </c>
      <c r="J1" s="119" t="s">
        <v>113</v>
      </c>
      <c r="K1" s="119"/>
      <c r="L1" s="119"/>
      <c r="M1" s="119"/>
      <c r="N1" s="119" t="s">
        <v>114</v>
      </c>
      <c r="O1" s="119"/>
      <c r="P1" s="119"/>
      <c r="Q1" s="119"/>
      <c r="R1" s="119"/>
      <c r="S1" s="119"/>
      <c r="T1" s="120" t="s">
        <v>115</v>
      </c>
      <c r="U1" s="120"/>
      <c r="V1" s="120"/>
      <c r="W1" s="120"/>
    </row>
    <row r="2" spans="1:23" ht="18">
      <c r="A2" s="6">
        <v>43220</v>
      </c>
      <c r="B2" s="7" t="s">
        <v>19</v>
      </c>
      <c r="C2" s="7">
        <v>4340</v>
      </c>
      <c r="D2" s="7">
        <v>6125.14</v>
      </c>
      <c r="J2" s="8" t="s">
        <v>11</v>
      </c>
      <c r="K2" s="8" t="s">
        <v>14</v>
      </c>
      <c r="L2" s="8" t="s">
        <v>16</v>
      </c>
      <c r="M2" s="8" t="s">
        <v>111</v>
      </c>
      <c r="N2" s="8" t="s">
        <v>11</v>
      </c>
      <c r="O2" s="8" t="s">
        <v>110</v>
      </c>
      <c r="P2" s="12" t="s">
        <v>116</v>
      </c>
      <c r="Q2" s="8" t="s">
        <v>14</v>
      </c>
      <c r="R2" s="8" t="s">
        <v>16</v>
      </c>
      <c r="S2" s="8" t="s">
        <v>111</v>
      </c>
      <c r="T2" s="8" t="s">
        <v>11</v>
      </c>
      <c r="U2" s="8" t="s">
        <v>110</v>
      </c>
      <c r="V2" s="12" t="s">
        <v>116</v>
      </c>
      <c r="W2" s="12" t="s">
        <v>117</v>
      </c>
    </row>
    <row r="3" spans="1:23" ht="18">
      <c r="A3" s="6">
        <v>43251</v>
      </c>
      <c r="B3" s="7" t="s">
        <v>19</v>
      </c>
      <c r="C3" s="7">
        <v>4340</v>
      </c>
      <c r="D3" s="7">
        <v>7328.43</v>
      </c>
      <c r="J3" s="9" t="s">
        <v>118</v>
      </c>
      <c r="K3" s="11">
        <v>51922.33</v>
      </c>
      <c r="L3" s="11">
        <v>3115.33</v>
      </c>
      <c r="M3" s="11">
        <v>55037.66</v>
      </c>
      <c r="N3" s="9" t="s">
        <v>118</v>
      </c>
      <c r="O3" s="10">
        <v>4340</v>
      </c>
      <c r="P3" s="11">
        <v>5503.77</v>
      </c>
      <c r="Q3" s="11">
        <v>46418.559999999998</v>
      </c>
      <c r="R3" s="11">
        <v>3115.33</v>
      </c>
      <c r="S3" s="22">
        <v>55037.66</v>
      </c>
      <c r="T3" s="9" t="s">
        <v>118</v>
      </c>
      <c r="U3" s="10">
        <v>4340</v>
      </c>
      <c r="V3" s="11">
        <v>5503.77</v>
      </c>
      <c r="W3" s="11">
        <v>-5503.7700000000204</v>
      </c>
    </row>
    <row r="4" spans="1:23" ht="17.399999999999999">
      <c r="A4" s="6">
        <v>43281</v>
      </c>
      <c r="B4" s="7" t="s">
        <v>19</v>
      </c>
      <c r="C4" s="7">
        <v>4340</v>
      </c>
      <c r="D4" s="7">
        <v>8223.41</v>
      </c>
    </row>
    <row r="5" spans="1:23" ht="18">
      <c r="A5" s="6">
        <v>43312</v>
      </c>
      <c r="B5" s="7" t="s">
        <v>19</v>
      </c>
      <c r="C5" s="7">
        <v>4340</v>
      </c>
      <c r="D5" s="7">
        <v>8128.98</v>
      </c>
      <c r="J5" s="12" t="s">
        <v>11</v>
      </c>
      <c r="K5" s="12" t="s">
        <v>116</v>
      </c>
      <c r="L5" s="13" t="s">
        <v>14</v>
      </c>
      <c r="M5" s="12" t="s">
        <v>16</v>
      </c>
      <c r="N5" s="12" t="s">
        <v>63</v>
      </c>
      <c r="O5" s="12" t="s">
        <v>64</v>
      </c>
    </row>
    <row r="6" spans="1:23" ht="18">
      <c r="A6" s="6">
        <v>43343</v>
      </c>
      <c r="B6" s="7" t="s">
        <v>19</v>
      </c>
      <c r="C6" s="7">
        <v>4340</v>
      </c>
      <c r="D6" s="7">
        <v>7748.25</v>
      </c>
      <c r="I6" t="s">
        <v>58</v>
      </c>
      <c r="J6" s="14" t="s">
        <v>118</v>
      </c>
      <c r="K6" s="15">
        <v>-20.85</v>
      </c>
      <c r="L6" s="16">
        <v>-175.82</v>
      </c>
      <c r="M6" s="16">
        <v>-11.8</v>
      </c>
      <c r="N6" s="16">
        <v>-208.47</v>
      </c>
      <c r="O6" s="17"/>
    </row>
    <row r="7" spans="1:23" ht="18">
      <c r="A7" s="6">
        <v>43373</v>
      </c>
      <c r="B7" s="7" t="s">
        <v>19</v>
      </c>
      <c r="C7" s="7">
        <v>4340</v>
      </c>
      <c r="D7" s="7">
        <v>7594.38</v>
      </c>
      <c r="I7" s="6">
        <v>43496</v>
      </c>
      <c r="J7" s="14" t="s">
        <v>118</v>
      </c>
      <c r="K7" s="18">
        <v>700.09</v>
      </c>
      <c r="L7" s="18">
        <v>5904.53</v>
      </c>
      <c r="M7" s="18">
        <v>396.28</v>
      </c>
      <c r="N7" s="18">
        <v>7000.9</v>
      </c>
      <c r="O7" s="17"/>
    </row>
    <row r="8" spans="1:23" ht="18.600000000000001">
      <c r="A8" s="6">
        <v>43404</v>
      </c>
      <c r="B8" s="7" t="s">
        <v>19</v>
      </c>
      <c r="C8" s="7">
        <v>4340</v>
      </c>
      <c r="D8" s="7">
        <v>7873.77</v>
      </c>
      <c r="I8" s="6">
        <v>43524</v>
      </c>
      <c r="J8" s="14" t="s">
        <v>118</v>
      </c>
      <c r="K8" s="19">
        <v>584.19000000000005</v>
      </c>
      <c r="L8" s="19">
        <v>4927.03</v>
      </c>
      <c r="M8" s="19">
        <v>330.67</v>
      </c>
      <c r="N8" s="19">
        <v>5841.89</v>
      </c>
      <c r="O8" s="17"/>
    </row>
    <row r="9" spans="1:23" ht="18.600000000000001">
      <c r="A9" s="6">
        <v>43434</v>
      </c>
      <c r="B9" s="7" t="s">
        <v>19</v>
      </c>
      <c r="C9" s="7">
        <v>4340</v>
      </c>
      <c r="D9" s="7">
        <v>8082.56</v>
      </c>
      <c r="I9" s="6">
        <v>43555</v>
      </c>
      <c r="J9" s="20" t="s">
        <v>118</v>
      </c>
      <c r="K9" s="19">
        <v>754.12</v>
      </c>
      <c r="L9" s="19">
        <v>6360.26</v>
      </c>
      <c r="M9" s="19">
        <v>426.86</v>
      </c>
      <c r="N9" s="19">
        <v>7541.24</v>
      </c>
      <c r="O9" s="17"/>
    </row>
    <row r="10" spans="1:23" ht="18">
      <c r="A10" s="6">
        <v>43465</v>
      </c>
      <c r="B10" s="7" t="s">
        <v>19</v>
      </c>
      <c r="C10" s="7">
        <v>4340</v>
      </c>
      <c r="D10" s="7">
        <v>7652.72</v>
      </c>
      <c r="I10" s="6">
        <v>43585</v>
      </c>
      <c r="K10" s="18">
        <v>-700.09</v>
      </c>
      <c r="L10" s="18">
        <v>-5904.53</v>
      </c>
      <c r="M10" s="18">
        <v>-396.28</v>
      </c>
      <c r="N10" s="18">
        <v>-7000.9</v>
      </c>
      <c r="O10" s="14" t="s">
        <v>119</v>
      </c>
    </row>
    <row r="11" spans="1:23" ht="17.399999999999999">
      <c r="I11" s="6">
        <v>43585</v>
      </c>
      <c r="K11" s="18">
        <v>802.11</v>
      </c>
      <c r="L11" s="18">
        <v>6765</v>
      </c>
      <c r="M11" s="18">
        <v>454.03</v>
      </c>
      <c r="N11" s="18">
        <v>8021.14</v>
      </c>
      <c r="O11" s="14" t="s">
        <v>120</v>
      </c>
    </row>
    <row r="12" spans="1:23" ht="17.399999999999999">
      <c r="I12" s="6">
        <v>43585</v>
      </c>
      <c r="K12" s="18">
        <v>-584.19000000000005</v>
      </c>
      <c r="L12" s="18">
        <v>-4927.03</v>
      </c>
      <c r="M12" s="18">
        <v>-330.67</v>
      </c>
      <c r="N12" s="18">
        <v>-5841.89</v>
      </c>
      <c r="O12" s="14" t="s">
        <v>121</v>
      </c>
    </row>
    <row r="13" spans="1:23" ht="17.399999999999999">
      <c r="I13" s="6">
        <v>43585</v>
      </c>
      <c r="K13" s="18">
        <v>674.8</v>
      </c>
      <c r="L13" s="18">
        <v>5691.26</v>
      </c>
      <c r="M13" s="18">
        <v>381.96</v>
      </c>
      <c r="N13" s="18">
        <v>6748.02</v>
      </c>
      <c r="O13" s="14" t="s">
        <v>122</v>
      </c>
    </row>
    <row r="14" spans="1:23" ht="17.399999999999999">
      <c r="I14" s="6">
        <v>43585</v>
      </c>
      <c r="K14" s="18">
        <v>961.46</v>
      </c>
      <c r="L14" s="18">
        <v>8108.9</v>
      </c>
      <c r="M14" s="18">
        <v>544.22</v>
      </c>
      <c r="N14" s="18">
        <v>9614.58</v>
      </c>
      <c r="O14" s="14" t="s">
        <v>123</v>
      </c>
    </row>
    <row r="15" spans="1:23" ht="17.399999999999999">
      <c r="I15" s="6">
        <v>43616</v>
      </c>
      <c r="K15" s="18">
        <v>46.49</v>
      </c>
      <c r="L15" s="18">
        <v>392.05</v>
      </c>
      <c r="M15" s="18">
        <v>26.31</v>
      </c>
      <c r="N15" s="18">
        <v>464.85</v>
      </c>
    </row>
    <row r="16" spans="1:23" ht="17.399999999999999">
      <c r="I16" s="6">
        <v>43646</v>
      </c>
      <c r="K16" s="72">
        <v>45.78</v>
      </c>
      <c r="L16" s="72">
        <v>386.13999999999993</v>
      </c>
      <c r="M16" s="72">
        <v>25.92</v>
      </c>
      <c r="N16" s="72">
        <v>457.84</v>
      </c>
    </row>
    <row r="17" spans="9:15" ht="17.399999999999999">
      <c r="I17" s="6">
        <v>43677</v>
      </c>
      <c r="J17" s="83" t="s">
        <v>118</v>
      </c>
      <c r="K17" s="84">
        <v>45.78</v>
      </c>
      <c r="L17" s="84">
        <v>386.13999999999993</v>
      </c>
      <c r="M17" s="84">
        <v>25.92</v>
      </c>
      <c r="N17" s="84">
        <v>457.84</v>
      </c>
      <c r="O17" s="84" t="s">
        <v>138</v>
      </c>
    </row>
    <row r="18" spans="9:15" ht="17.399999999999999">
      <c r="I18" s="6">
        <v>43677</v>
      </c>
      <c r="J18" s="83" t="s">
        <v>118</v>
      </c>
      <c r="K18" s="84">
        <v>53.18</v>
      </c>
      <c r="L18" s="84">
        <v>448.48999999999995</v>
      </c>
      <c r="M18" s="84">
        <v>30.1</v>
      </c>
      <c r="N18" s="84">
        <v>531.77</v>
      </c>
      <c r="O18" s="85">
        <v>201907</v>
      </c>
    </row>
    <row r="19" spans="9:15" ht="17.399999999999999">
      <c r="I19" s="6">
        <v>43708</v>
      </c>
      <c r="J19" s="83" t="s">
        <v>118</v>
      </c>
      <c r="K19" s="84">
        <v>52.2</v>
      </c>
      <c r="L19" s="84">
        <v>440.28</v>
      </c>
      <c r="M19" s="84">
        <v>29.55</v>
      </c>
      <c r="N19" s="84">
        <v>522.03</v>
      </c>
    </row>
    <row r="20" spans="9:15">
      <c r="I20" s="6">
        <v>43738</v>
      </c>
      <c r="K20">
        <v>52.98</v>
      </c>
      <c r="L20">
        <v>446.80999999999995</v>
      </c>
      <c r="M20">
        <v>29.99</v>
      </c>
      <c r="N20">
        <v>529.78</v>
      </c>
    </row>
    <row r="21" spans="9:15">
      <c r="I21" s="6">
        <v>43769</v>
      </c>
      <c r="J21" s="98" t="s">
        <v>19</v>
      </c>
      <c r="K21" s="98">
        <v>50.5</v>
      </c>
      <c r="L21" s="98">
        <v>425.89000000000004</v>
      </c>
      <c r="M21" s="98">
        <v>28.58</v>
      </c>
      <c r="N21" s="98">
        <v>504.97</v>
      </c>
    </row>
    <row r="22" spans="9:15">
      <c r="I22" s="6">
        <v>43799</v>
      </c>
      <c r="J22" s="98" t="s">
        <v>118</v>
      </c>
      <c r="K22" s="98">
        <v>53.88</v>
      </c>
      <c r="L22" s="98">
        <v>454.38</v>
      </c>
      <c r="M22" s="98">
        <v>30.5</v>
      </c>
      <c r="N22" s="98">
        <v>538.76</v>
      </c>
    </row>
    <row r="23" spans="9:15">
      <c r="I23" s="6">
        <v>43830</v>
      </c>
      <c r="K23">
        <v>60.81</v>
      </c>
      <c r="L23">
        <v>512.91</v>
      </c>
      <c r="M23">
        <v>34.42</v>
      </c>
      <c r="N23">
        <v>608.14</v>
      </c>
    </row>
    <row r="24" spans="9:15">
      <c r="I24" s="6">
        <v>43830</v>
      </c>
      <c r="J24" s="98" t="s">
        <v>118</v>
      </c>
      <c r="K24" s="98">
        <v>-1.7</v>
      </c>
      <c r="L24" s="98">
        <v>-14.3</v>
      </c>
      <c r="M24" s="98">
        <v>-0.96</v>
      </c>
      <c r="N24" s="98">
        <v>-16.96</v>
      </c>
    </row>
    <row r="25" spans="9:15">
      <c r="I25" s="6">
        <v>43861</v>
      </c>
      <c r="K25" s="98">
        <v>62.39</v>
      </c>
      <c r="L25" s="98">
        <v>526.19000000000005</v>
      </c>
      <c r="M25" s="98">
        <v>35.31</v>
      </c>
      <c r="N25" s="98">
        <v>623.89</v>
      </c>
    </row>
    <row r="26" spans="9:15">
      <c r="I26" s="6">
        <v>43890</v>
      </c>
      <c r="K26" s="98">
        <v>57.23</v>
      </c>
      <c r="L26" s="98">
        <v>482.70000000000005</v>
      </c>
      <c r="M26" s="98">
        <v>32.4</v>
      </c>
      <c r="N26" s="98">
        <v>572.33000000000004</v>
      </c>
    </row>
    <row r="27" spans="9:15">
      <c r="I27" s="6">
        <v>43921</v>
      </c>
      <c r="K27" s="98">
        <v>62.83</v>
      </c>
      <c r="L27" s="98">
        <v>529.93999999999994</v>
      </c>
      <c r="M27" s="98">
        <v>35.57</v>
      </c>
      <c r="N27" s="98">
        <v>628.34</v>
      </c>
    </row>
    <row r="28" spans="9:15">
      <c r="I28" s="6">
        <v>43951</v>
      </c>
      <c r="K28" s="98">
        <v>67.36999999999999</v>
      </c>
      <c r="L28" s="98">
        <v>568.16999999999996</v>
      </c>
      <c r="M28" s="98">
        <v>38.14</v>
      </c>
      <c r="N28" s="98">
        <v>673.68</v>
      </c>
    </row>
    <row r="29" spans="9:15">
      <c r="I29" s="6">
        <v>43982</v>
      </c>
      <c r="J29" s="98" t="s">
        <v>118</v>
      </c>
      <c r="K29" s="98">
        <v>130.47999999999999</v>
      </c>
      <c r="L29" s="98">
        <v>1100.48</v>
      </c>
      <c r="M29" s="98">
        <v>73.849999999999994</v>
      </c>
      <c r="N29" s="98">
        <v>1304.81</v>
      </c>
    </row>
    <row r="30" spans="9:15">
      <c r="I30" s="6">
        <v>44012</v>
      </c>
      <c r="J30" s="98" t="s">
        <v>118</v>
      </c>
      <c r="K30" s="98">
        <v>342.48</v>
      </c>
      <c r="L30" s="98">
        <v>2888.46</v>
      </c>
      <c r="M30" s="98">
        <v>193.86</v>
      </c>
      <c r="N30" s="98">
        <v>3424.8</v>
      </c>
      <c r="O30" s="98">
        <v>202006</v>
      </c>
    </row>
    <row r="31" spans="9:15">
      <c r="I31" s="6">
        <v>44012</v>
      </c>
      <c r="J31" s="98" t="s">
        <v>118</v>
      </c>
      <c r="K31" s="98">
        <v>66.81</v>
      </c>
      <c r="L31" s="98">
        <v>563.54999999999995</v>
      </c>
      <c r="M31" s="98">
        <v>37.82</v>
      </c>
      <c r="N31" s="98">
        <v>668.18</v>
      </c>
      <c r="O31" s="98" t="s">
        <v>231</v>
      </c>
    </row>
    <row r="32" spans="9:15">
      <c r="I32" s="107">
        <v>44043</v>
      </c>
      <c r="J32" s="98" t="s">
        <v>118</v>
      </c>
      <c r="K32" s="98">
        <v>342.48</v>
      </c>
      <c r="L32" s="98">
        <v>2888.46</v>
      </c>
      <c r="M32" s="98">
        <v>193.86</v>
      </c>
      <c r="N32" s="98">
        <v>3424.8</v>
      </c>
      <c r="O32" s="98">
        <v>202006</v>
      </c>
    </row>
    <row r="33" spans="9:15">
      <c r="I33" s="107">
        <v>44043</v>
      </c>
      <c r="J33" s="98" t="s">
        <v>118</v>
      </c>
      <c r="K33" s="98">
        <v>66.81</v>
      </c>
      <c r="L33" s="98">
        <v>563.54999999999995</v>
      </c>
      <c r="M33" s="98">
        <v>37.82</v>
      </c>
      <c r="N33" s="98">
        <v>668.18</v>
      </c>
      <c r="O33" s="98" t="s">
        <v>231</v>
      </c>
    </row>
    <row r="34" spans="9:15">
      <c r="I34" s="6">
        <v>44074</v>
      </c>
      <c r="J34" s="98" t="s">
        <v>118</v>
      </c>
      <c r="K34" s="98">
        <v>74.809999999999988</v>
      </c>
      <c r="L34" s="98">
        <v>630.99</v>
      </c>
      <c r="M34" s="98">
        <v>42.35</v>
      </c>
      <c r="N34" s="98">
        <v>748.15</v>
      </c>
    </row>
    <row r="35" spans="9:15">
      <c r="I35" s="6">
        <v>44104</v>
      </c>
      <c r="J35" s="98" t="s">
        <v>118</v>
      </c>
      <c r="K35" s="98">
        <v>72.400000000000006</v>
      </c>
      <c r="L35" s="98">
        <v>610.6</v>
      </c>
      <c r="M35" s="98">
        <v>40.98</v>
      </c>
      <c r="N35" s="98">
        <v>723.98</v>
      </c>
      <c r="O35" s="98"/>
    </row>
    <row r="36" spans="9:15">
      <c r="I36" s="6">
        <v>44135</v>
      </c>
      <c r="J36" s="98" t="s">
        <v>118</v>
      </c>
      <c r="K36" s="98">
        <v>111.55</v>
      </c>
      <c r="L36" s="98">
        <v>940.82000000000016</v>
      </c>
      <c r="M36" s="98">
        <v>63.14</v>
      </c>
      <c r="N36" s="98">
        <v>1115.52</v>
      </c>
    </row>
    <row r="37" spans="9:15">
      <c r="I37" s="6">
        <v>44165</v>
      </c>
      <c r="J37" s="98" t="s">
        <v>118</v>
      </c>
      <c r="K37" s="98">
        <v>113.3</v>
      </c>
      <c r="L37" s="98">
        <v>955.53</v>
      </c>
      <c r="M37" s="98">
        <v>64.13</v>
      </c>
      <c r="N37" s="98">
        <v>1132.96</v>
      </c>
    </row>
    <row r="38" spans="9:15">
      <c r="I38" s="107">
        <v>44196</v>
      </c>
      <c r="J38" s="98" t="s">
        <v>118</v>
      </c>
      <c r="K38" s="98">
        <v>116.4</v>
      </c>
      <c r="L38" s="98">
        <v>981.68</v>
      </c>
      <c r="M38" s="98">
        <v>65.88</v>
      </c>
      <c r="N38" s="98">
        <v>1163.96</v>
      </c>
    </row>
    <row r="39" spans="9:15">
      <c r="I39" s="6">
        <v>44227</v>
      </c>
      <c r="J39" t="s">
        <v>118</v>
      </c>
      <c r="K39">
        <v>192.02</v>
      </c>
      <c r="L39">
        <v>1619.49</v>
      </c>
      <c r="M39">
        <v>108.69</v>
      </c>
      <c r="N39">
        <v>1920.2</v>
      </c>
    </row>
    <row r="40" spans="9:15">
      <c r="I40" s="107">
        <v>44255</v>
      </c>
      <c r="J40" s="98" t="s">
        <v>118</v>
      </c>
      <c r="K40" s="98">
        <v>165.47</v>
      </c>
      <c r="L40" s="98">
        <v>1395.53</v>
      </c>
      <c r="M40" s="98">
        <v>93.66</v>
      </c>
      <c r="N40" s="98">
        <v>1654.66</v>
      </c>
    </row>
    <row r="41" spans="9:15">
      <c r="I41" s="107">
        <v>44286</v>
      </c>
      <c r="J41" s="98" t="s">
        <v>118</v>
      </c>
      <c r="K41" s="98">
        <v>184.05</v>
      </c>
      <c r="L41" s="98">
        <v>1552.28</v>
      </c>
      <c r="M41" s="98">
        <v>104.18</v>
      </c>
      <c r="N41" s="98">
        <v>1840.51</v>
      </c>
    </row>
  </sheetData>
  <mergeCells count="3">
    <mergeCell ref="J1:M1"/>
    <mergeCell ref="N1:S1"/>
    <mergeCell ref="T1:W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81"/>
  <sheetViews>
    <sheetView workbookViewId="0">
      <pane ySplit="1" topLeftCell="A56" activePane="bottomLeft" state="frozen"/>
      <selection pane="bottomLeft" activeCell="A78" sqref="A78:A81"/>
    </sheetView>
  </sheetViews>
  <sheetFormatPr defaultRowHeight="13.8"/>
  <cols>
    <col min="1" max="1" width="11.21875" bestFit="1" customWidth="1"/>
    <col min="2" max="2" width="21.77734375" bestFit="1" customWidth="1"/>
    <col min="3" max="4" width="14.77734375" bestFit="1" customWidth="1"/>
    <col min="6" max="6" width="14.77734375" bestFit="1" customWidth="1"/>
  </cols>
  <sheetData>
    <row r="1" spans="1:6" ht="17.399999999999999">
      <c r="A1" s="77" t="s">
        <v>154</v>
      </c>
      <c r="B1" s="91" t="s">
        <v>146</v>
      </c>
      <c r="C1" s="91" t="s">
        <v>147</v>
      </c>
      <c r="D1" s="91" t="s">
        <v>148</v>
      </c>
      <c r="E1" s="92" t="s">
        <v>149</v>
      </c>
      <c r="F1" s="91" t="s">
        <v>150</v>
      </c>
    </row>
    <row r="2" spans="1:6" ht="18.600000000000001">
      <c r="A2" s="6">
        <v>43708</v>
      </c>
      <c r="B2" s="93" t="s">
        <v>151</v>
      </c>
      <c r="C2" s="94">
        <v>1366.03</v>
      </c>
      <c r="D2" s="94">
        <v>5154.83</v>
      </c>
      <c r="E2" s="95">
        <v>309.29000000000002</v>
      </c>
      <c r="F2" s="96">
        <v>6830.15</v>
      </c>
    </row>
    <row r="3" spans="1:6" ht="18.600000000000001">
      <c r="A3" s="6">
        <v>43708</v>
      </c>
      <c r="B3" s="93" t="s">
        <v>152</v>
      </c>
      <c r="C3" s="94">
        <v>1873.99</v>
      </c>
      <c r="D3" s="94">
        <v>7071.68</v>
      </c>
      <c r="E3" s="95">
        <v>424.3</v>
      </c>
      <c r="F3" s="96">
        <v>9369.9699999999993</v>
      </c>
    </row>
    <row r="4" spans="1:6" ht="18.600000000000001">
      <c r="A4" s="6">
        <v>43708</v>
      </c>
      <c r="B4" s="93" t="s">
        <v>153</v>
      </c>
      <c r="C4" s="94">
        <v>1363.71</v>
      </c>
      <c r="D4" s="94">
        <v>5146.09</v>
      </c>
      <c r="E4" s="95">
        <v>308.77</v>
      </c>
      <c r="F4" s="96">
        <v>6818.57</v>
      </c>
    </row>
    <row r="5" spans="1:6">
      <c r="A5" s="6">
        <v>43799</v>
      </c>
      <c r="B5" s="98" t="s">
        <v>153</v>
      </c>
      <c r="C5" s="98">
        <v>1335.02</v>
      </c>
      <c r="D5" s="98">
        <v>5037.8100000000004</v>
      </c>
      <c r="E5" s="98">
        <v>302.27</v>
      </c>
      <c r="F5" s="98">
        <v>6675.0999999999985</v>
      </c>
    </row>
    <row r="6" spans="1:6">
      <c r="A6" s="6">
        <v>43799</v>
      </c>
      <c r="B6" s="98" t="s">
        <v>152</v>
      </c>
      <c r="C6" s="98">
        <v>283.26</v>
      </c>
      <c r="D6" s="98">
        <v>1068.9000000000001</v>
      </c>
      <c r="E6" s="98">
        <v>64.13</v>
      </c>
      <c r="F6" s="98">
        <v>1416.2899999999991</v>
      </c>
    </row>
    <row r="7" spans="1:6">
      <c r="A7" s="6">
        <v>43799</v>
      </c>
      <c r="B7" s="98" t="s">
        <v>151</v>
      </c>
      <c r="C7" s="98">
        <v>1271.01</v>
      </c>
      <c r="D7" s="98">
        <v>4796.26</v>
      </c>
      <c r="E7" s="98">
        <v>287.77999999999997</v>
      </c>
      <c r="F7" s="98">
        <v>6355.0500000000011</v>
      </c>
    </row>
    <row r="8" spans="1:6">
      <c r="A8" s="6">
        <v>43769</v>
      </c>
      <c r="B8" t="s">
        <v>153</v>
      </c>
      <c r="C8">
        <v>686.05</v>
      </c>
      <c r="D8">
        <v>2588.87</v>
      </c>
      <c r="E8">
        <v>155.33000000000001</v>
      </c>
      <c r="F8">
        <v>3430.2500000000009</v>
      </c>
    </row>
    <row r="9" spans="1:6">
      <c r="A9" s="6">
        <v>43769</v>
      </c>
      <c r="B9" t="s">
        <v>152</v>
      </c>
      <c r="C9">
        <v>-86.54</v>
      </c>
      <c r="D9">
        <v>-326.57</v>
      </c>
      <c r="E9">
        <v>-19.59</v>
      </c>
      <c r="F9">
        <v>-432.71000000000004</v>
      </c>
    </row>
    <row r="10" spans="1:6">
      <c r="A10" s="6">
        <v>43769</v>
      </c>
      <c r="B10" t="s">
        <v>151</v>
      </c>
      <c r="C10">
        <v>665.68</v>
      </c>
      <c r="D10">
        <v>2512.0100000000002</v>
      </c>
      <c r="E10">
        <v>150.72</v>
      </c>
      <c r="F10">
        <v>3328.41</v>
      </c>
    </row>
    <row r="11" spans="1:6">
      <c r="A11" s="6">
        <v>43738</v>
      </c>
      <c r="B11" t="s">
        <v>151</v>
      </c>
      <c r="C11">
        <v>169.42</v>
      </c>
      <c r="D11">
        <v>639.33000000000004</v>
      </c>
      <c r="E11">
        <v>38.36</v>
      </c>
      <c r="F11">
        <v>847.11000000000058</v>
      </c>
    </row>
    <row r="12" spans="1:6">
      <c r="A12" s="6">
        <v>43738</v>
      </c>
      <c r="B12" t="s">
        <v>152</v>
      </c>
      <c r="C12">
        <v>-348.75</v>
      </c>
      <c r="D12">
        <v>-1316.04</v>
      </c>
      <c r="E12">
        <v>-78.959999999999994</v>
      </c>
      <c r="F12">
        <v>-1743.7499999999991</v>
      </c>
    </row>
    <row r="13" spans="1:6">
      <c r="A13" s="6">
        <v>43738</v>
      </c>
      <c r="B13" t="s">
        <v>153</v>
      </c>
      <c r="C13">
        <v>131.29</v>
      </c>
      <c r="D13">
        <v>495.45</v>
      </c>
      <c r="E13">
        <v>29.73</v>
      </c>
      <c r="F13">
        <v>656.47000000000025</v>
      </c>
    </row>
    <row r="14" spans="1:6">
      <c r="A14" s="6">
        <v>43830</v>
      </c>
      <c r="B14" s="98" t="s">
        <v>186</v>
      </c>
      <c r="C14">
        <v>330.75</v>
      </c>
      <c r="D14">
        <v>1248.1099999999999</v>
      </c>
      <c r="E14">
        <v>74.89</v>
      </c>
      <c r="F14">
        <v>1653.75</v>
      </c>
    </row>
    <row r="15" spans="1:6">
      <c r="A15" s="6">
        <v>43830</v>
      </c>
      <c r="B15" s="98" t="s">
        <v>153</v>
      </c>
      <c r="C15">
        <v>1615.65</v>
      </c>
      <c r="D15">
        <v>6096.79</v>
      </c>
      <c r="E15">
        <v>365.81</v>
      </c>
      <c r="F15">
        <v>8078.25</v>
      </c>
    </row>
    <row r="16" spans="1:6">
      <c r="A16" s="6">
        <v>43830</v>
      </c>
      <c r="B16" s="98" t="s">
        <v>152</v>
      </c>
      <c r="C16">
        <v>311.05</v>
      </c>
      <c r="D16">
        <v>1173.75</v>
      </c>
      <c r="E16">
        <v>70.430000000000007</v>
      </c>
      <c r="F16">
        <v>1555.2300000000014</v>
      </c>
    </row>
    <row r="17" spans="1:6">
      <c r="A17" s="6">
        <v>43830</v>
      </c>
      <c r="B17" s="98" t="s">
        <v>151</v>
      </c>
      <c r="C17">
        <v>2204.52</v>
      </c>
      <c r="D17">
        <v>8318.9500000000007</v>
      </c>
      <c r="E17">
        <v>499.14</v>
      </c>
      <c r="F17">
        <v>11022.61</v>
      </c>
    </row>
    <row r="18" spans="1:6">
      <c r="A18" s="6">
        <v>43830</v>
      </c>
      <c r="B18" s="98" t="s">
        <v>186</v>
      </c>
      <c r="C18" s="98">
        <v>-77.45</v>
      </c>
      <c r="D18" s="98">
        <v>-292.26</v>
      </c>
      <c r="E18" s="98">
        <v>-17.54</v>
      </c>
      <c r="F18" s="98">
        <v>-387.24</v>
      </c>
    </row>
    <row r="19" spans="1:6">
      <c r="A19" s="6">
        <v>43830</v>
      </c>
      <c r="B19" s="98" t="s">
        <v>153</v>
      </c>
      <c r="C19" s="98">
        <v>379.44</v>
      </c>
      <c r="D19" s="98">
        <v>1431.84</v>
      </c>
      <c r="E19" s="98">
        <v>85.91</v>
      </c>
      <c r="F19" s="98">
        <v>1897.1900000000023</v>
      </c>
    </row>
    <row r="20" spans="1:6">
      <c r="A20" s="6">
        <v>43830</v>
      </c>
      <c r="B20" s="98" t="s">
        <v>152</v>
      </c>
      <c r="C20" s="98">
        <v>-82.25</v>
      </c>
      <c r="D20" s="98">
        <v>-310.37</v>
      </c>
      <c r="E20" s="98">
        <v>-18.62</v>
      </c>
      <c r="F20" s="98">
        <v>-411.23999999999978</v>
      </c>
    </row>
    <row r="21" spans="1:6">
      <c r="A21" s="6">
        <v>43830</v>
      </c>
      <c r="B21" s="98" t="s">
        <v>151</v>
      </c>
      <c r="C21" s="98">
        <v>990.54</v>
      </c>
      <c r="D21" s="98">
        <v>3737.89</v>
      </c>
      <c r="E21" s="98">
        <v>224.27</v>
      </c>
      <c r="F21" s="98">
        <v>4952.7099999999991</v>
      </c>
    </row>
    <row r="22" spans="1:6">
      <c r="A22" s="6">
        <v>43861</v>
      </c>
      <c r="B22" t="s">
        <v>186</v>
      </c>
      <c r="C22">
        <v>800.83</v>
      </c>
      <c r="D22">
        <v>3022.01</v>
      </c>
      <c r="E22">
        <v>181.32</v>
      </c>
      <c r="F22">
        <v>4004.16</v>
      </c>
    </row>
    <row r="23" spans="1:6">
      <c r="A23" s="6">
        <v>43861</v>
      </c>
      <c r="B23" t="s">
        <v>153</v>
      </c>
      <c r="C23">
        <v>2695.5</v>
      </c>
      <c r="D23">
        <v>10171.709999999999</v>
      </c>
      <c r="E23">
        <v>610.29999999999995</v>
      </c>
      <c r="F23">
        <v>13477.51</v>
      </c>
    </row>
    <row r="24" spans="1:6">
      <c r="A24" s="6">
        <v>43861</v>
      </c>
      <c r="B24" t="s">
        <v>152</v>
      </c>
      <c r="C24">
        <v>304.68</v>
      </c>
      <c r="D24">
        <v>1149.73</v>
      </c>
      <c r="E24">
        <v>68.98</v>
      </c>
      <c r="F24">
        <v>1523.39</v>
      </c>
    </row>
    <row r="25" spans="1:6">
      <c r="A25" s="6">
        <v>43861</v>
      </c>
      <c r="B25" t="s">
        <v>151</v>
      </c>
      <c r="C25">
        <v>4538.8999999999996</v>
      </c>
      <c r="D25">
        <v>17127.93</v>
      </c>
      <c r="E25">
        <v>1027.68</v>
      </c>
      <c r="F25">
        <v>22694.51</v>
      </c>
    </row>
    <row r="26" spans="1:6">
      <c r="A26" s="6">
        <v>43890</v>
      </c>
      <c r="B26" s="98" t="s">
        <v>186</v>
      </c>
      <c r="C26" s="98">
        <v>739.72</v>
      </c>
      <c r="D26" s="98">
        <v>2791.4</v>
      </c>
      <c r="E26" s="98">
        <v>167.48</v>
      </c>
      <c r="F26" s="98">
        <v>3698.6000000000004</v>
      </c>
    </row>
    <row r="27" spans="1:6">
      <c r="A27" s="6">
        <v>43890</v>
      </c>
      <c r="B27" s="98" t="s">
        <v>153</v>
      </c>
      <c r="C27" s="98">
        <v>2759.77</v>
      </c>
      <c r="D27" s="98">
        <v>10414.25</v>
      </c>
      <c r="E27" s="98">
        <v>624.85</v>
      </c>
      <c r="F27" s="98">
        <v>13798.87</v>
      </c>
    </row>
    <row r="28" spans="1:6">
      <c r="A28" s="6">
        <v>43890</v>
      </c>
      <c r="B28" s="98" t="s">
        <v>152</v>
      </c>
      <c r="C28" s="98">
        <v>293.24</v>
      </c>
      <c r="D28" s="98">
        <v>1106.56</v>
      </c>
      <c r="E28" s="98">
        <v>66.39</v>
      </c>
      <c r="F28" s="98">
        <v>1466.1899999999998</v>
      </c>
    </row>
    <row r="29" spans="1:6">
      <c r="A29" s="6">
        <v>43890</v>
      </c>
      <c r="B29" s="98" t="s">
        <v>151</v>
      </c>
      <c r="C29" s="98">
        <v>4486.7</v>
      </c>
      <c r="D29" s="98">
        <v>16930.939999999999</v>
      </c>
      <c r="E29" s="98">
        <v>1015.86</v>
      </c>
      <c r="F29" s="98">
        <v>22433.500000000004</v>
      </c>
    </row>
    <row r="30" spans="1:6">
      <c r="A30" s="6">
        <v>43921</v>
      </c>
      <c r="B30" s="98" t="s">
        <v>186</v>
      </c>
      <c r="C30">
        <v>1266.0899999999999</v>
      </c>
      <c r="D30">
        <v>4777.71</v>
      </c>
      <c r="E30">
        <v>286.66000000000003</v>
      </c>
      <c r="F30">
        <v>6330.4599999999991</v>
      </c>
    </row>
    <row r="31" spans="1:6">
      <c r="A31" s="6">
        <v>43921</v>
      </c>
      <c r="B31" s="98" t="s">
        <v>153</v>
      </c>
      <c r="C31">
        <v>3954.15</v>
      </c>
      <c r="D31">
        <v>14921.33</v>
      </c>
      <c r="E31">
        <v>895.28</v>
      </c>
      <c r="F31">
        <v>19770.759999999995</v>
      </c>
    </row>
    <row r="32" spans="1:6">
      <c r="A32" s="6">
        <v>43921</v>
      </c>
      <c r="B32" s="98" t="s">
        <v>152</v>
      </c>
      <c r="C32">
        <v>296.23</v>
      </c>
      <c r="D32">
        <v>1117.8499999999999</v>
      </c>
      <c r="E32">
        <v>67.069999999999993</v>
      </c>
      <c r="F32">
        <v>1481.1499999999994</v>
      </c>
    </row>
    <row r="33" spans="1:6">
      <c r="A33" s="6">
        <v>43921</v>
      </c>
      <c r="B33" s="98" t="s">
        <v>151</v>
      </c>
      <c r="C33">
        <v>5567.55</v>
      </c>
      <c r="D33">
        <v>21009.63</v>
      </c>
      <c r="E33">
        <v>1260.58</v>
      </c>
      <c r="F33">
        <v>27837.760000000006</v>
      </c>
    </row>
    <row r="34" spans="1:6">
      <c r="A34" s="6">
        <v>43951</v>
      </c>
      <c r="C34" s="98">
        <v>1353.22</v>
      </c>
      <c r="D34" s="98"/>
      <c r="E34" s="98">
        <v>306.39</v>
      </c>
    </row>
    <row r="35" spans="1:6">
      <c r="A35" s="6">
        <v>43951</v>
      </c>
      <c r="C35" s="98">
        <v>6363.77</v>
      </c>
      <c r="D35" s="98"/>
      <c r="E35" s="98">
        <v>1440.85</v>
      </c>
    </row>
    <row r="36" spans="1:6">
      <c r="A36" s="6">
        <v>43951</v>
      </c>
      <c r="C36" s="98">
        <v>305.86</v>
      </c>
      <c r="D36" s="98"/>
      <c r="E36" s="98">
        <v>69.25</v>
      </c>
    </row>
    <row r="37" spans="1:6">
      <c r="A37" s="6">
        <v>43951</v>
      </c>
      <c r="C37" s="98">
        <v>5767.43</v>
      </c>
      <c r="D37" s="98"/>
      <c r="E37" s="98">
        <v>1305.83</v>
      </c>
    </row>
    <row r="38" spans="1:6">
      <c r="A38" s="6">
        <v>43982</v>
      </c>
      <c r="B38" s="98" t="s">
        <v>186</v>
      </c>
      <c r="C38" s="98">
        <v>1429.12</v>
      </c>
      <c r="D38" s="98">
        <v>5392.92</v>
      </c>
      <c r="E38" s="98">
        <v>323.57</v>
      </c>
      <c r="F38" s="98">
        <v>7145.6099999999951</v>
      </c>
    </row>
    <row r="39" spans="1:6">
      <c r="A39" s="6">
        <v>43982</v>
      </c>
      <c r="B39" s="98" t="s">
        <v>153</v>
      </c>
      <c r="C39" s="98">
        <v>6630.22</v>
      </c>
      <c r="D39" s="98">
        <v>25019.71</v>
      </c>
      <c r="E39" s="98">
        <v>1501.18</v>
      </c>
      <c r="F39" s="98">
        <v>33151.110000000015</v>
      </c>
    </row>
    <row r="40" spans="1:6">
      <c r="A40" s="6">
        <v>43982</v>
      </c>
      <c r="B40" s="98" t="s">
        <v>152</v>
      </c>
      <c r="C40" s="98">
        <v>324.85000000000002</v>
      </c>
      <c r="D40" s="98">
        <v>1225.8399999999999</v>
      </c>
      <c r="E40" s="98">
        <v>73.55</v>
      </c>
      <c r="F40" s="98">
        <v>1624.2399999999996</v>
      </c>
    </row>
    <row r="41" spans="1:6">
      <c r="A41" s="6">
        <v>43982</v>
      </c>
      <c r="B41" s="98" t="s">
        <v>151</v>
      </c>
      <c r="C41" s="98">
        <v>6422.77</v>
      </c>
      <c r="D41" s="98">
        <v>24236.89</v>
      </c>
      <c r="E41" s="98">
        <v>1454.21</v>
      </c>
      <c r="F41" s="98">
        <v>32113.869999999992</v>
      </c>
    </row>
    <row r="42" spans="1:6">
      <c r="A42" s="6">
        <v>44012</v>
      </c>
      <c r="B42" s="98" t="s">
        <v>186</v>
      </c>
      <c r="C42" s="98">
        <v>1371.94</v>
      </c>
      <c r="D42" s="98">
        <v>5177.1400000000003</v>
      </c>
      <c r="E42" s="98">
        <v>310.63</v>
      </c>
      <c r="F42" s="98">
        <v>6859.7099999999991</v>
      </c>
    </row>
    <row r="43" spans="1:6">
      <c r="A43" s="6">
        <v>44012</v>
      </c>
      <c r="B43" s="98" t="s">
        <v>153</v>
      </c>
      <c r="C43" s="98">
        <v>6701.55</v>
      </c>
      <c r="D43" s="98">
        <v>25288.85</v>
      </c>
      <c r="E43" s="98">
        <v>1517.33</v>
      </c>
      <c r="F43" s="98">
        <v>33507.729999999996</v>
      </c>
    </row>
    <row r="44" spans="1:6">
      <c r="A44" s="6">
        <v>44012</v>
      </c>
      <c r="B44" s="98" t="s">
        <v>152</v>
      </c>
      <c r="C44" s="98">
        <v>216.18</v>
      </c>
      <c r="D44" s="98">
        <v>815.78</v>
      </c>
      <c r="E44" s="98">
        <v>48.95</v>
      </c>
      <c r="F44" s="98">
        <v>1080.910000000001</v>
      </c>
    </row>
    <row r="45" spans="1:6">
      <c r="A45" s="6">
        <v>44012</v>
      </c>
      <c r="B45" s="98" t="s">
        <v>151</v>
      </c>
      <c r="C45" s="98">
        <v>6549.9</v>
      </c>
      <c r="D45" s="98">
        <v>24716.61</v>
      </c>
      <c r="E45" s="98">
        <v>1483</v>
      </c>
      <c r="F45" s="98">
        <v>32749.51</v>
      </c>
    </row>
    <row r="46" spans="1:6">
      <c r="A46" s="6">
        <v>44043</v>
      </c>
      <c r="B46" s="98" t="s">
        <v>186</v>
      </c>
      <c r="C46" s="98">
        <v>1371.94</v>
      </c>
      <c r="D46" s="98">
        <v>5177.1400000000003</v>
      </c>
      <c r="E46" s="98">
        <v>310.63</v>
      </c>
      <c r="F46" s="98">
        <v>6859.7099999999991</v>
      </c>
    </row>
    <row r="47" spans="1:6">
      <c r="A47" s="6">
        <v>44043</v>
      </c>
      <c r="B47" s="98" t="s">
        <v>153</v>
      </c>
      <c r="C47" s="98">
        <v>6701.55</v>
      </c>
      <c r="D47" s="98">
        <v>25288.85</v>
      </c>
      <c r="E47" s="98">
        <v>1517.33</v>
      </c>
      <c r="F47" s="98">
        <v>33507.729999999996</v>
      </c>
    </row>
    <row r="48" spans="1:6">
      <c r="A48" s="6">
        <v>44043</v>
      </c>
      <c r="B48" s="98" t="s">
        <v>152</v>
      </c>
      <c r="C48" s="98">
        <v>216.18</v>
      </c>
      <c r="D48" s="98">
        <v>815.78</v>
      </c>
      <c r="E48" s="98">
        <v>48.95</v>
      </c>
      <c r="F48" s="98">
        <v>1080.910000000001</v>
      </c>
    </row>
    <row r="49" spans="1:6">
      <c r="A49" s="6">
        <v>44043</v>
      </c>
      <c r="B49" s="98" t="s">
        <v>151</v>
      </c>
      <c r="C49" s="98">
        <v>6549.9</v>
      </c>
      <c r="D49" s="98">
        <v>24716.61</v>
      </c>
      <c r="E49" s="98">
        <v>1483</v>
      </c>
      <c r="F49" s="98">
        <v>32749.51</v>
      </c>
    </row>
    <row r="50" spans="1:6">
      <c r="A50" s="6">
        <v>44074</v>
      </c>
      <c r="B50" s="98" t="s">
        <v>186</v>
      </c>
      <c r="C50" s="98">
        <v>1895.88</v>
      </c>
      <c r="D50" s="98">
        <v>7154.25</v>
      </c>
      <c r="E50" s="98">
        <v>429.25</v>
      </c>
      <c r="F50" s="98">
        <v>9479.3800000000065</v>
      </c>
    </row>
    <row r="51" spans="1:6">
      <c r="A51" s="6">
        <v>44074</v>
      </c>
      <c r="B51" s="98" t="s">
        <v>153</v>
      </c>
      <c r="C51" s="98">
        <v>9071.2800000000007</v>
      </c>
      <c r="D51" s="98">
        <v>34231.25</v>
      </c>
      <c r="E51" s="98">
        <v>2053.87</v>
      </c>
      <c r="F51" s="98">
        <v>45356.399999999965</v>
      </c>
    </row>
    <row r="52" spans="1:6">
      <c r="A52" s="6">
        <v>44074</v>
      </c>
      <c r="B52" s="98" t="s">
        <v>152</v>
      </c>
      <c r="C52" s="98">
        <v>257.87</v>
      </c>
      <c r="D52" s="98">
        <v>973.09</v>
      </c>
      <c r="E52" s="98">
        <v>58.39</v>
      </c>
      <c r="F52" s="98">
        <v>1289.3499999999997</v>
      </c>
    </row>
    <row r="53" spans="1:6">
      <c r="A53" s="6">
        <v>44074</v>
      </c>
      <c r="B53" s="98" t="s">
        <v>151</v>
      </c>
      <c r="C53" s="98">
        <v>9505.82</v>
      </c>
      <c r="D53" s="98">
        <v>35871.03</v>
      </c>
      <c r="E53" s="98">
        <v>2152.2600000000002</v>
      </c>
      <c r="F53" s="98">
        <v>47529.12000000001</v>
      </c>
    </row>
    <row r="54" spans="1:6">
      <c r="A54" s="6">
        <v>44104</v>
      </c>
      <c r="B54" s="98" t="s">
        <v>186</v>
      </c>
      <c r="C54" s="98">
        <v>1616.67</v>
      </c>
      <c r="D54" s="98">
        <v>6100.63</v>
      </c>
      <c r="E54" s="98">
        <v>366.04</v>
      </c>
      <c r="F54" s="98">
        <v>8083.34</v>
      </c>
    </row>
    <row r="55" spans="1:6">
      <c r="A55" s="6">
        <v>44104</v>
      </c>
      <c r="B55" s="98" t="s">
        <v>153</v>
      </c>
      <c r="C55" s="98">
        <v>9629.02</v>
      </c>
      <c r="D55" s="98">
        <v>36335.910000000003</v>
      </c>
      <c r="E55" s="98">
        <v>2180.15</v>
      </c>
      <c r="F55" s="98">
        <v>48145.08</v>
      </c>
    </row>
    <row r="56" spans="1:6">
      <c r="A56" s="6">
        <v>44104</v>
      </c>
      <c r="B56" s="98" t="s">
        <v>152</v>
      </c>
      <c r="C56" s="98">
        <v>270.14999999999998</v>
      </c>
      <c r="D56" s="98">
        <v>1019.41</v>
      </c>
      <c r="E56" s="98">
        <v>61.17</v>
      </c>
      <c r="F56" s="98">
        <v>1350.7299999999993</v>
      </c>
    </row>
    <row r="57" spans="1:6">
      <c r="A57" s="6">
        <v>44104</v>
      </c>
      <c r="B57" s="98" t="s">
        <v>151</v>
      </c>
      <c r="C57" s="98">
        <v>10413.41</v>
      </c>
      <c r="D57" s="98">
        <v>39295.9</v>
      </c>
      <c r="E57" s="98">
        <v>2357.75</v>
      </c>
      <c r="F57" s="98">
        <v>52067.059999999983</v>
      </c>
    </row>
    <row r="58" spans="1:6">
      <c r="A58" s="6">
        <v>44135</v>
      </c>
      <c r="B58" s="98" t="s">
        <v>186</v>
      </c>
      <c r="C58" s="98">
        <v>1504.51</v>
      </c>
      <c r="D58" s="98">
        <v>5677.39</v>
      </c>
      <c r="E58" s="98">
        <v>340.64</v>
      </c>
      <c r="F58" s="98">
        <v>7522.5399999999936</v>
      </c>
    </row>
    <row r="59" spans="1:6">
      <c r="A59" s="6">
        <v>44135</v>
      </c>
      <c r="B59" s="98" t="s">
        <v>153</v>
      </c>
      <c r="C59" s="98">
        <v>9555.61</v>
      </c>
      <c r="D59" s="98">
        <v>36058.9</v>
      </c>
      <c r="E59" s="98">
        <v>2163.5300000000002</v>
      </c>
      <c r="F59" s="98">
        <v>47778.039999999994</v>
      </c>
    </row>
    <row r="60" spans="1:6">
      <c r="A60" s="6">
        <v>44135</v>
      </c>
      <c r="B60" s="98" t="s">
        <v>152</v>
      </c>
      <c r="C60" s="98">
        <v>485.75</v>
      </c>
      <c r="D60" s="98">
        <v>1833.02</v>
      </c>
      <c r="E60" s="98">
        <v>109.98</v>
      </c>
      <c r="F60" s="98">
        <v>2428.7499999999991</v>
      </c>
    </row>
    <row r="61" spans="1:6">
      <c r="A61" s="6">
        <v>44135</v>
      </c>
      <c r="B61" s="98" t="s">
        <v>151</v>
      </c>
      <c r="C61" s="98">
        <v>10660.34</v>
      </c>
      <c r="D61" s="98">
        <v>40227.69</v>
      </c>
      <c r="E61" s="98">
        <v>2413.66</v>
      </c>
      <c r="F61" s="98">
        <v>53301.69</v>
      </c>
    </row>
    <row r="62" spans="1:6">
      <c r="A62" s="6">
        <v>44165</v>
      </c>
      <c r="B62" s="98" t="s">
        <v>186</v>
      </c>
      <c r="C62" s="98">
        <v>1674.88</v>
      </c>
      <c r="D62" s="98">
        <v>6320.29</v>
      </c>
      <c r="E62" s="98">
        <v>379.22</v>
      </c>
      <c r="F62" s="98">
        <v>8374.389999999994</v>
      </c>
    </row>
    <row r="63" spans="1:6">
      <c r="A63" s="6">
        <v>44165</v>
      </c>
      <c r="B63" s="98" t="s">
        <v>153</v>
      </c>
      <c r="C63" s="98">
        <v>9933.17</v>
      </c>
      <c r="D63" s="98">
        <v>37483.65</v>
      </c>
      <c r="E63" s="98">
        <v>2249.02</v>
      </c>
      <c r="F63" s="98">
        <v>49665.840000000084</v>
      </c>
    </row>
    <row r="64" spans="1:6">
      <c r="A64" s="6">
        <v>44165</v>
      </c>
      <c r="B64" s="98" t="s">
        <v>152</v>
      </c>
      <c r="C64" s="98">
        <v>705.7</v>
      </c>
      <c r="D64" s="98">
        <v>2663.03</v>
      </c>
      <c r="E64" s="98">
        <v>159.78</v>
      </c>
      <c r="F64" s="98">
        <v>3528.510000000002</v>
      </c>
    </row>
    <row r="65" spans="1:6">
      <c r="A65" s="6">
        <v>44165</v>
      </c>
      <c r="B65" s="98" t="s">
        <v>151</v>
      </c>
      <c r="C65" s="98">
        <v>11664.74</v>
      </c>
      <c r="D65" s="98">
        <v>44017.88</v>
      </c>
      <c r="E65" s="98">
        <v>2641.07</v>
      </c>
      <c r="F65" s="98">
        <v>58323.690000000017</v>
      </c>
    </row>
    <row r="66" spans="1:6">
      <c r="A66" s="6">
        <v>44196</v>
      </c>
      <c r="B66" s="98" t="s">
        <v>186</v>
      </c>
      <c r="C66" s="98">
        <v>1879.67</v>
      </c>
      <c r="D66" s="98">
        <v>7093.1</v>
      </c>
      <c r="E66" s="98">
        <v>425.59</v>
      </c>
      <c r="F66" s="98">
        <v>9398.360000000006</v>
      </c>
    </row>
    <row r="67" spans="1:6">
      <c r="A67" s="6">
        <v>44196</v>
      </c>
      <c r="B67" s="98" t="s">
        <v>153</v>
      </c>
      <c r="C67" s="98">
        <v>9997.31</v>
      </c>
      <c r="D67" s="98">
        <v>37725.71</v>
      </c>
      <c r="E67" s="98">
        <v>2263.54</v>
      </c>
      <c r="F67" s="98">
        <v>49986.559999999925</v>
      </c>
    </row>
    <row r="68" spans="1:6">
      <c r="A68" s="6">
        <v>44196</v>
      </c>
      <c r="B68" s="98" t="s">
        <v>152</v>
      </c>
      <c r="C68" s="98">
        <v>178.93</v>
      </c>
      <c r="D68" s="98">
        <v>675.2</v>
      </c>
      <c r="E68" s="98">
        <v>40.51</v>
      </c>
      <c r="F68" s="98">
        <v>894.64000000000033</v>
      </c>
    </row>
    <row r="69" spans="1:6">
      <c r="A69" s="6">
        <v>44196</v>
      </c>
      <c r="B69" s="98" t="s">
        <v>151</v>
      </c>
      <c r="C69" s="98">
        <v>11812.8</v>
      </c>
      <c r="D69" s="98">
        <v>44576.59</v>
      </c>
      <c r="E69" s="98">
        <v>2674.6</v>
      </c>
      <c r="F69" s="98">
        <v>59063.989999999976</v>
      </c>
    </row>
    <row r="70" spans="1:6">
      <c r="A70" s="6">
        <v>44227</v>
      </c>
      <c r="B70" t="s">
        <v>186</v>
      </c>
      <c r="C70">
        <v>2645.04</v>
      </c>
      <c r="D70">
        <v>9981.2999999999993</v>
      </c>
      <c r="E70">
        <v>598.88</v>
      </c>
      <c r="F70">
        <v>13225.22</v>
      </c>
    </row>
    <row r="71" spans="1:6">
      <c r="A71" s="6">
        <v>44227</v>
      </c>
      <c r="B71" t="s">
        <v>153</v>
      </c>
      <c r="C71">
        <v>10417.540000000001</v>
      </c>
      <c r="D71">
        <v>39311.49</v>
      </c>
      <c r="E71">
        <v>2358.69</v>
      </c>
      <c r="F71">
        <v>52087.72</v>
      </c>
    </row>
    <row r="72" spans="1:6">
      <c r="A72" s="6">
        <v>44227</v>
      </c>
      <c r="B72" t="s">
        <v>152</v>
      </c>
      <c r="C72">
        <v>4322.45</v>
      </c>
      <c r="D72">
        <v>16311.15</v>
      </c>
      <c r="E72">
        <v>978.67</v>
      </c>
      <c r="F72">
        <v>21612.27</v>
      </c>
    </row>
    <row r="73" spans="1:6">
      <c r="A73" s="6">
        <v>44227</v>
      </c>
      <c r="B73" t="s">
        <v>151</v>
      </c>
      <c r="C73">
        <v>11034.68</v>
      </c>
      <c r="D73">
        <v>41640.31</v>
      </c>
      <c r="E73">
        <v>2498.42</v>
      </c>
      <c r="F73">
        <v>55173.41</v>
      </c>
    </row>
    <row r="74" spans="1:6">
      <c r="A74" s="6">
        <v>44255</v>
      </c>
      <c r="B74" s="98" t="s">
        <v>186</v>
      </c>
      <c r="C74" s="98">
        <v>5030.8</v>
      </c>
      <c r="D74" s="98">
        <v>18984.169999999998</v>
      </c>
      <c r="E74" s="98">
        <v>1139.05</v>
      </c>
      <c r="F74" s="98">
        <v>25154.019999999997</v>
      </c>
    </row>
    <row r="75" spans="1:6">
      <c r="A75" s="6">
        <v>44255</v>
      </c>
      <c r="B75" s="98" t="s">
        <v>153</v>
      </c>
      <c r="C75" s="98">
        <v>10298.81</v>
      </c>
      <c r="D75" s="98">
        <v>38863.440000000002</v>
      </c>
      <c r="E75" s="98">
        <v>2331.81</v>
      </c>
      <c r="F75" s="98">
        <v>51494.06</v>
      </c>
    </row>
    <row r="76" spans="1:6">
      <c r="A76" s="6">
        <v>44255</v>
      </c>
      <c r="B76" s="98" t="s">
        <v>152</v>
      </c>
      <c r="C76" s="98">
        <v>8557.5300000000007</v>
      </c>
      <c r="D76" s="98">
        <v>32292.57</v>
      </c>
      <c r="E76" s="98">
        <v>1937.55</v>
      </c>
      <c r="F76" s="98">
        <v>42787.66</v>
      </c>
    </row>
    <row r="77" spans="1:6">
      <c r="A77" s="6">
        <v>44255</v>
      </c>
      <c r="B77" s="98" t="s">
        <v>151</v>
      </c>
      <c r="C77" s="98">
        <v>11026.2</v>
      </c>
      <c r="D77" s="98">
        <v>41608.29</v>
      </c>
      <c r="E77" s="98">
        <v>2496.5</v>
      </c>
      <c r="F77" s="98">
        <v>55130.979999999996</v>
      </c>
    </row>
    <row r="78" spans="1:6">
      <c r="A78" s="6">
        <v>44286</v>
      </c>
      <c r="B78" s="98" t="s">
        <v>186</v>
      </c>
      <c r="C78" s="98">
        <v>5670.89</v>
      </c>
      <c r="D78" s="98">
        <v>21399.599999999999</v>
      </c>
      <c r="E78" s="98">
        <v>1283.98</v>
      </c>
      <c r="F78" s="98">
        <v>28354.470000000008</v>
      </c>
    </row>
    <row r="79" spans="1:6">
      <c r="A79" s="6">
        <v>44286</v>
      </c>
      <c r="B79" s="98" t="s">
        <v>153</v>
      </c>
      <c r="C79" s="98">
        <v>11828.8</v>
      </c>
      <c r="D79" s="98">
        <v>44636.97</v>
      </c>
      <c r="E79" s="98">
        <v>2678.22</v>
      </c>
      <c r="F79" s="98">
        <v>59143.989999999991</v>
      </c>
    </row>
    <row r="80" spans="1:6">
      <c r="A80" s="6">
        <v>44286</v>
      </c>
      <c r="B80" s="98" t="s">
        <v>152</v>
      </c>
      <c r="C80" s="98">
        <v>10396.68</v>
      </c>
      <c r="D80" s="98">
        <v>39232.769999999997</v>
      </c>
      <c r="E80" s="98">
        <v>2353.9699999999998</v>
      </c>
      <c r="F80" s="98">
        <v>51983.42</v>
      </c>
    </row>
    <row r="81" spans="1:6">
      <c r="A81" s="6">
        <v>44286</v>
      </c>
      <c r="B81" s="98" t="s">
        <v>151</v>
      </c>
      <c r="C81" s="98">
        <v>12843.2</v>
      </c>
      <c r="D81" s="98">
        <v>48464.9</v>
      </c>
      <c r="E81" s="98">
        <v>2907.89</v>
      </c>
      <c r="F81" s="98">
        <v>64215.990000000005</v>
      </c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H16" sqref="H16"/>
    </sheetView>
  </sheetViews>
  <sheetFormatPr defaultRowHeight="13.8"/>
  <cols>
    <col min="1" max="1" width="10.109375" bestFit="1" customWidth="1"/>
    <col min="2" max="2" width="16.33203125" bestFit="1" customWidth="1"/>
    <col min="3" max="3" width="9.21875" bestFit="1" customWidth="1"/>
    <col min="6" max="8" width="13" bestFit="1" customWidth="1"/>
    <col min="9" max="9" width="10.33203125" bestFit="1" customWidth="1"/>
    <col min="10" max="10" width="12.109375" bestFit="1" customWidth="1"/>
  </cols>
  <sheetData>
    <row r="1" spans="1:10">
      <c r="A1" s="77" t="s">
        <v>221</v>
      </c>
      <c r="B1" s="105" t="s">
        <v>9</v>
      </c>
      <c r="C1" s="105" t="s">
        <v>10</v>
      </c>
      <c r="D1" s="105" t="s">
        <v>11</v>
      </c>
      <c r="E1" s="105" t="s">
        <v>12</v>
      </c>
      <c r="F1" s="106" t="s">
        <v>13</v>
      </c>
      <c r="G1" s="106" t="s">
        <v>14</v>
      </c>
      <c r="H1" s="106" t="s">
        <v>15</v>
      </c>
      <c r="I1" s="106" t="s">
        <v>16</v>
      </c>
      <c r="J1" s="106" t="s">
        <v>17</v>
      </c>
    </row>
    <row r="2" spans="1:10">
      <c r="A2" s="6">
        <v>43982</v>
      </c>
      <c r="B2" s="105" t="s">
        <v>151</v>
      </c>
      <c r="C2" s="105" t="s">
        <v>217</v>
      </c>
      <c r="D2" s="105" t="s">
        <v>19</v>
      </c>
      <c r="E2" s="105">
        <v>4340</v>
      </c>
      <c r="F2" s="106">
        <v>562606.72</v>
      </c>
      <c r="G2" s="106">
        <v>450085.38</v>
      </c>
      <c r="H2" s="106">
        <v>424608.85</v>
      </c>
      <c r="I2" s="106">
        <v>25476.530000000028</v>
      </c>
      <c r="J2" s="106">
        <v>112521.33999999997</v>
      </c>
    </row>
    <row r="3" spans="1:10">
      <c r="A3" s="6">
        <v>43982</v>
      </c>
      <c r="B3" s="105" t="s">
        <v>152</v>
      </c>
      <c r="C3" s="105" t="s">
        <v>218</v>
      </c>
      <c r="D3" s="105" t="s">
        <v>19</v>
      </c>
      <c r="E3" s="105">
        <v>4340</v>
      </c>
      <c r="F3" s="106">
        <v>464432.37</v>
      </c>
      <c r="G3" s="106">
        <v>371545.9</v>
      </c>
      <c r="H3" s="106">
        <v>350515</v>
      </c>
      <c r="I3" s="106">
        <v>21030.900000000023</v>
      </c>
      <c r="J3" s="106">
        <v>92886.469999999972</v>
      </c>
    </row>
    <row r="4" spans="1:10">
      <c r="A4" s="6">
        <v>43982</v>
      </c>
      <c r="B4" s="105" t="s">
        <v>153</v>
      </c>
      <c r="C4" s="105" t="s">
        <v>219</v>
      </c>
      <c r="D4" s="105" t="s">
        <v>19</v>
      </c>
      <c r="E4" s="105">
        <v>4340</v>
      </c>
      <c r="F4" s="106">
        <v>607448.5</v>
      </c>
      <c r="G4" s="106">
        <v>485958.8</v>
      </c>
      <c r="H4" s="106">
        <v>458451.7</v>
      </c>
      <c r="I4" s="106">
        <v>27507.099999999977</v>
      </c>
      <c r="J4" s="106">
        <v>121489.70000000001</v>
      </c>
    </row>
    <row r="5" spans="1:10">
      <c r="A5" s="6">
        <v>43982</v>
      </c>
      <c r="B5" s="105" t="s">
        <v>186</v>
      </c>
      <c r="C5" s="105" t="s">
        <v>220</v>
      </c>
      <c r="D5" s="105" t="s">
        <v>19</v>
      </c>
      <c r="E5" s="105">
        <v>4340</v>
      </c>
      <c r="F5" s="106">
        <v>26552.14</v>
      </c>
      <c r="G5" s="106">
        <v>21241.71</v>
      </c>
      <c r="H5" s="106">
        <v>20039.349999999999</v>
      </c>
      <c r="I5" s="106">
        <v>1202.3600000000006</v>
      </c>
      <c r="J5" s="106">
        <v>5310.43</v>
      </c>
    </row>
  </sheetData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"/>
  <sheetViews>
    <sheetView zoomScale="140" zoomScaleNormal="140" workbookViewId="0">
      <selection activeCell="G8" sqref="G8"/>
    </sheetView>
  </sheetViews>
  <sheetFormatPr defaultColWidth="9" defaultRowHeight="13.8"/>
  <cols>
    <col min="1" max="1" width="11.88671875" bestFit="1" customWidth="1"/>
    <col min="2" max="2" width="17.33203125" customWidth="1"/>
    <col min="6" max="8" width="14" bestFit="1" customWidth="1"/>
    <col min="9" max="9" width="12.33203125" bestFit="1" customWidth="1"/>
    <col min="10" max="10" width="12.109375" customWidth="1"/>
  </cols>
  <sheetData>
    <row r="1" spans="1:10">
      <c r="A1" t="s">
        <v>0</v>
      </c>
      <c r="B1" s="5" t="s">
        <v>9</v>
      </c>
      <c r="C1" s="5" t="s">
        <v>10</v>
      </c>
      <c r="D1" s="5" t="s">
        <v>11</v>
      </c>
      <c r="E1" s="5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</row>
    <row r="2" spans="1:10">
      <c r="A2" s="6">
        <v>43281</v>
      </c>
      <c r="B2" s="5" t="s">
        <v>18</v>
      </c>
      <c r="C2" s="5">
        <v>174</v>
      </c>
      <c r="D2" s="5" t="s">
        <v>19</v>
      </c>
      <c r="E2" s="5">
        <v>4340</v>
      </c>
      <c r="F2" s="4">
        <v>323816.45</v>
      </c>
      <c r="G2" s="4">
        <v>259053.16</v>
      </c>
      <c r="H2" s="4">
        <v>244389.77</v>
      </c>
      <c r="I2" s="4">
        <v>14663.39</v>
      </c>
      <c r="J2" s="4">
        <v>64763.29</v>
      </c>
    </row>
    <row r="3" spans="1:10">
      <c r="A3" s="6">
        <v>43159</v>
      </c>
      <c r="B3" s="5" t="s">
        <v>20</v>
      </c>
      <c r="C3" s="5">
        <v>127</v>
      </c>
      <c r="D3" s="5" t="s">
        <v>19</v>
      </c>
      <c r="E3" s="5">
        <v>4340</v>
      </c>
      <c r="F3" s="5">
        <v>482141.58</v>
      </c>
      <c r="G3" s="5">
        <v>385713.26</v>
      </c>
      <c r="H3" s="5">
        <v>363880.43</v>
      </c>
      <c r="I3" s="5">
        <v>21832.83</v>
      </c>
      <c r="J3" s="5">
        <v>96428.32</v>
      </c>
    </row>
    <row r="4" spans="1:10">
      <c r="A4" s="6">
        <v>43646</v>
      </c>
      <c r="B4" s="73" t="s">
        <v>125</v>
      </c>
      <c r="C4" s="74">
        <v>13</v>
      </c>
      <c r="D4" s="74" t="s">
        <v>19</v>
      </c>
      <c r="E4" s="75">
        <v>4340</v>
      </c>
      <c r="F4" s="76">
        <v>83202.320000000007</v>
      </c>
      <c r="G4" s="76">
        <f>ROUND(F4*0.8,2)</f>
        <v>66561.86</v>
      </c>
      <c r="H4" s="76">
        <f>ROUND(G4/1.06,2)</f>
        <v>62794.21</v>
      </c>
      <c r="I4" s="76">
        <f>G4-H4</f>
        <v>3767.6500000000015</v>
      </c>
      <c r="J4" s="76">
        <f>F4-G4</f>
        <v>16640.460000000006</v>
      </c>
    </row>
    <row r="5" spans="1:10">
      <c r="A5" s="6">
        <v>43830</v>
      </c>
      <c r="B5" s="98" t="s">
        <v>18</v>
      </c>
      <c r="F5" s="64">
        <v>1293844.3999999999</v>
      </c>
      <c r="G5" s="64">
        <v>1035075.52</v>
      </c>
      <c r="H5" s="64">
        <v>976486.34</v>
      </c>
      <c r="I5" s="64">
        <v>58589.180000000051</v>
      </c>
      <c r="J5" s="64">
        <v>258768.87999999989</v>
      </c>
    </row>
    <row r="6" spans="1:10">
      <c r="A6" s="6">
        <v>43830</v>
      </c>
      <c r="B6" s="98" t="s">
        <v>178</v>
      </c>
      <c r="F6" s="64">
        <v>2446450.69</v>
      </c>
      <c r="G6" s="64">
        <v>1957160.55</v>
      </c>
      <c r="H6" s="64">
        <v>1846377.88</v>
      </c>
      <c r="I6" s="64">
        <v>110782.67000000016</v>
      </c>
      <c r="J6" s="64">
        <v>489290.1399999999</v>
      </c>
    </row>
    <row r="7" spans="1:10">
      <c r="A7" s="6">
        <v>44074</v>
      </c>
      <c r="B7" s="98" t="s">
        <v>155</v>
      </c>
      <c r="D7" s="98" t="s">
        <v>19</v>
      </c>
      <c r="E7" s="98">
        <v>4340</v>
      </c>
      <c r="F7" s="98">
        <v>15661.61</v>
      </c>
      <c r="G7" s="98">
        <v>12529.29</v>
      </c>
      <c r="H7" s="98">
        <v>11820.08</v>
      </c>
      <c r="I7" s="98">
        <v>709.21000000000095</v>
      </c>
      <c r="J7" s="98">
        <v>3132.3199999999997</v>
      </c>
    </row>
    <row r="8" spans="1:10">
      <c r="A8" s="6">
        <v>44074</v>
      </c>
      <c r="B8" s="98" t="s">
        <v>18</v>
      </c>
      <c r="D8" s="98" t="s">
        <v>19</v>
      </c>
      <c r="E8" s="98">
        <v>4340</v>
      </c>
      <c r="F8" s="98">
        <v>-95223.34999999986</v>
      </c>
      <c r="G8" s="98">
        <v>-76178.679999999993</v>
      </c>
      <c r="H8" s="98">
        <v>-71866.679999999993</v>
      </c>
      <c r="I8" s="98">
        <v>-4312</v>
      </c>
      <c r="J8" s="98">
        <v>-19044.669999999867</v>
      </c>
    </row>
  </sheetData>
  <phoneticPr fontId="1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"/>
  <sheetViews>
    <sheetView workbookViewId="0">
      <selection activeCell="B6" sqref="B6"/>
    </sheetView>
  </sheetViews>
  <sheetFormatPr defaultColWidth="9" defaultRowHeight="13.8"/>
  <cols>
    <col min="2" max="2" width="28.44140625" bestFit="1" customWidth="1"/>
    <col min="3" max="3" width="11.44140625" customWidth="1"/>
  </cols>
  <sheetData>
    <row r="1" spans="1:3">
      <c r="A1" t="s">
        <v>0</v>
      </c>
      <c r="B1" s="1" t="s">
        <v>9</v>
      </c>
      <c r="C1" s="2" t="s">
        <v>124</v>
      </c>
    </row>
    <row r="2" spans="1:3">
      <c r="A2" t="s">
        <v>58</v>
      </c>
      <c r="B2" s="3" t="s">
        <v>56</v>
      </c>
      <c r="C2" s="4">
        <v>392466.77</v>
      </c>
    </row>
    <row r="3" spans="1:3">
      <c r="A3" t="s">
        <v>58</v>
      </c>
      <c r="B3" s="3" t="s">
        <v>125</v>
      </c>
      <c r="C3" s="4">
        <v>219434.26</v>
      </c>
    </row>
  </sheetData>
  <phoneticPr fontId="18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投管汇总校验</vt:lpstr>
      <vt:lpstr>投资管理费收入汇总</vt:lpstr>
      <vt:lpstr>单一计划（含税）</vt:lpstr>
      <vt:lpstr>集合计划（含税）</vt:lpstr>
      <vt:lpstr>养老金收入（含税）</vt:lpstr>
      <vt:lpstr>养老金明细</vt:lpstr>
      <vt:lpstr>个养（含税）</vt:lpstr>
      <vt:lpstr>个养—业绩报酬（含税）</vt:lpstr>
      <vt:lpstr>团养（含税</vt:lpstr>
      <vt:lpstr>职业年金收入</vt:lpstr>
      <vt:lpstr>职业年金业绩报酬</vt:lpstr>
      <vt:lpstr>计提业绩报酬</vt:lpstr>
      <vt:lpstr>单一计划含税-含回冲条款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2018-07-26T07:04:00Z</dcterms:created>
  <dcterms:modified xsi:type="dcterms:W3CDTF">2021-04-15T06:43:29Z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  <property fmtid="{D5CDD505-2E9C-101B-9397-08002B2CF9AE}" pid="3" name="WorkbookGuid">
    <vt:lpwstr>39f42b17-1d70-4273-b2ce-08e3d3c2c80d</vt:lpwstr>
  </property>
</Properties>
</file>